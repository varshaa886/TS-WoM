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/>
  <xr:revisionPtr revIDLastSave="216" documentId="13_ncr:1_{A4AADF7F-98B7-4250-990F-851A22E4EB50}" xr6:coauthVersionLast="47" xr6:coauthVersionMax="47" xr10:uidLastSave="{61F799D1-B16D-4BDB-8635-53FEA9E94117}"/>
  <bookViews>
    <workbookView xWindow="-110" yWindow="-110" windowWidth="19420" windowHeight="10420" xr2:uid="{00000000-000D-0000-FFFF-FFFF00000000}"/>
  </bookViews>
  <sheets>
    <sheet name="Summary" sheetId="1" r:id="rId1"/>
  </sheets>
  <definedNames>
    <definedName name="_xlnm._FilterDatabase" localSheetId="0" hidden="1">Summary!$BJ$1:$BJ$1459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01" i="1" l="1"/>
  <c r="H1401" i="1"/>
  <c r="I1401" i="1"/>
  <c r="J1401" i="1" a="1"/>
  <c r="J1401" i="1" s="1"/>
  <c r="L1401" i="1" s="1"/>
  <c r="M1401" i="1" a="1"/>
  <c r="M1401" i="1" s="1"/>
  <c r="F1400" i="1"/>
  <c r="H1400" i="1"/>
  <c r="I1400" i="1"/>
  <c r="J1400" i="1" a="1"/>
  <c r="J1400" i="1" s="1"/>
  <c r="L1400" i="1" s="1"/>
  <c r="M1400" i="1" a="1"/>
  <c r="M1400" i="1" s="1"/>
  <c r="P1400" i="1" l="1"/>
  <c r="N1401" i="1"/>
  <c r="O1401" i="1" s="1"/>
  <c r="Q1401" i="1"/>
  <c r="R1401" i="1"/>
  <c r="P1401" i="1"/>
  <c r="Q1400" i="1"/>
  <c r="R1400" i="1"/>
  <c r="N1400" i="1"/>
  <c r="O1400" i="1" s="1"/>
  <c r="S1400" i="1" l="1"/>
  <c r="G1400" i="1" s="1"/>
  <c r="S1401" i="1"/>
  <c r="G1401" i="1" s="1"/>
  <c r="F999" i="1" l="1"/>
  <c r="H999" i="1"/>
  <c r="I999" i="1"/>
  <c r="J999" i="1" a="1"/>
  <c r="J999" i="1" s="1"/>
  <c r="L999" i="1" s="1"/>
  <c r="N999" i="1" s="1"/>
  <c r="O999" i="1" s="1"/>
  <c r="M999" i="1" a="1"/>
  <c r="M999" i="1" s="1"/>
  <c r="F1000" i="1"/>
  <c r="H1000" i="1"/>
  <c r="I1000" i="1"/>
  <c r="J1000" i="1" a="1"/>
  <c r="J1000" i="1" s="1"/>
  <c r="L1000" i="1" s="1"/>
  <c r="M1000" i="1" a="1"/>
  <c r="M1000" i="1" s="1"/>
  <c r="F1001" i="1"/>
  <c r="H1001" i="1"/>
  <c r="I1001" i="1"/>
  <c r="J1001" i="1" a="1"/>
  <c r="J1001" i="1" s="1"/>
  <c r="L1001" i="1" s="1"/>
  <c r="M1001" i="1" a="1"/>
  <c r="M1001" i="1" s="1"/>
  <c r="F1002" i="1"/>
  <c r="H1002" i="1"/>
  <c r="I1002" i="1"/>
  <c r="J1002" i="1" a="1"/>
  <c r="J1002" i="1" s="1"/>
  <c r="L1002" i="1" s="1"/>
  <c r="M1002" i="1" a="1"/>
  <c r="M1002" i="1" s="1"/>
  <c r="F826" i="1"/>
  <c r="H826" i="1"/>
  <c r="I826" i="1"/>
  <c r="J826" i="1" a="1"/>
  <c r="J826" i="1" s="1"/>
  <c r="L826" i="1" s="1"/>
  <c r="M826" i="1" a="1"/>
  <c r="M826" i="1" s="1"/>
  <c r="F827" i="1"/>
  <c r="H827" i="1"/>
  <c r="I827" i="1"/>
  <c r="J827" i="1" a="1"/>
  <c r="J827" i="1" s="1"/>
  <c r="L827" i="1" s="1"/>
  <c r="M827" i="1" a="1"/>
  <c r="M827" i="1" s="1"/>
  <c r="F828" i="1"/>
  <c r="H828" i="1"/>
  <c r="I828" i="1"/>
  <c r="J828" i="1" a="1"/>
  <c r="J828" i="1" s="1"/>
  <c r="L828" i="1" s="1"/>
  <c r="M828" i="1" a="1"/>
  <c r="M828" i="1" s="1"/>
  <c r="F829" i="1"/>
  <c r="H829" i="1"/>
  <c r="I829" i="1"/>
  <c r="J829" i="1" a="1"/>
  <c r="J829" i="1" s="1"/>
  <c r="L829" i="1" s="1"/>
  <c r="M829" i="1" a="1"/>
  <c r="M829" i="1" s="1"/>
  <c r="F722" i="1"/>
  <c r="H722" i="1"/>
  <c r="I722" i="1"/>
  <c r="J722" i="1" a="1"/>
  <c r="J722" i="1" s="1"/>
  <c r="L722" i="1" s="1"/>
  <c r="M722" i="1" a="1"/>
  <c r="M722" i="1" s="1"/>
  <c r="F723" i="1"/>
  <c r="H723" i="1"/>
  <c r="I723" i="1"/>
  <c r="J723" i="1" a="1"/>
  <c r="J723" i="1" s="1"/>
  <c r="L723" i="1" s="1"/>
  <c r="M723" i="1" a="1"/>
  <c r="M723" i="1" s="1"/>
  <c r="F583" i="1"/>
  <c r="H583" i="1"/>
  <c r="I583" i="1"/>
  <c r="J583" i="1" a="1"/>
  <c r="J583" i="1" s="1"/>
  <c r="L583" i="1" s="1"/>
  <c r="M583" i="1" a="1"/>
  <c r="M583" i="1" s="1"/>
  <c r="F584" i="1"/>
  <c r="H584" i="1"/>
  <c r="I584" i="1"/>
  <c r="J584" i="1" a="1"/>
  <c r="J584" i="1" s="1"/>
  <c r="L584" i="1" s="1"/>
  <c r="M584" i="1" a="1"/>
  <c r="M584" i="1" s="1"/>
  <c r="F585" i="1"/>
  <c r="H585" i="1"/>
  <c r="I585" i="1"/>
  <c r="J585" i="1" a="1"/>
  <c r="J585" i="1" s="1"/>
  <c r="L585" i="1" s="1"/>
  <c r="M585" i="1" a="1"/>
  <c r="M585" i="1" s="1"/>
  <c r="F586" i="1"/>
  <c r="H586" i="1"/>
  <c r="I586" i="1"/>
  <c r="J586" i="1" a="1"/>
  <c r="J586" i="1" s="1"/>
  <c r="L586" i="1" s="1"/>
  <c r="M586" i="1" a="1"/>
  <c r="M586" i="1" s="1"/>
  <c r="F587" i="1"/>
  <c r="H587" i="1"/>
  <c r="I587" i="1"/>
  <c r="J587" i="1" a="1"/>
  <c r="J587" i="1" s="1"/>
  <c r="L587" i="1" s="1"/>
  <c r="M587" i="1" a="1"/>
  <c r="M587" i="1" s="1"/>
  <c r="F588" i="1"/>
  <c r="H588" i="1"/>
  <c r="I588" i="1"/>
  <c r="J588" i="1" a="1"/>
  <c r="J588" i="1" s="1"/>
  <c r="M588" i="1" a="1"/>
  <c r="M588" i="1" s="1"/>
  <c r="F589" i="1"/>
  <c r="H589" i="1"/>
  <c r="I589" i="1"/>
  <c r="J589" i="1" a="1"/>
  <c r="J589" i="1" s="1"/>
  <c r="L589" i="1" s="1"/>
  <c r="M589" i="1" a="1"/>
  <c r="M589" i="1" s="1"/>
  <c r="F590" i="1"/>
  <c r="H590" i="1"/>
  <c r="I590" i="1"/>
  <c r="J590" i="1" a="1"/>
  <c r="J590" i="1" s="1"/>
  <c r="L590" i="1" s="1"/>
  <c r="M590" i="1" a="1"/>
  <c r="M590" i="1" s="1"/>
  <c r="F81" i="1"/>
  <c r="H81" i="1"/>
  <c r="I81" i="1"/>
  <c r="J81" i="1" a="1"/>
  <c r="J81" i="1" s="1"/>
  <c r="L81" i="1" s="1"/>
  <c r="N81" i="1" s="1"/>
  <c r="O81" i="1" s="1"/>
  <c r="M81" i="1" a="1"/>
  <c r="M81" i="1" s="1"/>
  <c r="F82" i="1"/>
  <c r="H82" i="1"/>
  <c r="I82" i="1"/>
  <c r="J82" i="1" a="1"/>
  <c r="J82" i="1" s="1"/>
  <c r="L82" i="1" s="1"/>
  <c r="M82" i="1" a="1"/>
  <c r="M82" i="1" s="1"/>
  <c r="F83" i="1"/>
  <c r="H83" i="1"/>
  <c r="I83" i="1"/>
  <c r="J83" i="1" a="1"/>
  <c r="J83" i="1" s="1"/>
  <c r="L83" i="1" s="1"/>
  <c r="M83" i="1" a="1"/>
  <c r="M83" i="1" s="1"/>
  <c r="F84" i="1"/>
  <c r="H84" i="1"/>
  <c r="I84" i="1"/>
  <c r="J84" i="1" a="1"/>
  <c r="J84" i="1" s="1"/>
  <c r="L84" i="1" s="1"/>
  <c r="M84" i="1" a="1"/>
  <c r="M84" i="1" s="1"/>
  <c r="F85" i="1"/>
  <c r="H85" i="1"/>
  <c r="I85" i="1"/>
  <c r="J85" i="1" a="1"/>
  <c r="J85" i="1" s="1"/>
  <c r="L85" i="1" s="1"/>
  <c r="M85" i="1" a="1"/>
  <c r="M85" i="1" s="1"/>
  <c r="F86" i="1"/>
  <c r="H86" i="1"/>
  <c r="I86" i="1"/>
  <c r="J86" i="1" a="1"/>
  <c r="J86" i="1" s="1"/>
  <c r="L86" i="1" s="1"/>
  <c r="M86" i="1" a="1"/>
  <c r="M86" i="1" s="1"/>
  <c r="F87" i="1"/>
  <c r="H87" i="1"/>
  <c r="I87" i="1"/>
  <c r="J87" i="1" a="1"/>
  <c r="J87" i="1" s="1"/>
  <c r="L87" i="1" s="1"/>
  <c r="M87" i="1" a="1"/>
  <c r="M87" i="1" s="1"/>
  <c r="F88" i="1"/>
  <c r="H88" i="1"/>
  <c r="I88" i="1"/>
  <c r="J88" i="1" a="1"/>
  <c r="J88" i="1" s="1"/>
  <c r="L88" i="1" s="1"/>
  <c r="M88" i="1" a="1"/>
  <c r="M88" i="1" s="1"/>
  <c r="F89" i="1"/>
  <c r="H89" i="1"/>
  <c r="I89" i="1"/>
  <c r="J89" i="1" a="1"/>
  <c r="J89" i="1" s="1"/>
  <c r="L89" i="1" s="1"/>
  <c r="M89" i="1" a="1"/>
  <c r="M89" i="1" s="1"/>
  <c r="F90" i="1"/>
  <c r="H90" i="1"/>
  <c r="I90" i="1"/>
  <c r="J90" i="1" a="1"/>
  <c r="J90" i="1" s="1"/>
  <c r="L90" i="1" s="1"/>
  <c r="M90" i="1" a="1"/>
  <c r="M90" i="1" s="1"/>
  <c r="F91" i="1"/>
  <c r="H91" i="1"/>
  <c r="I91" i="1"/>
  <c r="J91" i="1" a="1"/>
  <c r="J91" i="1" s="1"/>
  <c r="L91" i="1" s="1"/>
  <c r="N91" i="1" s="1"/>
  <c r="O91" i="1" s="1"/>
  <c r="M91" i="1" a="1"/>
  <c r="M91" i="1" s="1"/>
  <c r="P999" i="1" l="1"/>
  <c r="R999" i="1"/>
  <c r="Q999" i="1"/>
  <c r="P1000" i="1"/>
  <c r="N1000" i="1"/>
  <c r="O1000" i="1" s="1"/>
  <c r="Q1000" i="1"/>
  <c r="R1000" i="1"/>
  <c r="P1001" i="1"/>
  <c r="N1001" i="1"/>
  <c r="O1001" i="1" s="1"/>
  <c r="Q1001" i="1"/>
  <c r="R1001" i="1"/>
  <c r="P1002" i="1"/>
  <c r="N1002" i="1"/>
  <c r="O1002" i="1" s="1"/>
  <c r="R1002" i="1"/>
  <c r="Q1002" i="1"/>
  <c r="P828" i="1"/>
  <c r="P827" i="1"/>
  <c r="P826" i="1"/>
  <c r="N826" i="1"/>
  <c r="O826" i="1" s="1"/>
  <c r="R826" i="1"/>
  <c r="Q826" i="1"/>
  <c r="N827" i="1"/>
  <c r="O827" i="1" s="1"/>
  <c r="Q827" i="1"/>
  <c r="R827" i="1"/>
  <c r="P829" i="1"/>
  <c r="N828" i="1"/>
  <c r="O828" i="1" s="1"/>
  <c r="Q828" i="1"/>
  <c r="R828" i="1"/>
  <c r="Q829" i="1"/>
  <c r="N829" i="1"/>
  <c r="O829" i="1" s="1"/>
  <c r="R829" i="1"/>
  <c r="P722" i="1"/>
  <c r="N723" i="1"/>
  <c r="O723" i="1" s="1"/>
  <c r="Q723" i="1"/>
  <c r="R723" i="1"/>
  <c r="P723" i="1"/>
  <c r="N722" i="1"/>
  <c r="O722" i="1" s="1"/>
  <c r="Q722" i="1"/>
  <c r="R722" i="1"/>
  <c r="P583" i="1"/>
  <c r="N583" i="1"/>
  <c r="O583" i="1" s="1"/>
  <c r="Q583" i="1"/>
  <c r="R583" i="1"/>
  <c r="P585" i="1"/>
  <c r="P584" i="1"/>
  <c r="N584" i="1"/>
  <c r="O584" i="1" s="1"/>
  <c r="Q584" i="1"/>
  <c r="R584" i="1"/>
  <c r="N585" i="1"/>
  <c r="O585" i="1" s="1"/>
  <c r="Q585" i="1"/>
  <c r="R585" i="1"/>
  <c r="P586" i="1"/>
  <c r="N586" i="1"/>
  <c r="O586" i="1" s="1"/>
  <c r="Q586" i="1"/>
  <c r="R586" i="1"/>
  <c r="P587" i="1"/>
  <c r="N587" i="1"/>
  <c r="O587" i="1" s="1"/>
  <c r="Q587" i="1"/>
  <c r="R587" i="1"/>
  <c r="L588" i="1"/>
  <c r="P590" i="1"/>
  <c r="Q590" i="1"/>
  <c r="R590" i="1"/>
  <c r="N590" i="1"/>
  <c r="O590" i="1" s="1"/>
  <c r="P589" i="1"/>
  <c r="N589" i="1"/>
  <c r="O589" i="1" s="1"/>
  <c r="Q589" i="1"/>
  <c r="R589" i="1"/>
  <c r="P82" i="1"/>
  <c r="P81" i="1"/>
  <c r="R81" i="1"/>
  <c r="Q81" i="1"/>
  <c r="P83" i="1"/>
  <c r="N82" i="1"/>
  <c r="O82" i="1" s="1"/>
  <c r="Q82" i="1"/>
  <c r="R82" i="1"/>
  <c r="P84" i="1"/>
  <c r="N83" i="1"/>
  <c r="O83" i="1" s="1"/>
  <c r="Q83" i="1"/>
  <c r="R83" i="1"/>
  <c r="P89" i="1"/>
  <c r="N84" i="1"/>
  <c r="O84" i="1" s="1"/>
  <c r="Q84" i="1"/>
  <c r="R84" i="1"/>
  <c r="P86" i="1"/>
  <c r="N85" i="1"/>
  <c r="O85" i="1" s="1"/>
  <c r="Q85" i="1"/>
  <c r="R85" i="1"/>
  <c r="P85" i="1"/>
  <c r="Q86" i="1"/>
  <c r="N86" i="1"/>
  <c r="O86" i="1" s="1"/>
  <c r="R86" i="1"/>
  <c r="P88" i="1"/>
  <c r="N87" i="1"/>
  <c r="O87" i="1" s="1"/>
  <c r="R87" i="1"/>
  <c r="Q87" i="1"/>
  <c r="P87" i="1"/>
  <c r="Q88" i="1"/>
  <c r="N88" i="1"/>
  <c r="O88" i="1" s="1"/>
  <c r="R88" i="1"/>
  <c r="P90" i="1"/>
  <c r="N89" i="1"/>
  <c r="O89" i="1" s="1"/>
  <c r="Q89" i="1"/>
  <c r="R89" i="1"/>
  <c r="P91" i="1"/>
  <c r="N90" i="1"/>
  <c r="O90" i="1" s="1"/>
  <c r="Q90" i="1"/>
  <c r="R90" i="1"/>
  <c r="Q91" i="1"/>
  <c r="R91" i="1"/>
  <c r="S1002" i="1" l="1"/>
  <c r="G1002" i="1" s="1"/>
  <c r="S1000" i="1"/>
  <c r="G1000" i="1" s="1"/>
  <c r="S999" i="1"/>
  <c r="G999" i="1" s="1"/>
  <c r="S1001" i="1"/>
  <c r="G1001" i="1" s="1"/>
  <c r="S828" i="1"/>
  <c r="G828" i="1" s="1"/>
  <c r="S827" i="1"/>
  <c r="G827" i="1" s="1"/>
  <c r="S826" i="1"/>
  <c r="G826" i="1" s="1"/>
  <c r="S829" i="1"/>
  <c r="G829" i="1" s="1"/>
  <c r="S722" i="1"/>
  <c r="G722" i="1" s="1"/>
  <c r="S723" i="1"/>
  <c r="G723" i="1" s="1"/>
  <c r="S585" i="1"/>
  <c r="G585" i="1" s="1"/>
  <c r="S84" i="1"/>
  <c r="G84" i="1" s="1"/>
  <c r="S82" i="1"/>
  <c r="G82" i="1" s="1"/>
  <c r="S583" i="1"/>
  <c r="G583" i="1" s="1"/>
  <c r="S584" i="1"/>
  <c r="G584" i="1" s="1"/>
  <c r="S589" i="1"/>
  <c r="G589" i="1" s="1"/>
  <c r="S590" i="1"/>
  <c r="G590" i="1" s="1"/>
  <c r="S586" i="1"/>
  <c r="G586" i="1" s="1"/>
  <c r="N588" i="1"/>
  <c r="O588" i="1" s="1"/>
  <c r="Q588" i="1"/>
  <c r="R588" i="1"/>
  <c r="P588" i="1"/>
  <c r="S587" i="1"/>
  <c r="G587" i="1" s="1"/>
  <c r="S86" i="1"/>
  <c r="G86" i="1" s="1"/>
  <c r="S81" i="1"/>
  <c r="G81" i="1" s="1"/>
  <c r="S89" i="1"/>
  <c r="G89" i="1" s="1"/>
  <c r="S83" i="1"/>
  <c r="G83" i="1" s="1"/>
  <c r="S90" i="1"/>
  <c r="G90" i="1" s="1"/>
  <c r="S85" i="1"/>
  <c r="G85" i="1" s="1"/>
  <c r="S88" i="1"/>
  <c r="G88" i="1" s="1"/>
  <c r="S87" i="1"/>
  <c r="G87" i="1" s="1"/>
  <c r="S91" i="1"/>
  <c r="G91" i="1" s="1"/>
  <c r="S588" i="1" l="1"/>
  <c r="G588" i="1" s="1"/>
  <c r="N686" i="1" l="1"/>
  <c r="M2" i="1" a="1"/>
  <c r="M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 s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 s="1"/>
  <c r="M153" i="1" a="1"/>
  <c r="M153" i="1" s="1"/>
  <c r="M154" i="1" a="1"/>
  <c r="M154" i="1" s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 s="1"/>
  <c r="M171" i="1" a="1"/>
  <c r="M171" i="1" s="1"/>
  <c r="M172" i="1" a="1"/>
  <c r="M172" i="1" s="1"/>
  <c r="M173" i="1" a="1"/>
  <c r="M173" i="1" s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 s="1"/>
  <c r="M185" i="1" a="1"/>
  <c r="M185" i="1" s="1"/>
  <c r="M186" i="1" a="1"/>
  <c r="M186" i="1" s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02" i="1" a="1"/>
  <c r="M202" i="1" s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 s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 s="1"/>
  <c r="M219" i="1" a="1"/>
  <c r="M219" i="1" s="1"/>
  <c r="M220" i="1" a="1"/>
  <c r="M220" i="1" s="1"/>
  <c r="M221" i="1" a="1"/>
  <c r="M221" i="1" s="1"/>
  <c r="M222" i="1" a="1"/>
  <c r="M222" i="1" s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 s="1"/>
  <c r="M235" i="1" a="1"/>
  <c r="M235" i="1" s="1"/>
  <c r="M236" i="1" a="1"/>
  <c r="M236" i="1" s="1"/>
  <c r="M237" i="1" a="1"/>
  <c r="M237" i="1" s="1"/>
  <c r="M238" i="1" a="1"/>
  <c r="M238" i="1" s="1"/>
  <c r="M239" i="1" a="1"/>
  <c r="M239" i="1" s="1"/>
  <c r="M240" i="1" a="1"/>
  <c r="M240" i="1" s="1"/>
  <c r="M241" i="1" a="1"/>
  <c r="M241" i="1" s="1"/>
  <c r="M242" i="1" a="1"/>
  <c r="M242" i="1" s="1"/>
  <c r="M243" i="1" a="1"/>
  <c r="M243" i="1" s="1"/>
  <c r="M244" i="1" a="1"/>
  <c r="M244" i="1" s="1"/>
  <c r="M245" i="1" a="1"/>
  <c r="M245" i="1" s="1"/>
  <c r="M246" i="1" a="1"/>
  <c r="M246" i="1" s="1"/>
  <c r="M247" i="1" a="1"/>
  <c r="M247" i="1" s="1"/>
  <c r="M248" i="1" a="1"/>
  <c r="M248" i="1" s="1"/>
  <c r="M249" i="1" a="1"/>
  <c r="M249" i="1" s="1"/>
  <c r="M250" i="1" a="1"/>
  <c r="M250" i="1" s="1"/>
  <c r="M251" i="1" a="1"/>
  <c r="M251" i="1" s="1"/>
  <c r="M252" i="1" a="1"/>
  <c r="M252" i="1" s="1"/>
  <c r="M253" i="1" a="1"/>
  <c r="M253" i="1" s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 s="1"/>
  <c r="M260" i="1" a="1"/>
  <c r="M260" i="1" s="1"/>
  <c r="M261" i="1" a="1"/>
  <c r="M261" i="1" s="1"/>
  <c r="M262" i="1" a="1"/>
  <c r="M262" i="1" s="1"/>
  <c r="M263" i="1" a="1"/>
  <c r="M263" i="1" s="1"/>
  <c r="M264" i="1" a="1"/>
  <c r="M264" i="1" s="1"/>
  <c r="M265" i="1" a="1"/>
  <c r="M265" i="1" s="1"/>
  <c r="M266" i="1" a="1"/>
  <c r="M266" i="1" s="1"/>
  <c r="M267" i="1" a="1"/>
  <c r="M267" i="1" s="1"/>
  <c r="M268" i="1" a="1"/>
  <c r="M268" i="1" s="1"/>
  <c r="M269" i="1" a="1"/>
  <c r="M269" i="1" s="1"/>
  <c r="M270" i="1" a="1"/>
  <c r="M270" i="1" s="1"/>
  <c r="M271" i="1" a="1"/>
  <c r="M271" i="1" s="1"/>
  <c r="M272" i="1" a="1"/>
  <c r="M272" i="1" s="1"/>
  <c r="M273" i="1" a="1"/>
  <c r="M273" i="1" s="1"/>
  <c r="M274" i="1" a="1"/>
  <c r="M274" i="1" s="1"/>
  <c r="M275" i="1" a="1"/>
  <c r="M275" i="1" s="1"/>
  <c r="M276" i="1" a="1"/>
  <c r="M276" i="1" s="1"/>
  <c r="M277" i="1" a="1"/>
  <c r="M277" i="1" s="1"/>
  <c r="M278" i="1" a="1"/>
  <c r="M278" i="1" s="1"/>
  <c r="M279" i="1" a="1"/>
  <c r="M279" i="1" s="1"/>
  <c r="M280" i="1" a="1"/>
  <c r="M280" i="1" s="1"/>
  <c r="M281" i="1" a="1"/>
  <c r="M281" i="1" s="1"/>
  <c r="M282" i="1" a="1"/>
  <c r="M282" i="1" s="1"/>
  <c r="M283" i="1" a="1"/>
  <c r="M283" i="1" s="1"/>
  <c r="M284" i="1" a="1"/>
  <c r="M284" i="1" s="1"/>
  <c r="M285" i="1" a="1"/>
  <c r="M285" i="1" s="1"/>
  <c r="M286" i="1" a="1"/>
  <c r="M286" i="1" s="1"/>
  <c r="M287" i="1" a="1"/>
  <c r="M287" i="1" s="1"/>
  <c r="M288" i="1" a="1"/>
  <c r="M288" i="1" s="1"/>
  <c r="M289" i="1" a="1"/>
  <c r="M289" i="1" s="1"/>
  <c r="M290" i="1" a="1"/>
  <c r="M290" i="1" s="1"/>
  <c r="M291" i="1" a="1"/>
  <c r="M291" i="1" s="1"/>
  <c r="M292" i="1" a="1"/>
  <c r="M292" i="1" s="1"/>
  <c r="M293" i="1" a="1"/>
  <c r="M293" i="1" s="1"/>
  <c r="M294" i="1" a="1"/>
  <c r="M294" i="1" s="1"/>
  <c r="M295" i="1" a="1"/>
  <c r="M295" i="1" s="1"/>
  <c r="M296" i="1" a="1"/>
  <c r="M296" i="1" s="1"/>
  <c r="M297" i="1" a="1"/>
  <c r="M297" i="1" s="1"/>
  <c r="M298" i="1" a="1"/>
  <c r="M298" i="1" s="1"/>
  <c r="M299" i="1" a="1"/>
  <c r="M299" i="1" s="1"/>
  <c r="M300" i="1" a="1"/>
  <c r="M300" i="1" s="1"/>
  <c r="M301" i="1" a="1"/>
  <c r="M301" i="1" s="1"/>
  <c r="M302" i="1" a="1"/>
  <c r="M302" i="1" s="1"/>
  <c r="M303" i="1" a="1"/>
  <c r="M303" i="1" s="1"/>
  <c r="M304" i="1" a="1"/>
  <c r="M304" i="1" s="1"/>
  <c r="M305" i="1" a="1"/>
  <c r="M305" i="1" s="1"/>
  <c r="M306" i="1" a="1"/>
  <c r="M306" i="1" s="1"/>
  <c r="M307" i="1" a="1"/>
  <c r="M307" i="1" s="1"/>
  <c r="M308" i="1" a="1"/>
  <c r="M308" i="1" s="1"/>
  <c r="M309" i="1" a="1"/>
  <c r="M309" i="1" s="1"/>
  <c r="M310" i="1" a="1"/>
  <c r="M310" i="1" s="1"/>
  <c r="M311" i="1" a="1"/>
  <c r="M311" i="1" s="1"/>
  <c r="M312" i="1" a="1"/>
  <c r="M312" i="1" s="1"/>
  <c r="M313" i="1" a="1"/>
  <c r="M313" i="1" s="1"/>
  <c r="M314" i="1" a="1"/>
  <c r="M314" i="1" s="1"/>
  <c r="M315" i="1" a="1"/>
  <c r="M315" i="1" s="1"/>
  <c r="M316" i="1" a="1"/>
  <c r="M316" i="1" s="1"/>
  <c r="M317" i="1" a="1"/>
  <c r="M317" i="1" s="1"/>
  <c r="M318" i="1" a="1"/>
  <c r="M318" i="1" s="1"/>
  <c r="M319" i="1" a="1"/>
  <c r="M319" i="1" s="1"/>
  <c r="M320" i="1" a="1"/>
  <c r="M320" i="1" s="1"/>
  <c r="M321" i="1" a="1"/>
  <c r="M321" i="1" s="1"/>
  <c r="M322" i="1" a="1"/>
  <c r="M322" i="1" s="1"/>
  <c r="M323" i="1" a="1"/>
  <c r="M323" i="1" s="1"/>
  <c r="M324" i="1" a="1"/>
  <c r="M324" i="1" s="1"/>
  <c r="M325" i="1" a="1"/>
  <c r="M325" i="1" s="1"/>
  <c r="M326" i="1" a="1"/>
  <c r="M326" i="1" s="1"/>
  <c r="M327" i="1" a="1"/>
  <c r="M327" i="1" s="1"/>
  <c r="M328" i="1" a="1"/>
  <c r="M328" i="1" s="1"/>
  <c r="M329" i="1" a="1"/>
  <c r="M329" i="1" s="1"/>
  <c r="M330" i="1" a="1"/>
  <c r="M330" i="1" s="1"/>
  <c r="M331" i="1" a="1"/>
  <c r="M331" i="1" s="1"/>
  <c r="M332" i="1" a="1"/>
  <c r="M332" i="1" s="1"/>
  <c r="M333" i="1" a="1"/>
  <c r="M333" i="1" s="1"/>
  <c r="M334" i="1" a="1"/>
  <c r="M334" i="1" s="1"/>
  <c r="M335" i="1" a="1"/>
  <c r="M335" i="1" s="1"/>
  <c r="M336" i="1" a="1"/>
  <c r="M336" i="1" s="1"/>
  <c r="M337" i="1" a="1"/>
  <c r="M337" i="1" s="1"/>
  <c r="M338" i="1" a="1"/>
  <c r="M338" i="1" s="1"/>
  <c r="M339" i="1" a="1"/>
  <c r="M339" i="1" s="1"/>
  <c r="M340" i="1" a="1"/>
  <c r="M340" i="1" s="1"/>
  <c r="M341" i="1" a="1"/>
  <c r="M341" i="1" s="1"/>
  <c r="M342" i="1" a="1"/>
  <c r="M342" i="1" s="1"/>
  <c r="M343" i="1" a="1"/>
  <c r="M343" i="1" s="1"/>
  <c r="M344" i="1" a="1"/>
  <c r="M344" i="1" s="1"/>
  <c r="M345" i="1" a="1"/>
  <c r="M345" i="1" s="1"/>
  <c r="M346" i="1" a="1"/>
  <c r="M346" i="1" s="1"/>
  <c r="M347" i="1" a="1"/>
  <c r="M347" i="1" s="1"/>
  <c r="M348" i="1" a="1"/>
  <c r="M348" i="1" s="1"/>
  <c r="M349" i="1" a="1"/>
  <c r="M349" i="1" s="1"/>
  <c r="M350" i="1" a="1"/>
  <c r="M350" i="1" s="1"/>
  <c r="M351" i="1" a="1"/>
  <c r="M351" i="1" s="1"/>
  <c r="M352" i="1" a="1"/>
  <c r="M352" i="1" s="1"/>
  <c r="M353" i="1" a="1"/>
  <c r="M353" i="1" s="1"/>
  <c r="M354" i="1" a="1"/>
  <c r="M354" i="1" s="1"/>
  <c r="M355" i="1" a="1"/>
  <c r="M355" i="1" s="1"/>
  <c r="M356" i="1" a="1"/>
  <c r="M356" i="1" s="1"/>
  <c r="M357" i="1" a="1"/>
  <c r="M357" i="1" s="1"/>
  <c r="M358" i="1" a="1"/>
  <c r="M358" i="1" s="1"/>
  <c r="M359" i="1" a="1"/>
  <c r="M359" i="1" s="1"/>
  <c r="M360" i="1" a="1"/>
  <c r="M360" i="1" s="1"/>
  <c r="M361" i="1" a="1"/>
  <c r="M361" i="1" s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 s="1"/>
  <c r="M368" i="1" a="1"/>
  <c r="M368" i="1" s="1"/>
  <c r="M369" i="1" a="1"/>
  <c r="M369" i="1" s="1"/>
  <c r="M370" i="1" a="1"/>
  <c r="M370" i="1" s="1"/>
  <c r="M371" i="1" a="1"/>
  <c r="M371" i="1" s="1"/>
  <c r="M372" i="1" a="1"/>
  <c r="M372" i="1" s="1"/>
  <c r="M373" i="1" a="1"/>
  <c r="M373" i="1" s="1"/>
  <c r="M374" i="1" a="1"/>
  <c r="M374" i="1" s="1"/>
  <c r="M375" i="1" a="1"/>
  <c r="M375" i="1" s="1"/>
  <c r="M376" i="1" a="1"/>
  <c r="M376" i="1" s="1"/>
  <c r="M377" i="1" a="1"/>
  <c r="M377" i="1" s="1"/>
  <c r="M378" i="1" a="1"/>
  <c r="M378" i="1" s="1"/>
  <c r="M379" i="1" a="1"/>
  <c r="M379" i="1" s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 s="1"/>
  <c r="M386" i="1" a="1"/>
  <c r="M386" i="1" s="1"/>
  <c r="M387" i="1" a="1"/>
  <c r="M387" i="1" s="1"/>
  <c r="M388" i="1" a="1"/>
  <c r="M388" i="1" s="1"/>
  <c r="M389" i="1" a="1"/>
  <c r="M389" i="1" s="1"/>
  <c r="M390" i="1" a="1"/>
  <c r="M390" i="1" s="1"/>
  <c r="M391" i="1" a="1"/>
  <c r="M391" i="1" s="1"/>
  <c r="M392" i="1" a="1"/>
  <c r="M392" i="1" s="1"/>
  <c r="M393" i="1" a="1"/>
  <c r="M393" i="1" s="1"/>
  <c r="M394" i="1" a="1"/>
  <c r="M394" i="1" s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 s="1"/>
  <c r="M402" i="1" a="1"/>
  <c r="M402" i="1" s="1"/>
  <c r="M403" i="1" a="1"/>
  <c r="M403" i="1" s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 s="1"/>
  <c r="M411" i="1" a="1"/>
  <c r="M411" i="1" s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 s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 s="1"/>
  <c r="M431" i="1" a="1"/>
  <c r="M431" i="1" s="1"/>
  <c r="M432" i="1" a="1"/>
  <c r="M432" i="1" s="1"/>
  <c r="M433" i="1" a="1"/>
  <c r="M433" i="1" s="1"/>
  <c r="M434" i="1" a="1"/>
  <c r="M434" i="1" s="1"/>
  <c r="M435" i="1" a="1"/>
  <c r="M435" i="1" s="1"/>
  <c r="M436" i="1" a="1"/>
  <c r="M436" i="1" s="1"/>
  <c r="M437" i="1" a="1"/>
  <c r="M437" i="1" s="1"/>
  <c r="M438" i="1" a="1"/>
  <c r="M438" i="1" s="1"/>
  <c r="M439" i="1" a="1"/>
  <c r="M439" i="1" s="1"/>
  <c r="M440" i="1" a="1"/>
  <c r="M440" i="1" s="1"/>
  <c r="M441" i="1" a="1"/>
  <c r="M441" i="1" s="1"/>
  <c r="M442" i="1" a="1"/>
  <c r="M442" i="1" s="1"/>
  <c r="M443" i="1" a="1"/>
  <c r="M443" i="1" s="1"/>
  <c r="M444" i="1" a="1"/>
  <c r="M444" i="1" s="1"/>
  <c r="M445" i="1" a="1"/>
  <c r="M445" i="1" s="1"/>
  <c r="M446" i="1" a="1"/>
  <c r="M446" i="1" s="1"/>
  <c r="M447" i="1" a="1"/>
  <c r="M447" i="1" s="1"/>
  <c r="M448" i="1" a="1"/>
  <c r="M448" i="1" s="1"/>
  <c r="M449" i="1" a="1"/>
  <c r="M449" i="1" s="1"/>
  <c r="M450" i="1" a="1"/>
  <c r="M450" i="1" s="1"/>
  <c r="M451" i="1" a="1"/>
  <c r="M451" i="1" s="1"/>
  <c r="M452" i="1" a="1"/>
  <c r="M452" i="1" s="1"/>
  <c r="M453" i="1" a="1"/>
  <c r="M453" i="1" s="1"/>
  <c r="M454" i="1" a="1"/>
  <c r="M454" i="1" s="1"/>
  <c r="M455" i="1" a="1"/>
  <c r="M455" i="1" s="1"/>
  <c r="M456" i="1" a="1"/>
  <c r="M456" i="1" s="1"/>
  <c r="M457" i="1" a="1"/>
  <c r="M457" i="1" s="1"/>
  <c r="M458" i="1" a="1"/>
  <c r="M458" i="1" s="1"/>
  <c r="M459" i="1" a="1"/>
  <c r="M459" i="1" s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 s="1"/>
  <c r="M466" i="1" a="1"/>
  <c r="M466" i="1" s="1"/>
  <c r="M467" i="1" a="1"/>
  <c r="M467" i="1" s="1"/>
  <c r="M468" i="1" a="1"/>
  <c r="M468" i="1" s="1"/>
  <c r="M469" i="1" a="1"/>
  <c r="M469" i="1" s="1"/>
  <c r="M470" i="1" a="1"/>
  <c r="M470" i="1" s="1"/>
  <c r="M471" i="1" a="1"/>
  <c r="M471" i="1" s="1"/>
  <c r="M472" i="1" a="1"/>
  <c r="M472" i="1" s="1"/>
  <c r="M473" i="1" a="1"/>
  <c r="M473" i="1" s="1"/>
  <c r="M474" i="1" a="1"/>
  <c r="M474" i="1" s="1"/>
  <c r="M475" i="1" a="1"/>
  <c r="M475" i="1" s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 s="1"/>
  <c r="M482" i="1" a="1"/>
  <c r="M482" i="1" s="1"/>
  <c r="M483" i="1" a="1"/>
  <c r="M483" i="1" s="1"/>
  <c r="M484" i="1" a="1"/>
  <c r="M484" i="1" s="1"/>
  <c r="M485" i="1" a="1"/>
  <c r="M485" i="1" s="1"/>
  <c r="M486" i="1" a="1"/>
  <c r="M486" i="1" s="1"/>
  <c r="M487" i="1" a="1"/>
  <c r="M487" i="1" s="1"/>
  <c r="M488" i="1" a="1"/>
  <c r="M488" i="1" s="1"/>
  <c r="M489" i="1" a="1"/>
  <c r="M489" i="1" s="1"/>
  <c r="M490" i="1" a="1"/>
  <c r="M490" i="1" s="1"/>
  <c r="M491" i="1" a="1"/>
  <c r="M491" i="1" s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 s="1"/>
  <c r="M502" i="1" a="1"/>
  <c r="M502" i="1" s="1"/>
  <c r="M503" i="1" a="1"/>
  <c r="M503" i="1" s="1"/>
  <c r="M504" i="1" a="1"/>
  <c r="M504" i="1" s="1"/>
  <c r="M505" i="1" a="1"/>
  <c r="M505" i="1" s="1"/>
  <c r="M506" i="1" a="1"/>
  <c r="M506" i="1" s="1"/>
  <c r="M507" i="1" a="1"/>
  <c r="M507" i="1" s="1"/>
  <c r="M508" i="1" a="1"/>
  <c r="M508" i="1" s="1"/>
  <c r="M509" i="1" a="1"/>
  <c r="M509" i="1" s="1"/>
  <c r="M510" i="1" a="1"/>
  <c r="M510" i="1" s="1"/>
  <c r="M511" i="1" a="1"/>
  <c r="M511" i="1" s="1"/>
  <c r="M512" i="1" a="1"/>
  <c r="M512" i="1" s="1"/>
  <c r="M513" i="1" a="1"/>
  <c r="M513" i="1" s="1"/>
  <c r="M514" i="1" a="1"/>
  <c r="M514" i="1" s="1"/>
  <c r="M515" i="1" a="1"/>
  <c r="M515" i="1" s="1"/>
  <c r="M516" i="1" a="1"/>
  <c r="M516" i="1" s="1"/>
  <c r="M517" i="1" a="1"/>
  <c r="M517" i="1" s="1"/>
  <c r="M518" i="1" a="1"/>
  <c r="M518" i="1" s="1"/>
  <c r="M519" i="1" a="1"/>
  <c r="M519" i="1" s="1"/>
  <c r="M520" i="1" a="1"/>
  <c r="M520" i="1" s="1"/>
  <c r="M521" i="1" a="1"/>
  <c r="M521" i="1" s="1"/>
  <c r="M522" i="1" a="1"/>
  <c r="M522" i="1" s="1"/>
  <c r="M523" i="1" a="1"/>
  <c r="M523" i="1" s="1"/>
  <c r="M524" i="1" a="1"/>
  <c r="M524" i="1" s="1"/>
  <c r="M525" i="1" a="1"/>
  <c r="M525" i="1" s="1"/>
  <c r="M526" i="1" a="1"/>
  <c r="M526" i="1" s="1"/>
  <c r="M527" i="1" a="1"/>
  <c r="M527" i="1" s="1"/>
  <c r="M528" i="1" a="1"/>
  <c r="M528" i="1" s="1"/>
  <c r="M529" i="1" a="1"/>
  <c r="M529" i="1" s="1"/>
  <c r="M530" i="1" a="1"/>
  <c r="M530" i="1" s="1"/>
  <c r="M531" i="1" a="1"/>
  <c r="M531" i="1" s="1"/>
  <c r="M532" i="1" a="1"/>
  <c r="M532" i="1" s="1"/>
  <c r="M533" i="1" a="1"/>
  <c r="M533" i="1" s="1"/>
  <c r="M534" i="1" a="1"/>
  <c r="M534" i="1" s="1"/>
  <c r="M535" i="1" a="1"/>
  <c r="M535" i="1" s="1"/>
  <c r="M536" i="1" a="1"/>
  <c r="M536" i="1" s="1"/>
  <c r="M537" i="1" a="1"/>
  <c r="M537" i="1" s="1"/>
  <c r="M538" i="1" a="1"/>
  <c r="M538" i="1" s="1"/>
  <c r="M539" i="1" a="1"/>
  <c r="M539" i="1" s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5" i="1" a="1"/>
  <c r="M545" i="1" s="1"/>
  <c r="M546" i="1" a="1"/>
  <c r="M546" i="1" s="1"/>
  <c r="M547" i="1" a="1"/>
  <c r="M547" i="1" s="1"/>
  <c r="M548" i="1" a="1"/>
  <c r="M548" i="1" s="1"/>
  <c r="M549" i="1" a="1"/>
  <c r="M549" i="1" s="1"/>
  <c r="M550" i="1" a="1"/>
  <c r="M550" i="1" s="1"/>
  <c r="M551" i="1" a="1"/>
  <c r="M551" i="1" s="1"/>
  <c r="M552" i="1" a="1"/>
  <c r="M552" i="1" s="1"/>
  <c r="M553" i="1" a="1"/>
  <c r="M553" i="1" s="1"/>
  <c r="M554" i="1" a="1"/>
  <c r="M554" i="1" s="1"/>
  <c r="M555" i="1" a="1"/>
  <c r="M555" i="1" s="1"/>
  <c r="M556" i="1" a="1"/>
  <c r="M556" i="1" s="1"/>
  <c r="M557" i="1" a="1"/>
  <c r="M557" i="1" s="1"/>
  <c r="M558" i="1" a="1"/>
  <c r="M558" i="1" s="1"/>
  <c r="M559" i="1" a="1"/>
  <c r="M559" i="1" s="1"/>
  <c r="M560" i="1" a="1"/>
  <c r="M560" i="1" s="1"/>
  <c r="M561" i="1" a="1"/>
  <c r="M561" i="1" s="1"/>
  <c r="M562" i="1" a="1"/>
  <c r="M562" i="1" s="1"/>
  <c r="M563" i="1" a="1"/>
  <c r="M563" i="1" s="1"/>
  <c r="M564" i="1" a="1"/>
  <c r="M564" i="1" s="1"/>
  <c r="M565" i="1" a="1"/>
  <c r="M565" i="1" s="1"/>
  <c r="M566" i="1" a="1"/>
  <c r="M566" i="1" s="1"/>
  <c r="M567" i="1" a="1"/>
  <c r="M567" i="1" s="1"/>
  <c r="M568" i="1" a="1"/>
  <c r="M568" i="1" s="1"/>
  <c r="M569" i="1" a="1"/>
  <c r="M569" i="1" s="1"/>
  <c r="M570" i="1" a="1"/>
  <c r="M570" i="1" s="1"/>
  <c r="M571" i="1" a="1"/>
  <c r="M571" i="1" s="1"/>
  <c r="M572" i="1" a="1"/>
  <c r="M572" i="1" s="1"/>
  <c r="M573" i="1" a="1"/>
  <c r="M573" i="1" s="1"/>
  <c r="M574" i="1" a="1"/>
  <c r="M574" i="1" s="1"/>
  <c r="M575" i="1" a="1"/>
  <c r="M575" i="1" s="1"/>
  <c r="M576" i="1" a="1"/>
  <c r="M576" i="1" s="1"/>
  <c r="M577" i="1" a="1"/>
  <c r="M577" i="1" s="1"/>
  <c r="M578" i="1" a="1"/>
  <c r="M578" i="1" s="1"/>
  <c r="M579" i="1" a="1"/>
  <c r="M579" i="1" s="1"/>
  <c r="M580" i="1" a="1"/>
  <c r="M580" i="1" s="1"/>
  <c r="M581" i="1" a="1"/>
  <c r="M581" i="1" s="1"/>
  <c r="M582" i="1" a="1"/>
  <c r="M582" i="1" s="1"/>
  <c r="M591" i="1" a="1"/>
  <c r="M591" i="1" s="1"/>
  <c r="M592" i="1" a="1"/>
  <c r="M592" i="1" s="1"/>
  <c r="M593" i="1" a="1"/>
  <c r="M593" i="1" s="1"/>
  <c r="M594" i="1" a="1"/>
  <c r="M594" i="1" s="1"/>
  <c r="M595" i="1" a="1"/>
  <c r="M595" i="1" s="1"/>
  <c r="M596" i="1" a="1"/>
  <c r="M596" i="1" s="1"/>
  <c r="M597" i="1" a="1"/>
  <c r="M597" i="1" s="1"/>
  <c r="M598" i="1" a="1"/>
  <c r="M598" i="1" s="1"/>
  <c r="M599" i="1" a="1"/>
  <c r="M599" i="1" s="1"/>
  <c r="M600" i="1" a="1"/>
  <c r="M600" i="1" s="1"/>
  <c r="M601" i="1" a="1"/>
  <c r="M601" i="1" s="1"/>
  <c r="M602" i="1" a="1"/>
  <c r="M602" i="1" s="1"/>
  <c r="M603" i="1" a="1"/>
  <c r="M603" i="1" s="1"/>
  <c r="M604" i="1" a="1"/>
  <c r="M604" i="1" s="1"/>
  <c r="M605" i="1" a="1"/>
  <c r="M605" i="1" s="1"/>
  <c r="M606" i="1" a="1"/>
  <c r="M606" i="1" s="1"/>
  <c r="M607" i="1" a="1"/>
  <c r="M607" i="1" s="1"/>
  <c r="M608" i="1" a="1"/>
  <c r="M608" i="1" s="1"/>
  <c r="M609" i="1" a="1"/>
  <c r="M609" i="1" s="1"/>
  <c r="M610" i="1" a="1"/>
  <c r="M610" i="1" s="1"/>
  <c r="M611" i="1" a="1"/>
  <c r="M611" i="1" s="1"/>
  <c r="M612" i="1" a="1"/>
  <c r="M612" i="1" s="1"/>
  <c r="M613" i="1" a="1"/>
  <c r="M613" i="1" s="1"/>
  <c r="M614" i="1" a="1"/>
  <c r="M614" i="1" s="1"/>
  <c r="M615" i="1" a="1"/>
  <c r="M615" i="1" s="1"/>
  <c r="M616" i="1" a="1"/>
  <c r="M616" i="1" s="1"/>
  <c r="M617" i="1" a="1"/>
  <c r="M617" i="1" s="1"/>
  <c r="M618" i="1" a="1"/>
  <c r="M618" i="1" s="1"/>
  <c r="M619" i="1" a="1"/>
  <c r="M619" i="1" s="1"/>
  <c r="M620" i="1" a="1"/>
  <c r="M620" i="1" s="1"/>
  <c r="M621" i="1" a="1"/>
  <c r="M621" i="1" s="1"/>
  <c r="M622" i="1" a="1"/>
  <c r="M622" i="1" s="1"/>
  <c r="M623" i="1" a="1"/>
  <c r="M623" i="1" s="1"/>
  <c r="M624" i="1" a="1"/>
  <c r="M624" i="1" s="1"/>
  <c r="M625" i="1" a="1"/>
  <c r="M625" i="1" s="1"/>
  <c r="M626" i="1" a="1"/>
  <c r="M626" i="1" s="1"/>
  <c r="M627" i="1" a="1"/>
  <c r="M627" i="1" s="1"/>
  <c r="M628" i="1" a="1"/>
  <c r="M628" i="1" s="1"/>
  <c r="M629" i="1" a="1"/>
  <c r="M629" i="1" s="1"/>
  <c r="M630" i="1" a="1"/>
  <c r="M630" i="1" s="1"/>
  <c r="M631" i="1" a="1"/>
  <c r="M631" i="1" s="1"/>
  <c r="M632" i="1" a="1"/>
  <c r="M632" i="1" s="1"/>
  <c r="M633" i="1" a="1"/>
  <c r="M633" i="1" s="1"/>
  <c r="M634" i="1" a="1"/>
  <c r="M634" i="1" s="1"/>
  <c r="M635" i="1" a="1"/>
  <c r="M635" i="1" s="1"/>
  <c r="M636" i="1" a="1"/>
  <c r="M636" i="1" s="1"/>
  <c r="M637" i="1" a="1"/>
  <c r="M637" i="1" s="1"/>
  <c r="M638" i="1" a="1"/>
  <c r="M638" i="1" s="1"/>
  <c r="M639" i="1" a="1"/>
  <c r="M639" i="1" s="1"/>
  <c r="M640" i="1" a="1"/>
  <c r="M640" i="1" s="1"/>
  <c r="M641" i="1" a="1"/>
  <c r="M641" i="1" s="1"/>
  <c r="M642" i="1" a="1"/>
  <c r="M642" i="1" s="1"/>
  <c r="M643" i="1" a="1"/>
  <c r="M643" i="1" s="1"/>
  <c r="M644" i="1" a="1"/>
  <c r="M644" i="1" s="1"/>
  <c r="M645" i="1" a="1"/>
  <c r="M645" i="1" s="1"/>
  <c r="M646" i="1" a="1"/>
  <c r="M646" i="1" s="1"/>
  <c r="M647" i="1" a="1"/>
  <c r="M647" i="1" s="1"/>
  <c r="M648" i="1" a="1"/>
  <c r="M648" i="1" s="1"/>
  <c r="M649" i="1" a="1"/>
  <c r="M649" i="1" s="1"/>
  <c r="M650" i="1" a="1"/>
  <c r="M650" i="1" s="1"/>
  <c r="M651" i="1" a="1"/>
  <c r="M651" i="1" s="1"/>
  <c r="M652" i="1" a="1"/>
  <c r="M652" i="1" s="1"/>
  <c r="M653" i="1" a="1"/>
  <c r="M653" i="1" s="1"/>
  <c r="M654" i="1" a="1"/>
  <c r="M654" i="1" s="1"/>
  <c r="M655" i="1" a="1"/>
  <c r="M655" i="1" s="1"/>
  <c r="M656" i="1" a="1"/>
  <c r="M656" i="1" s="1"/>
  <c r="M657" i="1" a="1"/>
  <c r="M657" i="1" s="1"/>
  <c r="M658" i="1" a="1"/>
  <c r="M658" i="1" s="1"/>
  <c r="M659" i="1" a="1"/>
  <c r="M659" i="1" s="1"/>
  <c r="M660" i="1" a="1"/>
  <c r="M660" i="1" s="1"/>
  <c r="M661" i="1" a="1"/>
  <c r="M661" i="1" s="1"/>
  <c r="M662" i="1" a="1"/>
  <c r="M662" i="1" s="1"/>
  <c r="M663" i="1" a="1"/>
  <c r="M663" i="1" s="1"/>
  <c r="M664" i="1" a="1"/>
  <c r="M664" i="1" s="1"/>
  <c r="M665" i="1" a="1"/>
  <c r="M665" i="1" s="1"/>
  <c r="M666" i="1" a="1"/>
  <c r="M666" i="1" s="1"/>
  <c r="M667" i="1" a="1"/>
  <c r="M667" i="1" s="1"/>
  <c r="M668" i="1" a="1"/>
  <c r="M668" i="1" s="1"/>
  <c r="M669" i="1" a="1"/>
  <c r="M669" i="1" s="1"/>
  <c r="M670" i="1" a="1"/>
  <c r="M670" i="1" s="1"/>
  <c r="M671" i="1" a="1"/>
  <c r="M671" i="1" s="1"/>
  <c r="M672" i="1" a="1"/>
  <c r="M672" i="1" s="1"/>
  <c r="M673" i="1" a="1"/>
  <c r="M673" i="1" s="1"/>
  <c r="M674" i="1" a="1"/>
  <c r="M674" i="1" s="1"/>
  <c r="M675" i="1" a="1"/>
  <c r="M675" i="1" s="1"/>
  <c r="M676" i="1" a="1"/>
  <c r="M676" i="1" s="1"/>
  <c r="M677" i="1" a="1"/>
  <c r="M677" i="1" s="1"/>
  <c r="M678" i="1" a="1"/>
  <c r="M678" i="1" s="1"/>
  <c r="M679" i="1" a="1"/>
  <c r="M679" i="1" s="1"/>
  <c r="M680" i="1" a="1"/>
  <c r="M680" i="1" s="1"/>
  <c r="M681" i="1" a="1"/>
  <c r="M681" i="1" s="1"/>
  <c r="M682" i="1" a="1"/>
  <c r="M682" i="1" s="1"/>
  <c r="M683" i="1" a="1"/>
  <c r="M683" i="1" s="1"/>
  <c r="M684" i="1" a="1"/>
  <c r="M684" i="1" s="1"/>
  <c r="M685" i="1" a="1"/>
  <c r="M685" i="1" s="1"/>
  <c r="M686" i="1" a="1"/>
  <c r="M686" i="1" s="1"/>
  <c r="M687" i="1" a="1"/>
  <c r="M687" i="1" s="1"/>
  <c r="M688" i="1" a="1"/>
  <c r="M688" i="1" s="1"/>
  <c r="M689" i="1" a="1"/>
  <c r="M689" i="1" s="1"/>
  <c r="M690" i="1" a="1"/>
  <c r="M690" i="1" s="1"/>
  <c r="M691" i="1" a="1"/>
  <c r="M691" i="1" s="1"/>
  <c r="M692" i="1" a="1"/>
  <c r="M692" i="1" s="1"/>
  <c r="M693" i="1" a="1"/>
  <c r="M693" i="1" s="1"/>
  <c r="M694" i="1" a="1"/>
  <c r="M694" i="1" s="1"/>
  <c r="M695" i="1" a="1"/>
  <c r="M695" i="1" s="1"/>
  <c r="M696" i="1" a="1"/>
  <c r="M696" i="1" s="1"/>
  <c r="M697" i="1" a="1"/>
  <c r="M697" i="1" s="1"/>
  <c r="M698" i="1" a="1"/>
  <c r="M698" i="1" s="1"/>
  <c r="M699" i="1" a="1"/>
  <c r="M699" i="1" s="1"/>
  <c r="M700" i="1" a="1"/>
  <c r="M700" i="1" s="1"/>
  <c r="M701" i="1" a="1"/>
  <c r="M701" i="1" s="1"/>
  <c r="M702" i="1" a="1"/>
  <c r="M702" i="1" s="1"/>
  <c r="M703" i="1" a="1"/>
  <c r="M703" i="1" s="1"/>
  <c r="M704" i="1" a="1"/>
  <c r="M704" i="1" s="1"/>
  <c r="M705" i="1" a="1"/>
  <c r="M705" i="1" s="1"/>
  <c r="M706" i="1" a="1"/>
  <c r="M706" i="1" s="1"/>
  <c r="M707" i="1" a="1"/>
  <c r="M707" i="1" s="1"/>
  <c r="M708" i="1" a="1"/>
  <c r="M708" i="1" s="1"/>
  <c r="M709" i="1" a="1"/>
  <c r="M709" i="1" s="1"/>
  <c r="M710" i="1" a="1"/>
  <c r="M710" i="1" s="1"/>
  <c r="M711" i="1" a="1"/>
  <c r="M711" i="1" s="1"/>
  <c r="M712" i="1" a="1"/>
  <c r="M712" i="1" s="1"/>
  <c r="M713" i="1" a="1"/>
  <c r="M713" i="1" s="1"/>
  <c r="M714" i="1" a="1"/>
  <c r="M714" i="1" s="1"/>
  <c r="M715" i="1" a="1"/>
  <c r="M715" i="1" s="1"/>
  <c r="M716" i="1" a="1"/>
  <c r="M716" i="1" s="1"/>
  <c r="M717" i="1" a="1"/>
  <c r="M717" i="1" s="1"/>
  <c r="M718" i="1" a="1"/>
  <c r="M718" i="1" s="1"/>
  <c r="M719" i="1" a="1"/>
  <c r="M719" i="1" s="1"/>
  <c r="M720" i="1" a="1"/>
  <c r="M720" i="1" s="1"/>
  <c r="M721" i="1" a="1"/>
  <c r="M721" i="1" s="1"/>
  <c r="M724" i="1" a="1"/>
  <c r="M724" i="1" s="1"/>
  <c r="M725" i="1" a="1"/>
  <c r="M725" i="1" s="1"/>
  <c r="M726" i="1" a="1"/>
  <c r="M726" i="1" s="1"/>
  <c r="M727" i="1" a="1"/>
  <c r="M727" i="1" s="1"/>
  <c r="M728" i="1" a="1"/>
  <c r="M728" i="1" s="1"/>
  <c r="M729" i="1" a="1"/>
  <c r="M729" i="1" s="1"/>
  <c r="M730" i="1" a="1"/>
  <c r="M730" i="1" s="1"/>
  <c r="M731" i="1" a="1"/>
  <c r="M731" i="1" s="1"/>
  <c r="M732" i="1" a="1"/>
  <c r="M732" i="1" s="1"/>
  <c r="M733" i="1" a="1"/>
  <c r="M733" i="1" s="1"/>
  <c r="M734" i="1" a="1"/>
  <c r="M734" i="1" s="1"/>
  <c r="M735" i="1" a="1"/>
  <c r="M735" i="1" s="1"/>
  <c r="M736" i="1" a="1"/>
  <c r="M736" i="1" s="1"/>
  <c r="M737" i="1" a="1"/>
  <c r="M737" i="1" s="1"/>
  <c r="M738" i="1" a="1"/>
  <c r="M738" i="1" s="1"/>
  <c r="M739" i="1" a="1"/>
  <c r="M739" i="1" s="1"/>
  <c r="M740" i="1" a="1"/>
  <c r="M740" i="1" s="1"/>
  <c r="M741" i="1" a="1"/>
  <c r="M741" i="1" s="1"/>
  <c r="M742" i="1" a="1"/>
  <c r="M742" i="1" s="1"/>
  <c r="M743" i="1" a="1"/>
  <c r="M743" i="1" s="1"/>
  <c r="M744" i="1" a="1"/>
  <c r="M744" i="1" s="1"/>
  <c r="M745" i="1" a="1"/>
  <c r="M745" i="1" s="1"/>
  <c r="M746" i="1" a="1"/>
  <c r="M746" i="1" s="1"/>
  <c r="M747" i="1" a="1"/>
  <c r="M747" i="1" s="1"/>
  <c r="M748" i="1" a="1"/>
  <c r="M748" i="1" s="1"/>
  <c r="M749" i="1" a="1"/>
  <c r="M749" i="1" s="1"/>
  <c r="M750" i="1" a="1"/>
  <c r="M750" i="1" s="1"/>
  <c r="M751" i="1" a="1"/>
  <c r="M751" i="1" s="1"/>
  <c r="M752" i="1" a="1"/>
  <c r="M752" i="1" s="1"/>
  <c r="M753" i="1" a="1"/>
  <c r="M753" i="1" s="1"/>
  <c r="M754" i="1" a="1"/>
  <c r="M754" i="1" s="1"/>
  <c r="M755" i="1" a="1"/>
  <c r="M755" i="1" s="1"/>
  <c r="M756" i="1" a="1"/>
  <c r="M756" i="1" s="1"/>
  <c r="M757" i="1" a="1"/>
  <c r="M757" i="1" s="1"/>
  <c r="M758" i="1" a="1"/>
  <c r="M758" i="1" s="1"/>
  <c r="M759" i="1" a="1"/>
  <c r="M759" i="1" s="1"/>
  <c r="M760" i="1" a="1"/>
  <c r="M760" i="1" s="1"/>
  <c r="M761" i="1" a="1"/>
  <c r="M761" i="1" s="1"/>
  <c r="M762" i="1" a="1"/>
  <c r="M762" i="1" s="1"/>
  <c r="M763" i="1" a="1"/>
  <c r="M763" i="1" s="1"/>
  <c r="M764" i="1" a="1"/>
  <c r="M764" i="1" s="1"/>
  <c r="M765" i="1" a="1"/>
  <c r="M765" i="1" s="1"/>
  <c r="M766" i="1" a="1"/>
  <c r="M766" i="1" s="1"/>
  <c r="M767" i="1" a="1"/>
  <c r="M767" i="1" s="1"/>
  <c r="M768" i="1" a="1"/>
  <c r="M768" i="1" s="1"/>
  <c r="M769" i="1" a="1"/>
  <c r="M769" i="1" s="1"/>
  <c r="M770" i="1" a="1"/>
  <c r="M770" i="1" s="1"/>
  <c r="M771" i="1" a="1"/>
  <c r="M771" i="1" s="1"/>
  <c r="M772" i="1" a="1"/>
  <c r="M772" i="1" s="1"/>
  <c r="M773" i="1" a="1"/>
  <c r="M773" i="1" s="1"/>
  <c r="M774" i="1" a="1"/>
  <c r="M774" i="1" s="1"/>
  <c r="M775" i="1" a="1"/>
  <c r="M775" i="1" s="1"/>
  <c r="M776" i="1" a="1"/>
  <c r="M776" i="1" s="1"/>
  <c r="M777" i="1" a="1"/>
  <c r="M777" i="1" s="1"/>
  <c r="M778" i="1" a="1"/>
  <c r="M778" i="1" s="1"/>
  <c r="M779" i="1" a="1"/>
  <c r="M779" i="1" s="1"/>
  <c r="M780" i="1" a="1"/>
  <c r="M780" i="1" s="1"/>
  <c r="M781" i="1" a="1"/>
  <c r="M781" i="1" s="1"/>
  <c r="M782" i="1" a="1"/>
  <c r="M782" i="1" s="1"/>
  <c r="M783" i="1" a="1"/>
  <c r="M783" i="1" s="1"/>
  <c r="M784" i="1" a="1"/>
  <c r="M784" i="1" s="1"/>
  <c r="M785" i="1" a="1"/>
  <c r="M785" i="1" s="1"/>
  <c r="M786" i="1" a="1"/>
  <c r="M786" i="1" s="1"/>
  <c r="M787" i="1" a="1"/>
  <c r="M787" i="1" s="1"/>
  <c r="M788" i="1" a="1"/>
  <c r="M788" i="1" s="1"/>
  <c r="M789" i="1" a="1"/>
  <c r="M789" i="1" s="1"/>
  <c r="M790" i="1" a="1"/>
  <c r="M790" i="1" s="1"/>
  <c r="M791" i="1" a="1"/>
  <c r="M791" i="1" s="1"/>
  <c r="M792" i="1" a="1"/>
  <c r="M792" i="1" s="1"/>
  <c r="M793" i="1" a="1"/>
  <c r="M793" i="1" s="1"/>
  <c r="M794" i="1" a="1"/>
  <c r="M794" i="1" s="1"/>
  <c r="M795" i="1" a="1"/>
  <c r="M795" i="1" s="1"/>
  <c r="M796" i="1" a="1"/>
  <c r="M796" i="1" s="1"/>
  <c r="M797" i="1" a="1"/>
  <c r="M797" i="1" s="1"/>
  <c r="M798" i="1" a="1"/>
  <c r="M798" i="1" s="1"/>
  <c r="M799" i="1" a="1"/>
  <c r="M799" i="1" s="1"/>
  <c r="M800" i="1" a="1"/>
  <c r="M800" i="1" s="1"/>
  <c r="M801" i="1" a="1"/>
  <c r="M801" i="1" s="1"/>
  <c r="M802" i="1" a="1"/>
  <c r="M802" i="1" s="1"/>
  <c r="M803" i="1" a="1"/>
  <c r="M803" i="1" s="1"/>
  <c r="M804" i="1" a="1"/>
  <c r="M804" i="1" s="1"/>
  <c r="M805" i="1" a="1"/>
  <c r="M805" i="1" s="1"/>
  <c r="M806" i="1" a="1"/>
  <c r="M806" i="1" s="1"/>
  <c r="M807" i="1" a="1"/>
  <c r="M807" i="1" s="1"/>
  <c r="M808" i="1" a="1"/>
  <c r="M808" i="1" s="1"/>
  <c r="M809" i="1" a="1"/>
  <c r="M809" i="1" s="1"/>
  <c r="M810" i="1" a="1"/>
  <c r="M810" i="1" s="1"/>
  <c r="M811" i="1" a="1"/>
  <c r="M811" i="1" s="1"/>
  <c r="M812" i="1" a="1"/>
  <c r="M812" i="1" s="1"/>
  <c r="M813" i="1" a="1"/>
  <c r="M813" i="1" s="1"/>
  <c r="M814" i="1" a="1"/>
  <c r="M814" i="1" s="1"/>
  <c r="M815" i="1" a="1"/>
  <c r="M815" i="1" s="1"/>
  <c r="M816" i="1" a="1"/>
  <c r="M816" i="1" s="1"/>
  <c r="M817" i="1" a="1"/>
  <c r="M817" i="1" s="1"/>
  <c r="M818" i="1" a="1"/>
  <c r="M818" i="1" s="1"/>
  <c r="M819" i="1" a="1"/>
  <c r="M819" i="1" s="1"/>
  <c r="M820" i="1" a="1"/>
  <c r="M820" i="1" s="1"/>
  <c r="M821" i="1" a="1"/>
  <c r="M821" i="1" s="1"/>
  <c r="M822" i="1" a="1"/>
  <c r="M822" i="1" s="1"/>
  <c r="M823" i="1" a="1"/>
  <c r="M823" i="1" s="1"/>
  <c r="M824" i="1" a="1"/>
  <c r="M824" i="1" s="1"/>
  <c r="M825" i="1" a="1"/>
  <c r="M825" i="1" s="1"/>
  <c r="M830" i="1" a="1"/>
  <c r="M830" i="1" s="1"/>
  <c r="M831" i="1" a="1"/>
  <c r="M831" i="1" s="1"/>
  <c r="M832" i="1" a="1"/>
  <c r="M832" i="1" s="1"/>
  <c r="M833" i="1" a="1"/>
  <c r="M833" i="1" s="1"/>
  <c r="M834" i="1" a="1"/>
  <c r="M834" i="1" s="1"/>
  <c r="M835" i="1" a="1"/>
  <c r="M835" i="1" s="1"/>
  <c r="M836" i="1" a="1"/>
  <c r="M836" i="1" s="1"/>
  <c r="M837" i="1" a="1"/>
  <c r="M837" i="1" s="1"/>
  <c r="M838" i="1" a="1"/>
  <c r="M838" i="1" s="1"/>
  <c r="M839" i="1" a="1"/>
  <c r="M839" i="1" s="1"/>
  <c r="M840" i="1" a="1"/>
  <c r="M840" i="1" s="1"/>
  <c r="M841" i="1" a="1"/>
  <c r="M841" i="1" s="1"/>
  <c r="M842" i="1" a="1"/>
  <c r="M842" i="1" s="1"/>
  <c r="M843" i="1" a="1"/>
  <c r="M843" i="1" s="1"/>
  <c r="M844" i="1" a="1"/>
  <c r="M844" i="1" s="1"/>
  <c r="M845" i="1" a="1"/>
  <c r="M845" i="1" s="1"/>
  <c r="M846" i="1" a="1"/>
  <c r="M846" i="1" s="1"/>
  <c r="M847" i="1" a="1"/>
  <c r="M847" i="1" s="1"/>
  <c r="M848" i="1" a="1"/>
  <c r="M848" i="1" s="1"/>
  <c r="M849" i="1" a="1"/>
  <c r="M849" i="1" s="1"/>
  <c r="M850" i="1" a="1"/>
  <c r="M850" i="1" s="1"/>
  <c r="M851" i="1" a="1"/>
  <c r="M851" i="1" s="1"/>
  <c r="M852" i="1" a="1"/>
  <c r="M852" i="1" s="1"/>
  <c r="M853" i="1" a="1"/>
  <c r="M853" i="1" s="1"/>
  <c r="M854" i="1" a="1"/>
  <c r="M854" i="1" s="1"/>
  <c r="M855" i="1" a="1"/>
  <c r="M855" i="1" s="1"/>
  <c r="M856" i="1" a="1"/>
  <c r="M856" i="1" s="1"/>
  <c r="M857" i="1" a="1"/>
  <c r="M857" i="1" s="1"/>
  <c r="M858" i="1" a="1"/>
  <c r="M858" i="1" s="1"/>
  <c r="M859" i="1" a="1"/>
  <c r="M859" i="1" s="1"/>
  <c r="M860" i="1" a="1"/>
  <c r="M860" i="1" s="1"/>
  <c r="M861" i="1" a="1"/>
  <c r="M861" i="1" s="1"/>
  <c r="M862" i="1" a="1"/>
  <c r="M862" i="1" s="1"/>
  <c r="M863" i="1" a="1"/>
  <c r="M863" i="1" s="1"/>
  <c r="M864" i="1" a="1"/>
  <c r="M864" i="1" s="1"/>
  <c r="M865" i="1" a="1"/>
  <c r="M865" i="1" s="1"/>
  <c r="M866" i="1" a="1"/>
  <c r="M866" i="1" s="1"/>
  <c r="M867" i="1" a="1"/>
  <c r="M867" i="1" s="1"/>
  <c r="M868" i="1" a="1"/>
  <c r="M868" i="1" s="1"/>
  <c r="M869" i="1" a="1"/>
  <c r="M869" i="1" s="1"/>
  <c r="M870" i="1" a="1"/>
  <c r="M870" i="1" s="1"/>
  <c r="M871" i="1" a="1"/>
  <c r="M871" i="1" s="1"/>
  <c r="M872" i="1" a="1"/>
  <c r="M872" i="1" s="1"/>
  <c r="M873" i="1" a="1"/>
  <c r="M873" i="1" s="1"/>
  <c r="M874" i="1" a="1"/>
  <c r="M874" i="1" s="1"/>
  <c r="M875" i="1" a="1"/>
  <c r="M875" i="1" s="1"/>
  <c r="M876" i="1" a="1"/>
  <c r="M876" i="1" s="1"/>
  <c r="M877" i="1" a="1"/>
  <c r="M877" i="1" s="1"/>
  <c r="M878" i="1" a="1"/>
  <c r="M878" i="1" s="1"/>
  <c r="M879" i="1" a="1"/>
  <c r="M879" i="1" s="1"/>
  <c r="M880" i="1" a="1"/>
  <c r="M880" i="1" s="1"/>
  <c r="M881" i="1" a="1"/>
  <c r="M881" i="1" s="1"/>
  <c r="M882" i="1" a="1"/>
  <c r="M882" i="1" s="1"/>
  <c r="M883" i="1" a="1"/>
  <c r="M883" i="1" s="1"/>
  <c r="M884" i="1" a="1"/>
  <c r="M884" i="1" s="1"/>
  <c r="M885" i="1" a="1"/>
  <c r="M885" i="1" s="1"/>
  <c r="M886" i="1" a="1"/>
  <c r="M886" i="1" s="1"/>
  <c r="M887" i="1" a="1"/>
  <c r="M887" i="1" s="1"/>
  <c r="M888" i="1" a="1"/>
  <c r="M888" i="1" s="1"/>
  <c r="M889" i="1" a="1"/>
  <c r="M889" i="1" s="1"/>
  <c r="M890" i="1" a="1"/>
  <c r="M890" i="1" s="1"/>
  <c r="M891" i="1" a="1"/>
  <c r="M891" i="1" s="1"/>
  <c r="M892" i="1" a="1"/>
  <c r="M892" i="1" s="1"/>
  <c r="M893" i="1" a="1"/>
  <c r="M893" i="1" s="1"/>
  <c r="M894" i="1" a="1"/>
  <c r="M894" i="1" s="1"/>
  <c r="M895" i="1" a="1"/>
  <c r="M895" i="1" s="1"/>
  <c r="M896" i="1" a="1"/>
  <c r="M896" i="1" s="1"/>
  <c r="M897" i="1" a="1"/>
  <c r="M897" i="1" s="1"/>
  <c r="M898" i="1" a="1"/>
  <c r="M898" i="1" s="1"/>
  <c r="M899" i="1" a="1"/>
  <c r="M899" i="1" s="1"/>
  <c r="M900" i="1" a="1"/>
  <c r="M900" i="1" s="1"/>
  <c r="M901" i="1" a="1"/>
  <c r="M901" i="1" s="1"/>
  <c r="M902" i="1" a="1"/>
  <c r="M902" i="1" s="1"/>
  <c r="M903" i="1" a="1"/>
  <c r="M903" i="1" s="1"/>
  <c r="M904" i="1" a="1"/>
  <c r="M904" i="1" s="1"/>
  <c r="M905" i="1" a="1"/>
  <c r="M905" i="1" s="1"/>
  <c r="M906" i="1" a="1"/>
  <c r="M906" i="1" s="1"/>
  <c r="M907" i="1" a="1"/>
  <c r="M907" i="1" s="1"/>
  <c r="M908" i="1" a="1"/>
  <c r="M908" i="1" s="1"/>
  <c r="M909" i="1" a="1"/>
  <c r="M909" i="1" s="1"/>
  <c r="M910" i="1" a="1"/>
  <c r="M910" i="1" s="1"/>
  <c r="M911" i="1" a="1"/>
  <c r="M911" i="1" s="1"/>
  <c r="M912" i="1" a="1"/>
  <c r="M912" i="1" s="1"/>
  <c r="M913" i="1" a="1"/>
  <c r="M913" i="1" s="1"/>
  <c r="M914" i="1" a="1"/>
  <c r="M914" i="1" s="1"/>
  <c r="M915" i="1" a="1"/>
  <c r="M915" i="1" s="1"/>
  <c r="M916" i="1" a="1"/>
  <c r="M916" i="1" s="1"/>
  <c r="M917" i="1" a="1"/>
  <c r="M917" i="1" s="1"/>
  <c r="M918" i="1" a="1"/>
  <c r="M918" i="1" s="1"/>
  <c r="M919" i="1" a="1"/>
  <c r="M919" i="1" s="1"/>
  <c r="M920" i="1" a="1"/>
  <c r="M920" i="1" s="1"/>
  <c r="M921" i="1" a="1"/>
  <c r="M921" i="1" s="1"/>
  <c r="M922" i="1" a="1"/>
  <c r="M922" i="1" s="1"/>
  <c r="M923" i="1" a="1"/>
  <c r="M923" i="1" s="1"/>
  <c r="M924" i="1" a="1"/>
  <c r="M924" i="1" s="1"/>
  <c r="M925" i="1" a="1"/>
  <c r="M925" i="1" s="1"/>
  <c r="M926" i="1" a="1"/>
  <c r="M926" i="1" s="1"/>
  <c r="M927" i="1" a="1"/>
  <c r="M927" i="1" s="1"/>
  <c r="M928" i="1" a="1"/>
  <c r="M928" i="1" s="1"/>
  <c r="M929" i="1" a="1"/>
  <c r="M929" i="1" s="1"/>
  <c r="M930" i="1" a="1"/>
  <c r="M930" i="1" s="1"/>
  <c r="M931" i="1" a="1"/>
  <c r="M931" i="1" s="1"/>
  <c r="M932" i="1" a="1"/>
  <c r="M932" i="1" s="1"/>
  <c r="M933" i="1" a="1"/>
  <c r="M933" i="1" s="1"/>
  <c r="M934" i="1" a="1"/>
  <c r="M934" i="1" s="1"/>
  <c r="M935" i="1" a="1"/>
  <c r="M935" i="1" s="1"/>
  <c r="M936" i="1" a="1"/>
  <c r="M936" i="1" s="1"/>
  <c r="M937" i="1" a="1"/>
  <c r="M937" i="1" s="1"/>
  <c r="M938" i="1" a="1"/>
  <c r="M938" i="1" s="1"/>
  <c r="M939" i="1" a="1"/>
  <c r="M939" i="1" s="1"/>
  <c r="M940" i="1" a="1"/>
  <c r="M940" i="1" s="1"/>
  <c r="M941" i="1" a="1"/>
  <c r="M941" i="1" s="1"/>
  <c r="M942" i="1" a="1"/>
  <c r="M942" i="1" s="1"/>
  <c r="M943" i="1" a="1"/>
  <c r="M943" i="1" s="1"/>
  <c r="M944" i="1" a="1"/>
  <c r="M944" i="1" s="1"/>
  <c r="M945" i="1" a="1"/>
  <c r="M945" i="1" s="1"/>
  <c r="M946" i="1" a="1"/>
  <c r="M946" i="1" s="1"/>
  <c r="M947" i="1" a="1"/>
  <c r="M947" i="1" s="1"/>
  <c r="M948" i="1" a="1"/>
  <c r="M948" i="1" s="1"/>
  <c r="M949" i="1" a="1"/>
  <c r="M949" i="1" s="1"/>
  <c r="M950" i="1" a="1"/>
  <c r="M950" i="1" s="1"/>
  <c r="M951" i="1" a="1"/>
  <c r="M951" i="1" s="1"/>
  <c r="M952" i="1" a="1"/>
  <c r="M952" i="1" s="1"/>
  <c r="M953" i="1" a="1"/>
  <c r="M953" i="1" s="1"/>
  <c r="M954" i="1" a="1"/>
  <c r="M954" i="1" s="1"/>
  <c r="M955" i="1" a="1"/>
  <c r="M955" i="1" s="1"/>
  <c r="M956" i="1" a="1"/>
  <c r="M956" i="1" s="1"/>
  <c r="M957" i="1" a="1"/>
  <c r="M957" i="1" s="1"/>
  <c r="M958" i="1" a="1"/>
  <c r="M958" i="1" s="1"/>
  <c r="M959" i="1" a="1"/>
  <c r="M959" i="1" s="1"/>
  <c r="M960" i="1" a="1"/>
  <c r="M960" i="1" s="1"/>
  <c r="M961" i="1" a="1"/>
  <c r="M961" i="1" s="1"/>
  <c r="M962" i="1" a="1"/>
  <c r="M962" i="1" s="1"/>
  <c r="M963" i="1" a="1"/>
  <c r="M963" i="1" s="1"/>
  <c r="M964" i="1" a="1"/>
  <c r="M964" i="1" s="1"/>
  <c r="M965" i="1" a="1"/>
  <c r="M965" i="1" s="1"/>
  <c r="M966" i="1" a="1"/>
  <c r="M966" i="1" s="1"/>
  <c r="M967" i="1" a="1"/>
  <c r="M967" i="1" s="1"/>
  <c r="M968" i="1" a="1"/>
  <c r="M968" i="1" s="1"/>
  <c r="M969" i="1" a="1"/>
  <c r="M969" i="1" s="1"/>
  <c r="M970" i="1" a="1"/>
  <c r="M970" i="1" s="1"/>
  <c r="M971" i="1" a="1"/>
  <c r="M971" i="1" s="1"/>
  <c r="M972" i="1" a="1"/>
  <c r="M972" i="1" s="1"/>
  <c r="M973" i="1" a="1"/>
  <c r="M973" i="1" s="1"/>
  <c r="M974" i="1" a="1"/>
  <c r="M974" i="1" s="1"/>
  <c r="M975" i="1" a="1"/>
  <c r="M975" i="1" s="1"/>
  <c r="M976" i="1" a="1"/>
  <c r="M976" i="1" s="1"/>
  <c r="M977" i="1" a="1"/>
  <c r="M977" i="1" s="1"/>
  <c r="M978" i="1" a="1"/>
  <c r="M978" i="1" s="1"/>
  <c r="M979" i="1" a="1"/>
  <c r="M979" i="1" s="1"/>
  <c r="M980" i="1" a="1"/>
  <c r="M980" i="1" s="1"/>
  <c r="M981" i="1" a="1"/>
  <c r="M981" i="1" s="1"/>
  <c r="M982" i="1" a="1"/>
  <c r="M982" i="1" s="1"/>
  <c r="M983" i="1" a="1"/>
  <c r="M983" i="1" s="1"/>
  <c r="M984" i="1" a="1"/>
  <c r="M984" i="1" s="1"/>
  <c r="M985" i="1" a="1"/>
  <c r="M985" i="1" s="1"/>
  <c r="M986" i="1" a="1"/>
  <c r="M986" i="1" s="1"/>
  <c r="M987" i="1" a="1"/>
  <c r="M987" i="1" s="1"/>
  <c r="M988" i="1" a="1"/>
  <c r="M988" i="1" s="1"/>
  <c r="M989" i="1" a="1"/>
  <c r="M989" i="1" s="1"/>
  <c r="M990" i="1" a="1"/>
  <c r="M990" i="1" s="1"/>
  <c r="M991" i="1" a="1"/>
  <c r="M991" i="1" s="1"/>
  <c r="M992" i="1" a="1"/>
  <c r="M992" i="1" s="1"/>
  <c r="M993" i="1" a="1"/>
  <c r="M993" i="1" s="1"/>
  <c r="M994" i="1" a="1"/>
  <c r="M994" i="1" s="1"/>
  <c r="M995" i="1" a="1"/>
  <c r="M995" i="1" s="1"/>
  <c r="M996" i="1" a="1"/>
  <c r="M996" i="1" s="1"/>
  <c r="M997" i="1" a="1"/>
  <c r="M997" i="1" s="1"/>
  <c r="M998" i="1" a="1"/>
  <c r="M998" i="1" s="1"/>
  <c r="M1003" i="1" a="1"/>
  <c r="M1003" i="1" s="1"/>
  <c r="M1004" i="1" a="1"/>
  <c r="M1004" i="1" s="1"/>
  <c r="M1005" i="1" a="1"/>
  <c r="M1005" i="1" s="1"/>
  <c r="M1006" i="1" a="1"/>
  <c r="M1006" i="1" s="1"/>
  <c r="M1007" i="1" a="1"/>
  <c r="M1007" i="1" s="1"/>
  <c r="M1008" i="1" a="1"/>
  <c r="M1008" i="1" s="1"/>
  <c r="M1009" i="1" a="1"/>
  <c r="M1009" i="1" s="1"/>
  <c r="M1010" i="1" a="1"/>
  <c r="M1010" i="1" s="1"/>
  <c r="M1011" i="1" a="1"/>
  <c r="M1011" i="1" s="1"/>
  <c r="M1012" i="1" a="1"/>
  <c r="M1012" i="1" s="1"/>
  <c r="M1013" i="1" a="1"/>
  <c r="M1013" i="1" s="1"/>
  <c r="M1014" i="1" a="1"/>
  <c r="M1014" i="1" s="1"/>
  <c r="M1015" i="1" a="1"/>
  <c r="M1015" i="1" s="1"/>
  <c r="M1016" i="1" a="1"/>
  <c r="M1016" i="1" s="1"/>
  <c r="M1017" i="1" a="1"/>
  <c r="M1017" i="1" s="1"/>
  <c r="M1018" i="1" a="1"/>
  <c r="M1018" i="1" s="1"/>
  <c r="M1019" i="1" a="1"/>
  <c r="M1019" i="1" s="1"/>
  <c r="M1020" i="1" a="1"/>
  <c r="M1020" i="1" s="1"/>
  <c r="M1021" i="1" a="1"/>
  <c r="M1021" i="1" s="1"/>
  <c r="M1022" i="1" a="1"/>
  <c r="M1022" i="1" s="1"/>
  <c r="M1023" i="1" a="1"/>
  <c r="M1023" i="1" s="1"/>
  <c r="M1024" i="1" a="1"/>
  <c r="M1024" i="1" s="1"/>
  <c r="M1025" i="1" a="1"/>
  <c r="M1025" i="1" s="1"/>
  <c r="M1026" i="1" a="1"/>
  <c r="M1026" i="1" s="1"/>
  <c r="M1027" i="1" a="1"/>
  <c r="M1027" i="1" s="1"/>
  <c r="M1028" i="1" a="1"/>
  <c r="M1028" i="1" s="1"/>
  <c r="M1029" i="1" a="1"/>
  <c r="M1029" i="1" s="1"/>
  <c r="M1030" i="1" a="1"/>
  <c r="M1030" i="1" s="1"/>
  <c r="M1031" i="1" a="1"/>
  <c r="M1031" i="1" s="1"/>
  <c r="M1032" i="1" a="1"/>
  <c r="M1032" i="1" s="1"/>
  <c r="M1033" i="1" a="1"/>
  <c r="M1033" i="1" s="1"/>
  <c r="M1034" i="1" a="1"/>
  <c r="M1034" i="1" s="1"/>
  <c r="M1035" i="1" a="1"/>
  <c r="M1035" i="1" s="1"/>
  <c r="M1036" i="1" a="1"/>
  <c r="M1036" i="1" s="1"/>
  <c r="M1037" i="1" a="1"/>
  <c r="M1037" i="1" s="1"/>
  <c r="M1038" i="1" a="1"/>
  <c r="M1038" i="1" s="1"/>
  <c r="M1039" i="1" a="1"/>
  <c r="M1039" i="1" s="1"/>
  <c r="M1040" i="1" a="1"/>
  <c r="M1040" i="1" s="1"/>
  <c r="M1041" i="1" a="1"/>
  <c r="M1041" i="1" s="1"/>
  <c r="M1042" i="1" a="1"/>
  <c r="M1042" i="1" s="1"/>
  <c r="M1043" i="1" a="1"/>
  <c r="M1043" i="1" s="1"/>
  <c r="M1044" i="1" a="1"/>
  <c r="M1044" i="1" s="1"/>
  <c r="M1045" i="1" a="1"/>
  <c r="M1045" i="1" s="1"/>
  <c r="M1046" i="1" a="1"/>
  <c r="M1046" i="1" s="1"/>
  <c r="M1047" i="1" a="1"/>
  <c r="M1047" i="1" s="1"/>
  <c r="M1048" i="1" a="1"/>
  <c r="M1048" i="1" s="1"/>
  <c r="M1049" i="1" a="1"/>
  <c r="M1049" i="1" s="1"/>
  <c r="M1050" i="1" a="1"/>
  <c r="M1050" i="1" s="1"/>
  <c r="M1051" i="1" a="1"/>
  <c r="M1051" i="1" s="1"/>
  <c r="M1052" i="1" a="1"/>
  <c r="M1052" i="1" s="1"/>
  <c r="M1053" i="1" a="1"/>
  <c r="M1053" i="1" s="1"/>
  <c r="M1054" i="1" a="1"/>
  <c r="M1054" i="1" s="1"/>
  <c r="M1055" i="1" a="1"/>
  <c r="M1055" i="1" s="1"/>
  <c r="M1056" i="1" a="1"/>
  <c r="M1056" i="1" s="1"/>
  <c r="M1057" i="1" a="1"/>
  <c r="M1057" i="1" s="1"/>
  <c r="M1058" i="1" a="1"/>
  <c r="M1058" i="1" s="1"/>
  <c r="M1059" i="1" a="1"/>
  <c r="M1059" i="1" s="1"/>
  <c r="M1060" i="1" a="1"/>
  <c r="M1060" i="1" s="1"/>
  <c r="M1061" i="1" a="1"/>
  <c r="M1061" i="1" s="1"/>
  <c r="M1062" i="1" a="1"/>
  <c r="M1062" i="1" s="1"/>
  <c r="M1063" i="1" a="1"/>
  <c r="M1063" i="1" s="1"/>
  <c r="M1064" i="1" a="1"/>
  <c r="M1064" i="1" s="1"/>
  <c r="M1065" i="1" a="1"/>
  <c r="M1065" i="1" s="1"/>
  <c r="M1066" i="1" a="1"/>
  <c r="M1066" i="1" s="1"/>
  <c r="M1067" i="1" a="1"/>
  <c r="M1067" i="1" s="1"/>
  <c r="M1068" i="1" a="1"/>
  <c r="M1068" i="1" s="1"/>
  <c r="M1069" i="1" a="1"/>
  <c r="M1069" i="1" s="1"/>
  <c r="M1070" i="1" a="1"/>
  <c r="M1070" i="1" s="1"/>
  <c r="M1071" i="1" a="1"/>
  <c r="M1071" i="1" s="1"/>
  <c r="M1072" i="1" a="1"/>
  <c r="M1072" i="1" s="1"/>
  <c r="M1073" i="1" a="1"/>
  <c r="M1073" i="1" s="1"/>
  <c r="M1074" i="1" a="1"/>
  <c r="M1074" i="1" s="1"/>
  <c r="M1075" i="1" a="1"/>
  <c r="M1075" i="1" s="1"/>
  <c r="M1076" i="1" a="1"/>
  <c r="M1076" i="1" s="1"/>
  <c r="M1077" i="1" a="1"/>
  <c r="M1077" i="1" s="1"/>
  <c r="M1078" i="1" a="1"/>
  <c r="M1078" i="1" s="1"/>
  <c r="M1079" i="1" a="1"/>
  <c r="M1079" i="1" s="1"/>
  <c r="M1080" i="1" a="1"/>
  <c r="M1080" i="1" s="1"/>
  <c r="M1081" i="1" a="1"/>
  <c r="M1081" i="1" s="1"/>
  <c r="M1082" i="1" a="1"/>
  <c r="M1082" i="1" s="1"/>
  <c r="M1083" i="1" a="1"/>
  <c r="M1083" i="1" s="1"/>
  <c r="M1084" i="1" a="1"/>
  <c r="M1084" i="1" s="1"/>
  <c r="M1085" i="1" a="1"/>
  <c r="M1085" i="1" s="1"/>
  <c r="M1086" i="1" a="1"/>
  <c r="M1086" i="1" s="1"/>
  <c r="M1087" i="1" a="1"/>
  <c r="M1087" i="1" s="1"/>
  <c r="M1088" i="1" a="1"/>
  <c r="M1088" i="1" s="1"/>
  <c r="M1089" i="1" a="1"/>
  <c r="M1089" i="1" s="1"/>
  <c r="M1090" i="1" a="1"/>
  <c r="M1090" i="1" s="1"/>
  <c r="M1091" i="1" a="1"/>
  <c r="M1091" i="1" s="1"/>
  <c r="M1092" i="1" a="1"/>
  <c r="M1092" i="1" s="1"/>
  <c r="M1093" i="1" a="1"/>
  <c r="M1093" i="1" s="1"/>
  <c r="M1094" i="1" a="1"/>
  <c r="M1094" i="1" s="1"/>
  <c r="M1095" i="1" a="1"/>
  <c r="M1095" i="1" s="1"/>
  <c r="M1096" i="1" a="1"/>
  <c r="M1096" i="1" s="1"/>
  <c r="M1097" i="1" a="1"/>
  <c r="M1097" i="1" s="1"/>
  <c r="M1098" i="1" a="1"/>
  <c r="M1098" i="1" s="1"/>
  <c r="M1099" i="1" a="1"/>
  <c r="M1099" i="1" s="1"/>
  <c r="M1100" i="1" a="1"/>
  <c r="M1100" i="1" s="1"/>
  <c r="M1101" i="1" a="1"/>
  <c r="M1101" i="1" s="1"/>
  <c r="M1102" i="1" a="1"/>
  <c r="M1102" i="1" s="1"/>
  <c r="M1103" i="1" a="1"/>
  <c r="M1103" i="1" s="1"/>
  <c r="M1104" i="1" a="1"/>
  <c r="M1104" i="1" s="1"/>
  <c r="M1105" i="1" a="1"/>
  <c r="M1105" i="1" s="1"/>
  <c r="M1106" i="1" a="1"/>
  <c r="M1106" i="1" s="1"/>
  <c r="M1107" i="1" a="1"/>
  <c r="M1107" i="1" s="1"/>
  <c r="M1108" i="1" a="1"/>
  <c r="M1108" i="1" s="1"/>
  <c r="M1109" i="1" a="1"/>
  <c r="M1109" i="1" s="1"/>
  <c r="M1110" i="1" a="1"/>
  <c r="M1110" i="1" s="1"/>
  <c r="M1111" i="1" a="1"/>
  <c r="M1111" i="1" s="1"/>
  <c r="M1112" i="1" a="1"/>
  <c r="M1112" i="1" s="1"/>
  <c r="M1113" i="1" a="1"/>
  <c r="M1113" i="1" s="1"/>
  <c r="M1114" i="1" a="1"/>
  <c r="M1114" i="1" s="1"/>
  <c r="M1115" i="1" a="1"/>
  <c r="M1115" i="1" s="1"/>
  <c r="M1116" i="1" a="1"/>
  <c r="M1116" i="1" s="1"/>
  <c r="M1117" i="1" a="1"/>
  <c r="M1117" i="1" s="1"/>
  <c r="M1118" i="1" a="1"/>
  <c r="M1118" i="1" s="1"/>
  <c r="M1119" i="1" a="1"/>
  <c r="M1119" i="1" s="1"/>
  <c r="M1120" i="1" a="1"/>
  <c r="M1120" i="1" s="1"/>
  <c r="M1121" i="1" a="1"/>
  <c r="M1121" i="1" s="1"/>
  <c r="M1122" i="1" a="1"/>
  <c r="M1122" i="1" s="1"/>
  <c r="M1123" i="1" a="1"/>
  <c r="M1123" i="1" s="1"/>
  <c r="M1124" i="1" a="1"/>
  <c r="M1124" i="1" s="1"/>
  <c r="M1125" i="1" a="1"/>
  <c r="M1125" i="1" s="1"/>
  <c r="M1126" i="1" a="1"/>
  <c r="M1126" i="1" s="1"/>
  <c r="M1127" i="1" a="1"/>
  <c r="M1127" i="1" s="1"/>
  <c r="M1128" i="1" a="1"/>
  <c r="M1128" i="1" s="1"/>
  <c r="M1129" i="1" a="1"/>
  <c r="M1129" i="1" s="1"/>
  <c r="M1130" i="1" a="1"/>
  <c r="M1130" i="1" s="1"/>
  <c r="M1131" i="1" a="1"/>
  <c r="M1131" i="1" s="1"/>
  <c r="M1132" i="1" a="1"/>
  <c r="M1132" i="1" s="1"/>
  <c r="M1133" i="1" a="1"/>
  <c r="M1133" i="1" s="1"/>
  <c r="M1134" i="1" a="1"/>
  <c r="M1134" i="1" s="1"/>
  <c r="M1135" i="1" a="1"/>
  <c r="M1135" i="1" s="1"/>
  <c r="M1136" i="1" a="1"/>
  <c r="M1136" i="1" s="1"/>
  <c r="M1137" i="1" a="1"/>
  <c r="M1137" i="1" s="1"/>
  <c r="M1138" i="1" a="1"/>
  <c r="M1138" i="1" s="1"/>
  <c r="M1139" i="1" a="1"/>
  <c r="M1139" i="1" s="1"/>
  <c r="M1140" i="1" a="1"/>
  <c r="M1140" i="1" s="1"/>
  <c r="M1141" i="1" a="1"/>
  <c r="M1141" i="1" s="1"/>
  <c r="M1142" i="1" a="1"/>
  <c r="M1142" i="1" s="1"/>
  <c r="M1143" i="1" a="1"/>
  <c r="M1143" i="1" s="1"/>
  <c r="M1144" i="1" a="1"/>
  <c r="M1144" i="1" s="1"/>
  <c r="M1145" i="1" a="1"/>
  <c r="M1145" i="1" s="1"/>
  <c r="M1146" i="1" a="1"/>
  <c r="M1146" i="1" s="1"/>
  <c r="M1147" i="1" a="1"/>
  <c r="M1147" i="1" s="1"/>
  <c r="M1148" i="1" a="1"/>
  <c r="M1148" i="1" s="1"/>
  <c r="M1149" i="1" a="1"/>
  <c r="M1149" i="1" s="1"/>
  <c r="M1150" i="1" a="1"/>
  <c r="M1150" i="1" s="1"/>
  <c r="M1151" i="1" a="1"/>
  <c r="M1151" i="1" s="1"/>
  <c r="M1152" i="1" a="1"/>
  <c r="M1152" i="1" s="1"/>
  <c r="M1153" i="1" a="1"/>
  <c r="M1153" i="1" s="1"/>
  <c r="M1154" i="1" a="1"/>
  <c r="M1154" i="1" s="1"/>
  <c r="M1155" i="1" a="1"/>
  <c r="M1155" i="1" s="1"/>
  <c r="M1156" i="1" a="1"/>
  <c r="M1156" i="1" s="1"/>
  <c r="M1157" i="1" a="1"/>
  <c r="M1157" i="1" s="1"/>
  <c r="M1158" i="1" a="1"/>
  <c r="M1158" i="1" s="1"/>
  <c r="M1159" i="1" a="1"/>
  <c r="M1159" i="1" s="1"/>
  <c r="M1160" i="1" a="1"/>
  <c r="M1160" i="1" s="1"/>
  <c r="M1161" i="1" a="1"/>
  <c r="M1161" i="1" s="1"/>
  <c r="M1162" i="1" a="1"/>
  <c r="M1162" i="1" s="1"/>
  <c r="M1163" i="1" a="1"/>
  <c r="M1163" i="1" s="1"/>
  <c r="M1164" i="1" a="1"/>
  <c r="M1164" i="1" s="1"/>
  <c r="M1165" i="1" a="1"/>
  <c r="M1165" i="1" s="1"/>
  <c r="M1166" i="1" a="1"/>
  <c r="M1166" i="1" s="1"/>
  <c r="M1167" i="1" a="1"/>
  <c r="M1167" i="1" s="1"/>
  <c r="M1168" i="1" a="1"/>
  <c r="M1168" i="1" s="1"/>
  <c r="M1169" i="1" a="1"/>
  <c r="M1169" i="1" s="1"/>
  <c r="M1170" i="1" a="1"/>
  <c r="M1170" i="1" s="1"/>
  <c r="M1171" i="1" a="1"/>
  <c r="M1171" i="1" s="1"/>
  <c r="M1172" i="1" a="1"/>
  <c r="M1172" i="1" s="1"/>
  <c r="M1173" i="1" a="1"/>
  <c r="M1173" i="1" s="1"/>
  <c r="M1174" i="1" a="1"/>
  <c r="M1174" i="1" s="1"/>
  <c r="M1175" i="1" a="1"/>
  <c r="M1175" i="1" s="1"/>
  <c r="M1176" i="1" a="1"/>
  <c r="M1176" i="1" s="1"/>
  <c r="M1177" i="1" a="1"/>
  <c r="M1177" i="1" s="1"/>
  <c r="M1178" i="1" a="1"/>
  <c r="M1178" i="1" s="1"/>
  <c r="M1179" i="1" a="1"/>
  <c r="M1179" i="1" s="1"/>
  <c r="M1180" i="1" a="1"/>
  <c r="M1180" i="1" s="1"/>
  <c r="M1181" i="1" a="1"/>
  <c r="M1181" i="1" s="1"/>
  <c r="M1182" i="1" a="1"/>
  <c r="M1182" i="1" s="1"/>
  <c r="M1183" i="1" a="1"/>
  <c r="M1183" i="1" s="1"/>
  <c r="M1184" i="1" a="1"/>
  <c r="M1184" i="1" s="1"/>
  <c r="M1185" i="1" a="1"/>
  <c r="M1185" i="1" s="1"/>
  <c r="M1186" i="1" a="1"/>
  <c r="M1186" i="1" s="1"/>
  <c r="M1187" i="1" a="1"/>
  <c r="M1187" i="1" s="1"/>
  <c r="M1188" i="1" a="1"/>
  <c r="M1188" i="1" s="1"/>
  <c r="M1189" i="1" a="1"/>
  <c r="M1189" i="1" s="1"/>
  <c r="M1190" i="1" a="1"/>
  <c r="M1190" i="1" s="1"/>
  <c r="M1191" i="1" a="1"/>
  <c r="M1191" i="1" s="1"/>
  <c r="M1192" i="1" a="1"/>
  <c r="M1192" i="1" s="1"/>
  <c r="M1193" i="1" a="1"/>
  <c r="M1193" i="1" s="1"/>
  <c r="M1194" i="1" a="1"/>
  <c r="M1194" i="1" s="1"/>
  <c r="M1195" i="1" a="1"/>
  <c r="M1195" i="1" s="1"/>
  <c r="M1196" i="1" a="1"/>
  <c r="M1196" i="1" s="1"/>
  <c r="M1197" i="1" a="1"/>
  <c r="M1197" i="1" s="1"/>
  <c r="M1198" i="1" a="1"/>
  <c r="M1198" i="1" s="1"/>
  <c r="M1199" i="1" a="1"/>
  <c r="M1199" i="1" s="1"/>
  <c r="M1200" i="1" a="1"/>
  <c r="M1200" i="1" s="1"/>
  <c r="M1201" i="1" a="1"/>
  <c r="M1201" i="1" s="1"/>
  <c r="M1202" i="1" a="1"/>
  <c r="M1202" i="1" s="1"/>
  <c r="M1203" i="1" a="1"/>
  <c r="M1203" i="1" s="1"/>
  <c r="M1204" i="1" a="1"/>
  <c r="M1204" i="1" s="1"/>
  <c r="M1205" i="1" a="1"/>
  <c r="M1205" i="1" s="1"/>
  <c r="M1206" i="1" a="1"/>
  <c r="M1206" i="1" s="1"/>
  <c r="M1207" i="1" a="1"/>
  <c r="M1207" i="1" s="1"/>
  <c r="M1208" i="1" a="1"/>
  <c r="M1208" i="1" s="1"/>
  <c r="M1209" i="1" a="1"/>
  <c r="M1209" i="1" s="1"/>
  <c r="M1210" i="1" a="1"/>
  <c r="M1210" i="1" s="1"/>
  <c r="M1211" i="1" a="1"/>
  <c r="M1211" i="1" s="1"/>
  <c r="M1212" i="1" a="1"/>
  <c r="M1212" i="1" s="1"/>
  <c r="M1213" i="1" a="1"/>
  <c r="M1213" i="1" s="1"/>
  <c r="M1214" i="1" a="1"/>
  <c r="M1214" i="1" s="1"/>
  <c r="M1215" i="1" a="1"/>
  <c r="M1215" i="1" s="1"/>
  <c r="M1216" i="1" a="1"/>
  <c r="M1216" i="1" s="1"/>
  <c r="M1217" i="1" a="1"/>
  <c r="M1217" i="1" s="1"/>
  <c r="M1218" i="1" a="1"/>
  <c r="M1218" i="1" s="1"/>
  <c r="M1219" i="1" a="1"/>
  <c r="M1219" i="1" s="1"/>
  <c r="M1220" i="1" a="1"/>
  <c r="M1220" i="1" s="1"/>
  <c r="M1221" i="1" a="1"/>
  <c r="M1221" i="1" s="1"/>
  <c r="M1222" i="1" a="1"/>
  <c r="M1222" i="1" s="1"/>
  <c r="M1223" i="1" a="1"/>
  <c r="M1223" i="1" s="1"/>
  <c r="M1224" i="1" a="1"/>
  <c r="M1224" i="1" s="1"/>
  <c r="M1225" i="1" a="1"/>
  <c r="M1225" i="1" s="1"/>
  <c r="M1226" i="1" a="1"/>
  <c r="M1226" i="1" s="1"/>
  <c r="M1227" i="1" a="1"/>
  <c r="M1227" i="1" s="1"/>
  <c r="M1228" i="1" a="1"/>
  <c r="M1228" i="1" s="1"/>
  <c r="M1229" i="1" a="1"/>
  <c r="M1229" i="1" s="1"/>
  <c r="M1230" i="1" a="1"/>
  <c r="M1230" i="1" s="1"/>
  <c r="M1231" i="1" a="1"/>
  <c r="M1231" i="1" s="1"/>
  <c r="M1232" i="1" a="1"/>
  <c r="M1232" i="1" s="1"/>
  <c r="M1233" i="1" a="1"/>
  <c r="M1233" i="1" s="1"/>
  <c r="M1234" i="1" a="1"/>
  <c r="M1234" i="1" s="1"/>
  <c r="M1235" i="1" a="1"/>
  <c r="M1235" i="1" s="1"/>
  <c r="M1236" i="1" a="1"/>
  <c r="M1236" i="1" s="1"/>
  <c r="M1237" i="1" a="1"/>
  <c r="M1237" i="1" s="1"/>
  <c r="M1238" i="1" a="1"/>
  <c r="M1238" i="1" s="1"/>
  <c r="M1239" i="1" a="1"/>
  <c r="M1239" i="1" s="1"/>
  <c r="M1240" i="1" a="1"/>
  <c r="M1240" i="1" s="1"/>
  <c r="M1241" i="1" a="1"/>
  <c r="M1241" i="1" s="1"/>
  <c r="M1242" i="1" a="1"/>
  <c r="M1242" i="1" s="1"/>
  <c r="M1243" i="1" a="1"/>
  <c r="M1243" i="1" s="1"/>
  <c r="M1244" i="1" a="1"/>
  <c r="M1244" i="1" s="1"/>
  <c r="M1245" i="1" a="1"/>
  <c r="M1245" i="1" s="1"/>
  <c r="M1246" i="1" a="1"/>
  <c r="M1246" i="1" s="1"/>
  <c r="M1247" i="1" a="1"/>
  <c r="M1247" i="1" s="1"/>
  <c r="M1248" i="1" a="1"/>
  <c r="M1248" i="1" s="1"/>
  <c r="M1249" i="1" a="1"/>
  <c r="M1249" i="1" s="1"/>
  <c r="M1250" i="1" a="1"/>
  <c r="M1250" i="1" s="1"/>
  <c r="M1251" i="1" a="1"/>
  <c r="M1251" i="1" s="1"/>
  <c r="M1252" i="1" a="1"/>
  <c r="M1252" i="1" s="1"/>
  <c r="M1253" i="1" a="1"/>
  <c r="M1253" i="1" s="1"/>
  <c r="M1254" i="1" a="1"/>
  <c r="M1254" i="1" s="1"/>
  <c r="M1255" i="1" a="1"/>
  <c r="M1255" i="1" s="1"/>
  <c r="M1256" i="1" a="1"/>
  <c r="M1256" i="1" s="1"/>
  <c r="M1257" i="1" a="1"/>
  <c r="M1257" i="1" s="1"/>
  <c r="M1258" i="1" a="1"/>
  <c r="M1258" i="1" s="1"/>
  <c r="M1259" i="1" a="1"/>
  <c r="M1259" i="1" s="1"/>
  <c r="M1260" i="1" a="1"/>
  <c r="M1260" i="1" s="1"/>
  <c r="M1261" i="1" a="1"/>
  <c r="M1261" i="1" s="1"/>
  <c r="M1262" i="1" a="1"/>
  <c r="M1262" i="1" s="1"/>
  <c r="M1263" i="1" a="1"/>
  <c r="M1263" i="1" s="1"/>
  <c r="M1264" i="1" a="1"/>
  <c r="M1264" i="1" s="1"/>
  <c r="M1265" i="1" a="1"/>
  <c r="M1265" i="1" s="1"/>
  <c r="M1266" i="1" a="1"/>
  <c r="M1266" i="1" s="1"/>
  <c r="M1267" i="1" a="1"/>
  <c r="M1267" i="1" s="1"/>
  <c r="M1268" i="1" a="1"/>
  <c r="M1268" i="1" s="1"/>
  <c r="M1269" i="1" a="1"/>
  <c r="M1269" i="1" s="1"/>
  <c r="M1270" i="1" a="1"/>
  <c r="M1270" i="1" s="1"/>
  <c r="M1271" i="1" a="1"/>
  <c r="M1271" i="1" s="1"/>
  <c r="M1272" i="1" a="1"/>
  <c r="M1272" i="1" s="1"/>
  <c r="M1273" i="1" a="1"/>
  <c r="M1273" i="1" s="1"/>
  <c r="M1274" i="1" a="1"/>
  <c r="M1274" i="1" s="1"/>
  <c r="M1275" i="1" a="1"/>
  <c r="M1275" i="1" s="1"/>
  <c r="M1276" i="1" a="1"/>
  <c r="M1276" i="1" s="1"/>
  <c r="M1277" i="1" a="1"/>
  <c r="M1277" i="1" s="1"/>
  <c r="M1278" i="1" a="1"/>
  <c r="M1278" i="1" s="1"/>
  <c r="M1279" i="1" a="1"/>
  <c r="M1279" i="1" s="1"/>
  <c r="M1280" i="1" a="1"/>
  <c r="M1280" i="1" s="1"/>
  <c r="M1281" i="1" a="1"/>
  <c r="M1281" i="1" s="1"/>
  <c r="M1282" i="1" a="1"/>
  <c r="M1282" i="1" s="1"/>
  <c r="M1283" i="1" a="1"/>
  <c r="M1283" i="1" s="1"/>
  <c r="M1284" i="1" a="1"/>
  <c r="M1284" i="1" s="1"/>
  <c r="M1285" i="1" a="1"/>
  <c r="M1285" i="1" s="1"/>
  <c r="M1286" i="1" a="1"/>
  <c r="M1286" i="1" s="1"/>
  <c r="M1287" i="1" a="1"/>
  <c r="M1287" i="1" s="1"/>
  <c r="M1288" i="1" a="1"/>
  <c r="M1288" i="1" s="1"/>
  <c r="M1289" i="1" a="1"/>
  <c r="M1289" i="1" s="1"/>
  <c r="M1290" i="1" a="1"/>
  <c r="M1290" i="1" s="1"/>
  <c r="M1291" i="1" a="1"/>
  <c r="M1291" i="1" s="1"/>
  <c r="M1292" i="1" a="1"/>
  <c r="M1292" i="1" s="1"/>
  <c r="M1293" i="1" a="1"/>
  <c r="M1293" i="1" s="1"/>
  <c r="M1294" i="1" a="1"/>
  <c r="M1294" i="1" s="1"/>
  <c r="M1295" i="1" a="1"/>
  <c r="M1295" i="1" s="1"/>
  <c r="M1296" i="1" a="1"/>
  <c r="M1296" i="1" s="1"/>
  <c r="M1297" i="1" a="1"/>
  <c r="M1297" i="1" s="1"/>
  <c r="M1298" i="1" a="1"/>
  <c r="M1298" i="1" s="1"/>
  <c r="M1299" i="1" a="1"/>
  <c r="M1299" i="1" s="1"/>
  <c r="M1300" i="1" a="1"/>
  <c r="M1300" i="1" s="1"/>
  <c r="M1301" i="1" a="1"/>
  <c r="M1301" i="1" s="1"/>
  <c r="M1302" i="1" a="1"/>
  <c r="M1302" i="1" s="1"/>
  <c r="M1303" i="1" a="1"/>
  <c r="M1303" i="1" s="1"/>
  <c r="M1304" i="1" a="1"/>
  <c r="M1304" i="1" s="1"/>
  <c r="M1305" i="1" a="1"/>
  <c r="M1305" i="1" s="1"/>
  <c r="M1306" i="1" a="1"/>
  <c r="M1306" i="1" s="1"/>
  <c r="M1307" i="1" a="1"/>
  <c r="M1307" i="1" s="1"/>
  <c r="M1308" i="1" a="1"/>
  <c r="M1308" i="1" s="1"/>
  <c r="M1309" i="1" a="1"/>
  <c r="M1309" i="1" s="1"/>
  <c r="M1310" i="1" a="1"/>
  <c r="M1310" i="1" s="1"/>
  <c r="M1311" i="1" a="1"/>
  <c r="M1311" i="1" s="1"/>
  <c r="M1312" i="1" a="1"/>
  <c r="M1312" i="1" s="1"/>
  <c r="M1313" i="1" a="1"/>
  <c r="M1313" i="1" s="1"/>
  <c r="M1314" i="1" a="1"/>
  <c r="M1314" i="1" s="1"/>
  <c r="M1315" i="1" a="1"/>
  <c r="M1315" i="1" s="1"/>
  <c r="M1316" i="1" a="1"/>
  <c r="M1316" i="1" s="1"/>
  <c r="M1317" i="1" a="1"/>
  <c r="M1317" i="1" s="1"/>
  <c r="M1318" i="1" a="1"/>
  <c r="M1318" i="1" s="1"/>
  <c r="M1319" i="1" a="1"/>
  <c r="M1319" i="1" s="1"/>
  <c r="M1320" i="1" a="1"/>
  <c r="M1320" i="1" s="1"/>
  <c r="M1321" i="1" a="1"/>
  <c r="M1321" i="1" s="1"/>
  <c r="M1322" i="1" a="1"/>
  <c r="M1322" i="1" s="1"/>
  <c r="M1323" i="1" a="1"/>
  <c r="M1323" i="1" s="1"/>
  <c r="M1324" i="1" a="1"/>
  <c r="M1324" i="1" s="1"/>
  <c r="M1325" i="1" a="1"/>
  <c r="M1325" i="1" s="1"/>
  <c r="M1326" i="1" a="1"/>
  <c r="M1326" i="1" s="1"/>
  <c r="M1327" i="1" a="1"/>
  <c r="M1327" i="1" s="1"/>
  <c r="M1328" i="1" a="1"/>
  <c r="M1328" i="1" s="1"/>
  <c r="M1329" i="1" a="1"/>
  <c r="M1329" i="1" s="1"/>
  <c r="M1330" i="1" a="1"/>
  <c r="M1330" i="1" s="1"/>
  <c r="M1331" i="1" a="1"/>
  <c r="M1331" i="1" s="1"/>
  <c r="M1332" i="1" a="1"/>
  <c r="M1332" i="1" s="1"/>
  <c r="M1333" i="1" a="1"/>
  <c r="M1333" i="1" s="1"/>
  <c r="M1334" i="1" a="1"/>
  <c r="M1334" i="1" s="1"/>
  <c r="M1335" i="1" a="1"/>
  <c r="M1335" i="1" s="1"/>
  <c r="M1336" i="1" a="1"/>
  <c r="M1336" i="1" s="1"/>
  <c r="M1337" i="1" a="1"/>
  <c r="M1337" i="1" s="1"/>
  <c r="M1338" i="1" a="1"/>
  <c r="M1338" i="1" s="1"/>
  <c r="M1339" i="1" a="1"/>
  <c r="M1339" i="1" s="1"/>
  <c r="M1340" i="1" a="1"/>
  <c r="M1340" i="1" s="1"/>
  <c r="M1341" i="1" a="1"/>
  <c r="M1341" i="1" s="1"/>
  <c r="M1342" i="1" a="1"/>
  <c r="M1342" i="1" s="1"/>
  <c r="M1343" i="1" a="1"/>
  <c r="M1343" i="1" s="1"/>
  <c r="M1344" i="1" a="1"/>
  <c r="M1344" i="1" s="1"/>
  <c r="M1345" i="1" a="1"/>
  <c r="M1345" i="1" s="1"/>
  <c r="M1346" i="1" a="1"/>
  <c r="M1346" i="1" s="1"/>
  <c r="M1347" i="1" a="1"/>
  <c r="M1347" i="1" s="1"/>
  <c r="M1348" i="1" a="1"/>
  <c r="M1348" i="1" s="1"/>
  <c r="M1349" i="1" a="1"/>
  <c r="M1349" i="1" s="1"/>
  <c r="M1350" i="1" a="1"/>
  <c r="M1350" i="1" s="1"/>
  <c r="M1351" i="1" a="1"/>
  <c r="M1351" i="1" s="1"/>
  <c r="M1352" i="1" a="1"/>
  <c r="M1352" i="1" s="1"/>
  <c r="M1353" i="1" a="1"/>
  <c r="M1353" i="1" s="1"/>
  <c r="M1354" i="1" a="1"/>
  <c r="M1354" i="1" s="1"/>
  <c r="M1355" i="1" a="1"/>
  <c r="M1355" i="1" s="1"/>
  <c r="M1356" i="1" a="1"/>
  <c r="M1356" i="1" s="1"/>
  <c r="M1357" i="1" a="1"/>
  <c r="M1357" i="1" s="1"/>
  <c r="M1358" i="1" a="1"/>
  <c r="M1358" i="1" s="1"/>
  <c r="M1359" i="1" a="1"/>
  <c r="M1359" i="1" s="1"/>
  <c r="M1360" i="1" a="1"/>
  <c r="M1360" i="1" s="1"/>
  <c r="M1361" i="1" a="1"/>
  <c r="M1361" i="1" s="1"/>
  <c r="M1362" i="1" a="1"/>
  <c r="M1362" i="1" s="1"/>
  <c r="M1363" i="1" a="1"/>
  <c r="M1363" i="1" s="1"/>
  <c r="M1364" i="1" a="1"/>
  <c r="M1364" i="1" s="1"/>
  <c r="M1365" i="1" a="1"/>
  <c r="M1365" i="1" s="1"/>
  <c r="M1366" i="1" a="1"/>
  <c r="M1366" i="1" s="1"/>
  <c r="M1367" i="1" a="1"/>
  <c r="M1367" i="1" s="1"/>
  <c r="M1368" i="1" a="1"/>
  <c r="M1368" i="1" s="1"/>
  <c r="M1369" i="1" a="1"/>
  <c r="M1369" i="1" s="1"/>
  <c r="M1370" i="1" a="1"/>
  <c r="M1370" i="1" s="1"/>
  <c r="M1371" i="1" a="1"/>
  <c r="M1371" i="1" s="1"/>
  <c r="M1372" i="1" a="1"/>
  <c r="M1372" i="1" s="1"/>
  <c r="M1373" i="1" a="1"/>
  <c r="M1373" i="1" s="1"/>
  <c r="M1374" i="1" a="1"/>
  <c r="M1374" i="1" s="1"/>
  <c r="M1375" i="1" a="1"/>
  <c r="M1375" i="1" s="1"/>
  <c r="M1376" i="1" a="1"/>
  <c r="M1376" i="1" s="1"/>
  <c r="M1377" i="1" a="1"/>
  <c r="M1377" i="1" s="1"/>
  <c r="M1378" i="1" a="1"/>
  <c r="M1378" i="1" s="1"/>
  <c r="M1379" i="1" a="1"/>
  <c r="M1379" i="1" s="1"/>
  <c r="M1380" i="1" a="1"/>
  <c r="M1380" i="1" s="1"/>
  <c r="M1381" i="1" a="1"/>
  <c r="M1381" i="1" s="1"/>
  <c r="M1382" i="1" a="1"/>
  <c r="M1382" i="1" s="1"/>
  <c r="M1383" i="1" a="1"/>
  <c r="M1383" i="1" s="1"/>
  <c r="M1384" i="1" a="1"/>
  <c r="M1384" i="1" s="1"/>
  <c r="M1385" i="1" a="1"/>
  <c r="M1385" i="1" s="1"/>
  <c r="M1386" i="1" a="1"/>
  <c r="M1386" i="1" s="1"/>
  <c r="M1387" i="1" a="1"/>
  <c r="M1387" i="1" s="1"/>
  <c r="M1388" i="1" a="1"/>
  <c r="M1388" i="1" s="1"/>
  <c r="M1389" i="1" a="1"/>
  <c r="M1389" i="1" s="1"/>
  <c r="M1390" i="1" a="1"/>
  <c r="M1390" i="1" s="1"/>
  <c r="M1391" i="1" a="1"/>
  <c r="M1391" i="1" s="1"/>
  <c r="M1392" i="1" a="1"/>
  <c r="M1392" i="1" s="1"/>
  <c r="M1393" i="1" a="1"/>
  <c r="M1393" i="1" s="1"/>
  <c r="M1394" i="1" a="1"/>
  <c r="M1394" i="1" s="1"/>
  <c r="M1395" i="1" a="1"/>
  <c r="M1395" i="1" s="1"/>
  <c r="M1396" i="1" a="1"/>
  <c r="M1396" i="1" s="1"/>
  <c r="M1397" i="1" a="1"/>
  <c r="M1397" i="1" s="1"/>
  <c r="M1398" i="1" a="1"/>
  <c r="M1398" i="1" s="1"/>
  <c r="M1399" i="1" a="1"/>
  <c r="M1399" i="1" s="1"/>
  <c r="M1402" i="1" a="1"/>
  <c r="M1402" i="1" s="1"/>
  <c r="M1403" i="1" a="1"/>
  <c r="M1403" i="1" s="1"/>
  <c r="M1404" i="1" a="1"/>
  <c r="M1404" i="1" s="1"/>
  <c r="M1405" i="1" a="1"/>
  <c r="M1405" i="1" s="1"/>
  <c r="M1406" i="1" a="1"/>
  <c r="M1406" i="1" s="1"/>
  <c r="M1407" i="1" a="1"/>
  <c r="M1407" i="1" s="1"/>
  <c r="M1408" i="1" a="1"/>
  <c r="M1408" i="1" s="1"/>
  <c r="M1409" i="1" a="1"/>
  <c r="M1409" i="1" s="1"/>
  <c r="M1410" i="1" a="1"/>
  <c r="M1410" i="1" s="1"/>
  <c r="M1411" i="1" a="1"/>
  <c r="M1411" i="1" s="1"/>
  <c r="M1412" i="1" a="1"/>
  <c r="M1412" i="1" s="1"/>
  <c r="M1413" i="1" a="1"/>
  <c r="M1413" i="1" s="1"/>
  <c r="M1414" i="1" a="1"/>
  <c r="M1414" i="1" s="1"/>
  <c r="M1415" i="1" a="1"/>
  <c r="M1415" i="1" s="1"/>
  <c r="M1416" i="1" a="1"/>
  <c r="M1416" i="1" s="1"/>
  <c r="M1417" i="1" a="1"/>
  <c r="M1417" i="1" s="1"/>
  <c r="M1418" i="1" a="1"/>
  <c r="M1418" i="1" s="1"/>
  <c r="M1419" i="1" a="1"/>
  <c r="M1419" i="1" s="1"/>
  <c r="M1420" i="1" a="1"/>
  <c r="M1420" i="1" s="1"/>
  <c r="M1421" i="1" a="1"/>
  <c r="M1421" i="1" s="1"/>
  <c r="M1422" i="1" a="1"/>
  <c r="M1422" i="1" s="1"/>
  <c r="M1423" i="1" a="1"/>
  <c r="M1423" i="1" s="1"/>
  <c r="M1424" i="1" a="1"/>
  <c r="M1424" i="1" s="1"/>
  <c r="M1425" i="1" a="1"/>
  <c r="M1425" i="1" s="1"/>
  <c r="M1426" i="1" a="1"/>
  <c r="M1426" i="1" s="1"/>
  <c r="M1427" i="1" a="1"/>
  <c r="M1427" i="1" s="1"/>
  <c r="M1428" i="1" a="1"/>
  <c r="M1428" i="1" s="1"/>
  <c r="M1429" i="1" a="1"/>
  <c r="M1429" i="1" s="1"/>
  <c r="M1430" i="1" a="1"/>
  <c r="M1430" i="1" s="1"/>
  <c r="M1431" i="1" a="1"/>
  <c r="M1431" i="1" s="1"/>
  <c r="M1432" i="1" a="1"/>
  <c r="M1432" i="1" s="1"/>
  <c r="M1433" i="1" a="1"/>
  <c r="M1433" i="1" s="1"/>
  <c r="M1434" i="1" a="1"/>
  <c r="M1434" i="1" s="1"/>
  <c r="M1435" i="1" a="1"/>
  <c r="M1435" i="1" s="1"/>
  <c r="M1436" i="1" a="1"/>
  <c r="M1436" i="1" s="1"/>
  <c r="M1437" i="1" a="1"/>
  <c r="M1437" i="1" s="1"/>
  <c r="M1438" i="1" a="1"/>
  <c r="M1438" i="1" s="1"/>
  <c r="M1439" i="1" a="1"/>
  <c r="M1439" i="1" s="1"/>
  <c r="M1440" i="1" a="1"/>
  <c r="M1440" i="1" s="1"/>
  <c r="M1441" i="1" a="1"/>
  <c r="M1441" i="1" s="1"/>
  <c r="M1442" i="1" a="1"/>
  <c r="M1442" i="1" s="1"/>
  <c r="M1443" i="1" a="1"/>
  <c r="M1443" i="1" s="1"/>
  <c r="M1444" i="1" a="1"/>
  <c r="M1444" i="1" s="1"/>
  <c r="M1445" i="1" a="1"/>
  <c r="M1445" i="1" s="1"/>
  <c r="M1446" i="1" a="1"/>
  <c r="M1446" i="1" s="1"/>
  <c r="M1447" i="1" a="1"/>
  <c r="M1447" i="1" s="1"/>
  <c r="M1448" i="1" a="1"/>
  <c r="M1448" i="1" s="1"/>
  <c r="M1449" i="1" a="1"/>
  <c r="M1449" i="1" s="1"/>
  <c r="M1450" i="1" a="1"/>
  <c r="M1450" i="1" s="1"/>
  <c r="M1451" i="1" a="1"/>
  <c r="M1451" i="1" s="1"/>
  <c r="M1452" i="1" a="1"/>
  <c r="M1452" i="1" s="1"/>
  <c r="M1453" i="1" a="1"/>
  <c r="M1453" i="1" s="1"/>
  <c r="M1454" i="1" a="1"/>
  <c r="M1454" i="1" s="1"/>
  <c r="M1455" i="1" a="1"/>
  <c r="M1455" i="1" s="1"/>
  <c r="M1456" i="1" a="1"/>
  <c r="M1456" i="1" s="1"/>
  <c r="M1457" i="1" a="1"/>
  <c r="M1457" i="1" s="1"/>
  <c r="M1458" i="1" a="1"/>
  <c r="M1458" i="1" s="1"/>
  <c r="M1459" i="1" a="1"/>
  <c r="M1459" i="1" s="1"/>
  <c r="J2" i="1" a="1"/>
  <c r="J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6" i="1" a="1"/>
  <c r="J626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 s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3" i="1" a="1"/>
  <c r="J663" i="1" s="1"/>
  <c r="J664" i="1" a="1"/>
  <c r="J664" i="1" s="1"/>
  <c r="J665" i="1" a="1"/>
  <c r="J665" i="1" s="1"/>
  <c r="J666" i="1" a="1"/>
  <c r="J666" i="1" s="1"/>
  <c r="J667" i="1" a="1"/>
  <c r="J667" i="1" s="1"/>
  <c r="J668" i="1" a="1"/>
  <c r="J668" i="1" s="1"/>
  <c r="J669" i="1" a="1"/>
  <c r="J669" i="1" s="1"/>
  <c r="J670" i="1" a="1"/>
  <c r="J670" i="1" s="1"/>
  <c r="J671" i="1" a="1"/>
  <c r="J671" i="1" s="1"/>
  <c r="J672" i="1" a="1"/>
  <c r="J672" i="1" s="1"/>
  <c r="J673" i="1" a="1"/>
  <c r="J673" i="1" s="1"/>
  <c r="J674" i="1" a="1"/>
  <c r="J674" i="1" s="1"/>
  <c r="J675" i="1" a="1"/>
  <c r="J675" i="1" s="1"/>
  <c r="J676" i="1" a="1"/>
  <c r="J676" i="1" s="1"/>
  <c r="J677" i="1" a="1"/>
  <c r="J677" i="1" s="1"/>
  <c r="J678" i="1" a="1"/>
  <c r="J678" i="1" s="1"/>
  <c r="J679" i="1" a="1"/>
  <c r="J679" i="1" s="1"/>
  <c r="J680" i="1" a="1"/>
  <c r="J680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6" i="1" a="1"/>
  <c r="J686" i="1" s="1"/>
  <c r="J687" i="1" a="1"/>
  <c r="J687" i="1" s="1"/>
  <c r="J688" i="1" a="1"/>
  <c r="J688" i="1" s="1"/>
  <c r="J689" i="1" a="1"/>
  <c r="J689" i="1" s="1"/>
  <c r="J690" i="1" a="1"/>
  <c r="J690" i="1" s="1"/>
  <c r="J691" i="1" a="1"/>
  <c r="J691" i="1" s="1"/>
  <c r="J692" i="1" a="1"/>
  <c r="J692" i="1" s="1"/>
  <c r="J693" i="1" a="1"/>
  <c r="J693" i="1" s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 s="1"/>
  <c r="J708" i="1" a="1"/>
  <c r="J708" i="1" s="1"/>
  <c r="J709" i="1" a="1"/>
  <c r="J709" i="1" s="1"/>
  <c r="J710" i="1" a="1"/>
  <c r="J710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 s="1"/>
  <c r="J724" i="1" a="1"/>
  <c r="J724" i="1" s="1"/>
  <c r="J725" i="1" a="1"/>
  <c r="J725" i="1" s="1"/>
  <c r="J726" i="1" a="1"/>
  <c r="J726" i="1" s="1"/>
  <c r="J727" i="1" a="1"/>
  <c r="J727" i="1" s="1"/>
  <c r="J728" i="1" a="1"/>
  <c r="J728" i="1" s="1"/>
  <c r="J729" i="1" a="1"/>
  <c r="J729" i="1" s="1"/>
  <c r="J730" i="1" a="1"/>
  <c r="J730" i="1" s="1"/>
  <c r="J731" i="1" a="1"/>
  <c r="J731" i="1" s="1"/>
  <c r="J732" i="1" a="1"/>
  <c r="J732" i="1" s="1"/>
  <c r="J733" i="1" a="1"/>
  <c r="J733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J765" i="1" a="1"/>
  <c r="J765" i="1" s="1"/>
  <c r="J766" i="1" a="1"/>
  <c r="J766" i="1" s="1"/>
  <c r="J767" i="1" a="1"/>
  <c r="J767" i="1" s="1"/>
  <c r="J768" i="1" a="1"/>
  <c r="J768" i="1" s="1"/>
  <c r="J769" i="1" a="1"/>
  <c r="J769" i="1" s="1"/>
  <c r="J770" i="1" a="1"/>
  <c r="J770" i="1" s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6" i="1" a="1"/>
  <c r="J776" i="1" s="1"/>
  <c r="J777" i="1" a="1"/>
  <c r="J777" i="1" s="1"/>
  <c r="J778" i="1" a="1"/>
  <c r="J778" i="1" s="1"/>
  <c r="J779" i="1" a="1"/>
  <c r="J779" i="1" s="1"/>
  <c r="J780" i="1" a="1"/>
  <c r="J780" i="1" s="1"/>
  <c r="J781" i="1" a="1"/>
  <c r="J781" i="1" s="1"/>
  <c r="J782" i="1" a="1"/>
  <c r="J782" i="1" s="1"/>
  <c r="J783" i="1" a="1"/>
  <c r="J783" i="1" s="1"/>
  <c r="J784" i="1" a="1"/>
  <c r="J784" i="1" s="1"/>
  <c r="J785" i="1" a="1"/>
  <c r="J785" i="1" s="1"/>
  <c r="J786" i="1" a="1"/>
  <c r="J786" i="1" s="1"/>
  <c r="J787" i="1" a="1"/>
  <c r="J787" i="1" s="1"/>
  <c r="J788" i="1" a="1"/>
  <c r="J788" i="1" s="1"/>
  <c r="J789" i="1" a="1"/>
  <c r="J789" i="1" s="1"/>
  <c r="J790" i="1" a="1"/>
  <c r="J790" i="1" s="1"/>
  <c r="J791" i="1" a="1"/>
  <c r="J791" i="1" s="1"/>
  <c r="J792" i="1" a="1"/>
  <c r="J792" i="1" s="1"/>
  <c r="J793" i="1" a="1"/>
  <c r="J793" i="1" s="1"/>
  <c r="J794" i="1" a="1"/>
  <c r="J794" i="1" s="1"/>
  <c r="J795" i="1" a="1"/>
  <c r="J795" i="1" s="1"/>
  <c r="J796" i="1" a="1"/>
  <c r="J796" i="1" s="1"/>
  <c r="J797" i="1" a="1"/>
  <c r="J797" i="1" s="1"/>
  <c r="J798" i="1" a="1"/>
  <c r="J798" i="1" s="1"/>
  <c r="J799" i="1" a="1"/>
  <c r="J799" i="1" s="1"/>
  <c r="J800" i="1" a="1"/>
  <c r="J800" i="1" s="1"/>
  <c r="J801" i="1" a="1"/>
  <c r="J801" i="1" s="1"/>
  <c r="J802" i="1" a="1"/>
  <c r="J802" i="1" s="1"/>
  <c r="J803" i="1" a="1"/>
  <c r="J803" i="1" s="1"/>
  <c r="J804" i="1" a="1"/>
  <c r="J804" i="1" s="1"/>
  <c r="J805" i="1" a="1"/>
  <c r="J805" i="1" s="1"/>
  <c r="J806" i="1" a="1"/>
  <c r="J806" i="1" s="1"/>
  <c r="J807" i="1" a="1"/>
  <c r="J807" i="1" s="1"/>
  <c r="J808" i="1" a="1"/>
  <c r="J808" i="1" s="1"/>
  <c r="J809" i="1" a="1"/>
  <c r="J809" i="1" s="1"/>
  <c r="J810" i="1" a="1"/>
  <c r="J810" i="1" s="1"/>
  <c r="J811" i="1" a="1"/>
  <c r="J811" i="1" s="1"/>
  <c r="J812" i="1" a="1"/>
  <c r="J812" i="1" s="1"/>
  <c r="J813" i="1" a="1"/>
  <c r="J813" i="1" s="1"/>
  <c r="J814" i="1" a="1"/>
  <c r="J814" i="1" s="1"/>
  <c r="J815" i="1" a="1"/>
  <c r="J815" i="1" s="1"/>
  <c r="J816" i="1" a="1"/>
  <c r="J816" i="1" s="1"/>
  <c r="J817" i="1" a="1"/>
  <c r="J817" i="1" s="1"/>
  <c r="J818" i="1" a="1"/>
  <c r="J818" i="1" s="1"/>
  <c r="J819" i="1" a="1"/>
  <c r="J819" i="1" s="1"/>
  <c r="J820" i="1" a="1"/>
  <c r="J820" i="1" s="1"/>
  <c r="J821" i="1" a="1"/>
  <c r="J821" i="1" s="1"/>
  <c r="J822" i="1" a="1"/>
  <c r="J822" i="1" s="1"/>
  <c r="J823" i="1" a="1"/>
  <c r="J823" i="1" s="1"/>
  <c r="J824" i="1" a="1"/>
  <c r="J824" i="1" s="1"/>
  <c r="J825" i="1" a="1"/>
  <c r="J825" i="1" s="1"/>
  <c r="J830" i="1" a="1"/>
  <c r="J830" i="1" s="1"/>
  <c r="J831" i="1" a="1"/>
  <c r="J831" i="1" s="1"/>
  <c r="J832" i="1" a="1"/>
  <c r="J832" i="1" s="1"/>
  <c r="J833" i="1" a="1"/>
  <c r="J833" i="1" s="1"/>
  <c r="J834" i="1" a="1"/>
  <c r="J834" i="1" s="1"/>
  <c r="J835" i="1" a="1"/>
  <c r="J835" i="1" s="1"/>
  <c r="J836" i="1" a="1"/>
  <c r="J836" i="1" s="1"/>
  <c r="J837" i="1" a="1"/>
  <c r="J837" i="1" s="1"/>
  <c r="J838" i="1" a="1"/>
  <c r="J838" i="1" s="1"/>
  <c r="J839" i="1" a="1"/>
  <c r="J839" i="1" s="1"/>
  <c r="J840" i="1" a="1"/>
  <c r="J840" i="1" s="1"/>
  <c r="J841" i="1" a="1"/>
  <c r="J841" i="1" s="1"/>
  <c r="J842" i="1" a="1"/>
  <c r="J842" i="1" s="1"/>
  <c r="J843" i="1" a="1"/>
  <c r="J843" i="1" s="1"/>
  <c r="J844" i="1" a="1"/>
  <c r="J844" i="1" s="1"/>
  <c r="J845" i="1" a="1"/>
  <c r="J845" i="1" s="1"/>
  <c r="J846" i="1" a="1"/>
  <c r="J846" i="1" s="1"/>
  <c r="J847" i="1" a="1"/>
  <c r="J847" i="1" s="1"/>
  <c r="J848" i="1" a="1"/>
  <c r="J848" i="1" s="1"/>
  <c r="J849" i="1" a="1"/>
  <c r="J849" i="1" s="1"/>
  <c r="J850" i="1" a="1"/>
  <c r="J850" i="1" s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 s="1"/>
  <c r="J857" i="1" a="1"/>
  <c r="J857" i="1" s="1"/>
  <c r="J858" i="1" a="1"/>
  <c r="J858" i="1" s="1"/>
  <c r="J859" i="1" a="1"/>
  <c r="J859" i="1" s="1"/>
  <c r="J860" i="1" a="1"/>
  <c r="J860" i="1" s="1"/>
  <c r="J861" i="1" a="1"/>
  <c r="J861" i="1" s="1"/>
  <c r="J862" i="1" a="1"/>
  <c r="J862" i="1" s="1"/>
  <c r="J863" i="1" a="1"/>
  <c r="J863" i="1" s="1"/>
  <c r="J864" i="1" a="1"/>
  <c r="J864" i="1" s="1"/>
  <c r="J865" i="1" a="1"/>
  <c r="J865" i="1" s="1"/>
  <c r="J866" i="1" a="1"/>
  <c r="J866" i="1" s="1"/>
  <c r="J867" i="1" a="1"/>
  <c r="J867" i="1" s="1"/>
  <c r="J868" i="1" a="1"/>
  <c r="J868" i="1" s="1"/>
  <c r="J869" i="1" a="1"/>
  <c r="J869" i="1" s="1"/>
  <c r="J870" i="1" a="1"/>
  <c r="J870" i="1" s="1"/>
  <c r="J871" i="1" a="1"/>
  <c r="J871" i="1" s="1"/>
  <c r="J872" i="1" a="1"/>
  <c r="J872" i="1" s="1"/>
  <c r="J873" i="1" a="1"/>
  <c r="J873" i="1" s="1"/>
  <c r="J874" i="1" a="1"/>
  <c r="J874" i="1" s="1"/>
  <c r="J875" i="1" a="1"/>
  <c r="J875" i="1" s="1"/>
  <c r="J876" i="1" a="1"/>
  <c r="J876" i="1" s="1"/>
  <c r="J877" i="1" a="1"/>
  <c r="J877" i="1" s="1"/>
  <c r="J878" i="1" a="1"/>
  <c r="J878" i="1" s="1"/>
  <c r="J879" i="1" a="1"/>
  <c r="J879" i="1" s="1"/>
  <c r="J880" i="1" a="1"/>
  <c r="J880" i="1" s="1"/>
  <c r="J881" i="1" a="1"/>
  <c r="J881" i="1" s="1"/>
  <c r="J882" i="1" a="1"/>
  <c r="J882" i="1" s="1"/>
  <c r="J883" i="1" a="1"/>
  <c r="J883" i="1" s="1"/>
  <c r="J884" i="1" a="1"/>
  <c r="J884" i="1" s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0" i="1" a="1"/>
  <c r="J890" i="1" s="1"/>
  <c r="J891" i="1" a="1"/>
  <c r="J891" i="1" s="1"/>
  <c r="J892" i="1" a="1"/>
  <c r="J892" i="1" s="1"/>
  <c r="J893" i="1" a="1"/>
  <c r="J893" i="1" s="1"/>
  <c r="J894" i="1" a="1"/>
  <c r="J894" i="1" s="1"/>
  <c r="J895" i="1" a="1"/>
  <c r="J895" i="1" s="1"/>
  <c r="J896" i="1" a="1"/>
  <c r="J896" i="1" s="1"/>
  <c r="J897" i="1" a="1"/>
  <c r="J897" i="1" s="1"/>
  <c r="J898" i="1" a="1"/>
  <c r="J898" i="1" s="1"/>
  <c r="J899" i="1" a="1"/>
  <c r="J899" i="1" s="1"/>
  <c r="J900" i="1" a="1"/>
  <c r="J900" i="1" s="1"/>
  <c r="J901" i="1" a="1"/>
  <c r="J901" i="1" s="1"/>
  <c r="J902" i="1" a="1"/>
  <c r="J902" i="1" s="1"/>
  <c r="J903" i="1" a="1"/>
  <c r="J903" i="1" s="1"/>
  <c r="J904" i="1" a="1"/>
  <c r="J904" i="1" s="1"/>
  <c r="J905" i="1" a="1"/>
  <c r="J905" i="1" s="1"/>
  <c r="J906" i="1" a="1"/>
  <c r="J906" i="1" s="1"/>
  <c r="J907" i="1" a="1"/>
  <c r="J907" i="1" s="1"/>
  <c r="J908" i="1" a="1"/>
  <c r="J908" i="1" s="1"/>
  <c r="J909" i="1" a="1"/>
  <c r="J909" i="1" s="1"/>
  <c r="J910" i="1" a="1"/>
  <c r="J910" i="1" s="1"/>
  <c r="J911" i="1" a="1"/>
  <c r="J911" i="1" s="1"/>
  <c r="J912" i="1" a="1"/>
  <c r="J912" i="1" s="1"/>
  <c r="J913" i="1" a="1"/>
  <c r="J913" i="1" s="1"/>
  <c r="J914" i="1" a="1"/>
  <c r="J914" i="1" s="1"/>
  <c r="J915" i="1" a="1"/>
  <c r="J915" i="1" s="1"/>
  <c r="J916" i="1" a="1"/>
  <c r="J916" i="1" s="1"/>
  <c r="J917" i="1" a="1"/>
  <c r="J917" i="1" s="1"/>
  <c r="J918" i="1" a="1"/>
  <c r="J918" i="1" s="1"/>
  <c r="J919" i="1" a="1"/>
  <c r="J919" i="1" s="1"/>
  <c r="J920" i="1" a="1"/>
  <c r="J920" i="1" s="1"/>
  <c r="J921" i="1" a="1"/>
  <c r="J921" i="1" s="1"/>
  <c r="J922" i="1" a="1"/>
  <c r="J922" i="1" s="1"/>
  <c r="J923" i="1" a="1"/>
  <c r="J923" i="1" s="1"/>
  <c r="J924" i="1" a="1"/>
  <c r="J924" i="1" s="1"/>
  <c r="J925" i="1" a="1"/>
  <c r="J925" i="1" s="1"/>
  <c r="J926" i="1" a="1"/>
  <c r="J926" i="1" s="1"/>
  <c r="J927" i="1" a="1"/>
  <c r="J927" i="1" s="1"/>
  <c r="J928" i="1" a="1"/>
  <c r="J928" i="1" s="1"/>
  <c r="J929" i="1" a="1"/>
  <c r="J929" i="1" s="1"/>
  <c r="J930" i="1" a="1"/>
  <c r="J930" i="1" s="1"/>
  <c r="J931" i="1" a="1"/>
  <c r="J931" i="1" s="1"/>
  <c r="J932" i="1" a="1"/>
  <c r="J932" i="1" s="1"/>
  <c r="J933" i="1" a="1"/>
  <c r="J933" i="1" s="1"/>
  <c r="J934" i="1" a="1"/>
  <c r="J934" i="1" s="1"/>
  <c r="J935" i="1" a="1"/>
  <c r="J935" i="1" s="1"/>
  <c r="J936" i="1" a="1"/>
  <c r="J936" i="1" s="1"/>
  <c r="J937" i="1" a="1"/>
  <c r="J937" i="1" s="1"/>
  <c r="J938" i="1" a="1"/>
  <c r="J938" i="1" s="1"/>
  <c r="J939" i="1" a="1"/>
  <c r="J939" i="1" s="1"/>
  <c r="J940" i="1" a="1"/>
  <c r="J940" i="1" s="1"/>
  <c r="J941" i="1" a="1"/>
  <c r="J941" i="1" s="1"/>
  <c r="J942" i="1" a="1"/>
  <c r="J942" i="1" s="1"/>
  <c r="J943" i="1" a="1"/>
  <c r="J943" i="1" s="1"/>
  <c r="J944" i="1" a="1"/>
  <c r="J944" i="1" s="1"/>
  <c r="J945" i="1" a="1"/>
  <c r="J945" i="1" s="1"/>
  <c r="J946" i="1" a="1"/>
  <c r="J946" i="1" s="1"/>
  <c r="J947" i="1" a="1"/>
  <c r="J947" i="1" s="1"/>
  <c r="J948" i="1" a="1"/>
  <c r="J948" i="1" s="1"/>
  <c r="J949" i="1" a="1"/>
  <c r="J949" i="1" s="1"/>
  <c r="J950" i="1" a="1"/>
  <c r="J950" i="1" s="1"/>
  <c r="J951" i="1" a="1"/>
  <c r="J951" i="1" s="1"/>
  <c r="J952" i="1" a="1"/>
  <c r="J952" i="1" s="1"/>
  <c r="J953" i="1" a="1"/>
  <c r="J953" i="1" s="1"/>
  <c r="J954" i="1" a="1"/>
  <c r="J954" i="1" s="1"/>
  <c r="J955" i="1" a="1"/>
  <c r="J955" i="1" s="1"/>
  <c r="J956" i="1" a="1"/>
  <c r="J956" i="1" s="1"/>
  <c r="J957" i="1" a="1"/>
  <c r="J957" i="1" s="1"/>
  <c r="J958" i="1" a="1"/>
  <c r="J958" i="1" s="1"/>
  <c r="J959" i="1" a="1"/>
  <c r="J959" i="1" s="1"/>
  <c r="J960" i="1" a="1"/>
  <c r="J960" i="1" s="1"/>
  <c r="J961" i="1" a="1"/>
  <c r="J961" i="1" s="1"/>
  <c r="J962" i="1" a="1"/>
  <c r="J962" i="1" s="1"/>
  <c r="J963" i="1" a="1"/>
  <c r="J963" i="1" s="1"/>
  <c r="J964" i="1" a="1"/>
  <c r="J964" i="1" s="1"/>
  <c r="J965" i="1" a="1"/>
  <c r="J965" i="1" s="1"/>
  <c r="J966" i="1" a="1"/>
  <c r="J966" i="1" s="1"/>
  <c r="J967" i="1" a="1"/>
  <c r="J967" i="1" s="1"/>
  <c r="J968" i="1" a="1"/>
  <c r="J968" i="1" s="1"/>
  <c r="J969" i="1" a="1"/>
  <c r="J969" i="1" s="1"/>
  <c r="J970" i="1" a="1"/>
  <c r="J970" i="1" s="1"/>
  <c r="J971" i="1" a="1"/>
  <c r="J971" i="1" s="1"/>
  <c r="J972" i="1" a="1"/>
  <c r="J972" i="1" s="1"/>
  <c r="J973" i="1" a="1"/>
  <c r="J973" i="1" s="1"/>
  <c r="J974" i="1" a="1"/>
  <c r="J974" i="1" s="1"/>
  <c r="J975" i="1" a="1"/>
  <c r="J975" i="1" s="1"/>
  <c r="J976" i="1" a="1"/>
  <c r="J976" i="1" s="1"/>
  <c r="J977" i="1" a="1"/>
  <c r="J977" i="1" s="1"/>
  <c r="J978" i="1" a="1"/>
  <c r="J978" i="1" s="1"/>
  <c r="J979" i="1" a="1"/>
  <c r="J979" i="1" s="1"/>
  <c r="J980" i="1" a="1"/>
  <c r="J980" i="1" s="1"/>
  <c r="J981" i="1" a="1"/>
  <c r="J981" i="1" s="1"/>
  <c r="J982" i="1" a="1"/>
  <c r="J982" i="1" s="1"/>
  <c r="J983" i="1" a="1"/>
  <c r="J983" i="1" s="1"/>
  <c r="J984" i="1" a="1"/>
  <c r="J984" i="1" s="1"/>
  <c r="J985" i="1" a="1"/>
  <c r="J985" i="1" s="1"/>
  <c r="J986" i="1" a="1"/>
  <c r="J986" i="1" s="1"/>
  <c r="J987" i="1" a="1"/>
  <c r="J987" i="1" s="1"/>
  <c r="J988" i="1" a="1"/>
  <c r="J988" i="1" s="1"/>
  <c r="J989" i="1" a="1"/>
  <c r="J989" i="1" s="1"/>
  <c r="J990" i="1" a="1"/>
  <c r="J990" i="1" s="1"/>
  <c r="J991" i="1" a="1"/>
  <c r="J991" i="1" s="1"/>
  <c r="J992" i="1" a="1"/>
  <c r="J992" i="1" s="1"/>
  <c r="J993" i="1" a="1"/>
  <c r="J993" i="1" s="1"/>
  <c r="J994" i="1" a="1"/>
  <c r="J994" i="1" s="1"/>
  <c r="J995" i="1" a="1"/>
  <c r="J995" i="1" s="1"/>
  <c r="J996" i="1" a="1"/>
  <c r="J996" i="1" s="1"/>
  <c r="J997" i="1" a="1"/>
  <c r="J997" i="1" s="1"/>
  <c r="J998" i="1" a="1"/>
  <c r="J998" i="1" s="1"/>
  <c r="J1003" i="1" a="1"/>
  <c r="J1003" i="1" s="1"/>
  <c r="J1004" i="1" a="1"/>
  <c r="J1004" i="1" s="1"/>
  <c r="J1005" i="1" a="1"/>
  <c r="J1005" i="1" s="1"/>
  <c r="J1006" i="1" a="1"/>
  <c r="J1006" i="1" s="1"/>
  <c r="J1007" i="1" a="1"/>
  <c r="J1007" i="1" s="1"/>
  <c r="J1008" i="1" a="1"/>
  <c r="J1008" i="1" s="1"/>
  <c r="J1009" i="1" a="1"/>
  <c r="J1009" i="1" s="1"/>
  <c r="J1010" i="1" a="1"/>
  <c r="J1010" i="1" s="1"/>
  <c r="J1011" i="1" a="1"/>
  <c r="J1011" i="1" s="1"/>
  <c r="J1012" i="1" a="1"/>
  <c r="J1012" i="1" s="1"/>
  <c r="J1013" i="1" a="1"/>
  <c r="J1013" i="1" s="1"/>
  <c r="J1014" i="1" a="1"/>
  <c r="J1014" i="1" s="1"/>
  <c r="J1015" i="1" a="1"/>
  <c r="J1015" i="1" s="1"/>
  <c r="J1016" i="1" a="1"/>
  <c r="J1016" i="1" s="1"/>
  <c r="J1017" i="1" a="1"/>
  <c r="J1017" i="1" s="1"/>
  <c r="J1018" i="1" a="1"/>
  <c r="J1018" i="1" s="1"/>
  <c r="J1019" i="1" a="1"/>
  <c r="J1019" i="1" s="1"/>
  <c r="J1020" i="1" a="1"/>
  <c r="J1020" i="1" s="1"/>
  <c r="J1021" i="1" a="1"/>
  <c r="J1021" i="1" s="1"/>
  <c r="J1022" i="1" a="1"/>
  <c r="J1022" i="1" s="1"/>
  <c r="J1023" i="1" a="1"/>
  <c r="J1023" i="1" s="1"/>
  <c r="J1024" i="1" a="1"/>
  <c r="J1024" i="1" s="1"/>
  <c r="J1025" i="1" a="1"/>
  <c r="J1025" i="1" s="1"/>
  <c r="J1026" i="1" a="1"/>
  <c r="J1026" i="1" s="1"/>
  <c r="J1027" i="1" a="1"/>
  <c r="J1027" i="1" s="1"/>
  <c r="J1028" i="1" a="1"/>
  <c r="J1028" i="1" s="1"/>
  <c r="J1029" i="1" a="1"/>
  <c r="J1029" i="1" s="1"/>
  <c r="J1030" i="1" a="1"/>
  <c r="J1030" i="1" s="1"/>
  <c r="J1031" i="1" a="1"/>
  <c r="J1031" i="1" s="1"/>
  <c r="J1032" i="1" a="1"/>
  <c r="J1032" i="1" s="1"/>
  <c r="J1033" i="1" a="1"/>
  <c r="J1033" i="1" s="1"/>
  <c r="J1034" i="1" a="1"/>
  <c r="J1034" i="1" s="1"/>
  <c r="J1035" i="1" a="1"/>
  <c r="J1035" i="1" s="1"/>
  <c r="J1036" i="1" a="1"/>
  <c r="J1036" i="1" s="1"/>
  <c r="J1037" i="1" a="1"/>
  <c r="J1037" i="1" s="1"/>
  <c r="J1038" i="1" a="1"/>
  <c r="J1038" i="1" s="1"/>
  <c r="J1039" i="1" a="1"/>
  <c r="J1039" i="1" s="1"/>
  <c r="J1040" i="1" a="1"/>
  <c r="J1040" i="1" s="1"/>
  <c r="J1041" i="1" a="1"/>
  <c r="J1041" i="1" s="1"/>
  <c r="J1042" i="1" a="1"/>
  <c r="J1042" i="1" s="1"/>
  <c r="J1043" i="1" a="1"/>
  <c r="J1043" i="1" s="1"/>
  <c r="J1044" i="1" a="1"/>
  <c r="J1044" i="1" s="1"/>
  <c r="J1045" i="1" a="1"/>
  <c r="J1045" i="1" s="1"/>
  <c r="J1046" i="1" a="1"/>
  <c r="J1046" i="1" s="1"/>
  <c r="J1047" i="1" a="1"/>
  <c r="J1047" i="1" s="1"/>
  <c r="J1048" i="1" a="1"/>
  <c r="J1048" i="1" s="1"/>
  <c r="J1049" i="1" a="1"/>
  <c r="J1049" i="1" s="1"/>
  <c r="J1050" i="1" a="1"/>
  <c r="J1050" i="1" s="1"/>
  <c r="J1051" i="1" a="1"/>
  <c r="J1051" i="1" s="1"/>
  <c r="J1052" i="1" a="1"/>
  <c r="J1052" i="1" s="1"/>
  <c r="J1053" i="1" a="1"/>
  <c r="J1053" i="1" s="1"/>
  <c r="J1054" i="1" a="1"/>
  <c r="J1054" i="1" s="1"/>
  <c r="J1055" i="1" a="1"/>
  <c r="J1055" i="1" s="1"/>
  <c r="J1056" i="1" a="1"/>
  <c r="J1056" i="1" s="1"/>
  <c r="J1057" i="1" a="1"/>
  <c r="J1057" i="1" s="1"/>
  <c r="J1058" i="1" a="1"/>
  <c r="J1058" i="1" s="1"/>
  <c r="J1059" i="1" a="1"/>
  <c r="J1059" i="1" s="1"/>
  <c r="J1060" i="1" a="1"/>
  <c r="J1060" i="1" s="1"/>
  <c r="J1061" i="1" a="1"/>
  <c r="J1061" i="1" s="1"/>
  <c r="J1062" i="1" a="1"/>
  <c r="J1062" i="1" s="1"/>
  <c r="J1063" i="1" a="1"/>
  <c r="J1063" i="1" s="1"/>
  <c r="J1064" i="1" a="1"/>
  <c r="J1064" i="1" s="1"/>
  <c r="J1065" i="1" a="1"/>
  <c r="J1065" i="1" s="1"/>
  <c r="J1066" i="1" a="1"/>
  <c r="J1066" i="1" s="1"/>
  <c r="J1067" i="1" a="1"/>
  <c r="J1067" i="1" s="1"/>
  <c r="J1068" i="1" a="1"/>
  <c r="J1068" i="1" s="1"/>
  <c r="J1069" i="1" a="1"/>
  <c r="J1069" i="1" s="1"/>
  <c r="J1070" i="1" a="1"/>
  <c r="J1070" i="1" s="1"/>
  <c r="J1071" i="1" a="1"/>
  <c r="J1071" i="1" s="1"/>
  <c r="J1072" i="1" a="1"/>
  <c r="J1072" i="1" s="1"/>
  <c r="J1073" i="1" a="1"/>
  <c r="J1073" i="1" s="1"/>
  <c r="J1074" i="1" a="1"/>
  <c r="J1074" i="1" s="1"/>
  <c r="J1075" i="1" a="1"/>
  <c r="J1075" i="1" s="1"/>
  <c r="J1076" i="1" a="1"/>
  <c r="J1076" i="1" s="1"/>
  <c r="J1077" i="1" a="1"/>
  <c r="J1077" i="1" s="1"/>
  <c r="J1078" i="1" a="1"/>
  <c r="J1078" i="1" s="1"/>
  <c r="J1079" i="1" a="1"/>
  <c r="J1079" i="1" s="1"/>
  <c r="J1080" i="1" a="1"/>
  <c r="J1080" i="1" s="1"/>
  <c r="J1081" i="1" a="1"/>
  <c r="J1081" i="1" s="1"/>
  <c r="J1082" i="1" a="1"/>
  <c r="J1082" i="1" s="1"/>
  <c r="J1083" i="1" a="1"/>
  <c r="J1083" i="1" s="1"/>
  <c r="J1084" i="1" a="1"/>
  <c r="J1084" i="1" s="1"/>
  <c r="J1085" i="1" a="1"/>
  <c r="J1085" i="1" s="1"/>
  <c r="J1086" i="1" a="1"/>
  <c r="J1086" i="1" s="1"/>
  <c r="J1087" i="1" a="1"/>
  <c r="J1087" i="1" s="1"/>
  <c r="J1088" i="1" a="1"/>
  <c r="J1088" i="1" s="1"/>
  <c r="J1089" i="1" a="1"/>
  <c r="J1089" i="1" s="1"/>
  <c r="J1090" i="1" a="1"/>
  <c r="J1090" i="1" s="1"/>
  <c r="J1091" i="1" a="1"/>
  <c r="J1091" i="1" s="1"/>
  <c r="J1092" i="1" a="1"/>
  <c r="J1092" i="1" s="1"/>
  <c r="J1093" i="1" a="1"/>
  <c r="J1093" i="1" s="1"/>
  <c r="J1094" i="1" a="1"/>
  <c r="J1094" i="1" s="1"/>
  <c r="J1095" i="1" a="1"/>
  <c r="J1095" i="1" s="1"/>
  <c r="J1096" i="1" a="1"/>
  <c r="J1096" i="1" s="1"/>
  <c r="J1097" i="1" a="1"/>
  <c r="J1097" i="1" s="1"/>
  <c r="J1098" i="1" a="1"/>
  <c r="J1098" i="1" s="1"/>
  <c r="J1099" i="1" a="1"/>
  <c r="J1099" i="1" s="1"/>
  <c r="J1100" i="1" a="1"/>
  <c r="J1100" i="1" s="1"/>
  <c r="J1101" i="1" a="1"/>
  <c r="J1101" i="1" s="1"/>
  <c r="J1102" i="1" a="1"/>
  <c r="J1102" i="1" s="1"/>
  <c r="J1103" i="1" a="1"/>
  <c r="J1103" i="1" s="1"/>
  <c r="J1104" i="1" a="1"/>
  <c r="J1104" i="1" s="1"/>
  <c r="J1105" i="1" a="1"/>
  <c r="J1105" i="1" s="1"/>
  <c r="J1106" i="1" a="1"/>
  <c r="J1106" i="1" s="1"/>
  <c r="J1107" i="1" a="1"/>
  <c r="J1107" i="1" s="1"/>
  <c r="J1108" i="1" a="1"/>
  <c r="J1108" i="1" s="1"/>
  <c r="J1109" i="1" a="1"/>
  <c r="J1109" i="1" s="1"/>
  <c r="J1110" i="1" a="1"/>
  <c r="J1110" i="1" s="1"/>
  <c r="J1111" i="1" a="1"/>
  <c r="J1111" i="1" s="1"/>
  <c r="J1112" i="1" a="1"/>
  <c r="J1112" i="1" s="1"/>
  <c r="J1113" i="1" a="1"/>
  <c r="J1113" i="1" s="1"/>
  <c r="J1114" i="1" a="1"/>
  <c r="J1114" i="1" s="1"/>
  <c r="J1115" i="1" a="1"/>
  <c r="J1115" i="1" s="1"/>
  <c r="J1116" i="1" a="1"/>
  <c r="J1116" i="1" s="1"/>
  <c r="J1117" i="1" a="1"/>
  <c r="J1117" i="1" s="1"/>
  <c r="J1118" i="1" a="1"/>
  <c r="J1118" i="1" s="1"/>
  <c r="J1119" i="1" a="1"/>
  <c r="J1119" i="1" s="1"/>
  <c r="J1120" i="1" a="1"/>
  <c r="J1120" i="1" s="1"/>
  <c r="J1121" i="1" a="1"/>
  <c r="J1121" i="1" s="1"/>
  <c r="J1122" i="1" a="1"/>
  <c r="J1122" i="1" s="1"/>
  <c r="J1123" i="1" a="1"/>
  <c r="J1123" i="1" s="1"/>
  <c r="J1124" i="1" a="1"/>
  <c r="J1124" i="1" s="1"/>
  <c r="J1125" i="1" a="1"/>
  <c r="J1125" i="1" s="1"/>
  <c r="J1126" i="1" a="1"/>
  <c r="J1126" i="1" s="1"/>
  <c r="J1127" i="1" a="1"/>
  <c r="J1127" i="1" s="1"/>
  <c r="J1128" i="1" a="1"/>
  <c r="J1128" i="1" s="1"/>
  <c r="J1129" i="1" a="1"/>
  <c r="J1129" i="1" s="1"/>
  <c r="J1130" i="1" a="1"/>
  <c r="J1130" i="1" s="1"/>
  <c r="J1131" i="1" a="1"/>
  <c r="J1131" i="1" s="1"/>
  <c r="J1132" i="1" a="1"/>
  <c r="J1132" i="1" s="1"/>
  <c r="J1133" i="1" a="1"/>
  <c r="J1133" i="1" s="1"/>
  <c r="J1134" i="1" a="1"/>
  <c r="J1134" i="1" s="1"/>
  <c r="J1135" i="1" a="1"/>
  <c r="J1135" i="1" s="1"/>
  <c r="J1136" i="1" a="1"/>
  <c r="J1136" i="1" s="1"/>
  <c r="J1137" i="1" a="1"/>
  <c r="J1137" i="1" s="1"/>
  <c r="J1138" i="1" a="1"/>
  <c r="J1138" i="1" s="1"/>
  <c r="J1139" i="1" a="1"/>
  <c r="J1139" i="1" s="1"/>
  <c r="J1140" i="1" a="1"/>
  <c r="J1140" i="1" s="1"/>
  <c r="J1141" i="1" a="1"/>
  <c r="J1141" i="1" s="1"/>
  <c r="J1142" i="1" a="1"/>
  <c r="J1142" i="1" s="1"/>
  <c r="J1143" i="1" a="1"/>
  <c r="J1143" i="1" s="1"/>
  <c r="J1144" i="1" a="1"/>
  <c r="J1144" i="1" s="1"/>
  <c r="J1145" i="1" a="1"/>
  <c r="J1145" i="1" s="1"/>
  <c r="J1146" i="1" a="1"/>
  <c r="J1146" i="1" s="1"/>
  <c r="J1147" i="1" a="1"/>
  <c r="J1147" i="1" s="1"/>
  <c r="J1148" i="1" a="1"/>
  <c r="J1148" i="1" s="1"/>
  <c r="J1149" i="1" a="1"/>
  <c r="J1149" i="1" s="1"/>
  <c r="J1150" i="1" a="1"/>
  <c r="J1150" i="1" s="1"/>
  <c r="J1151" i="1" a="1"/>
  <c r="J1151" i="1" s="1"/>
  <c r="J1152" i="1" a="1"/>
  <c r="J1152" i="1" s="1"/>
  <c r="J1153" i="1" a="1"/>
  <c r="J1153" i="1" s="1"/>
  <c r="J1154" i="1" a="1"/>
  <c r="J1154" i="1" s="1"/>
  <c r="J1155" i="1" a="1"/>
  <c r="J1155" i="1" s="1"/>
  <c r="J1156" i="1" a="1"/>
  <c r="J1156" i="1" s="1"/>
  <c r="J1157" i="1" a="1"/>
  <c r="J1157" i="1" s="1"/>
  <c r="J1158" i="1" a="1"/>
  <c r="J1158" i="1" s="1"/>
  <c r="J1159" i="1" a="1"/>
  <c r="J1159" i="1" s="1"/>
  <c r="J1160" i="1" a="1"/>
  <c r="J1160" i="1" s="1"/>
  <c r="J1161" i="1" a="1"/>
  <c r="J1161" i="1" s="1"/>
  <c r="J1162" i="1" a="1"/>
  <c r="J1162" i="1" s="1"/>
  <c r="J1163" i="1" a="1"/>
  <c r="J1163" i="1" s="1"/>
  <c r="J1164" i="1" a="1"/>
  <c r="J1164" i="1" s="1"/>
  <c r="J1165" i="1" a="1"/>
  <c r="J1165" i="1" s="1"/>
  <c r="J1166" i="1" a="1"/>
  <c r="J1166" i="1" s="1"/>
  <c r="J1167" i="1" a="1"/>
  <c r="J1167" i="1" s="1"/>
  <c r="J1168" i="1" a="1"/>
  <c r="J1168" i="1" s="1"/>
  <c r="J1169" i="1" a="1"/>
  <c r="J1169" i="1" s="1"/>
  <c r="J1170" i="1" a="1"/>
  <c r="J1170" i="1" s="1"/>
  <c r="J1171" i="1" a="1"/>
  <c r="J1171" i="1" s="1"/>
  <c r="J1172" i="1" a="1"/>
  <c r="J1172" i="1" s="1"/>
  <c r="J1173" i="1" a="1"/>
  <c r="J1173" i="1" s="1"/>
  <c r="J1174" i="1" a="1"/>
  <c r="J1174" i="1" s="1"/>
  <c r="J1175" i="1" a="1"/>
  <c r="J1175" i="1" s="1"/>
  <c r="J1176" i="1" a="1"/>
  <c r="J1176" i="1" s="1"/>
  <c r="J1177" i="1" a="1"/>
  <c r="J1177" i="1" s="1"/>
  <c r="J1178" i="1" a="1"/>
  <c r="J1178" i="1" s="1"/>
  <c r="J1179" i="1" a="1"/>
  <c r="J1179" i="1" s="1"/>
  <c r="J1180" i="1" a="1"/>
  <c r="J1180" i="1" s="1"/>
  <c r="J1181" i="1" a="1"/>
  <c r="J1181" i="1" s="1"/>
  <c r="J1182" i="1" a="1"/>
  <c r="J1182" i="1" s="1"/>
  <c r="J1183" i="1" a="1"/>
  <c r="J1183" i="1" s="1"/>
  <c r="J1184" i="1" a="1"/>
  <c r="J1184" i="1" s="1"/>
  <c r="J1185" i="1" a="1"/>
  <c r="J1185" i="1" s="1"/>
  <c r="J1186" i="1" a="1"/>
  <c r="J1186" i="1" s="1"/>
  <c r="J1187" i="1" a="1"/>
  <c r="J1187" i="1" s="1"/>
  <c r="J1188" i="1" a="1"/>
  <c r="J1188" i="1" s="1"/>
  <c r="J1189" i="1" a="1"/>
  <c r="J1189" i="1" s="1"/>
  <c r="J1190" i="1" a="1"/>
  <c r="J1190" i="1" s="1"/>
  <c r="J1191" i="1" a="1"/>
  <c r="J1191" i="1" s="1"/>
  <c r="J1192" i="1" a="1"/>
  <c r="J1192" i="1" s="1"/>
  <c r="J1193" i="1" a="1"/>
  <c r="J1193" i="1" s="1"/>
  <c r="J1194" i="1" a="1"/>
  <c r="J1194" i="1" s="1"/>
  <c r="J1195" i="1" a="1"/>
  <c r="J1195" i="1" s="1"/>
  <c r="J1196" i="1" a="1"/>
  <c r="J1196" i="1" s="1"/>
  <c r="J1197" i="1" a="1"/>
  <c r="J1197" i="1" s="1"/>
  <c r="J1198" i="1" a="1"/>
  <c r="J1198" i="1" s="1"/>
  <c r="J1199" i="1" a="1"/>
  <c r="J1199" i="1" s="1"/>
  <c r="J1200" i="1" a="1"/>
  <c r="J1200" i="1" s="1"/>
  <c r="J1201" i="1" a="1"/>
  <c r="J1201" i="1" s="1"/>
  <c r="J1202" i="1" a="1"/>
  <c r="J1202" i="1" s="1"/>
  <c r="J1203" i="1" a="1"/>
  <c r="J1203" i="1" s="1"/>
  <c r="J1204" i="1" a="1"/>
  <c r="J1204" i="1" s="1"/>
  <c r="J1205" i="1" a="1"/>
  <c r="J1205" i="1" s="1"/>
  <c r="J1206" i="1" a="1"/>
  <c r="J1206" i="1" s="1"/>
  <c r="J1207" i="1" a="1"/>
  <c r="J1207" i="1" s="1"/>
  <c r="J1208" i="1" a="1"/>
  <c r="J1208" i="1" s="1"/>
  <c r="J1209" i="1" a="1"/>
  <c r="J1209" i="1" s="1"/>
  <c r="J1210" i="1" a="1"/>
  <c r="J1210" i="1" s="1"/>
  <c r="J1211" i="1" a="1"/>
  <c r="J1211" i="1" s="1"/>
  <c r="J1212" i="1" a="1"/>
  <c r="J1212" i="1" s="1"/>
  <c r="J1213" i="1" a="1"/>
  <c r="J1213" i="1" s="1"/>
  <c r="J1214" i="1" a="1"/>
  <c r="J1214" i="1" s="1"/>
  <c r="J1215" i="1" a="1"/>
  <c r="J1215" i="1" s="1"/>
  <c r="J1216" i="1" a="1"/>
  <c r="J1216" i="1" s="1"/>
  <c r="J1217" i="1" a="1"/>
  <c r="J1217" i="1" s="1"/>
  <c r="J1218" i="1" a="1"/>
  <c r="J1218" i="1" s="1"/>
  <c r="J1219" i="1" a="1"/>
  <c r="J1219" i="1" s="1"/>
  <c r="J1220" i="1" a="1"/>
  <c r="J1220" i="1" s="1"/>
  <c r="J1221" i="1" a="1"/>
  <c r="J1221" i="1" s="1"/>
  <c r="J1222" i="1" a="1"/>
  <c r="J1222" i="1" s="1"/>
  <c r="J1223" i="1" a="1"/>
  <c r="J1223" i="1" s="1"/>
  <c r="J1224" i="1" a="1"/>
  <c r="J1224" i="1" s="1"/>
  <c r="J1225" i="1" a="1"/>
  <c r="J1225" i="1" s="1"/>
  <c r="J1226" i="1" a="1"/>
  <c r="J1226" i="1" s="1"/>
  <c r="J1227" i="1" a="1"/>
  <c r="J1227" i="1" s="1"/>
  <c r="J1228" i="1" a="1"/>
  <c r="J1228" i="1" s="1"/>
  <c r="J1229" i="1" a="1"/>
  <c r="J1229" i="1" s="1"/>
  <c r="J1230" i="1" a="1"/>
  <c r="J1230" i="1" s="1"/>
  <c r="J1231" i="1" a="1"/>
  <c r="J1231" i="1" s="1"/>
  <c r="J1232" i="1" a="1"/>
  <c r="J1232" i="1" s="1"/>
  <c r="J1233" i="1" a="1"/>
  <c r="J1233" i="1" s="1"/>
  <c r="J1234" i="1" a="1"/>
  <c r="J1234" i="1" s="1"/>
  <c r="J1235" i="1" a="1"/>
  <c r="J1235" i="1" s="1"/>
  <c r="J1236" i="1" a="1"/>
  <c r="J1236" i="1" s="1"/>
  <c r="J1237" i="1" a="1"/>
  <c r="J1237" i="1" s="1"/>
  <c r="J1238" i="1" a="1"/>
  <c r="J1238" i="1" s="1"/>
  <c r="J1239" i="1" a="1"/>
  <c r="J1239" i="1" s="1"/>
  <c r="J1240" i="1" a="1"/>
  <c r="J1240" i="1" s="1"/>
  <c r="J1241" i="1" a="1"/>
  <c r="J1241" i="1" s="1"/>
  <c r="J1242" i="1" a="1"/>
  <c r="J1242" i="1" s="1"/>
  <c r="J1243" i="1" a="1"/>
  <c r="J1243" i="1" s="1"/>
  <c r="J1244" i="1" a="1"/>
  <c r="J1244" i="1" s="1"/>
  <c r="J1245" i="1" a="1"/>
  <c r="J1245" i="1" s="1"/>
  <c r="J1246" i="1" a="1"/>
  <c r="J1246" i="1" s="1"/>
  <c r="J1247" i="1" a="1"/>
  <c r="J1247" i="1" s="1"/>
  <c r="J1248" i="1" a="1"/>
  <c r="J1248" i="1" s="1"/>
  <c r="J1249" i="1" a="1"/>
  <c r="J1249" i="1" s="1"/>
  <c r="J1250" i="1" a="1"/>
  <c r="J1250" i="1" s="1"/>
  <c r="J1251" i="1" a="1"/>
  <c r="J1251" i="1" s="1"/>
  <c r="J1252" i="1" a="1"/>
  <c r="J1252" i="1" s="1"/>
  <c r="J1253" i="1" a="1"/>
  <c r="J1253" i="1" s="1"/>
  <c r="J1254" i="1" a="1"/>
  <c r="J1254" i="1" s="1"/>
  <c r="J1255" i="1" a="1"/>
  <c r="J1255" i="1" s="1"/>
  <c r="J1256" i="1" a="1"/>
  <c r="J1256" i="1" s="1"/>
  <c r="J1257" i="1" a="1"/>
  <c r="J1257" i="1" s="1"/>
  <c r="J1258" i="1" a="1"/>
  <c r="J1258" i="1" s="1"/>
  <c r="J1259" i="1" a="1"/>
  <c r="J1259" i="1" s="1"/>
  <c r="J1260" i="1" a="1"/>
  <c r="J1260" i="1" s="1"/>
  <c r="J1261" i="1" a="1"/>
  <c r="J1261" i="1" s="1"/>
  <c r="J1262" i="1" a="1"/>
  <c r="J1262" i="1" s="1"/>
  <c r="J1263" i="1" a="1"/>
  <c r="J1263" i="1" s="1"/>
  <c r="J1264" i="1" a="1"/>
  <c r="J1264" i="1" s="1"/>
  <c r="J1265" i="1" a="1"/>
  <c r="J1265" i="1" s="1"/>
  <c r="J1266" i="1" a="1"/>
  <c r="J1266" i="1" s="1"/>
  <c r="J1267" i="1" a="1"/>
  <c r="J1267" i="1" s="1"/>
  <c r="J1268" i="1" a="1"/>
  <c r="J1268" i="1" s="1"/>
  <c r="J1269" i="1" a="1"/>
  <c r="J1269" i="1" s="1"/>
  <c r="J1270" i="1" a="1"/>
  <c r="J1270" i="1" s="1"/>
  <c r="J1271" i="1" a="1"/>
  <c r="J1271" i="1" s="1"/>
  <c r="J1272" i="1" a="1"/>
  <c r="J1272" i="1" s="1"/>
  <c r="J1273" i="1" a="1"/>
  <c r="J1273" i="1" s="1"/>
  <c r="J1274" i="1" a="1"/>
  <c r="J1274" i="1" s="1"/>
  <c r="J1275" i="1" a="1"/>
  <c r="J1275" i="1" s="1"/>
  <c r="J1276" i="1" a="1"/>
  <c r="J1276" i="1" s="1"/>
  <c r="J1277" i="1" a="1"/>
  <c r="J1277" i="1" s="1"/>
  <c r="J1278" i="1" a="1"/>
  <c r="J1278" i="1" s="1"/>
  <c r="J1279" i="1" a="1"/>
  <c r="J1279" i="1" s="1"/>
  <c r="J1280" i="1" a="1"/>
  <c r="J1280" i="1" s="1"/>
  <c r="J1281" i="1" a="1"/>
  <c r="J1281" i="1" s="1"/>
  <c r="J1282" i="1" a="1"/>
  <c r="J1282" i="1" s="1"/>
  <c r="J1283" i="1" a="1"/>
  <c r="J1283" i="1" s="1"/>
  <c r="J1284" i="1" a="1"/>
  <c r="J1284" i="1" s="1"/>
  <c r="J1285" i="1" a="1"/>
  <c r="J1285" i="1" s="1"/>
  <c r="J1286" i="1" a="1"/>
  <c r="J1286" i="1" s="1"/>
  <c r="J1287" i="1" a="1"/>
  <c r="J1287" i="1" s="1"/>
  <c r="J1288" i="1" a="1"/>
  <c r="J1288" i="1" s="1"/>
  <c r="J1289" i="1" a="1"/>
  <c r="J1289" i="1" s="1"/>
  <c r="J1290" i="1" a="1"/>
  <c r="J1290" i="1" s="1"/>
  <c r="J1291" i="1" a="1"/>
  <c r="J1291" i="1" s="1"/>
  <c r="J1292" i="1" a="1"/>
  <c r="J1292" i="1" s="1"/>
  <c r="J1293" i="1" a="1"/>
  <c r="J1293" i="1" s="1"/>
  <c r="J1294" i="1" a="1"/>
  <c r="J1294" i="1" s="1"/>
  <c r="J1295" i="1" a="1"/>
  <c r="J1295" i="1" s="1"/>
  <c r="J1296" i="1" a="1"/>
  <c r="J1296" i="1" s="1"/>
  <c r="J1297" i="1" a="1"/>
  <c r="J1297" i="1" s="1"/>
  <c r="J1298" i="1" a="1"/>
  <c r="J1298" i="1" s="1"/>
  <c r="J1299" i="1" a="1"/>
  <c r="J1299" i="1" s="1"/>
  <c r="J1300" i="1" a="1"/>
  <c r="J1300" i="1" s="1"/>
  <c r="J1301" i="1" a="1"/>
  <c r="J1301" i="1" s="1"/>
  <c r="J1302" i="1" a="1"/>
  <c r="J1302" i="1" s="1"/>
  <c r="J1303" i="1" a="1"/>
  <c r="J1303" i="1" s="1"/>
  <c r="J1304" i="1" a="1"/>
  <c r="J1304" i="1" s="1"/>
  <c r="J1305" i="1" a="1"/>
  <c r="J1305" i="1" s="1"/>
  <c r="J1306" i="1" a="1"/>
  <c r="J1306" i="1" s="1"/>
  <c r="J1307" i="1" a="1"/>
  <c r="J1307" i="1" s="1"/>
  <c r="J1308" i="1" a="1"/>
  <c r="J1308" i="1" s="1"/>
  <c r="J1309" i="1" a="1"/>
  <c r="J1309" i="1" s="1"/>
  <c r="J1310" i="1" a="1"/>
  <c r="J1310" i="1" s="1"/>
  <c r="J1311" i="1" a="1"/>
  <c r="J1311" i="1" s="1"/>
  <c r="J1312" i="1" a="1"/>
  <c r="J1312" i="1" s="1"/>
  <c r="J1313" i="1" a="1"/>
  <c r="J1313" i="1" s="1"/>
  <c r="J1314" i="1" a="1"/>
  <c r="J1314" i="1" s="1"/>
  <c r="J1315" i="1" a="1"/>
  <c r="J1315" i="1" s="1"/>
  <c r="J1316" i="1" a="1"/>
  <c r="J1316" i="1" s="1"/>
  <c r="J1317" i="1" a="1"/>
  <c r="J1317" i="1" s="1"/>
  <c r="J1318" i="1" a="1"/>
  <c r="J1318" i="1" s="1"/>
  <c r="J1319" i="1" a="1"/>
  <c r="J1319" i="1" s="1"/>
  <c r="J1320" i="1" a="1"/>
  <c r="J1320" i="1" s="1"/>
  <c r="J1321" i="1" a="1"/>
  <c r="J1321" i="1" s="1"/>
  <c r="J1322" i="1" a="1"/>
  <c r="J1322" i="1" s="1"/>
  <c r="J1323" i="1" a="1"/>
  <c r="J1323" i="1" s="1"/>
  <c r="J1324" i="1" a="1"/>
  <c r="J1324" i="1" s="1"/>
  <c r="J1325" i="1" a="1"/>
  <c r="J1325" i="1" s="1"/>
  <c r="J1326" i="1" a="1"/>
  <c r="J1326" i="1" s="1"/>
  <c r="J1327" i="1" a="1"/>
  <c r="J1327" i="1" s="1"/>
  <c r="J1328" i="1" a="1"/>
  <c r="J1328" i="1" s="1"/>
  <c r="J1329" i="1" a="1"/>
  <c r="J1329" i="1" s="1"/>
  <c r="J1330" i="1" a="1"/>
  <c r="J1330" i="1" s="1"/>
  <c r="J1331" i="1" a="1"/>
  <c r="J1331" i="1" s="1"/>
  <c r="J1332" i="1" a="1"/>
  <c r="J1332" i="1" s="1"/>
  <c r="J1333" i="1" a="1"/>
  <c r="J1333" i="1" s="1"/>
  <c r="J1334" i="1" a="1"/>
  <c r="J1334" i="1" s="1"/>
  <c r="J1335" i="1" a="1"/>
  <c r="J1335" i="1" s="1"/>
  <c r="J1336" i="1" a="1"/>
  <c r="J1336" i="1" s="1"/>
  <c r="J1337" i="1" a="1"/>
  <c r="J1337" i="1" s="1"/>
  <c r="J1338" i="1" a="1"/>
  <c r="J1338" i="1" s="1"/>
  <c r="J1339" i="1" a="1"/>
  <c r="J1339" i="1" s="1"/>
  <c r="J1340" i="1" a="1"/>
  <c r="J1340" i="1" s="1"/>
  <c r="J1341" i="1" a="1"/>
  <c r="J1341" i="1" s="1"/>
  <c r="J1342" i="1" a="1"/>
  <c r="J1342" i="1" s="1"/>
  <c r="J1343" i="1" a="1"/>
  <c r="J1343" i="1" s="1"/>
  <c r="J1344" i="1" a="1"/>
  <c r="J1344" i="1" s="1"/>
  <c r="J1345" i="1" a="1"/>
  <c r="J1345" i="1" s="1"/>
  <c r="J1346" i="1" a="1"/>
  <c r="J1346" i="1" s="1"/>
  <c r="J1347" i="1" a="1"/>
  <c r="J1347" i="1" s="1"/>
  <c r="J1348" i="1" a="1"/>
  <c r="J1348" i="1" s="1"/>
  <c r="J1349" i="1" a="1"/>
  <c r="J1349" i="1" s="1"/>
  <c r="J1350" i="1" a="1"/>
  <c r="J1350" i="1" s="1"/>
  <c r="J1351" i="1" a="1"/>
  <c r="J1351" i="1" s="1"/>
  <c r="J1352" i="1" a="1"/>
  <c r="J1352" i="1" s="1"/>
  <c r="J1353" i="1" a="1"/>
  <c r="J1353" i="1" s="1"/>
  <c r="J1354" i="1" a="1"/>
  <c r="J1354" i="1" s="1"/>
  <c r="J1355" i="1" a="1"/>
  <c r="J1355" i="1" s="1"/>
  <c r="J1356" i="1" a="1"/>
  <c r="J1356" i="1" s="1"/>
  <c r="J1357" i="1" a="1"/>
  <c r="J1357" i="1" s="1"/>
  <c r="J1358" i="1" a="1"/>
  <c r="J1358" i="1" s="1"/>
  <c r="J1359" i="1" a="1"/>
  <c r="J1359" i="1" s="1"/>
  <c r="J1360" i="1" a="1"/>
  <c r="J1360" i="1" s="1"/>
  <c r="J1361" i="1" a="1"/>
  <c r="J1361" i="1" s="1"/>
  <c r="J1362" i="1" a="1"/>
  <c r="J1362" i="1" s="1"/>
  <c r="J1363" i="1" a="1"/>
  <c r="J1363" i="1" s="1"/>
  <c r="J1364" i="1" a="1"/>
  <c r="J1364" i="1" s="1"/>
  <c r="J1365" i="1" a="1"/>
  <c r="J1365" i="1" s="1"/>
  <c r="J1366" i="1" a="1"/>
  <c r="J1366" i="1" s="1"/>
  <c r="J1367" i="1" a="1"/>
  <c r="J1367" i="1" s="1"/>
  <c r="J1368" i="1" a="1"/>
  <c r="J1368" i="1" s="1"/>
  <c r="J1369" i="1" a="1"/>
  <c r="J1369" i="1" s="1"/>
  <c r="J1370" i="1" a="1"/>
  <c r="J1370" i="1" s="1"/>
  <c r="J1371" i="1" a="1"/>
  <c r="J1371" i="1" s="1"/>
  <c r="J1372" i="1" a="1"/>
  <c r="J1372" i="1" s="1"/>
  <c r="J1373" i="1" a="1"/>
  <c r="J1373" i="1" s="1"/>
  <c r="J1374" i="1" a="1"/>
  <c r="J1374" i="1" s="1"/>
  <c r="J1375" i="1" a="1"/>
  <c r="J1375" i="1" s="1"/>
  <c r="J1376" i="1" a="1"/>
  <c r="J1376" i="1" s="1"/>
  <c r="J1377" i="1" a="1"/>
  <c r="J1377" i="1" s="1"/>
  <c r="J1378" i="1" a="1"/>
  <c r="J1378" i="1" s="1"/>
  <c r="J1379" i="1" a="1"/>
  <c r="J1379" i="1" s="1"/>
  <c r="J1380" i="1" a="1"/>
  <c r="J1380" i="1" s="1"/>
  <c r="J1381" i="1" a="1"/>
  <c r="J1381" i="1" s="1"/>
  <c r="J1382" i="1" a="1"/>
  <c r="J1382" i="1" s="1"/>
  <c r="J1383" i="1" a="1"/>
  <c r="J1383" i="1" s="1"/>
  <c r="J1384" i="1" a="1"/>
  <c r="J1384" i="1" s="1"/>
  <c r="J1385" i="1" a="1"/>
  <c r="J1385" i="1" s="1"/>
  <c r="J1386" i="1" a="1"/>
  <c r="J1386" i="1" s="1"/>
  <c r="J1387" i="1" a="1"/>
  <c r="J1387" i="1" s="1"/>
  <c r="J1388" i="1" a="1"/>
  <c r="J1388" i="1" s="1"/>
  <c r="J1389" i="1" a="1"/>
  <c r="J1389" i="1" s="1"/>
  <c r="J1390" i="1" a="1"/>
  <c r="J1390" i="1" s="1"/>
  <c r="J1391" i="1" a="1"/>
  <c r="J1391" i="1" s="1"/>
  <c r="J1392" i="1" a="1"/>
  <c r="J1392" i="1" s="1"/>
  <c r="J1393" i="1" a="1"/>
  <c r="J1393" i="1" s="1"/>
  <c r="J1394" i="1" a="1"/>
  <c r="J1394" i="1" s="1"/>
  <c r="J1395" i="1" a="1"/>
  <c r="J1395" i="1" s="1"/>
  <c r="J1396" i="1" a="1"/>
  <c r="J1396" i="1" s="1"/>
  <c r="J1397" i="1" a="1"/>
  <c r="J1397" i="1" s="1"/>
  <c r="J1398" i="1" a="1"/>
  <c r="J1398" i="1" s="1"/>
  <c r="J1399" i="1" a="1"/>
  <c r="J1399" i="1" s="1"/>
  <c r="J1402" i="1" a="1"/>
  <c r="J1402" i="1" s="1"/>
  <c r="J1403" i="1" a="1"/>
  <c r="J1403" i="1" s="1"/>
  <c r="J1404" i="1" a="1"/>
  <c r="J1404" i="1" s="1"/>
  <c r="J1405" i="1" a="1"/>
  <c r="J1405" i="1" s="1"/>
  <c r="J1406" i="1" a="1"/>
  <c r="J1406" i="1" s="1"/>
  <c r="J1407" i="1" a="1"/>
  <c r="J1407" i="1" s="1"/>
  <c r="J1408" i="1" a="1"/>
  <c r="J1408" i="1" s="1"/>
  <c r="J1409" i="1" a="1"/>
  <c r="J1409" i="1" s="1"/>
  <c r="J1410" i="1" a="1"/>
  <c r="J1410" i="1" s="1"/>
  <c r="J1411" i="1" a="1"/>
  <c r="J1411" i="1" s="1"/>
  <c r="J1412" i="1" a="1"/>
  <c r="J1412" i="1" s="1"/>
  <c r="J1413" i="1" a="1"/>
  <c r="J1413" i="1" s="1"/>
  <c r="J1414" i="1" a="1"/>
  <c r="J1414" i="1" s="1"/>
  <c r="J1415" i="1" a="1"/>
  <c r="J1415" i="1" s="1"/>
  <c r="J1416" i="1" a="1"/>
  <c r="J1416" i="1" s="1"/>
  <c r="J1417" i="1" a="1"/>
  <c r="J1417" i="1" s="1"/>
  <c r="J1418" i="1" a="1"/>
  <c r="J1418" i="1" s="1"/>
  <c r="J1419" i="1" a="1"/>
  <c r="J1419" i="1" s="1"/>
  <c r="J1420" i="1" a="1"/>
  <c r="J1420" i="1" s="1"/>
  <c r="J1421" i="1" a="1"/>
  <c r="J1421" i="1" s="1"/>
  <c r="J1422" i="1" a="1"/>
  <c r="J1422" i="1" s="1"/>
  <c r="J1423" i="1" a="1"/>
  <c r="J1423" i="1" s="1"/>
  <c r="J1424" i="1" a="1"/>
  <c r="J1424" i="1" s="1"/>
  <c r="J1425" i="1" a="1"/>
  <c r="J1425" i="1" s="1"/>
  <c r="J1426" i="1" a="1"/>
  <c r="J1426" i="1" s="1"/>
  <c r="J1427" i="1" a="1"/>
  <c r="J1427" i="1" s="1"/>
  <c r="J1428" i="1" a="1"/>
  <c r="J1428" i="1" s="1"/>
  <c r="J1429" i="1" a="1"/>
  <c r="J1429" i="1" s="1"/>
  <c r="J1430" i="1" a="1"/>
  <c r="J1430" i="1" s="1"/>
  <c r="J1431" i="1" a="1"/>
  <c r="J1431" i="1" s="1"/>
  <c r="J1432" i="1" a="1"/>
  <c r="J1432" i="1" s="1"/>
  <c r="J1433" i="1" a="1"/>
  <c r="J1433" i="1" s="1"/>
  <c r="J1434" i="1" a="1"/>
  <c r="J1434" i="1" s="1"/>
  <c r="J1435" i="1" a="1"/>
  <c r="J1435" i="1" s="1"/>
  <c r="J1436" i="1" a="1"/>
  <c r="J1436" i="1" s="1"/>
  <c r="J1437" i="1" a="1"/>
  <c r="J1437" i="1" s="1"/>
  <c r="J1438" i="1" a="1"/>
  <c r="J1438" i="1" s="1"/>
  <c r="J1439" i="1" a="1"/>
  <c r="J1439" i="1" s="1"/>
  <c r="J1440" i="1" a="1"/>
  <c r="J1440" i="1" s="1"/>
  <c r="J1441" i="1" a="1"/>
  <c r="J1441" i="1" s="1"/>
  <c r="J1442" i="1" a="1"/>
  <c r="J1442" i="1" s="1"/>
  <c r="J1443" i="1" a="1"/>
  <c r="J1443" i="1" s="1"/>
  <c r="J1444" i="1" a="1"/>
  <c r="J1444" i="1" s="1"/>
  <c r="J1445" i="1" a="1"/>
  <c r="J1445" i="1" s="1"/>
  <c r="J1446" i="1" a="1"/>
  <c r="J1446" i="1" s="1"/>
  <c r="J1447" i="1" a="1"/>
  <c r="J1447" i="1" s="1"/>
  <c r="J1448" i="1" a="1"/>
  <c r="J1448" i="1" s="1"/>
  <c r="J1449" i="1" a="1"/>
  <c r="J1449" i="1" s="1"/>
  <c r="J1450" i="1" a="1"/>
  <c r="J1450" i="1" s="1"/>
  <c r="J1451" i="1" a="1"/>
  <c r="J1451" i="1" s="1"/>
  <c r="J1452" i="1" a="1"/>
  <c r="J1452" i="1" s="1"/>
  <c r="J1453" i="1" a="1"/>
  <c r="J1453" i="1" s="1"/>
  <c r="J1454" i="1" a="1"/>
  <c r="J1454" i="1" s="1"/>
  <c r="J1455" i="1" a="1"/>
  <c r="J1455" i="1" s="1"/>
  <c r="J1456" i="1" a="1"/>
  <c r="J1456" i="1" s="1"/>
  <c r="J1457" i="1" a="1"/>
  <c r="J1457" i="1" s="1"/>
  <c r="J1458" i="1" a="1"/>
  <c r="J1458" i="1" s="1"/>
  <c r="J1459" i="1" a="1"/>
  <c r="J1459" i="1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L1265" i="1" l="1"/>
  <c r="N1265" i="1" s="1"/>
  <c r="L1264" i="1"/>
  <c r="N1264" i="1" s="1"/>
  <c r="L1263" i="1"/>
  <c r="N1263" i="1" s="1"/>
  <c r="L1262" i="1"/>
  <c r="N1262" i="1" s="1"/>
  <c r="L1261" i="1"/>
  <c r="L1260" i="1"/>
  <c r="N1260" i="1" s="1"/>
  <c r="L1259" i="1"/>
  <c r="N1259" i="1" s="1"/>
  <c r="L1258" i="1"/>
  <c r="N1258" i="1" s="1"/>
  <c r="L1257" i="1"/>
  <c r="N1257" i="1" s="1"/>
  <c r="L1256" i="1"/>
  <c r="N1256" i="1" s="1"/>
  <c r="L1255" i="1"/>
  <c r="N1255" i="1" s="1"/>
  <c r="L1254" i="1"/>
  <c r="N1254" i="1" s="1"/>
  <c r="L1253" i="1"/>
  <c r="N1253" i="1" s="1"/>
  <c r="L1252" i="1"/>
  <c r="N1252" i="1" s="1"/>
  <c r="L1251" i="1"/>
  <c r="L1250" i="1"/>
  <c r="N1250" i="1" s="1"/>
  <c r="L1249" i="1"/>
  <c r="N1249" i="1" s="1"/>
  <c r="L1248" i="1"/>
  <c r="N1248" i="1" s="1"/>
  <c r="L1247" i="1"/>
  <c r="N1247" i="1" s="1"/>
  <c r="L1246" i="1"/>
  <c r="N1246" i="1" s="1"/>
  <c r="L1245" i="1"/>
  <c r="N1245" i="1" s="1"/>
  <c r="L1244" i="1"/>
  <c r="N1244" i="1" s="1"/>
  <c r="L1243" i="1"/>
  <c r="L1242" i="1"/>
  <c r="N1242" i="1" s="1"/>
  <c r="L1241" i="1"/>
  <c r="N1241" i="1" s="1"/>
  <c r="L1240" i="1"/>
  <c r="N1240" i="1" s="1"/>
  <c r="L1239" i="1"/>
  <c r="N1239" i="1" s="1"/>
  <c r="L1238" i="1"/>
  <c r="N1238" i="1" s="1"/>
  <c r="L1237" i="1"/>
  <c r="N1237" i="1" s="1"/>
  <c r="L1236" i="1"/>
  <c r="N1236" i="1" s="1"/>
  <c r="L1235" i="1"/>
  <c r="N1235" i="1" s="1"/>
  <c r="L1234" i="1"/>
  <c r="N1234" i="1" s="1"/>
  <c r="L1233" i="1"/>
  <c r="N1233" i="1" s="1"/>
  <c r="L1232" i="1"/>
  <c r="N1232" i="1" s="1"/>
  <c r="L1231" i="1"/>
  <c r="N1231" i="1" s="1"/>
  <c r="L1230" i="1"/>
  <c r="N1230" i="1" s="1"/>
  <c r="L1229" i="1"/>
  <c r="N1229" i="1" s="1"/>
  <c r="L1228" i="1"/>
  <c r="N1228" i="1" s="1"/>
  <c r="L1227" i="1"/>
  <c r="N1227" i="1" s="1"/>
  <c r="L1226" i="1"/>
  <c r="N1226" i="1" s="1"/>
  <c r="L1225" i="1"/>
  <c r="N1225" i="1" s="1"/>
  <c r="L1224" i="1"/>
  <c r="N1224" i="1" s="1"/>
  <c r="L1223" i="1"/>
  <c r="N1223" i="1" s="1"/>
  <c r="L1222" i="1"/>
  <c r="N1222" i="1" s="1"/>
  <c r="L1221" i="1"/>
  <c r="N1221" i="1" s="1"/>
  <c r="L1220" i="1"/>
  <c r="N1220" i="1" s="1"/>
  <c r="L1219" i="1"/>
  <c r="N1219" i="1" s="1"/>
  <c r="L1218" i="1"/>
  <c r="N1218" i="1" s="1"/>
  <c r="L1217" i="1"/>
  <c r="N1217" i="1" s="1"/>
  <c r="L1216" i="1"/>
  <c r="N1216" i="1" s="1"/>
  <c r="L1215" i="1"/>
  <c r="N1215" i="1" s="1"/>
  <c r="L1214" i="1"/>
  <c r="N1214" i="1" s="1"/>
  <c r="L1213" i="1"/>
  <c r="N1213" i="1" s="1"/>
  <c r="L1212" i="1"/>
  <c r="N1212" i="1" s="1"/>
  <c r="L1211" i="1"/>
  <c r="N1211" i="1" s="1"/>
  <c r="L1210" i="1"/>
  <c r="N1210" i="1" s="1"/>
  <c r="L1209" i="1"/>
  <c r="N1209" i="1" s="1"/>
  <c r="L1208" i="1"/>
  <c r="N1208" i="1" s="1"/>
  <c r="L1207" i="1"/>
  <c r="N1207" i="1" s="1"/>
  <c r="L1206" i="1"/>
  <c r="L1205" i="1"/>
  <c r="N1205" i="1" s="1"/>
  <c r="L1204" i="1"/>
  <c r="N1204" i="1" s="1"/>
  <c r="L1203" i="1"/>
  <c r="N1203" i="1" s="1"/>
  <c r="L1202" i="1"/>
  <c r="N1202" i="1" s="1"/>
  <c r="L1201" i="1"/>
  <c r="N1201" i="1" s="1"/>
  <c r="L1200" i="1"/>
  <c r="L1199" i="1"/>
  <c r="N1199" i="1" s="1"/>
  <c r="L1198" i="1"/>
  <c r="L1197" i="1"/>
  <c r="N1197" i="1" s="1"/>
  <c r="L1196" i="1"/>
  <c r="N1196" i="1" s="1"/>
  <c r="L1195" i="1"/>
  <c r="N1195" i="1" s="1"/>
  <c r="L1194" i="1"/>
  <c r="N1194" i="1" s="1"/>
  <c r="L1193" i="1"/>
  <c r="N1193" i="1" s="1"/>
  <c r="L1192" i="1"/>
  <c r="N1192" i="1" s="1"/>
  <c r="L1191" i="1"/>
  <c r="N1191" i="1" s="1"/>
  <c r="L1190" i="1"/>
  <c r="N1190" i="1" s="1"/>
  <c r="L1189" i="1"/>
  <c r="N1189" i="1" s="1"/>
  <c r="L1188" i="1"/>
  <c r="N1188" i="1" s="1"/>
  <c r="L1187" i="1"/>
  <c r="N1187" i="1" s="1"/>
  <c r="L908" i="1"/>
  <c r="N908" i="1" s="1"/>
  <c r="L907" i="1"/>
  <c r="N907" i="1" s="1"/>
  <c r="L906" i="1"/>
  <c r="N906" i="1" s="1"/>
  <c r="L905" i="1"/>
  <c r="N905" i="1" s="1"/>
  <c r="L904" i="1"/>
  <c r="N904" i="1" s="1"/>
  <c r="L903" i="1"/>
  <c r="N903" i="1" s="1"/>
  <c r="L902" i="1"/>
  <c r="L901" i="1"/>
  <c r="L900" i="1"/>
  <c r="N900" i="1" s="1"/>
  <c r="L899" i="1"/>
  <c r="N899" i="1" s="1"/>
  <c r="L898" i="1"/>
  <c r="N898" i="1" s="1"/>
  <c r="L897" i="1"/>
  <c r="N897" i="1" s="1"/>
  <c r="L896" i="1"/>
  <c r="N896" i="1" s="1"/>
  <c r="L895" i="1"/>
  <c r="N895" i="1" s="1"/>
  <c r="L894" i="1"/>
  <c r="L893" i="1"/>
  <c r="L892" i="1"/>
  <c r="L891" i="1"/>
  <c r="N891" i="1" s="1"/>
  <c r="L890" i="1"/>
  <c r="N890" i="1" s="1"/>
  <c r="L889" i="1"/>
  <c r="N889" i="1" s="1"/>
  <c r="L888" i="1"/>
  <c r="N888" i="1" s="1"/>
  <c r="L887" i="1"/>
  <c r="N887" i="1" s="1"/>
  <c r="L886" i="1"/>
  <c r="L885" i="1"/>
  <c r="L884" i="1"/>
  <c r="L883" i="1"/>
  <c r="N883" i="1" s="1"/>
  <c r="L882" i="1"/>
  <c r="N882" i="1" s="1"/>
  <c r="L881" i="1"/>
  <c r="N881" i="1" s="1"/>
  <c r="L880" i="1"/>
  <c r="N880" i="1" s="1"/>
  <c r="L879" i="1"/>
  <c r="N879" i="1" s="1"/>
  <c r="L878" i="1"/>
  <c r="N878" i="1" s="1"/>
  <c r="L877" i="1"/>
  <c r="N877" i="1" s="1"/>
  <c r="L876" i="1"/>
  <c r="L875" i="1"/>
  <c r="N875" i="1" s="1"/>
  <c r="L874" i="1"/>
  <c r="L873" i="1"/>
  <c r="N873" i="1" s="1"/>
  <c r="L872" i="1"/>
  <c r="N872" i="1" s="1"/>
  <c r="L871" i="1"/>
  <c r="N871" i="1" s="1"/>
  <c r="L870" i="1"/>
  <c r="N870" i="1" s="1"/>
  <c r="L869" i="1"/>
  <c r="N869" i="1" s="1"/>
  <c r="L868" i="1"/>
  <c r="N868" i="1" s="1"/>
  <c r="L867" i="1"/>
  <c r="N867" i="1" s="1"/>
  <c r="L866" i="1"/>
  <c r="N866" i="1" s="1"/>
  <c r="L865" i="1"/>
  <c r="N865" i="1" s="1"/>
  <c r="L864" i="1"/>
  <c r="N864" i="1" s="1"/>
  <c r="L863" i="1"/>
  <c r="N863" i="1" s="1"/>
  <c r="L862" i="1"/>
  <c r="N862" i="1" s="1"/>
  <c r="L861" i="1"/>
  <c r="N861" i="1" s="1"/>
  <c r="L860" i="1"/>
  <c r="L859" i="1"/>
  <c r="L858" i="1"/>
  <c r="N858" i="1" s="1"/>
  <c r="L857" i="1"/>
  <c r="N857" i="1" s="1"/>
  <c r="L856" i="1"/>
  <c r="N856" i="1" s="1"/>
  <c r="L855" i="1"/>
  <c r="N855" i="1" s="1"/>
  <c r="L854" i="1"/>
  <c r="L853" i="1"/>
  <c r="N853" i="1" s="1"/>
  <c r="L852" i="1"/>
  <c r="N852" i="1" s="1"/>
  <c r="L851" i="1"/>
  <c r="N851" i="1" s="1"/>
  <c r="L850" i="1"/>
  <c r="N850" i="1" s="1"/>
  <c r="L849" i="1"/>
  <c r="N849" i="1" s="1"/>
  <c r="L848" i="1"/>
  <c r="N848" i="1" s="1"/>
  <c r="L847" i="1"/>
  <c r="N847" i="1" s="1"/>
  <c r="L846" i="1"/>
  <c r="N846" i="1" s="1"/>
  <c r="L845" i="1"/>
  <c r="N845" i="1" s="1"/>
  <c r="L844" i="1"/>
  <c r="L843" i="1"/>
  <c r="N843" i="1" s="1"/>
  <c r="L842" i="1"/>
  <c r="N842" i="1" s="1"/>
  <c r="L841" i="1"/>
  <c r="N841" i="1" s="1"/>
  <c r="L840" i="1"/>
  <c r="N840" i="1" s="1"/>
  <c r="L839" i="1"/>
  <c r="N839" i="1" s="1"/>
  <c r="L838" i="1"/>
  <c r="N838" i="1" s="1"/>
  <c r="L837" i="1"/>
  <c r="N837" i="1" s="1"/>
  <c r="L836" i="1"/>
  <c r="L835" i="1"/>
  <c r="L834" i="1"/>
  <c r="N834" i="1" s="1"/>
  <c r="L833" i="1"/>
  <c r="L832" i="1"/>
  <c r="N832" i="1" s="1"/>
  <c r="L831" i="1"/>
  <c r="N831" i="1" s="1"/>
  <c r="L830" i="1"/>
  <c r="N830" i="1" s="1"/>
  <c r="L825" i="1"/>
  <c r="N825" i="1" s="1"/>
  <c r="L824" i="1"/>
  <c r="N824" i="1" s="1"/>
  <c r="L823" i="1"/>
  <c r="N823" i="1" s="1"/>
  <c r="L822" i="1"/>
  <c r="N822" i="1" s="1"/>
  <c r="L821" i="1"/>
  <c r="L820" i="1"/>
  <c r="N820" i="1" s="1"/>
  <c r="L819" i="1"/>
  <c r="N819" i="1" s="1"/>
  <c r="L818" i="1"/>
  <c r="N818" i="1" s="1"/>
  <c r="L817" i="1"/>
  <c r="N817" i="1" s="1"/>
  <c r="L816" i="1"/>
  <c r="N816" i="1" s="1"/>
  <c r="L815" i="1"/>
  <c r="L814" i="1"/>
  <c r="N814" i="1" s="1"/>
  <c r="L813" i="1"/>
  <c r="N813" i="1" s="1"/>
  <c r="L812" i="1"/>
  <c r="L811" i="1"/>
  <c r="N811" i="1" s="1"/>
  <c r="L810" i="1"/>
  <c r="N810" i="1" s="1"/>
  <c r="L809" i="1"/>
  <c r="N809" i="1" s="1"/>
  <c r="L808" i="1"/>
  <c r="N808" i="1" s="1"/>
  <c r="L807" i="1"/>
  <c r="N807" i="1" s="1"/>
  <c r="L806" i="1"/>
  <c r="N806" i="1" s="1"/>
  <c r="L805" i="1"/>
  <c r="N805" i="1" s="1"/>
  <c r="L804" i="1"/>
  <c r="N804" i="1" s="1"/>
  <c r="L803" i="1"/>
  <c r="N803" i="1" s="1"/>
  <c r="L802" i="1"/>
  <c r="N802" i="1" s="1"/>
  <c r="L801" i="1"/>
  <c r="N801" i="1" s="1"/>
  <c r="L800" i="1"/>
  <c r="N800" i="1" s="1"/>
  <c r="L799" i="1"/>
  <c r="N799" i="1" s="1"/>
  <c r="L798" i="1"/>
  <c r="N798" i="1" s="1"/>
  <c r="L797" i="1"/>
  <c r="N797" i="1" s="1"/>
  <c r="L796" i="1"/>
  <c r="N796" i="1" s="1"/>
  <c r="L795" i="1"/>
  <c r="N795" i="1" s="1"/>
  <c r="L794" i="1"/>
  <c r="N794" i="1" s="1"/>
  <c r="L793" i="1"/>
  <c r="N793" i="1" s="1"/>
  <c r="L792" i="1"/>
  <c r="N792" i="1" s="1"/>
  <c r="L791" i="1"/>
  <c r="N791" i="1" s="1"/>
  <c r="L790" i="1"/>
  <c r="N790" i="1" s="1"/>
  <c r="L789" i="1"/>
  <c r="N789" i="1" s="1"/>
  <c r="L788" i="1"/>
  <c r="N788" i="1" s="1"/>
  <c r="L787" i="1"/>
  <c r="N787" i="1" s="1"/>
  <c r="L786" i="1"/>
  <c r="N786" i="1" s="1"/>
  <c r="L785" i="1"/>
  <c r="L784" i="1"/>
  <c r="N784" i="1" s="1"/>
  <c r="L783" i="1"/>
  <c r="N783" i="1" s="1"/>
  <c r="L782" i="1"/>
  <c r="N782" i="1" s="1"/>
  <c r="L781" i="1"/>
  <c r="N781" i="1" s="1"/>
  <c r="L780" i="1"/>
  <c r="N780" i="1" s="1"/>
  <c r="L779" i="1"/>
  <c r="N779" i="1" s="1"/>
  <c r="L778" i="1"/>
  <c r="N778" i="1" s="1"/>
  <c r="L777" i="1"/>
  <c r="N777" i="1" s="1"/>
  <c r="L776" i="1"/>
  <c r="N776" i="1" s="1"/>
  <c r="L775" i="1"/>
  <c r="N775" i="1" s="1"/>
  <c r="L774" i="1"/>
  <c r="N774" i="1" s="1"/>
  <c r="L773" i="1"/>
  <c r="N773" i="1" s="1"/>
  <c r="L772" i="1"/>
  <c r="N772" i="1" s="1"/>
  <c r="L771" i="1"/>
  <c r="N771" i="1" s="1"/>
  <c r="L770" i="1"/>
  <c r="N770" i="1" s="1"/>
  <c r="L769" i="1"/>
  <c r="N769" i="1" s="1"/>
  <c r="L768" i="1"/>
  <c r="N768" i="1" s="1"/>
  <c r="L767" i="1"/>
  <c r="N767" i="1" s="1"/>
  <c r="L766" i="1"/>
  <c r="N766" i="1" s="1"/>
  <c r="L765" i="1"/>
  <c r="N765" i="1" s="1"/>
  <c r="L764" i="1"/>
  <c r="N764" i="1" s="1"/>
  <c r="L763" i="1"/>
  <c r="N763" i="1" s="1"/>
  <c r="L762" i="1"/>
  <c r="N762" i="1" s="1"/>
  <c r="L761" i="1"/>
  <c r="N761" i="1" s="1"/>
  <c r="L760" i="1"/>
  <c r="N760" i="1" s="1"/>
  <c r="L759" i="1"/>
  <c r="N759" i="1" s="1"/>
  <c r="L758" i="1"/>
  <c r="N758" i="1" s="1"/>
  <c r="L757" i="1"/>
  <c r="N757" i="1" s="1"/>
  <c r="L756" i="1"/>
  <c r="N756" i="1" s="1"/>
  <c r="L755" i="1"/>
  <c r="N755" i="1" s="1"/>
  <c r="L754" i="1"/>
  <c r="N754" i="1" s="1"/>
  <c r="L753" i="1"/>
  <c r="N753" i="1" s="1"/>
  <c r="L752" i="1"/>
  <c r="N752" i="1" s="1"/>
  <c r="L751" i="1"/>
  <c r="N751" i="1" s="1"/>
  <c r="L750" i="1"/>
  <c r="N750" i="1" s="1"/>
  <c r="L749" i="1"/>
  <c r="N749" i="1" s="1"/>
  <c r="L748" i="1"/>
  <c r="N748" i="1" s="1"/>
  <c r="L747" i="1"/>
  <c r="N747" i="1" s="1"/>
  <c r="L746" i="1"/>
  <c r="N746" i="1" s="1"/>
  <c r="L745" i="1"/>
  <c r="N745" i="1" s="1"/>
  <c r="L744" i="1"/>
  <c r="N744" i="1" s="1"/>
  <c r="L743" i="1"/>
  <c r="N743" i="1" s="1"/>
  <c r="L742" i="1"/>
  <c r="N742" i="1" s="1"/>
  <c r="L741" i="1"/>
  <c r="N741" i="1" s="1"/>
  <c r="L740" i="1"/>
  <c r="N740" i="1" s="1"/>
  <c r="L739" i="1"/>
  <c r="N739" i="1" s="1"/>
  <c r="L738" i="1"/>
  <c r="N738" i="1" s="1"/>
  <c r="L737" i="1"/>
  <c r="N737" i="1" s="1"/>
  <c r="L736" i="1"/>
  <c r="N736" i="1" s="1"/>
  <c r="L735" i="1"/>
  <c r="N735" i="1" s="1"/>
  <c r="L734" i="1"/>
  <c r="N734" i="1" s="1"/>
  <c r="L733" i="1"/>
  <c r="N733" i="1" s="1"/>
  <c r="L732" i="1"/>
  <c r="N732" i="1" s="1"/>
  <c r="L731" i="1"/>
  <c r="N731" i="1" s="1"/>
  <c r="L730" i="1"/>
  <c r="N730" i="1" s="1"/>
  <c r="L729" i="1"/>
  <c r="N729" i="1" s="1"/>
  <c r="L728" i="1"/>
  <c r="N728" i="1" s="1"/>
  <c r="L727" i="1"/>
  <c r="N727" i="1" s="1"/>
  <c r="L726" i="1"/>
  <c r="N726" i="1" s="1"/>
  <c r="L725" i="1"/>
  <c r="N725" i="1" s="1"/>
  <c r="L724" i="1"/>
  <c r="N724" i="1" s="1"/>
  <c r="L582" i="1"/>
  <c r="N582" i="1" s="1"/>
  <c r="L581" i="1"/>
  <c r="N581" i="1" s="1"/>
  <c r="L580" i="1"/>
  <c r="N580" i="1" s="1"/>
  <c r="L579" i="1"/>
  <c r="N579" i="1" s="1"/>
  <c r="L578" i="1"/>
  <c r="N578" i="1" s="1"/>
  <c r="L577" i="1"/>
  <c r="N577" i="1" s="1"/>
  <c r="L576" i="1"/>
  <c r="N576" i="1" s="1"/>
  <c r="L575" i="1"/>
  <c r="N575" i="1" s="1"/>
  <c r="L574" i="1"/>
  <c r="N574" i="1" s="1"/>
  <c r="L573" i="1"/>
  <c r="N573" i="1" s="1"/>
  <c r="L572" i="1"/>
  <c r="N572" i="1" s="1"/>
  <c r="L571" i="1"/>
  <c r="N571" i="1" s="1"/>
  <c r="L570" i="1"/>
  <c r="N570" i="1" s="1"/>
  <c r="L569" i="1"/>
  <c r="N569" i="1" s="1"/>
  <c r="L568" i="1"/>
  <c r="L567" i="1"/>
  <c r="N567" i="1" s="1"/>
  <c r="L566" i="1"/>
  <c r="N566" i="1" s="1"/>
  <c r="L565" i="1"/>
  <c r="N565" i="1" s="1"/>
  <c r="L564" i="1"/>
  <c r="N564" i="1" s="1"/>
  <c r="L563" i="1"/>
  <c r="N563" i="1" s="1"/>
  <c r="L562" i="1"/>
  <c r="N562" i="1" s="1"/>
  <c r="L561" i="1"/>
  <c r="N561" i="1" s="1"/>
  <c r="L560" i="1"/>
  <c r="L559" i="1"/>
  <c r="N559" i="1" s="1"/>
  <c r="L558" i="1"/>
  <c r="N558" i="1" s="1"/>
  <c r="L557" i="1"/>
  <c r="N557" i="1" s="1"/>
  <c r="L556" i="1"/>
  <c r="N556" i="1" s="1"/>
  <c r="L555" i="1"/>
  <c r="N555" i="1" s="1"/>
  <c r="L554" i="1"/>
  <c r="N554" i="1" s="1"/>
  <c r="L553" i="1"/>
  <c r="N553" i="1" s="1"/>
  <c r="L552" i="1"/>
  <c r="N552" i="1" s="1"/>
  <c r="L551" i="1"/>
  <c r="N551" i="1" s="1"/>
  <c r="L550" i="1"/>
  <c r="N550" i="1" s="1"/>
  <c r="L549" i="1"/>
  <c r="N549" i="1" s="1"/>
  <c r="L548" i="1"/>
  <c r="N548" i="1" s="1"/>
  <c r="L547" i="1"/>
  <c r="N547" i="1" s="1"/>
  <c r="L546" i="1"/>
  <c r="N546" i="1" s="1"/>
  <c r="L545" i="1"/>
  <c r="N545" i="1" s="1"/>
  <c r="L544" i="1"/>
  <c r="N544" i="1" s="1"/>
  <c r="L543" i="1"/>
  <c r="N543" i="1" s="1"/>
  <c r="L542" i="1"/>
  <c r="N542" i="1" s="1"/>
  <c r="L541" i="1"/>
  <c r="N541" i="1" s="1"/>
  <c r="L540" i="1"/>
  <c r="N540" i="1" s="1"/>
  <c r="L539" i="1"/>
  <c r="N539" i="1" s="1"/>
  <c r="L538" i="1"/>
  <c r="N538" i="1" s="1"/>
  <c r="L537" i="1"/>
  <c r="N537" i="1" s="1"/>
  <c r="L536" i="1"/>
  <c r="N536" i="1" s="1"/>
  <c r="L535" i="1"/>
  <c r="N535" i="1" s="1"/>
  <c r="L534" i="1"/>
  <c r="N534" i="1" s="1"/>
  <c r="L533" i="1"/>
  <c r="N533" i="1" s="1"/>
  <c r="L532" i="1"/>
  <c r="N532" i="1" s="1"/>
  <c r="L531" i="1"/>
  <c r="N531" i="1" s="1"/>
  <c r="L530" i="1"/>
  <c r="N530" i="1" s="1"/>
  <c r="L529" i="1"/>
  <c r="N529" i="1" s="1"/>
  <c r="L528" i="1"/>
  <c r="L527" i="1"/>
  <c r="N527" i="1" s="1"/>
  <c r="L526" i="1"/>
  <c r="N526" i="1" s="1"/>
  <c r="L525" i="1"/>
  <c r="L524" i="1"/>
  <c r="N524" i="1" s="1"/>
  <c r="L523" i="1"/>
  <c r="N523" i="1" s="1"/>
  <c r="L522" i="1"/>
  <c r="N522" i="1" s="1"/>
  <c r="L521" i="1"/>
  <c r="N521" i="1" s="1"/>
  <c r="L520" i="1"/>
  <c r="L519" i="1"/>
  <c r="L518" i="1"/>
  <c r="N518" i="1" s="1"/>
  <c r="L517" i="1"/>
  <c r="N517" i="1" s="1"/>
  <c r="L516" i="1"/>
  <c r="N516" i="1" s="1"/>
  <c r="L515" i="1"/>
  <c r="L514" i="1"/>
  <c r="N514" i="1" s="1"/>
  <c r="L513" i="1"/>
  <c r="N513" i="1" s="1"/>
  <c r="L512" i="1"/>
  <c r="N512" i="1" s="1"/>
  <c r="L511" i="1"/>
  <c r="N511" i="1" s="1"/>
  <c r="L510" i="1"/>
  <c r="N510" i="1" s="1"/>
  <c r="L509" i="1"/>
  <c r="N509" i="1" s="1"/>
  <c r="L508" i="1"/>
  <c r="N508" i="1" s="1"/>
  <c r="L507" i="1"/>
  <c r="N507" i="1" s="1"/>
  <c r="L506" i="1"/>
  <c r="N506" i="1" s="1"/>
  <c r="L505" i="1"/>
  <c r="N505" i="1" s="1"/>
  <c r="L504" i="1"/>
  <c r="N504" i="1" s="1"/>
  <c r="L503" i="1"/>
  <c r="N503" i="1" s="1"/>
  <c r="L502" i="1"/>
  <c r="N502" i="1" s="1"/>
  <c r="L501" i="1"/>
  <c r="L500" i="1"/>
  <c r="N500" i="1" s="1"/>
  <c r="L499" i="1"/>
  <c r="N499" i="1" s="1"/>
  <c r="L498" i="1"/>
  <c r="N498" i="1" s="1"/>
  <c r="L497" i="1"/>
  <c r="N497" i="1" s="1"/>
  <c r="L496" i="1"/>
  <c r="N496" i="1" s="1"/>
  <c r="L495" i="1"/>
  <c r="N495" i="1" s="1"/>
  <c r="L494" i="1"/>
  <c r="N494" i="1" s="1"/>
  <c r="L493" i="1"/>
  <c r="L492" i="1"/>
  <c r="N492" i="1" s="1"/>
  <c r="L491" i="1"/>
  <c r="N491" i="1" s="1"/>
  <c r="L490" i="1"/>
  <c r="N490" i="1" s="1"/>
  <c r="L489" i="1"/>
  <c r="N489" i="1" s="1"/>
  <c r="L488" i="1"/>
  <c r="N488" i="1" s="1"/>
  <c r="L487" i="1"/>
  <c r="N487" i="1" s="1"/>
  <c r="L486" i="1"/>
  <c r="N486" i="1" s="1"/>
  <c r="L485" i="1"/>
  <c r="L484" i="1"/>
  <c r="N484" i="1" s="1"/>
  <c r="L483" i="1"/>
  <c r="N483" i="1" s="1"/>
  <c r="L482" i="1"/>
  <c r="N482" i="1" s="1"/>
  <c r="L481" i="1"/>
  <c r="N481" i="1" s="1"/>
  <c r="L480" i="1"/>
  <c r="N480" i="1" s="1"/>
  <c r="L479" i="1"/>
  <c r="N479" i="1" s="1"/>
  <c r="L478" i="1"/>
  <c r="N478" i="1" s="1"/>
  <c r="L477" i="1"/>
  <c r="L476" i="1"/>
  <c r="N476" i="1" s="1"/>
  <c r="L475" i="1"/>
  <c r="N475" i="1" s="1"/>
  <c r="L474" i="1"/>
  <c r="N474" i="1" s="1"/>
  <c r="L473" i="1"/>
  <c r="N473" i="1" s="1"/>
  <c r="L472" i="1"/>
  <c r="N472" i="1" s="1"/>
  <c r="L471" i="1"/>
  <c r="N471" i="1" s="1"/>
  <c r="L470" i="1"/>
  <c r="N470" i="1" s="1"/>
  <c r="L469" i="1"/>
  <c r="N469" i="1" s="1"/>
  <c r="L468" i="1"/>
  <c r="N468" i="1" s="1"/>
  <c r="L467" i="1"/>
  <c r="N467" i="1" s="1"/>
  <c r="L466" i="1"/>
  <c r="N466" i="1" s="1"/>
  <c r="L465" i="1"/>
  <c r="N465" i="1" s="1"/>
  <c r="L464" i="1"/>
  <c r="L463" i="1"/>
  <c r="N463" i="1" s="1"/>
  <c r="L462" i="1"/>
  <c r="N462" i="1" s="1"/>
  <c r="L461" i="1"/>
  <c r="N461" i="1" s="1"/>
  <c r="L460" i="1"/>
  <c r="N460" i="1" s="1"/>
  <c r="L459" i="1"/>
  <c r="N459" i="1" s="1"/>
  <c r="L458" i="1"/>
  <c r="N458" i="1" s="1"/>
  <c r="L457" i="1"/>
  <c r="N457" i="1" s="1"/>
  <c r="L456" i="1"/>
  <c r="L455" i="1"/>
  <c r="N455" i="1" s="1"/>
  <c r="L454" i="1"/>
  <c r="N454" i="1" s="1"/>
  <c r="L453" i="1"/>
  <c r="N453" i="1" s="1"/>
  <c r="L452" i="1"/>
  <c r="N452" i="1" s="1"/>
  <c r="L451" i="1"/>
  <c r="N451" i="1" s="1"/>
  <c r="L450" i="1"/>
  <c r="N450" i="1" s="1"/>
  <c r="L449" i="1"/>
  <c r="N449" i="1" s="1"/>
  <c r="L448" i="1"/>
  <c r="N448" i="1" s="1"/>
  <c r="L447" i="1"/>
  <c r="N447" i="1" s="1"/>
  <c r="L446" i="1"/>
  <c r="N446" i="1" s="1"/>
  <c r="L445" i="1"/>
  <c r="N445" i="1" s="1"/>
  <c r="L444" i="1"/>
  <c r="N444" i="1" s="1"/>
  <c r="L443" i="1"/>
  <c r="N443" i="1" s="1"/>
  <c r="L442" i="1"/>
  <c r="N442" i="1" s="1"/>
  <c r="L441" i="1"/>
  <c r="N441" i="1" s="1"/>
  <c r="L440" i="1"/>
  <c r="N440" i="1" s="1"/>
  <c r="L439" i="1"/>
  <c r="N439" i="1" s="1"/>
  <c r="L438" i="1"/>
  <c r="N438" i="1" s="1"/>
  <c r="L437" i="1"/>
  <c r="N437" i="1" s="1"/>
  <c r="L436" i="1"/>
  <c r="N436" i="1" s="1"/>
  <c r="L435" i="1"/>
  <c r="L434" i="1"/>
  <c r="N434" i="1" s="1"/>
  <c r="L433" i="1"/>
  <c r="N433" i="1" s="1"/>
  <c r="L432" i="1"/>
  <c r="N432" i="1" s="1"/>
  <c r="L431" i="1"/>
  <c r="N431" i="1" s="1"/>
  <c r="L430" i="1"/>
  <c r="N430" i="1" s="1"/>
  <c r="L429" i="1"/>
  <c r="N429" i="1" s="1"/>
  <c r="L428" i="1"/>
  <c r="N428" i="1" s="1"/>
  <c r="L427" i="1"/>
  <c r="N427" i="1" s="1"/>
  <c r="L426" i="1"/>
  <c r="N426" i="1" s="1"/>
  <c r="L425" i="1"/>
  <c r="N425" i="1" s="1"/>
  <c r="L424" i="1"/>
  <c r="N424" i="1" s="1"/>
  <c r="L423" i="1"/>
  <c r="N423" i="1" s="1"/>
  <c r="L422" i="1"/>
  <c r="N422" i="1" s="1"/>
  <c r="L421" i="1"/>
  <c r="N421" i="1" s="1"/>
  <c r="L420" i="1"/>
  <c r="N420" i="1" s="1"/>
  <c r="L419" i="1"/>
  <c r="N419" i="1" s="1"/>
  <c r="L418" i="1"/>
  <c r="N418" i="1" s="1"/>
  <c r="L417" i="1"/>
  <c r="N417" i="1" s="1"/>
  <c r="L416" i="1"/>
  <c r="N416" i="1" s="1"/>
  <c r="L415" i="1"/>
  <c r="N415" i="1" s="1"/>
  <c r="L414" i="1"/>
  <c r="N414" i="1" s="1"/>
  <c r="L413" i="1"/>
  <c r="N413" i="1" s="1"/>
  <c r="L412" i="1"/>
  <c r="N412" i="1" s="1"/>
  <c r="L411" i="1"/>
  <c r="N411" i="1" s="1"/>
  <c r="L410" i="1"/>
  <c r="N410" i="1" s="1"/>
  <c r="L409" i="1"/>
  <c r="N409" i="1" s="1"/>
  <c r="L408" i="1"/>
  <c r="N408" i="1" s="1"/>
  <c r="L407" i="1"/>
  <c r="N407" i="1" s="1"/>
  <c r="L406" i="1"/>
  <c r="N406" i="1" s="1"/>
  <c r="L405" i="1"/>
  <c r="N405" i="1" s="1"/>
  <c r="L404" i="1"/>
  <c r="N404" i="1" s="1"/>
  <c r="L403" i="1"/>
  <c r="N403" i="1" s="1"/>
  <c r="L402" i="1"/>
  <c r="N402" i="1" s="1"/>
  <c r="L401" i="1"/>
  <c r="N401" i="1" s="1"/>
  <c r="L400" i="1"/>
  <c r="N400" i="1" s="1"/>
  <c r="L399" i="1"/>
  <c r="N399" i="1" s="1"/>
  <c r="L398" i="1"/>
  <c r="N398" i="1" s="1"/>
  <c r="L397" i="1"/>
  <c r="N397" i="1" s="1"/>
  <c r="L396" i="1"/>
  <c r="N396" i="1" s="1"/>
  <c r="L395" i="1"/>
  <c r="N395" i="1" s="1"/>
  <c r="L394" i="1"/>
  <c r="N394" i="1" s="1"/>
  <c r="L393" i="1"/>
  <c r="N393" i="1" s="1"/>
  <c r="L392" i="1"/>
  <c r="N392" i="1" s="1"/>
  <c r="L391" i="1"/>
  <c r="N391" i="1" s="1"/>
  <c r="L390" i="1"/>
  <c r="N390" i="1" s="1"/>
  <c r="L389" i="1"/>
  <c r="N389" i="1" s="1"/>
  <c r="L388" i="1"/>
  <c r="N388" i="1" s="1"/>
  <c r="L387" i="1"/>
  <c r="N387" i="1" s="1"/>
  <c r="L386" i="1"/>
  <c r="N386" i="1" s="1"/>
  <c r="L385" i="1"/>
  <c r="N385" i="1" s="1"/>
  <c r="L384" i="1"/>
  <c r="L383" i="1"/>
  <c r="N383" i="1" s="1"/>
  <c r="L382" i="1"/>
  <c r="N382" i="1" s="1"/>
  <c r="L381" i="1"/>
  <c r="N381" i="1" s="1"/>
  <c r="L380" i="1"/>
  <c r="N380" i="1" s="1"/>
  <c r="L379" i="1"/>
  <c r="N379" i="1" s="1"/>
  <c r="L378" i="1"/>
  <c r="N378" i="1" s="1"/>
  <c r="L377" i="1"/>
  <c r="N377" i="1" s="1"/>
  <c r="L376" i="1"/>
  <c r="L375" i="1"/>
  <c r="L374" i="1"/>
  <c r="N374" i="1" s="1"/>
  <c r="L373" i="1"/>
  <c r="N373" i="1" s="1"/>
  <c r="L372" i="1"/>
  <c r="N372" i="1" s="1"/>
  <c r="L371" i="1"/>
  <c r="N371" i="1" s="1"/>
  <c r="L370" i="1"/>
  <c r="N370" i="1" s="1"/>
  <c r="L369" i="1"/>
  <c r="N369" i="1" s="1"/>
  <c r="L368" i="1"/>
  <c r="N368" i="1" s="1"/>
  <c r="L367" i="1"/>
  <c r="N367" i="1" s="1"/>
  <c r="L366" i="1"/>
  <c r="N366" i="1" s="1"/>
  <c r="L365" i="1"/>
  <c r="N365" i="1" s="1"/>
  <c r="L364" i="1"/>
  <c r="N364" i="1" s="1"/>
  <c r="L363" i="1"/>
  <c r="N363" i="1" s="1"/>
  <c r="L362" i="1"/>
  <c r="N362" i="1" s="1"/>
  <c r="L361" i="1"/>
  <c r="N361" i="1" s="1"/>
  <c r="L360" i="1"/>
  <c r="N360" i="1" s="1"/>
  <c r="L359" i="1"/>
  <c r="N359" i="1" s="1"/>
  <c r="L358" i="1"/>
  <c r="N358" i="1" s="1"/>
  <c r="L357" i="1"/>
  <c r="N357" i="1" s="1"/>
  <c r="L356" i="1"/>
  <c r="N356" i="1" s="1"/>
  <c r="L355" i="1"/>
  <c r="N355" i="1" s="1"/>
  <c r="L354" i="1"/>
  <c r="N354" i="1" s="1"/>
  <c r="L353" i="1"/>
  <c r="N353" i="1" s="1"/>
  <c r="L352" i="1"/>
  <c r="N352" i="1" s="1"/>
  <c r="L351" i="1"/>
  <c r="N351" i="1" s="1"/>
  <c r="L350" i="1"/>
  <c r="L349" i="1"/>
  <c r="L348" i="1"/>
  <c r="N348" i="1" s="1"/>
  <c r="L347" i="1"/>
  <c r="N347" i="1" s="1"/>
  <c r="L346" i="1"/>
  <c r="N346" i="1" s="1"/>
  <c r="L345" i="1"/>
  <c r="N345" i="1" s="1"/>
  <c r="L344" i="1"/>
  <c r="N344" i="1" s="1"/>
  <c r="L343" i="1"/>
  <c r="N343" i="1" s="1"/>
  <c r="L342" i="1"/>
  <c r="L341" i="1"/>
  <c r="N341" i="1" s="1"/>
  <c r="L340" i="1"/>
  <c r="N340" i="1" s="1"/>
  <c r="L339" i="1"/>
  <c r="N339" i="1" s="1"/>
  <c r="L338" i="1"/>
  <c r="N338" i="1" s="1"/>
  <c r="L337" i="1"/>
  <c r="N337" i="1" s="1"/>
  <c r="L336" i="1"/>
  <c r="N336" i="1" s="1"/>
  <c r="L335" i="1"/>
  <c r="N335" i="1" s="1"/>
  <c r="L334" i="1"/>
  <c r="N334" i="1" s="1"/>
  <c r="L333" i="1"/>
  <c r="N333" i="1" s="1"/>
  <c r="L332" i="1"/>
  <c r="N332" i="1" s="1"/>
  <c r="L331" i="1"/>
  <c r="L330" i="1"/>
  <c r="N330" i="1" s="1"/>
  <c r="L329" i="1"/>
  <c r="N329" i="1" s="1"/>
  <c r="L328" i="1"/>
  <c r="N328" i="1" s="1"/>
  <c r="L327" i="1"/>
  <c r="N327" i="1" s="1"/>
  <c r="L326" i="1"/>
  <c r="N326" i="1" s="1"/>
  <c r="L325" i="1"/>
  <c r="N325" i="1" s="1"/>
  <c r="L324" i="1"/>
  <c r="N324" i="1" s="1"/>
  <c r="L323" i="1"/>
  <c r="N323" i="1" s="1"/>
  <c r="L322" i="1"/>
  <c r="N322" i="1" s="1"/>
  <c r="L321" i="1"/>
  <c r="N321" i="1" s="1"/>
  <c r="L320" i="1"/>
  <c r="N320" i="1" s="1"/>
  <c r="L319" i="1"/>
  <c r="N319" i="1" s="1"/>
  <c r="L318" i="1"/>
  <c r="N318" i="1" s="1"/>
  <c r="L317" i="1"/>
  <c r="N317" i="1" s="1"/>
  <c r="L316" i="1"/>
  <c r="N316" i="1" s="1"/>
  <c r="L315" i="1"/>
  <c r="N315" i="1" s="1"/>
  <c r="L314" i="1"/>
  <c r="N314" i="1" s="1"/>
  <c r="L313" i="1"/>
  <c r="N313" i="1" s="1"/>
  <c r="L312" i="1"/>
  <c r="N312" i="1" s="1"/>
  <c r="L311" i="1"/>
  <c r="N311" i="1" s="1"/>
  <c r="L310" i="1"/>
  <c r="N310" i="1" s="1"/>
  <c r="L309" i="1"/>
  <c r="N309" i="1" s="1"/>
  <c r="L308" i="1"/>
  <c r="N308" i="1" s="1"/>
  <c r="L307" i="1"/>
  <c r="L306" i="1"/>
  <c r="L305" i="1"/>
  <c r="N305" i="1" s="1"/>
  <c r="L304" i="1"/>
  <c r="L303" i="1"/>
  <c r="N303" i="1" s="1"/>
  <c r="L302" i="1"/>
  <c r="N302" i="1" s="1"/>
  <c r="L301" i="1"/>
  <c r="N301" i="1" s="1"/>
  <c r="L300" i="1"/>
  <c r="N300" i="1" s="1"/>
  <c r="L299" i="1"/>
  <c r="N299" i="1" s="1"/>
  <c r="L298" i="1"/>
  <c r="N298" i="1" s="1"/>
  <c r="L297" i="1"/>
  <c r="N297" i="1" s="1"/>
  <c r="L296" i="1"/>
  <c r="N296" i="1" s="1"/>
  <c r="L295" i="1"/>
  <c r="N295" i="1" s="1"/>
  <c r="L294" i="1"/>
  <c r="N294" i="1" s="1"/>
  <c r="L293" i="1"/>
  <c r="N293" i="1" s="1"/>
  <c r="L292" i="1"/>
  <c r="L291" i="1"/>
  <c r="N291" i="1" s="1"/>
  <c r="L290" i="1"/>
  <c r="N290" i="1" s="1"/>
  <c r="L289" i="1"/>
  <c r="N289" i="1" s="1"/>
  <c r="L288" i="1"/>
  <c r="N288" i="1" s="1"/>
  <c r="L287" i="1"/>
  <c r="N287" i="1" s="1"/>
  <c r="L286" i="1"/>
  <c r="N286" i="1" s="1"/>
  <c r="L285" i="1"/>
  <c r="N285" i="1" s="1"/>
  <c r="L284" i="1"/>
  <c r="L283" i="1"/>
  <c r="N283" i="1" s="1"/>
  <c r="L282" i="1"/>
  <c r="N282" i="1" s="1"/>
  <c r="L281" i="1"/>
  <c r="N281" i="1" s="1"/>
  <c r="L280" i="1"/>
  <c r="N280" i="1" s="1"/>
  <c r="L279" i="1"/>
  <c r="N279" i="1" s="1"/>
  <c r="L278" i="1"/>
  <c r="N278" i="1" s="1"/>
  <c r="L277" i="1"/>
  <c r="N277" i="1" s="1"/>
  <c r="L276" i="1"/>
  <c r="N276" i="1" s="1"/>
  <c r="L275" i="1"/>
  <c r="N275" i="1" s="1"/>
  <c r="L274" i="1"/>
  <c r="N274" i="1" s="1"/>
  <c r="L273" i="1"/>
  <c r="N273" i="1" s="1"/>
  <c r="L272" i="1"/>
  <c r="N272" i="1" s="1"/>
  <c r="L271" i="1"/>
  <c r="N271" i="1" s="1"/>
  <c r="L270" i="1"/>
  <c r="N270" i="1" s="1"/>
  <c r="L269" i="1"/>
  <c r="N269" i="1" s="1"/>
  <c r="L80" i="1"/>
  <c r="N80" i="1" s="1"/>
  <c r="L79" i="1"/>
  <c r="N79" i="1" s="1"/>
  <c r="L78" i="1"/>
  <c r="N78" i="1" s="1"/>
  <c r="L77" i="1"/>
  <c r="N77" i="1" s="1"/>
  <c r="L76" i="1"/>
  <c r="N76" i="1" s="1"/>
  <c r="L75" i="1"/>
  <c r="N75" i="1" s="1"/>
  <c r="L74" i="1"/>
  <c r="N74" i="1" s="1"/>
  <c r="L73" i="1"/>
  <c r="N73" i="1" s="1"/>
  <c r="L72" i="1"/>
  <c r="N72" i="1" s="1"/>
  <c r="L71" i="1"/>
  <c r="N71" i="1" s="1"/>
  <c r="L70" i="1"/>
  <c r="N70" i="1" s="1"/>
  <c r="L69" i="1"/>
  <c r="N69" i="1" s="1"/>
  <c r="L68" i="1"/>
  <c r="N68" i="1" s="1"/>
  <c r="L67" i="1"/>
  <c r="N67" i="1" s="1"/>
  <c r="L66" i="1"/>
  <c r="L65" i="1"/>
  <c r="N65" i="1" s="1"/>
  <c r="L64" i="1"/>
  <c r="N64" i="1" s="1"/>
  <c r="L63" i="1"/>
  <c r="N63" i="1" s="1"/>
  <c r="L62" i="1"/>
  <c r="N62" i="1" s="1"/>
  <c r="L61" i="1"/>
  <c r="N61" i="1" s="1"/>
  <c r="L60" i="1"/>
  <c r="N60" i="1" s="1"/>
  <c r="L59" i="1"/>
  <c r="N59" i="1" s="1"/>
  <c r="L58" i="1"/>
  <c r="N58" i="1" s="1"/>
  <c r="L57" i="1"/>
  <c r="N57" i="1" s="1"/>
  <c r="L56" i="1"/>
  <c r="N56" i="1" s="1"/>
  <c r="L55" i="1"/>
  <c r="N55" i="1" s="1"/>
  <c r="L54" i="1"/>
  <c r="N54" i="1" s="1"/>
  <c r="L53" i="1"/>
  <c r="N53" i="1" s="1"/>
  <c r="L52" i="1"/>
  <c r="N52" i="1" s="1"/>
  <c r="L51" i="1"/>
  <c r="N51" i="1" s="1"/>
  <c r="L50" i="1"/>
  <c r="L49" i="1"/>
  <c r="N49" i="1" s="1"/>
  <c r="L48" i="1"/>
  <c r="N48" i="1" s="1"/>
  <c r="L47" i="1"/>
  <c r="N47" i="1" s="1"/>
  <c r="L46" i="1"/>
  <c r="N46" i="1" s="1"/>
  <c r="L45" i="1"/>
  <c r="N45" i="1" s="1"/>
  <c r="L44" i="1"/>
  <c r="N44" i="1" s="1"/>
  <c r="L43" i="1"/>
  <c r="N43" i="1" s="1"/>
  <c r="L42" i="1"/>
  <c r="L41" i="1"/>
  <c r="N41" i="1" s="1"/>
  <c r="L40" i="1"/>
  <c r="N40" i="1" s="1"/>
  <c r="L39" i="1"/>
  <c r="N39" i="1" s="1"/>
  <c r="L38" i="1"/>
  <c r="N38" i="1" s="1"/>
  <c r="L37" i="1"/>
  <c r="N37" i="1" s="1"/>
  <c r="L36" i="1"/>
  <c r="N36" i="1" s="1"/>
  <c r="L35" i="1"/>
  <c r="N35" i="1" s="1"/>
  <c r="L34" i="1"/>
  <c r="N34" i="1" s="1"/>
  <c r="L33" i="1"/>
  <c r="N33" i="1" s="1"/>
  <c r="L32" i="1"/>
  <c r="N32" i="1" s="1"/>
  <c r="L31" i="1"/>
  <c r="N31" i="1" s="1"/>
  <c r="L30" i="1"/>
  <c r="N30" i="1" s="1"/>
  <c r="L29" i="1"/>
  <c r="N29" i="1" s="1"/>
  <c r="L28" i="1"/>
  <c r="N28" i="1" s="1"/>
  <c r="L27" i="1"/>
  <c r="N27" i="1" s="1"/>
  <c r="L26" i="1"/>
  <c r="N26" i="1" s="1"/>
  <c r="L25" i="1"/>
  <c r="L24" i="1"/>
  <c r="N24" i="1" s="1"/>
  <c r="L23" i="1"/>
  <c r="N23" i="1" s="1"/>
  <c r="L22" i="1"/>
  <c r="N22" i="1" s="1"/>
  <c r="L21" i="1"/>
  <c r="N21" i="1" s="1"/>
  <c r="L20" i="1"/>
  <c r="N20" i="1" s="1"/>
  <c r="L19" i="1"/>
  <c r="N19" i="1" s="1"/>
  <c r="L18" i="1"/>
  <c r="N18" i="1" s="1"/>
  <c r="L17" i="1"/>
  <c r="N17" i="1" s="1"/>
  <c r="L16" i="1"/>
  <c r="N16" i="1" s="1"/>
  <c r="L15" i="1"/>
  <c r="N15" i="1" s="1"/>
  <c r="L14" i="1"/>
  <c r="N14" i="1" s="1"/>
  <c r="L13" i="1"/>
  <c r="L12" i="1"/>
  <c r="N12" i="1" s="1"/>
  <c r="L11" i="1"/>
  <c r="N11" i="1" s="1"/>
  <c r="L10" i="1"/>
  <c r="N10" i="1" s="1"/>
  <c r="L9" i="1"/>
  <c r="N9" i="1" s="1"/>
  <c r="L8" i="1"/>
  <c r="N8" i="1" s="1"/>
  <c r="L7" i="1"/>
  <c r="L6" i="1"/>
  <c r="N6" i="1" s="1"/>
  <c r="L5" i="1"/>
  <c r="N5" i="1" s="1"/>
  <c r="L4" i="1"/>
  <c r="N4" i="1" s="1"/>
  <c r="L3" i="1"/>
  <c r="N3" i="1" s="1"/>
  <c r="L2" i="1"/>
  <c r="N2" i="1" s="1"/>
  <c r="N7" i="1" l="1"/>
  <c r="O7" i="1" s="1"/>
  <c r="N307" i="1"/>
  <c r="O307" i="1" s="1"/>
  <c r="N331" i="1"/>
  <c r="O331" i="1" s="1"/>
  <c r="N435" i="1"/>
  <c r="O435" i="1" s="1"/>
  <c r="N515" i="1"/>
  <c r="O515" i="1" s="1"/>
  <c r="N836" i="1"/>
  <c r="O836" i="1" s="1"/>
  <c r="N844" i="1"/>
  <c r="O844" i="1" s="1"/>
  <c r="N860" i="1"/>
  <c r="O860" i="1" s="1"/>
  <c r="N876" i="1"/>
  <c r="O876" i="1" s="1"/>
  <c r="N884" i="1"/>
  <c r="O884" i="1" s="1"/>
  <c r="N892" i="1"/>
  <c r="O892" i="1" s="1"/>
  <c r="N284" i="1"/>
  <c r="O284" i="1" s="1"/>
  <c r="N292" i="1"/>
  <c r="O292" i="1" s="1"/>
  <c r="N785" i="1"/>
  <c r="O785" i="1" s="1"/>
  <c r="N885" i="1"/>
  <c r="O885" i="1" s="1"/>
  <c r="N893" i="1"/>
  <c r="O893" i="1" s="1"/>
  <c r="N901" i="1"/>
  <c r="O901" i="1" s="1"/>
  <c r="N1243" i="1"/>
  <c r="O1243" i="1" s="1"/>
  <c r="N1251" i="1"/>
  <c r="O1251" i="1" s="1"/>
  <c r="N13" i="1"/>
  <c r="O13" i="1" s="1"/>
  <c r="N25" i="1"/>
  <c r="O25" i="1" s="1"/>
  <c r="N349" i="1"/>
  <c r="O349" i="1" s="1"/>
  <c r="N477" i="1"/>
  <c r="O477" i="1" s="1"/>
  <c r="N485" i="1"/>
  <c r="O485" i="1" s="1"/>
  <c r="N493" i="1"/>
  <c r="O493" i="1" s="1"/>
  <c r="N501" i="1"/>
  <c r="O501" i="1" s="1"/>
  <c r="N525" i="1"/>
  <c r="O525" i="1" s="1"/>
  <c r="N854" i="1"/>
  <c r="O854" i="1" s="1"/>
  <c r="N886" i="1"/>
  <c r="O886" i="1" s="1"/>
  <c r="N894" i="1"/>
  <c r="O894" i="1" s="1"/>
  <c r="N902" i="1"/>
  <c r="O902" i="1" s="1"/>
  <c r="N42" i="1"/>
  <c r="O42" i="1" s="1"/>
  <c r="N50" i="1"/>
  <c r="O50" i="1" s="1"/>
  <c r="N66" i="1"/>
  <c r="O66" i="1" s="1"/>
  <c r="N342" i="1"/>
  <c r="O342" i="1" s="1"/>
  <c r="N350" i="1"/>
  <c r="O350" i="1" s="1"/>
  <c r="N1261" i="1"/>
  <c r="O1261" i="1" s="1"/>
  <c r="N375" i="1"/>
  <c r="O375" i="1" s="1"/>
  <c r="N519" i="1"/>
  <c r="O519" i="1" s="1"/>
  <c r="N812" i="1"/>
  <c r="O812" i="1" s="1"/>
  <c r="N1198" i="1"/>
  <c r="O1198" i="1" s="1"/>
  <c r="N1206" i="1"/>
  <c r="O1206" i="1" s="1"/>
  <c r="N304" i="1"/>
  <c r="O304" i="1" s="1"/>
  <c r="N376" i="1"/>
  <c r="O376" i="1" s="1"/>
  <c r="N384" i="1"/>
  <c r="O384" i="1" s="1"/>
  <c r="N456" i="1"/>
  <c r="O456" i="1" s="1"/>
  <c r="N464" i="1"/>
  <c r="O464" i="1" s="1"/>
  <c r="N520" i="1"/>
  <c r="O520" i="1" s="1"/>
  <c r="N528" i="1"/>
  <c r="O528" i="1" s="1"/>
  <c r="N560" i="1"/>
  <c r="O560" i="1" s="1"/>
  <c r="N568" i="1"/>
  <c r="O568" i="1" s="1"/>
  <c r="N821" i="1"/>
  <c r="O821" i="1" s="1"/>
  <c r="N833" i="1"/>
  <c r="O833" i="1" s="1"/>
  <c r="N874" i="1"/>
  <c r="O874" i="1" s="1"/>
  <c r="N1200" i="1"/>
  <c r="O1200" i="1" s="1"/>
  <c r="N306" i="1"/>
  <c r="O306" i="1" s="1"/>
  <c r="N815" i="1"/>
  <c r="O815" i="1" s="1"/>
  <c r="N835" i="1"/>
  <c r="O835" i="1" s="1"/>
  <c r="N859" i="1"/>
  <c r="O859" i="1" s="1"/>
  <c r="P1242" i="1"/>
  <c r="P1254" i="1"/>
  <c r="P1262" i="1"/>
  <c r="P1249" i="1"/>
  <c r="P1247" i="1"/>
  <c r="P1246" i="1"/>
  <c r="P1232" i="1"/>
  <c r="P1236" i="1"/>
  <c r="P1250" i="1"/>
  <c r="R1235" i="1"/>
  <c r="O1235" i="1"/>
  <c r="R1259" i="1"/>
  <c r="O1259" i="1"/>
  <c r="P1235" i="1"/>
  <c r="P1261" i="1"/>
  <c r="P1243" i="1"/>
  <c r="P1259" i="1"/>
  <c r="P1237" i="1"/>
  <c r="P1244" i="1"/>
  <c r="P1251" i="1"/>
  <c r="P1257" i="1"/>
  <c r="P1265" i="1"/>
  <c r="R1264" i="1"/>
  <c r="Q1264" i="1"/>
  <c r="O1264" i="1"/>
  <c r="R1233" i="1"/>
  <c r="Q1233" i="1"/>
  <c r="O1233" i="1"/>
  <c r="P1234" i="1"/>
  <c r="P1241" i="1"/>
  <c r="P1264" i="1"/>
  <c r="P1233" i="1"/>
  <c r="R1240" i="1"/>
  <c r="Q1240" i="1"/>
  <c r="O1240" i="1"/>
  <c r="P1248" i="1"/>
  <c r="O1254" i="1"/>
  <c r="R1254" i="1"/>
  <c r="Q1254" i="1"/>
  <c r="Q1255" i="1"/>
  <c r="O1255" i="1"/>
  <c r="R1255" i="1"/>
  <c r="O1262" i="1"/>
  <c r="R1262" i="1"/>
  <c r="Q1262" i="1"/>
  <c r="Q1263" i="1"/>
  <c r="O1263" i="1"/>
  <c r="R1263" i="1"/>
  <c r="R1241" i="1"/>
  <c r="Q1241" i="1"/>
  <c r="O1241" i="1"/>
  <c r="R1256" i="1"/>
  <c r="Q1256" i="1"/>
  <c r="O1256" i="1"/>
  <c r="R1248" i="1"/>
  <c r="Q1248" i="1"/>
  <c r="O1248" i="1"/>
  <c r="P1256" i="1"/>
  <c r="R1232" i="1"/>
  <c r="Q1232" i="1"/>
  <c r="O1232" i="1"/>
  <c r="P1240" i="1"/>
  <c r="O1246" i="1"/>
  <c r="R1246" i="1"/>
  <c r="Q1246" i="1"/>
  <c r="Q1247" i="1"/>
  <c r="O1247" i="1"/>
  <c r="R1247" i="1"/>
  <c r="P1255" i="1"/>
  <c r="P1263" i="1"/>
  <c r="S1263" i="1" s="1"/>
  <c r="O1238" i="1"/>
  <c r="R1238" i="1"/>
  <c r="Q1238" i="1"/>
  <c r="O1253" i="1"/>
  <c r="R1253" i="1"/>
  <c r="Q1253" i="1"/>
  <c r="R1258" i="1"/>
  <c r="Q1258" i="1"/>
  <c r="O1258" i="1"/>
  <c r="O1245" i="1"/>
  <c r="R1245" i="1"/>
  <c r="Q1245" i="1"/>
  <c r="O1260" i="1"/>
  <c r="R1260" i="1"/>
  <c r="Q1260" i="1"/>
  <c r="Q1231" i="1"/>
  <c r="O1231" i="1"/>
  <c r="R1231" i="1"/>
  <c r="P1239" i="1"/>
  <c r="R1250" i="1"/>
  <c r="Q1250" i="1"/>
  <c r="O1250" i="1"/>
  <c r="O1252" i="1"/>
  <c r="R1252" i="1"/>
  <c r="Q1252" i="1"/>
  <c r="P1253" i="1"/>
  <c r="P1260" i="1"/>
  <c r="P1231" i="1"/>
  <c r="O1237" i="1"/>
  <c r="R1237" i="1"/>
  <c r="Q1237" i="1"/>
  <c r="P1238" i="1"/>
  <c r="R1242" i="1"/>
  <c r="Q1242" i="1"/>
  <c r="O1242" i="1"/>
  <c r="O1244" i="1"/>
  <c r="R1244" i="1"/>
  <c r="Q1244" i="1"/>
  <c r="P1245" i="1"/>
  <c r="R1251" i="1"/>
  <c r="P1252" i="1"/>
  <c r="R1257" i="1"/>
  <c r="Q1257" i="1"/>
  <c r="O1257" i="1"/>
  <c r="P1258" i="1"/>
  <c r="R1265" i="1"/>
  <c r="Q1265" i="1"/>
  <c r="O1265" i="1"/>
  <c r="Q1239" i="1"/>
  <c r="O1239" i="1"/>
  <c r="R1239" i="1"/>
  <c r="R1234" i="1"/>
  <c r="Q1234" i="1"/>
  <c r="O1234" i="1"/>
  <c r="O1236" i="1"/>
  <c r="R1236" i="1"/>
  <c r="Q1236" i="1"/>
  <c r="R1243" i="1"/>
  <c r="R1249" i="1"/>
  <c r="Q1249" i="1"/>
  <c r="O1249" i="1"/>
  <c r="Q1261" i="1"/>
  <c r="R1261" i="1"/>
  <c r="R1213" i="1"/>
  <c r="R1221" i="1"/>
  <c r="Q1235" i="1"/>
  <c r="Q1243" i="1"/>
  <c r="Q1251" i="1"/>
  <c r="Q1259" i="1"/>
  <c r="P1199" i="1"/>
  <c r="P1195" i="1"/>
  <c r="P1215" i="1"/>
  <c r="P1227" i="1"/>
  <c r="R1188" i="1"/>
  <c r="R1196" i="1"/>
  <c r="R1214" i="1"/>
  <c r="Q1187" i="1"/>
  <c r="P1202" i="1"/>
  <c r="P1194" i="1"/>
  <c r="P1200" i="1"/>
  <c r="P1222" i="1"/>
  <c r="P1203" i="1"/>
  <c r="Q1195" i="1"/>
  <c r="R1190" i="1"/>
  <c r="O1190" i="1"/>
  <c r="P1198" i="1"/>
  <c r="P1196" i="1"/>
  <c r="Q1203" i="1"/>
  <c r="P1206" i="1"/>
  <c r="P1207" i="1"/>
  <c r="P1216" i="1"/>
  <c r="P1228" i="1"/>
  <c r="P1187" i="1"/>
  <c r="P1188" i="1"/>
  <c r="P1192" i="1"/>
  <c r="P1213" i="1"/>
  <c r="P1214" i="1"/>
  <c r="P1221" i="1"/>
  <c r="P1189" i="1"/>
  <c r="P1190" i="1"/>
  <c r="R1197" i="1"/>
  <c r="Q1197" i="1"/>
  <c r="O1197" i="1"/>
  <c r="O1187" i="1"/>
  <c r="R1187" i="1"/>
  <c r="R1208" i="1"/>
  <c r="Q1208" i="1"/>
  <c r="P1208" i="1"/>
  <c r="O1208" i="1"/>
  <c r="O1202" i="1"/>
  <c r="R1202" i="1"/>
  <c r="Q1202" i="1"/>
  <c r="Q1204" i="1"/>
  <c r="O1204" i="1"/>
  <c r="O1209" i="1"/>
  <c r="R1209" i="1"/>
  <c r="Q1209" i="1"/>
  <c r="O1217" i="1"/>
  <c r="R1217" i="1"/>
  <c r="Q1217" i="1"/>
  <c r="R1223" i="1"/>
  <c r="Q1223" i="1"/>
  <c r="O1223" i="1"/>
  <c r="R1224" i="1"/>
  <c r="Q1224" i="1"/>
  <c r="O1224" i="1"/>
  <c r="R1229" i="1"/>
  <c r="Q1229" i="1"/>
  <c r="O1229" i="1"/>
  <c r="O1195" i="1"/>
  <c r="R1195" i="1"/>
  <c r="O1201" i="1"/>
  <c r="R1201" i="1"/>
  <c r="Q1201" i="1"/>
  <c r="P1204" i="1"/>
  <c r="R1205" i="1"/>
  <c r="Q1205" i="1"/>
  <c r="O1205" i="1"/>
  <c r="R1207" i="1"/>
  <c r="Q1207" i="1"/>
  <c r="O1207" i="1"/>
  <c r="P1209" i="1"/>
  <c r="P1217" i="1"/>
  <c r="P1224" i="1"/>
  <c r="P1229" i="1"/>
  <c r="Q1188" i="1"/>
  <c r="O1188" i="1"/>
  <c r="O1193" i="1"/>
  <c r="R1193" i="1"/>
  <c r="Q1193" i="1"/>
  <c r="P1193" i="1"/>
  <c r="O1194" i="1"/>
  <c r="R1194" i="1"/>
  <c r="Q1194" i="1"/>
  <c r="Q1196" i="1"/>
  <c r="O1196" i="1"/>
  <c r="R1199" i="1"/>
  <c r="Q1199" i="1"/>
  <c r="O1199" i="1"/>
  <c r="R1200" i="1"/>
  <c r="Q1200" i="1"/>
  <c r="P1201" i="1"/>
  <c r="R1204" i="1"/>
  <c r="P1205" i="1"/>
  <c r="R1206" i="1"/>
  <c r="R1215" i="1"/>
  <c r="Q1215" i="1"/>
  <c r="O1215" i="1"/>
  <c r="R1216" i="1"/>
  <c r="Q1216" i="1"/>
  <c r="O1216" i="1"/>
  <c r="R1222" i="1"/>
  <c r="Q1222" i="1"/>
  <c r="O1222" i="1"/>
  <c r="P1223" i="1"/>
  <c r="O1227" i="1"/>
  <c r="R1227" i="1"/>
  <c r="Q1227" i="1"/>
  <c r="Q1228" i="1"/>
  <c r="O1228" i="1"/>
  <c r="R1228" i="1"/>
  <c r="R1189" i="1"/>
  <c r="Q1189" i="1"/>
  <c r="O1189" i="1"/>
  <c r="R1191" i="1"/>
  <c r="Q1191" i="1"/>
  <c r="O1191" i="1"/>
  <c r="R1192" i="1"/>
  <c r="Q1192" i="1"/>
  <c r="P1197" i="1"/>
  <c r="R1198" i="1"/>
  <c r="O1211" i="1"/>
  <c r="R1211" i="1"/>
  <c r="Q1211" i="1"/>
  <c r="Q1212" i="1"/>
  <c r="O1212" i="1"/>
  <c r="R1212" i="1"/>
  <c r="O1219" i="1"/>
  <c r="R1219" i="1"/>
  <c r="Q1219" i="1"/>
  <c r="Q1220" i="1"/>
  <c r="O1220" i="1"/>
  <c r="R1220" i="1"/>
  <c r="O1226" i="1"/>
  <c r="R1226" i="1"/>
  <c r="Q1226" i="1"/>
  <c r="P1191" i="1"/>
  <c r="O1192" i="1"/>
  <c r="P1212" i="1"/>
  <c r="P1220" i="1"/>
  <c r="P1226" i="1"/>
  <c r="O1210" i="1"/>
  <c r="R1210" i="1"/>
  <c r="Q1210" i="1"/>
  <c r="P1211" i="1"/>
  <c r="O1218" i="1"/>
  <c r="R1218" i="1"/>
  <c r="Q1218" i="1"/>
  <c r="P1219" i="1"/>
  <c r="O1225" i="1"/>
  <c r="R1225" i="1"/>
  <c r="Q1225" i="1"/>
  <c r="R1230" i="1"/>
  <c r="Q1230" i="1"/>
  <c r="O1230" i="1"/>
  <c r="O1203" i="1"/>
  <c r="R1203" i="1"/>
  <c r="P1210" i="1"/>
  <c r="P1218" i="1"/>
  <c r="P1225" i="1"/>
  <c r="P1230" i="1"/>
  <c r="O1214" i="1"/>
  <c r="O1213" i="1"/>
  <c r="O1221" i="1"/>
  <c r="Q1190" i="1"/>
  <c r="Q1198" i="1"/>
  <c r="Q1206" i="1"/>
  <c r="Q1214" i="1"/>
  <c r="Q1213" i="1"/>
  <c r="Q1221" i="1"/>
  <c r="R781" i="1"/>
  <c r="Q521" i="1"/>
  <c r="P900" i="1"/>
  <c r="P761" i="1"/>
  <c r="R540" i="1"/>
  <c r="P739" i="1"/>
  <c r="R789" i="1"/>
  <c r="P814" i="1"/>
  <c r="P822" i="1"/>
  <c r="P765" i="1"/>
  <c r="Q750" i="1"/>
  <c r="P845" i="1"/>
  <c r="S845" i="1" s="1"/>
  <c r="R898" i="1"/>
  <c r="P736" i="1"/>
  <c r="P777" i="1"/>
  <c r="P815" i="1"/>
  <c r="P901" i="1"/>
  <c r="Q896" i="1"/>
  <c r="Q780" i="1"/>
  <c r="P834" i="1"/>
  <c r="S834" i="1" s="1"/>
  <c r="Q752" i="1"/>
  <c r="P725" i="1"/>
  <c r="P737" i="1"/>
  <c r="P758" i="1"/>
  <c r="P776" i="1"/>
  <c r="P735" i="1"/>
  <c r="P797" i="1"/>
  <c r="Q815" i="1"/>
  <c r="P876" i="1"/>
  <c r="P885" i="1"/>
  <c r="P893" i="1"/>
  <c r="P786" i="1"/>
  <c r="P810" i="1"/>
  <c r="P857" i="1"/>
  <c r="P728" i="1"/>
  <c r="P744" i="1"/>
  <c r="P791" i="1"/>
  <c r="P833" i="1"/>
  <c r="S833" i="1" s="1"/>
  <c r="P852" i="1"/>
  <c r="P861" i="1"/>
  <c r="P884" i="1"/>
  <c r="P892" i="1"/>
  <c r="P842" i="1"/>
  <c r="S842" i="1" s="1"/>
  <c r="P748" i="1"/>
  <c r="P760" i="1"/>
  <c r="P778" i="1"/>
  <c r="P795" i="1"/>
  <c r="P807" i="1"/>
  <c r="Q855" i="1"/>
  <c r="P878" i="1"/>
  <c r="P895" i="1"/>
  <c r="S895" i="1" s="1"/>
  <c r="Q788" i="1"/>
  <c r="Q904" i="1"/>
  <c r="P908" i="1"/>
  <c r="Q858" i="1"/>
  <c r="R858" i="1"/>
  <c r="Q824" i="1"/>
  <c r="R824" i="1"/>
  <c r="Q820" i="1"/>
  <c r="P862" i="1"/>
  <c r="P856" i="1"/>
  <c r="O905" i="1"/>
  <c r="Q905" i="1"/>
  <c r="Q818" i="1"/>
  <c r="P818" i="1"/>
  <c r="R765" i="1"/>
  <c r="P726" i="1"/>
  <c r="P819" i="1"/>
  <c r="P764" i="1"/>
  <c r="P787" i="1"/>
  <c r="P788" i="1"/>
  <c r="P865" i="1"/>
  <c r="R761" i="1"/>
  <c r="P781" i="1"/>
  <c r="P789" i="1"/>
  <c r="P790" i="1"/>
  <c r="P804" i="1"/>
  <c r="P840" i="1"/>
  <c r="P898" i="1"/>
  <c r="P899" i="1"/>
  <c r="O752" i="1"/>
  <c r="P755" i="1"/>
  <c r="P729" i="1"/>
  <c r="R752" i="1"/>
  <c r="P801" i="1"/>
  <c r="P863" i="1"/>
  <c r="P886" i="1"/>
  <c r="P894" i="1"/>
  <c r="P759" i="1"/>
  <c r="O761" i="1"/>
  <c r="P770" i="1"/>
  <c r="P785" i="1"/>
  <c r="P825" i="1"/>
  <c r="P855" i="1"/>
  <c r="S855" i="1" s="1"/>
  <c r="P903" i="1"/>
  <c r="P859" i="1"/>
  <c r="P902" i="1"/>
  <c r="P768" i="1"/>
  <c r="Q832" i="1"/>
  <c r="P843" i="1"/>
  <c r="P875" i="1"/>
  <c r="O763" i="1"/>
  <c r="R763" i="1"/>
  <c r="Q763" i="1"/>
  <c r="P763" i="1"/>
  <c r="R729" i="1"/>
  <c r="Q729" i="1"/>
  <c r="O729" i="1"/>
  <c r="P730" i="1"/>
  <c r="R736" i="1"/>
  <c r="Q736" i="1"/>
  <c r="O736" i="1"/>
  <c r="O737" i="1"/>
  <c r="R737" i="1"/>
  <c r="Q737" i="1"/>
  <c r="P738" i="1"/>
  <c r="P743" i="1"/>
  <c r="P751" i="1"/>
  <c r="R730" i="1"/>
  <c r="Q730" i="1"/>
  <c r="O730" i="1"/>
  <c r="R728" i="1"/>
  <c r="Q728" i="1"/>
  <c r="O728" i="1"/>
  <c r="O735" i="1"/>
  <c r="R735" i="1"/>
  <c r="Q735" i="1"/>
  <c r="O741" i="1"/>
  <c r="Q741" i="1"/>
  <c r="R741" i="1"/>
  <c r="R742" i="1"/>
  <c r="Q742" i="1"/>
  <c r="P742" i="1"/>
  <c r="S742" i="1" s="1"/>
  <c r="O742" i="1"/>
  <c r="Q748" i="1"/>
  <c r="O748" i="1"/>
  <c r="R748" i="1"/>
  <c r="R751" i="1"/>
  <c r="O751" i="1"/>
  <c r="Q751" i="1"/>
  <c r="Q738" i="1"/>
  <c r="O738" i="1"/>
  <c r="R738" i="1"/>
  <c r="Q734" i="1"/>
  <c r="O734" i="1"/>
  <c r="R734" i="1"/>
  <c r="O747" i="1"/>
  <c r="R747" i="1"/>
  <c r="Q747" i="1"/>
  <c r="R756" i="1"/>
  <c r="Q756" i="1"/>
  <c r="O756" i="1"/>
  <c r="O743" i="1"/>
  <c r="R743" i="1"/>
  <c r="Q743" i="1"/>
  <c r="R727" i="1"/>
  <c r="Q727" i="1"/>
  <c r="O727" i="1"/>
  <c r="O740" i="1"/>
  <c r="R740" i="1"/>
  <c r="Q740" i="1"/>
  <c r="P741" i="1"/>
  <c r="Q746" i="1"/>
  <c r="R746" i="1"/>
  <c r="O746" i="1"/>
  <c r="O731" i="1"/>
  <c r="R731" i="1"/>
  <c r="Q731" i="1"/>
  <c r="R782" i="1"/>
  <c r="Q782" i="1"/>
  <c r="O782" i="1"/>
  <c r="P731" i="1"/>
  <c r="Q753" i="1"/>
  <c r="O753" i="1"/>
  <c r="R753" i="1"/>
  <c r="O733" i="1"/>
  <c r="Q733" i="1"/>
  <c r="R733" i="1"/>
  <c r="Q726" i="1"/>
  <c r="R726" i="1"/>
  <c r="O726" i="1"/>
  <c r="P727" i="1"/>
  <c r="O732" i="1"/>
  <c r="P732" i="1"/>
  <c r="R732" i="1"/>
  <c r="Q732" i="1"/>
  <c r="P733" i="1"/>
  <c r="P734" i="1"/>
  <c r="P740" i="1"/>
  <c r="P747" i="1"/>
  <c r="R758" i="1"/>
  <c r="Q758" i="1"/>
  <c r="O758" i="1"/>
  <c r="O724" i="1"/>
  <c r="P724" i="1"/>
  <c r="R724" i="1"/>
  <c r="Q724" i="1"/>
  <c r="R749" i="1"/>
  <c r="Q749" i="1"/>
  <c r="O749" i="1"/>
  <c r="O745" i="1"/>
  <c r="Q745" i="1"/>
  <c r="R745" i="1"/>
  <c r="O725" i="1"/>
  <c r="Q725" i="1"/>
  <c r="R725" i="1"/>
  <c r="R739" i="1"/>
  <c r="Q739" i="1"/>
  <c r="O739" i="1"/>
  <c r="R744" i="1"/>
  <c r="Q744" i="1"/>
  <c r="O744" i="1"/>
  <c r="P746" i="1"/>
  <c r="Q757" i="1"/>
  <c r="O757" i="1"/>
  <c r="R757" i="1"/>
  <c r="R774" i="1"/>
  <c r="Q774" i="1"/>
  <c r="O774" i="1"/>
  <c r="R796" i="1"/>
  <c r="Q796" i="1"/>
  <c r="P796" i="1"/>
  <c r="O796" i="1"/>
  <c r="O754" i="1"/>
  <c r="Q754" i="1"/>
  <c r="O762" i="1"/>
  <c r="Q762" i="1"/>
  <c r="O798" i="1"/>
  <c r="R798" i="1"/>
  <c r="Q798" i="1"/>
  <c r="P798" i="1"/>
  <c r="O799" i="1"/>
  <c r="R799" i="1"/>
  <c r="R800" i="1"/>
  <c r="Q800" i="1"/>
  <c r="O800" i="1"/>
  <c r="R802" i="1"/>
  <c r="O802" i="1"/>
  <c r="Q802" i="1"/>
  <c r="P802" i="1"/>
  <c r="O830" i="1"/>
  <c r="R830" i="1"/>
  <c r="Q830" i="1"/>
  <c r="O848" i="1"/>
  <c r="Q848" i="1"/>
  <c r="R848" i="1"/>
  <c r="O872" i="1"/>
  <c r="R872" i="1"/>
  <c r="Q872" i="1"/>
  <c r="P872" i="1"/>
  <c r="P749" i="1"/>
  <c r="P750" i="1"/>
  <c r="P752" i="1"/>
  <c r="S752" i="1" s="1"/>
  <c r="P762" i="1"/>
  <c r="R777" i="1"/>
  <c r="Q777" i="1"/>
  <c r="O779" i="1"/>
  <c r="R779" i="1"/>
  <c r="Q779" i="1"/>
  <c r="O780" i="1"/>
  <c r="R780" i="1"/>
  <c r="Q781" i="1"/>
  <c r="O781" i="1"/>
  <c r="R783" i="1"/>
  <c r="Q783" i="1"/>
  <c r="O783" i="1"/>
  <c r="P799" i="1"/>
  <c r="Q804" i="1"/>
  <c r="R804" i="1"/>
  <c r="O804" i="1"/>
  <c r="Q806" i="1"/>
  <c r="P806" i="1"/>
  <c r="P830" i="1"/>
  <c r="O839" i="1"/>
  <c r="R839" i="1"/>
  <c r="Q839" i="1"/>
  <c r="P839" i="1"/>
  <c r="S839" i="1" s="1"/>
  <c r="R784" i="1"/>
  <c r="Q784" i="1"/>
  <c r="O784" i="1"/>
  <c r="Q803" i="1"/>
  <c r="O803" i="1"/>
  <c r="R805" i="1"/>
  <c r="Q805" i="1"/>
  <c r="O805" i="1"/>
  <c r="R750" i="1"/>
  <c r="Q761" i="1"/>
  <c r="O764" i="1"/>
  <c r="R764" i="1"/>
  <c r="Q765" i="1"/>
  <c r="O765" i="1"/>
  <c r="R776" i="1"/>
  <c r="Q776" i="1"/>
  <c r="O776" i="1"/>
  <c r="O778" i="1"/>
  <c r="R778" i="1"/>
  <c r="Q778" i="1"/>
  <c r="P780" i="1"/>
  <c r="P783" i="1"/>
  <c r="P784" i="1"/>
  <c r="O795" i="1"/>
  <c r="R795" i="1"/>
  <c r="R797" i="1"/>
  <c r="Q797" i="1"/>
  <c r="O797" i="1"/>
  <c r="Q799" i="1"/>
  <c r="R801" i="1"/>
  <c r="P803" i="1"/>
  <c r="P805" i="1"/>
  <c r="R823" i="1"/>
  <c r="Q823" i="1"/>
  <c r="P823" i="1"/>
  <c r="O823" i="1"/>
  <c r="O825" i="1"/>
  <c r="Q825" i="1"/>
  <c r="R825" i="1"/>
  <c r="P754" i="1"/>
  <c r="O755" i="1"/>
  <c r="R755" i="1"/>
  <c r="P757" i="1"/>
  <c r="R762" i="1"/>
  <c r="R766" i="1"/>
  <c r="Q766" i="1"/>
  <c r="R767" i="1"/>
  <c r="Q767" i="1"/>
  <c r="O767" i="1"/>
  <c r="R768" i="1"/>
  <c r="Q768" i="1"/>
  <c r="O768" i="1"/>
  <c r="R769" i="1"/>
  <c r="Q769" i="1"/>
  <c r="O771" i="1"/>
  <c r="R771" i="1"/>
  <c r="Q771" i="1"/>
  <c r="O772" i="1"/>
  <c r="R772" i="1"/>
  <c r="Q773" i="1"/>
  <c r="O773" i="1"/>
  <c r="R775" i="1"/>
  <c r="Q775" i="1"/>
  <c r="O775" i="1"/>
  <c r="P782" i="1"/>
  <c r="R793" i="1"/>
  <c r="Q793" i="1"/>
  <c r="O794" i="1"/>
  <c r="R794" i="1"/>
  <c r="Q794" i="1"/>
  <c r="R803" i="1"/>
  <c r="R816" i="1"/>
  <c r="Q816" i="1"/>
  <c r="O816" i="1"/>
  <c r="Q838" i="1"/>
  <c r="R838" i="1"/>
  <c r="O838" i="1"/>
  <c r="P753" i="1"/>
  <c r="R754" i="1"/>
  <c r="Q764" i="1"/>
  <c r="P766" i="1"/>
  <c r="P767" i="1"/>
  <c r="O770" i="1"/>
  <c r="R770" i="1"/>
  <c r="Q770" i="1"/>
  <c r="P772" i="1"/>
  <c r="P775" i="1"/>
  <c r="O777" i="1"/>
  <c r="P779" i="1"/>
  <c r="S779" i="1" s="1"/>
  <c r="R792" i="1"/>
  <c r="Q792" i="1"/>
  <c r="O792" i="1"/>
  <c r="P793" i="1"/>
  <c r="P794" i="1"/>
  <c r="Q795" i="1"/>
  <c r="P816" i="1"/>
  <c r="O819" i="1"/>
  <c r="R819" i="1"/>
  <c r="Q819" i="1"/>
  <c r="O837" i="1"/>
  <c r="Q837" i="1"/>
  <c r="P837" i="1"/>
  <c r="S837" i="1" s="1"/>
  <c r="R837" i="1"/>
  <c r="P745" i="1"/>
  <c r="R759" i="1"/>
  <c r="Q759" i="1"/>
  <c r="O759" i="1"/>
  <c r="O766" i="1"/>
  <c r="P769" i="1"/>
  <c r="Q772" i="1"/>
  <c r="P773" i="1"/>
  <c r="P774" i="1"/>
  <c r="O793" i="1"/>
  <c r="R808" i="1"/>
  <c r="Q808" i="1"/>
  <c r="R811" i="1"/>
  <c r="Q811" i="1"/>
  <c r="O811" i="1"/>
  <c r="Q812" i="1"/>
  <c r="R812" i="1"/>
  <c r="R813" i="1"/>
  <c r="Q813" i="1"/>
  <c r="P813" i="1"/>
  <c r="O813" i="1"/>
  <c r="P860" i="1"/>
  <c r="Q860" i="1"/>
  <c r="R760" i="1"/>
  <c r="Q760" i="1"/>
  <c r="O760" i="1"/>
  <c r="O769" i="1"/>
  <c r="P771" i="1"/>
  <c r="R773" i="1"/>
  <c r="O787" i="1"/>
  <c r="R787" i="1"/>
  <c r="Q787" i="1"/>
  <c r="O788" i="1"/>
  <c r="R788" i="1"/>
  <c r="Q789" i="1"/>
  <c r="O789" i="1"/>
  <c r="R791" i="1"/>
  <c r="Q791" i="1"/>
  <c r="O791" i="1"/>
  <c r="P792" i="1"/>
  <c r="R807" i="1"/>
  <c r="Q807" i="1"/>
  <c r="O807" i="1"/>
  <c r="Q810" i="1"/>
  <c r="R851" i="1"/>
  <c r="Q851" i="1"/>
  <c r="O851" i="1"/>
  <c r="Q531" i="1"/>
  <c r="O750" i="1"/>
  <c r="Q755" i="1"/>
  <c r="P756" i="1"/>
  <c r="R785" i="1"/>
  <c r="Q785" i="1"/>
  <c r="O786" i="1"/>
  <c r="R786" i="1"/>
  <c r="Q786" i="1"/>
  <c r="R790" i="1"/>
  <c r="Q790" i="1"/>
  <c r="O790" i="1"/>
  <c r="O808" i="1"/>
  <c r="P831" i="1"/>
  <c r="Q831" i="1"/>
  <c r="Q850" i="1"/>
  <c r="R850" i="1"/>
  <c r="O850" i="1"/>
  <c r="R873" i="1"/>
  <c r="Q873" i="1"/>
  <c r="O873" i="1"/>
  <c r="P838" i="1"/>
  <c r="S838" i="1" s="1"/>
  <c r="R841" i="1"/>
  <c r="Q841" i="1"/>
  <c r="O841" i="1"/>
  <c r="O845" i="1"/>
  <c r="R845" i="1"/>
  <c r="O847" i="1"/>
  <c r="R847" i="1"/>
  <c r="Q847" i="1"/>
  <c r="P847" i="1"/>
  <c r="P848" i="1"/>
  <c r="S848" i="1" s="1"/>
  <c r="R849" i="1"/>
  <c r="Q849" i="1"/>
  <c r="O849" i="1"/>
  <c r="O869" i="1"/>
  <c r="R869" i="1"/>
  <c r="Q869" i="1"/>
  <c r="P869" i="1"/>
  <c r="Q870" i="1"/>
  <c r="O870" i="1"/>
  <c r="P873" i="1"/>
  <c r="R883" i="1"/>
  <c r="Q883" i="1"/>
  <c r="O883" i="1"/>
  <c r="O801" i="1"/>
  <c r="O831" i="1"/>
  <c r="R831" i="1"/>
  <c r="O840" i="1"/>
  <c r="R840" i="1"/>
  <c r="Q840" i="1"/>
  <c r="S840" i="1" s="1"/>
  <c r="Q842" i="1"/>
  <c r="O842" i="1"/>
  <c r="P849" i="1"/>
  <c r="P851" i="1"/>
  <c r="P870" i="1"/>
  <c r="O871" i="1"/>
  <c r="R871" i="1"/>
  <c r="Q871" i="1"/>
  <c r="P871" i="1"/>
  <c r="P874" i="1"/>
  <c r="R874" i="1"/>
  <c r="Q882" i="1"/>
  <c r="O882" i="1"/>
  <c r="R882" i="1"/>
  <c r="R891" i="1"/>
  <c r="Q891" i="1"/>
  <c r="O891" i="1"/>
  <c r="P800" i="1"/>
  <c r="O809" i="1"/>
  <c r="Q809" i="1"/>
  <c r="P811" i="1"/>
  <c r="R814" i="1"/>
  <c r="Q814" i="1"/>
  <c r="O814" i="1"/>
  <c r="O817" i="1"/>
  <c r="Q817" i="1"/>
  <c r="P841" i="1"/>
  <c r="Q844" i="1"/>
  <c r="P844" i="1"/>
  <c r="R846" i="1"/>
  <c r="Q846" i="1"/>
  <c r="P846" i="1"/>
  <c r="S846" i="1" s="1"/>
  <c r="O846" i="1"/>
  <c r="R867" i="1"/>
  <c r="Q867" i="1"/>
  <c r="R868" i="1"/>
  <c r="Q868" i="1"/>
  <c r="O868" i="1"/>
  <c r="R870" i="1"/>
  <c r="O881" i="1"/>
  <c r="R881" i="1"/>
  <c r="Q881" i="1"/>
  <c r="P883" i="1"/>
  <c r="O889" i="1"/>
  <c r="Q889" i="1"/>
  <c r="R815" i="1"/>
  <c r="P824" i="1"/>
  <c r="R842" i="1"/>
  <c r="Q845" i="1"/>
  <c r="O865" i="1"/>
  <c r="R865" i="1"/>
  <c r="Q866" i="1"/>
  <c r="R866" i="1"/>
  <c r="O866" i="1"/>
  <c r="P868" i="1"/>
  <c r="O880" i="1"/>
  <c r="R880" i="1"/>
  <c r="Q880" i="1"/>
  <c r="Q890" i="1"/>
  <c r="O890" i="1"/>
  <c r="R890" i="1"/>
  <c r="P820" i="1"/>
  <c r="O824" i="1"/>
  <c r="P832" i="1"/>
  <c r="S832" i="1" s="1"/>
  <c r="R833" i="1"/>
  <c r="Q833" i="1"/>
  <c r="R857" i="1"/>
  <c r="Q857" i="1"/>
  <c r="S857" i="1" s="1"/>
  <c r="O857" i="1"/>
  <c r="O864" i="1"/>
  <c r="R864" i="1"/>
  <c r="Q864" i="1"/>
  <c r="P867" i="1"/>
  <c r="O888" i="1"/>
  <c r="R888" i="1"/>
  <c r="Q888" i="1"/>
  <c r="R889" i="1"/>
  <c r="R806" i="1"/>
  <c r="O806" i="1"/>
  <c r="P809" i="1"/>
  <c r="O810" i="1"/>
  <c r="R810" i="1"/>
  <c r="P817" i="1"/>
  <c r="O818" i="1"/>
  <c r="R818" i="1"/>
  <c r="O820" i="1"/>
  <c r="R821" i="1"/>
  <c r="Q821" i="1"/>
  <c r="O832" i="1"/>
  <c r="R834" i="1"/>
  <c r="Q834" i="1"/>
  <c r="O834" i="1"/>
  <c r="R835" i="1"/>
  <c r="Q835" i="1"/>
  <c r="R836" i="1"/>
  <c r="Q836" i="1"/>
  <c r="R854" i="1"/>
  <c r="Q854" i="1"/>
  <c r="P854" i="1"/>
  <c r="S854" i="1" s="1"/>
  <c r="O855" i="1"/>
  <c r="R855" i="1"/>
  <c r="O856" i="1"/>
  <c r="R856" i="1"/>
  <c r="Q856" i="1"/>
  <c r="O863" i="1"/>
  <c r="R863" i="1"/>
  <c r="Q863" i="1"/>
  <c r="P864" i="1"/>
  <c r="Q865" i="1"/>
  <c r="O867" i="1"/>
  <c r="O878" i="1"/>
  <c r="R878" i="1"/>
  <c r="Q878" i="1"/>
  <c r="O879" i="1"/>
  <c r="R879" i="1"/>
  <c r="Q879" i="1"/>
  <c r="P879" i="1"/>
  <c r="P880" i="1"/>
  <c r="P888" i="1"/>
  <c r="O896" i="1"/>
  <c r="P896" i="1"/>
  <c r="R896" i="1"/>
  <c r="Q801" i="1"/>
  <c r="P808" i="1"/>
  <c r="R809" i="1"/>
  <c r="P812" i="1"/>
  <c r="R817" i="1"/>
  <c r="R820" i="1"/>
  <c r="P821" i="1"/>
  <c r="R822" i="1"/>
  <c r="Q822" i="1"/>
  <c r="S822" i="1" s="1"/>
  <c r="O822" i="1"/>
  <c r="R832" i="1"/>
  <c r="P835" i="1"/>
  <c r="S835" i="1" s="1"/>
  <c r="P836" i="1"/>
  <c r="Q852" i="1"/>
  <c r="R853" i="1"/>
  <c r="Q853" i="1"/>
  <c r="P853" i="1"/>
  <c r="O853" i="1"/>
  <c r="R861" i="1"/>
  <c r="Q861" i="1"/>
  <c r="O861" i="1"/>
  <c r="O862" i="1"/>
  <c r="R862" i="1"/>
  <c r="Q862" i="1"/>
  <c r="R877" i="1"/>
  <c r="Q877" i="1"/>
  <c r="P877" i="1"/>
  <c r="O877" i="1"/>
  <c r="O887" i="1"/>
  <c r="R887" i="1"/>
  <c r="Q887" i="1"/>
  <c r="P887" i="1"/>
  <c r="O897" i="1"/>
  <c r="R897" i="1"/>
  <c r="Q897" i="1"/>
  <c r="R907" i="1"/>
  <c r="Q907" i="1"/>
  <c r="O907" i="1"/>
  <c r="P890" i="1"/>
  <c r="R892" i="1"/>
  <c r="Q892" i="1"/>
  <c r="R893" i="1"/>
  <c r="Q893" i="1"/>
  <c r="P897" i="1"/>
  <c r="R860" i="1"/>
  <c r="R894" i="1"/>
  <c r="Q894" i="1"/>
  <c r="R901" i="1"/>
  <c r="Q901" i="1"/>
  <c r="R902" i="1"/>
  <c r="Q902" i="1"/>
  <c r="O903" i="1"/>
  <c r="R903" i="1"/>
  <c r="Q903" i="1"/>
  <c r="O904" i="1"/>
  <c r="R904" i="1"/>
  <c r="R843" i="1"/>
  <c r="Q843" i="1"/>
  <c r="P866" i="1"/>
  <c r="R875" i="1"/>
  <c r="Q875" i="1"/>
  <c r="P881" i="1"/>
  <c r="P891" i="1"/>
  <c r="O895" i="1"/>
  <c r="R895" i="1"/>
  <c r="Q898" i="1"/>
  <c r="O898" i="1"/>
  <c r="R900" i="1"/>
  <c r="Q900" i="1"/>
  <c r="O900" i="1"/>
  <c r="R852" i="1"/>
  <c r="R899" i="1"/>
  <c r="Q899" i="1"/>
  <c r="O899" i="1"/>
  <c r="P904" i="1"/>
  <c r="P905" i="1"/>
  <c r="P858" i="1"/>
  <c r="Q906" i="1"/>
  <c r="O906" i="1"/>
  <c r="R908" i="1"/>
  <c r="Q908" i="1"/>
  <c r="O908" i="1"/>
  <c r="O843" i="1"/>
  <c r="R844" i="1"/>
  <c r="O858" i="1"/>
  <c r="O875" i="1"/>
  <c r="R876" i="1"/>
  <c r="Q876" i="1"/>
  <c r="P882" i="1"/>
  <c r="R884" i="1"/>
  <c r="Q884" i="1"/>
  <c r="R885" i="1"/>
  <c r="Q885" i="1"/>
  <c r="P889" i="1"/>
  <c r="R905" i="1"/>
  <c r="P906" i="1"/>
  <c r="P850" i="1"/>
  <c r="O852" i="1"/>
  <c r="R859" i="1"/>
  <c r="Q859" i="1"/>
  <c r="Q874" i="1"/>
  <c r="R886" i="1"/>
  <c r="Q886" i="1"/>
  <c r="S886" i="1" s="1"/>
  <c r="Q895" i="1"/>
  <c r="R906" i="1"/>
  <c r="P907" i="1"/>
  <c r="R431" i="1"/>
  <c r="Q480" i="1"/>
  <c r="P475" i="1"/>
  <c r="P547" i="1"/>
  <c r="R580" i="1"/>
  <c r="R448" i="1"/>
  <c r="P419" i="1"/>
  <c r="P530" i="1"/>
  <c r="P579" i="1"/>
  <c r="P434" i="1"/>
  <c r="P513" i="1"/>
  <c r="S513" i="1" s="1"/>
  <c r="Q513" i="1"/>
  <c r="R513" i="1"/>
  <c r="P503" i="1"/>
  <c r="P534" i="1"/>
  <c r="S534" i="1" s="1"/>
  <c r="P551" i="1"/>
  <c r="R458" i="1"/>
  <c r="R532" i="1"/>
  <c r="P487" i="1"/>
  <c r="R548" i="1"/>
  <c r="P492" i="1"/>
  <c r="R489" i="1"/>
  <c r="P493" i="1"/>
  <c r="P522" i="1"/>
  <c r="P528" i="1"/>
  <c r="P450" i="1"/>
  <c r="P476" i="1"/>
  <c r="P540" i="1"/>
  <c r="P580" i="1"/>
  <c r="R459" i="1"/>
  <c r="R470" i="1"/>
  <c r="P560" i="1"/>
  <c r="R564" i="1"/>
  <c r="P454" i="1"/>
  <c r="Q469" i="1"/>
  <c r="P559" i="1"/>
  <c r="P400" i="1"/>
  <c r="P443" i="1"/>
  <c r="Q452" i="1"/>
  <c r="Q488" i="1"/>
  <c r="Q563" i="1"/>
  <c r="P524" i="1"/>
  <c r="P532" i="1"/>
  <c r="P562" i="1"/>
  <c r="Q322" i="1"/>
  <c r="R415" i="1"/>
  <c r="P417" i="1"/>
  <c r="P437" i="1"/>
  <c r="R462" i="1"/>
  <c r="P523" i="1"/>
  <c r="P542" i="1"/>
  <c r="P567" i="1"/>
  <c r="P507" i="1"/>
  <c r="P465" i="1"/>
  <c r="R463" i="1"/>
  <c r="Q463" i="1"/>
  <c r="P463" i="1"/>
  <c r="O463" i="1"/>
  <c r="P473" i="1"/>
  <c r="Q509" i="1"/>
  <c r="P509" i="1"/>
  <c r="S509" i="1" s="1"/>
  <c r="P508" i="1"/>
  <c r="P415" i="1"/>
  <c r="P557" i="1"/>
  <c r="P479" i="1"/>
  <c r="P521" i="1"/>
  <c r="P537" i="1"/>
  <c r="Q579" i="1"/>
  <c r="P581" i="1"/>
  <c r="P421" i="1"/>
  <c r="R461" i="1"/>
  <c r="P477" i="1"/>
  <c r="P485" i="1"/>
  <c r="S485" i="1" s="1"/>
  <c r="P495" i="1"/>
  <c r="P519" i="1"/>
  <c r="O521" i="1"/>
  <c r="P563" i="1"/>
  <c r="P566" i="1"/>
  <c r="P578" i="1"/>
  <c r="P481" i="1"/>
  <c r="P428" i="1"/>
  <c r="P435" i="1"/>
  <c r="P436" i="1"/>
  <c r="P444" i="1"/>
  <c r="P451" i="1"/>
  <c r="P452" i="1"/>
  <c r="P462" i="1"/>
  <c r="P467" i="1"/>
  <c r="P535" i="1"/>
  <c r="P544" i="1"/>
  <c r="P564" i="1"/>
  <c r="P510" i="1"/>
  <c r="P375" i="1"/>
  <c r="R512" i="1"/>
  <c r="P561" i="1"/>
  <c r="P483" i="1"/>
  <c r="P499" i="1"/>
  <c r="P425" i="1"/>
  <c r="P441" i="1"/>
  <c r="P456" i="1"/>
  <c r="P488" i="1"/>
  <c r="P491" i="1"/>
  <c r="P529" i="1"/>
  <c r="P570" i="1"/>
  <c r="P432" i="1"/>
  <c r="P448" i="1"/>
  <c r="R469" i="1"/>
  <c r="P490" i="1"/>
  <c r="P511" i="1"/>
  <c r="Q512" i="1"/>
  <c r="O513" i="1"/>
  <c r="P515" i="1"/>
  <c r="Q523" i="1"/>
  <c r="R524" i="1"/>
  <c r="P527" i="1"/>
  <c r="P541" i="1"/>
  <c r="P548" i="1"/>
  <c r="P582" i="1"/>
  <c r="R427" i="1"/>
  <c r="Q427" i="1"/>
  <c r="O429" i="1"/>
  <c r="R429" i="1"/>
  <c r="Q429" i="1"/>
  <c r="P430" i="1"/>
  <c r="R433" i="1"/>
  <c r="Q433" i="1"/>
  <c r="O433" i="1"/>
  <c r="P445" i="1"/>
  <c r="O430" i="1"/>
  <c r="R430" i="1"/>
  <c r="O445" i="1"/>
  <c r="R445" i="1"/>
  <c r="Q445" i="1"/>
  <c r="R468" i="1"/>
  <c r="Q468" i="1"/>
  <c r="O468" i="1"/>
  <c r="R426" i="1"/>
  <c r="Q426" i="1"/>
  <c r="O426" i="1"/>
  <c r="O428" i="1"/>
  <c r="R428" i="1"/>
  <c r="Q428" i="1"/>
  <c r="Q430" i="1"/>
  <c r="P431" i="1"/>
  <c r="R432" i="1"/>
  <c r="Q432" i="1"/>
  <c r="O432" i="1"/>
  <c r="P433" i="1"/>
  <c r="R443" i="1"/>
  <c r="Q443" i="1"/>
  <c r="O443" i="1"/>
  <c r="O444" i="1"/>
  <c r="R444" i="1"/>
  <c r="Q444" i="1"/>
  <c r="R450" i="1"/>
  <c r="Q450" i="1"/>
  <c r="O450" i="1"/>
  <c r="R451" i="1"/>
  <c r="P468" i="1"/>
  <c r="O422" i="1"/>
  <c r="R422" i="1"/>
  <c r="Q423" i="1"/>
  <c r="O423" i="1"/>
  <c r="P427" i="1"/>
  <c r="P429" i="1"/>
  <c r="R442" i="1"/>
  <c r="Q442" i="1"/>
  <c r="O442" i="1"/>
  <c r="R460" i="1"/>
  <c r="Q460" i="1"/>
  <c r="O460" i="1"/>
  <c r="R466" i="1"/>
  <c r="Q466" i="1"/>
  <c r="O466" i="1"/>
  <c r="R419" i="1"/>
  <c r="Q419" i="1"/>
  <c r="O421" i="1"/>
  <c r="R421" i="1"/>
  <c r="Q421" i="1"/>
  <c r="P422" i="1"/>
  <c r="R425" i="1"/>
  <c r="Q425" i="1"/>
  <c r="O425" i="1"/>
  <c r="P426" i="1"/>
  <c r="O427" i="1"/>
  <c r="R449" i="1"/>
  <c r="Q449" i="1"/>
  <c r="O449" i="1"/>
  <c r="Q457" i="1"/>
  <c r="O457" i="1"/>
  <c r="R457" i="1"/>
  <c r="P457" i="1"/>
  <c r="O472" i="1"/>
  <c r="R472" i="1"/>
  <c r="Q472" i="1"/>
  <c r="R416" i="1"/>
  <c r="Q416" i="1"/>
  <c r="O416" i="1"/>
  <c r="Q431" i="1"/>
  <c r="O431" i="1"/>
  <c r="O453" i="1"/>
  <c r="R453" i="1"/>
  <c r="Q453" i="1"/>
  <c r="P453" i="1"/>
  <c r="P416" i="1"/>
  <c r="R418" i="1"/>
  <c r="Q418" i="1"/>
  <c r="O418" i="1"/>
  <c r="O420" i="1"/>
  <c r="R420" i="1"/>
  <c r="Q420" i="1"/>
  <c r="Q422" i="1"/>
  <c r="P423" i="1"/>
  <c r="R424" i="1"/>
  <c r="Q424" i="1"/>
  <c r="O424" i="1"/>
  <c r="O438" i="1"/>
  <c r="R438" i="1"/>
  <c r="Q439" i="1"/>
  <c r="O439" i="1"/>
  <c r="R439" i="1"/>
  <c r="R441" i="1"/>
  <c r="Q441" i="1"/>
  <c r="O441" i="1"/>
  <c r="P442" i="1"/>
  <c r="Q447" i="1"/>
  <c r="O447" i="1"/>
  <c r="R447" i="1"/>
  <c r="P449" i="1"/>
  <c r="P460" i="1"/>
  <c r="R482" i="1"/>
  <c r="Q482" i="1"/>
  <c r="O482" i="1"/>
  <c r="R498" i="1"/>
  <c r="Q498" i="1"/>
  <c r="O498" i="1"/>
  <c r="R506" i="1"/>
  <c r="Q506" i="1"/>
  <c r="O506" i="1"/>
  <c r="Q415" i="1"/>
  <c r="O415" i="1"/>
  <c r="P420" i="1"/>
  <c r="R423" i="1"/>
  <c r="P424" i="1"/>
  <c r="R435" i="1"/>
  <c r="Q435" i="1"/>
  <c r="O437" i="1"/>
  <c r="R437" i="1"/>
  <c r="Q437" i="1"/>
  <c r="P438" i="1"/>
  <c r="R440" i="1"/>
  <c r="Q440" i="1"/>
  <c r="O440" i="1"/>
  <c r="O446" i="1"/>
  <c r="R446" i="1"/>
  <c r="Q446" i="1"/>
  <c r="R455" i="1"/>
  <c r="O455" i="1"/>
  <c r="Q455" i="1"/>
  <c r="P455" i="1"/>
  <c r="R471" i="1"/>
  <c r="Q471" i="1"/>
  <c r="P471" i="1"/>
  <c r="O471" i="1"/>
  <c r="R417" i="1"/>
  <c r="Q417" i="1"/>
  <c r="O417" i="1"/>
  <c r="P418" i="1"/>
  <c r="O419" i="1"/>
  <c r="R434" i="1"/>
  <c r="Q434" i="1"/>
  <c r="O434" i="1"/>
  <c r="O436" i="1"/>
  <c r="R436" i="1"/>
  <c r="Q436" i="1"/>
  <c r="Q438" i="1"/>
  <c r="P439" i="1"/>
  <c r="P440" i="1"/>
  <c r="P446" i="1"/>
  <c r="P447" i="1"/>
  <c r="O454" i="1"/>
  <c r="Q454" i="1"/>
  <c r="R454" i="1"/>
  <c r="Q467" i="1"/>
  <c r="O467" i="1"/>
  <c r="R474" i="1"/>
  <c r="Q474" i="1"/>
  <c r="R484" i="1"/>
  <c r="Q484" i="1"/>
  <c r="O484" i="1"/>
  <c r="O504" i="1"/>
  <c r="R504" i="1"/>
  <c r="Q505" i="1"/>
  <c r="P505" i="1"/>
  <c r="O505" i="1"/>
  <c r="R518" i="1"/>
  <c r="Q518" i="1"/>
  <c r="O518" i="1"/>
  <c r="O554" i="1"/>
  <c r="R554" i="1"/>
  <c r="Q554" i="1"/>
  <c r="P554" i="1"/>
  <c r="P458" i="1"/>
  <c r="P461" i="1"/>
  <c r="P464" i="1"/>
  <c r="R473" i="1"/>
  <c r="P474" i="1"/>
  <c r="R475" i="1"/>
  <c r="Q475" i="1"/>
  <c r="O475" i="1"/>
  <c r="R476" i="1"/>
  <c r="Q476" i="1"/>
  <c r="O480" i="1"/>
  <c r="R480" i="1"/>
  <c r="Q481" i="1"/>
  <c r="O481" i="1"/>
  <c r="R501" i="1"/>
  <c r="Q501" i="1"/>
  <c r="O502" i="1"/>
  <c r="R502" i="1"/>
  <c r="Q502" i="1"/>
  <c r="P502" i="1"/>
  <c r="O503" i="1"/>
  <c r="R503" i="1"/>
  <c r="Q503" i="1"/>
  <c r="P504" i="1"/>
  <c r="R507" i="1"/>
  <c r="O508" i="1"/>
  <c r="R508" i="1"/>
  <c r="Q508" i="1"/>
  <c r="P520" i="1"/>
  <c r="Q520" i="1"/>
  <c r="R573" i="1"/>
  <c r="Q573" i="1"/>
  <c r="O573" i="1"/>
  <c r="R335" i="1"/>
  <c r="Q339" i="1"/>
  <c r="O452" i="1"/>
  <c r="O458" i="1"/>
  <c r="O461" i="1"/>
  <c r="O462" i="1"/>
  <c r="Q462" i="1"/>
  <c r="P470" i="1"/>
  <c r="O474" i="1"/>
  <c r="R477" i="1"/>
  <c r="Q477" i="1"/>
  <c r="O478" i="1"/>
  <c r="R478" i="1"/>
  <c r="Q478" i="1"/>
  <c r="P478" i="1"/>
  <c r="O479" i="1"/>
  <c r="R479" i="1"/>
  <c r="Q479" i="1"/>
  <c r="S479" i="1" s="1"/>
  <c r="P480" i="1"/>
  <c r="R483" i="1"/>
  <c r="Q483" i="1"/>
  <c r="O483" i="1"/>
  <c r="P484" i="1"/>
  <c r="R500" i="1"/>
  <c r="Q500" i="1"/>
  <c r="O500" i="1"/>
  <c r="P501" i="1"/>
  <c r="Q504" i="1"/>
  <c r="P506" i="1"/>
  <c r="O516" i="1"/>
  <c r="R516" i="1"/>
  <c r="Q516" i="1"/>
  <c r="Q517" i="1"/>
  <c r="R517" i="1"/>
  <c r="O517" i="1"/>
  <c r="R552" i="1"/>
  <c r="Q552" i="1"/>
  <c r="O552" i="1"/>
  <c r="O448" i="1"/>
  <c r="Q451" i="1"/>
  <c r="Q459" i="1"/>
  <c r="O459" i="1"/>
  <c r="Q464" i="1"/>
  <c r="Q465" i="1"/>
  <c r="O465" i="1"/>
  <c r="P482" i="1"/>
  <c r="O496" i="1"/>
  <c r="R496" i="1"/>
  <c r="Q497" i="1"/>
  <c r="P497" i="1"/>
  <c r="S497" i="1" s="1"/>
  <c r="O497" i="1"/>
  <c r="R505" i="1"/>
  <c r="R565" i="1"/>
  <c r="Q565" i="1"/>
  <c r="O565" i="1"/>
  <c r="O577" i="1"/>
  <c r="R577" i="1"/>
  <c r="Q577" i="1"/>
  <c r="Q456" i="1"/>
  <c r="Q458" i="1"/>
  <c r="Q461" i="1"/>
  <c r="R464" i="1"/>
  <c r="R467" i="1"/>
  <c r="O476" i="1"/>
  <c r="R481" i="1"/>
  <c r="R493" i="1"/>
  <c r="Q493" i="1"/>
  <c r="O494" i="1"/>
  <c r="R494" i="1"/>
  <c r="Q494" i="1"/>
  <c r="P494" i="1"/>
  <c r="O495" i="1"/>
  <c r="R495" i="1"/>
  <c r="Q495" i="1"/>
  <c r="P496" i="1"/>
  <c r="R499" i="1"/>
  <c r="Q499" i="1"/>
  <c r="O499" i="1"/>
  <c r="P500" i="1"/>
  <c r="R511" i="1"/>
  <c r="Q511" i="1"/>
  <c r="O511" i="1"/>
  <c r="O514" i="1"/>
  <c r="R514" i="1"/>
  <c r="Q514" i="1"/>
  <c r="P514" i="1"/>
  <c r="P516" i="1"/>
  <c r="R533" i="1"/>
  <c r="Q533" i="1"/>
  <c r="O533" i="1"/>
  <c r="R576" i="1"/>
  <c r="Q576" i="1"/>
  <c r="O576" i="1"/>
  <c r="R456" i="1"/>
  <c r="P469" i="1"/>
  <c r="P472" i="1"/>
  <c r="R492" i="1"/>
  <c r="Q492" i="1"/>
  <c r="O492" i="1"/>
  <c r="Q496" i="1"/>
  <c r="P498" i="1"/>
  <c r="Q448" i="1"/>
  <c r="O451" i="1"/>
  <c r="O469" i="1"/>
  <c r="O470" i="1"/>
  <c r="Q470" i="1"/>
  <c r="Q473" i="1"/>
  <c r="O473" i="1"/>
  <c r="O488" i="1"/>
  <c r="R488" i="1"/>
  <c r="Q489" i="1"/>
  <c r="P489" i="1"/>
  <c r="O489" i="1"/>
  <c r="R497" i="1"/>
  <c r="O522" i="1"/>
  <c r="R522" i="1"/>
  <c r="Q522" i="1"/>
  <c r="Q556" i="1"/>
  <c r="O556" i="1"/>
  <c r="R556" i="1"/>
  <c r="R452" i="1"/>
  <c r="P459" i="1"/>
  <c r="R465" i="1"/>
  <c r="P466" i="1"/>
  <c r="R485" i="1"/>
  <c r="Q485" i="1"/>
  <c r="O486" i="1"/>
  <c r="R486" i="1"/>
  <c r="Q486" i="1"/>
  <c r="P486" i="1"/>
  <c r="O487" i="1"/>
  <c r="R487" i="1"/>
  <c r="Q487" i="1"/>
  <c r="R490" i="1"/>
  <c r="Q490" i="1"/>
  <c r="O490" i="1"/>
  <c r="R491" i="1"/>
  <c r="Q491" i="1"/>
  <c r="O491" i="1"/>
  <c r="O555" i="1"/>
  <c r="R555" i="1"/>
  <c r="Q555" i="1"/>
  <c r="O507" i="1"/>
  <c r="R525" i="1"/>
  <c r="Q525" i="1"/>
  <c r="R526" i="1"/>
  <c r="Q526" i="1"/>
  <c r="O526" i="1"/>
  <c r="P533" i="1"/>
  <c r="S533" i="1" s="1"/>
  <c r="R551" i="1"/>
  <c r="Q551" i="1"/>
  <c r="O551" i="1"/>
  <c r="O553" i="1"/>
  <c r="R553" i="1"/>
  <c r="Q553" i="1"/>
  <c r="P555" i="1"/>
  <c r="R558" i="1"/>
  <c r="Q558" i="1"/>
  <c r="O558" i="1"/>
  <c r="P565" i="1"/>
  <c r="R575" i="1"/>
  <c r="Q575" i="1"/>
  <c r="O575" i="1"/>
  <c r="P576" i="1"/>
  <c r="S576" i="1" s="1"/>
  <c r="P577" i="1"/>
  <c r="P525" i="1"/>
  <c r="P526" i="1"/>
  <c r="R544" i="1"/>
  <c r="Q544" i="1"/>
  <c r="O546" i="1"/>
  <c r="R546" i="1"/>
  <c r="Q546" i="1"/>
  <c r="O547" i="1"/>
  <c r="R547" i="1"/>
  <c r="Q548" i="1"/>
  <c r="O548" i="1"/>
  <c r="P552" i="1"/>
  <c r="P553" i="1"/>
  <c r="P556" i="1"/>
  <c r="R557" i="1"/>
  <c r="Q557" i="1"/>
  <c r="O557" i="1"/>
  <c r="P558" i="1"/>
  <c r="P512" i="1"/>
  <c r="P517" i="1"/>
  <c r="R543" i="1"/>
  <c r="Q543" i="1"/>
  <c r="O543" i="1"/>
  <c r="O545" i="1"/>
  <c r="R545" i="1"/>
  <c r="Q545" i="1"/>
  <c r="R550" i="1"/>
  <c r="Q550" i="1"/>
  <c r="O550" i="1"/>
  <c r="O571" i="1"/>
  <c r="R571" i="1"/>
  <c r="Q572" i="1"/>
  <c r="O572" i="1"/>
  <c r="R574" i="1"/>
  <c r="Q574" i="1"/>
  <c r="O574" i="1"/>
  <c r="P575" i="1"/>
  <c r="Q507" i="1"/>
  <c r="O512" i="1"/>
  <c r="R536" i="1"/>
  <c r="Q536" i="1"/>
  <c r="O538" i="1"/>
  <c r="R538" i="1"/>
  <c r="Q538" i="1"/>
  <c r="O539" i="1"/>
  <c r="R539" i="1"/>
  <c r="Q540" i="1"/>
  <c r="O540" i="1"/>
  <c r="P545" i="1"/>
  <c r="Q547" i="1"/>
  <c r="R549" i="1"/>
  <c r="Q549" i="1"/>
  <c r="O549" i="1"/>
  <c r="P550" i="1"/>
  <c r="R568" i="1"/>
  <c r="Q568" i="1"/>
  <c r="P568" i="1"/>
  <c r="O570" i="1"/>
  <c r="R570" i="1"/>
  <c r="Q570" i="1"/>
  <c r="S570" i="1" s="1"/>
  <c r="P571" i="1"/>
  <c r="P574" i="1"/>
  <c r="O509" i="1"/>
  <c r="R519" i="1"/>
  <c r="Q519" i="1"/>
  <c r="R535" i="1"/>
  <c r="Q535" i="1"/>
  <c r="O535" i="1"/>
  <c r="O537" i="1"/>
  <c r="R537" i="1"/>
  <c r="Q537" i="1"/>
  <c r="P539" i="1"/>
  <c r="R542" i="1"/>
  <c r="Q542" i="1"/>
  <c r="O542" i="1"/>
  <c r="P543" i="1"/>
  <c r="S543" i="1" s="1"/>
  <c r="O544" i="1"/>
  <c r="P546" i="1"/>
  <c r="P549" i="1"/>
  <c r="R567" i="1"/>
  <c r="Q567" i="1"/>
  <c r="O567" i="1"/>
  <c r="O569" i="1"/>
  <c r="R569" i="1"/>
  <c r="Q569" i="1"/>
  <c r="Q571" i="1"/>
  <c r="P572" i="1"/>
  <c r="P573" i="1"/>
  <c r="R510" i="1"/>
  <c r="Q510" i="1"/>
  <c r="O510" i="1"/>
  <c r="Q515" i="1"/>
  <c r="S515" i="1" s="1"/>
  <c r="P518" i="1"/>
  <c r="S518" i="1" s="1"/>
  <c r="R520" i="1"/>
  <c r="R521" i="1"/>
  <c r="O523" i="1"/>
  <c r="R523" i="1"/>
  <c r="R528" i="1"/>
  <c r="Q528" i="1"/>
  <c r="O530" i="1"/>
  <c r="R530" i="1"/>
  <c r="Q530" i="1"/>
  <c r="O531" i="1"/>
  <c r="R531" i="1"/>
  <c r="Q532" i="1"/>
  <c r="O532" i="1"/>
  <c r="P536" i="1"/>
  <c r="Q539" i="1"/>
  <c r="R541" i="1"/>
  <c r="Q541" i="1"/>
  <c r="O541" i="1"/>
  <c r="R560" i="1"/>
  <c r="Q560" i="1"/>
  <c r="O562" i="1"/>
  <c r="R562" i="1"/>
  <c r="Q562" i="1"/>
  <c r="O563" i="1"/>
  <c r="R563" i="1"/>
  <c r="Q564" i="1"/>
  <c r="O564" i="1"/>
  <c r="P569" i="1"/>
  <c r="R572" i="1"/>
  <c r="O579" i="1"/>
  <c r="R579" i="1"/>
  <c r="Q580" i="1"/>
  <c r="O580" i="1"/>
  <c r="R582" i="1"/>
  <c r="Q582" i="1"/>
  <c r="O582" i="1"/>
  <c r="R509" i="1"/>
  <c r="R515" i="1"/>
  <c r="Q524" i="1"/>
  <c r="O524" i="1"/>
  <c r="R527" i="1"/>
  <c r="Q527" i="1"/>
  <c r="O527" i="1"/>
  <c r="O529" i="1"/>
  <c r="R529" i="1"/>
  <c r="Q529" i="1"/>
  <c r="S529" i="1" s="1"/>
  <c r="P531" i="1"/>
  <c r="R534" i="1"/>
  <c r="Q534" i="1"/>
  <c r="O534" i="1"/>
  <c r="O536" i="1"/>
  <c r="P538" i="1"/>
  <c r="R559" i="1"/>
  <c r="Q559" i="1"/>
  <c r="O559" i="1"/>
  <c r="O561" i="1"/>
  <c r="R561" i="1"/>
  <c r="Q561" i="1"/>
  <c r="R566" i="1"/>
  <c r="Q566" i="1"/>
  <c r="O566" i="1"/>
  <c r="O578" i="1"/>
  <c r="R578" i="1"/>
  <c r="Q578" i="1"/>
  <c r="R581" i="1"/>
  <c r="Q581" i="1"/>
  <c r="O581" i="1"/>
  <c r="P401" i="1"/>
  <c r="P282" i="1"/>
  <c r="P323" i="1"/>
  <c r="P398" i="1"/>
  <c r="P336" i="1"/>
  <c r="P299" i="1"/>
  <c r="R296" i="1"/>
  <c r="R333" i="1"/>
  <c r="P346" i="1"/>
  <c r="R288" i="1"/>
  <c r="R344" i="1"/>
  <c r="Q312" i="1"/>
  <c r="P278" i="1"/>
  <c r="P347" i="1"/>
  <c r="P377" i="1"/>
  <c r="P382" i="1"/>
  <c r="Q387" i="1"/>
  <c r="P322" i="1"/>
  <c r="P337" i="1"/>
  <c r="R341" i="1"/>
  <c r="P370" i="1"/>
  <c r="Q386" i="1"/>
  <c r="P414" i="1"/>
  <c r="R272" i="1"/>
  <c r="P302" i="1"/>
  <c r="P307" i="1"/>
  <c r="R325" i="1"/>
  <c r="Q330" i="1"/>
  <c r="P369" i="1"/>
  <c r="P333" i="1"/>
  <c r="P291" i="1"/>
  <c r="P385" i="1"/>
  <c r="S385" i="1" s="1"/>
  <c r="Q314" i="1"/>
  <c r="P275" i="1"/>
  <c r="Q402" i="1"/>
  <c r="P352" i="1"/>
  <c r="Q352" i="1"/>
  <c r="P326" i="1"/>
  <c r="R353" i="1"/>
  <c r="Q320" i="1"/>
  <c r="O320" i="1"/>
  <c r="O345" i="1"/>
  <c r="P345" i="1"/>
  <c r="P339" i="1"/>
  <c r="O343" i="1"/>
  <c r="Q343" i="1"/>
  <c r="P354" i="1"/>
  <c r="P386" i="1"/>
  <c r="S386" i="1" s="1"/>
  <c r="P277" i="1"/>
  <c r="P366" i="1"/>
  <c r="P374" i="1"/>
  <c r="P272" i="1"/>
  <c r="P288" i="1"/>
  <c r="P284" i="1"/>
  <c r="R331" i="1"/>
  <c r="P334" i="1"/>
  <c r="P360" i="1"/>
  <c r="P383" i="1"/>
  <c r="P296" i="1"/>
  <c r="P292" i="1"/>
  <c r="P317" i="1"/>
  <c r="P331" i="1"/>
  <c r="P341" i="1"/>
  <c r="P304" i="1"/>
  <c r="P274" i="1"/>
  <c r="P290" i="1"/>
  <c r="P298" i="1"/>
  <c r="O341" i="1"/>
  <c r="P273" i="1"/>
  <c r="P289" i="1"/>
  <c r="P297" i="1"/>
  <c r="S297" i="1" s="1"/>
  <c r="P305" i="1"/>
  <c r="P340" i="1"/>
  <c r="R346" i="1"/>
  <c r="P358" i="1"/>
  <c r="Q360" i="1"/>
  <c r="P402" i="1"/>
  <c r="P279" i="1"/>
  <c r="P280" i="1"/>
  <c r="P350" i="1"/>
  <c r="P380" i="1"/>
  <c r="O293" i="1"/>
  <c r="R293" i="1"/>
  <c r="Q293" i="1"/>
  <c r="R321" i="1"/>
  <c r="Q321" i="1"/>
  <c r="P321" i="1"/>
  <c r="O321" i="1"/>
  <c r="R275" i="1"/>
  <c r="Q275" i="1"/>
  <c r="O275" i="1"/>
  <c r="O276" i="1"/>
  <c r="R276" i="1"/>
  <c r="Q276" i="1"/>
  <c r="R282" i="1"/>
  <c r="Q282" i="1"/>
  <c r="O282" i="1"/>
  <c r="P293" i="1"/>
  <c r="R299" i="1"/>
  <c r="Q299" i="1"/>
  <c r="O299" i="1"/>
  <c r="P300" i="1"/>
  <c r="R332" i="1"/>
  <c r="Q332" i="1"/>
  <c r="O332" i="1"/>
  <c r="O291" i="1"/>
  <c r="R291" i="1"/>
  <c r="Q291" i="1"/>
  <c r="O309" i="1"/>
  <c r="Q309" i="1"/>
  <c r="R309" i="1"/>
  <c r="P309" i="1"/>
  <c r="P310" i="1"/>
  <c r="R329" i="1"/>
  <c r="Q329" i="1"/>
  <c r="O329" i="1"/>
  <c r="R274" i="1"/>
  <c r="Q274" i="1"/>
  <c r="O274" i="1"/>
  <c r="P276" i="1"/>
  <c r="P283" i="1"/>
  <c r="R290" i="1"/>
  <c r="Q290" i="1"/>
  <c r="O290" i="1"/>
  <c r="R298" i="1"/>
  <c r="Q298" i="1"/>
  <c r="O298" i="1"/>
  <c r="R308" i="1"/>
  <c r="Q308" i="1"/>
  <c r="O308" i="1"/>
  <c r="R315" i="1"/>
  <c r="Q315" i="1"/>
  <c r="P315" i="1"/>
  <c r="O315" i="1"/>
  <c r="O316" i="1"/>
  <c r="R316" i="1"/>
  <c r="Q316" i="1"/>
  <c r="P318" i="1"/>
  <c r="S318" i="1" s="1"/>
  <c r="Q328" i="1"/>
  <c r="O328" i="1"/>
  <c r="R328" i="1"/>
  <c r="P329" i="1"/>
  <c r="O300" i="1"/>
  <c r="Q300" i="1"/>
  <c r="R300" i="1"/>
  <c r="O318" i="1"/>
  <c r="R318" i="1"/>
  <c r="Q318" i="1"/>
  <c r="R281" i="1"/>
  <c r="Q281" i="1"/>
  <c r="O281" i="1"/>
  <c r="Q306" i="1"/>
  <c r="P306" i="1"/>
  <c r="O327" i="1"/>
  <c r="R327" i="1"/>
  <c r="Q327" i="1"/>
  <c r="R273" i="1"/>
  <c r="Q273" i="1"/>
  <c r="O273" i="1"/>
  <c r="Q279" i="1"/>
  <c r="R279" i="1"/>
  <c r="O279" i="1"/>
  <c r="P281" i="1"/>
  <c r="R289" i="1"/>
  <c r="Q289" i="1"/>
  <c r="O289" i="1"/>
  <c r="R297" i="1"/>
  <c r="Q297" i="1"/>
  <c r="O297" i="1"/>
  <c r="R305" i="1"/>
  <c r="Q305" i="1"/>
  <c r="O305" i="1"/>
  <c r="R283" i="1"/>
  <c r="O283" i="1"/>
  <c r="Q283" i="1"/>
  <c r="Q271" i="1"/>
  <c r="O271" i="1"/>
  <c r="R271" i="1"/>
  <c r="Q278" i="1"/>
  <c r="O278" i="1"/>
  <c r="R278" i="1"/>
  <c r="R280" i="1"/>
  <c r="Q287" i="1"/>
  <c r="O287" i="1"/>
  <c r="R287" i="1"/>
  <c r="Q295" i="1"/>
  <c r="O295" i="1"/>
  <c r="R295" i="1"/>
  <c r="Q303" i="1"/>
  <c r="O303" i="1"/>
  <c r="R303" i="1"/>
  <c r="R313" i="1"/>
  <c r="Q313" i="1"/>
  <c r="O313" i="1"/>
  <c r="P313" i="1"/>
  <c r="Q324" i="1"/>
  <c r="R324" i="1"/>
  <c r="O324" i="1"/>
  <c r="O286" i="1"/>
  <c r="Q286" i="1"/>
  <c r="R286" i="1"/>
  <c r="O294" i="1"/>
  <c r="Q294" i="1"/>
  <c r="R294" i="1"/>
  <c r="O302" i="1"/>
  <c r="R302" i="1"/>
  <c r="Q302" i="1"/>
  <c r="O311" i="1"/>
  <c r="Q311" i="1"/>
  <c r="R311" i="1"/>
  <c r="R323" i="1"/>
  <c r="Q323" i="1"/>
  <c r="O323" i="1"/>
  <c r="O270" i="1"/>
  <c r="Q270" i="1"/>
  <c r="R270" i="1"/>
  <c r="O269" i="1"/>
  <c r="R269" i="1"/>
  <c r="P269" i="1"/>
  <c r="Q269" i="1"/>
  <c r="P270" i="1"/>
  <c r="P271" i="1"/>
  <c r="O277" i="1"/>
  <c r="R277" i="1"/>
  <c r="Q277" i="1"/>
  <c r="S277" i="1" s="1"/>
  <c r="O285" i="1"/>
  <c r="P285" i="1"/>
  <c r="R285" i="1"/>
  <c r="Q285" i="1"/>
  <c r="P286" i="1"/>
  <c r="P287" i="1"/>
  <c r="P294" i="1"/>
  <c r="S294" i="1" s="1"/>
  <c r="P295" i="1"/>
  <c r="O301" i="1"/>
  <c r="R301" i="1"/>
  <c r="Q301" i="1"/>
  <c r="P301" i="1"/>
  <c r="O310" i="1"/>
  <c r="R310" i="1"/>
  <c r="Q310" i="1"/>
  <c r="P311" i="1"/>
  <c r="R319" i="1"/>
  <c r="Q319" i="1"/>
  <c r="O319" i="1"/>
  <c r="Q348" i="1"/>
  <c r="R348" i="1"/>
  <c r="O348" i="1"/>
  <c r="O395" i="1"/>
  <c r="R395" i="1"/>
  <c r="Q395" i="1"/>
  <c r="O403" i="1"/>
  <c r="R403" i="1"/>
  <c r="R405" i="1"/>
  <c r="Q405" i="1"/>
  <c r="O405" i="1"/>
  <c r="Q307" i="1"/>
  <c r="P335" i="1"/>
  <c r="Q336" i="1"/>
  <c r="O336" i="1"/>
  <c r="Q342" i="1"/>
  <c r="R342" i="1"/>
  <c r="Q347" i="1"/>
  <c r="S347" i="1" s="1"/>
  <c r="R367" i="1"/>
  <c r="Q367" i="1"/>
  <c r="P367" i="1"/>
  <c r="O367" i="1"/>
  <c r="O378" i="1"/>
  <c r="R378" i="1"/>
  <c r="Q378" i="1"/>
  <c r="O387" i="1"/>
  <c r="R387" i="1"/>
  <c r="R389" i="1"/>
  <c r="Q389" i="1"/>
  <c r="O389" i="1"/>
  <c r="Q404" i="1"/>
  <c r="O404" i="1"/>
  <c r="R404" i="1"/>
  <c r="Q284" i="1"/>
  <c r="Q292" i="1"/>
  <c r="R307" i="1"/>
  <c r="P308" i="1"/>
  <c r="P312" i="1"/>
  <c r="P314" i="1"/>
  <c r="R320" i="1"/>
  <c r="O335" i="1"/>
  <c r="R343" i="1"/>
  <c r="P343" i="1"/>
  <c r="R365" i="1"/>
  <c r="Q365" i="1"/>
  <c r="O365" i="1"/>
  <c r="P378" i="1"/>
  <c r="Q388" i="1"/>
  <c r="O388" i="1"/>
  <c r="R388" i="1"/>
  <c r="Q403" i="1"/>
  <c r="O272" i="1"/>
  <c r="O280" i="1"/>
  <c r="R284" i="1"/>
  <c r="O288" i="1"/>
  <c r="R292" i="1"/>
  <c r="O296" i="1"/>
  <c r="O312" i="1"/>
  <c r="O317" i="1"/>
  <c r="Q317" i="1"/>
  <c r="P319" i="1"/>
  <c r="R322" i="1"/>
  <c r="O322" i="1"/>
  <c r="P325" i="1"/>
  <c r="O326" i="1"/>
  <c r="R326" i="1"/>
  <c r="P328" i="1"/>
  <c r="P332" i="1"/>
  <c r="Q335" i="1"/>
  <c r="R337" i="1"/>
  <c r="Q337" i="1"/>
  <c r="R351" i="1"/>
  <c r="P351" i="1"/>
  <c r="O351" i="1"/>
  <c r="R359" i="1"/>
  <c r="Q359" i="1"/>
  <c r="P359" i="1"/>
  <c r="O359" i="1"/>
  <c r="O363" i="1"/>
  <c r="R363" i="1"/>
  <c r="Q363" i="1"/>
  <c r="Q364" i="1"/>
  <c r="R364" i="1"/>
  <c r="O364" i="1"/>
  <c r="Q304" i="1"/>
  <c r="P324" i="1"/>
  <c r="R338" i="1"/>
  <c r="O338" i="1"/>
  <c r="P342" i="1"/>
  <c r="P344" i="1"/>
  <c r="R357" i="1"/>
  <c r="Q357" i="1"/>
  <c r="O357" i="1"/>
  <c r="O362" i="1"/>
  <c r="R362" i="1"/>
  <c r="Q362" i="1"/>
  <c r="R408" i="1"/>
  <c r="Q408" i="1"/>
  <c r="O408" i="1"/>
  <c r="P303" i="1"/>
  <c r="R304" i="1"/>
  <c r="R312" i="1"/>
  <c r="R330" i="1"/>
  <c r="O330" i="1"/>
  <c r="O333" i="1"/>
  <c r="Q333" i="1"/>
  <c r="R336" i="1"/>
  <c r="O337" i="1"/>
  <c r="P338" i="1"/>
  <c r="O339" i="1"/>
  <c r="R339" i="1"/>
  <c r="O344" i="1"/>
  <c r="R345" i="1"/>
  <c r="Q345" i="1"/>
  <c r="O355" i="1"/>
  <c r="R355" i="1"/>
  <c r="Q355" i="1"/>
  <c r="Q356" i="1"/>
  <c r="R356" i="1"/>
  <c r="O356" i="1"/>
  <c r="O361" i="1"/>
  <c r="Q361" i="1"/>
  <c r="R361" i="1"/>
  <c r="P361" i="1"/>
  <c r="P362" i="1"/>
  <c r="P363" i="1"/>
  <c r="Q372" i="1"/>
  <c r="O372" i="1"/>
  <c r="R372" i="1"/>
  <c r="R373" i="1"/>
  <c r="Q373" i="1"/>
  <c r="O373" i="1"/>
  <c r="R392" i="1"/>
  <c r="Q392" i="1"/>
  <c r="O392" i="1"/>
  <c r="R407" i="1"/>
  <c r="Q407" i="1"/>
  <c r="O407" i="1"/>
  <c r="Q272" i="1"/>
  <c r="Q280" i="1"/>
  <c r="Q288" i="1"/>
  <c r="Q296" i="1"/>
  <c r="R314" i="1"/>
  <c r="O314" i="1"/>
  <c r="Q344" i="1"/>
  <c r="Q351" i="1"/>
  <c r="O353" i="1"/>
  <c r="Q353" i="1"/>
  <c r="P353" i="1"/>
  <c r="O354" i="1"/>
  <c r="R354" i="1"/>
  <c r="Q354" i="1"/>
  <c r="O371" i="1"/>
  <c r="R371" i="1"/>
  <c r="Q371" i="1"/>
  <c r="R391" i="1"/>
  <c r="Q391" i="1"/>
  <c r="O391" i="1"/>
  <c r="O325" i="1"/>
  <c r="Q325" i="1"/>
  <c r="R306" i="1"/>
  <c r="P316" i="1"/>
  <c r="R317" i="1"/>
  <c r="P320" i="1"/>
  <c r="Q326" i="1"/>
  <c r="P327" i="1"/>
  <c r="P330" i="1"/>
  <c r="Q331" i="1"/>
  <c r="O334" i="1"/>
  <c r="R334" i="1"/>
  <c r="Q334" i="1"/>
  <c r="Q338" i="1"/>
  <c r="O340" i="1"/>
  <c r="R340" i="1"/>
  <c r="Q340" i="1"/>
  <c r="Q341" i="1"/>
  <c r="Q346" i="1"/>
  <c r="O346" i="1"/>
  <c r="O347" i="1"/>
  <c r="R347" i="1"/>
  <c r="P355" i="1"/>
  <c r="P372" i="1"/>
  <c r="O379" i="1"/>
  <c r="R379" i="1"/>
  <c r="Q379" i="1"/>
  <c r="Q396" i="1"/>
  <c r="O396" i="1"/>
  <c r="R396" i="1"/>
  <c r="R397" i="1"/>
  <c r="Q397" i="1"/>
  <c r="O397" i="1"/>
  <c r="O411" i="1"/>
  <c r="R411" i="1"/>
  <c r="Q411" i="1"/>
  <c r="R413" i="1"/>
  <c r="Q413" i="1"/>
  <c r="O413" i="1"/>
  <c r="R352" i="1"/>
  <c r="R360" i="1"/>
  <c r="R368" i="1"/>
  <c r="Q368" i="1"/>
  <c r="P373" i="1"/>
  <c r="R390" i="1"/>
  <c r="Q390" i="1"/>
  <c r="O390" i="1"/>
  <c r="P392" i="1"/>
  <c r="O393" i="1"/>
  <c r="R393" i="1"/>
  <c r="Q393" i="1"/>
  <c r="O394" i="1"/>
  <c r="R394" i="1"/>
  <c r="R406" i="1"/>
  <c r="Q406" i="1"/>
  <c r="O406" i="1"/>
  <c r="P408" i="1"/>
  <c r="O409" i="1"/>
  <c r="R409" i="1"/>
  <c r="Q409" i="1"/>
  <c r="O410" i="1"/>
  <c r="R410" i="1"/>
  <c r="P348" i="1"/>
  <c r="P368" i="1"/>
  <c r="O369" i="1"/>
  <c r="R369" i="1"/>
  <c r="Q369" i="1"/>
  <c r="P379" i="1"/>
  <c r="P388" i="1"/>
  <c r="P391" i="1"/>
  <c r="P404" i="1"/>
  <c r="P407" i="1"/>
  <c r="R349" i="1"/>
  <c r="Q349" i="1"/>
  <c r="P356" i="1"/>
  <c r="P364" i="1"/>
  <c r="O368" i="1"/>
  <c r="O370" i="1"/>
  <c r="R370" i="1"/>
  <c r="Q380" i="1"/>
  <c r="O380" i="1"/>
  <c r="R383" i="1"/>
  <c r="Q383" i="1"/>
  <c r="R384" i="1"/>
  <c r="Q384" i="1"/>
  <c r="P389" i="1"/>
  <c r="P390" i="1"/>
  <c r="P394" i="1"/>
  <c r="P395" i="1"/>
  <c r="P405" i="1"/>
  <c r="P406" i="1"/>
  <c r="P410" i="1"/>
  <c r="P411" i="1"/>
  <c r="P349" i="1"/>
  <c r="R382" i="1"/>
  <c r="Q382" i="1"/>
  <c r="O382" i="1"/>
  <c r="P384" i="1"/>
  <c r="O385" i="1"/>
  <c r="R385" i="1"/>
  <c r="Q385" i="1"/>
  <c r="P393" i="1"/>
  <c r="S393" i="1" s="1"/>
  <c r="Q394" i="1"/>
  <c r="R399" i="1"/>
  <c r="Q399" i="1"/>
  <c r="R400" i="1"/>
  <c r="Q400" i="1"/>
  <c r="P409" i="1"/>
  <c r="Q410" i="1"/>
  <c r="Q412" i="1"/>
  <c r="O412" i="1"/>
  <c r="P357" i="1"/>
  <c r="P365" i="1"/>
  <c r="P371" i="1"/>
  <c r="R381" i="1"/>
  <c r="Q381" i="1"/>
  <c r="O381" i="1"/>
  <c r="O386" i="1"/>
  <c r="R386" i="1"/>
  <c r="R398" i="1"/>
  <c r="Q398" i="1"/>
  <c r="O398" i="1"/>
  <c r="O401" i="1"/>
  <c r="R401" i="1"/>
  <c r="Q401" i="1"/>
  <c r="O402" i="1"/>
  <c r="R402" i="1"/>
  <c r="R414" i="1"/>
  <c r="Q414" i="1"/>
  <c r="O414" i="1"/>
  <c r="R350" i="1"/>
  <c r="O352" i="1"/>
  <c r="O360" i="1"/>
  <c r="Q370" i="1"/>
  <c r="R375" i="1"/>
  <c r="Q375" i="1"/>
  <c r="R376" i="1"/>
  <c r="Q376" i="1"/>
  <c r="R380" i="1"/>
  <c r="P381" i="1"/>
  <c r="O383" i="1"/>
  <c r="P396" i="1"/>
  <c r="P399" i="1"/>
  <c r="O400" i="1"/>
  <c r="P412" i="1"/>
  <c r="R358" i="1"/>
  <c r="R366" i="1"/>
  <c r="R374" i="1"/>
  <c r="Q374" i="1"/>
  <c r="O374" i="1"/>
  <c r="P376" i="1"/>
  <c r="O377" i="1"/>
  <c r="R377" i="1"/>
  <c r="Q377" i="1"/>
  <c r="P387" i="1"/>
  <c r="P397" i="1"/>
  <c r="O399" i="1"/>
  <c r="P403" i="1"/>
  <c r="R412" i="1"/>
  <c r="P413" i="1"/>
  <c r="O358" i="1"/>
  <c r="O366" i="1"/>
  <c r="Q350" i="1"/>
  <c r="Q358" i="1"/>
  <c r="Q366" i="1"/>
  <c r="Q21" i="1"/>
  <c r="Q29" i="1"/>
  <c r="Q45" i="1"/>
  <c r="R46" i="1"/>
  <c r="P15" i="1"/>
  <c r="P70" i="1"/>
  <c r="P53" i="1"/>
  <c r="P8" i="1"/>
  <c r="Q14" i="1"/>
  <c r="R30" i="1"/>
  <c r="P78" i="1"/>
  <c r="P64" i="1"/>
  <c r="P68" i="1"/>
  <c r="P50" i="1"/>
  <c r="P24" i="1"/>
  <c r="P30" i="1"/>
  <c r="P46" i="1"/>
  <c r="P54" i="1"/>
  <c r="R78" i="1"/>
  <c r="P41" i="1"/>
  <c r="S41" i="1" s="1"/>
  <c r="P73" i="1"/>
  <c r="Q77" i="1"/>
  <c r="P25" i="1"/>
  <c r="P23" i="1"/>
  <c r="P76" i="1"/>
  <c r="P44" i="1"/>
  <c r="R70" i="1"/>
  <c r="P52" i="1"/>
  <c r="P43" i="1"/>
  <c r="P69" i="1"/>
  <c r="P79" i="1"/>
  <c r="P47" i="1"/>
  <c r="P32" i="1"/>
  <c r="P66" i="1"/>
  <c r="P39" i="1"/>
  <c r="P56" i="1"/>
  <c r="P27" i="1"/>
  <c r="P48" i="1"/>
  <c r="R54" i="1"/>
  <c r="P13" i="1"/>
  <c r="P45" i="1"/>
  <c r="P72" i="1"/>
  <c r="P80" i="1"/>
  <c r="R2" i="1"/>
  <c r="Q2" i="1"/>
  <c r="O2" i="1"/>
  <c r="P3" i="1"/>
  <c r="P21" i="1"/>
  <c r="R21" i="1"/>
  <c r="Q9" i="1"/>
  <c r="O9" i="1"/>
  <c r="R9" i="1"/>
  <c r="P2" i="1"/>
  <c r="R8" i="1"/>
  <c r="O8" i="1"/>
  <c r="Q8" i="1"/>
  <c r="S8" i="1" s="1"/>
  <c r="P9" i="1"/>
  <c r="P18" i="1"/>
  <c r="Q18" i="1"/>
  <c r="R18" i="1"/>
  <c r="O18" i="1"/>
  <c r="O19" i="1"/>
  <c r="Q19" i="1"/>
  <c r="P19" i="1"/>
  <c r="R19" i="1"/>
  <c r="Q20" i="1"/>
  <c r="P20" i="1"/>
  <c r="O3" i="1"/>
  <c r="R3" i="1"/>
  <c r="Q3" i="1"/>
  <c r="O28" i="1"/>
  <c r="R28" i="1"/>
  <c r="Q28" i="1"/>
  <c r="P28" i="1"/>
  <c r="O5" i="1"/>
  <c r="Q5" i="1"/>
  <c r="R5" i="1"/>
  <c r="R6" i="1"/>
  <c r="O6" i="1"/>
  <c r="Q6" i="1"/>
  <c r="Q17" i="1"/>
  <c r="O17" i="1"/>
  <c r="R17" i="1"/>
  <c r="O4" i="1"/>
  <c r="R4" i="1"/>
  <c r="Q4" i="1"/>
  <c r="Q16" i="1"/>
  <c r="P16" i="1"/>
  <c r="P5" i="1"/>
  <c r="R7" i="1"/>
  <c r="P7" i="1"/>
  <c r="O12" i="1"/>
  <c r="R12" i="1"/>
  <c r="P12" i="1"/>
  <c r="Q12" i="1"/>
  <c r="P17" i="1"/>
  <c r="P4" i="1"/>
  <c r="R10" i="1"/>
  <c r="Q10" i="1"/>
  <c r="P10" i="1"/>
  <c r="O10" i="1"/>
  <c r="O11" i="1"/>
  <c r="Q11" i="1"/>
  <c r="R11" i="1"/>
  <c r="P11" i="1"/>
  <c r="Q22" i="1"/>
  <c r="R22" i="1"/>
  <c r="O22" i="1"/>
  <c r="R26" i="1"/>
  <c r="P26" i="1"/>
  <c r="R31" i="1"/>
  <c r="Q31" i="1"/>
  <c r="O31" i="1"/>
  <c r="R49" i="1"/>
  <c r="Q49" i="1"/>
  <c r="O49" i="1"/>
  <c r="O51" i="1"/>
  <c r="R51" i="1"/>
  <c r="Q51" i="1"/>
  <c r="R55" i="1"/>
  <c r="Q55" i="1"/>
  <c r="O55" i="1"/>
  <c r="R74" i="1"/>
  <c r="Q74" i="1"/>
  <c r="O75" i="1"/>
  <c r="R75" i="1"/>
  <c r="Q75" i="1"/>
  <c r="R13" i="1"/>
  <c r="P22" i="1"/>
  <c r="P31" i="1"/>
  <c r="P51" i="1"/>
  <c r="Q53" i="1"/>
  <c r="P55" i="1"/>
  <c r="R73" i="1"/>
  <c r="Q73" i="1"/>
  <c r="O73" i="1"/>
  <c r="P74" i="1"/>
  <c r="P75" i="1"/>
  <c r="Q13" i="1"/>
  <c r="O20" i="1"/>
  <c r="R20" i="1"/>
  <c r="P14" i="1"/>
  <c r="R42" i="1"/>
  <c r="Q42" i="1"/>
  <c r="P42" i="1"/>
  <c r="O44" i="1"/>
  <c r="R44" i="1"/>
  <c r="Q44" i="1"/>
  <c r="O45" i="1"/>
  <c r="R45" i="1"/>
  <c r="Q46" i="1"/>
  <c r="O46" i="1"/>
  <c r="R48" i="1"/>
  <c r="Q48" i="1"/>
  <c r="O48" i="1"/>
  <c r="P49" i="1"/>
  <c r="R66" i="1"/>
  <c r="Q66" i="1"/>
  <c r="O68" i="1"/>
  <c r="R68" i="1"/>
  <c r="Q68" i="1"/>
  <c r="O69" i="1"/>
  <c r="R69" i="1"/>
  <c r="Q70" i="1"/>
  <c r="O70" i="1"/>
  <c r="R72" i="1"/>
  <c r="Q72" i="1"/>
  <c r="O72" i="1"/>
  <c r="O74" i="1"/>
  <c r="O14" i="1"/>
  <c r="O26" i="1"/>
  <c r="O27" i="1"/>
  <c r="Q27" i="1"/>
  <c r="R41" i="1"/>
  <c r="Q41" i="1"/>
  <c r="O41" i="1"/>
  <c r="O43" i="1"/>
  <c r="R43" i="1"/>
  <c r="Q43" i="1"/>
  <c r="R47" i="1"/>
  <c r="Q47" i="1"/>
  <c r="O47" i="1"/>
  <c r="R65" i="1"/>
  <c r="Q65" i="1"/>
  <c r="O65" i="1"/>
  <c r="O67" i="1"/>
  <c r="R67" i="1"/>
  <c r="Q67" i="1"/>
  <c r="R71" i="1"/>
  <c r="Q71" i="1"/>
  <c r="O71" i="1"/>
  <c r="R23" i="1"/>
  <c r="Q23" i="1"/>
  <c r="R34" i="1"/>
  <c r="Q34" i="1"/>
  <c r="P34" i="1"/>
  <c r="O36" i="1"/>
  <c r="R36" i="1"/>
  <c r="Q36" i="1"/>
  <c r="O37" i="1"/>
  <c r="R37" i="1"/>
  <c r="Q38" i="1"/>
  <c r="O38" i="1"/>
  <c r="R58" i="1"/>
  <c r="Q58" i="1"/>
  <c r="O60" i="1"/>
  <c r="R60" i="1"/>
  <c r="Q60" i="1"/>
  <c r="O61" i="1"/>
  <c r="R61" i="1"/>
  <c r="Q62" i="1"/>
  <c r="O62" i="1"/>
  <c r="R64" i="1"/>
  <c r="Q64" i="1"/>
  <c r="O64" i="1"/>
  <c r="P67" i="1"/>
  <c r="Q69" i="1"/>
  <c r="P71" i="1"/>
  <c r="Q26" i="1"/>
  <c r="R33" i="1"/>
  <c r="Q33" i="1"/>
  <c r="O33" i="1"/>
  <c r="O35" i="1"/>
  <c r="R35" i="1"/>
  <c r="Q35" i="1"/>
  <c r="P37" i="1"/>
  <c r="R40" i="1"/>
  <c r="Q40" i="1"/>
  <c r="O40" i="1"/>
  <c r="R57" i="1"/>
  <c r="Q57" i="1"/>
  <c r="O57" i="1"/>
  <c r="O59" i="1"/>
  <c r="R59" i="1"/>
  <c r="Q59" i="1"/>
  <c r="P61" i="1"/>
  <c r="R63" i="1"/>
  <c r="Q63" i="1"/>
  <c r="O63" i="1"/>
  <c r="P65" i="1"/>
  <c r="S65" i="1" s="1"/>
  <c r="P6" i="1"/>
  <c r="R14" i="1"/>
  <c r="R15" i="1"/>
  <c r="Q15" i="1"/>
  <c r="O21" i="1"/>
  <c r="O23" i="1"/>
  <c r="R24" i="1"/>
  <c r="Q24" i="1"/>
  <c r="O24" i="1"/>
  <c r="O29" i="1"/>
  <c r="R29" i="1"/>
  <c r="Q30" i="1"/>
  <c r="O30" i="1"/>
  <c r="P35" i="1"/>
  <c r="Q37" i="1"/>
  <c r="P38" i="1"/>
  <c r="R39" i="1"/>
  <c r="Q39" i="1"/>
  <c r="O39" i="1"/>
  <c r="P40" i="1"/>
  <c r="P58" i="1"/>
  <c r="P59" i="1"/>
  <c r="Q61" i="1"/>
  <c r="P62" i="1"/>
  <c r="S62" i="1" s="1"/>
  <c r="P63" i="1"/>
  <c r="O77" i="1"/>
  <c r="R77" i="1"/>
  <c r="Q78" i="1"/>
  <c r="O78" i="1"/>
  <c r="R80" i="1"/>
  <c r="Q80" i="1"/>
  <c r="O80" i="1"/>
  <c r="Q7" i="1"/>
  <c r="O15" i="1"/>
  <c r="R16" i="1"/>
  <c r="O16" i="1"/>
  <c r="R25" i="1"/>
  <c r="Q25" i="1"/>
  <c r="R27" i="1"/>
  <c r="P29" i="1"/>
  <c r="R32" i="1"/>
  <c r="Q32" i="1"/>
  <c r="O32" i="1"/>
  <c r="P33" i="1"/>
  <c r="O34" i="1"/>
  <c r="P36" i="1"/>
  <c r="R38" i="1"/>
  <c r="R50" i="1"/>
  <c r="Q50" i="1"/>
  <c r="O52" i="1"/>
  <c r="R52" i="1"/>
  <c r="Q52" i="1"/>
  <c r="S52" i="1" s="1"/>
  <c r="O53" i="1"/>
  <c r="R53" i="1"/>
  <c r="Q54" i="1"/>
  <c r="O54" i="1"/>
  <c r="R56" i="1"/>
  <c r="Q56" i="1"/>
  <c r="O56" i="1"/>
  <c r="P57" i="1"/>
  <c r="O58" i="1"/>
  <c r="P60" i="1"/>
  <c r="R62" i="1"/>
  <c r="O76" i="1"/>
  <c r="R76" i="1"/>
  <c r="Q76" i="1"/>
  <c r="P77" i="1"/>
  <c r="R79" i="1"/>
  <c r="Q79" i="1"/>
  <c r="O79" i="1"/>
  <c r="S575" i="1" l="1"/>
  <c r="S729" i="1"/>
  <c r="S812" i="1"/>
  <c r="S756" i="1"/>
  <c r="S369" i="1"/>
  <c r="S269" i="1"/>
  <c r="S758" i="1"/>
  <c r="S1187" i="1"/>
  <c r="S16" i="1"/>
  <c r="S760" i="1"/>
  <c r="S764" i="1"/>
  <c r="S1199" i="1"/>
  <c r="S514" i="1"/>
  <c r="S28" i="1"/>
  <c r="S401" i="1"/>
  <c r="S42" i="1"/>
  <c r="S765" i="1"/>
  <c r="S898" i="1"/>
  <c r="S1252" i="1"/>
  <c r="S1235" i="1"/>
  <c r="S1254" i="1"/>
  <c r="S1265" i="1"/>
  <c r="S1246" i="1"/>
  <c r="S893" i="1"/>
  <c r="S1251" i="1"/>
  <c r="S1242" i="1"/>
  <c r="S1250" i="1"/>
  <c r="S1247" i="1"/>
  <c r="S1232" i="1"/>
  <c r="S1257" i="1"/>
  <c r="S1262" i="1"/>
  <c r="S1243" i="1"/>
  <c r="S1249" i="1"/>
  <c r="S1237" i="1"/>
  <c r="S1244" i="1"/>
  <c r="S1221" i="1"/>
  <c r="S1233" i="1"/>
  <c r="S1200" i="1"/>
  <c r="S1231" i="1"/>
  <c r="S1240" i="1"/>
  <c r="S1264" i="1"/>
  <c r="S903" i="1"/>
  <c r="S852" i="1"/>
  <c r="S1255" i="1"/>
  <c r="S858" i="1"/>
  <c r="S900" i="1"/>
  <c r="S1261" i="1"/>
  <c r="S1253" i="1"/>
  <c r="S1228" i="1"/>
  <c r="S905" i="1"/>
  <c r="S795" i="1"/>
  <c r="S1222" i="1"/>
  <c r="S1236" i="1"/>
  <c r="S1258" i="1"/>
  <c r="S1219" i="1"/>
  <c r="S1259" i="1"/>
  <c r="S1248" i="1"/>
  <c r="S744" i="1"/>
  <c r="S843" i="1"/>
  <c r="S1205" i="1"/>
  <c r="S1216" i="1"/>
  <c r="S1260" i="1"/>
  <c r="S1188" i="1"/>
  <c r="S1239" i="1"/>
  <c r="S1227" i="1"/>
  <c r="S1238" i="1"/>
  <c r="S1202" i="1"/>
  <c r="S1245" i="1"/>
  <c r="S1241" i="1"/>
  <c r="S1206" i="1"/>
  <c r="S1194" i="1"/>
  <c r="S1256" i="1"/>
  <c r="S1234" i="1"/>
  <c r="S1207" i="1"/>
  <c r="S904" i="1"/>
  <c r="S1214" i="1"/>
  <c r="S1195" i="1"/>
  <c r="S791" i="1"/>
  <c r="S1198" i="1"/>
  <c r="S876" i="1"/>
  <c r="S532" i="1"/>
  <c r="S1224" i="1"/>
  <c r="S1212" i="1"/>
  <c r="S566" i="1"/>
  <c r="S503" i="1"/>
  <c r="S894" i="1"/>
  <c r="S807" i="1"/>
  <c r="S859" i="1"/>
  <c r="S861" i="1"/>
  <c r="S786" i="1"/>
  <c r="S1213" i="1"/>
  <c r="S1203" i="1"/>
  <c r="S865" i="1"/>
  <c r="S352" i="1"/>
  <c r="S1230" i="1"/>
  <c r="S1215" i="1"/>
  <c r="S1204" i="1"/>
  <c r="S899" i="1"/>
  <c r="S1217" i="1"/>
  <c r="S1190" i="1"/>
  <c r="S1209" i="1"/>
  <c r="S1196" i="1"/>
  <c r="S1192" i="1"/>
  <c r="S1201" i="1"/>
  <c r="S1210" i="1"/>
  <c r="S1223" i="1"/>
  <c r="S1189" i="1"/>
  <c r="S885" i="1"/>
  <c r="S1191" i="1"/>
  <c r="S1226" i="1"/>
  <c r="S1197" i="1"/>
  <c r="S1229" i="1"/>
  <c r="S1211" i="1"/>
  <c r="S1220" i="1"/>
  <c r="S1193" i="1"/>
  <c r="S1208" i="1"/>
  <c r="S908" i="1"/>
  <c r="S778" i="1"/>
  <c r="S739" i="1"/>
  <c r="S1225" i="1"/>
  <c r="S1218" i="1"/>
  <c r="S398" i="1"/>
  <c r="S892" i="1"/>
  <c r="S768" i="1"/>
  <c r="S777" i="1"/>
  <c r="S896" i="1"/>
  <c r="S878" i="1"/>
  <c r="S761" i="1"/>
  <c r="S755" i="1"/>
  <c r="S781" i="1"/>
  <c r="S814" i="1"/>
  <c r="S737" i="1"/>
  <c r="S780" i="1"/>
  <c r="S889" i="1"/>
  <c r="S521" i="1"/>
  <c r="S754" i="1"/>
  <c r="S725" i="1"/>
  <c r="S437" i="1"/>
  <c r="S788" i="1"/>
  <c r="S748" i="1"/>
  <c r="S769" i="1"/>
  <c r="S862" i="1"/>
  <c r="S800" i="1"/>
  <c r="S785" i="1"/>
  <c r="S819" i="1"/>
  <c r="S902" i="1"/>
  <c r="S790" i="1"/>
  <c r="S766" i="1"/>
  <c r="S821" i="1"/>
  <c r="S881" i="1"/>
  <c r="S836" i="1"/>
  <c r="S868" i="1"/>
  <c r="S824" i="1"/>
  <c r="S759" i="1"/>
  <c r="S884" i="1"/>
  <c r="S880" i="1"/>
  <c r="S782" i="1"/>
  <c r="S476" i="1"/>
  <c r="S851" i="1"/>
  <c r="S792" i="1"/>
  <c r="S803" i="1"/>
  <c r="S750" i="1"/>
  <c r="S542" i="1"/>
  <c r="S817" i="1"/>
  <c r="S783" i="1"/>
  <c r="S815" i="1"/>
  <c r="S907" i="1"/>
  <c r="S747" i="1"/>
  <c r="S736" i="1"/>
  <c r="S869" i="1"/>
  <c r="S847" i="1"/>
  <c r="S776" i="1"/>
  <c r="S901" i="1"/>
  <c r="S734" i="1"/>
  <c r="S770" i="1"/>
  <c r="S728" i="1"/>
  <c r="S810" i="1"/>
  <c r="S334" i="1"/>
  <c r="S849" i="1"/>
  <c r="S350" i="1"/>
  <c r="S775" i="1"/>
  <c r="S805" i="1"/>
  <c r="S796" i="1"/>
  <c r="S763" i="1"/>
  <c r="S818" i="1"/>
  <c r="S794" i="1"/>
  <c r="S746" i="1"/>
  <c r="S531" i="1"/>
  <c r="S771" i="1"/>
  <c r="S735" i="1"/>
  <c r="S382" i="1"/>
  <c r="S888" i="1"/>
  <c r="S789" i="1"/>
  <c r="S726" i="1"/>
  <c r="S787" i="1"/>
  <c r="S547" i="1"/>
  <c r="S820" i="1"/>
  <c r="S872" i="1"/>
  <c r="S825" i="1"/>
  <c r="S801" i="1"/>
  <c r="S304" i="1"/>
  <c r="S844" i="1"/>
  <c r="S823" i="1"/>
  <c r="S797" i="1"/>
  <c r="S322" i="1"/>
  <c r="S877" i="1"/>
  <c r="S816" i="1"/>
  <c r="S582" i="1"/>
  <c r="S808" i="1"/>
  <c r="S804" i="1"/>
  <c r="S738" i="1"/>
  <c r="S581" i="1"/>
  <c r="S891" i="1"/>
  <c r="S890" i="1"/>
  <c r="S793" i="1"/>
  <c r="S749" i="1"/>
  <c r="S727" i="1"/>
  <c r="S400" i="1"/>
  <c r="S507" i="1"/>
  <c r="S863" i="1"/>
  <c r="S580" i="1"/>
  <c r="S491" i="1"/>
  <c r="S492" i="1"/>
  <c r="S875" i="1"/>
  <c r="S867" i="1"/>
  <c r="S767" i="1"/>
  <c r="S806" i="1"/>
  <c r="S802" i="1"/>
  <c r="S724" i="1"/>
  <c r="S733" i="1"/>
  <c r="S850" i="1"/>
  <c r="S856" i="1"/>
  <c r="S798" i="1"/>
  <c r="S330" i="1"/>
  <c r="S879" i="1"/>
  <c r="S874" i="1"/>
  <c r="S757" i="1"/>
  <c r="S762" i="1"/>
  <c r="S740" i="1"/>
  <c r="S551" i="1"/>
  <c r="S887" i="1"/>
  <c r="S853" i="1"/>
  <c r="S864" i="1"/>
  <c r="S871" i="1"/>
  <c r="S813" i="1"/>
  <c r="S560" i="1"/>
  <c r="S811" i="1"/>
  <c r="S731" i="1"/>
  <c r="S557" i="1"/>
  <c r="S522" i="1"/>
  <c r="S882" i="1"/>
  <c r="S860" i="1"/>
  <c r="S772" i="1"/>
  <c r="S799" i="1"/>
  <c r="S784" i="1"/>
  <c r="S906" i="1"/>
  <c r="S897" i="1"/>
  <c r="S883" i="1"/>
  <c r="S841" i="1"/>
  <c r="S831" i="1"/>
  <c r="S774" i="1"/>
  <c r="S753" i="1"/>
  <c r="S751" i="1"/>
  <c r="S530" i="1"/>
  <c r="S866" i="1"/>
  <c r="S809" i="1"/>
  <c r="S870" i="1"/>
  <c r="S873" i="1"/>
  <c r="S773" i="1"/>
  <c r="S745" i="1"/>
  <c r="S830" i="1"/>
  <c r="S732" i="1"/>
  <c r="S741" i="1"/>
  <c r="S743" i="1"/>
  <c r="S730" i="1"/>
  <c r="S528" i="1"/>
  <c r="S535" i="1"/>
  <c r="S512" i="1"/>
  <c r="S434" i="1"/>
  <c r="S466" i="1"/>
  <c r="S421" i="1"/>
  <c r="S469" i="1"/>
  <c r="S462" i="1"/>
  <c r="S487" i="1"/>
  <c r="S561" i="1"/>
  <c r="S493" i="1"/>
  <c r="S578" i="1"/>
  <c r="S544" i="1"/>
  <c r="S415" i="1"/>
  <c r="S419" i="1"/>
  <c r="S498" i="1"/>
  <c r="S499" i="1"/>
  <c r="S483" i="1"/>
  <c r="S574" i="1"/>
  <c r="S550" i="1"/>
  <c r="S480" i="1"/>
  <c r="S477" i="1"/>
  <c r="S312" i="1"/>
  <c r="S475" i="1"/>
  <c r="S370" i="1"/>
  <c r="S326" i="1"/>
  <c r="S288" i="1"/>
  <c r="S538" i="1"/>
  <c r="S579" i="1"/>
  <c r="S567" i="1"/>
  <c r="S540" i="1"/>
  <c r="S336" i="1"/>
  <c r="S526" i="1"/>
  <c r="S559" i="1"/>
  <c r="S562" i="1"/>
  <c r="S366" i="1"/>
  <c r="S317" i="1"/>
  <c r="S307" i="1"/>
  <c r="S282" i="1"/>
  <c r="S456" i="1"/>
  <c r="S444" i="1"/>
  <c r="S425" i="1"/>
  <c r="S450" i="1"/>
  <c r="S510" i="1"/>
  <c r="S490" i="1"/>
  <c r="S395" i="1"/>
  <c r="S331" i="1"/>
  <c r="S339" i="1"/>
  <c r="S500" i="1"/>
  <c r="S383" i="1"/>
  <c r="S405" i="1"/>
  <c r="S541" i="1"/>
  <c r="S482" i="1"/>
  <c r="S299" i="1"/>
  <c r="S448" i="1"/>
  <c r="S516" i="1"/>
  <c r="S435" i="1"/>
  <c r="S523" i="1"/>
  <c r="S524" i="1"/>
  <c r="S481" i="1"/>
  <c r="S428" i="1"/>
  <c r="S452" i="1"/>
  <c r="S508" i="1"/>
  <c r="S454" i="1"/>
  <c r="S417" i="1"/>
  <c r="S488" i="1"/>
  <c r="S563" i="1"/>
  <c r="S495" i="1"/>
  <c r="S377" i="1"/>
  <c r="S341" i="1"/>
  <c r="S354" i="1"/>
  <c r="S289" i="1"/>
  <c r="S506" i="1"/>
  <c r="S439" i="1"/>
  <c r="S441" i="1"/>
  <c r="S519" i="1"/>
  <c r="S537" i="1"/>
  <c r="S375" i="1"/>
  <c r="S465" i="1"/>
  <c r="S432" i="1"/>
  <c r="S473" i="1"/>
  <c r="S565" i="1"/>
  <c r="S474" i="1"/>
  <c r="S573" i="1"/>
  <c r="S548" i="1"/>
  <c r="S489" i="1"/>
  <c r="S511" i="1"/>
  <c r="S280" i="1"/>
  <c r="S494" i="1"/>
  <c r="S451" i="1"/>
  <c r="S443" i="1"/>
  <c r="S549" i="1"/>
  <c r="S558" i="1"/>
  <c r="S387" i="1"/>
  <c r="S333" i="1"/>
  <c r="S343" i="1"/>
  <c r="S302" i="1"/>
  <c r="S546" i="1"/>
  <c r="S525" i="1"/>
  <c r="S486" i="1"/>
  <c r="S501" i="1"/>
  <c r="S520" i="1"/>
  <c r="S467" i="1"/>
  <c r="S346" i="1"/>
  <c r="S436" i="1"/>
  <c r="S442" i="1"/>
  <c r="S422" i="1"/>
  <c r="S463" i="1"/>
  <c r="S365" i="1"/>
  <c r="S536" i="1"/>
  <c r="S314" i="1"/>
  <c r="S278" i="1"/>
  <c r="S290" i="1"/>
  <c r="S402" i="1"/>
  <c r="S527" i="1"/>
  <c r="S564" i="1"/>
  <c r="S472" i="1"/>
  <c r="S461" i="1"/>
  <c r="S424" i="1"/>
  <c r="S460" i="1"/>
  <c r="S433" i="1"/>
  <c r="S552" i="1"/>
  <c r="S458" i="1"/>
  <c r="S446" i="1"/>
  <c r="S426" i="1"/>
  <c r="S571" i="1"/>
  <c r="S504" i="1"/>
  <c r="S295" i="1"/>
  <c r="S569" i="1"/>
  <c r="S577" i="1"/>
  <c r="S554" i="1"/>
  <c r="S505" i="1"/>
  <c r="S455" i="1"/>
  <c r="S445" i="1"/>
  <c r="S447" i="1"/>
  <c r="S429" i="1"/>
  <c r="S556" i="1"/>
  <c r="S459" i="1"/>
  <c r="S470" i="1"/>
  <c r="S273" i="1"/>
  <c r="S568" i="1"/>
  <c r="S553" i="1"/>
  <c r="S555" i="1"/>
  <c r="S484" i="1"/>
  <c r="S478" i="1"/>
  <c r="S502" i="1"/>
  <c r="S440" i="1"/>
  <c r="S471" i="1"/>
  <c r="S438" i="1"/>
  <c r="S420" i="1"/>
  <c r="S449" i="1"/>
  <c r="S423" i="1"/>
  <c r="S416" i="1"/>
  <c r="S457" i="1"/>
  <c r="S427" i="1"/>
  <c r="S468" i="1"/>
  <c r="S539" i="1"/>
  <c r="S545" i="1"/>
  <c r="S517" i="1"/>
  <c r="S464" i="1"/>
  <c r="S323" i="1"/>
  <c r="S572" i="1"/>
  <c r="S496" i="1"/>
  <c r="S418" i="1"/>
  <c r="S453" i="1"/>
  <c r="S431" i="1"/>
  <c r="S430" i="1"/>
  <c r="S324" i="1"/>
  <c r="S337" i="1"/>
  <c r="S279" i="1"/>
  <c r="S360" i="1"/>
  <c r="S298" i="1"/>
  <c r="S379" i="1"/>
  <c r="S373" i="1"/>
  <c r="S361" i="1"/>
  <c r="S303" i="1"/>
  <c r="S359" i="1"/>
  <c r="S340" i="1"/>
  <c r="S305" i="1"/>
  <c r="S291" i="1"/>
  <c r="S345" i="1"/>
  <c r="S414" i="1"/>
  <c r="S389" i="1"/>
  <c r="S407" i="1"/>
  <c r="S292" i="1"/>
  <c r="S274" i="1"/>
  <c r="S374" i="1"/>
  <c r="S404" i="1"/>
  <c r="S348" i="1"/>
  <c r="S296" i="1"/>
  <c r="S315" i="1"/>
  <c r="S397" i="1"/>
  <c r="S284" i="1"/>
  <c r="S362" i="1"/>
  <c r="S413" i="1"/>
  <c r="S285" i="1"/>
  <c r="S358" i="1"/>
  <c r="S320" i="1"/>
  <c r="S281" i="1"/>
  <c r="S378" i="1"/>
  <c r="S412" i="1"/>
  <c r="S306" i="1"/>
  <c r="S380" i="1"/>
  <c r="S408" i="1"/>
  <c r="S342" i="1"/>
  <c r="S328" i="1"/>
  <c r="S367" i="1"/>
  <c r="S396" i="1"/>
  <c r="S349" i="1"/>
  <c r="S275" i="1"/>
  <c r="S272" i="1"/>
  <c r="S356" i="1"/>
  <c r="S316" i="1"/>
  <c r="S357" i="1"/>
  <c r="S394" i="1"/>
  <c r="S329" i="1"/>
  <c r="S390" i="1"/>
  <c r="S368" i="1"/>
  <c r="S392" i="1"/>
  <c r="S344" i="1"/>
  <c r="S286" i="1"/>
  <c r="S411" i="1"/>
  <c r="S308" i="1"/>
  <c r="S271" i="1"/>
  <c r="S381" i="1"/>
  <c r="S353" i="1"/>
  <c r="S363" i="1"/>
  <c r="S332" i="1"/>
  <c r="S319" i="1"/>
  <c r="S311" i="1"/>
  <c r="S270" i="1"/>
  <c r="S321" i="1"/>
  <c r="S338" i="1"/>
  <c r="S313" i="1"/>
  <c r="S300" i="1"/>
  <c r="S351" i="1"/>
  <c r="S409" i="1"/>
  <c r="S410" i="1"/>
  <c r="S335" i="1"/>
  <c r="S21" i="1"/>
  <c r="S376" i="1"/>
  <c r="S399" i="1"/>
  <c r="S371" i="1"/>
  <c r="S406" i="1"/>
  <c r="S364" i="1"/>
  <c r="S391" i="1"/>
  <c r="S372" i="1"/>
  <c r="S327" i="1"/>
  <c r="S283" i="1"/>
  <c r="S310" i="1"/>
  <c r="S403" i="1"/>
  <c r="S384" i="1"/>
  <c r="S388" i="1"/>
  <c r="S355" i="1"/>
  <c r="S325" i="1"/>
  <c r="S301" i="1"/>
  <c r="S287" i="1"/>
  <c r="S276" i="1"/>
  <c r="S309" i="1"/>
  <c r="S293" i="1"/>
  <c r="S78" i="1"/>
  <c r="S29" i="1"/>
  <c r="S45" i="1"/>
  <c r="S24" i="1"/>
  <c r="S76" i="1"/>
  <c r="S32" i="1"/>
  <c r="S25" i="1"/>
  <c r="S79" i="1"/>
  <c r="S70" i="1"/>
  <c r="S15" i="1"/>
  <c r="S68" i="1"/>
  <c r="S30" i="1"/>
  <c r="S2" i="1"/>
  <c r="S14" i="1"/>
  <c r="S56" i="1"/>
  <c r="S69" i="1"/>
  <c r="S64" i="1"/>
  <c r="S77" i="1"/>
  <c r="S55" i="1"/>
  <c r="S50" i="1"/>
  <c r="S63" i="1"/>
  <c r="S51" i="1"/>
  <c r="S80" i="1"/>
  <c r="S60" i="1"/>
  <c r="S46" i="1"/>
  <c r="S47" i="1"/>
  <c r="S39" i="1"/>
  <c r="S44" i="1"/>
  <c r="S53" i="1"/>
  <c r="S13" i="1"/>
  <c r="S6" i="1"/>
  <c r="S38" i="1"/>
  <c r="S23" i="1"/>
  <c r="S54" i="1"/>
  <c r="S43" i="1"/>
  <c r="S12" i="1"/>
  <c r="S34" i="1"/>
  <c r="S27" i="1"/>
  <c r="S75" i="1"/>
  <c r="S58" i="1"/>
  <c r="S22" i="1"/>
  <c r="S11" i="1"/>
  <c r="S5" i="1"/>
  <c r="S18" i="1"/>
  <c r="S17" i="1"/>
  <c r="S61" i="1"/>
  <c r="S73" i="1"/>
  <c r="S72" i="1"/>
  <c r="S9" i="1"/>
  <c r="S66" i="1"/>
  <c r="S26" i="1"/>
  <c r="S36" i="1"/>
  <c r="S35" i="1"/>
  <c r="S48" i="1"/>
  <c r="S74" i="1"/>
  <c r="S4" i="1"/>
  <c r="S57" i="1"/>
  <c r="S33" i="1"/>
  <c r="S67" i="1"/>
  <c r="S3" i="1"/>
  <c r="S40" i="1"/>
  <c r="S31" i="1"/>
  <c r="S20" i="1"/>
  <c r="S10" i="1"/>
  <c r="S19" i="1"/>
  <c r="S37" i="1"/>
  <c r="S71" i="1"/>
  <c r="S49" i="1"/>
  <c r="S7" i="1"/>
  <c r="S59" i="1"/>
  <c r="L1143" i="1" l="1"/>
  <c r="N1143" i="1" s="1"/>
  <c r="L1145" i="1"/>
  <c r="N1145" i="1" s="1"/>
  <c r="L720" i="1"/>
  <c r="L718" i="1"/>
  <c r="L719" i="1"/>
  <c r="N719" i="1" s="1"/>
  <c r="L721" i="1"/>
  <c r="N721" i="1" s="1"/>
  <c r="L717" i="1"/>
  <c r="N717" i="1" l="1"/>
  <c r="O717" i="1" s="1"/>
  <c r="N718" i="1"/>
  <c r="O718" i="1" s="1"/>
  <c r="N720" i="1"/>
  <c r="O720" i="1" s="1"/>
  <c r="L1144" i="1"/>
  <c r="O1143" i="1"/>
  <c r="Q1143" i="1"/>
  <c r="R1143" i="1"/>
  <c r="P1143" i="1"/>
  <c r="P1145" i="1"/>
  <c r="O1145" i="1"/>
  <c r="Q1145" i="1"/>
  <c r="R1145" i="1"/>
  <c r="P720" i="1"/>
  <c r="Q720" i="1"/>
  <c r="R720" i="1"/>
  <c r="P718" i="1"/>
  <c r="Q718" i="1"/>
  <c r="R718" i="1"/>
  <c r="O719" i="1"/>
  <c r="Q719" i="1"/>
  <c r="R719" i="1"/>
  <c r="P719" i="1"/>
  <c r="O721" i="1"/>
  <c r="Q721" i="1"/>
  <c r="R721" i="1"/>
  <c r="P721" i="1"/>
  <c r="P717" i="1"/>
  <c r="R717" i="1"/>
  <c r="Q717" i="1"/>
  <c r="P1144" i="1" l="1"/>
  <c r="N1144" i="1"/>
  <c r="S1143" i="1"/>
  <c r="Q1144" i="1"/>
  <c r="R1144" i="1"/>
  <c r="S1145" i="1"/>
  <c r="S720" i="1"/>
  <c r="S719" i="1"/>
  <c r="S718" i="1"/>
  <c r="S721" i="1"/>
  <c r="S717" i="1"/>
  <c r="S1144" i="1" l="1"/>
  <c r="O1144" i="1"/>
  <c r="L92" i="1" l="1"/>
  <c r="N92" i="1" s="1"/>
  <c r="L93" i="1"/>
  <c r="N93" i="1" s="1"/>
  <c r="L94" i="1"/>
  <c r="N94" i="1" s="1"/>
  <c r="L95" i="1"/>
  <c r="N95" i="1" s="1"/>
  <c r="L96" i="1"/>
  <c r="N96" i="1" s="1"/>
  <c r="L97" i="1"/>
  <c r="N97" i="1" s="1"/>
  <c r="L98" i="1"/>
  <c r="N98" i="1" s="1"/>
  <c r="L99" i="1"/>
  <c r="N99" i="1" s="1"/>
  <c r="L100" i="1"/>
  <c r="N100" i="1" s="1"/>
  <c r="L101" i="1"/>
  <c r="N101" i="1" s="1"/>
  <c r="L102" i="1"/>
  <c r="N102" i="1" s="1"/>
  <c r="L103" i="1"/>
  <c r="N103" i="1" s="1"/>
  <c r="L104" i="1"/>
  <c r="N104" i="1" s="1"/>
  <c r="L105" i="1"/>
  <c r="N105" i="1" s="1"/>
  <c r="L106" i="1"/>
  <c r="N106" i="1" s="1"/>
  <c r="L107" i="1"/>
  <c r="N107" i="1" s="1"/>
  <c r="L108" i="1"/>
  <c r="N108" i="1" s="1"/>
  <c r="L109" i="1"/>
  <c r="N109" i="1" s="1"/>
  <c r="L110" i="1"/>
  <c r="N110" i="1" s="1"/>
  <c r="L111" i="1"/>
  <c r="N111" i="1" s="1"/>
  <c r="L112" i="1"/>
  <c r="N112" i="1" s="1"/>
  <c r="L113" i="1"/>
  <c r="N113" i="1" s="1"/>
  <c r="L114" i="1"/>
  <c r="N114" i="1" s="1"/>
  <c r="L115" i="1"/>
  <c r="N115" i="1" s="1"/>
  <c r="L116" i="1"/>
  <c r="N116" i="1" s="1"/>
  <c r="L117" i="1"/>
  <c r="N117" i="1" s="1"/>
  <c r="L118" i="1"/>
  <c r="N118" i="1" s="1"/>
  <c r="L119" i="1"/>
  <c r="N119" i="1" s="1"/>
  <c r="L120" i="1"/>
  <c r="N120" i="1" s="1"/>
  <c r="L121" i="1"/>
  <c r="N121" i="1" s="1"/>
  <c r="L122" i="1"/>
  <c r="N122" i="1" s="1"/>
  <c r="L123" i="1"/>
  <c r="N123" i="1" s="1"/>
  <c r="L124" i="1"/>
  <c r="N124" i="1" s="1"/>
  <c r="L125" i="1"/>
  <c r="N125" i="1" s="1"/>
  <c r="L126" i="1"/>
  <c r="N126" i="1" s="1"/>
  <c r="L127" i="1"/>
  <c r="N127" i="1" s="1"/>
  <c r="L128" i="1"/>
  <c r="N128" i="1" s="1"/>
  <c r="L129" i="1"/>
  <c r="N129" i="1" s="1"/>
  <c r="L130" i="1"/>
  <c r="N130" i="1" s="1"/>
  <c r="L131" i="1"/>
  <c r="N131" i="1" s="1"/>
  <c r="L132" i="1"/>
  <c r="N132" i="1" s="1"/>
  <c r="L133" i="1"/>
  <c r="N133" i="1" s="1"/>
  <c r="L134" i="1"/>
  <c r="N134" i="1" s="1"/>
  <c r="L135" i="1"/>
  <c r="N135" i="1" s="1"/>
  <c r="L136" i="1"/>
  <c r="N136" i="1" s="1"/>
  <c r="L137" i="1"/>
  <c r="N137" i="1" s="1"/>
  <c r="L138" i="1"/>
  <c r="N138" i="1" s="1"/>
  <c r="L139" i="1"/>
  <c r="N139" i="1" s="1"/>
  <c r="L140" i="1"/>
  <c r="N140" i="1" s="1"/>
  <c r="L141" i="1"/>
  <c r="N141" i="1" s="1"/>
  <c r="L142" i="1"/>
  <c r="N142" i="1" s="1"/>
  <c r="L143" i="1"/>
  <c r="N143" i="1" s="1"/>
  <c r="L144" i="1"/>
  <c r="N144" i="1" s="1"/>
  <c r="L145" i="1"/>
  <c r="N145" i="1" s="1"/>
  <c r="L146" i="1"/>
  <c r="N146" i="1" s="1"/>
  <c r="L147" i="1"/>
  <c r="N147" i="1" s="1"/>
  <c r="L148" i="1"/>
  <c r="N148" i="1" s="1"/>
  <c r="L149" i="1"/>
  <c r="N149" i="1" s="1"/>
  <c r="L150" i="1"/>
  <c r="N150" i="1" s="1"/>
  <c r="L151" i="1"/>
  <c r="N151" i="1" s="1"/>
  <c r="L152" i="1"/>
  <c r="N152" i="1" s="1"/>
  <c r="L153" i="1"/>
  <c r="N153" i="1" s="1"/>
  <c r="L154" i="1"/>
  <c r="N154" i="1" s="1"/>
  <c r="L155" i="1"/>
  <c r="N155" i="1" s="1"/>
  <c r="L156" i="1"/>
  <c r="N156" i="1" s="1"/>
  <c r="L157" i="1"/>
  <c r="N157" i="1" s="1"/>
  <c r="L158" i="1"/>
  <c r="N158" i="1" s="1"/>
  <c r="L159" i="1"/>
  <c r="N159" i="1" s="1"/>
  <c r="L160" i="1"/>
  <c r="N160" i="1" s="1"/>
  <c r="L161" i="1"/>
  <c r="N161" i="1" s="1"/>
  <c r="L162" i="1"/>
  <c r="N162" i="1" s="1"/>
  <c r="L163" i="1"/>
  <c r="N163" i="1" s="1"/>
  <c r="L164" i="1"/>
  <c r="N164" i="1" s="1"/>
  <c r="L165" i="1"/>
  <c r="N165" i="1" s="1"/>
  <c r="L166" i="1"/>
  <c r="N166" i="1" s="1"/>
  <c r="L167" i="1"/>
  <c r="N167" i="1" s="1"/>
  <c r="L168" i="1"/>
  <c r="N168" i="1" s="1"/>
  <c r="L169" i="1"/>
  <c r="N169" i="1" s="1"/>
  <c r="L170" i="1"/>
  <c r="N170" i="1" s="1"/>
  <c r="L171" i="1"/>
  <c r="N171" i="1" s="1"/>
  <c r="L172" i="1"/>
  <c r="N172" i="1" s="1"/>
  <c r="L173" i="1"/>
  <c r="N173" i="1" s="1"/>
  <c r="L174" i="1"/>
  <c r="N174" i="1" s="1"/>
  <c r="L175" i="1"/>
  <c r="N175" i="1" s="1"/>
  <c r="L176" i="1"/>
  <c r="N176" i="1" s="1"/>
  <c r="L177" i="1"/>
  <c r="N177" i="1" s="1"/>
  <c r="L178" i="1"/>
  <c r="N178" i="1" s="1"/>
  <c r="L179" i="1"/>
  <c r="N179" i="1" s="1"/>
  <c r="L180" i="1"/>
  <c r="N180" i="1" s="1"/>
  <c r="L181" i="1"/>
  <c r="N181" i="1" s="1"/>
  <c r="L182" i="1"/>
  <c r="N182" i="1" s="1"/>
  <c r="L183" i="1"/>
  <c r="N183" i="1" s="1"/>
  <c r="L184" i="1"/>
  <c r="N184" i="1" s="1"/>
  <c r="L185" i="1"/>
  <c r="N185" i="1" s="1"/>
  <c r="L186" i="1"/>
  <c r="N186" i="1" s="1"/>
  <c r="L187" i="1"/>
  <c r="N187" i="1" s="1"/>
  <c r="L188" i="1"/>
  <c r="N188" i="1" s="1"/>
  <c r="L189" i="1"/>
  <c r="N189" i="1" s="1"/>
  <c r="L190" i="1"/>
  <c r="N190" i="1" s="1"/>
  <c r="L191" i="1"/>
  <c r="N191" i="1" s="1"/>
  <c r="L192" i="1"/>
  <c r="N192" i="1" s="1"/>
  <c r="L193" i="1"/>
  <c r="N193" i="1" s="1"/>
  <c r="L194" i="1"/>
  <c r="N194" i="1" s="1"/>
  <c r="L195" i="1"/>
  <c r="N195" i="1" s="1"/>
  <c r="L196" i="1"/>
  <c r="N196" i="1" s="1"/>
  <c r="L197" i="1"/>
  <c r="N197" i="1" s="1"/>
  <c r="L198" i="1"/>
  <c r="N198" i="1" s="1"/>
  <c r="L199" i="1"/>
  <c r="N199" i="1" s="1"/>
  <c r="L200" i="1"/>
  <c r="N200" i="1" s="1"/>
  <c r="L201" i="1"/>
  <c r="N201" i="1" s="1"/>
  <c r="L202" i="1"/>
  <c r="N202" i="1" s="1"/>
  <c r="L203" i="1"/>
  <c r="N203" i="1" s="1"/>
  <c r="L204" i="1"/>
  <c r="N204" i="1" s="1"/>
  <c r="L205" i="1"/>
  <c r="N205" i="1" s="1"/>
  <c r="L206" i="1"/>
  <c r="N206" i="1" s="1"/>
  <c r="L207" i="1"/>
  <c r="N207" i="1" s="1"/>
  <c r="L208" i="1"/>
  <c r="N208" i="1" s="1"/>
  <c r="L209" i="1"/>
  <c r="N209" i="1" s="1"/>
  <c r="L210" i="1"/>
  <c r="N210" i="1" s="1"/>
  <c r="L211" i="1"/>
  <c r="N211" i="1" s="1"/>
  <c r="L212" i="1"/>
  <c r="N212" i="1" s="1"/>
  <c r="L213" i="1"/>
  <c r="N213" i="1" s="1"/>
  <c r="L214" i="1"/>
  <c r="N214" i="1" s="1"/>
  <c r="L215" i="1"/>
  <c r="N215" i="1" s="1"/>
  <c r="L216" i="1"/>
  <c r="N216" i="1" s="1"/>
  <c r="L217" i="1"/>
  <c r="N217" i="1" s="1"/>
  <c r="L218" i="1"/>
  <c r="N218" i="1" s="1"/>
  <c r="L219" i="1"/>
  <c r="N219" i="1" s="1"/>
  <c r="L220" i="1"/>
  <c r="N220" i="1" s="1"/>
  <c r="L221" i="1"/>
  <c r="N221" i="1" s="1"/>
  <c r="L222" i="1"/>
  <c r="N222" i="1" s="1"/>
  <c r="L223" i="1"/>
  <c r="N223" i="1" s="1"/>
  <c r="L224" i="1"/>
  <c r="N224" i="1" s="1"/>
  <c r="L225" i="1"/>
  <c r="N225" i="1" s="1"/>
  <c r="L226" i="1"/>
  <c r="N226" i="1" s="1"/>
  <c r="L227" i="1"/>
  <c r="N227" i="1" s="1"/>
  <c r="L228" i="1"/>
  <c r="N228" i="1" s="1"/>
  <c r="L229" i="1"/>
  <c r="N229" i="1" s="1"/>
  <c r="L230" i="1"/>
  <c r="N230" i="1" s="1"/>
  <c r="L231" i="1"/>
  <c r="N231" i="1" s="1"/>
  <c r="L232" i="1"/>
  <c r="N232" i="1" s="1"/>
  <c r="L233" i="1"/>
  <c r="N233" i="1" s="1"/>
  <c r="L234" i="1"/>
  <c r="N234" i="1" s="1"/>
  <c r="L235" i="1"/>
  <c r="N235" i="1" s="1"/>
  <c r="L236" i="1"/>
  <c r="N236" i="1" s="1"/>
  <c r="L237" i="1"/>
  <c r="N237" i="1" s="1"/>
  <c r="L238" i="1"/>
  <c r="N238" i="1" s="1"/>
  <c r="L239" i="1"/>
  <c r="N239" i="1" s="1"/>
  <c r="L240" i="1"/>
  <c r="N240" i="1" s="1"/>
  <c r="L241" i="1"/>
  <c r="N241" i="1" s="1"/>
  <c r="L242" i="1"/>
  <c r="N242" i="1" s="1"/>
  <c r="L243" i="1"/>
  <c r="N243" i="1" s="1"/>
  <c r="L244" i="1"/>
  <c r="N244" i="1" s="1"/>
  <c r="L245" i="1"/>
  <c r="N245" i="1" s="1"/>
  <c r="L246" i="1"/>
  <c r="N246" i="1" s="1"/>
  <c r="L247" i="1"/>
  <c r="N247" i="1" s="1"/>
  <c r="L248" i="1"/>
  <c r="N248" i="1" s="1"/>
  <c r="L249" i="1"/>
  <c r="N249" i="1" s="1"/>
  <c r="L250" i="1"/>
  <c r="N250" i="1" s="1"/>
  <c r="L251" i="1"/>
  <c r="N251" i="1" s="1"/>
  <c r="L252" i="1"/>
  <c r="N252" i="1" s="1"/>
  <c r="L253" i="1"/>
  <c r="N253" i="1" s="1"/>
  <c r="L254" i="1"/>
  <c r="N254" i="1" s="1"/>
  <c r="L255" i="1"/>
  <c r="N255" i="1" s="1"/>
  <c r="L256" i="1"/>
  <c r="N256" i="1" s="1"/>
  <c r="L257" i="1"/>
  <c r="N257" i="1" s="1"/>
  <c r="L258" i="1"/>
  <c r="N258" i="1" s="1"/>
  <c r="L259" i="1"/>
  <c r="N259" i="1" s="1"/>
  <c r="L260" i="1"/>
  <c r="N260" i="1" s="1"/>
  <c r="L261" i="1"/>
  <c r="N261" i="1" s="1"/>
  <c r="L262" i="1"/>
  <c r="N262" i="1" s="1"/>
  <c r="L263" i="1"/>
  <c r="N263" i="1" s="1"/>
  <c r="L264" i="1"/>
  <c r="N264" i="1" s="1"/>
  <c r="L265" i="1"/>
  <c r="N265" i="1" s="1"/>
  <c r="L266" i="1"/>
  <c r="N266" i="1" s="1"/>
  <c r="L267" i="1"/>
  <c r="N267" i="1" s="1"/>
  <c r="L268" i="1"/>
  <c r="N268" i="1" s="1"/>
  <c r="L591" i="1"/>
  <c r="N591" i="1" s="1"/>
  <c r="L592" i="1"/>
  <c r="N592" i="1" s="1"/>
  <c r="L593" i="1"/>
  <c r="N593" i="1" s="1"/>
  <c r="L594" i="1"/>
  <c r="N594" i="1" s="1"/>
  <c r="L595" i="1"/>
  <c r="N595" i="1" s="1"/>
  <c r="L596" i="1"/>
  <c r="N596" i="1" s="1"/>
  <c r="L597" i="1"/>
  <c r="N597" i="1" s="1"/>
  <c r="L598" i="1"/>
  <c r="N598" i="1" s="1"/>
  <c r="L599" i="1"/>
  <c r="N599" i="1" s="1"/>
  <c r="L600" i="1"/>
  <c r="N600" i="1" s="1"/>
  <c r="L601" i="1"/>
  <c r="N601" i="1" s="1"/>
  <c r="L602" i="1"/>
  <c r="N602" i="1" s="1"/>
  <c r="L603" i="1"/>
  <c r="N603" i="1" s="1"/>
  <c r="L604" i="1"/>
  <c r="N604" i="1" s="1"/>
  <c r="L605" i="1"/>
  <c r="N605" i="1" s="1"/>
  <c r="L606" i="1"/>
  <c r="N606" i="1" s="1"/>
  <c r="L607" i="1"/>
  <c r="N607" i="1" s="1"/>
  <c r="L608" i="1"/>
  <c r="N608" i="1" s="1"/>
  <c r="L609" i="1"/>
  <c r="N609" i="1" s="1"/>
  <c r="L610" i="1"/>
  <c r="N610" i="1" s="1"/>
  <c r="L611" i="1"/>
  <c r="N611" i="1" s="1"/>
  <c r="L612" i="1"/>
  <c r="N612" i="1" s="1"/>
  <c r="L613" i="1"/>
  <c r="N613" i="1" s="1"/>
  <c r="L614" i="1"/>
  <c r="N614" i="1" s="1"/>
  <c r="L615" i="1"/>
  <c r="N615" i="1" s="1"/>
  <c r="L616" i="1"/>
  <c r="N616" i="1" s="1"/>
  <c r="L617" i="1"/>
  <c r="N617" i="1" s="1"/>
  <c r="L618" i="1"/>
  <c r="N618" i="1" s="1"/>
  <c r="L619" i="1"/>
  <c r="N619" i="1" s="1"/>
  <c r="L620" i="1"/>
  <c r="N620" i="1" s="1"/>
  <c r="L621" i="1"/>
  <c r="N621" i="1" s="1"/>
  <c r="L622" i="1"/>
  <c r="N622" i="1" s="1"/>
  <c r="L623" i="1"/>
  <c r="N623" i="1" s="1"/>
  <c r="L624" i="1"/>
  <c r="N624" i="1" s="1"/>
  <c r="L625" i="1"/>
  <c r="N625" i="1" s="1"/>
  <c r="L626" i="1"/>
  <c r="N626" i="1" s="1"/>
  <c r="L627" i="1"/>
  <c r="N627" i="1" s="1"/>
  <c r="L628" i="1"/>
  <c r="N628" i="1" s="1"/>
  <c r="L629" i="1"/>
  <c r="N629" i="1" s="1"/>
  <c r="L630" i="1"/>
  <c r="N630" i="1" s="1"/>
  <c r="L631" i="1"/>
  <c r="N631" i="1" s="1"/>
  <c r="L632" i="1"/>
  <c r="N632" i="1" s="1"/>
  <c r="L633" i="1"/>
  <c r="N633" i="1" s="1"/>
  <c r="L634" i="1"/>
  <c r="N634" i="1" s="1"/>
  <c r="L635" i="1"/>
  <c r="N635" i="1" s="1"/>
  <c r="L636" i="1"/>
  <c r="N636" i="1" s="1"/>
  <c r="L637" i="1"/>
  <c r="N637" i="1" s="1"/>
  <c r="L638" i="1"/>
  <c r="N638" i="1" s="1"/>
  <c r="L639" i="1"/>
  <c r="N639" i="1" s="1"/>
  <c r="L640" i="1"/>
  <c r="N640" i="1" s="1"/>
  <c r="L641" i="1"/>
  <c r="N641" i="1" s="1"/>
  <c r="L642" i="1"/>
  <c r="N642" i="1" s="1"/>
  <c r="L643" i="1"/>
  <c r="N643" i="1" s="1"/>
  <c r="L644" i="1"/>
  <c r="N644" i="1" s="1"/>
  <c r="L645" i="1"/>
  <c r="N645" i="1" s="1"/>
  <c r="L646" i="1"/>
  <c r="N646" i="1" s="1"/>
  <c r="L647" i="1"/>
  <c r="N647" i="1" s="1"/>
  <c r="L648" i="1"/>
  <c r="N648" i="1" s="1"/>
  <c r="L649" i="1"/>
  <c r="N649" i="1" s="1"/>
  <c r="L650" i="1"/>
  <c r="N650" i="1" s="1"/>
  <c r="L651" i="1"/>
  <c r="N651" i="1" s="1"/>
  <c r="L652" i="1"/>
  <c r="N652" i="1" s="1"/>
  <c r="L653" i="1"/>
  <c r="N653" i="1" s="1"/>
  <c r="L654" i="1"/>
  <c r="N654" i="1" s="1"/>
  <c r="L655" i="1"/>
  <c r="N655" i="1" s="1"/>
  <c r="L656" i="1"/>
  <c r="N656" i="1" s="1"/>
  <c r="L657" i="1"/>
  <c r="N657" i="1" s="1"/>
  <c r="L658" i="1"/>
  <c r="N658" i="1" s="1"/>
  <c r="L659" i="1"/>
  <c r="N659" i="1" s="1"/>
  <c r="L660" i="1"/>
  <c r="N660" i="1" s="1"/>
  <c r="L661" i="1"/>
  <c r="N661" i="1" s="1"/>
  <c r="L663" i="1"/>
  <c r="N663" i="1" s="1"/>
  <c r="L664" i="1"/>
  <c r="N664" i="1" s="1"/>
  <c r="L665" i="1"/>
  <c r="N665" i="1" s="1"/>
  <c r="L666" i="1"/>
  <c r="N666" i="1" s="1"/>
  <c r="L667" i="1"/>
  <c r="N667" i="1" s="1"/>
  <c r="L668" i="1"/>
  <c r="N668" i="1" s="1"/>
  <c r="L669" i="1"/>
  <c r="N669" i="1" s="1"/>
  <c r="L670" i="1"/>
  <c r="N670" i="1" s="1"/>
  <c r="L671" i="1"/>
  <c r="N671" i="1" s="1"/>
  <c r="L672" i="1"/>
  <c r="N672" i="1" s="1"/>
  <c r="L673" i="1"/>
  <c r="N673" i="1" s="1"/>
  <c r="L674" i="1"/>
  <c r="N674" i="1" s="1"/>
  <c r="L675" i="1"/>
  <c r="N675" i="1" s="1"/>
  <c r="L676" i="1"/>
  <c r="N676" i="1" s="1"/>
  <c r="L677" i="1"/>
  <c r="N677" i="1" s="1"/>
  <c r="L678" i="1"/>
  <c r="N678" i="1" s="1"/>
  <c r="L679" i="1"/>
  <c r="N679" i="1" s="1"/>
  <c r="L680" i="1"/>
  <c r="N680" i="1" s="1"/>
  <c r="L681" i="1"/>
  <c r="N681" i="1" s="1"/>
  <c r="L682" i="1"/>
  <c r="N682" i="1" s="1"/>
  <c r="L683" i="1"/>
  <c r="N683" i="1" s="1"/>
  <c r="L684" i="1"/>
  <c r="N684" i="1" s="1"/>
  <c r="L685" i="1"/>
  <c r="N685" i="1" s="1"/>
  <c r="L687" i="1"/>
  <c r="N687" i="1" s="1"/>
  <c r="L688" i="1"/>
  <c r="N688" i="1" s="1"/>
  <c r="L689" i="1"/>
  <c r="N689" i="1" s="1"/>
  <c r="L690" i="1"/>
  <c r="N690" i="1" s="1"/>
  <c r="L691" i="1"/>
  <c r="N691" i="1" s="1"/>
  <c r="L692" i="1"/>
  <c r="N692" i="1" s="1"/>
  <c r="L693" i="1"/>
  <c r="N693" i="1" s="1"/>
  <c r="L694" i="1"/>
  <c r="N694" i="1" s="1"/>
  <c r="L695" i="1"/>
  <c r="N695" i="1" s="1"/>
  <c r="L696" i="1"/>
  <c r="N696" i="1" s="1"/>
  <c r="L697" i="1"/>
  <c r="N697" i="1" s="1"/>
  <c r="L698" i="1"/>
  <c r="N698" i="1" s="1"/>
  <c r="L699" i="1"/>
  <c r="N699" i="1" s="1"/>
  <c r="L700" i="1"/>
  <c r="N700" i="1" s="1"/>
  <c r="L701" i="1"/>
  <c r="N701" i="1" s="1"/>
  <c r="L702" i="1"/>
  <c r="N702" i="1" s="1"/>
  <c r="L703" i="1"/>
  <c r="N703" i="1" s="1"/>
  <c r="L704" i="1"/>
  <c r="N704" i="1" s="1"/>
  <c r="L705" i="1"/>
  <c r="N705" i="1" s="1"/>
  <c r="L706" i="1"/>
  <c r="N706" i="1" s="1"/>
  <c r="L707" i="1"/>
  <c r="N707" i="1" s="1"/>
  <c r="L708" i="1"/>
  <c r="N708" i="1" s="1"/>
  <c r="L709" i="1"/>
  <c r="N709" i="1" s="1"/>
  <c r="L710" i="1"/>
  <c r="N710" i="1" s="1"/>
  <c r="L711" i="1"/>
  <c r="N711" i="1" s="1"/>
  <c r="L712" i="1"/>
  <c r="N712" i="1" s="1"/>
  <c r="L713" i="1"/>
  <c r="N713" i="1" s="1"/>
  <c r="L714" i="1"/>
  <c r="N714" i="1" s="1"/>
  <c r="L715" i="1"/>
  <c r="N715" i="1" s="1"/>
  <c r="L716" i="1"/>
  <c r="N716" i="1" s="1"/>
  <c r="L909" i="1"/>
  <c r="N909" i="1" s="1"/>
  <c r="L910" i="1"/>
  <c r="N910" i="1" s="1"/>
  <c r="L911" i="1"/>
  <c r="N911" i="1" s="1"/>
  <c r="L912" i="1"/>
  <c r="N912" i="1" s="1"/>
  <c r="L913" i="1"/>
  <c r="N913" i="1" s="1"/>
  <c r="L914" i="1"/>
  <c r="N914" i="1" s="1"/>
  <c r="L915" i="1"/>
  <c r="N915" i="1" s="1"/>
  <c r="L916" i="1"/>
  <c r="N916" i="1" s="1"/>
  <c r="L917" i="1"/>
  <c r="N917" i="1" s="1"/>
  <c r="L918" i="1"/>
  <c r="N918" i="1" s="1"/>
  <c r="L919" i="1"/>
  <c r="N919" i="1" s="1"/>
  <c r="L920" i="1"/>
  <c r="N920" i="1" s="1"/>
  <c r="L921" i="1"/>
  <c r="N921" i="1" s="1"/>
  <c r="L922" i="1"/>
  <c r="N922" i="1" s="1"/>
  <c r="L923" i="1"/>
  <c r="N923" i="1" s="1"/>
  <c r="L924" i="1"/>
  <c r="N924" i="1" s="1"/>
  <c r="L925" i="1"/>
  <c r="N925" i="1" s="1"/>
  <c r="L926" i="1"/>
  <c r="N926" i="1" s="1"/>
  <c r="L927" i="1"/>
  <c r="N927" i="1" s="1"/>
  <c r="L928" i="1"/>
  <c r="N928" i="1" s="1"/>
  <c r="L929" i="1"/>
  <c r="N929" i="1" s="1"/>
  <c r="L930" i="1"/>
  <c r="N930" i="1" s="1"/>
  <c r="L931" i="1"/>
  <c r="N931" i="1" s="1"/>
  <c r="L932" i="1"/>
  <c r="N932" i="1" s="1"/>
  <c r="L933" i="1"/>
  <c r="N933" i="1" s="1"/>
  <c r="L934" i="1"/>
  <c r="N934" i="1" s="1"/>
  <c r="L935" i="1"/>
  <c r="N935" i="1" s="1"/>
  <c r="L936" i="1"/>
  <c r="N936" i="1" s="1"/>
  <c r="L937" i="1"/>
  <c r="N937" i="1" s="1"/>
  <c r="L938" i="1"/>
  <c r="N938" i="1" s="1"/>
  <c r="L939" i="1"/>
  <c r="N939" i="1" s="1"/>
  <c r="L940" i="1"/>
  <c r="N940" i="1" s="1"/>
  <c r="L941" i="1"/>
  <c r="N941" i="1" s="1"/>
  <c r="L942" i="1"/>
  <c r="N942" i="1" s="1"/>
  <c r="L943" i="1"/>
  <c r="N943" i="1" s="1"/>
  <c r="L944" i="1"/>
  <c r="N944" i="1" s="1"/>
  <c r="L945" i="1"/>
  <c r="N945" i="1" s="1"/>
  <c r="L946" i="1"/>
  <c r="N946" i="1" s="1"/>
  <c r="L947" i="1"/>
  <c r="N947" i="1" s="1"/>
  <c r="L948" i="1"/>
  <c r="N948" i="1" s="1"/>
  <c r="L949" i="1"/>
  <c r="N949" i="1" s="1"/>
  <c r="L950" i="1"/>
  <c r="N950" i="1" s="1"/>
  <c r="L951" i="1"/>
  <c r="N951" i="1" s="1"/>
  <c r="L952" i="1"/>
  <c r="N952" i="1" s="1"/>
  <c r="L953" i="1"/>
  <c r="N953" i="1" s="1"/>
  <c r="L954" i="1"/>
  <c r="N954" i="1" s="1"/>
  <c r="L955" i="1"/>
  <c r="N955" i="1" s="1"/>
  <c r="L956" i="1"/>
  <c r="N956" i="1" s="1"/>
  <c r="L957" i="1"/>
  <c r="N957" i="1" s="1"/>
  <c r="L958" i="1"/>
  <c r="N958" i="1" s="1"/>
  <c r="L959" i="1"/>
  <c r="N959" i="1" s="1"/>
  <c r="L960" i="1"/>
  <c r="N960" i="1" s="1"/>
  <c r="L961" i="1"/>
  <c r="N961" i="1" s="1"/>
  <c r="L962" i="1"/>
  <c r="N962" i="1" s="1"/>
  <c r="L963" i="1"/>
  <c r="N963" i="1" s="1"/>
  <c r="L964" i="1"/>
  <c r="N964" i="1" s="1"/>
  <c r="L965" i="1"/>
  <c r="N965" i="1" s="1"/>
  <c r="L966" i="1"/>
  <c r="N966" i="1" s="1"/>
  <c r="L967" i="1"/>
  <c r="N967" i="1" s="1"/>
  <c r="L968" i="1"/>
  <c r="N968" i="1" s="1"/>
  <c r="L969" i="1"/>
  <c r="N969" i="1" s="1"/>
  <c r="L970" i="1"/>
  <c r="N970" i="1" s="1"/>
  <c r="L971" i="1"/>
  <c r="N971" i="1" s="1"/>
  <c r="L972" i="1"/>
  <c r="N972" i="1" s="1"/>
  <c r="L973" i="1"/>
  <c r="N973" i="1" s="1"/>
  <c r="L974" i="1"/>
  <c r="N974" i="1" s="1"/>
  <c r="L975" i="1"/>
  <c r="N975" i="1" s="1"/>
  <c r="L976" i="1"/>
  <c r="N976" i="1" s="1"/>
  <c r="L977" i="1"/>
  <c r="N977" i="1" s="1"/>
  <c r="L978" i="1"/>
  <c r="N978" i="1" s="1"/>
  <c r="L979" i="1"/>
  <c r="N979" i="1" s="1"/>
  <c r="L980" i="1"/>
  <c r="N980" i="1" s="1"/>
  <c r="L981" i="1"/>
  <c r="N981" i="1" s="1"/>
  <c r="L982" i="1"/>
  <c r="N982" i="1" s="1"/>
  <c r="L983" i="1"/>
  <c r="N983" i="1" s="1"/>
  <c r="L984" i="1"/>
  <c r="N984" i="1" s="1"/>
  <c r="L985" i="1"/>
  <c r="N985" i="1" s="1"/>
  <c r="L986" i="1"/>
  <c r="N986" i="1" s="1"/>
  <c r="L987" i="1"/>
  <c r="N987" i="1" s="1"/>
  <c r="L988" i="1"/>
  <c r="N988" i="1" s="1"/>
  <c r="L989" i="1"/>
  <c r="N989" i="1" s="1"/>
  <c r="L990" i="1"/>
  <c r="N990" i="1" s="1"/>
  <c r="L991" i="1"/>
  <c r="N991" i="1" s="1"/>
  <c r="L992" i="1"/>
  <c r="N992" i="1" s="1"/>
  <c r="L993" i="1"/>
  <c r="N993" i="1" s="1"/>
  <c r="L994" i="1"/>
  <c r="N994" i="1" s="1"/>
  <c r="L995" i="1"/>
  <c r="N995" i="1" s="1"/>
  <c r="L996" i="1"/>
  <c r="N996" i="1" s="1"/>
  <c r="L997" i="1"/>
  <c r="N997" i="1" s="1"/>
  <c r="L998" i="1"/>
  <c r="N998" i="1" s="1"/>
  <c r="L1003" i="1"/>
  <c r="N1003" i="1" s="1"/>
  <c r="L1004" i="1"/>
  <c r="N1004" i="1" s="1"/>
  <c r="L1005" i="1"/>
  <c r="N1005" i="1" s="1"/>
  <c r="L1006" i="1"/>
  <c r="N1006" i="1" s="1"/>
  <c r="L1007" i="1"/>
  <c r="N1007" i="1" s="1"/>
  <c r="L1008" i="1"/>
  <c r="N1008" i="1" s="1"/>
  <c r="L1009" i="1"/>
  <c r="N1009" i="1" s="1"/>
  <c r="L1010" i="1"/>
  <c r="N1010" i="1" s="1"/>
  <c r="L1011" i="1"/>
  <c r="N1011" i="1" s="1"/>
  <c r="L1012" i="1"/>
  <c r="N1012" i="1" s="1"/>
  <c r="L1013" i="1"/>
  <c r="N1013" i="1" s="1"/>
  <c r="L1014" i="1"/>
  <c r="N1014" i="1" s="1"/>
  <c r="L1015" i="1"/>
  <c r="N1015" i="1" s="1"/>
  <c r="L1016" i="1"/>
  <c r="N1016" i="1" s="1"/>
  <c r="L1017" i="1"/>
  <c r="N1017" i="1" s="1"/>
  <c r="L1018" i="1"/>
  <c r="N1018" i="1" s="1"/>
  <c r="L1019" i="1"/>
  <c r="N1019" i="1" s="1"/>
  <c r="L1020" i="1"/>
  <c r="N1020" i="1" s="1"/>
  <c r="L1021" i="1"/>
  <c r="N1021" i="1" s="1"/>
  <c r="L1022" i="1"/>
  <c r="N1022" i="1" s="1"/>
  <c r="L1023" i="1"/>
  <c r="N1023" i="1" s="1"/>
  <c r="L1024" i="1"/>
  <c r="N1024" i="1" s="1"/>
  <c r="L1025" i="1"/>
  <c r="N1025" i="1" s="1"/>
  <c r="L1026" i="1"/>
  <c r="N1026" i="1" s="1"/>
  <c r="L1027" i="1"/>
  <c r="N1027" i="1" s="1"/>
  <c r="L1028" i="1"/>
  <c r="N1028" i="1" s="1"/>
  <c r="L1029" i="1"/>
  <c r="N1029" i="1" s="1"/>
  <c r="L1030" i="1"/>
  <c r="N1030" i="1" s="1"/>
  <c r="L1031" i="1"/>
  <c r="N1031" i="1" s="1"/>
  <c r="L1032" i="1"/>
  <c r="N1032" i="1" s="1"/>
  <c r="L1033" i="1"/>
  <c r="N1033" i="1" s="1"/>
  <c r="L1034" i="1"/>
  <c r="N1034" i="1" s="1"/>
  <c r="L1035" i="1"/>
  <c r="N1035" i="1" s="1"/>
  <c r="L1036" i="1"/>
  <c r="N1036" i="1" s="1"/>
  <c r="L1037" i="1"/>
  <c r="N1037" i="1" s="1"/>
  <c r="L1038" i="1"/>
  <c r="N1038" i="1" s="1"/>
  <c r="L1039" i="1"/>
  <c r="N1039" i="1" s="1"/>
  <c r="L1040" i="1"/>
  <c r="N1040" i="1" s="1"/>
  <c r="L1041" i="1"/>
  <c r="N1041" i="1" s="1"/>
  <c r="L1042" i="1"/>
  <c r="N1042" i="1" s="1"/>
  <c r="L1043" i="1"/>
  <c r="N1043" i="1" s="1"/>
  <c r="L1044" i="1"/>
  <c r="N1044" i="1" s="1"/>
  <c r="L1045" i="1"/>
  <c r="N1045" i="1" s="1"/>
  <c r="L1046" i="1"/>
  <c r="N1046" i="1" s="1"/>
  <c r="L1047" i="1"/>
  <c r="N1047" i="1" s="1"/>
  <c r="L1048" i="1"/>
  <c r="N1048" i="1" s="1"/>
  <c r="L1049" i="1"/>
  <c r="N1049" i="1" s="1"/>
  <c r="L1050" i="1"/>
  <c r="N1050" i="1" s="1"/>
  <c r="L1051" i="1"/>
  <c r="N1051" i="1" s="1"/>
  <c r="L1052" i="1"/>
  <c r="N1052" i="1" s="1"/>
  <c r="L1053" i="1"/>
  <c r="N1053" i="1" s="1"/>
  <c r="L1054" i="1"/>
  <c r="N1054" i="1" s="1"/>
  <c r="L1055" i="1"/>
  <c r="N1055" i="1" s="1"/>
  <c r="L1056" i="1"/>
  <c r="N1056" i="1" s="1"/>
  <c r="L1057" i="1"/>
  <c r="N1057" i="1" s="1"/>
  <c r="L1058" i="1"/>
  <c r="N1058" i="1" s="1"/>
  <c r="L1059" i="1"/>
  <c r="N1059" i="1" s="1"/>
  <c r="L1060" i="1"/>
  <c r="N1060" i="1" s="1"/>
  <c r="L1061" i="1"/>
  <c r="N1061" i="1" s="1"/>
  <c r="L1062" i="1"/>
  <c r="N1062" i="1" s="1"/>
  <c r="L1063" i="1"/>
  <c r="N1063" i="1" s="1"/>
  <c r="L1064" i="1"/>
  <c r="N1064" i="1" s="1"/>
  <c r="L1065" i="1"/>
  <c r="N1065" i="1" s="1"/>
  <c r="L1066" i="1"/>
  <c r="N1066" i="1" s="1"/>
  <c r="L1067" i="1"/>
  <c r="N1067" i="1" s="1"/>
  <c r="L1068" i="1"/>
  <c r="N1068" i="1" s="1"/>
  <c r="L1069" i="1"/>
  <c r="N1069" i="1" s="1"/>
  <c r="L1070" i="1"/>
  <c r="N1070" i="1" s="1"/>
  <c r="L1071" i="1"/>
  <c r="N1071" i="1" s="1"/>
  <c r="L1072" i="1"/>
  <c r="N1072" i="1" s="1"/>
  <c r="L1073" i="1"/>
  <c r="N1073" i="1" s="1"/>
  <c r="L1074" i="1"/>
  <c r="N1074" i="1" s="1"/>
  <c r="L1075" i="1"/>
  <c r="N1075" i="1" s="1"/>
  <c r="L1076" i="1"/>
  <c r="N1076" i="1" s="1"/>
  <c r="L1077" i="1"/>
  <c r="N1077" i="1" s="1"/>
  <c r="L1078" i="1"/>
  <c r="N1078" i="1" s="1"/>
  <c r="L1079" i="1"/>
  <c r="N1079" i="1" s="1"/>
  <c r="L1080" i="1"/>
  <c r="N1080" i="1" s="1"/>
  <c r="L1081" i="1"/>
  <c r="N1081" i="1" s="1"/>
  <c r="L1082" i="1"/>
  <c r="N1082" i="1" s="1"/>
  <c r="L1083" i="1"/>
  <c r="N1083" i="1" s="1"/>
  <c r="L1084" i="1"/>
  <c r="N1084" i="1" s="1"/>
  <c r="L1085" i="1"/>
  <c r="N1085" i="1" s="1"/>
  <c r="L1086" i="1"/>
  <c r="N1086" i="1" s="1"/>
  <c r="L1087" i="1"/>
  <c r="N1087" i="1" s="1"/>
  <c r="L1088" i="1"/>
  <c r="N1088" i="1" s="1"/>
  <c r="L1089" i="1"/>
  <c r="N1089" i="1" s="1"/>
  <c r="L1090" i="1"/>
  <c r="N1090" i="1" s="1"/>
  <c r="L1091" i="1"/>
  <c r="N1091" i="1" s="1"/>
  <c r="L1092" i="1"/>
  <c r="N1092" i="1" s="1"/>
  <c r="L1093" i="1"/>
  <c r="N1093" i="1" s="1"/>
  <c r="L1094" i="1"/>
  <c r="N1094" i="1" s="1"/>
  <c r="L1095" i="1"/>
  <c r="N1095" i="1" s="1"/>
  <c r="L1096" i="1"/>
  <c r="N1096" i="1" s="1"/>
  <c r="L1097" i="1"/>
  <c r="N1097" i="1" s="1"/>
  <c r="L1098" i="1"/>
  <c r="N1098" i="1" s="1"/>
  <c r="L1099" i="1"/>
  <c r="N1099" i="1" s="1"/>
  <c r="L1100" i="1"/>
  <c r="N1100" i="1" s="1"/>
  <c r="L1101" i="1"/>
  <c r="N1101" i="1" s="1"/>
  <c r="L1102" i="1"/>
  <c r="N1102" i="1" s="1"/>
  <c r="L1103" i="1"/>
  <c r="N1103" i="1" s="1"/>
  <c r="L1104" i="1"/>
  <c r="N1104" i="1" s="1"/>
  <c r="L1105" i="1"/>
  <c r="N1105" i="1" s="1"/>
  <c r="L1106" i="1"/>
  <c r="N1106" i="1" s="1"/>
  <c r="L1107" i="1"/>
  <c r="N1107" i="1" s="1"/>
  <c r="L1108" i="1"/>
  <c r="N1108" i="1" s="1"/>
  <c r="L1109" i="1"/>
  <c r="N1109" i="1" s="1"/>
  <c r="L1110" i="1"/>
  <c r="N1110" i="1" s="1"/>
  <c r="L1111" i="1"/>
  <c r="N1111" i="1" s="1"/>
  <c r="L1112" i="1"/>
  <c r="N1112" i="1" s="1"/>
  <c r="L1113" i="1"/>
  <c r="N1113" i="1" s="1"/>
  <c r="L1114" i="1"/>
  <c r="N1114" i="1" s="1"/>
  <c r="L1115" i="1"/>
  <c r="N1115" i="1" s="1"/>
  <c r="L1116" i="1"/>
  <c r="N1116" i="1" s="1"/>
  <c r="L1117" i="1"/>
  <c r="N1117" i="1" s="1"/>
  <c r="L1118" i="1"/>
  <c r="N1118" i="1" s="1"/>
  <c r="L1119" i="1"/>
  <c r="N1119" i="1" s="1"/>
  <c r="L1120" i="1"/>
  <c r="N1120" i="1" s="1"/>
  <c r="L1121" i="1"/>
  <c r="N1121" i="1" s="1"/>
  <c r="L1122" i="1"/>
  <c r="N1122" i="1" s="1"/>
  <c r="L1123" i="1"/>
  <c r="N1123" i="1" s="1"/>
  <c r="L1124" i="1"/>
  <c r="N1124" i="1" s="1"/>
  <c r="L1125" i="1"/>
  <c r="N1125" i="1" s="1"/>
  <c r="L1126" i="1"/>
  <c r="N1126" i="1" s="1"/>
  <c r="L1127" i="1"/>
  <c r="N1127" i="1" s="1"/>
  <c r="L1128" i="1"/>
  <c r="N1128" i="1" s="1"/>
  <c r="L1129" i="1"/>
  <c r="N1129" i="1" s="1"/>
  <c r="L1130" i="1"/>
  <c r="N1130" i="1" s="1"/>
  <c r="L1131" i="1"/>
  <c r="N1131" i="1" s="1"/>
  <c r="L1132" i="1"/>
  <c r="N1132" i="1" s="1"/>
  <c r="L1133" i="1"/>
  <c r="N1133" i="1" s="1"/>
  <c r="L1134" i="1"/>
  <c r="N1134" i="1" s="1"/>
  <c r="L1135" i="1"/>
  <c r="N1135" i="1" s="1"/>
  <c r="L1136" i="1"/>
  <c r="N1136" i="1" s="1"/>
  <c r="L1137" i="1"/>
  <c r="N1137" i="1" s="1"/>
  <c r="L1138" i="1"/>
  <c r="N1138" i="1" s="1"/>
  <c r="L1139" i="1"/>
  <c r="N1139" i="1" s="1"/>
  <c r="L1140" i="1"/>
  <c r="N1140" i="1" s="1"/>
  <c r="L1141" i="1"/>
  <c r="N1141" i="1" s="1"/>
  <c r="L1142" i="1"/>
  <c r="N1142" i="1" s="1"/>
  <c r="L1146" i="1"/>
  <c r="N1146" i="1" s="1"/>
  <c r="L1147" i="1"/>
  <c r="N1147" i="1" s="1"/>
  <c r="L1148" i="1"/>
  <c r="N1148" i="1" s="1"/>
  <c r="L1149" i="1"/>
  <c r="N1149" i="1" s="1"/>
  <c r="L1150" i="1"/>
  <c r="N1150" i="1" s="1"/>
  <c r="L1151" i="1"/>
  <c r="N1151" i="1" s="1"/>
  <c r="L1152" i="1"/>
  <c r="N1152" i="1" s="1"/>
  <c r="L1153" i="1"/>
  <c r="N1153" i="1" s="1"/>
  <c r="L1154" i="1"/>
  <c r="N1154" i="1" s="1"/>
  <c r="L1155" i="1"/>
  <c r="N1155" i="1" s="1"/>
  <c r="L1156" i="1"/>
  <c r="N1156" i="1" s="1"/>
  <c r="L1157" i="1"/>
  <c r="N1157" i="1" s="1"/>
  <c r="L1158" i="1"/>
  <c r="N1158" i="1" s="1"/>
  <c r="L1159" i="1"/>
  <c r="N1159" i="1" s="1"/>
  <c r="L1160" i="1"/>
  <c r="N1160" i="1" s="1"/>
  <c r="L1161" i="1"/>
  <c r="N1161" i="1" s="1"/>
  <c r="L1162" i="1"/>
  <c r="N1162" i="1" s="1"/>
  <c r="L1163" i="1"/>
  <c r="N1163" i="1" s="1"/>
  <c r="L1164" i="1"/>
  <c r="N1164" i="1" s="1"/>
  <c r="L1165" i="1"/>
  <c r="N1165" i="1" s="1"/>
  <c r="L1166" i="1"/>
  <c r="N1166" i="1" s="1"/>
  <c r="L1167" i="1"/>
  <c r="N1167" i="1" s="1"/>
  <c r="L1168" i="1"/>
  <c r="N1168" i="1" s="1"/>
  <c r="L1169" i="1"/>
  <c r="N1169" i="1" s="1"/>
  <c r="L1170" i="1"/>
  <c r="N1170" i="1" s="1"/>
  <c r="L1171" i="1"/>
  <c r="N1171" i="1" s="1"/>
  <c r="L1172" i="1"/>
  <c r="N1172" i="1" s="1"/>
  <c r="L1173" i="1"/>
  <c r="N1173" i="1" s="1"/>
  <c r="L1174" i="1"/>
  <c r="N1174" i="1" s="1"/>
  <c r="L1175" i="1"/>
  <c r="N1175" i="1" s="1"/>
  <c r="L1176" i="1"/>
  <c r="N1176" i="1" s="1"/>
  <c r="L1177" i="1"/>
  <c r="N1177" i="1" s="1"/>
  <c r="L1178" i="1"/>
  <c r="N1178" i="1" s="1"/>
  <c r="L1179" i="1"/>
  <c r="N1179" i="1" s="1"/>
  <c r="L1180" i="1"/>
  <c r="N1180" i="1" s="1"/>
  <c r="L1181" i="1"/>
  <c r="N1181" i="1" s="1"/>
  <c r="L1182" i="1"/>
  <c r="N1182" i="1" s="1"/>
  <c r="L1183" i="1"/>
  <c r="N1183" i="1" s="1"/>
  <c r="L1184" i="1"/>
  <c r="N1184" i="1" s="1"/>
  <c r="L1185" i="1"/>
  <c r="N1185" i="1" s="1"/>
  <c r="L1186" i="1"/>
  <c r="N1186" i="1" s="1"/>
  <c r="L1266" i="1"/>
  <c r="N1266" i="1" s="1"/>
  <c r="L1267" i="1"/>
  <c r="N1267" i="1" s="1"/>
  <c r="L1268" i="1"/>
  <c r="N1268" i="1" s="1"/>
  <c r="L1269" i="1"/>
  <c r="N1269" i="1" s="1"/>
  <c r="L1270" i="1"/>
  <c r="N1270" i="1" s="1"/>
  <c r="L1271" i="1"/>
  <c r="N1271" i="1" s="1"/>
  <c r="L1272" i="1"/>
  <c r="N1272" i="1" s="1"/>
  <c r="L1273" i="1"/>
  <c r="N1273" i="1" s="1"/>
  <c r="L1274" i="1"/>
  <c r="N1274" i="1" s="1"/>
  <c r="L1275" i="1"/>
  <c r="N1275" i="1" s="1"/>
  <c r="L1276" i="1"/>
  <c r="N1276" i="1" s="1"/>
  <c r="L1277" i="1"/>
  <c r="N1277" i="1" s="1"/>
  <c r="L1278" i="1"/>
  <c r="N1278" i="1" s="1"/>
  <c r="L1279" i="1"/>
  <c r="N1279" i="1" s="1"/>
  <c r="L1280" i="1"/>
  <c r="N1280" i="1" s="1"/>
  <c r="L1281" i="1"/>
  <c r="N1281" i="1" s="1"/>
  <c r="L1282" i="1"/>
  <c r="N1282" i="1" s="1"/>
  <c r="L1283" i="1"/>
  <c r="N1283" i="1" s="1"/>
  <c r="L1284" i="1"/>
  <c r="N1284" i="1" s="1"/>
  <c r="L1285" i="1"/>
  <c r="N1285" i="1" s="1"/>
  <c r="L1286" i="1"/>
  <c r="N1286" i="1" s="1"/>
  <c r="L1287" i="1"/>
  <c r="N1287" i="1" s="1"/>
  <c r="L1288" i="1"/>
  <c r="N1288" i="1" s="1"/>
  <c r="L1289" i="1"/>
  <c r="N1289" i="1" s="1"/>
  <c r="L1290" i="1"/>
  <c r="N1290" i="1" s="1"/>
  <c r="L1291" i="1"/>
  <c r="N1291" i="1" s="1"/>
  <c r="L1292" i="1"/>
  <c r="N1292" i="1" s="1"/>
  <c r="L1293" i="1"/>
  <c r="N1293" i="1" s="1"/>
  <c r="L1294" i="1"/>
  <c r="N1294" i="1" s="1"/>
  <c r="L1295" i="1"/>
  <c r="N1295" i="1" s="1"/>
  <c r="L1296" i="1"/>
  <c r="N1296" i="1" s="1"/>
  <c r="L1297" i="1"/>
  <c r="N1297" i="1" s="1"/>
  <c r="L1298" i="1"/>
  <c r="N1298" i="1" s="1"/>
  <c r="L1299" i="1"/>
  <c r="N1299" i="1" s="1"/>
  <c r="L1300" i="1"/>
  <c r="N1300" i="1" s="1"/>
  <c r="L1301" i="1"/>
  <c r="N1301" i="1" s="1"/>
  <c r="L1302" i="1"/>
  <c r="N1302" i="1" s="1"/>
  <c r="L1303" i="1"/>
  <c r="N1303" i="1" s="1"/>
  <c r="L1304" i="1"/>
  <c r="N1304" i="1" s="1"/>
  <c r="L1305" i="1"/>
  <c r="N1305" i="1" s="1"/>
  <c r="L1306" i="1"/>
  <c r="N1306" i="1" s="1"/>
  <c r="L1307" i="1"/>
  <c r="N1307" i="1" s="1"/>
  <c r="L1308" i="1"/>
  <c r="N1308" i="1" s="1"/>
  <c r="L1309" i="1"/>
  <c r="N1309" i="1" s="1"/>
  <c r="L1310" i="1"/>
  <c r="N1310" i="1" s="1"/>
  <c r="L1311" i="1"/>
  <c r="N1311" i="1" s="1"/>
  <c r="L1312" i="1"/>
  <c r="N1312" i="1" s="1"/>
  <c r="L1313" i="1"/>
  <c r="N1313" i="1" s="1"/>
  <c r="L1314" i="1"/>
  <c r="N1314" i="1" s="1"/>
  <c r="L1315" i="1"/>
  <c r="N1315" i="1" s="1"/>
  <c r="L1316" i="1"/>
  <c r="N1316" i="1" s="1"/>
  <c r="L1317" i="1"/>
  <c r="N1317" i="1" s="1"/>
  <c r="L1318" i="1"/>
  <c r="N1318" i="1" s="1"/>
  <c r="L1319" i="1"/>
  <c r="N1319" i="1" s="1"/>
  <c r="L1320" i="1"/>
  <c r="N1320" i="1" s="1"/>
  <c r="L1321" i="1"/>
  <c r="N1321" i="1" s="1"/>
  <c r="L1322" i="1"/>
  <c r="N1322" i="1" s="1"/>
  <c r="L1323" i="1"/>
  <c r="N1323" i="1" s="1"/>
  <c r="L1324" i="1"/>
  <c r="N1324" i="1" s="1"/>
  <c r="L1325" i="1"/>
  <c r="N1325" i="1" s="1"/>
  <c r="L1326" i="1"/>
  <c r="N1326" i="1" s="1"/>
  <c r="L1327" i="1"/>
  <c r="N1327" i="1" s="1"/>
  <c r="L1328" i="1"/>
  <c r="N1328" i="1" s="1"/>
  <c r="L1329" i="1"/>
  <c r="N1329" i="1" s="1"/>
  <c r="L1330" i="1"/>
  <c r="N1330" i="1" s="1"/>
  <c r="L1331" i="1"/>
  <c r="N1331" i="1" s="1"/>
  <c r="L1332" i="1"/>
  <c r="N1332" i="1" s="1"/>
  <c r="L1333" i="1"/>
  <c r="N1333" i="1" s="1"/>
  <c r="L1334" i="1"/>
  <c r="N1334" i="1" s="1"/>
  <c r="L1335" i="1"/>
  <c r="N1335" i="1" s="1"/>
  <c r="L1336" i="1"/>
  <c r="N1336" i="1" s="1"/>
  <c r="L1337" i="1"/>
  <c r="N1337" i="1" s="1"/>
  <c r="L1338" i="1"/>
  <c r="N1338" i="1" s="1"/>
  <c r="L1339" i="1"/>
  <c r="N1339" i="1" s="1"/>
  <c r="L1340" i="1"/>
  <c r="N1340" i="1" s="1"/>
  <c r="L1341" i="1"/>
  <c r="N1341" i="1" s="1"/>
  <c r="L1342" i="1"/>
  <c r="N1342" i="1" s="1"/>
  <c r="L1343" i="1"/>
  <c r="N1343" i="1" s="1"/>
  <c r="L1344" i="1"/>
  <c r="N1344" i="1" s="1"/>
  <c r="L1345" i="1"/>
  <c r="N1345" i="1" s="1"/>
  <c r="L1346" i="1"/>
  <c r="N1346" i="1" s="1"/>
  <c r="L1347" i="1"/>
  <c r="N1347" i="1" s="1"/>
  <c r="L1348" i="1"/>
  <c r="N1348" i="1" s="1"/>
  <c r="L1349" i="1"/>
  <c r="N1349" i="1" s="1"/>
  <c r="L1350" i="1"/>
  <c r="N1350" i="1" s="1"/>
  <c r="L1351" i="1"/>
  <c r="N1351" i="1" s="1"/>
  <c r="L1352" i="1"/>
  <c r="N1352" i="1" s="1"/>
  <c r="L1353" i="1"/>
  <c r="N1353" i="1" s="1"/>
  <c r="L1354" i="1"/>
  <c r="N1354" i="1" s="1"/>
  <c r="L1355" i="1"/>
  <c r="N1355" i="1" s="1"/>
  <c r="L1356" i="1"/>
  <c r="N1356" i="1" s="1"/>
  <c r="L1357" i="1"/>
  <c r="N1357" i="1" s="1"/>
  <c r="L1358" i="1"/>
  <c r="N1358" i="1" s="1"/>
  <c r="L1359" i="1"/>
  <c r="N1359" i="1" s="1"/>
  <c r="L1360" i="1"/>
  <c r="N1360" i="1" s="1"/>
  <c r="L1361" i="1"/>
  <c r="N1361" i="1" s="1"/>
  <c r="L1362" i="1"/>
  <c r="N1362" i="1" s="1"/>
  <c r="L1363" i="1"/>
  <c r="N1363" i="1" s="1"/>
  <c r="L1364" i="1"/>
  <c r="N1364" i="1" s="1"/>
  <c r="L1365" i="1"/>
  <c r="N1365" i="1" s="1"/>
  <c r="L1366" i="1"/>
  <c r="N1366" i="1" s="1"/>
  <c r="L1367" i="1"/>
  <c r="N1367" i="1" s="1"/>
  <c r="L1368" i="1"/>
  <c r="N1368" i="1" s="1"/>
  <c r="L1369" i="1"/>
  <c r="N1369" i="1" s="1"/>
  <c r="L1370" i="1"/>
  <c r="N1370" i="1" s="1"/>
  <c r="L1371" i="1"/>
  <c r="N1371" i="1" s="1"/>
  <c r="L1372" i="1"/>
  <c r="N1372" i="1" s="1"/>
  <c r="L1373" i="1"/>
  <c r="N1373" i="1" s="1"/>
  <c r="L1374" i="1"/>
  <c r="N1374" i="1" s="1"/>
  <c r="L1375" i="1"/>
  <c r="N1375" i="1" s="1"/>
  <c r="L1376" i="1"/>
  <c r="N1376" i="1" s="1"/>
  <c r="L1377" i="1"/>
  <c r="N1377" i="1" s="1"/>
  <c r="L1378" i="1"/>
  <c r="N1378" i="1" s="1"/>
  <c r="L1379" i="1"/>
  <c r="N1379" i="1" s="1"/>
  <c r="L1380" i="1"/>
  <c r="N1380" i="1" s="1"/>
  <c r="L1381" i="1"/>
  <c r="N1381" i="1" s="1"/>
  <c r="L1382" i="1"/>
  <c r="N1382" i="1" s="1"/>
  <c r="L1383" i="1"/>
  <c r="N1383" i="1" s="1"/>
  <c r="L1384" i="1"/>
  <c r="N1384" i="1" s="1"/>
  <c r="L1385" i="1"/>
  <c r="N1385" i="1" s="1"/>
  <c r="L1386" i="1"/>
  <c r="N1386" i="1" s="1"/>
  <c r="L1387" i="1"/>
  <c r="N1387" i="1" s="1"/>
  <c r="L1388" i="1"/>
  <c r="N1388" i="1" s="1"/>
  <c r="L1389" i="1"/>
  <c r="N1389" i="1" s="1"/>
  <c r="L1390" i="1"/>
  <c r="N1390" i="1" s="1"/>
  <c r="L1391" i="1"/>
  <c r="N1391" i="1" s="1"/>
  <c r="L1392" i="1"/>
  <c r="N1392" i="1" s="1"/>
  <c r="L1393" i="1"/>
  <c r="N1393" i="1" s="1"/>
  <c r="L1394" i="1"/>
  <c r="N1394" i="1" s="1"/>
  <c r="L1395" i="1"/>
  <c r="N1395" i="1" s="1"/>
  <c r="L1396" i="1"/>
  <c r="N1396" i="1" s="1"/>
  <c r="L1397" i="1"/>
  <c r="N1397" i="1" s="1"/>
  <c r="L1398" i="1"/>
  <c r="N1398" i="1" s="1"/>
  <c r="L1399" i="1"/>
  <c r="N1399" i="1" s="1"/>
  <c r="L1402" i="1"/>
  <c r="N1402" i="1" s="1"/>
  <c r="L1403" i="1"/>
  <c r="N1403" i="1" s="1"/>
  <c r="L1404" i="1"/>
  <c r="N1404" i="1" s="1"/>
  <c r="L1405" i="1"/>
  <c r="N1405" i="1" s="1"/>
  <c r="L1406" i="1"/>
  <c r="N1406" i="1" s="1"/>
  <c r="L1407" i="1"/>
  <c r="N1407" i="1" s="1"/>
  <c r="L1408" i="1"/>
  <c r="N1408" i="1" s="1"/>
  <c r="L1409" i="1"/>
  <c r="N1409" i="1" s="1"/>
  <c r="L1410" i="1"/>
  <c r="N1410" i="1" s="1"/>
  <c r="L1411" i="1"/>
  <c r="N1411" i="1" s="1"/>
  <c r="L1412" i="1"/>
  <c r="N1412" i="1" s="1"/>
  <c r="L1413" i="1"/>
  <c r="N1413" i="1" s="1"/>
  <c r="L1414" i="1"/>
  <c r="N1414" i="1" s="1"/>
  <c r="L1415" i="1"/>
  <c r="N1415" i="1" s="1"/>
  <c r="L1416" i="1"/>
  <c r="N1416" i="1" s="1"/>
  <c r="L1417" i="1"/>
  <c r="N1417" i="1" s="1"/>
  <c r="L1418" i="1"/>
  <c r="N1418" i="1" s="1"/>
  <c r="L1419" i="1"/>
  <c r="N1419" i="1" s="1"/>
  <c r="L1420" i="1"/>
  <c r="N1420" i="1" s="1"/>
  <c r="L1421" i="1"/>
  <c r="N1421" i="1" s="1"/>
  <c r="L1422" i="1"/>
  <c r="N1422" i="1" s="1"/>
  <c r="L1423" i="1"/>
  <c r="N1423" i="1" s="1"/>
  <c r="L1424" i="1"/>
  <c r="N1424" i="1" s="1"/>
  <c r="L1425" i="1"/>
  <c r="N1425" i="1" s="1"/>
  <c r="L1426" i="1"/>
  <c r="N1426" i="1" s="1"/>
  <c r="L1427" i="1"/>
  <c r="N1427" i="1" s="1"/>
  <c r="L1428" i="1"/>
  <c r="N1428" i="1" s="1"/>
  <c r="L1429" i="1"/>
  <c r="N1429" i="1" s="1"/>
  <c r="L1430" i="1"/>
  <c r="N1430" i="1" s="1"/>
  <c r="L1431" i="1"/>
  <c r="N1431" i="1" s="1"/>
  <c r="L1432" i="1"/>
  <c r="N1432" i="1" s="1"/>
  <c r="L1433" i="1"/>
  <c r="N1433" i="1" s="1"/>
  <c r="L1434" i="1"/>
  <c r="N1434" i="1" s="1"/>
  <c r="L1435" i="1"/>
  <c r="N1435" i="1" s="1"/>
  <c r="L1436" i="1"/>
  <c r="N1436" i="1" s="1"/>
  <c r="L1437" i="1"/>
  <c r="N1437" i="1" s="1"/>
  <c r="L1438" i="1"/>
  <c r="N1438" i="1" s="1"/>
  <c r="L1439" i="1"/>
  <c r="N1439" i="1" s="1"/>
  <c r="L1440" i="1"/>
  <c r="N1440" i="1" s="1"/>
  <c r="L1441" i="1"/>
  <c r="N1441" i="1" s="1"/>
  <c r="L1442" i="1"/>
  <c r="N1442" i="1" s="1"/>
  <c r="L1443" i="1"/>
  <c r="N1443" i="1" s="1"/>
  <c r="L1444" i="1"/>
  <c r="N1444" i="1" s="1"/>
  <c r="L1445" i="1"/>
  <c r="N1445" i="1" s="1"/>
  <c r="L1446" i="1"/>
  <c r="N1446" i="1" s="1"/>
  <c r="L1447" i="1"/>
  <c r="N1447" i="1" s="1"/>
  <c r="L1448" i="1"/>
  <c r="N1448" i="1" s="1"/>
  <c r="L1449" i="1"/>
  <c r="N1449" i="1" s="1"/>
  <c r="L1450" i="1"/>
  <c r="N1450" i="1" s="1"/>
  <c r="L1451" i="1"/>
  <c r="N1451" i="1" s="1"/>
  <c r="L1452" i="1"/>
  <c r="N1452" i="1" s="1"/>
  <c r="L1453" i="1"/>
  <c r="N1453" i="1" s="1"/>
  <c r="L1454" i="1"/>
  <c r="N1454" i="1" s="1"/>
  <c r="L1455" i="1"/>
  <c r="N1455" i="1" s="1"/>
  <c r="L1456" i="1"/>
  <c r="N1456" i="1" s="1"/>
  <c r="L1457" i="1"/>
  <c r="N1457" i="1" s="1"/>
  <c r="L1458" i="1"/>
  <c r="N1458" i="1" s="1"/>
  <c r="L1459" i="1"/>
  <c r="N1459" i="1" s="1"/>
  <c r="O1437" i="1" l="1"/>
  <c r="O1454" i="1"/>
  <c r="O1448" i="1"/>
  <c r="O1440" i="1"/>
  <c r="O1433" i="1"/>
  <c r="O1447" i="1"/>
  <c r="O1439" i="1"/>
  <c r="O1431" i="1"/>
  <c r="O1423" i="1"/>
  <c r="O1415" i="1"/>
  <c r="O1407" i="1"/>
  <c r="O1445" i="1"/>
  <c r="O1430" i="1"/>
  <c r="O1406" i="1"/>
  <c r="O1414" i="1"/>
  <c r="O1409" i="1"/>
  <c r="O1416" i="1"/>
  <c r="O1459" i="1"/>
  <c r="O1405" i="1"/>
  <c r="O1438" i="1"/>
  <c r="O1413" i="1"/>
  <c r="O1417" i="1"/>
  <c r="O1456" i="1"/>
  <c r="O1458" i="1"/>
  <c r="O1443" i="1"/>
  <c r="O1451" i="1"/>
  <c r="O1432" i="1"/>
  <c r="O1425" i="1"/>
  <c r="O1457" i="1"/>
  <c r="O1450" i="1"/>
  <c r="O1442" i="1"/>
  <c r="O1427" i="1"/>
  <c r="O1419" i="1"/>
  <c r="O1403" i="1"/>
  <c r="O1422" i="1"/>
  <c r="O1411" i="1"/>
  <c r="O1455" i="1"/>
  <c r="O1424" i="1"/>
  <c r="O1449" i="1"/>
  <c r="O1441" i="1"/>
  <c r="O1434" i="1"/>
  <c r="O1426" i="1"/>
  <c r="O1418" i="1"/>
  <c r="O1410" i="1"/>
  <c r="O1402" i="1"/>
  <c r="O1446" i="1"/>
  <c r="O1435" i="1"/>
  <c r="O1408" i="1"/>
  <c r="P1453" i="1"/>
  <c r="P1445" i="1"/>
  <c r="P1437" i="1"/>
  <c r="P1429" i="1"/>
  <c r="P1421" i="1"/>
  <c r="P1413" i="1"/>
  <c r="P1405" i="1"/>
  <c r="Q1452" i="1"/>
  <c r="Q1444" i="1"/>
  <c r="Q1436" i="1"/>
  <c r="Q1428" i="1"/>
  <c r="Q1420" i="1"/>
  <c r="Q1412" i="1"/>
  <c r="Q1404" i="1"/>
  <c r="P1452" i="1"/>
  <c r="P1444" i="1"/>
  <c r="P1436" i="1"/>
  <c r="P1428" i="1"/>
  <c r="P1420" i="1"/>
  <c r="P1412" i="1"/>
  <c r="P1404" i="1"/>
  <c r="P1459" i="1"/>
  <c r="P1451" i="1"/>
  <c r="P1443" i="1"/>
  <c r="P1435" i="1"/>
  <c r="P1427" i="1"/>
  <c r="P1419" i="1"/>
  <c r="P1411" i="1"/>
  <c r="P1403" i="1"/>
  <c r="R1418" i="1"/>
  <c r="P1458" i="1"/>
  <c r="P1450" i="1"/>
  <c r="P1442" i="1"/>
  <c r="P1434" i="1"/>
  <c r="P1426" i="1"/>
  <c r="P1418" i="1"/>
  <c r="P1410" i="1"/>
  <c r="P1402" i="1"/>
  <c r="R1458" i="1"/>
  <c r="Q1453" i="1"/>
  <c r="Q1429" i="1"/>
  <c r="Q1421" i="1"/>
  <c r="P1457" i="1"/>
  <c r="P1449" i="1"/>
  <c r="P1441" i="1"/>
  <c r="P1433" i="1"/>
  <c r="P1425" i="1"/>
  <c r="P1417" i="1"/>
  <c r="P1409" i="1"/>
  <c r="R1434" i="1"/>
  <c r="P1456" i="1"/>
  <c r="P1448" i="1"/>
  <c r="P1440" i="1"/>
  <c r="P1432" i="1"/>
  <c r="P1424" i="1"/>
  <c r="P1416" i="1"/>
  <c r="P1408" i="1"/>
  <c r="R1410" i="1"/>
  <c r="Q1455" i="1"/>
  <c r="Q1447" i="1"/>
  <c r="P1439" i="1"/>
  <c r="P1431" i="1"/>
  <c r="Q1423" i="1"/>
  <c r="P1415" i="1"/>
  <c r="P1407" i="1"/>
  <c r="R1450" i="1"/>
  <c r="P1454" i="1"/>
  <c r="P1446" i="1"/>
  <c r="P1438" i="1"/>
  <c r="P1430" i="1"/>
  <c r="P1422" i="1"/>
  <c r="P1414" i="1"/>
  <c r="P1406" i="1"/>
  <c r="R1426" i="1"/>
  <c r="O1429" i="1"/>
  <c r="R1402" i="1"/>
  <c r="R1442" i="1"/>
  <c r="Q1439" i="1"/>
  <c r="Q1431" i="1"/>
  <c r="Q1415" i="1"/>
  <c r="Q1407" i="1"/>
  <c r="O1428" i="1"/>
  <c r="Q1458" i="1"/>
  <c r="P1455" i="1"/>
  <c r="R1453" i="1"/>
  <c r="Q1450" i="1"/>
  <c r="P1447" i="1"/>
  <c r="R1445" i="1"/>
  <c r="Q1442" i="1"/>
  <c r="R1437" i="1"/>
  <c r="Q1434" i="1"/>
  <c r="R1429" i="1"/>
  <c r="Q1426" i="1"/>
  <c r="P1423" i="1"/>
  <c r="R1421" i="1"/>
  <c r="Q1418" i="1"/>
  <c r="R1413" i="1"/>
  <c r="Q1410" i="1"/>
  <c r="R1405" i="1"/>
  <c r="Q1402" i="1"/>
  <c r="O1453" i="1"/>
  <c r="O1421" i="1"/>
  <c r="R1456" i="1"/>
  <c r="R1448" i="1"/>
  <c r="Q1445" i="1"/>
  <c r="R1440" i="1"/>
  <c r="Q1437" i="1"/>
  <c r="R1432" i="1"/>
  <c r="R1424" i="1"/>
  <c r="R1416" i="1"/>
  <c r="Q1413" i="1"/>
  <c r="R1408" i="1"/>
  <c r="Q1405" i="1"/>
  <c r="O1452" i="1"/>
  <c r="O1420" i="1"/>
  <c r="R1459" i="1"/>
  <c r="Q1456" i="1"/>
  <c r="R1451" i="1"/>
  <c r="Q1448" i="1"/>
  <c r="R1443" i="1"/>
  <c r="Q1440" i="1"/>
  <c r="R1435" i="1"/>
  <c r="Q1432" i="1"/>
  <c r="R1427" i="1"/>
  <c r="Q1424" i="1"/>
  <c r="R1419" i="1"/>
  <c r="Q1416" i="1"/>
  <c r="R1411" i="1"/>
  <c r="Q1408" i="1"/>
  <c r="R1403" i="1"/>
  <c r="Q1459" i="1"/>
  <c r="R1454" i="1"/>
  <c r="Q1451" i="1"/>
  <c r="R1446" i="1"/>
  <c r="Q1443" i="1"/>
  <c r="R1438" i="1"/>
  <c r="Q1435" i="1"/>
  <c r="R1430" i="1"/>
  <c r="Q1427" i="1"/>
  <c r="R1422" i="1"/>
  <c r="Q1419" i="1"/>
  <c r="R1414" i="1"/>
  <c r="Q1411" i="1"/>
  <c r="R1406" i="1"/>
  <c r="Q1403" i="1"/>
  <c r="O1444" i="1"/>
  <c r="O1412" i="1"/>
  <c r="R1457" i="1"/>
  <c r="Q1454" i="1"/>
  <c r="R1449" i="1"/>
  <c r="Q1446" i="1"/>
  <c r="R1441" i="1"/>
  <c r="Q1438" i="1"/>
  <c r="R1433" i="1"/>
  <c r="Q1430" i="1"/>
  <c r="R1425" i="1"/>
  <c r="Q1422" i="1"/>
  <c r="R1417" i="1"/>
  <c r="Q1414" i="1"/>
  <c r="R1409" i="1"/>
  <c r="Q1406" i="1"/>
  <c r="Q1457" i="1"/>
  <c r="R1452" i="1"/>
  <c r="Q1449" i="1"/>
  <c r="R1444" i="1"/>
  <c r="Q1441" i="1"/>
  <c r="R1436" i="1"/>
  <c r="Q1433" i="1"/>
  <c r="R1428" i="1"/>
  <c r="Q1425" i="1"/>
  <c r="R1420" i="1"/>
  <c r="Q1417" i="1"/>
  <c r="R1412" i="1"/>
  <c r="Q1409" i="1"/>
  <c r="R1404" i="1"/>
  <c r="O1436" i="1"/>
  <c r="O1404" i="1"/>
  <c r="R1455" i="1"/>
  <c r="R1447" i="1"/>
  <c r="R1439" i="1"/>
  <c r="R1431" i="1"/>
  <c r="R1423" i="1"/>
  <c r="R1415" i="1"/>
  <c r="R1407" i="1"/>
  <c r="S1429" i="1" l="1"/>
  <c r="S1421" i="1"/>
  <c r="S1404" i="1"/>
  <c r="S1411" i="1"/>
  <c r="S1437" i="1"/>
  <c r="S1446" i="1"/>
  <c r="S1439" i="1"/>
  <c r="S1428" i="1"/>
  <c r="S1425" i="1"/>
  <c r="S1416" i="1"/>
  <c r="S1450" i="1"/>
  <c r="S1452" i="1"/>
  <c r="S1453" i="1"/>
  <c r="S1443" i="1"/>
  <c r="S1405" i="1"/>
  <c r="S1420" i="1"/>
  <c r="S1436" i="1"/>
  <c r="S1444" i="1"/>
  <c r="S1412" i="1"/>
  <c r="S1449" i="1"/>
  <c r="S1442" i="1"/>
  <c r="S1415" i="1"/>
  <c r="S1432" i="1"/>
  <c r="S1410" i="1"/>
  <c r="S1408" i="1"/>
  <c r="S1419" i="1"/>
  <c r="S1445" i="1"/>
  <c r="S1454" i="1"/>
  <c r="S1427" i="1"/>
  <c r="S1459" i="1"/>
  <c r="S1413" i="1"/>
  <c r="S1430" i="1"/>
  <c r="S1426" i="1"/>
  <c r="S1406" i="1"/>
  <c r="S1451" i="1"/>
  <c r="S1417" i="1"/>
  <c r="S1422" i="1"/>
  <c r="S1448" i="1"/>
  <c r="S1423" i="1"/>
  <c r="S1424" i="1"/>
  <c r="S1456" i="1"/>
  <c r="S1402" i="1"/>
  <c r="S1455" i="1"/>
  <c r="S1441" i="1"/>
  <c r="S1435" i="1"/>
  <c r="S1431" i="1"/>
  <c r="S1418" i="1"/>
  <c r="S1414" i="1"/>
  <c r="S1440" i="1"/>
  <c r="S1457" i="1"/>
  <c r="S1447" i="1"/>
  <c r="S1433" i="1"/>
  <c r="S1407" i="1"/>
  <c r="S1409" i="1"/>
  <c r="S1403" i="1"/>
  <c r="S1434" i="1"/>
  <c r="S1458" i="1"/>
  <c r="S1438" i="1"/>
  <c r="O1395" i="1" l="1"/>
  <c r="O1394" i="1"/>
  <c r="O1354" i="1"/>
  <c r="O1386" i="1"/>
  <c r="O1346" i="1"/>
  <c r="O1393" i="1"/>
  <c r="O1385" i="1"/>
  <c r="O1377" i="1"/>
  <c r="O1369" i="1"/>
  <c r="O1361" i="1"/>
  <c r="O1353" i="1"/>
  <c r="O1345" i="1"/>
  <c r="O1337" i="1"/>
  <c r="O1329" i="1"/>
  <c r="O993" i="1"/>
  <c r="O985" i="1"/>
  <c r="O977" i="1"/>
  <c r="O969" i="1"/>
  <c r="O961" i="1"/>
  <c r="O953" i="1"/>
  <c r="O945" i="1"/>
  <c r="O929" i="1"/>
  <c r="O921" i="1"/>
  <c r="O1370" i="1"/>
  <c r="O1376" i="1"/>
  <c r="O1344" i="1"/>
  <c r="O1328" i="1"/>
  <c r="O212" i="1"/>
  <c r="O148" i="1"/>
  <c r="O1387" i="1"/>
  <c r="O1363" i="1"/>
  <c r="O1347" i="1"/>
  <c r="O1331" i="1"/>
  <c r="O1399" i="1"/>
  <c r="O1391" i="1"/>
  <c r="O1383" i="1"/>
  <c r="O1375" i="1"/>
  <c r="O1367" i="1"/>
  <c r="O1359" i="1"/>
  <c r="O1351" i="1"/>
  <c r="O1343" i="1"/>
  <c r="O1335" i="1"/>
  <c r="O1327" i="1"/>
  <c r="O1319" i="1"/>
  <c r="O1311" i="1"/>
  <c r="O1303" i="1"/>
  <c r="O1295" i="1"/>
  <c r="O1287" i="1"/>
  <c r="O1279" i="1"/>
  <c r="O1271" i="1"/>
  <c r="O1184" i="1"/>
  <c r="O1176" i="1"/>
  <c r="O1168" i="1"/>
  <c r="O1160" i="1"/>
  <c r="O1152" i="1"/>
  <c r="O1141" i="1"/>
  <c r="O1133" i="1"/>
  <c r="O1125" i="1"/>
  <c r="O1117" i="1"/>
  <c r="O1109" i="1"/>
  <c r="O1101" i="1"/>
  <c r="O1093" i="1"/>
  <c r="O1085" i="1"/>
  <c r="O1077" i="1"/>
  <c r="O1069" i="1"/>
  <c r="O1061" i="1"/>
  <c r="O1053" i="1"/>
  <c r="O1045" i="1"/>
  <c r="O1037" i="1"/>
  <c r="O1029" i="1"/>
  <c r="O1021" i="1"/>
  <c r="O1013" i="1"/>
  <c r="O1005" i="1"/>
  <c r="O1392" i="1"/>
  <c r="O1360" i="1"/>
  <c r="O1336" i="1"/>
  <c r="O1398" i="1"/>
  <c r="O1390" i="1"/>
  <c r="O1382" i="1"/>
  <c r="O1374" i="1"/>
  <c r="O1366" i="1"/>
  <c r="O1358" i="1"/>
  <c r="O1350" i="1"/>
  <c r="O1342" i="1"/>
  <c r="O1334" i="1"/>
  <c r="O1326" i="1"/>
  <c r="O1379" i="1"/>
  <c r="O1378" i="1"/>
  <c r="O1362" i="1"/>
  <c r="O1338" i="1"/>
  <c r="O1330" i="1"/>
  <c r="O1397" i="1"/>
  <c r="O1389" i="1"/>
  <c r="O1381" i="1"/>
  <c r="O1373" i="1"/>
  <c r="O1365" i="1"/>
  <c r="O1357" i="1"/>
  <c r="O1349" i="1"/>
  <c r="O1341" i="1"/>
  <c r="O1333" i="1"/>
  <c r="O657" i="1"/>
  <c r="O649" i="1"/>
  <c r="O641" i="1"/>
  <c r="O633" i="1"/>
  <c r="O625" i="1"/>
  <c r="O617" i="1"/>
  <c r="O609" i="1"/>
  <c r="O601" i="1"/>
  <c r="O593" i="1"/>
  <c r="O1371" i="1"/>
  <c r="O1355" i="1"/>
  <c r="O1339" i="1"/>
  <c r="O1384" i="1"/>
  <c r="O1352" i="1"/>
  <c r="O913" i="1"/>
  <c r="O689" i="1"/>
  <c r="O673" i="1"/>
  <c r="O665" i="1"/>
  <c r="R1318" i="1"/>
  <c r="R1310" i="1"/>
  <c r="R1302" i="1"/>
  <c r="R1294" i="1"/>
  <c r="R1286" i="1"/>
  <c r="R1278" i="1"/>
  <c r="R1270" i="1"/>
  <c r="R1183" i="1"/>
  <c r="R1175" i="1"/>
  <c r="R1167" i="1"/>
  <c r="R616" i="1"/>
  <c r="R608" i="1"/>
  <c r="R600" i="1"/>
  <c r="R592" i="1"/>
  <c r="R265" i="1"/>
  <c r="R257" i="1"/>
  <c r="R249" i="1"/>
  <c r="R241" i="1"/>
  <c r="R233" i="1"/>
  <c r="R225" i="1"/>
  <c r="R217" i="1"/>
  <c r="R209" i="1"/>
  <c r="R201" i="1"/>
  <c r="R193" i="1"/>
  <c r="R185" i="1"/>
  <c r="R177" i="1"/>
  <c r="R169" i="1"/>
  <c r="R161" i="1"/>
  <c r="R153" i="1"/>
  <c r="R145" i="1"/>
  <c r="R137" i="1"/>
  <c r="R129" i="1"/>
  <c r="R121" i="1"/>
  <c r="R113" i="1"/>
  <c r="R105" i="1"/>
  <c r="R97" i="1"/>
  <c r="R656" i="1"/>
  <c r="R648" i="1"/>
  <c r="R640" i="1"/>
  <c r="R632" i="1"/>
  <c r="R624" i="1"/>
  <c r="R1159" i="1"/>
  <c r="R1151" i="1"/>
  <c r="R1140" i="1"/>
  <c r="R1132" i="1"/>
  <c r="R1124" i="1"/>
  <c r="R1116" i="1"/>
  <c r="R1108" i="1"/>
  <c r="R1100" i="1"/>
  <c r="R1092" i="1"/>
  <c r="R1084" i="1"/>
  <c r="R1076" i="1"/>
  <c r="R1068" i="1"/>
  <c r="R1060" i="1"/>
  <c r="R1052" i="1"/>
  <c r="R1044" i="1"/>
  <c r="R1036" i="1"/>
  <c r="R1028" i="1"/>
  <c r="R1020" i="1"/>
  <c r="Q1012" i="1"/>
  <c r="R1004" i="1"/>
  <c r="R992" i="1"/>
  <c r="R984" i="1"/>
  <c r="R976" i="1"/>
  <c r="R968" i="1"/>
  <c r="R960" i="1"/>
  <c r="R952" i="1"/>
  <c r="R944" i="1"/>
  <c r="R936" i="1"/>
  <c r="R928" i="1"/>
  <c r="R920" i="1"/>
  <c r="R912" i="1"/>
  <c r="R712" i="1"/>
  <c r="R696" i="1"/>
  <c r="R680" i="1"/>
  <c r="R672" i="1"/>
  <c r="R664" i="1"/>
  <c r="R1324" i="1"/>
  <c r="R1316" i="1"/>
  <c r="R1308" i="1"/>
  <c r="R1300" i="1"/>
  <c r="R1292" i="1"/>
  <c r="R1284" i="1"/>
  <c r="R1276" i="1"/>
  <c r="R1268" i="1"/>
  <c r="R1181" i="1"/>
  <c r="R1173" i="1"/>
  <c r="R1165" i="1"/>
  <c r="R1157" i="1"/>
  <c r="R1149" i="1"/>
  <c r="R1138" i="1"/>
  <c r="R1130" i="1"/>
  <c r="R1122" i="1"/>
  <c r="R1114" i="1"/>
  <c r="R1106" i="1"/>
  <c r="R1098" i="1"/>
  <c r="R1090" i="1"/>
  <c r="R1082" i="1"/>
  <c r="R1074" i="1"/>
  <c r="R1066" i="1"/>
  <c r="R1058" i="1"/>
  <c r="R1050" i="1"/>
  <c r="R1042" i="1"/>
  <c r="R1034" i="1"/>
  <c r="R1026" i="1"/>
  <c r="R1018" i="1"/>
  <c r="R1010" i="1"/>
  <c r="R990" i="1"/>
  <c r="R982" i="1"/>
  <c r="R974" i="1"/>
  <c r="R966" i="1"/>
  <c r="R958" i="1"/>
  <c r="R950" i="1"/>
  <c r="R942" i="1"/>
  <c r="R934" i="1"/>
  <c r="R926" i="1"/>
  <c r="R918" i="1"/>
  <c r="R910" i="1"/>
  <c r="R678" i="1"/>
  <c r="R670" i="1"/>
  <c r="R660" i="1"/>
  <c r="R652" i="1"/>
  <c r="R644" i="1"/>
  <c r="R636" i="1"/>
  <c r="R628" i="1"/>
  <c r="R620" i="1"/>
  <c r="R612" i="1"/>
  <c r="R604" i="1"/>
  <c r="R596" i="1"/>
  <c r="R261" i="1"/>
  <c r="R245" i="1"/>
  <c r="R237" i="1"/>
  <c r="R229" i="1"/>
  <c r="R221" i="1"/>
  <c r="R213" i="1"/>
  <c r="R205" i="1"/>
  <c r="R197" i="1"/>
  <c r="R189" i="1"/>
  <c r="R181" i="1"/>
  <c r="R173" i="1"/>
  <c r="R165" i="1"/>
  <c r="R157" i="1"/>
  <c r="R149" i="1"/>
  <c r="R141" i="1"/>
  <c r="R133" i="1"/>
  <c r="R125" i="1"/>
  <c r="R117" i="1"/>
  <c r="R109" i="1"/>
  <c r="R101" i="1"/>
  <c r="R93" i="1"/>
  <c r="R1322" i="1"/>
  <c r="R1314" i="1"/>
  <c r="R1306" i="1"/>
  <c r="R1298" i="1"/>
  <c r="R1290" i="1"/>
  <c r="R1282" i="1"/>
  <c r="R1274" i="1"/>
  <c r="R1266" i="1"/>
  <c r="R1179" i="1"/>
  <c r="R1171" i="1"/>
  <c r="R1163" i="1"/>
  <c r="R1155" i="1"/>
  <c r="R1147" i="1"/>
  <c r="R1136" i="1"/>
  <c r="R1128" i="1"/>
  <c r="R1120" i="1"/>
  <c r="R1112" i="1"/>
  <c r="R1104" i="1"/>
  <c r="R1096" i="1"/>
  <c r="R1088" i="1"/>
  <c r="R1080" i="1"/>
  <c r="R1072" i="1"/>
  <c r="R1064" i="1"/>
  <c r="R1056" i="1"/>
  <c r="R1048" i="1"/>
  <c r="R1040" i="1"/>
  <c r="R1032" i="1"/>
  <c r="R1024" i="1"/>
  <c r="R1016" i="1"/>
  <c r="R1008" i="1"/>
  <c r="R996" i="1"/>
  <c r="R988" i="1"/>
  <c r="R980" i="1"/>
  <c r="R972" i="1"/>
  <c r="R964" i="1"/>
  <c r="R956" i="1"/>
  <c r="R948" i="1"/>
  <c r="R940" i="1"/>
  <c r="R932" i="1"/>
  <c r="R924" i="1"/>
  <c r="R916" i="1"/>
  <c r="Q708" i="1"/>
  <c r="R692" i="1"/>
  <c r="R676" i="1"/>
  <c r="R668" i="1"/>
  <c r="R639" i="1"/>
  <c r="R647" i="1"/>
  <c r="R607" i="1"/>
  <c r="R655" i="1"/>
  <c r="R599" i="1"/>
  <c r="R623" i="1"/>
  <c r="R615" i="1"/>
  <c r="R631" i="1"/>
  <c r="R591" i="1"/>
  <c r="R264" i="1"/>
  <c r="R256" i="1"/>
  <c r="R240" i="1"/>
  <c r="R232" i="1"/>
  <c r="R224" i="1"/>
  <c r="R216" i="1"/>
  <c r="R208" i="1"/>
  <c r="R200" i="1"/>
  <c r="R192" i="1"/>
  <c r="R184" i="1"/>
  <c r="R176" i="1"/>
  <c r="R168" i="1"/>
  <c r="R160" i="1"/>
  <c r="R152" i="1"/>
  <c r="R144" i="1"/>
  <c r="R136" i="1"/>
  <c r="R128" i="1"/>
  <c r="R120" i="1"/>
  <c r="R112" i="1"/>
  <c r="R104" i="1"/>
  <c r="R96" i="1"/>
  <c r="R654" i="1"/>
  <c r="R646" i="1"/>
  <c r="R638" i="1"/>
  <c r="R630" i="1"/>
  <c r="R622" i="1"/>
  <c r="R614" i="1"/>
  <c r="R606" i="1"/>
  <c r="R598" i="1"/>
  <c r="R263" i="1"/>
  <c r="R255" i="1"/>
  <c r="R247" i="1"/>
  <c r="R239" i="1"/>
  <c r="R231" i="1"/>
  <c r="R223" i="1"/>
  <c r="R215" i="1"/>
  <c r="R207" i="1"/>
  <c r="R199" i="1"/>
  <c r="R191" i="1"/>
  <c r="R183" i="1"/>
  <c r="R175" i="1"/>
  <c r="R167" i="1"/>
  <c r="R159" i="1"/>
  <c r="R151" i="1"/>
  <c r="R143" i="1"/>
  <c r="R135" i="1"/>
  <c r="R127" i="1"/>
  <c r="R119" i="1"/>
  <c r="R111" i="1"/>
  <c r="R103" i="1"/>
  <c r="R95" i="1"/>
  <c r="R1325" i="1"/>
  <c r="R1317" i="1"/>
  <c r="R1309" i="1"/>
  <c r="R1301" i="1"/>
  <c r="R1293" i="1"/>
  <c r="R1285" i="1"/>
  <c r="R1277" i="1"/>
  <c r="R1269" i="1"/>
  <c r="R1182" i="1"/>
  <c r="R1174" i="1"/>
  <c r="R1166" i="1"/>
  <c r="R1158" i="1"/>
  <c r="R1150" i="1"/>
  <c r="R1139" i="1"/>
  <c r="R1131" i="1"/>
  <c r="R1123" i="1"/>
  <c r="R1115" i="1"/>
  <c r="R1107" i="1"/>
  <c r="R1099" i="1"/>
  <c r="R1091" i="1"/>
  <c r="R1083" i="1"/>
  <c r="R1075" i="1"/>
  <c r="R1067" i="1"/>
  <c r="R1059" i="1"/>
  <c r="R1051" i="1"/>
  <c r="R1043" i="1"/>
  <c r="R1035" i="1"/>
  <c r="R1027" i="1"/>
  <c r="R1019" i="1"/>
  <c r="R1011" i="1"/>
  <c r="R1003" i="1"/>
  <c r="R991" i="1"/>
  <c r="R983" i="1"/>
  <c r="R975" i="1"/>
  <c r="R967" i="1"/>
  <c r="R959" i="1"/>
  <c r="R951" i="1"/>
  <c r="R943" i="1"/>
  <c r="R935" i="1"/>
  <c r="R927" i="1"/>
  <c r="R919" i="1"/>
  <c r="R911" i="1"/>
  <c r="R703" i="1"/>
  <c r="R695" i="1"/>
  <c r="R679" i="1"/>
  <c r="R671" i="1"/>
  <c r="R663" i="1"/>
  <c r="R661" i="1"/>
  <c r="R653" i="1"/>
  <c r="R645" i="1"/>
  <c r="R637" i="1"/>
  <c r="R629" i="1"/>
  <c r="R621" i="1"/>
  <c r="R613" i="1"/>
  <c r="R605" i="1"/>
  <c r="R597" i="1"/>
  <c r="R1323" i="1"/>
  <c r="R1315" i="1"/>
  <c r="R1307" i="1"/>
  <c r="R1299" i="1"/>
  <c r="R1291" i="1"/>
  <c r="R1283" i="1"/>
  <c r="R1275" i="1"/>
  <c r="R1267" i="1"/>
  <c r="R1180" i="1"/>
  <c r="R1172" i="1"/>
  <c r="R1164" i="1"/>
  <c r="R1156" i="1"/>
  <c r="R1148" i="1"/>
  <c r="R1137" i="1"/>
  <c r="R1129" i="1"/>
  <c r="R1121" i="1"/>
  <c r="R1113" i="1"/>
  <c r="R1105" i="1"/>
  <c r="R1097" i="1"/>
  <c r="R1089" i="1"/>
  <c r="R1081" i="1"/>
  <c r="R1073" i="1"/>
  <c r="R1065" i="1"/>
  <c r="R1057" i="1"/>
  <c r="R1049" i="1"/>
  <c r="R1041" i="1"/>
  <c r="R1033" i="1"/>
  <c r="R1025" i="1"/>
  <c r="R1017" i="1"/>
  <c r="R1009" i="1"/>
  <c r="R989" i="1"/>
  <c r="R981" i="1"/>
  <c r="R973" i="1"/>
  <c r="R965" i="1"/>
  <c r="R957" i="1"/>
  <c r="R949" i="1"/>
  <c r="R941" i="1"/>
  <c r="R933" i="1"/>
  <c r="R925" i="1"/>
  <c r="R909" i="1"/>
  <c r="R701" i="1"/>
  <c r="R677" i="1"/>
  <c r="R669" i="1"/>
  <c r="R258" i="1"/>
  <c r="R250" i="1"/>
  <c r="R242" i="1"/>
  <c r="R234" i="1"/>
  <c r="R226" i="1"/>
  <c r="R218" i="1"/>
  <c r="R210" i="1"/>
  <c r="R202" i="1"/>
  <c r="R194" i="1"/>
  <c r="R186" i="1"/>
  <c r="R178" i="1"/>
  <c r="R170" i="1"/>
  <c r="R162" i="1"/>
  <c r="R154" i="1"/>
  <c r="R146" i="1"/>
  <c r="R138" i="1"/>
  <c r="R130" i="1"/>
  <c r="R122" i="1"/>
  <c r="R114" i="1"/>
  <c r="R106" i="1"/>
  <c r="R98" i="1"/>
  <c r="R658" i="1"/>
  <c r="R650" i="1"/>
  <c r="R642" i="1"/>
  <c r="R634" i="1"/>
  <c r="R626" i="1"/>
  <c r="R618" i="1"/>
  <c r="R610" i="1"/>
  <c r="R602" i="1"/>
  <c r="R594" i="1"/>
  <c r="R1320" i="1"/>
  <c r="R1312" i="1"/>
  <c r="R1304" i="1"/>
  <c r="R1296" i="1"/>
  <c r="R1288" i="1"/>
  <c r="R1280" i="1"/>
  <c r="R1272" i="1"/>
  <c r="R1185" i="1"/>
  <c r="R1177" i="1"/>
  <c r="R1169" i="1"/>
  <c r="R1161" i="1"/>
  <c r="R1153" i="1"/>
  <c r="R1142" i="1"/>
  <c r="R1134" i="1"/>
  <c r="R1126" i="1"/>
  <c r="R1118" i="1"/>
  <c r="R1110" i="1"/>
  <c r="R1102" i="1"/>
  <c r="R1094" i="1"/>
  <c r="R1086" i="1"/>
  <c r="R1078" i="1"/>
  <c r="R1070" i="1"/>
  <c r="R1062" i="1"/>
  <c r="R1054" i="1"/>
  <c r="R1046" i="1"/>
  <c r="R1038" i="1"/>
  <c r="R1030" i="1"/>
  <c r="R1022" i="1"/>
  <c r="R1014" i="1"/>
  <c r="R1006" i="1"/>
  <c r="R994" i="1"/>
  <c r="R986" i="1"/>
  <c r="R978" i="1"/>
  <c r="R970" i="1"/>
  <c r="R962" i="1"/>
  <c r="R954" i="1"/>
  <c r="R946" i="1"/>
  <c r="R938" i="1"/>
  <c r="R930" i="1"/>
  <c r="R914" i="1"/>
  <c r="R714" i="1"/>
  <c r="Q690" i="1"/>
  <c r="R666" i="1"/>
  <c r="R659" i="1"/>
  <c r="R651" i="1"/>
  <c r="R643" i="1"/>
  <c r="R635" i="1"/>
  <c r="R627" i="1"/>
  <c r="R619" i="1"/>
  <c r="R611" i="1"/>
  <c r="R603" i="1"/>
  <c r="R595" i="1"/>
  <c r="R236" i="1"/>
  <c r="R228" i="1"/>
  <c r="R220" i="1"/>
  <c r="R204" i="1"/>
  <c r="R196" i="1"/>
  <c r="R188" i="1"/>
  <c r="R172" i="1"/>
  <c r="R164" i="1"/>
  <c r="R156" i="1"/>
  <c r="R140" i="1"/>
  <c r="R132" i="1"/>
  <c r="R124" i="1"/>
  <c r="R108" i="1"/>
  <c r="R100" i="1"/>
  <c r="R92" i="1"/>
  <c r="R1321" i="1"/>
  <c r="R1313" i="1"/>
  <c r="R1305" i="1"/>
  <c r="R1297" i="1"/>
  <c r="R1289" i="1"/>
  <c r="R1281" i="1"/>
  <c r="R1273" i="1"/>
  <c r="R1186" i="1"/>
  <c r="R1178" i="1"/>
  <c r="R1170" i="1"/>
  <c r="R1162" i="1"/>
  <c r="R1154" i="1"/>
  <c r="R1146" i="1"/>
  <c r="R1135" i="1"/>
  <c r="R1127" i="1"/>
  <c r="R1119" i="1"/>
  <c r="R1111" i="1"/>
  <c r="R1103" i="1"/>
  <c r="R1095" i="1"/>
  <c r="R1087" i="1"/>
  <c r="R1079" i="1"/>
  <c r="R1071" i="1"/>
  <c r="R1063" i="1"/>
  <c r="R1055" i="1"/>
  <c r="R1047" i="1"/>
  <c r="R1039" i="1"/>
  <c r="R1031" i="1"/>
  <c r="R1023" i="1"/>
  <c r="R1015" i="1"/>
  <c r="R1007" i="1"/>
  <c r="R995" i="1"/>
  <c r="R987" i="1"/>
  <c r="R979" i="1"/>
  <c r="R971" i="1"/>
  <c r="R963" i="1"/>
  <c r="R955" i="1"/>
  <c r="R947" i="1"/>
  <c r="R939" i="1"/>
  <c r="R931" i="1"/>
  <c r="R915" i="1"/>
  <c r="R715" i="1"/>
  <c r="R707" i="1"/>
  <c r="R683" i="1"/>
  <c r="R675" i="1"/>
  <c r="R667" i="1"/>
  <c r="O1372" i="1"/>
  <c r="R1372" i="1"/>
  <c r="O1340" i="1"/>
  <c r="R1340" i="1"/>
  <c r="O937" i="1"/>
  <c r="Q937" i="1"/>
  <c r="O1396" i="1"/>
  <c r="R1396" i="1"/>
  <c r="O1364" i="1"/>
  <c r="R1364" i="1"/>
  <c r="O116" i="1"/>
  <c r="R116" i="1"/>
  <c r="O1388" i="1"/>
  <c r="R1388" i="1"/>
  <c r="O1348" i="1"/>
  <c r="R1348" i="1"/>
  <c r="O180" i="1"/>
  <c r="R180" i="1"/>
  <c r="O1332" i="1"/>
  <c r="R1332" i="1"/>
  <c r="O1368" i="1"/>
  <c r="Q1368" i="1"/>
  <c r="O244" i="1"/>
  <c r="R244" i="1"/>
  <c r="O1380" i="1"/>
  <c r="R1380" i="1"/>
  <c r="O1356" i="1"/>
  <c r="R1356" i="1"/>
  <c r="P1368" i="1"/>
  <c r="P1304" i="1"/>
  <c r="R259" i="1"/>
  <c r="R251" i="1"/>
  <c r="R243" i="1"/>
  <c r="R235" i="1"/>
  <c r="R227" i="1"/>
  <c r="R219" i="1"/>
  <c r="R211" i="1"/>
  <c r="R203" i="1"/>
  <c r="R195" i="1"/>
  <c r="R187" i="1"/>
  <c r="R179" i="1"/>
  <c r="R171" i="1"/>
  <c r="R163" i="1"/>
  <c r="R155" i="1"/>
  <c r="R147" i="1"/>
  <c r="R139" i="1"/>
  <c r="R131" i="1"/>
  <c r="R123" i="1"/>
  <c r="R115" i="1"/>
  <c r="R107" i="1"/>
  <c r="R99" i="1"/>
  <c r="P1169" i="1"/>
  <c r="P1102" i="1"/>
  <c r="P180" i="1"/>
  <c r="Q1133" i="1"/>
  <c r="P1125" i="1"/>
  <c r="P1109" i="1"/>
  <c r="P1085" i="1"/>
  <c r="P1077" i="1"/>
  <c r="P1069" i="1"/>
  <c r="P1061" i="1"/>
  <c r="P1054" i="1"/>
  <c r="P1046" i="1"/>
  <c r="P1038" i="1"/>
  <c r="P1030" i="1"/>
  <c r="P1022" i="1"/>
  <c r="P1014" i="1"/>
  <c r="P1006" i="1"/>
  <c r="P994" i="1"/>
  <c r="P986" i="1"/>
  <c r="P978" i="1"/>
  <c r="P970" i="1"/>
  <c r="P962" i="1"/>
  <c r="P954" i="1"/>
  <c r="P650" i="1"/>
  <c r="Q1360" i="1"/>
  <c r="Q617" i="1"/>
  <c r="R1395" i="1"/>
  <c r="R1387" i="1"/>
  <c r="R1379" i="1"/>
  <c r="R1371" i="1"/>
  <c r="R1363" i="1"/>
  <c r="R1355" i="1"/>
  <c r="R1347" i="1"/>
  <c r="R1339" i="1"/>
  <c r="R1331" i="1"/>
  <c r="P228" i="1"/>
  <c r="Q1352" i="1"/>
  <c r="R1394" i="1"/>
  <c r="R1386" i="1"/>
  <c r="R1378" i="1"/>
  <c r="R1370" i="1"/>
  <c r="R1362" i="1"/>
  <c r="R1354" i="1"/>
  <c r="R1346" i="1"/>
  <c r="R1338" i="1"/>
  <c r="R1330" i="1"/>
  <c r="R708" i="1"/>
  <c r="R262" i="1"/>
  <c r="R254" i="1"/>
  <c r="R238" i="1"/>
  <c r="R230" i="1"/>
  <c r="R222" i="1"/>
  <c r="R214" i="1"/>
  <c r="R206" i="1"/>
  <c r="R198" i="1"/>
  <c r="R190" i="1"/>
  <c r="R182" i="1"/>
  <c r="R174" i="1"/>
  <c r="R166" i="1"/>
  <c r="P1315" i="1"/>
  <c r="P1307" i="1"/>
  <c r="P1299" i="1"/>
  <c r="Q1344" i="1"/>
  <c r="R1393" i="1"/>
  <c r="R1385" i="1"/>
  <c r="R1377" i="1"/>
  <c r="R1369" i="1"/>
  <c r="R1361" i="1"/>
  <c r="R1353" i="1"/>
  <c r="R1345" i="1"/>
  <c r="R1337" i="1"/>
  <c r="R1329" i="1"/>
  <c r="R158" i="1"/>
  <c r="R150" i="1"/>
  <c r="R142" i="1"/>
  <c r="R134" i="1"/>
  <c r="R126" i="1"/>
  <c r="R118" i="1"/>
  <c r="R110" i="1"/>
  <c r="R102" i="1"/>
  <c r="R94" i="1"/>
  <c r="P1394" i="1"/>
  <c r="P1386" i="1"/>
  <c r="P1378" i="1"/>
  <c r="P1370" i="1"/>
  <c r="P1362" i="1"/>
  <c r="P1354" i="1"/>
  <c r="P1346" i="1"/>
  <c r="P1338" i="1"/>
  <c r="P1330" i="1"/>
  <c r="P1322" i="1"/>
  <c r="Q1336" i="1"/>
  <c r="Q180" i="1"/>
  <c r="R1392" i="1"/>
  <c r="R1384" i="1"/>
  <c r="R1376" i="1"/>
  <c r="R1368" i="1"/>
  <c r="R1360" i="1"/>
  <c r="R1352" i="1"/>
  <c r="R1344" i="1"/>
  <c r="R1336" i="1"/>
  <c r="R1328" i="1"/>
  <c r="R690" i="1"/>
  <c r="R212" i="1"/>
  <c r="R148" i="1"/>
  <c r="P1137" i="1"/>
  <c r="Q1392" i="1"/>
  <c r="Q1328" i="1"/>
  <c r="R1399" i="1"/>
  <c r="R1391" i="1"/>
  <c r="R1383" i="1"/>
  <c r="R1375" i="1"/>
  <c r="R1367" i="1"/>
  <c r="R1359" i="1"/>
  <c r="R1351" i="1"/>
  <c r="R1343" i="1"/>
  <c r="R1335" i="1"/>
  <c r="R1327" i="1"/>
  <c r="R1319" i="1"/>
  <c r="R1311" i="1"/>
  <c r="R1303" i="1"/>
  <c r="R1295" i="1"/>
  <c r="R1287" i="1"/>
  <c r="R1279" i="1"/>
  <c r="R1271" i="1"/>
  <c r="R1184" i="1"/>
  <c r="R1176" i="1"/>
  <c r="R1168" i="1"/>
  <c r="R1160" i="1"/>
  <c r="R1152" i="1"/>
  <c r="R1141" i="1"/>
  <c r="R1133" i="1"/>
  <c r="R1125" i="1"/>
  <c r="R1117" i="1"/>
  <c r="R1109" i="1"/>
  <c r="R1101" i="1"/>
  <c r="R1093" i="1"/>
  <c r="R1085" i="1"/>
  <c r="R1077" i="1"/>
  <c r="R1069" i="1"/>
  <c r="R1061" i="1"/>
  <c r="R1053" i="1"/>
  <c r="R1045" i="1"/>
  <c r="R1037" i="1"/>
  <c r="R1029" i="1"/>
  <c r="R1021" i="1"/>
  <c r="R1013" i="1"/>
  <c r="R1005" i="1"/>
  <c r="R993" i="1"/>
  <c r="R985" i="1"/>
  <c r="R977" i="1"/>
  <c r="R969" i="1"/>
  <c r="R961" i="1"/>
  <c r="R953" i="1"/>
  <c r="R945" i="1"/>
  <c r="R937" i="1"/>
  <c r="R929" i="1"/>
  <c r="R921" i="1"/>
  <c r="R913" i="1"/>
  <c r="R689" i="1"/>
  <c r="R673" i="1"/>
  <c r="R665" i="1"/>
  <c r="R657" i="1"/>
  <c r="R649" i="1"/>
  <c r="R641" i="1"/>
  <c r="R633" i="1"/>
  <c r="R625" i="1"/>
  <c r="R617" i="1"/>
  <c r="R609" i="1"/>
  <c r="R601" i="1"/>
  <c r="R593" i="1"/>
  <c r="P1360" i="1"/>
  <c r="P1352" i="1"/>
  <c r="P1344" i="1"/>
  <c r="P1336" i="1"/>
  <c r="P1328" i="1"/>
  <c r="P1320" i="1"/>
  <c r="P1312" i="1"/>
  <c r="P1296" i="1"/>
  <c r="Q1384" i="1"/>
  <c r="Q1279" i="1"/>
  <c r="R1398" i="1"/>
  <c r="R1390" i="1"/>
  <c r="R1382" i="1"/>
  <c r="R1374" i="1"/>
  <c r="R1366" i="1"/>
  <c r="R1358" i="1"/>
  <c r="R1350" i="1"/>
  <c r="R1342" i="1"/>
  <c r="R1334" i="1"/>
  <c r="R1326" i="1"/>
  <c r="R1012" i="1"/>
  <c r="Q266" i="1"/>
  <c r="R266" i="1"/>
  <c r="P1319" i="1"/>
  <c r="Q1376" i="1"/>
  <c r="Q1005" i="1"/>
  <c r="R1397" i="1"/>
  <c r="R1389" i="1"/>
  <c r="R1381" i="1"/>
  <c r="R1373" i="1"/>
  <c r="R1365" i="1"/>
  <c r="R1357" i="1"/>
  <c r="R1349" i="1"/>
  <c r="R1341" i="1"/>
  <c r="R1333" i="1"/>
  <c r="O1318" i="1"/>
  <c r="Q1318" i="1"/>
  <c r="O1286" i="1"/>
  <c r="Q1286" i="1"/>
  <c r="O1128" i="1"/>
  <c r="Q1128" i="1"/>
  <c r="O1104" i="1"/>
  <c r="Q1104" i="1"/>
  <c r="O1040" i="1"/>
  <c r="Q1040" i="1"/>
  <c r="O964" i="1"/>
  <c r="Q964" i="1"/>
  <c r="O676" i="1"/>
  <c r="Q676" i="1"/>
  <c r="O619" i="1"/>
  <c r="Q619" i="1"/>
  <c r="O245" i="1"/>
  <c r="Q245" i="1"/>
  <c r="O189" i="1"/>
  <c r="Q189" i="1"/>
  <c r="O134" i="1"/>
  <c r="Q134" i="1"/>
  <c r="O1325" i="1"/>
  <c r="Q1325" i="1"/>
  <c r="O1317" i="1"/>
  <c r="Q1317" i="1"/>
  <c r="O1309" i="1"/>
  <c r="Q1309" i="1"/>
  <c r="O1301" i="1"/>
  <c r="Q1301" i="1"/>
  <c r="O1293" i="1"/>
  <c r="Q1293" i="1"/>
  <c r="O1285" i="1"/>
  <c r="Q1285" i="1"/>
  <c r="O1277" i="1"/>
  <c r="Q1277" i="1"/>
  <c r="O1270" i="1"/>
  <c r="Q1270" i="1"/>
  <c r="O1161" i="1"/>
  <c r="Q1161" i="1"/>
  <c r="O1153" i="1"/>
  <c r="Q1153" i="1"/>
  <c r="O1142" i="1"/>
  <c r="Q1142" i="1"/>
  <c r="O1135" i="1"/>
  <c r="Q1135" i="1"/>
  <c r="O1127" i="1"/>
  <c r="Q1127" i="1"/>
  <c r="O1119" i="1"/>
  <c r="Q1119" i="1"/>
  <c r="O1111" i="1"/>
  <c r="Q1111" i="1"/>
  <c r="O1103" i="1"/>
  <c r="Q1103" i="1"/>
  <c r="O1095" i="1"/>
  <c r="Q1095" i="1"/>
  <c r="O1087" i="1"/>
  <c r="Q1087" i="1"/>
  <c r="O1079" i="1"/>
  <c r="Q1079" i="1"/>
  <c r="O1071" i="1"/>
  <c r="Q1071" i="1"/>
  <c r="O1063" i="1"/>
  <c r="Q1063" i="1"/>
  <c r="O1055" i="1"/>
  <c r="Q1055" i="1"/>
  <c r="O1047" i="1"/>
  <c r="Q1047" i="1"/>
  <c r="O1039" i="1"/>
  <c r="Q1039" i="1"/>
  <c r="O1031" i="1"/>
  <c r="Q1031" i="1"/>
  <c r="O1023" i="1"/>
  <c r="Q1023" i="1"/>
  <c r="O1015" i="1"/>
  <c r="Q1015" i="1"/>
  <c r="O1007" i="1"/>
  <c r="Q1007" i="1"/>
  <c r="O995" i="1"/>
  <c r="Q995" i="1"/>
  <c r="O987" i="1"/>
  <c r="Q987" i="1"/>
  <c r="O979" i="1"/>
  <c r="Q979" i="1"/>
  <c r="O971" i="1"/>
  <c r="Q971" i="1"/>
  <c r="O963" i="1"/>
  <c r="Q963" i="1"/>
  <c r="O955" i="1"/>
  <c r="Q955" i="1"/>
  <c r="O947" i="1"/>
  <c r="Q947" i="1"/>
  <c r="O939" i="1"/>
  <c r="Q939" i="1"/>
  <c r="O931" i="1"/>
  <c r="Q931" i="1"/>
  <c r="O915" i="1"/>
  <c r="Q915" i="1"/>
  <c r="O715" i="1"/>
  <c r="Q715" i="1"/>
  <c r="O707" i="1"/>
  <c r="Q707" i="1"/>
  <c r="O683" i="1"/>
  <c r="Q683" i="1"/>
  <c r="O675" i="1"/>
  <c r="Q675" i="1"/>
  <c r="O667" i="1"/>
  <c r="Q667" i="1"/>
  <c r="O658" i="1"/>
  <c r="Q658" i="1"/>
  <c r="O650" i="1"/>
  <c r="Q650" i="1"/>
  <c r="O642" i="1"/>
  <c r="Q642" i="1"/>
  <c r="O634" i="1"/>
  <c r="Q634" i="1"/>
  <c r="O626" i="1"/>
  <c r="Q626" i="1"/>
  <c r="O618" i="1"/>
  <c r="Q618" i="1"/>
  <c r="O610" i="1"/>
  <c r="Q610" i="1"/>
  <c r="O602" i="1"/>
  <c r="Q602" i="1"/>
  <c r="O594" i="1"/>
  <c r="Q594" i="1"/>
  <c r="O236" i="1"/>
  <c r="Q236" i="1"/>
  <c r="O228" i="1"/>
  <c r="Q228" i="1"/>
  <c r="O220" i="1"/>
  <c r="Q220" i="1"/>
  <c r="O204" i="1"/>
  <c r="Q204" i="1"/>
  <c r="O196" i="1"/>
  <c r="Q196" i="1"/>
  <c r="O188" i="1"/>
  <c r="Q188" i="1"/>
  <c r="O172" i="1"/>
  <c r="Q172" i="1"/>
  <c r="O164" i="1"/>
  <c r="Q164" i="1"/>
  <c r="O157" i="1"/>
  <c r="Q157" i="1"/>
  <c r="O149" i="1"/>
  <c r="Q149" i="1"/>
  <c r="O141" i="1"/>
  <c r="Q141" i="1"/>
  <c r="O133" i="1"/>
  <c r="Q133" i="1"/>
  <c r="O125" i="1"/>
  <c r="Q125" i="1"/>
  <c r="O117" i="1"/>
  <c r="Q117" i="1"/>
  <c r="O109" i="1"/>
  <c r="Q109" i="1"/>
  <c r="O101" i="1"/>
  <c r="Q101" i="1"/>
  <c r="O93" i="1"/>
  <c r="Q93" i="1"/>
  <c r="P1314" i="1"/>
  <c r="P1306" i="1"/>
  <c r="P1298" i="1"/>
  <c r="P1037" i="1"/>
  <c r="P945" i="1"/>
  <c r="P929" i="1"/>
  <c r="P913" i="1"/>
  <c r="P658" i="1"/>
  <c r="P642" i="1"/>
  <c r="P634" i="1"/>
  <c r="P603" i="1"/>
  <c r="P595" i="1"/>
  <c r="Q1399" i="1"/>
  <c r="Q1391" i="1"/>
  <c r="Q1383" i="1"/>
  <c r="Q1375" i="1"/>
  <c r="Q1367" i="1"/>
  <c r="Q1359" i="1"/>
  <c r="Q1351" i="1"/>
  <c r="Q1343" i="1"/>
  <c r="Q1335" i="1"/>
  <c r="Q1327" i="1"/>
  <c r="Q1271" i="1"/>
  <c r="Q1125" i="1"/>
  <c r="Q1061" i="1"/>
  <c r="Q993" i="1"/>
  <c r="Q929" i="1"/>
  <c r="Q673" i="1"/>
  <c r="Q609" i="1"/>
  <c r="Q148" i="1"/>
  <c r="O1310" i="1"/>
  <c r="Q1310" i="1"/>
  <c r="O1096" i="1"/>
  <c r="Q1096" i="1"/>
  <c r="O1024" i="1"/>
  <c r="Q1024" i="1"/>
  <c r="O924" i="1"/>
  <c r="Q924" i="1"/>
  <c r="O643" i="1"/>
  <c r="Q643" i="1"/>
  <c r="O237" i="1"/>
  <c r="Q237" i="1"/>
  <c r="O158" i="1"/>
  <c r="Q158" i="1"/>
  <c r="O110" i="1"/>
  <c r="Q110" i="1"/>
  <c r="O1324" i="1"/>
  <c r="Q1324" i="1"/>
  <c r="O1316" i="1"/>
  <c r="Q1316" i="1"/>
  <c r="O1308" i="1"/>
  <c r="Q1308" i="1"/>
  <c r="O1300" i="1"/>
  <c r="Q1300" i="1"/>
  <c r="O1292" i="1"/>
  <c r="Q1292" i="1"/>
  <c r="O1284" i="1"/>
  <c r="Q1284" i="1"/>
  <c r="O1276" i="1"/>
  <c r="Q1276" i="1"/>
  <c r="O1269" i="1"/>
  <c r="Q1269" i="1"/>
  <c r="O1183" i="1"/>
  <c r="Q1183" i="1"/>
  <c r="O1175" i="1"/>
  <c r="Q1175" i="1"/>
  <c r="O1134" i="1"/>
  <c r="Q1134" i="1"/>
  <c r="O1126" i="1"/>
  <c r="Q1126" i="1"/>
  <c r="O1118" i="1"/>
  <c r="Q1118" i="1"/>
  <c r="O1110" i="1"/>
  <c r="Q1110" i="1"/>
  <c r="O1102" i="1"/>
  <c r="Q1102" i="1"/>
  <c r="O1094" i="1"/>
  <c r="Q1094" i="1"/>
  <c r="O1086" i="1"/>
  <c r="Q1086" i="1"/>
  <c r="O1078" i="1"/>
  <c r="Q1078" i="1"/>
  <c r="O1070" i="1"/>
  <c r="Q1070" i="1"/>
  <c r="O1062" i="1"/>
  <c r="Q1062" i="1"/>
  <c r="O1054" i="1"/>
  <c r="Q1054" i="1"/>
  <c r="O1046" i="1"/>
  <c r="Q1046" i="1"/>
  <c r="O1038" i="1"/>
  <c r="Q1038" i="1"/>
  <c r="O1030" i="1"/>
  <c r="Q1030" i="1"/>
  <c r="O1022" i="1"/>
  <c r="Q1022" i="1"/>
  <c r="O1014" i="1"/>
  <c r="Q1014" i="1"/>
  <c r="O1006" i="1"/>
  <c r="Q1006" i="1"/>
  <c r="O994" i="1"/>
  <c r="Q994" i="1"/>
  <c r="O986" i="1"/>
  <c r="Q986" i="1"/>
  <c r="O978" i="1"/>
  <c r="Q978" i="1"/>
  <c r="O970" i="1"/>
  <c r="Q970" i="1"/>
  <c r="O962" i="1"/>
  <c r="Q962" i="1"/>
  <c r="O954" i="1"/>
  <c r="Q954" i="1"/>
  <c r="O946" i="1"/>
  <c r="Q946" i="1"/>
  <c r="O938" i="1"/>
  <c r="Q938" i="1"/>
  <c r="O930" i="1"/>
  <c r="Q930" i="1"/>
  <c r="O914" i="1"/>
  <c r="Q914" i="1"/>
  <c r="P714" i="1"/>
  <c r="Q714" i="1"/>
  <c r="O666" i="1"/>
  <c r="Q666" i="1"/>
  <c r="O259" i="1"/>
  <c r="Q259" i="1"/>
  <c r="O251" i="1"/>
  <c r="Q251" i="1"/>
  <c r="O243" i="1"/>
  <c r="Q243" i="1"/>
  <c r="O235" i="1"/>
  <c r="Q235" i="1"/>
  <c r="O227" i="1"/>
  <c r="Q227" i="1"/>
  <c r="O219" i="1"/>
  <c r="Q219" i="1"/>
  <c r="O211" i="1"/>
  <c r="Q211" i="1"/>
  <c r="O203" i="1"/>
  <c r="Q203" i="1"/>
  <c r="O195" i="1"/>
  <c r="Q195" i="1"/>
  <c r="O187" i="1"/>
  <c r="Q187" i="1"/>
  <c r="O179" i="1"/>
  <c r="Q179" i="1"/>
  <c r="O171" i="1"/>
  <c r="Q171" i="1"/>
  <c r="O163" i="1"/>
  <c r="Q163" i="1"/>
  <c r="O156" i="1"/>
  <c r="Q156" i="1"/>
  <c r="O140" i="1"/>
  <c r="Q140" i="1"/>
  <c r="O132" i="1"/>
  <c r="Q132" i="1"/>
  <c r="O124" i="1"/>
  <c r="Q124" i="1"/>
  <c r="O108" i="1"/>
  <c r="Q108" i="1"/>
  <c r="O100" i="1"/>
  <c r="Q100" i="1"/>
  <c r="O92" i="1"/>
  <c r="Q92" i="1"/>
  <c r="P1399" i="1"/>
  <c r="P1392" i="1"/>
  <c r="P1384" i="1"/>
  <c r="P1376" i="1"/>
  <c r="P1123" i="1"/>
  <c r="P1115" i="1"/>
  <c r="P968" i="1"/>
  <c r="P960" i="1"/>
  <c r="P673" i="1"/>
  <c r="P626" i="1"/>
  <c r="P618" i="1"/>
  <c r="P610" i="1"/>
  <c r="P602" i="1"/>
  <c r="P594" i="1"/>
  <c r="P142" i="1"/>
  <c r="P134" i="1"/>
  <c r="P126" i="1"/>
  <c r="P118" i="1"/>
  <c r="P110" i="1"/>
  <c r="P102" i="1"/>
  <c r="P94" i="1"/>
  <c r="Q1398" i="1"/>
  <c r="Q1390" i="1"/>
  <c r="Q1382" i="1"/>
  <c r="Q1374" i="1"/>
  <c r="Q1366" i="1"/>
  <c r="Q1358" i="1"/>
  <c r="Q1350" i="1"/>
  <c r="Q1342" i="1"/>
  <c r="Q1334" i="1"/>
  <c r="Q1326" i="1"/>
  <c r="Q1184" i="1"/>
  <c r="Q1117" i="1"/>
  <c r="Q1053" i="1"/>
  <c r="Q985" i="1"/>
  <c r="Q921" i="1"/>
  <c r="Q665" i="1"/>
  <c r="Q601" i="1"/>
  <c r="Q116" i="1"/>
  <c r="O1302" i="1"/>
  <c r="Q1302" i="1"/>
  <c r="O1278" i="1"/>
  <c r="Q1278" i="1"/>
  <c r="O1177" i="1"/>
  <c r="Q1177" i="1"/>
  <c r="O1072" i="1"/>
  <c r="Q1072" i="1"/>
  <c r="O1016" i="1"/>
  <c r="Q1016" i="1"/>
  <c r="O980" i="1"/>
  <c r="Q980" i="1"/>
  <c r="O940" i="1"/>
  <c r="Q940" i="1"/>
  <c r="O668" i="1"/>
  <c r="Q668" i="1"/>
  <c r="O611" i="1"/>
  <c r="Q611" i="1"/>
  <c r="O229" i="1"/>
  <c r="Q229" i="1"/>
  <c r="O181" i="1"/>
  <c r="Q181" i="1"/>
  <c r="O126" i="1"/>
  <c r="Q126" i="1"/>
  <c r="O1323" i="1"/>
  <c r="Q1323" i="1"/>
  <c r="O1315" i="1"/>
  <c r="Q1315" i="1"/>
  <c r="O1307" i="1"/>
  <c r="Q1307" i="1"/>
  <c r="O1299" i="1"/>
  <c r="Q1299" i="1"/>
  <c r="O1291" i="1"/>
  <c r="Q1291" i="1"/>
  <c r="O1283" i="1"/>
  <c r="Q1283" i="1"/>
  <c r="O1182" i="1"/>
  <c r="Q1182" i="1"/>
  <c r="O1174" i="1"/>
  <c r="Q1174" i="1"/>
  <c r="O1167" i="1"/>
  <c r="Q1167" i="1"/>
  <c r="O1159" i="1"/>
  <c r="Q1159" i="1"/>
  <c r="O1151" i="1"/>
  <c r="Q1151" i="1"/>
  <c r="O656" i="1"/>
  <c r="Q656" i="1"/>
  <c r="O648" i="1"/>
  <c r="Q648" i="1"/>
  <c r="O640" i="1"/>
  <c r="Q640" i="1"/>
  <c r="O632" i="1"/>
  <c r="Q632" i="1"/>
  <c r="O624" i="1"/>
  <c r="Q624" i="1"/>
  <c r="O616" i="1"/>
  <c r="Q616" i="1"/>
  <c r="O608" i="1"/>
  <c r="Q608" i="1"/>
  <c r="O600" i="1"/>
  <c r="Q600" i="1"/>
  <c r="O592" i="1"/>
  <c r="Q592" i="1"/>
  <c r="O258" i="1"/>
  <c r="Q258" i="1"/>
  <c r="O250" i="1"/>
  <c r="Q250" i="1"/>
  <c r="O242" i="1"/>
  <c r="Q242" i="1"/>
  <c r="O234" i="1"/>
  <c r="Q234" i="1"/>
  <c r="O226" i="1"/>
  <c r="Q226" i="1"/>
  <c r="O218" i="1"/>
  <c r="Q218" i="1"/>
  <c r="O210" i="1"/>
  <c r="Q210" i="1"/>
  <c r="O202" i="1"/>
  <c r="Q202" i="1"/>
  <c r="O194" i="1"/>
  <c r="Q194" i="1"/>
  <c r="O186" i="1"/>
  <c r="Q186" i="1"/>
  <c r="O178" i="1"/>
  <c r="Q178" i="1"/>
  <c r="O170" i="1"/>
  <c r="Q170" i="1"/>
  <c r="O162" i="1"/>
  <c r="Q162" i="1"/>
  <c r="O155" i="1"/>
  <c r="Q155" i="1"/>
  <c r="O147" i="1"/>
  <c r="Q147" i="1"/>
  <c r="O139" i="1"/>
  <c r="Q139" i="1"/>
  <c r="O131" i="1"/>
  <c r="Q131" i="1"/>
  <c r="O123" i="1"/>
  <c r="Q123" i="1"/>
  <c r="O115" i="1"/>
  <c r="Q115" i="1"/>
  <c r="O107" i="1"/>
  <c r="Q107" i="1"/>
  <c r="O99" i="1"/>
  <c r="Q99" i="1"/>
  <c r="P1391" i="1"/>
  <c r="P1383" i="1"/>
  <c r="P1375" i="1"/>
  <c r="P1367" i="1"/>
  <c r="P1359" i="1"/>
  <c r="P1351" i="1"/>
  <c r="P1343" i="1"/>
  <c r="P1335" i="1"/>
  <c r="P1327" i="1"/>
  <c r="P1288" i="1"/>
  <c r="P1163" i="1"/>
  <c r="P1156" i="1"/>
  <c r="P1148" i="1"/>
  <c r="P1130" i="1"/>
  <c r="P975" i="1"/>
  <c r="P672" i="1"/>
  <c r="P664" i="1"/>
  <c r="P244" i="1"/>
  <c r="P236" i="1"/>
  <c r="P221" i="1"/>
  <c r="P213" i="1"/>
  <c r="P205" i="1"/>
  <c r="P197" i="1"/>
  <c r="P189" i="1"/>
  <c r="P181" i="1"/>
  <c r="P173" i="1"/>
  <c r="P165" i="1"/>
  <c r="P157" i="1"/>
  <c r="P149" i="1"/>
  <c r="Q1397" i="1"/>
  <c r="Q1389" i="1"/>
  <c r="Q1381" i="1"/>
  <c r="Q1373" i="1"/>
  <c r="Q1365" i="1"/>
  <c r="Q1357" i="1"/>
  <c r="Q1349" i="1"/>
  <c r="Q1341" i="1"/>
  <c r="Q1333" i="1"/>
  <c r="Q1319" i="1"/>
  <c r="Q1176" i="1"/>
  <c r="Q1109" i="1"/>
  <c r="Q1045" i="1"/>
  <c r="Q977" i="1"/>
  <c r="Q913" i="1"/>
  <c r="Q657" i="1"/>
  <c r="Q593" i="1"/>
  <c r="O1294" i="1"/>
  <c r="Q1294" i="1"/>
  <c r="O1185" i="1"/>
  <c r="Q1185" i="1"/>
  <c r="O1154" i="1"/>
  <c r="Q1154" i="1"/>
  <c r="O1064" i="1"/>
  <c r="Q1064" i="1"/>
  <c r="O1056" i="1"/>
  <c r="Q1056" i="1"/>
  <c r="O956" i="1"/>
  <c r="Q956" i="1"/>
  <c r="O659" i="1"/>
  <c r="Q659" i="1"/>
  <c r="O595" i="1"/>
  <c r="Q595" i="1"/>
  <c r="O213" i="1"/>
  <c r="Q213" i="1"/>
  <c r="O150" i="1"/>
  <c r="Q150" i="1"/>
  <c r="O94" i="1"/>
  <c r="Q94" i="1"/>
  <c r="Q1069" i="1"/>
  <c r="O1322" i="1"/>
  <c r="Q1322" i="1"/>
  <c r="O1314" i="1"/>
  <c r="Q1314" i="1"/>
  <c r="O1306" i="1"/>
  <c r="Q1306" i="1"/>
  <c r="O1298" i="1"/>
  <c r="Q1298" i="1"/>
  <c r="O1290" i="1"/>
  <c r="Q1290" i="1"/>
  <c r="O1282" i="1"/>
  <c r="Q1282" i="1"/>
  <c r="O1275" i="1"/>
  <c r="Q1275" i="1"/>
  <c r="O1268" i="1"/>
  <c r="Q1268" i="1"/>
  <c r="O1181" i="1"/>
  <c r="Q1181" i="1"/>
  <c r="O1173" i="1"/>
  <c r="Q1173" i="1"/>
  <c r="O1166" i="1"/>
  <c r="Q1166" i="1"/>
  <c r="O1158" i="1"/>
  <c r="Q1158" i="1"/>
  <c r="O1150" i="1"/>
  <c r="Q1150" i="1"/>
  <c r="O1140" i="1"/>
  <c r="Q1140" i="1"/>
  <c r="O1132" i="1"/>
  <c r="Q1132" i="1"/>
  <c r="O1124" i="1"/>
  <c r="Q1124" i="1"/>
  <c r="O1116" i="1"/>
  <c r="Q1116" i="1"/>
  <c r="O1108" i="1"/>
  <c r="Q1108" i="1"/>
  <c r="O1100" i="1"/>
  <c r="Q1100" i="1"/>
  <c r="O1092" i="1"/>
  <c r="Q1092" i="1"/>
  <c r="O1084" i="1"/>
  <c r="Q1084" i="1"/>
  <c r="O1076" i="1"/>
  <c r="Q1076" i="1"/>
  <c r="O1068" i="1"/>
  <c r="Q1068" i="1"/>
  <c r="O1060" i="1"/>
  <c r="Q1060" i="1"/>
  <c r="O1052" i="1"/>
  <c r="Q1052" i="1"/>
  <c r="O1044" i="1"/>
  <c r="Q1044" i="1"/>
  <c r="O1036" i="1"/>
  <c r="Q1036" i="1"/>
  <c r="O1028" i="1"/>
  <c r="Q1028" i="1"/>
  <c r="O1020" i="1"/>
  <c r="Q1020" i="1"/>
  <c r="O1004" i="1"/>
  <c r="Q1004" i="1"/>
  <c r="O992" i="1"/>
  <c r="Q992" i="1"/>
  <c r="O984" i="1"/>
  <c r="Q984" i="1"/>
  <c r="O976" i="1"/>
  <c r="Q976" i="1"/>
  <c r="O968" i="1"/>
  <c r="Q968" i="1"/>
  <c r="O960" i="1"/>
  <c r="Q960" i="1"/>
  <c r="O952" i="1"/>
  <c r="Q952" i="1"/>
  <c r="O944" i="1"/>
  <c r="Q944" i="1"/>
  <c r="O936" i="1"/>
  <c r="Q936" i="1"/>
  <c r="O928" i="1"/>
  <c r="Q928" i="1"/>
  <c r="O920" i="1"/>
  <c r="Q920" i="1"/>
  <c r="O912" i="1"/>
  <c r="Q912" i="1"/>
  <c r="O712" i="1"/>
  <c r="Q712" i="1"/>
  <c r="O696" i="1"/>
  <c r="Q696" i="1"/>
  <c r="O680" i="1"/>
  <c r="Q680" i="1"/>
  <c r="O672" i="1"/>
  <c r="Q672" i="1"/>
  <c r="O664" i="1"/>
  <c r="Q664" i="1"/>
  <c r="O655" i="1"/>
  <c r="Q655" i="1"/>
  <c r="O647" i="1"/>
  <c r="Q647" i="1"/>
  <c r="O639" i="1"/>
  <c r="Q639" i="1"/>
  <c r="O631" i="1"/>
  <c r="Q631" i="1"/>
  <c r="O623" i="1"/>
  <c r="Q623" i="1"/>
  <c r="O615" i="1"/>
  <c r="Q615" i="1"/>
  <c r="O607" i="1"/>
  <c r="Q607" i="1"/>
  <c r="O599" i="1"/>
  <c r="Q599" i="1"/>
  <c r="O591" i="1"/>
  <c r="Q591" i="1"/>
  <c r="O265" i="1"/>
  <c r="Q265" i="1"/>
  <c r="O257" i="1"/>
  <c r="Q257" i="1"/>
  <c r="O249" i="1"/>
  <c r="Q249" i="1"/>
  <c r="O241" i="1"/>
  <c r="Q241" i="1"/>
  <c r="O233" i="1"/>
  <c r="Q233" i="1"/>
  <c r="O225" i="1"/>
  <c r="Q225" i="1"/>
  <c r="O217" i="1"/>
  <c r="Q217" i="1"/>
  <c r="O209" i="1"/>
  <c r="Q209" i="1"/>
  <c r="O201" i="1"/>
  <c r="Q201" i="1"/>
  <c r="O193" i="1"/>
  <c r="Q193" i="1"/>
  <c r="O185" i="1"/>
  <c r="Q185" i="1"/>
  <c r="O177" i="1"/>
  <c r="Q177" i="1"/>
  <c r="O169" i="1"/>
  <c r="Q169" i="1"/>
  <c r="O161" i="1"/>
  <c r="Q161" i="1"/>
  <c r="O154" i="1"/>
  <c r="Q154" i="1"/>
  <c r="O146" i="1"/>
  <c r="Q146" i="1"/>
  <c r="O138" i="1"/>
  <c r="Q138" i="1"/>
  <c r="O130" i="1"/>
  <c r="Q130" i="1"/>
  <c r="O122" i="1"/>
  <c r="Q122" i="1"/>
  <c r="O114" i="1"/>
  <c r="Q114" i="1"/>
  <c r="O106" i="1"/>
  <c r="Q106" i="1"/>
  <c r="O98" i="1"/>
  <c r="Q98" i="1"/>
  <c r="P1398" i="1"/>
  <c r="P1390" i="1"/>
  <c r="P1382" i="1"/>
  <c r="P1374" i="1"/>
  <c r="P1366" i="1"/>
  <c r="P1358" i="1"/>
  <c r="P1350" i="1"/>
  <c r="P1342" i="1"/>
  <c r="P1334" i="1"/>
  <c r="P1326" i="1"/>
  <c r="P1311" i="1"/>
  <c r="P1303" i="1"/>
  <c r="P1295" i="1"/>
  <c r="P1280" i="1"/>
  <c r="P1272" i="1"/>
  <c r="P1170" i="1"/>
  <c r="P990" i="1"/>
  <c r="P982" i="1"/>
  <c r="P679" i="1"/>
  <c r="P212" i="1"/>
  <c r="O1012" i="1"/>
  <c r="Q1396" i="1"/>
  <c r="Q1388" i="1"/>
  <c r="Q1380" i="1"/>
  <c r="Q1372" i="1"/>
  <c r="Q1364" i="1"/>
  <c r="Q1356" i="1"/>
  <c r="Q1348" i="1"/>
  <c r="Q1340" i="1"/>
  <c r="Q1332" i="1"/>
  <c r="Q1311" i="1"/>
  <c r="Q1168" i="1"/>
  <c r="Q1101" i="1"/>
  <c r="Q1037" i="1"/>
  <c r="Q969" i="1"/>
  <c r="Q649" i="1"/>
  <c r="O1162" i="1"/>
  <c r="Q1162" i="1"/>
  <c r="O1080" i="1"/>
  <c r="Q1080" i="1"/>
  <c r="O1008" i="1"/>
  <c r="Q1008" i="1"/>
  <c r="O972" i="1"/>
  <c r="Q972" i="1"/>
  <c r="O916" i="1"/>
  <c r="Q916" i="1"/>
  <c r="O692" i="1"/>
  <c r="Q692" i="1"/>
  <c r="O627" i="1"/>
  <c r="Q627" i="1"/>
  <c r="O261" i="1"/>
  <c r="Q261" i="1"/>
  <c r="O221" i="1"/>
  <c r="Q221" i="1"/>
  <c r="O173" i="1"/>
  <c r="Q173" i="1"/>
  <c r="O118" i="1"/>
  <c r="Q118" i="1"/>
  <c r="O1321" i="1"/>
  <c r="Q1321" i="1"/>
  <c r="O1313" i="1"/>
  <c r="Q1313" i="1"/>
  <c r="O1305" i="1"/>
  <c r="Q1305" i="1"/>
  <c r="O1297" i="1"/>
  <c r="Q1297" i="1"/>
  <c r="O1289" i="1"/>
  <c r="Q1289" i="1"/>
  <c r="O1281" i="1"/>
  <c r="Q1281" i="1"/>
  <c r="O1274" i="1"/>
  <c r="Q1274" i="1"/>
  <c r="O1267" i="1"/>
  <c r="Q1267" i="1"/>
  <c r="O1180" i="1"/>
  <c r="Q1180" i="1"/>
  <c r="O1172" i="1"/>
  <c r="Q1172" i="1"/>
  <c r="O1165" i="1"/>
  <c r="Q1165" i="1"/>
  <c r="O1157" i="1"/>
  <c r="Q1157" i="1"/>
  <c r="O1149" i="1"/>
  <c r="Q1149" i="1"/>
  <c r="O1139" i="1"/>
  <c r="Q1139" i="1"/>
  <c r="O1131" i="1"/>
  <c r="Q1131" i="1"/>
  <c r="O1123" i="1"/>
  <c r="Q1123" i="1"/>
  <c r="O1115" i="1"/>
  <c r="Q1115" i="1"/>
  <c r="O1107" i="1"/>
  <c r="Q1107" i="1"/>
  <c r="O1099" i="1"/>
  <c r="Q1099" i="1"/>
  <c r="O1091" i="1"/>
  <c r="Q1091" i="1"/>
  <c r="O1083" i="1"/>
  <c r="Q1083" i="1"/>
  <c r="O1075" i="1"/>
  <c r="Q1075" i="1"/>
  <c r="O1067" i="1"/>
  <c r="Q1067" i="1"/>
  <c r="O1059" i="1"/>
  <c r="Q1059" i="1"/>
  <c r="O1051" i="1"/>
  <c r="Q1051" i="1"/>
  <c r="O1043" i="1"/>
  <c r="Q1043" i="1"/>
  <c r="O1035" i="1"/>
  <c r="Q1035" i="1"/>
  <c r="O1027" i="1"/>
  <c r="Q1027" i="1"/>
  <c r="O1019" i="1"/>
  <c r="Q1019" i="1"/>
  <c r="O1011" i="1"/>
  <c r="Q1011" i="1"/>
  <c r="O1003" i="1"/>
  <c r="Q1003" i="1"/>
  <c r="O991" i="1"/>
  <c r="Q991" i="1"/>
  <c r="O983" i="1"/>
  <c r="Q983" i="1"/>
  <c r="O975" i="1"/>
  <c r="Q975" i="1"/>
  <c r="O967" i="1"/>
  <c r="Q967" i="1"/>
  <c r="O959" i="1"/>
  <c r="Q959" i="1"/>
  <c r="O951" i="1"/>
  <c r="Q951" i="1"/>
  <c r="O943" i="1"/>
  <c r="Q943" i="1"/>
  <c r="O935" i="1"/>
  <c r="Q935" i="1"/>
  <c r="O927" i="1"/>
  <c r="Q927" i="1"/>
  <c r="O919" i="1"/>
  <c r="Q919" i="1"/>
  <c r="O911" i="1"/>
  <c r="Q911" i="1"/>
  <c r="O703" i="1"/>
  <c r="Q703" i="1"/>
  <c r="O695" i="1"/>
  <c r="Q695" i="1"/>
  <c r="O679" i="1"/>
  <c r="Q679" i="1"/>
  <c r="O671" i="1"/>
  <c r="Q671" i="1"/>
  <c r="O663" i="1"/>
  <c r="Q663" i="1"/>
  <c r="O654" i="1"/>
  <c r="Q654" i="1"/>
  <c r="O646" i="1"/>
  <c r="Q646" i="1"/>
  <c r="O638" i="1"/>
  <c r="Q638" i="1"/>
  <c r="O630" i="1"/>
  <c r="Q630" i="1"/>
  <c r="O622" i="1"/>
  <c r="Q622" i="1"/>
  <c r="O614" i="1"/>
  <c r="Q614" i="1"/>
  <c r="O606" i="1"/>
  <c r="Q606" i="1"/>
  <c r="O598" i="1"/>
  <c r="Q598" i="1"/>
  <c r="O264" i="1"/>
  <c r="Q264" i="1"/>
  <c r="O256" i="1"/>
  <c r="Q256" i="1"/>
  <c r="O240" i="1"/>
  <c r="Q240" i="1"/>
  <c r="O232" i="1"/>
  <c r="Q232" i="1"/>
  <c r="O224" i="1"/>
  <c r="Q224" i="1"/>
  <c r="O216" i="1"/>
  <c r="Q216" i="1"/>
  <c r="O208" i="1"/>
  <c r="Q208" i="1"/>
  <c r="O200" i="1"/>
  <c r="Q200" i="1"/>
  <c r="O192" i="1"/>
  <c r="Q192" i="1"/>
  <c r="O184" i="1"/>
  <c r="Q184" i="1"/>
  <c r="O176" i="1"/>
  <c r="Q176" i="1"/>
  <c r="O168" i="1"/>
  <c r="Q168" i="1"/>
  <c r="O160" i="1"/>
  <c r="Q160" i="1"/>
  <c r="O153" i="1"/>
  <c r="Q153" i="1"/>
  <c r="O145" i="1"/>
  <c r="Q145" i="1"/>
  <c r="O137" i="1"/>
  <c r="Q137" i="1"/>
  <c r="O129" i="1"/>
  <c r="Q129" i="1"/>
  <c r="O121" i="1"/>
  <c r="Q121" i="1"/>
  <c r="O113" i="1"/>
  <c r="Q113" i="1"/>
  <c r="O105" i="1"/>
  <c r="Q105" i="1"/>
  <c r="O97" i="1"/>
  <c r="Q97" i="1"/>
  <c r="P1397" i="1"/>
  <c r="P1389" i="1"/>
  <c r="P1381" i="1"/>
  <c r="P1373" i="1"/>
  <c r="P1365" i="1"/>
  <c r="P1357" i="1"/>
  <c r="P1349" i="1"/>
  <c r="P1341" i="1"/>
  <c r="P1333" i="1"/>
  <c r="P1325" i="1"/>
  <c r="P1318" i="1"/>
  <c r="P1310" i="1"/>
  <c r="P1302" i="1"/>
  <c r="P1294" i="1"/>
  <c r="P1286" i="1"/>
  <c r="P1279" i="1"/>
  <c r="P1271" i="1"/>
  <c r="P1185" i="1"/>
  <c r="P1177" i="1"/>
  <c r="P1161" i="1"/>
  <c r="P1009" i="1"/>
  <c r="P941" i="1"/>
  <c r="P266" i="1"/>
  <c r="Q1395" i="1"/>
  <c r="Q1387" i="1"/>
  <c r="Q1379" i="1"/>
  <c r="Q1371" i="1"/>
  <c r="Q1363" i="1"/>
  <c r="Q1355" i="1"/>
  <c r="Q1347" i="1"/>
  <c r="Q1339" i="1"/>
  <c r="Q1331" i="1"/>
  <c r="Q1303" i="1"/>
  <c r="Q1160" i="1"/>
  <c r="Q1093" i="1"/>
  <c r="Q1029" i="1"/>
  <c r="Q961" i="1"/>
  <c r="Q641" i="1"/>
  <c r="O1169" i="1"/>
  <c r="Q1169" i="1"/>
  <c r="O1136" i="1"/>
  <c r="Q1136" i="1"/>
  <c r="O1120" i="1"/>
  <c r="Q1120" i="1"/>
  <c r="O1112" i="1"/>
  <c r="Q1112" i="1"/>
  <c r="O1048" i="1"/>
  <c r="Q1048" i="1"/>
  <c r="O996" i="1"/>
  <c r="Q996" i="1"/>
  <c r="O948" i="1"/>
  <c r="Q948" i="1"/>
  <c r="O635" i="1"/>
  <c r="Q635" i="1"/>
  <c r="O197" i="1"/>
  <c r="Q197" i="1"/>
  <c r="O142" i="1"/>
  <c r="Q142" i="1"/>
  <c r="O1320" i="1"/>
  <c r="Q1320" i="1"/>
  <c r="O1312" i="1"/>
  <c r="Q1312" i="1"/>
  <c r="O1304" i="1"/>
  <c r="Q1304" i="1"/>
  <c r="O1296" i="1"/>
  <c r="Q1296" i="1"/>
  <c r="O1288" i="1"/>
  <c r="Q1288" i="1"/>
  <c r="O1280" i="1"/>
  <c r="Q1280" i="1"/>
  <c r="O1273" i="1"/>
  <c r="Q1273" i="1"/>
  <c r="O1266" i="1"/>
  <c r="Q1266" i="1"/>
  <c r="O1179" i="1"/>
  <c r="Q1179" i="1"/>
  <c r="O1171" i="1"/>
  <c r="Q1171" i="1"/>
  <c r="O1164" i="1"/>
  <c r="Q1164" i="1"/>
  <c r="O1156" i="1"/>
  <c r="Q1156" i="1"/>
  <c r="O1148" i="1"/>
  <c r="Q1148" i="1"/>
  <c r="O1138" i="1"/>
  <c r="Q1138" i="1"/>
  <c r="O1130" i="1"/>
  <c r="Q1130" i="1"/>
  <c r="O1122" i="1"/>
  <c r="Q1122" i="1"/>
  <c r="O1114" i="1"/>
  <c r="Q1114" i="1"/>
  <c r="O1106" i="1"/>
  <c r="Q1106" i="1"/>
  <c r="O1098" i="1"/>
  <c r="Q1098" i="1"/>
  <c r="O1090" i="1"/>
  <c r="Q1090" i="1"/>
  <c r="O1082" i="1"/>
  <c r="Q1082" i="1"/>
  <c r="O1074" i="1"/>
  <c r="Q1074" i="1"/>
  <c r="O1066" i="1"/>
  <c r="Q1066" i="1"/>
  <c r="O1058" i="1"/>
  <c r="Q1058" i="1"/>
  <c r="O1050" i="1"/>
  <c r="Q1050" i="1"/>
  <c r="O1042" i="1"/>
  <c r="Q1042" i="1"/>
  <c r="O1034" i="1"/>
  <c r="Q1034" i="1"/>
  <c r="O1026" i="1"/>
  <c r="Q1026" i="1"/>
  <c r="O1018" i="1"/>
  <c r="Q1018" i="1"/>
  <c r="O1010" i="1"/>
  <c r="Q1010" i="1"/>
  <c r="O990" i="1"/>
  <c r="Q990" i="1"/>
  <c r="O982" i="1"/>
  <c r="Q982" i="1"/>
  <c r="O974" i="1"/>
  <c r="Q974" i="1"/>
  <c r="O966" i="1"/>
  <c r="Q966" i="1"/>
  <c r="O958" i="1"/>
  <c r="Q958" i="1"/>
  <c r="O950" i="1"/>
  <c r="Q950" i="1"/>
  <c r="O942" i="1"/>
  <c r="Q942" i="1"/>
  <c r="O934" i="1"/>
  <c r="Q934" i="1"/>
  <c r="O926" i="1"/>
  <c r="Q926" i="1"/>
  <c r="O918" i="1"/>
  <c r="Q918" i="1"/>
  <c r="O910" i="1"/>
  <c r="Q910" i="1"/>
  <c r="O678" i="1"/>
  <c r="Q678" i="1"/>
  <c r="O670" i="1"/>
  <c r="Q670" i="1"/>
  <c r="O661" i="1"/>
  <c r="Q661" i="1"/>
  <c r="O653" i="1"/>
  <c r="Q653" i="1"/>
  <c r="O645" i="1"/>
  <c r="Q645" i="1"/>
  <c r="O637" i="1"/>
  <c r="Q637" i="1"/>
  <c r="O629" i="1"/>
  <c r="Q629" i="1"/>
  <c r="O621" i="1"/>
  <c r="Q621" i="1"/>
  <c r="O613" i="1"/>
  <c r="Q613" i="1"/>
  <c r="O605" i="1"/>
  <c r="Q605" i="1"/>
  <c r="O597" i="1"/>
  <c r="Q597" i="1"/>
  <c r="O263" i="1"/>
  <c r="Q263" i="1"/>
  <c r="O255" i="1"/>
  <c r="Q255" i="1"/>
  <c r="O247" i="1"/>
  <c r="Q247" i="1"/>
  <c r="O239" i="1"/>
  <c r="Q239" i="1"/>
  <c r="O231" i="1"/>
  <c r="Q231" i="1"/>
  <c r="O223" i="1"/>
  <c r="Q223" i="1"/>
  <c r="O215" i="1"/>
  <c r="Q215" i="1"/>
  <c r="O207" i="1"/>
  <c r="Q207" i="1"/>
  <c r="O199" i="1"/>
  <c r="Q199" i="1"/>
  <c r="O191" i="1"/>
  <c r="Q191" i="1"/>
  <c r="O183" i="1"/>
  <c r="Q183" i="1"/>
  <c r="O175" i="1"/>
  <c r="Q175" i="1"/>
  <c r="O167" i="1"/>
  <c r="Q167" i="1"/>
  <c r="O152" i="1"/>
  <c r="Q152" i="1"/>
  <c r="O144" i="1"/>
  <c r="Q144" i="1"/>
  <c r="O136" i="1"/>
  <c r="Q136" i="1"/>
  <c r="O128" i="1"/>
  <c r="Q128" i="1"/>
  <c r="O120" i="1"/>
  <c r="Q120" i="1"/>
  <c r="O112" i="1"/>
  <c r="Q112" i="1"/>
  <c r="O104" i="1"/>
  <c r="Q104" i="1"/>
  <c r="O96" i="1"/>
  <c r="Q96" i="1"/>
  <c r="P1396" i="1"/>
  <c r="P1388" i="1"/>
  <c r="P1380" i="1"/>
  <c r="P1372" i="1"/>
  <c r="P1364" i="1"/>
  <c r="P1356" i="1"/>
  <c r="P1348" i="1"/>
  <c r="P1340" i="1"/>
  <c r="P1332" i="1"/>
  <c r="P1324" i="1"/>
  <c r="P1317" i="1"/>
  <c r="P1309" i="1"/>
  <c r="P1301" i="1"/>
  <c r="P1176" i="1"/>
  <c r="P1168" i="1"/>
  <c r="P1153" i="1"/>
  <c r="P1142" i="1"/>
  <c r="P1016" i="1"/>
  <c r="P265" i="1"/>
  <c r="Q1394" i="1"/>
  <c r="Q1386" i="1"/>
  <c r="Q1378" i="1"/>
  <c r="Q1370" i="1"/>
  <c r="Q1362" i="1"/>
  <c r="Q1354" i="1"/>
  <c r="Q1346" i="1"/>
  <c r="Q1338" i="1"/>
  <c r="Q1330" i="1"/>
  <c r="Q1295" i="1"/>
  <c r="Q1152" i="1"/>
  <c r="Q1085" i="1"/>
  <c r="Q1021" i="1"/>
  <c r="Q953" i="1"/>
  <c r="Q633" i="1"/>
  <c r="Q244" i="1"/>
  <c r="O1146" i="1"/>
  <c r="Q1146" i="1"/>
  <c r="O1088" i="1"/>
  <c r="Q1088" i="1"/>
  <c r="O1032" i="1"/>
  <c r="Q1032" i="1"/>
  <c r="O988" i="1"/>
  <c r="Q988" i="1"/>
  <c r="O932" i="1"/>
  <c r="Q932" i="1"/>
  <c r="O651" i="1"/>
  <c r="Q651" i="1"/>
  <c r="O603" i="1"/>
  <c r="Q603" i="1"/>
  <c r="O205" i="1"/>
  <c r="Q205" i="1"/>
  <c r="O165" i="1"/>
  <c r="Q165" i="1"/>
  <c r="O102" i="1"/>
  <c r="Q102" i="1"/>
  <c r="O1272" i="1"/>
  <c r="Q1272" i="1"/>
  <c r="O1186" i="1"/>
  <c r="Q1186" i="1"/>
  <c r="O1178" i="1"/>
  <c r="Q1178" i="1"/>
  <c r="O1170" i="1"/>
  <c r="Q1170" i="1"/>
  <c r="O1163" i="1"/>
  <c r="Q1163" i="1"/>
  <c r="O1155" i="1"/>
  <c r="Q1155" i="1"/>
  <c r="O1147" i="1"/>
  <c r="Q1147" i="1"/>
  <c r="O1137" i="1"/>
  <c r="Q1137" i="1"/>
  <c r="O1129" i="1"/>
  <c r="Q1129" i="1"/>
  <c r="O1121" i="1"/>
  <c r="Q1121" i="1"/>
  <c r="O1113" i="1"/>
  <c r="Q1113" i="1"/>
  <c r="O1105" i="1"/>
  <c r="Q1105" i="1"/>
  <c r="O1097" i="1"/>
  <c r="Q1097" i="1"/>
  <c r="O1089" i="1"/>
  <c r="Q1089" i="1"/>
  <c r="O1081" i="1"/>
  <c r="Q1081" i="1"/>
  <c r="O1073" i="1"/>
  <c r="Q1073" i="1"/>
  <c r="O1065" i="1"/>
  <c r="Q1065" i="1"/>
  <c r="O1057" i="1"/>
  <c r="Q1057" i="1"/>
  <c r="O1049" i="1"/>
  <c r="Q1049" i="1"/>
  <c r="O1041" i="1"/>
  <c r="Q1041" i="1"/>
  <c r="O1033" i="1"/>
  <c r="Q1033" i="1"/>
  <c r="O1025" i="1"/>
  <c r="Q1025" i="1"/>
  <c r="O1017" i="1"/>
  <c r="Q1017" i="1"/>
  <c r="O1009" i="1"/>
  <c r="Q1009" i="1"/>
  <c r="O989" i="1"/>
  <c r="Q989" i="1"/>
  <c r="O981" i="1"/>
  <c r="Q981" i="1"/>
  <c r="O973" i="1"/>
  <c r="Q973" i="1"/>
  <c r="O965" i="1"/>
  <c r="Q965" i="1"/>
  <c r="O957" i="1"/>
  <c r="Q957" i="1"/>
  <c r="O949" i="1"/>
  <c r="Q949" i="1"/>
  <c r="O941" i="1"/>
  <c r="Q941" i="1"/>
  <c r="O933" i="1"/>
  <c r="Q933" i="1"/>
  <c r="O925" i="1"/>
  <c r="Q925" i="1"/>
  <c r="O909" i="1"/>
  <c r="Q909" i="1"/>
  <c r="O701" i="1"/>
  <c r="Q701" i="1"/>
  <c r="O677" i="1"/>
  <c r="Q677" i="1"/>
  <c r="O669" i="1"/>
  <c r="Q669" i="1"/>
  <c r="O660" i="1"/>
  <c r="Q660" i="1"/>
  <c r="O652" i="1"/>
  <c r="Q652" i="1"/>
  <c r="O644" i="1"/>
  <c r="Q644" i="1"/>
  <c r="O636" i="1"/>
  <c r="Q636" i="1"/>
  <c r="O628" i="1"/>
  <c r="Q628" i="1"/>
  <c r="O620" i="1"/>
  <c r="Q620" i="1"/>
  <c r="O612" i="1"/>
  <c r="Q612" i="1"/>
  <c r="O604" i="1"/>
  <c r="Q604" i="1"/>
  <c r="O596" i="1"/>
  <c r="Q596" i="1"/>
  <c r="O262" i="1"/>
  <c r="Q262" i="1"/>
  <c r="O254" i="1"/>
  <c r="Q254" i="1"/>
  <c r="O238" i="1"/>
  <c r="Q238" i="1"/>
  <c r="O230" i="1"/>
  <c r="Q230" i="1"/>
  <c r="O222" i="1"/>
  <c r="Q222" i="1"/>
  <c r="O214" i="1"/>
  <c r="Q214" i="1"/>
  <c r="O206" i="1"/>
  <c r="Q206" i="1"/>
  <c r="O198" i="1"/>
  <c r="Q198" i="1"/>
  <c r="O190" i="1"/>
  <c r="Q190" i="1"/>
  <c r="O182" i="1"/>
  <c r="Q182" i="1"/>
  <c r="O174" i="1"/>
  <c r="Q174" i="1"/>
  <c r="O166" i="1"/>
  <c r="Q166" i="1"/>
  <c r="O159" i="1"/>
  <c r="Q159" i="1"/>
  <c r="O151" i="1"/>
  <c r="Q151" i="1"/>
  <c r="O143" i="1"/>
  <c r="Q143" i="1"/>
  <c r="O135" i="1"/>
  <c r="Q135" i="1"/>
  <c r="O127" i="1"/>
  <c r="Q127" i="1"/>
  <c r="O119" i="1"/>
  <c r="Q119" i="1"/>
  <c r="O111" i="1"/>
  <c r="Q111" i="1"/>
  <c r="O103" i="1"/>
  <c r="Q103" i="1"/>
  <c r="O95" i="1"/>
  <c r="Q95" i="1"/>
  <c r="P1395" i="1"/>
  <c r="P1387" i="1"/>
  <c r="P1379" i="1"/>
  <c r="P1371" i="1"/>
  <c r="P1363" i="1"/>
  <c r="P1355" i="1"/>
  <c r="P1347" i="1"/>
  <c r="P1339" i="1"/>
  <c r="P1331" i="1"/>
  <c r="P1323" i="1"/>
  <c r="P1316" i="1"/>
  <c r="P1308" i="1"/>
  <c r="P1300" i="1"/>
  <c r="P1134" i="1"/>
  <c r="P1126" i="1"/>
  <c r="P1118" i="1"/>
  <c r="P1110" i="1"/>
  <c r="P1094" i="1"/>
  <c r="P1086" i="1"/>
  <c r="P1078" i="1"/>
  <c r="P1070" i="1"/>
  <c r="P1062" i="1"/>
  <c r="P1031" i="1"/>
  <c r="P1023" i="1"/>
  <c r="P915" i="1"/>
  <c r="Q1393" i="1"/>
  <c r="Q1385" i="1"/>
  <c r="Q1377" i="1"/>
  <c r="Q1369" i="1"/>
  <c r="Q1361" i="1"/>
  <c r="Q1353" i="1"/>
  <c r="Q1345" i="1"/>
  <c r="Q1337" i="1"/>
  <c r="Q1329" i="1"/>
  <c r="Q1287" i="1"/>
  <c r="Q1141" i="1"/>
  <c r="Q1077" i="1"/>
  <c r="Q1013" i="1"/>
  <c r="Q945" i="1"/>
  <c r="Q689" i="1"/>
  <c r="Q625" i="1"/>
  <c r="Q212" i="1"/>
  <c r="P1393" i="1"/>
  <c r="P1385" i="1"/>
  <c r="P1377" i="1"/>
  <c r="P1369" i="1"/>
  <c r="P1361" i="1"/>
  <c r="P1353" i="1"/>
  <c r="P1345" i="1"/>
  <c r="P1337" i="1"/>
  <c r="P1329" i="1"/>
  <c r="P1321" i="1"/>
  <c r="P1108" i="1"/>
  <c r="P1100" i="1"/>
  <c r="P1092" i="1"/>
  <c r="P1021" i="1"/>
  <c r="P993" i="1"/>
  <c r="P977" i="1"/>
  <c r="P969" i="1"/>
  <c r="P953" i="1"/>
  <c r="P690" i="1"/>
  <c r="P666" i="1"/>
  <c r="P1313" i="1"/>
  <c r="P1305" i="1"/>
  <c r="P1297" i="1"/>
  <c r="P657" i="1"/>
  <c r="P649" i="1"/>
  <c r="P641" i="1"/>
  <c r="P633" i="1"/>
  <c r="P609" i="1"/>
  <c r="P148" i="1"/>
  <c r="P116" i="1"/>
  <c r="P946" i="1"/>
  <c r="P938" i="1"/>
  <c r="P930" i="1"/>
  <c r="P914" i="1"/>
  <c r="P1293" i="1"/>
  <c r="P1285" i="1"/>
  <c r="P1278" i="1"/>
  <c r="P1184" i="1"/>
  <c r="P1162" i="1"/>
  <c r="P1155" i="1"/>
  <c r="P1147" i="1"/>
  <c r="P1129" i="1"/>
  <c r="P1122" i="1"/>
  <c r="P1114" i="1"/>
  <c r="P1107" i="1"/>
  <c r="P1099" i="1"/>
  <c r="P1091" i="1"/>
  <c r="P1084" i="1"/>
  <c r="P1076" i="1"/>
  <c r="P1068" i="1"/>
  <c r="P1053" i="1"/>
  <c r="P1045" i="1"/>
  <c r="P1015" i="1"/>
  <c r="P1008" i="1"/>
  <c r="P996" i="1"/>
  <c r="P989" i="1"/>
  <c r="P981" i="1"/>
  <c r="P974" i="1"/>
  <c r="P967" i="1"/>
  <c r="P959" i="1"/>
  <c r="P952" i="1"/>
  <c r="P944" i="1"/>
  <c r="P937" i="1"/>
  <c r="P715" i="1"/>
  <c r="P708" i="1"/>
  <c r="P701" i="1"/>
  <c r="P678" i="1"/>
  <c r="P671" i="1"/>
  <c r="P663" i="1"/>
  <c r="P656" i="1"/>
  <c r="P648" i="1"/>
  <c r="P640" i="1"/>
  <c r="P625" i="1"/>
  <c r="P617" i="1"/>
  <c r="P259" i="1"/>
  <c r="P251" i="1"/>
  <c r="P243" i="1"/>
  <c r="P235" i="1"/>
  <c r="P220" i="1"/>
  <c r="P204" i="1"/>
  <c r="P196" i="1"/>
  <c r="P188" i="1"/>
  <c r="P172" i="1"/>
  <c r="P164" i="1"/>
  <c r="P156" i="1"/>
  <c r="P141" i="1"/>
  <c r="P133" i="1"/>
  <c r="P125" i="1"/>
  <c r="P117" i="1"/>
  <c r="P109" i="1"/>
  <c r="P101" i="1"/>
  <c r="P93" i="1"/>
  <c r="P1292" i="1"/>
  <c r="P1284" i="1"/>
  <c r="P1277" i="1"/>
  <c r="P1270" i="1"/>
  <c r="P1183" i="1"/>
  <c r="P1154" i="1"/>
  <c r="P1146" i="1"/>
  <c r="P1136" i="1"/>
  <c r="P1128" i="1"/>
  <c r="P1121" i="1"/>
  <c r="P1113" i="1"/>
  <c r="P1106" i="1"/>
  <c r="P1098" i="1"/>
  <c r="P1090" i="1"/>
  <c r="P1083" i="1"/>
  <c r="P1075" i="1"/>
  <c r="P1067" i="1"/>
  <c r="P1060" i="1"/>
  <c r="P1052" i="1"/>
  <c r="P1044" i="1"/>
  <c r="P1029" i="1"/>
  <c r="P1007" i="1"/>
  <c r="P995" i="1"/>
  <c r="P988" i="1"/>
  <c r="P980" i="1"/>
  <c r="P973" i="1"/>
  <c r="P966" i="1"/>
  <c r="P958" i="1"/>
  <c r="P951" i="1"/>
  <c r="P943" i="1"/>
  <c r="P936" i="1"/>
  <c r="P921" i="1"/>
  <c r="P707" i="1"/>
  <c r="P692" i="1"/>
  <c r="P677" i="1"/>
  <c r="P670" i="1"/>
  <c r="P655" i="1"/>
  <c r="P647" i="1"/>
  <c r="P639" i="1"/>
  <c r="P632" i="1"/>
  <c r="P624" i="1"/>
  <c r="P616" i="1"/>
  <c r="P601" i="1"/>
  <c r="P593" i="1"/>
  <c r="P258" i="1"/>
  <c r="P250" i="1"/>
  <c r="P242" i="1"/>
  <c r="P234" i="1"/>
  <c r="P227" i="1"/>
  <c r="P219" i="1"/>
  <c r="P211" i="1"/>
  <c r="P203" i="1"/>
  <c r="P195" i="1"/>
  <c r="P187" i="1"/>
  <c r="P179" i="1"/>
  <c r="P171" i="1"/>
  <c r="P163" i="1"/>
  <c r="P155" i="1"/>
  <c r="P140" i="1"/>
  <c r="P132" i="1"/>
  <c r="P124" i="1"/>
  <c r="P108" i="1"/>
  <c r="P100" i="1"/>
  <c r="P92" i="1"/>
  <c r="P1291" i="1"/>
  <c r="P1283" i="1"/>
  <c r="P1276" i="1"/>
  <c r="P1269" i="1"/>
  <c r="P1182" i="1"/>
  <c r="P1175" i="1"/>
  <c r="P1160" i="1"/>
  <c r="P1135" i="1"/>
  <c r="P1127" i="1"/>
  <c r="P1120" i="1"/>
  <c r="P1112" i="1"/>
  <c r="P1105" i="1"/>
  <c r="P1097" i="1"/>
  <c r="P1089" i="1"/>
  <c r="P1082" i="1"/>
  <c r="P1074" i="1"/>
  <c r="P1066" i="1"/>
  <c r="P1059" i="1"/>
  <c r="P1051" i="1"/>
  <c r="P1043" i="1"/>
  <c r="P1036" i="1"/>
  <c r="P1028" i="1"/>
  <c r="P1013" i="1"/>
  <c r="P987" i="1"/>
  <c r="P979" i="1"/>
  <c r="P972" i="1"/>
  <c r="P965" i="1"/>
  <c r="P957" i="1"/>
  <c r="P950" i="1"/>
  <c r="P942" i="1"/>
  <c r="P935" i="1"/>
  <c r="P928" i="1"/>
  <c r="P920" i="1"/>
  <c r="P676" i="1"/>
  <c r="P669" i="1"/>
  <c r="P661" i="1"/>
  <c r="P654" i="1"/>
  <c r="P646" i="1"/>
  <c r="P638" i="1"/>
  <c r="P631" i="1"/>
  <c r="P623" i="1"/>
  <c r="P615" i="1"/>
  <c r="P608" i="1"/>
  <c r="P600" i="1"/>
  <c r="P592" i="1"/>
  <c r="P264" i="1"/>
  <c r="P257" i="1"/>
  <c r="P249" i="1"/>
  <c r="P241" i="1"/>
  <c r="P233" i="1"/>
  <c r="P226" i="1"/>
  <c r="P218" i="1"/>
  <c r="P210" i="1"/>
  <c r="P202" i="1"/>
  <c r="P194" i="1"/>
  <c r="P186" i="1"/>
  <c r="P178" i="1"/>
  <c r="P170" i="1"/>
  <c r="P162" i="1"/>
  <c r="P154" i="1"/>
  <c r="P147" i="1"/>
  <c r="P139" i="1"/>
  <c r="P131" i="1"/>
  <c r="P123" i="1"/>
  <c r="P115" i="1"/>
  <c r="P107" i="1"/>
  <c r="P99" i="1"/>
  <c r="P1290" i="1"/>
  <c r="P1275" i="1"/>
  <c r="P1268" i="1"/>
  <c r="P1181" i="1"/>
  <c r="P1174" i="1"/>
  <c r="P1167" i="1"/>
  <c r="P1152" i="1"/>
  <c r="P1141" i="1"/>
  <c r="P1119" i="1"/>
  <c r="P1111" i="1"/>
  <c r="P1104" i="1"/>
  <c r="P1096" i="1"/>
  <c r="P1088" i="1"/>
  <c r="P1081" i="1"/>
  <c r="P1073" i="1"/>
  <c r="P1065" i="1"/>
  <c r="P1058" i="1"/>
  <c r="P1050" i="1"/>
  <c r="P1042" i="1"/>
  <c r="P1035" i="1"/>
  <c r="P1027" i="1"/>
  <c r="P1020" i="1"/>
  <c r="P1012" i="1"/>
  <c r="P1005" i="1"/>
  <c r="P971" i="1"/>
  <c r="P964" i="1"/>
  <c r="P956" i="1"/>
  <c r="P949" i="1"/>
  <c r="P934" i="1"/>
  <c r="P927" i="1"/>
  <c r="P919" i="1"/>
  <c r="P912" i="1"/>
  <c r="P683" i="1"/>
  <c r="P675" i="1"/>
  <c r="P668" i="1"/>
  <c r="P660" i="1"/>
  <c r="P653" i="1"/>
  <c r="P645" i="1"/>
  <c r="P637" i="1"/>
  <c r="P630" i="1"/>
  <c r="P622" i="1"/>
  <c r="P614" i="1"/>
  <c r="P607" i="1"/>
  <c r="P599" i="1"/>
  <c r="P591" i="1"/>
  <c r="P263" i="1"/>
  <c r="P256" i="1"/>
  <c r="P240" i="1"/>
  <c r="P232" i="1"/>
  <c r="P225" i="1"/>
  <c r="P217" i="1"/>
  <c r="P209" i="1"/>
  <c r="P201" i="1"/>
  <c r="P193" i="1"/>
  <c r="P185" i="1"/>
  <c r="P177" i="1"/>
  <c r="P169" i="1"/>
  <c r="P161" i="1"/>
  <c r="P153" i="1"/>
  <c r="P146" i="1"/>
  <c r="P138" i="1"/>
  <c r="P130" i="1"/>
  <c r="P122" i="1"/>
  <c r="P114" i="1"/>
  <c r="P106" i="1"/>
  <c r="P98" i="1"/>
  <c r="P1289" i="1"/>
  <c r="P1282" i="1"/>
  <c r="P1274" i="1"/>
  <c r="P1267" i="1"/>
  <c r="P1180" i="1"/>
  <c r="P1173" i="1"/>
  <c r="P1166" i="1"/>
  <c r="P1159" i="1"/>
  <c r="P1151" i="1"/>
  <c r="P1140" i="1"/>
  <c r="P1133" i="1"/>
  <c r="P1103" i="1"/>
  <c r="P1095" i="1"/>
  <c r="P1087" i="1"/>
  <c r="P1080" i="1"/>
  <c r="P1072" i="1"/>
  <c r="P1064" i="1"/>
  <c r="P1057" i="1"/>
  <c r="P1049" i="1"/>
  <c r="P1041" i="1"/>
  <c r="P1034" i="1"/>
  <c r="P1026" i="1"/>
  <c r="P1019" i="1"/>
  <c r="P1011" i="1"/>
  <c r="P1004" i="1"/>
  <c r="P985" i="1"/>
  <c r="P963" i="1"/>
  <c r="P955" i="1"/>
  <c r="P948" i="1"/>
  <c r="P933" i="1"/>
  <c r="P926" i="1"/>
  <c r="P918" i="1"/>
  <c r="P911" i="1"/>
  <c r="P712" i="1"/>
  <c r="P689" i="1"/>
  <c r="P667" i="1"/>
  <c r="P659" i="1"/>
  <c r="P652" i="1"/>
  <c r="P644" i="1"/>
  <c r="P636" i="1"/>
  <c r="P629" i="1"/>
  <c r="P621" i="1"/>
  <c r="P613" i="1"/>
  <c r="P606" i="1"/>
  <c r="P598" i="1"/>
  <c r="P262" i="1"/>
  <c r="P255" i="1"/>
  <c r="P247" i="1"/>
  <c r="P239" i="1"/>
  <c r="P231" i="1"/>
  <c r="P224" i="1"/>
  <c r="P216" i="1"/>
  <c r="P208" i="1"/>
  <c r="P200" i="1"/>
  <c r="P192" i="1"/>
  <c r="P184" i="1"/>
  <c r="P176" i="1"/>
  <c r="P168" i="1"/>
  <c r="P160" i="1"/>
  <c r="P152" i="1"/>
  <c r="P145" i="1"/>
  <c r="P137" i="1"/>
  <c r="P129" i="1"/>
  <c r="P121" i="1"/>
  <c r="P113" i="1"/>
  <c r="P105" i="1"/>
  <c r="P97" i="1"/>
  <c r="P1281" i="1"/>
  <c r="P1273" i="1"/>
  <c r="P1266" i="1"/>
  <c r="P1179" i="1"/>
  <c r="P1172" i="1"/>
  <c r="P1165" i="1"/>
  <c r="P1158" i="1"/>
  <c r="P1150" i="1"/>
  <c r="P1139" i="1"/>
  <c r="P1132" i="1"/>
  <c r="P1117" i="1"/>
  <c r="P1079" i="1"/>
  <c r="P1071" i="1"/>
  <c r="P1063" i="1"/>
  <c r="P1056" i="1"/>
  <c r="P1048" i="1"/>
  <c r="P1040" i="1"/>
  <c r="P1033" i="1"/>
  <c r="P1025" i="1"/>
  <c r="P1018" i="1"/>
  <c r="P1010" i="1"/>
  <c r="P1003" i="1"/>
  <c r="P992" i="1"/>
  <c r="P984" i="1"/>
  <c r="P947" i="1"/>
  <c r="P940" i="1"/>
  <c r="P932" i="1"/>
  <c r="P925" i="1"/>
  <c r="P910" i="1"/>
  <c r="P696" i="1"/>
  <c r="P651" i="1"/>
  <c r="P643" i="1"/>
  <c r="P635" i="1"/>
  <c r="P628" i="1"/>
  <c r="P620" i="1"/>
  <c r="P612" i="1"/>
  <c r="P605" i="1"/>
  <c r="P597" i="1"/>
  <c r="P261" i="1"/>
  <c r="P254" i="1"/>
  <c r="P238" i="1"/>
  <c r="P230" i="1"/>
  <c r="P223" i="1"/>
  <c r="P215" i="1"/>
  <c r="P207" i="1"/>
  <c r="P199" i="1"/>
  <c r="P191" i="1"/>
  <c r="P183" i="1"/>
  <c r="P175" i="1"/>
  <c r="P167" i="1"/>
  <c r="P159" i="1"/>
  <c r="P151" i="1"/>
  <c r="P144" i="1"/>
  <c r="P136" i="1"/>
  <c r="P128" i="1"/>
  <c r="P120" i="1"/>
  <c r="P112" i="1"/>
  <c r="P104" i="1"/>
  <c r="P96" i="1"/>
  <c r="P1287" i="1"/>
  <c r="P1186" i="1"/>
  <c r="P1178" i="1"/>
  <c r="P1171" i="1"/>
  <c r="P1164" i="1"/>
  <c r="P1157" i="1"/>
  <c r="P1149" i="1"/>
  <c r="P1138" i="1"/>
  <c r="P1131" i="1"/>
  <c r="P1124" i="1"/>
  <c r="P1116" i="1"/>
  <c r="P1101" i="1"/>
  <c r="P1093" i="1"/>
  <c r="P1055" i="1"/>
  <c r="P1047" i="1"/>
  <c r="P1039" i="1"/>
  <c r="P1032" i="1"/>
  <c r="P1024" i="1"/>
  <c r="P1017" i="1"/>
  <c r="P991" i="1"/>
  <c r="P983" i="1"/>
  <c r="P976" i="1"/>
  <c r="P961" i="1"/>
  <c r="P939" i="1"/>
  <c r="P931" i="1"/>
  <c r="P924" i="1"/>
  <c r="P916" i="1"/>
  <c r="P909" i="1"/>
  <c r="P703" i="1"/>
  <c r="P695" i="1"/>
  <c r="P680" i="1"/>
  <c r="P665" i="1"/>
  <c r="P627" i="1"/>
  <c r="P619" i="1"/>
  <c r="P611" i="1"/>
  <c r="P604" i="1"/>
  <c r="P596" i="1"/>
  <c r="P245" i="1"/>
  <c r="P237" i="1"/>
  <c r="P229" i="1"/>
  <c r="P222" i="1"/>
  <c r="P214" i="1"/>
  <c r="P206" i="1"/>
  <c r="P198" i="1"/>
  <c r="P190" i="1"/>
  <c r="P182" i="1"/>
  <c r="P174" i="1"/>
  <c r="P166" i="1"/>
  <c r="P158" i="1"/>
  <c r="P150" i="1"/>
  <c r="P143" i="1"/>
  <c r="P135" i="1"/>
  <c r="P127" i="1"/>
  <c r="P119" i="1"/>
  <c r="P111" i="1"/>
  <c r="P103" i="1"/>
  <c r="P95" i="1"/>
  <c r="O266" i="1"/>
  <c r="O708" i="1"/>
  <c r="O714" i="1"/>
  <c r="O690" i="1"/>
  <c r="R246" i="1" l="1"/>
  <c r="O246" i="1"/>
  <c r="R697" i="1"/>
  <c r="O697" i="1"/>
  <c r="R682" i="1"/>
  <c r="O682" i="1"/>
  <c r="R681" i="1"/>
  <c r="O681" i="1"/>
  <c r="R704" i="1"/>
  <c r="O704" i="1"/>
  <c r="R684" i="1"/>
  <c r="O684" i="1"/>
  <c r="R267" i="1"/>
  <c r="O267" i="1"/>
  <c r="R711" i="1"/>
  <c r="O711" i="1"/>
  <c r="R268" i="1"/>
  <c r="O268" i="1"/>
  <c r="R710" i="1"/>
  <c r="O710" i="1"/>
  <c r="R699" i="1"/>
  <c r="O699" i="1"/>
  <c r="R685" i="1"/>
  <c r="O685" i="1"/>
  <c r="R694" i="1"/>
  <c r="O694" i="1"/>
  <c r="R917" i="1"/>
  <c r="O917" i="1"/>
  <c r="R698" i="1"/>
  <c r="O698" i="1"/>
  <c r="R686" i="1"/>
  <c r="O686" i="1"/>
  <c r="R705" i="1"/>
  <c r="O705" i="1"/>
  <c r="R922" i="1"/>
  <c r="O922" i="1"/>
  <c r="R923" i="1"/>
  <c r="O923" i="1"/>
  <c r="R706" i="1"/>
  <c r="O706" i="1"/>
  <c r="R998" i="1"/>
  <c r="O998" i="1"/>
  <c r="R674" i="1"/>
  <c r="O674" i="1"/>
  <c r="R693" i="1"/>
  <c r="O693" i="1"/>
  <c r="R248" i="1"/>
  <c r="O248" i="1"/>
  <c r="R709" i="1"/>
  <c r="O709" i="1"/>
  <c r="R997" i="1"/>
  <c r="O997" i="1"/>
  <c r="R702" i="1"/>
  <c r="O702" i="1"/>
  <c r="R691" i="1"/>
  <c r="O691" i="1"/>
  <c r="R700" i="1"/>
  <c r="O700" i="1"/>
  <c r="R252" i="1"/>
  <c r="O252" i="1"/>
  <c r="R253" i="1"/>
  <c r="O253" i="1"/>
  <c r="R716" i="1"/>
  <c r="O716" i="1"/>
  <c r="Q713" i="1"/>
  <c r="R713" i="1"/>
  <c r="P688" i="1"/>
  <c r="R688" i="1"/>
  <c r="Q260" i="1"/>
  <c r="R260" i="1"/>
  <c r="Q687" i="1"/>
  <c r="R687" i="1"/>
  <c r="Q704" i="1"/>
  <c r="Q246" i="1"/>
  <c r="Q674" i="1"/>
  <c r="Q691" i="1"/>
  <c r="P684" i="1"/>
  <c r="Q684" i="1"/>
  <c r="P711" i="1"/>
  <c r="Q711" i="1"/>
  <c r="Q685" i="1"/>
  <c r="P268" i="1"/>
  <c r="Q268" i="1"/>
  <c r="P694" i="1"/>
  <c r="Q694" i="1"/>
  <c r="Q710" i="1"/>
  <c r="Q917" i="1"/>
  <c r="P698" i="1"/>
  <c r="Q698" i="1"/>
  <c r="P699" i="1"/>
  <c r="Q699" i="1"/>
  <c r="Q697" i="1"/>
  <c r="P681" i="1"/>
  <c r="Q681" i="1"/>
  <c r="P267" i="1"/>
  <c r="Q267" i="1"/>
  <c r="P686" i="1"/>
  <c r="Q686" i="1"/>
  <c r="Q705" i="1"/>
  <c r="P923" i="1"/>
  <c r="Q923" i="1"/>
  <c r="P706" i="1"/>
  <c r="Q706" i="1"/>
  <c r="P998" i="1"/>
  <c r="Q998" i="1"/>
  <c r="P922" i="1"/>
  <c r="Q922" i="1"/>
  <c r="P693" i="1"/>
  <c r="Q693" i="1"/>
  <c r="P248" i="1"/>
  <c r="Q248" i="1"/>
  <c r="P709" i="1"/>
  <c r="Q709" i="1"/>
  <c r="P997" i="1"/>
  <c r="Q997" i="1"/>
  <c r="P702" i="1"/>
  <c r="Q702" i="1"/>
  <c r="P685" i="1"/>
  <c r="P682" i="1"/>
  <c r="Q682" i="1"/>
  <c r="P260" i="1"/>
  <c r="P700" i="1"/>
  <c r="Q700" i="1"/>
  <c r="O688" i="1"/>
  <c r="Q688" i="1"/>
  <c r="P674" i="1"/>
  <c r="P252" i="1"/>
  <c r="Q252" i="1"/>
  <c r="P253" i="1"/>
  <c r="Q253" i="1"/>
  <c r="Q716" i="1"/>
  <c r="P713" i="1"/>
  <c r="P687" i="1"/>
  <c r="P246" i="1"/>
  <c r="P704" i="1"/>
  <c r="P716" i="1"/>
  <c r="P705" i="1"/>
  <c r="P710" i="1"/>
  <c r="P917" i="1"/>
  <c r="P691" i="1"/>
  <c r="P697" i="1"/>
  <c r="O687" i="1"/>
  <c r="O260" i="1"/>
  <c r="O713" i="1"/>
  <c r="S996" i="1" l="1"/>
  <c r="S1150" i="1"/>
  <c r="S1149" i="1"/>
  <c r="S923" i="1"/>
  <c r="S998" i="1"/>
  <c r="S997" i="1"/>
  <c r="S922" i="1"/>
  <c r="S990" i="1"/>
  <c r="S924" i="1"/>
  <c r="S920" i="1"/>
  <c r="S921" i="1"/>
  <c r="S918" i="1"/>
  <c r="S919" i="1"/>
  <c r="S916" i="1"/>
  <c r="S917" i="1"/>
  <c r="S915" i="1"/>
  <c r="S714" i="1"/>
  <c r="S713" i="1"/>
  <c r="S707" i="1"/>
  <c r="S706" i="1"/>
  <c r="S715" i="1"/>
  <c r="S708" i="1"/>
  <c r="S711" i="1"/>
  <c r="S709" i="1"/>
  <c r="S692" i="1"/>
  <c r="S712" i="1"/>
  <c r="S710" i="1"/>
  <c r="S716" i="1"/>
  <c r="S686" i="1"/>
  <c r="S687" i="1"/>
  <c r="S693" i="1"/>
  <c r="S688" i="1"/>
  <c r="S690" i="1"/>
  <c r="S695" i="1"/>
  <c r="S696" i="1"/>
  <c r="S697" i="1"/>
  <c r="S698" i="1"/>
  <c r="S701" i="1"/>
  <c r="S681" i="1"/>
  <c r="S683" i="1"/>
  <c r="S700" i="1"/>
  <c r="S702" i="1"/>
  <c r="S705" i="1"/>
  <c r="S703" i="1"/>
  <c r="S674" i="1"/>
  <c r="S246" i="1"/>
  <c r="S248" i="1"/>
  <c r="S250" i="1"/>
  <c r="S249" i="1"/>
  <c r="S256" i="1"/>
  <c r="S253" i="1"/>
  <c r="S251" i="1"/>
  <c r="S254" i="1"/>
  <c r="S259" i="1"/>
  <c r="S255" i="1"/>
  <c r="S257" i="1"/>
  <c r="S260" i="1"/>
  <c r="S261" i="1"/>
  <c r="S258" i="1"/>
  <c r="S262" i="1"/>
  <c r="S263" i="1"/>
  <c r="S265" i="1"/>
  <c r="S264" i="1"/>
  <c r="S268" i="1"/>
  <c r="S685" i="1" l="1"/>
  <c r="S684" i="1"/>
  <c r="S689" i="1"/>
  <c r="S694" i="1"/>
  <c r="S691" i="1"/>
  <c r="S682" i="1"/>
  <c r="S699" i="1"/>
  <c r="S704" i="1"/>
  <c r="S267" i="1"/>
  <c r="S247" i="1"/>
  <c r="S252" i="1"/>
  <c r="S266" i="1"/>
  <c r="S1393" i="1" l="1"/>
  <c r="S1361" i="1" l="1"/>
  <c r="S1360" i="1"/>
  <c r="S117" i="1"/>
  <c r="S1337" i="1"/>
  <c r="S1281" i="1"/>
  <c r="S1311" i="1"/>
  <c r="S1272" i="1"/>
  <c r="S1336" i="1"/>
  <c r="S1319" i="1"/>
  <c r="S1280" i="1"/>
  <c r="S1344" i="1"/>
  <c r="S1276" i="1"/>
  <c r="S1340" i="1"/>
  <c r="S1286" i="1"/>
  <c r="S1350" i="1"/>
  <c r="S1289" i="1"/>
  <c r="S1327" i="1"/>
  <c r="S1288" i="1"/>
  <c r="S1352" i="1"/>
  <c r="S1292" i="1"/>
  <c r="S1356" i="1"/>
  <c r="S1302" i="1"/>
  <c r="S1323" i="1"/>
  <c r="S1271" i="1"/>
  <c r="S1335" i="1"/>
  <c r="S1296" i="1"/>
  <c r="S1279" i="1"/>
  <c r="S1343" i="1"/>
  <c r="S1304" i="1"/>
  <c r="S1284" i="1"/>
  <c r="S1348" i="1"/>
  <c r="S1294" i="1"/>
  <c r="S1358" i="1"/>
  <c r="S1269" i="1"/>
  <c r="S1333" i="1"/>
  <c r="S1278" i="1"/>
  <c r="S1268" i="1"/>
  <c r="S1332" i="1"/>
  <c r="S1342" i="1"/>
  <c r="S1386" i="1"/>
  <c r="S1309" i="1"/>
  <c r="S1372" i="1"/>
  <c r="S1382" i="1"/>
  <c r="S1354" i="1"/>
  <c r="S1267" i="1"/>
  <c r="S1331" i="1"/>
  <c r="S1300" i="1"/>
  <c r="S1310" i="1"/>
  <c r="S1277" i="1"/>
  <c r="S1341" i="1"/>
  <c r="S1266" i="1"/>
  <c r="S1394" i="1"/>
  <c r="S1317" i="1"/>
  <c r="S1380" i="1"/>
  <c r="S1390" i="1"/>
  <c r="S1345" i="1"/>
  <c r="S1329" i="1"/>
  <c r="S1275" i="1"/>
  <c r="S1339" i="1"/>
  <c r="S1368" i="1"/>
  <c r="S1313" i="1"/>
  <c r="S1308" i="1"/>
  <c r="S1371" i="1"/>
  <c r="S1318" i="1"/>
  <c r="S1381" i="1"/>
  <c r="S1287" i="1"/>
  <c r="S1351" i="1"/>
  <c r="S1312" i="1"/>
  <c r="S1321" i="1"/>
  <c r="S1307" i="1"/>
  <c r="S1370" i="1"/>
  <c r="S1387" i="1"/>
  <c r="S1397" i="1"/>
  <c r="S1303" i="1"/>
  <c r="S1366" i="1"/>
  <c r="S1328" i="1"/>
  <c r="S1330" i="1"/>
  <c r="S1325" i="1"/>
  <c r="S1388" i="1"/>
  <c r="S1365" i="1"/>
  <c r="S1398" i="1"/>
  <c r="S1367" i="1"/>
  <c r="S1385" i="1"/>
  <c r="S1322" i="1"/>
  <c r="S1297" i="1"/>
  <c r="S1283" i="1"/>
  <c r="S1347" i="1"/>
  <c r="S1363" i="1"/>
  <c r="S1396" i="1"/>
  <c r="S1373" i="1"/>
  <c r="S1375" i="1"/>
  <c r="S1314" i="1"/>
  <c r="S1306" i="1"/>
  <c r="S1291" i="1"/>
  <c r="S1355" i="1"/>
  <c r="S1383" i="1"/>
  <c r="S1353" i="1"/>
  <c r="S1273" i="1"/>
  <c r="S1299" i="1"/>
  <c r="S1362" i="1"/>
  <c r="S1316" i="1"/>
  <c r="S1379" i="1"/>
  <c r="S1285" i="1"/>
  <c r="S1349" i="1"/>
  <c r="S1326" i="1"/>
  <c r="S1389" i="1"/>
  <c r="S1295" i="1"/>
  <c r="S1359" i="1"/>
  <c r="S1320" i="1"/>
  <c r="S1391" i="1"/>
  <c r="S1376" i="1"/>
  <c r="S1282" i="1"/>
  <c r="S1274" i="1"/>
  <c r="S1324" i="1"/>
  <c r="S1293" i="1"/>
  <c r="S1357" i="1"/>
  <c r="S1270" i="1"/>
  <c r="S1334" i="1"/>
  <c r="S1399" i="1"/>
  <c r="S1384" i="1"/>
  <c r="S1346" i="1"/>
  <c r="S1338" i="1"/>
  <c r="S1369" i="1"/>
  <c r="S1305" i="1"/>
  <c r="S1315" i="1"/>
  <c r="S1378" i="1"/>
  <c r="S1395" i="1"/>
  <c r="S1301" i="1"/>
  <c r="S1364" i="1"/>
  <c r="S1374" i="1"/>
  <c r="S1392" i="1"/>
  <c r="S1377" i="1"/>
  <c r="S1290" i="1"/>
  <c r="S1298" i="1"/>
  <c r="S1038" i="1"/>
  <c r="S1030" i="1"/>
  <c r="S1053" i="1"/>
  <c r="S1013" i="1"/>
  <c r="S1052" i="1"/>
  <c r="S1026" i="1" l="1"/>
  <c r="S1074" i="1"/>
  <c r="S1157" i="1"/>
  <c r="S1181" i="1"/>
  <c r="S1180" i="1"/>
  <c r="S1138" i="1"/>
  <c r="S1034" i="1"/>
  <c r="S1173" i="1"/>
  <c r="S1130" i="1"/>
  <c r="S1049" i="1"/>
  <c r="S1098" i="1"/>
  <c r="S1082" i="1"/>
  <c r="S1165" i="1"/>
  <c r="S1122" i="1"/>
  <c r="S1018" i="1"/>
  <c r="S1066" i="1"/>
  <c r="S1060" i="1"/>
  <c r="S1056" i="1"/>
  <c r="S1050" i="1"/>
  <c r="S1156" i="1"/>
  <c r="S1090" i="1"/>
  <c r="S1117" i="1"/>
  <c r="S1126" i="1"/>
  <c r="S1127" i="1"/>
  <c r="S1063" i="1"/>
  <c r="S1062" i="1"/>
  <c r="S1012" i="1"/>
  <c r="S1076" i="1"/>
  <c r="S1005" i="1"/>
  <c r="S1069" i="1"/>
  <c r="S1133" i="1"/>
  <c r="S1136" i="1"/>
  <c r="S1140" i="1"/>
  <c r="S1006" i="1"/>
  <c r="S1070" i="1"/>
  <c r="S1015" i="1"/>
  <c r="S1079" i="1"/>
  <c r="S1024" i="1"/>
  <c r="S1017" i="1"/>
  <c r="S1081" i="1"/>
  <c r="S1146" i="1"/>
  <c r="S1010" i="1"/>
  <c r="S1058" i="1"/>
  <c r="S1123" i="1"/>
  <c r="S1064" i="1"/>
  <c r="S1057" i="1"/>
  <c r="S1004" i="1"/>
  <c r="S1068" i="1"/>
  <c r="S1061" i="1"/>
  <c r="S1139" i="1"/>
  <c r="S1132" i="1"/>
  <c r="S1007" i="1"/>
  <c r="S1071" i="1"/>
  <c r="S1016" i="1"/>
  <c r="S1080" i="1"/>
  <c r="S1009" i="1"/>
  <c r="S1073" i="1"/>
  <c r="S1129" i="1"/>
  <c r="S1020" i="1"/>
  <c r="S1077" i="1"/>
  <c r="S1141" i="1"/>
  <c r="S1159" i="1"/>
  <c r="S1087" i="1"/>
  <c r="S1137" i="1"/>
  <c r="S1084" i="1"/>
  <c r="S1023" i="1"/>
  <c r="S1032" i="1"/>
  <c r="S1025" i="1"/>
  <c r="S1042" i="1"/>
  <c r="S1022" i="1"/>
  <c r="S1100" i="1"/>
  <c r="S1039" i="1"/>
  <c r="S1169" i="1"/>
  <c r="S1162" i="1"/>
  <c r="S1035" i="1"/>
  <c r="S1028" i="1"/>
  <c r="S1091" i="1"/>
  <c r="S1164" i="1"/>
  <c r="S1021" i="1"/>
  <c r="S1085" i="1"/>
  <c r="S1014" i="1"/>
  <c r="S1078" i="1"/>
  <c r="S1152" i="1"/>
  <c r="S1094" i="1"/>
  <c r="S1167" i="1"/>
  <c r="S1095" i="1"/>
  <c r="S1160" i="1"/>
  <c r="S1088" i="1"/>
  <c r="S1153" i="1"/>
  <c r="S1147" i="1"/>
  <c r="S1043" i="1"/>
  <c r="S1114" i="1"/>
  <c r="S1179" i="1"/>
  <c r="S1036" i="1"/>
  <c r="S1099" i="1"/>
  <c r="S1172" i="1"/>
  <c r="S1029" i="1"/>
  <c r="S1092" i="1"/>
  <c r="S1093" i="1"/>
  <c r="S1158" i="1"/>
  <c r="S1031" i="1"/>
  <c r="S1102" i="1"/>
  <c r="S1175" i="1"/>
  <c r="S1040" i="1"/>
  <c r="S1103" i="1"/>
  <c r="S1168" i="1"/>
  <c r="S1033" i="1"/>
  <c r="S1096" i="1"/>
  <c r="S1161" i="1"/>
  <c r="S1089" i="1"/>
  <c r="S1154" i="1"/>
  <c r="S1051" i="1"/>
  <c r="S1166" i="1"/>
  <c r="S1110" i="1"/>
  <c r="S1183" i="1"/>
  <c r="S1048" i="1"/>
  <c r="S1111" i="1"/>
  <c r="S1176" i="1"/>
  <c r="S1041" i="1"/>
  <c r="S1104" i="1"/>
  <c r="S1097" i="1"/>
  <c r="S1059" i="1"/>
  <c r="S1044" i="1"/>
  <c r="S1107" i="1"/>
  <c r="S1037" i="1"/>
  <c r="S1101" i="1"/>
  <c r="S1115" i="1"/>
  <c r="S1045" i="1"/>
  <c r="S1108" i="1"/>
  <c r="S1109" i="1"/>
  <c r="S1174" i="1"/>
  <c r="S1047" i="1"/>
  <c r="S1118" i="1"/>
  <c r="S1119" i="1"/>
  <c r="S1184" i="1"/>
  <c r="S1112" i="1"/>
  <c r="S1177" i="1"/>
  <c r="S1105" i="1"/>
  <c r="S1170" i="1"/>
  <c r="S1003" i="1"/>
  <c r="S1067" i="1"/>
  <c r="S1116" i="1"/>
  <c r="S1046" i="1"/>
  <c r="S1182" i="1"/>
  <c r="S1055" i="1"/>
  <c r="S1120" i="1"/>
  <c r="S1185" i="1"/>
  <c r="S1113" i="1"/>
  <c r="S1178" i="1"/>
  <c r="S1011" i="1"/>
  <c r="S1075" i="1"/>
  <c r="S1155" i="1"/>
  <c r="S1148" i="1"/>
  <c r="S1106" i="1"/>
  <c r="S1131" i="1"/>
  <c r="S1124" i="1"/>
  <c r="S1054" i="1"/>
  <c r="S1125" i="1"/>
  <c r="S1134" i="1"/>
  <c r="S1008" i="1"/>
  <c r="S1072" i="1"/>
  <c r="S1135" i="1"/>
  <c r="S1065" i="1"/>
  <c r="S1128" i="1"/>
  <c r="S1121" i="1"/>
  <c r="S1186" i="1"/>
  <c r="S1151" i="1"/>
  <c r="S1019" i="1"/>
  <c r="S1083" i="1"/>
  <c r="S1086" i="1"/>
  <c r="S1163" i="1"/>
  <c r="S1142" i="1"/>
  <c r="S1027" i="1"/>
  <c r="S1171" i="1"/>
  <c r="S114" i="1" l="1"/>
  <c r="S133" i="1"/>
  <c r="S165" i="1"/>
  <c r="S229" i="1"/>
  <c r="S925" i="1"/>
  <c r="S988" i="1"/>
  <c r="S991" i="1"/>
  <c r="S600" i="1"/>
  <c r="S964" i="1"/>
  <c r="S657" i="1"/>
  <c r="S929" i="1"/>
  <c r="S994" i="1"/>
  <c r="S596" i="1"/>
  <c r="S989" i="1"/>
  <c r="S138" i="1"/>
  <c r="S949" i="1"/>
  <c r="S143" i="1"/>
  <c r="S207" i="1"/>
  <c r="S660" i="1"/>
  <c r="S960" i="1"/>
  <c r="S650" i="1"/>
  <c r="S993" i="1"/>
  <c r="S110" i="1"/>
  <c r="S175" i="1"/>
  <c r="S239" i="1"/>
  <c r="S628" i="1"/>
  <c r="S928" i="1"/>
  <c r="S189" i="1"/>
  <c r="S599" i="1"/>
  <c r="S200" i="1"/>
  <c r="S136" i="1"/>
  <c r="S982" i="1"/>
  <c r="S620" i="1"/>
  <c r="S147" i="1"/>
  <c r="S211" i="1"/>
  <c r="S119" i="1"/>
  <c r="S183" i="1"/>
  <c r="S636" i="1"/>
  <c r="S936" i="1"/>
  <c r="S995" i="1"/>
  <c r="S632" i="1"/>
  <c r="S932" i="1"/>
  <c r="S179" i="1"/>
  <c r="S243" i="1"/>
  <c r="S950" i="1"/>
  <c r="S618" i="1"/>
  <c r="S100" i="1"/>
  <c r="S197" i="1"/>
  <c r="S120" i="1"/>
  <c r="S673" i="1"/>
  <c r="S137" i="1"/>
  <c r="S116" i="1"/>
  <c r="S149" i="1"/>
  <c r="S219" i="1"/>
  <c r="S217" i="1"/>
  <c r="S213" i="1"/>
  <c r="S155" i="1"/>
  <c r="S664" i="1"/>
  <c r="S109" i="1"/>
  <c r="S625" i="1"/>
  <c r="S142" i="1"/>
  <c r="S206" i="1"/>
  <c r="S598" i="1"/>
  <c r="S962" i="1"/>
  <c r="S955" i="1"/>
  <c r="S104" i="1"/>
  <c r="S957" i="1"/>
  <c r="S202" i="1"/>
  <c r="S593" i="1"/>
  <c r="S174" i="1"/>
  <c r="S238" i="1"/>
  <c r="S611" i="1"/>
  <c r="S236" i="1"/>
  <c r="S204" i="1"/>
  <c r="S637" i="1"/>
  <c r="S140" i="1"/>
  <c r="S937" i="1"/>
  <c r="S107" i="1"/>
  <c r="S172" i="1"/>
  <c r="S209" i="1"/>
  <c r="S192" i="1"/>
  <c r="S180" i="1"/>
  <c r="S154" i="1"/>
  <c r="S669" i="1"/>
  <c r="S244" i="1"/>
  <c r="S182" i="1"/>
  <c r="S218" i="1"/>
  <c r="S601" i="1"/>
  <c r="S122" i="1"/>
  <c r="S115" i="1"/>
  <c r="S199" i="1"/>
  <c r="S967" i="1"/>
  <c r="S652" i="1"/>
  <c r="S952" i="1"/>
  <c r="S171" i="1"/>
  <c r="S235" i="1"/>
  <c r="S135" i="1"/>
  <c r="S92" i="1"/>
  <c r="S610" i="1"/>
  <c r="S102" i="1"/>
  <c r="S231" i="1"/>
  <c r="S983" i="1"/>
  <c r="S167" i="1"/>
  <c r="S594" i="1"/>
  <c r="S658" i="1"/>
  <c r="S237" i="1"/>
  <c r="S173" i="1"/>
  <c r="S958" i="1"/>
  <c r="S215" i="1"/>
  <c r="S604" i="1"/>
  <c r="S666" i="1"/>
  <c r="S968" i="1"/>
  <c r="S592" i="1"/>
  <c r="S151" i="1"/>
  <c r="S108" i="1"/>
  <c r="S626" i="1"/>
  <c r="S141" i="1"/>
  <c r="S205" i="1"/>
  <c r="S926" i="1"/>
  <c r="S672" i="1"/>
  <c r="S927" i="1"/>
  <c r="S981" i="1"/>
  <c r="S203" i="1"/>
  <c r="S910" i="1"/>
  <c r="S125" i="1"/>
  <c r="S642" i="1"/>
  <c r="S221" i="1"/>
  <c r="S157" i="1"/>
  <c r="S106" i="1"/>
  <c r="S942" i="1"/>
  <c r="S129" i="1"/>
  <c r="S201" i="1"/>
  <c r="S653" i="1"/>
  <c r="S953" i="1"/>
  <c r="S101" i="1"/>
  <c r="S623" i="1"/>
  <c r="S627" i="1"/>
  <c r="S132" i="1"/>
  <c r="S196" i="1"/>
  <c r="S617" i="1"/>
  <c r="S198" i="1"/>
  <c r="S663" i="1"/>
  <c r="S965" i="1"/>
  <c r="S614" i="1"/>
  <c r="S677" i="1"/>
  <c r="S977" i="1"/>
  <c r="S651" i="1"/>
  <c r="S139" i="1"/>
  <c r="S656" i="1"/>
  <c r="S956" i="1"/>
  <c r="S190" i="1"/>
  <c r="S208" i="1"/>
  <c r="S162" i="1"/>
  <c r="S670" i="1"/>
  <c r="S940" i="1"/>
  <c r="S621" i="1"/>
  <c r="S112" i="1"/>
  <c r="S608" i="1"/>
  <c r="S972" i="1"/>
  <c r="S123" i="1"/>
  <c r="S146" i="1"/>
  <c r="S676" i="1"/>
  <c r="S145" i="1"/>
  <c r="S613" i="1"/>
  <c r="S638" i="1"/>
  <c r="S931" i="1"/>
  <c r="S153" i="1"/>
  <c r="S939" i="1"/>
  <c r="S118" i="1"/>
  <c r="S161" i="1"/>
  <c r="S178" i="1"/>
  <c r="S941" i="1"/>
  <c r="S629" i="1"/>
  <c r="S639" i="1"/>
  <c r="S971" i="1"/>
  <c r="S195" i="1"/>
  <c r="S648" i="1"/>
  <c r="S948" i="1"/>
  <c r="S634" i="1"/>
  <c r="S966" i="1"/>
  <c r="S976" i="1"/>
  <c r="S938" i="1"/>
  <c r="S225" i="1"/>
  <c r="S933" i="1"/>
  <c r="S607" i="1"/>
  <c r="S911" i="1"/>
  <c r="S646" i="1"/>
  <c r="S654" i="1"/>
  <c r="S148" i="1"/>
  <c r="S212" i="1"/>
  <c r="S633" i="1"/>
  <c r="S150" i="1"/>
  <c r="S214" i="1"/>
  <c r="S103" i="1"/>
  <c r="S168" i="1"/>
  <c r="S232" i="1"/>
  <c r="S96" i="1"/>
  <c r="S177" i="1"/>
  <c r="S186" i="1"/>
  <c r="S974" i="1"/>
  <c r="S605" i="1"/>
  <c r="S667" i="1"/>
  <c r="S969" i="1"/>
  <c r="S640" i="1"/>
  <c r="S591" i="1"/>
  <c r="S951" i="1"/>
  <c r="S992" i="1"/>
  <c r="S984" i="1"/>
  <c r="S946" i="1"/>
  <c r="S631" i="1"/>
  <c r="S242" i="1"/>
  <c r="S158" i="1"/>
  <c r="S185" i="1"/>
  <c r="S645" i="1"/>
  <c r="S945" i="1"/>
  <c r="S606" i="1"/>
  <c r="S668" i="1"/>
  <c r="S970" i="1"/>
  <c r="S963" i="1"/>
  <c r="S187" i="1"/>
  <c r="S113" i="1"/>
  <c r="S128" i="1"/>
  <c r="S210" i="1"/>
  <c r="S935" i="1"/>
  <c r="S678" i="1"/>
  <c r="S643" i="1"/>
  <c r="S616" i="1"/>
  <c r="S134" i="1"/>
  <c r="S909" i="1"/>
  <c r="S655" i="1"/>
  <c r="S979" i="1"/>
  <c r="S934" i="1"/>
  <c r="S131" i="1"/>
  <c r="S169" i="1"/>
  <c r="S105" i="1"/>
  <c r="S99" i="1"/>
  <c r="S164" i="1"/>
  <c r="S228" i="1"/>
  <c r="S649" i="1"/>
  <c r="S166" i="1"/>
  <c r="S230" i="1"/>
  <c r="S665" i="1"/>
  <c r="S986" i="1"/>
  <c r="S98" i="1"/>
  <c r="S679" i="1"/>
  <c r="S680" i="1"/>
  <c r="S980" i="1"/>
  <c r="S959" i="1"/>
  <c r="S245" i="1"/>
  <c r="S659" i="1"/>
  <c r="S184" i="1"/>
  <c r="S181" i="1"/>
  <c r="S635" i="1"/>
  <c r="S152" i="1"/>
  <c r="S216" i="1"/>
  <c r="S170" i="1"/>
  <c r="S234" i="1"/>
  <c r="S612" i="1"/>
  <c r="S223" i="1"/>
  <c r="S975" i="1"/>
  <c r="S159" i="1"/>
  <c r="S630" i="1"/>
  <c r="S930" i="1"/>
  <c r="S913" i="1"/>
  <c r="S94" i="1"/>
  <c r="S675" i="1"/>
  <c r="S127" i="1"/>
  <c r="S644" i="1"/>
  <c r="S944" i="1"/>
  <c r="S191" i="1"/>
  <c r="S602" i="1"/>
  <c r="S95" i="1"/>
  <c r="S160" i="1"/>
  <c r="S224" i="1"/>
  <c r="S241" i="1"/>
  <c r="S163" i="1"/>
  <c r="S227" i="1"/>
  <c r="S111" i="1"/>
  <c r="S144" i="1"/>
  <c r="S176" i="1"/>
  <c r="S240" i="1"/>
  <c r="S943" i="1"/>
  <c r="S233" i="1"/>
  <c r="S624" i="1"/>
  <c r="S914" i="1"/>
  <c r="S987" i="1"/>
  <c r="S97" i="1"/>
  <c r="S130" i="1"/>
  <c r="S194" i="1"/>
  <c r="S226" i="1"/>
  <c r="S647" i="1"/>
  <c r="S978" i="1"/>
  <c r="S595" i="1"/>
  <c r="S124" i="1"/>
  <c r="S156" i="1"/>
  <c r="S188" i="1"/>
  <c r="S220" i="1"/>
  <c r="S609" i="1"/>
  <c r="S641" i="1"/>
  <c r="S671" i="1"/>
  <c r="S222" i="1"/>
  <c r="S603" i="1"/>
  <c r="S954" i="1"/>
  <c r="S121" i="1"/>
  <c r="S193" i="1"/>
  <c r="S973" i="1"/>
  <c r="S126" i="1"/>
  <c r="S93" i="1"/>
  <c r="S619" i="1"/>
  <c r="S597" i="1"/>
  <c r="S661" i="1"/>
  <c r="S961" i="1"/>
  <c r="S622" i="1"/>
  <c r="S912" i="1"/>
  <c r="S985" i="1"/>
  <c r="S615" i="1"/>
  <c r="S947" i="1"/>
  <c r="O662" i="1"/>
  <c r="N662" i="1"/>
  <c r="F662" i="1"/>
  <c r="G662" i="1"/>
  <c r="H662" i="1"/>
  <c r="I662" i="1"/>
  <c r="J662" i="1"/>
  <c r="S662" i="1"/>
  <c r="P662" i="1"/>
  <c r="CE662" i="1"/>
  <c r="Q662" i="1"/>
  <c r="CE662" i="1" a="1"/>
  <c r="J662" i="1" a="1"/>
  <c r="L662" i="1"/>
  <c r="R6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tc={50ACA7C7-727B-4750-9B70-CB75AF23A849}</author>
    <author>tc={2FF4AA62-C6D0-4B46-897E-04EFFBE1AAC0}</author>
    <author>tc={58A90D70-FF8C-4DD3-B1F0-4D6161E36834}</author>
    <author>tc={0BC34669-E20B-46A1-BE2B-58B06592983B}</author>
    <author>tc={BF0119DD-C659-4169-9BEC-51589115CB7D}</author>
    <author>tc={89869456-79A3-4C3F-9693-752CFEDD7B0A}</author>
    <author>tc={3DF5E619-D064-48AC-B130-58A1289A7169}</author>
    <author>tc={2F5F18CE-FFAD-4414-8E0F-491929A777D9}</author>
    <author>tc={D074CC9A-C49C-42F2-8952-8F38C65E7C65}</author>
  </authors>
  <commentList>
    <comment ref="C270" authorId="0" shapeId="0" xr:uid="{50ACA7C7-727B-4750-9B70-CB75AF23A849}">
      <text>
        <t>[Threaded comment]
Your version of Excel allows you to read this threaded comment; however, any edits to it will get removed if the file is opened in a newer version of Excel. Learn more: https://go.microsoft.com/fwlink/?linkid=870924
Comment:
    unsafe</t>
      </text>
    </comment>
    <comment ref="C276" authorId="1" shapeId="0" xr:uid="{2FF4AA62-C6D0-4B46-897E-04EFFBE1AAC0}">
      <text>
        <t>[Threaded comment]
Your version of Excel allows you to read this threaded comment; however, any edits to it will get removed if the file is opened in a newer version of Excel. Learn more: https://go.microsoft.com/fwlink/?linkid=870924
Comment:
    unsafe</t>
      </text>
    </comment>
    <comment ref="C467" authorId="2" shapeId="0" xr:uid="{58A90D70-FF8C-4DD3-B1F0-4D6161E3683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running for 1 year due to backfilter change</t>
      </text>
    </comment>
    <comment ref="E1003" authorId="3" shapeId="0" xr:uid="{0BC34669-E20B-46A1-BE2B-58B06592983B}">
      <text>
        <t>[Threaded comment]
Your version of Excel allows you to read this threaded comment; however, any edits to it will get removed if the file is opened in a newer version of Excel. Learn more: https://go.microsoft.com/fwlink/?linkid=870924
Comment:
    Runs on  seasonal basis</t>
      </text>
    </comment>
    <comment ref="E1004" authorId="4" shapeId="0" xr:uid="{BF0119DD-C659-4169-9BEC-51589115CB7D}">
      <text>
        <t>[Threaded comment]
Your version of Excel allows you to read this threaded comment; however, any edits to it will get removed if the file is opened in a newer version of Excel. Learn more: https://go.microsoft.com/fwlink/?linkid=870924
Comment:
    Runs on seasonal basis</t>
      </text>
    </comment>
    <comment ref="E1005" authorId="5" shapeId="0" xr:uid="{89869456-79A3-4C3F-9693-752CFEDD7B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Runs on seasonal basis
</t>
      </text>
    </comment>
    <comment ref="C1056" authorId="6" shapeId="0" xr:uid="{3DF5E619-D064-48AC-B130-58A1289A7169}">
      <text>
        <t>[Threaded comment]
Your version of Excel allows you to read this threaded comment; however, any edits to it will get removed if the file is opened in a newer version of Excel. Learn more: https://go.microsoft.com/fwlink/?linkid=870924
Comment:
    UNSAFE</t>
      </text>
    </comment>
    <comment ref="E1154" authorId="7" shapeId="0" xr:uid="{2F5F18CE-FFAD-4414-8E0F-491929A777D9}">
      <text>
        <t>[Threaded comment]
Your version of Excel allows you to read this threaded comment; however, any edits to it will get removed if the file is opened in a newer version of Excel. Learn more: https://go.microsoft.com/fwlink/?linkid=870924
Comment:
    Seasonal basis</t>
      </text>
    </comment>
    <comment ref="E1155" authorId="8" shapeId="0" xr:uid="{D074CC9A-C49C-42F2-8952-8F38C65E7C65}">
      <text>
        <t>[Threaded comment]
Your version of Excel allows you to read this threaded comment; however, any edits to it will get removed if the file is opened in a newer version of Excel. Learn more: https://go.microsoft.com/fwlink/?linkid=870924
Comment:
    Runs on seasonal basis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<sst xmlns="http://schemas.openxmlformats.org/spreadsheetml/2006/main" count="5927" uniqueCount="1598">
  <si>
    <t>S.no.</t>
  </si>
  <si>
    <t>Department</t>
  </si>
  <si>
    <t>Equipment</t>
  </si>
  <si>
    <t>Category</t>
  </si>
  <si>
    <t>Criticality</t>
  </si>
  <si>
    <t>Total Average</t>
  </si>
  <si>
    <t>Average last 1Y</t>
  </si>
  <si>
    <t>Achieved Min</t>
  </si>
  <si>
    <t>Achieved Max</t>
  </si>
  <si>
    <t>Avg of best 6</t>
  </si>
  <si>
    <t>Standard as per ISO</t>
  </si>
  <si>
    <t>Target</t>
  </si>
  <si>
    <t>Last value</t>
  </si>
  <si>
    <t>Outliers 2Y</t>
  </si>
  <si>
    <t>Zero Outliers</t>
  </si>
  <si>
    <t xml:space="preserve">Red </t>
  </si>
  <si>
    <t xml:space="preserve">Yellow </t>
  </si>
  <si>
    <t>Green</t>
  </si>
  <si>
    <t>Status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</si>
  <si>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</si>
  <si>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</si>
  <si>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</si>
  <si>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</si>
  <si>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</si>
  <si>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</si>
  <si>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</si>
  <si>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</si>
  <si>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</si>
  <si>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</si>
  <si>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</si>
  <si>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</si>
  <si>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</si>
  <si>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</si>
  <si>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</si>
  <si>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</si>
  <si>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</si>
  <si>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</si>
  <si>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</si>
  <si>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</si>
  <si>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</si>
  <si>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</si>
  <si>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</si>
  <si>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</si>
  <si>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</si>
  <si>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</si>
  <si>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</si>
  <si>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</si>
  <si>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</si>
  <si>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</si>
  <si>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</si>
  <si>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</si>
  <si>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</si>
  <si>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</si>
  <si>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</si>
  <si>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</si>
  <si>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</si>
  <si>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</si>
  <si>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</si>
  <si>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2022-July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</si>
  <si>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</si>
  <si>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</si>
  <si>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</si>
  <si>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</si>
  <si>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</si>
  <si>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</si>
  <si>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</si>
  <si>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</si>
  <si>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</si>
  <si>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</si>
  <si>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</si>
  <si>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</si>
  <si>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</si>
  <si>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</si>
  <si>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</si>
  <si>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</si>
  <si>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</si>
  <si>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</si>
  <si>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</si>
  <si>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</si>
  <si>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</si>
  <si>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</si>
  <si>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</si>
  <si>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</si>
  <si>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</si>
  <si>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</si>
  <si>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</si>
  <si>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</si>
  <si>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Blast Furnace</t>
  </si>
  <si>
    <t>Conveyor</t>
  </si>
  <si>
    <t>A</t>
  </si>
  <si>
    <t>A+</t>
  </si>
  <si>
    <t>B</t>
  </si>
  <si>
    <t>Screen</t>
  </si>
  <si>
    <t>Fan</t>
  </si>
  <si>
    <t>Pump</t>
  </si>
  <si>
    <t>C</t>
  </si>
  <si>
    <t>Turbine</t>
  </si>
  <si>
    <t>PCI Mill</t>
  </si>
  <si>
    <t>Dynamic separator</t>
  </si>
  <si>
    <t>Coke Plant</t>
  </si>
  <si>
    <t>Exhauster</t>
  </si>
  <si>
    <t>Tar Centrifuse</t>
  </si>
  <si>
    <t>Blower</t>
  </si>
  <si>
    <t>Compressor</t>
  </si>
  <si>
    <t>Crusher</t>
  </si>
  <si>
    <t>HSM</t>
  </si>
  <si>
    <t xml:space="preserve"> Mill Stand</t>
  </si>
  <si>
    <t>Mill Stand</t>
  </si>
  <si>
    <t>LCP</t>
  </si>
  <si>
    <t>Booster</t>
  </si>
  <si>
    <t>Skip drive</t>
  </si>
  <si>
    <t>RMHS</t>
  </si>
  <si>
    <t>Sinter Plant</t>
  </si>
  <si>
    <t>Sinter machine</t>
  </si>
  <si>
    <t>Sinter breaker</t>
  </si>
  <si>
    <t>Feed drum</t>
  </si>
  <si>
    <t>Vib feeder</t>
  </si>
  <si>
    <t>Cooler drive</t>
  </si>
  <si>
    <t>Rod mill</t>
  </si>
  <si>
    <t>SMS</t>
  </si>
  <si>
    <t>Utility</t>
  </si>
  <si>
    <t>booster</t>
  </si>
  <si>
    <t>Pellet</t>
  </si>
  <si>
    <t>DRIVE</t>
  </si>
  <si>
    <t>SCREEN</t>
  </si>
  <si>
    <t>CRM</t>
  </si>
  <si>
    <t>BF-2</t>
  </si>
  <si>
    <t>4.1:BELT CONVEYOR -BC-11</t>
  </si>
  <si>
    <t>4.2:BELT CONVEYOR -BC-12</t>
  </si>
  <si>
    <t>4.3:BELT CONVEYOR -BC-13</t>
  </si>
  <si>
    <t>4.4:BELT CONVEYOR -BC-14</t>
  </si>
  <si>
    <t>4.5:BELT CONVEYOR -BC-21</t>
  </si>
  <si>
    <t>4.6:BELT CONVEYOR -BC-22</t>
  </si>
  <si>
    <t>4.7:BELT CONVEYOR -BC-23</t>
  </si>
  <si>
    <t>4.8:BELT CONVEYOR -BC-24</t>
  </si>
  <si>
    <t>4.9:CENTRE COKE CONVEYOR-1 DRIVE-1CCC-1</t>
  </si>
  <si>
    <t>4.10:CENTRE COKE CONVEYOR-2 DRIVE-1CCC-2</t>
  </si>
  <si>
    <t>4.11:COKE CONVEYOR-1 DRIVE-1CC-01 M1</t>
  </si>
  <si>
    <t>4.12:COKE CONVEYOR-1 DRIVE-1CC-01 M2</t>
  </si>
  <si>
    <t>4.13:COKE FINES CONVEYOR -CFC-1  M1</t>
  </si>
  <si>
    <t>4.14:COKE FINES CONVEYOR -CFC-1  M2</t>
  </si>
  <si>
    <t>4.15:COKE FINES CONVEYOR -CFC-2  M1</t>
  </si>
  <si>
    <t>4.16:COKE FINES CONVEYOR -CFC-2  M2</t>
  </si>
  <si>
    <t>4.17:COKE FINES CONVEYOR -CFC-3  M1</t>
  </si>
  <si>
    <t>4.18:COKE FINES CONVEYOR -CFC-3  M2</t>
  </si>
  <si>
    <t>4.19:COKE GATHERING CONVEYOR CGC-1 M1</t>
  </si>
  <si>
    <t>4.20:COKE GATHERING CONVEYOR CGC-1 M2</t>
  </si>
  <si>
    <t>4.21:MAIN CHARGING CONV-1MCC-1 M1</t>
  </si>
  <si>
    <t>4.22:MCC-1 M2</t>
  </si>
  <si>
    <t>4.23:MCC-1 M3</t>
  </si>
  <si>
    <t>4.24:MCC-1 M4</t>
  </si>
  <si>
    <t>4.25:NUT COKE CONVEYOR-1NCC-1</t>
  </si>
  <si>
    <t>4.26:ORE CONVEYOR-1     OC-1 M1</t>
  </si>
  <si>
    <t>4.27:ORE CONVEYOR-1    OC-1 M2</t>
  </si>
  <si>
    <t>4.28:ORE GATHERING CONVEYOR-1   OGC-1 M1</t>
  </si>
  <si>
    <t>4.29:ORE GATHERING CONVEYOR-1    OGC-1 M2</t>
  </si>
  <si>
    <t>4.30:SINTER CONVEYOR-1   SC-1 M1</t>
  </si>
  <si>
    <t>4.31:SINTER CONVEYOR-1    SC-1 M2</t>
  </si>
  <si>
    <t>4.32:SINTER FINES CONVEYOR-1    SFC-1  M1</t>
  </si>
  <si>
    <t>4.33:SINTER FINES CONVEYOR-1    SFC-1  M2</t>
  </si>
  <si>
    <t>4.34:SINTER FINES CONVEYOR-2    SFC-2 M1</t>
  </si>
  <si>
    <t>4.35:SINTER FINES CONVEYOR-2     SFC-2 M2</t>
  </si>
  <si>
    <t>4.36:ORE FINES CONVEYOR-1 OFC-1M1</t>
  </si>
  <si>
    <t>4.37:ORE FINES CONVEYOR-1 OFC-1M2</t>
  </si>
  <si>
    <t>4.38:ORE FINES CONVEYOR-2 OFC-2 M1</t>
  </si>
  <si>
    <t>4.39:ORE FINES CONVEYOR-2 OFC-2 M2</t>
  </si>
  <si>
    <t>4.40:ORE FINES CONVEYOR-3 OFC-3 M1</t>
  </si>
  <si>
    <t>4.41:ORE FINES CONVEYOR-3 OFC-3 M2</t>
  </si>
  <si>
    <t>4.42:GRAN SHOT BELT CONV-1GS BC-1</t>
  </si>
  <si>
    <t>4.43:GRAN SHOT BELT CONV-3GS BC-3</t>
  </si>
  <si>
    <t>4.44:COMBUSTION AIR FAN -1</t>
  </si>
  <si>
    <t>4.45:COMBUSTION AIR FAN -2</t>
  </si>
  <si>
    <t>4.46:COMBUSTION AIR FAN -3</t>
  </si>
  <si>
    <t>4.47:BLOWER -1</t>
  </si>
  <si>
    <t>4.48:BLOWER -2</t>
  </si>
  <si>
    <t>4.49:BLOWER -3</t>
  </si>
  <si>
    <t>4.50:TANK DRAFT FAN-1</t>
  </si>
  <si>
    <t>4.51:TANK DRAFT FAN-2</t>
  </si>
  <si>
    <t>4.52:TANK DRAFT FAN-3</t>
  </si>
  <si>
    <t>4.53:ESP FAN-1 CAST HOUSE -1</t>
  </si>
  <si>
    <t>4.54:ESP FAN-2- CAST HOUSE -1</t>
  </si>
  <si>
    <t>4.55:ESP FAN-1 CAST HOUSE -2</t>
  </si>
  <si>
    <t>4.56:ESP FAN-2- CAST HOUSE -2</t>
  </si>
  <si>
    <t>4.57:ID FAN-01 STOCK HOUSE</t>
  </si>
  <si>
    <t>4.58:ID FAN-02 STOCK HOUSE</t>
  </si>
  <si>
    <t>4.59:E1512_01_HEARTH STAVE COOLING PUMP (CKT1)</t>
  </si>
  <si>
    <t>4.60:E1512_02_HEARTH STAVE COOLING PUMP (CKT1)</t>
  </si>
  <si>
    <t>4.61:E1552_01_FURNACE STAVE COOLING WATER PUMP ( CKT 2)</t>
  </si>
  <si>
    <t>4.62:E1552-02_FURNACE STAVE COOLING WATER PUMP ( CKT 2)</t>
  </si>
  <si>
    <t>4.63:E1552-03_FURNACE STAVE COOLING WATER PUMP ( CKT 2)</t>
  </si>
  <si>
    <t>4.64:E1612_01  THROAT STAVE PUMP( CKT 3)</t>
  </si>
  <si>
    <t>4.65:E1612-02 THROAT STAVE PUMP ( CKT 3)</t>
  </si>
  <si>
    <t>4.66:E1112-01 TUYERE AND AUXILLARY PUMP ( CKT 4)</t>
  </si>
  <si>
    <t>4.67:E1112-02 TUYERE AND AUXILLARY PUMP ( CKT 4)</t>
  </si>
  <si>
    <t>4.68:E1132_01  TUYERE NOSE PUMP( CKT 5)</t>
  </si>
  <si>
    <t>4.69:E1132-02_TUYERE NOSE PUMP( CKT 5)</t>
  </si>
  <si>
    <t>4.70:E1183_01  DM WATER FILL ( EOHT RECIRCULATION PUMP)</t>
  </si>
  <si>
    <t>4.71:E1183_02  DM WATER FILL ( EOHT RECIRCULATION PUMP)</t>
  </si>
  <si>
    <t>4.72:E1189_01 HEARTH STAVE DM WATER MAKEUP PUMP (NORMAL FILL)</t>
  </si>
  <si>
    <t>4.73:E1189_02 HEARTH STAVE DM WATER MAKEUP PUMP (QUICK FILL)</t>
  </si>
  <si>
    <t>4.74:E1191_01 FURNACE STAVE DM WATER MAKEUP PUMP ( QUICK FILL)</t>
  </si>
  <si>
    <t>4.75:E1191_02 FURNACE STAVE DM WATER MAKEUP PUMP ( QUICK FILL)</t>
  </si>
  <si>
    <t>4.76:E1193_01 TUYERA &amp; AUXILLARY DM WATER MAKEUP PUMP (NORMAL FILL)</t>
  </si>
  <si>
    <t>4.77:E1193_02 TUYERA &amp; AUXILLARY DM WATER MAKEUP PUMP (NORMAL FILL)</t>
  </si>
  <si>
    <t>4.78:E1195_01 TUYERE NOSE DM WATER MAKEUP PUMP (QUICK FILL)</t>
  </si>
  <si>
    <t>4.79:E1195_02_TUYERE NOSE DM WATER MAKEUP PUMP (NORMAL FILL)</t>
  </si>
  <si>
    <t>4.80:E1197_01 THROAT STAVE DM WATER MAKE UP PUMP(NORMAL FILL)</t>
  </si>
  <si>
    <t>4.81:E1197_02_THROAT STAVE DM WATER MAKE UP PUMP(NORMAL FILL)</t>
  </si>
  <si>
    <t>4.82:E1310_01 TUYERE COMMON SECONDARY COOLING PUMP</t>
  </si>
  <si>
    <t>4.83:E1310_02 _TUYERE COMMON SECONDARY COOLING PUMP</t>
  </si>
  <si>
    <t>4.84:E1310_03 TUYERE COMMON SECONDARY COOLING PUMP</t>
  </si>
  <si>
    <t>4.85:E1320_01_FURNACE STAVE SECONDARY COOLING WATER PUMP</t>
  </si>
  <si>
    <t>4.86:E1320_02 _FURNACE STAVE SECONDARY COOLING WATER PUMP</t>
  </si>
  <si>
    <t>4.87:E1320-03_FURNACE STAVE SECONDARY COOLING WATER PUMP</t>
  </si>
  <si>
    <t>4.88:E1330_01 THROAT STAVE &amp; HEARTH STAVE SECONDARY COOLING WATER PUMP</t>
  </si>
  <si>
    <t>4.89:E1330_02  THROAT STAVE &amp; HEARTH STAVE SECONDARY COOLING WATER PUMP</t>
  </si>
  <si>
    <t>4.90:E1330-03 HROAT STAVE &amp; HEARTH STAVE SECONDARY COOLING WATER PUMP</t>
  </si>
  <si>
    <t>4.91:E1340_01  SIDE STREAM FILTERATION PUMP</t>
  </si>
  <si>
    <t>4.92:E1340-02 SIDE STREAM FILTERATION PUMP</t>
  </si>
  <si>
    <t>4.93:E5251_01  RECIRCULATION PUMP</t>
  </si>
  <si>
    <t>4.94:E5251_02_RECIRCULATION PUMP-GCP</t>
  </si>
  <si>
    <t>4.95:E5261_01 CLARIFIED WATER PUMP_GCP</t>
  </si>
  <si>
    <t>4.96:E5261_02_CLARIFIED WATER PUMP-GCP</t>
  </si>
  <si>
    <t>4.97:E7531_01 COOLING TOWER PUMP (HOT WELL)</t>
  </si>
  <si>
    <t>4.98:E7531_02 COOLING TOWER PUMP (HOT WELL)</t>
  </si>
  <si>
    <t>4.99:E7531_03_COOLING TOWER PUMP-SGP1 (HOT WELL)</t>
  </si>
  <si>
    <t>4.100:E7546_01 WATER SUPPLY PUMP_SGP1 (COLD WELL)</t>
  </si>
  <si>
    <t>4.101:E7546_02 WATER SUPPLY PUMP_SGP1 (COLD WELL)</t>
  </si>
  <si>
    <t>4.102:E7546_03_WATER SUPPLY PUMP_SGP1 (COLD WELL)</t>
  </si>
  <si>
    <t>4.103:E7551_01 MUD DISPOSAL PUMP_SGP1</t>
  </si>
  <si>
    <t>4.104:E7551_02_MUD DISPOSAL PUMP_SGP1</t>
  </si>
  <si>
    <t>4.105:E7631_01_COOLING TOWER PUMP-SGP2 (HOT WELL)</t>
  </si>
  <si>
    <t>4.106:E7631_02_COOLING TOWER PUMP-SGP2 (HOT WELL)</t>
  </si>
  <si>
    <t>4.107:E7631_03_COOLING TOWER PUMP-SGP2 (HOT WELL)</t>
  </si>
  <si>
    <t>4.108:E7646_01_WATER SUPPLY PUMP-SGP2 (COLD WELL)</t>
  </si>
  <si>
    <t>4.109:E7646_02_WATER SUPPLY PUMP-SGP2 (COLD WELL)</t>
  </si>
  <si>
    <t>4.110:E7646_03_WATER SUPPLY PUMP-SGP2 (COLD WELL)</t>
  </si>
  <si>
    <t>4.111:E7651_01_MUD DISPOSAL PUMP-SGP2</t>
  </si>
  <si>
    <t>4.112:E7651_02_MUD DISPOSAL PUMP-SGP2</t>
  </si>
  <si>
    <t>4.113:FIRE FIGHTING MAIN PUMPE-F01</t>
  </si>
  <si>
    <t>4.114:FIRE FIGHTING JOCKEY PUMP-01</t>
  </si>
  <si>
    <t>4.115:FIRE FIGHTING JOCKEY PUMP-02</t>
  </si>
  <si>
    <t>4.116:INDUSTRIAL WATER COOLING PUMP -1</t>
  </si>
  <si>
    <t>4.117:INDUSTRIAL WATER COOLING PUMP -2</t>
  </si>
  <si>
    <t>4.118:U231 A COOLING TOWER FAN-AU231 A</t>
  </si>
  <si>
    <t>4.119:U231 B COOLING TOWER FAN-AU231 B</t>
  </si>
  <si>
    <t>4.120:U231 C COOLING TOWER FAN-AU231 C</t>
  </si>
  <si>
    <t>4.121:U233 A HOT WATER PROCESS PUMP-GRANSHOT</t>
  </si>
  <si>
    <t>4.122:U233 B HOT WATER PROCESS PUMP-GRAN SHOT</t>
  </si>
  <si>
    <t>4.123:U233 C HOT WATER PROCESS PUMP-GRAN SHOT</t>
  </si>
  <si>
    <t>4.124:U234 A COLD WATER PROCESS PUMP</t>
  </si>
  <si>
    <t>4.125:U234 B COLD WATER PROCESS PUMP</t>
  </si>
  <si>
    <t>4.126:U234 C COLD WATER PROCESS PUMP</t>
  </si>
  <si>
    <t>4.127:U235A EJECTOR WATER PUMP</t>
  </si>
  <si>
    <t>4.128:U235B EJECTOR WATER PUMP</t>
  </si>
  <si>
    <t>4.129:U236 TANK DRAINAGE PUMP</t>
  </si>
  <si>
    <t>4.130:U237 METAL RECOVERY DISCHARGE PUMP</t>
  </si>
  <si>
    <t>4.131:CP31A _THICKNER UNDERFLOW PUMP</t>
  </si>
  <si>
    <t>4.132:CP31B _THICKNER UNDERFLOW PUMP</t>
  </si>
  <si>
    <t>4.133:CP33 A FLUSHING WATER PUMPCP33A</t>
  </si>
  <si>
    <t>4.134:CP33 B FLUSHING WATER PUMPCP33B</t>
  </si>
  <si>
    <t>4.135:CP34 A FILTER PRESS FEED PUMPCP34 A</t>
  </si>
  <si>
    <t>4.136:CP34 B FILTER PRESS FEED PUMPCP34 B</t>
  </si>
  <si>
    <t>4.137:CP34 C FILTER PRESS FEED PUMPCP34 C</t>
  </si>
  <si>
    <t>4.138:P-601A_CLOTH WASH PUMP</t>
  </si>
  <si>
    <t>4.139:P-601B_CLOTH WASH PUMP</t>
  </si>
  <si>
    <t>4.140:Trough Cooling fan - 1</t>
  </si>
  <si>
    <t>4.141:Trough Cooling fan - 2</t>
  </si>
  <si>
    <t>4.142:Trough Cooling fan - 3</t>
  </si>
  <si>
    <t>4.143:Trough Cooling fan - 4</t>
  </si>
  <si>
    <t>4.144:HSWG fan -1</t>
  </si>
  <si>
    <t>4.145:TRT Turbine</t>
  </si>
  <si>
    <t>4.147:PCI MAIN MILL-2 DRIVE</t>
  </si>
  <si>
    <t>4.146:PCI MAIN MILL-1 DRIVE</t>
  </si>
  <si>
    <t>4.148:PCI SEAL AIR FAN -1 (SMALL FAN)</t>
  </si>
  <si>
    <t>4.149:PCI SEAL AIR FAN -2 (SMALL FAN)</t>
  </si>
  <si>
    <t>4.150:PCI DYNAMIC SEPARATOR -1</t>
  </si>
  <si>
    <t>4.151:PCI DYNAMIC SEPARATOR -2</t>
  </si>
  <si>
    <t>4.152:PCI ID FAN-1 (BIG FAN)</t>
  </si>
  <si>
    <t>4.153:PCI ID FAN-2 (BIG FAN)</t>
  </si>
  <si>
    <t>4.154:PCI CA FAN-01</t>
  </si>
  <si>
    <t>4.155:PCI CA FAN-02</t>
  </si>
  <si>
    <t>4.156:NEGATIVE SUCTION FAN-1</t>
  </si>
  <si>
    <t>4.157:NEGATIVE SUCTION FAN-2</t>
  </si>
  <si>
    <t>4.158:BLT PUMP -1</t>
  </si>
  <si>
    <t>4.159:BLT PUMP -2</t>
  </si>
  <si>
    <t>4.160:P31A _PUMP</t>
  </si>
  <si>
    <t>4.161:P31B _PUMP</t>
  </si>
  <si>
    <t>4.162:BC-1</t>
  </si>
  <si>
    <t>4.163:BC-2</t>
  </si>
  <si>
    <t>4.164:Pulling Pit De-Dusting fan</t>
  </si>
  <si>
    <t>4.165:E5261_03_CLARIFIED WATER PUMP-GCP</t>
  </si>
  <si>
    <t>4.166:COKE SCREENER CCS 01</t>
  </si>
  <si>
    <t>4.167:COKE SCREENER CCS 02</t>
  </si>
  <si>
    <t>4.168:CENTRE COKE VIBROFEEDER  CCF1</t>
  </si>
  <si>
    <t>2.1:Exhauster A</t>
  </si>
  <si>
    <t>2.2:Exhauster B</t>
  </si>
  <si>
    <t>2.3:Exhauster C</t>
  </si>
  <si>
    <t>2.4:Flushing Liquor pump A P41401 A</t>
  </si>
  <si>
    <t>2.5:Flushing Liquor pump B P41401 B</t>
  </si>
  <si>
    <t>2.6:Flushing Liquor pump C P41401 C</t>
  </si>
  <si>
    <t>2.7:Tar press pump AP41405 A</t>
  </si>
  <si>
    <t>2.8:Tar press pump BP41405 B</t>
  </si>
  <si>
    <t>2.9:HPLA pump A P41410 A</t>
  </si>
  <si>
    <t>2.10:HPLA pump B P41410 B</t>
  </si>
  <si>
    <t>2.11:HPLA pump C P41410 C</t>
  </si>
  <si>
    <t>2.12:HPLA pump D P41410 D</t>
  </si>
  <si>
    <t>2.13:Tar Centrifuse A1Z41401A</t>
  </si>
  <si>
    <t>2.14:Tar Centrifuse B1Z41401B</t>
  </si>
  <si>
    <t>2.15:Upper Cond pump.A P41201 A</t>
  </si>
  <si>
    <t>2.16:Upper Cond.pump B P41201 B</t>
  </si>
  <si>
    <t>2.17:Lower Cond.pump A P41202 A</t>
  </si>
  <si>
    <t>2.18:Lower Cond.pump B P41202B</t>
  </si>
  <si>
    <t>2.19:Cond.pump A P41203 A</t>
  </si>
  <si>
    <t>2.20:Cond.pump B P41203 B</t>
  </si>
  <si>
    <t>2.21:Air Blower A1B43501A</t>
  </si>
  <si>
    <t>2.22:Air Blower B1B43501B</t>
  </si>
  <si>
    <t>2.23:Air Blower C1B43501C</t>
  </si>
  <si>
    <t>2.24:COG Blower A1B43502A</t>
  </si>
  <si>
    <t>2.25:COG Blower B1B43502B</t>
  </si>
  <si>
    <t>2.26:COG Blower B1B43502C</t>
  </si>
  <si>
    <t>2.27:Claified water Pump P11301A</t>
  </si>
  <si>
    <t>2.28:Claified water Pump P11301B</t>
  </si>
  <si>
    <t>2.29:RCPH main Pump P10303A</t>
  </si>
  <si>
    <t>2.30:RCPH main Pump P10303B</t>
  </si>
  <si>
    <t>2.31:RCPH main Pump P10303C</t>
  </si>
  <si>
    <t>2.32:RCPH main Pump P10303D</t>
  </si>
  <si>
    <t>2.33:Condenser water Pump P10613A</t>
  </si>
  <si>
    <t>2.34:Condenser water Pump P10613B</t>
  </si>
  <si>
    <t>2.35:Condenser water Pump P10613C</t>
  </si>
  <si>
    <t>2.36:Seacondery chilled Pump P10517A</t>
  </si>
  <si>
    <t>2.37:Seacondery chilled Pump P10517B</t>
  </si>
  <si>
    <t>2.38:Seacondery chilled Pump P10517C</t>
  </si>
  <si>
    <t>2.39:Main Cooling tower fan -A CT10301A</t>
  </si>
  <si>
    <t>2.40:Main Cooling tower fan -B CT10301B</t>
  </si>
  <si>
    <t>2.41:Main Cooling tower fan -C CT10301C</t>
  </si>
  <si>
    <t>2.42:Main Cooling tower fan -D CT10301D</t>
  </si>
  <si>
    <t>2.43:Procs chiller Cooling tower fan -A CT10602A</t>
  </si>
  <si>
    <t>2.44:Procs chiller Cooling tower fan -B CT10602B</t>
  </si>
  <si>
    <t>2.45:Procs chiller Cooling tower fan -C CT10602C</t>
  </si>
  <si>
    <t>2.46:Air Compressor - A [AC10801 A]</t>
  </si>
  <si>
    <t>2.47:Air Compressor - B [AC10801 B]</t>
  </si>
  <si>
    <t>2.48:Air Compressor - C [AC10801 C]</t>
  </si>
  <si>
    <t>2.49:Equalization Tank Mixing BlowersB-103 A</t>
  </si>
  <si>
    <t>2.50:Equalization Tank Mixing BlowersB-103 B</t>
  </si>
  <si>
    <t>2.51:Equalization Effluent PumpsP-103 A</t>
  </si>
  <si>
    <t>2.52:Equalization Effluent PumpsP-103 B</t>
  </si>
  <si>
    <t>2.53:Equalization Effluent PumpsP-103 C</t>
  </si>
  <si>
    <t>2.54:Diversion Tank Mixing Blowers-104A</t>
  </si>
  <si>
    <t>2.55:Influent Cooling Tower FanA-101 A</t>
  </si>
  <si>
    <t>2.56:AIS Aeration BlowersB-201 A</t>
  </si>
  <si>
    <t>2.57:AIS Aeration BlowersB-201 B</t>
  </si>
  <si>
    <t>2.58:AIS Aeration BlowersB-201 C</t>
  </si>
  <si>
    <t>2.59:AIS Aeration BlowersB-201 D</t>
  </si>
  <si>
    <t>2.60:AIS Anoxic Recycle PumpsP-201 A</t>
  </si>
  <si>
    <t>2.61:AIS Anoxic Recycle PumpsP-201 B</t>
  </si>
  <si>
    <t>2.62:AIS Anoxic Recycle Cooling Towers Fan-202 A</t>
  </si>
  <si>
    <t>2.63:AIS Anoxic Recycle Cooling Towers Fan-202 B</t>
  </si>
  <si>
    <t>2.64:COKE CONVEYOR C101BC</t>
  </si>
  <si>
    <t>2.65:COKE CONVEYOR C102BC</t>
  </si>
  <si>
    <t>2.66:COKE CONVEYOR C104BC</t>
  </si>
  <si>
    <t>2.67:COKE CONVEYOR C105BC</t>
  </si>
  <si>
    <t>2.68:COKE CONVEYOR C106BC</t>
  </si>
  <si>
    <t>2.69:COKE CONVEYOR C107BC</t>
  </si>
  <si>
    <t>2.70:COKE CONVEYOR C108BC</t>
  </si>
  <si>
    <t>2.71:COKE CONVEYOR C109BC</t>
  </si>
  <si>
    <t>2.72:COKE CONVEYOR CK18</t>
  </si>
  <si>
    <t>2.73:COKE CONVEYOR CK20</t>
  </si>
  <si>
    <t>2.74:COKE CONVEYOR CK28</t>
  </si>
  <si>
    <t>2.75:COKE CONVEYOR CK29</t>
  </si>
  <si>
    <t>2.76:COKE CONVEYOR CK11</t>
  </si>
  <si>
    <t>2.77:COKE CONVEYOR CK12</t>
  </si>
  <si>
    <t>2.78:COKE CONVEYOR CK15</t>
  </si>
  <si>
    <t>2.79:COKE CONVEYOR CK16</t>
  </si>
  <si>
    <t>2.80:COKE CONVEYOR CK35</t>
  </si>
  <si>
    <t>2.81:COKE CONVEYOR CK36</t>
  </si>
  <si>
    <t>2.82:COKE CONVEYOR CK37</t>
  </si>
  <si>
    <t>2.83:COKE CONVEYOR CK38</t>
  </si>
  <si>
    <t>2.84:COKE CONVEYOR CK39</t>
  </si>
  <si>
    <t>2.85:COKE CONVEYOR CK40</t>
  </si>
  <si>
    <t>2.86:COKE CONVEYOR CK41</t>
  </si>
  <si>
    <t>2.87:COKE CONVEYOR CK42</t>
  </si>
  <si>
    <t>2.88:COKE CONVEYOR CK46</t>
  </si>
  <si>
    <t>2.89:COKE CONVEYOR CK47</t>
  </si>
  <si>
    <t>2.90:COKE CONVEYOR CK48</t>
  </si>
  <si>
    <t>2.91:COKE CONVEYOR CK49</t>
  </si>
  <si>
    <t>2.92:COKE CONVEYOR  CK3</t>
  </si>
  <si>
    <t>2.93:COKE CONVEYOR  CK3A</t>
  </si>
  <si>
    <t>2.94:COKE CONVEYOR  CK6</t>
  </si>
  <si>
    <t>2.95:COKE CONVEYOR  CK7</t>
  </si>
  <si>
    <t>2.96:COKE CONVEYOR  CK8</t>
  </si>
  <si>
    <t>2.97:COKE SCREEN KVS1</t>
  </si>
  <si>
    <t>2.98:COKE SCREEN KVS2</t>
  </si>
  <si>
    <t>2.99:COKE SCREEN KVS3</t>
  </si>
  <si>
    <t>2.100:COKE CONVEYOR  CK24A</t>
  </si>
  <si>
    <t>2.101:COKE CONVEYOR CK 22</t>
  </si>
  <si>
    <t>2.102:COKE CONVEYOR CK24</t>
  </si>
  <si>
    <t>2.103:COKE CONVEYOR CK26</t>
  </si>
  <si>
    <t>2.104:COKE CONVEYOR CK26 Drive 2</t>
  </si>
  <si>
    <t>2.105:COKE CONVEYOR  CK30</t>
  </si>
  <si>
    <t>2.106:COKE CONVEYOR CK31</t>
  </si>
  <si>
    <t>2.107:COKE CONVEYOR CK32</t>
  </si>
  <si>
    <t>2.108:COKE CONVEYOR CK 43</t>
  </si>
  <si>
    <t>2.109:COKE CONVEYOR CK 58</t>
  </si>
  <si>
    <t>2.110:COAL CONV. CC11</t>
  </si>
  <si>
    <t>2.111:COAL CONV. CC13</t>
  </si>
  <si>
    <t>2.112:COAL CONV. CC15</t>
  </si>
  <si>
    <t>2.113:COAL CRUSHER 1</t>
  </si>
  <si>
    <t>2.114:COAL CRUSHER 2</t>
  </si>
  <si>
    <t>2.115:RETRACTABLE COAL BELT FEEDER 1</t>
  </si>
  <si>
    <t>2.116:RETRACTABLE COAL BELT FEEDER 2</t>
  </si>
  <si>
    <t>2.117:COAL CONV. CC17</t>
  </si>
  <si>
    <t>2.118:COAL CONV. CC19</t>
  </si>
  <si>
    <t>2.119:RETRACTABLE COAL BELT FEEDER 4</t>
  </si>
  <si>
    <t>2.120:RETRACTABLE COAL BELT FEEDER 5</t>
  </si>
  <si>
    <t>2.121:COAL CRUSHER 4</t>
  </si>
  <si>
    <t>2.122:COAL CRUSHER 5</t>
  </si>
  <si>
    <t>2.123:COAL CONV. CC21</t>
  </si>
  <si>
    <t>2.124:COAL CONV. CC23</t>
  </si>
  <si>
    <t>2.125:COAL CONV. CC24</t>
  </si>
  <si>
    <t>2.126:COAL CONV. CC25</t>
  </si>
  <si>
    <t>2.127:COAL CONV. CC26</t>
  </si>
  <si>
    <t>2.128:REVERSIBLE CONV. B101RC</t>
  </si>
  <si>
    <t>2.129:REVERSIBLE CONV. B102RC</t>
  </si>
  <si>
    <t>2.130:REVERSIBLE SHUTTLE CONV.  B103SRC</t>
  </si>
  <si>
    <t>2.131:REVERSIBLE SHUTTLE CONV.  B104SRC</t>
  </si>
  <si>
    <t>2.132:SPILLAGE COAL CONV. SPC1</t>
  </si>
  <si>
    <t>2.133:SPILLAGE COAL CONV. SPC1A</t>
  </si>
  <si>
    <t>2.134:SPILLAGE COAL CONV. SPC2</t>
  </si>
  <si>
    <t>2.135:MAIN QUENCHING PUMP 1 BATTERY 2 [28201A]</t>
  </si>
  <si>
    <t>2.136:MAIN QUENCHING PUMP 2 BATTERY 2 [28201B]</t>
  </si>
  <si>
    <t>2.137:MAIN QUENCHING PUMP 3 BATTERY 2 [28201C]</t>
  </si>
  <si>
    <t>2.138:DEDUSTING PUMP QUENCHING STATION  2 [28202]</t>
  </si>
  <si>
    <t>2.139:DEMISTING PUMP 1 QUENCHING STATION  2 [28204A]</t>
  </si>
  <si>
    <t>2.140:DEMISTING PUMP 2 QUENCHING STATION  2 [28204B]</t>
  </si>
  <si>
    <t>2.141:MAIN QUENCHING PUMP 1 BATTERY 1 [28101A]</t>
  </si>
  <si>
    <t>2.142:MAIN QUENCHING PUMP 2 BATTERY 1 [28101B]</t>
  </si>
  <si>
    <t>2.143:MAIN QUENCHING PUMP 3 BATTERY 1 [28101C]</t>
  </si>
  <si>
    <t>2.144:DEDUSTING PUMP QUENCHING STATION  1 [28202]</t>
  </si>
  <si>
    <t>2.145:DEMISTING PUMP 1 QUENCHING STATION  1 [28104A]</t>
  </si>
  <si>
    <t>2.146:DEMISTING PUMP 2 QUENCHING STATION  1 [28104B]</t>
  </si>
  <si>
    <t>2.147:Dedusting Fan Battery #1 (at full rpm)</t>
  </si>
  <si>
    <t>2.148:Dedusting Fan Battery #2 (at full rpm)</t>
  </si>
  <si>
    <t>2.149:REVERSIBLE SHUTTLE CONV.  B101SRC</t>
  </si>
  <si>
    <t>2.150:REVERSIBLE SHUTTLE CONV.  B102SRC</t>
  </si>
  <si>
    <t>2.151:CDQ FAN - Dedusting fan-01</t>
  </si>
  <si>
    <t>2.152:BOOM CONVEYOR OF CK-30</t>
  </si>
  <si>
    <t>2.153:L#109 BC</t>
  </si>
  <si>
    <t>2.154:L#110 BC</t>
  </si>
  <si>
    <t>2.155:CK-51</t>
  </si>
  <si>
    <t>2.156:CK-52</t>
  </si>
  <si>
    <t>2.157:CK-53</t>
  </si>
  <si>
    <t>2.158:CK-54</t>
  </si>
  <si>
    <t>2.159:CK-56</t>
  </si>
  <si>
    <t>2.160:CK-57</t>
  </si>
  <si>
    <t>2.161:CK-56A</t>
  </si>
  <si>
    <t>2.162:CK-54A</t>
  </si>
  <si>
    <t>2.163:CK-54B</t>
  </si>
  <si>
    <t>2.164:C103BC</t>
  </si>
  <si>
    <t>2.165:PUMP FOR BFW - 1P43502A</t>
  </si>
  <si>
    <t>2.166:PUMP FOR BFW - 1P43502B</t>
  </si>
  <si>
    <t>2.167:COOLING TOWER RECIRCULATION PUMP - P204A</t>
  </si>
  <si>
    <t>2.168:COOLING TOWER RECIRCULATION PUMP - P204B</t>
  </si>
  <si>
    <t>2.169:LIQUID SULFUR PUMP - 1P43504A</t>
  </si>
  <si>
    <t>2.170:LIQUID SULFUR PUMP - 1P43504B</t>
  </si>
  <si>
    <t>2.171:LIQUID SULFUR PUMP - 1P43505A</t>
  </si>
  <si>
    <t>2.172:LIQUID SULFUR PUMP - 1P43505B</t>
  </si>
  <si>
    <t>2.173:PRIMARY CHILLED WATER PUMP - P10514A</t>
  </si>
  <si>
    <t>2.174:PRIMARY CHILLED WATER PUMP - P10514B</t>
  </si>
  <si>
    <t>2.175:PRIMARY CHILLED WATER PUMP - P10514C</t>
  </si>
  <si>
    <t>2.176:PRIMARY CHILLED WATER PUMP - P10514D</t>
  </si>
  <si>
    <t>2.177:PRIMARY CHILLED WATER PUMP - P10514E</t>
  </si>
  <si>
    <t>6.1:E1 Reduction Gear Box_Drive side</t>
  </si>
  <si>
    <t>6.2:E1 Reduction Gear Box - work side</t>
  </si>
  <si>
    <t>6.3:E2 Reduction Gear Box_Drive side</t>
  </si>
  <si>
    <t>6.4:E2 Reduction Gear Box_work side</t>
  </si>
  <si>
    <t>6.5:F1- Finishing Mill Motor,Reducer gbox&amp;Pinion stand</t>
  </si>
  <si>
    <t>6.6:F2- Finishing Mill Motor,Reducer gbox&amp;Pinion stand</t>
  </si>
  <si>
    <t>6.7:F3- Finishing Mill Motor,Reducer gbox&amp;Pinion stand</t>
  </si>
  <si>
    <t>6.8:F4- Finishing Mill Motor,Reducer gbox&amp;Pinion stand</t>
  </si>
  <si>
    <t>6.9:F5- Finishing Mill Motor &amp; Pinion stand</t>
  </si>
  <si>
    <t>6.10:F6- Finishing Mill Motor &amp; Pinion stand</t>
  </si>
  <si>
    <t>6.11:F7- Finishing Mill Motor &amp; Pinion stand</t>
  </si>
  <si>
    <t>6.12:R1 TOP MOTOR</t>
  </si>
  <si>
    <t>6.13:R1 BOTTOM MOTOR</t>
  </si>
  <si>
    <t>6.14:R2 TOP MOTOR</t>
  </si>
  <si>
    <t>6.15:R2 BOTTOM MOTOR</t>
  </si>
  <si>
    <t>6.16:DC1 Mandrel Gear Box (Including Reduction Gear)</t>
  </si>
  <si>
    <t>6.17:DC2 Mandrel Gear Box (Including Reduction Gear)</t>
  </si>
  <si>
    <t>6.18:DC3 Mandrel Gear Box (Including Reduction Gear)</t>
  </si>
  <si>
    <t>6.19:Centrifugal Air Fan-1- Reheating Furnace1</t>
  </si>
  <si>
    <t>6.20:Centrifugal Air Fan-2- Reheating Furnace1</t>
  </si>
  <si>
    <t>6.21:Centrifugal Air Fan-3- Reheating Furnace1</t>
  </si>
  <si>
    <t>6.22:Centrifugal Air Fan-1- Reheating Furnace2</t>
  </si>
  <si>
    <t>6.23:Centrifugal Air Fan-2- Reheating Furnace2</t>
  </si>
  <si>
    <t>6.24:Centrifugal Air Fan-3- Reheating Furnace2</t>
  </si>
  <si>
    <t>6.25:Dilution Air Fans-1_Reheating Furnace 1</t>
  </si>
  <si>
    <t>6.26:Dilution Air Fans-1_Reheating Furnace 2</t>
  </si>
  <si>
    <t>6.27:Fume exhaust system ID fan of finishing mill</t>
  </si>
  <si>
    <t>6.28:DESCALING PUMP#1</t>
  </si>
  <si>
    <t>6.29:DESCALING PUMP#2</t>
  </si>
  <si>
    <t>6.30:DESCALING PUMP#3</t>
  </si>
  <si>
    <t>6.31:DESCALING PUMP#4</t>
  </si>
  <si>
    <t>6.32:DESCALING PUMP#5</t>
  </si>
  <si>
    <t>6.33:MIL-ICW PMP-P1.1-MOTOR-PMP</t>
  </si>
  <si>
    <t>6.34:MIL-ICW PMP-P1.2-MOTOR-PMP</t>
  </si>
  <si>
    <t>6.35:MIL-ICW PMP-P1.3-MOTOR-PMP</t>
  </si>
  <si>
    <t>6.36:MIL-ICW PMP-P1.4-MOTOR-PMP</t>
  </si>
  <si>
    <t>6.37:MILL ICW Pumpm-2.1</t>
  </si>
  <si>
    <t>6.38:MILL ICW Pumpm-2.2</t>
  </si>
  <si>
    <t>6.39:FCE-ICW-MOTOR-PMP-P3.1</t>
  </si>
  <si>
    <t>6.40:FCE-ICW-MOTOR-PMP-P3.2</t>
  </si>
  <si>
    <t>6.41:FCE-ICW-MOTOR-PMP-P3.3</t>
  </si>
  <si>
    <t>6.42:FCE-ICW-MOTOR-PMP-P3.4</t>
  </si>
  <si>
    <t>6.43:FCE-ICW-MOTOR-PMP-P3.5</t>
  </si>
  <si>
    <t>6.44:DCW-LP-MOTOR-PMP P6.1</t>
  </si>
  <si>
    <t>6.45:DCW-LP-MOTOR-PMP P6.2</t>
  </si>
  <si>
    <t>6.46:DCW-LP-MOTOR-PMP P6.3</t>
  </si>
  <si>
    <t>6.47:DCW-HP-MOTOR-PMP P7.1</t>
  </si>
  <si>
    <t>6.48:DCW-HP-MOTOR-PMP P7.2</t>
  </si>
  <si>
    <t>6.49:DCW-HP-MOTOR-PMP P7.3</t>
  </si>
  <si>
    <t>6.50:DCW-HP-MOTOR-PMP P7.4</t>
  </si>
  <si>
    <t>6.51:DCW-HP-MOTOR-PMP P7.5</t>
  </si>
  <si>
    <t>6.52:DCW-HP-MOTOR-PMP P7.6</t>
  </si>
  <si>
    <t>6.53:DCW-HP-MOTOR-PMP P7.7</t>
  </si>
  <si>
    <t>6.54:LCW SUPPLY-MOTOR-PMP P10.1</t>
  </si>
  <si>
    <t>6.55:LCW SUPPLY-MOTOR-PMP-P10.2</t>
  </si>
  <si>
    <t>6.56:LCW SUPPLY-MOTOR-PMP-P10.3</t>
  </si>
  <si>
    <t>6.57:LCW SUPPLY-MOTOR-PMP-P10.4</t>
  </si>
  <si>
    <t>6.58:LCW SUPPLY-MOTOR-PMP-P10.5</t>
  </si>
  <si>
    <t>6.59:LCW SUPPLY-MOTOR-PMP-P10.6</t>
  </si>
  <si>
    <t>6.60:LCW SUPPLY-MOTOR-PMP-P10.7</t>
  </si>
  <si>
    <t>6.61:LCW SUPL-SPR-MOTOR-PMP11.1</t>
  </si>
  <si>
    <t>6.62:LCW SUPL-SPR-MOTOR-PMP11.2</t>
  </si>
  <si>
    <t>6.63:PUMPM 13.1</t>
  </si>
  <si>
    <t>6.64:PUMPM 13.2</t>
  </si>
  <si>
    <t>6.65:SCALE PIT PUMP 8.1</t>
  </si>
  <si>
    <t>6.66:SCALE PIT PUMP 8.2</t>
  </si>
  <si>
    <t>6.67:SCALE PIT PUMP 8.3</t>
  </si>
  <si>
    <t>6.68:SCALE PIT PUMP 8.4</t>
  </si>
  <si>
    <t>6.69:SCALE PIT PUMP 8.5</t>
  </si>
  <si>
    <t>6.70:SCALE PIT PUMP 8.6</t>
  </si>
  <si>
    <t>6.71:SCALE PIT PUMP 8.7</t>
  </si>
  <si>
    <t>6.72:SCALE PIT PUMP 8.8</t>
  </si>
  <si>
    <t>6.73:SETTLING PUMP 9.1</t>
  </si>
  <si>
    <t>6.74:SETTLING PUMP 9.2</t>
  </si>
  <si>
    <t>6.75:SETTLING PUMP 9.3</t>
  </si>
  <si>
    <t>6.76:SETTLING PUMP 9.4</t>
  </si>
  <si>
    <t>6.77:SETTLING PUMP 9.5</t>
  </si>
  <si>
    <t>6.78:SETTLING PUMP 9.6</t>
  </si>
  <si>
    <t>6.79:DCW FILTER BACKWASH PUMP-2 FOR MILL_P2.1</t>
  </si>
  <si>
    <t>6.80:DCW FILTER BACKWASH PUMP-2 FOR MILL_P2.2</t>
  </si>
  <si>
    <t>6.81:LCW BACKWASH PUMP-3 FOR COLD WELL_P3.1</t>
  </si>
  <si>
    <t>6.82:LCW BACKWASH PUMP-3 FOR COLD WELL_P3.2</t>
  </si>
  <si>
    <t>6.83:BACKWASH FILTER PUMP-4  FOR BALANCE LCW &amp; DCW _P4.1</t>
  </si>
  <si>
    <t>6.84:BACKWASH FILTER PUMP-4  FOR BALANCE LCW &amp; DCW _P4.2</t>
  </si>
  <si>
    <t>6.85:WASTE BACK WASH PUMP-5 WATER COLLECTION TANK _P5.1</t>
  </si>
  <si>
    <t>6.86:WASTE BACK WASH PUMP-5 WATER COLLECTION TANK _P5.2</t>
  </si>
  <si>
    <t>6.87:LAMINAR HOTWELL VT PUMP 12.1</t>
  </si>
  <si>
    <t>6.88:LAMINAR HOTWELL VT PUMP 12.2</t>
  </si>
  <si>
    <t>6.89:LAMINAR HOTWELL VT PUMP 12.3</t>
  </si>
  <si>
    <t>6.90:LAMINAR HOTWELL VT PUMP 12.4</t>
  </si>
  <si>
    <t>6.91:LAMINAR HOTWELL VT PUMP 12.5</t>
  </si>
  <si>
    <t>6.92:LAMINAR HOTWELL VT PUMP 17.1</t>
  </si>
  <si>
    <t>6.93:LAMINAR HOTWELL VT PUMP 17.2</t>
  </si>
  <si>
    <t>6.94:LAMINAR HOTWELL VT PUMP 17.3</t>
  </si>
  <si>
    <t>6.95:LAMINAR HOTWELL VT PUMP 17.4</t>
  </si>
  <si>
    <t>6.96:LAMINAR HOTWELL VT PUMP 17.5</t>
  </si>
  <si>
    <t>6.97:BLE SSPE -5.1</t>
  </si>
  <si>
    <t>6.98:BLE SSPE -5.2</t>
  </si>
  <si>
    <t>7.1:Center cooling air blower#1010-1_Kiln No-01</t>
  </si>
  <si>
    <t>7.2:Center cooling air blower#1010-2_Kiln No-01</t>
  </si>
  <si>
    <t>7.3:Combustion air blower#1001_Kiln No-01</t>
  </si>
  <si>
    <t>7.4:Combustion air blower#1002_Kiln No-01</t>
  </si>
  <si>
    <t>7.5:Combustion air blower#1003_Kiln No-01</t>
  </si>
  <si>
    <t>7.6:Spare air blower#1006_Kiln No-01</t>
  </si>
  <si>
    <t>7.7:Lime cooling air blower#1011_Kiln No-01</t>
  </si>
  <si>
    <t>7.8:Lime cooling air blower#1012_Kiln No-01</t>
  </si>
  <si>
    <t>7.9:Lance cool air blower#1016_Kiln No-01</t>
  </si>
  <si>
    <t>7.10:Lance cool air blower#1017_Kiln No-01</t>
  </si>
  <si>
    <t>7.11:Suspended cylinder air blower_1007_Kiln No-01</t>
  </si>
  <si>
    <t>7.12:Suspended cylinder air blower_1008_Kiln No-01</t>
  </si>
  <si>
    <t>7.13:Suspended cylinder air blower_1009_Kiln No-01</t>
  </si>
  <si>
    <t>7.14:Center cooling air blower#2010-1_Kiln No-01</t>
  </si>
  <si>
    <t>7.15:Center cooling air blower#2010-2_Kiln No-02</t>
  </si>
  <si>
    <t>7.16:Combustion air blower#2001_Kiln No-02</t>
  </si>
  <si>
    <t>7.17:Combustion air blower#2002_Kiln No-02</t>
  </si>
  <si>
    <t>7.18:Combustion air blower#2003_Kiln No-02</t>
  </si>
  <si>
    <t>7.19:Spare air blower#2006_Kiln No-02</t>
  </si>
  <si>
    <t>7.20:Lime cooling air blower#2011_Kiln No-02</t>
  </si>
  <si>
    <t>7.21:Lime cooling air blower#2012_Kiln No-02</t>
  </si>
  <si>
    <t>7.22:Lance cool air blower#2016_Kiln No-02</t>
  </si>
  <si>
    <t>7.23:Lance cool air blower#2017_Kiln No-02</t>
  </si>
  <si>
    <t>7.24:Suspended cylinder air blower_2007_Kiln No-02</t>
  </si>
  <si>
    <t>7.25:Suspended cylinder air blower_2008_Kiln No-02</t>
  </si>
  <si>
    <t>7.26:Suspended cylinder air blower_2009_Kiln No-02</t>
  </si>
  <si>
    <t>7.27:Booster-1101 of Maerz Kiln -01</t>
  </si>
  <si>
    <t>7.28:Booster-1102 of Maerz Kiln -01</t>
  </si>
  <si>
    <t>7.29:Booster-1103 of Maerz Kiln -01</t>
  </si>
  <si>
    <t>7.30:Booster-2101 of Maerz Kiln -02</t>
  </si>
  <si>
    <t>7.31:Booster-2102 of Maerz Kiln -02</t>
  </si>
  <si>
    <t>7.32:Booster-2103 of Maerz Kiln -02</t>
  </si>
  <si>
    <t>7.33:Skip drive gear box of Maerz Kiln-01</t>
  </si>
  <si>
    <t>7.34:Skip drive gear box of Maerz Kiln-02</t>
  </si>
  <si>
    <t>7.35:ID Fan-1_Maerz Kiln -01</t>
  </si>
  <si>
    <t>7.36:ID Fan-2_Maerz Kiln -02</t>
  </si>
  <si>
    <t>7.37:LC-1_Lime Conveyor</t>
  </si>
  <si>
    <t>7.38:LC-2_Lime Conveyor</t>
  </si>
  <si>
    <t>7.39:LC-3_Lime Conveyor</t>
  </si>
  <si>
    <t>7.40:LC-4_Lime Conveyor</t>
  </si>
  <si>
    <t>7.41:LC-5_Lime Conveyor</t>
  </si>
  <si>
    <t>7.42:LC-6_Lime Conveyor</t>
  </si>
  <si>
    <t>7.43:LC-8_Lime Conveyor</t>
  </si>
  <si>
    <t>7.44:LC-9_Lime Conveyor</t>
  </si>
  <si>
    <t>7.45:LC-10_Lime Conveyor</t>
  </si>
  <si>
    <t>7.46:LC-16_Lime Conveyor</t>
  </si>
  <si>
    <t>7.47:LC-17_Lime Conveyor</t>
  </si>
  <si>
    <t>7.48:LSC-7 Lime Stone Conveyor</t>
  </si>
  <si>
    <t>7.49:LSC-8 Lime Stone Conveyor</t>
  </si>
  <si>
    <t>7.50:LSC-9 Lime Stone Conveyor</t>
  </si>
  <si>
    <t>7.51:LSC-10 Lime Stone Conveyor</t>
  </si>
  <si>
    <t>7.52:LSC-12 Lime Stone Conveyor</t>
  </si>
  <si>
    <t>7.53:LSC-13 Lime Stone Conveyor</t>
  </si>
  <si>
    <t>7.54:RBC-1</t>
  </si>
  <si>
    <t>7.55:RBC-2</t>
  </si>
  <si>
    <t>7.56:LDE Fan -1</t>
  </si>
  <si>
    <t>7.57:LDE Fan -2</t>
  </si>
  <si>
    <t>7.58:LDE Fan -3</t>
  </si>
  <si>
    <t>7.59:LDE Fan -4.1</t>
  </si>
  <si>
    <t>7.60:LDE Fan -4.2</t>
  </si>
  <si>
    <t>7.61:LVS-1</t>
  </si>
  <si>
    <t>7.62:LVS-2</t>
  </si>
  <si>
    <t>7.63:LSVS-03</t>
  </si>
  <si>
    <t>7.64:LSVS-04</t>
  </si>
  <si>
    <t>7.65:LSVS-09</t>
  </si>
  <si>
    <t>7.66:LSVS-10</t>
  </si>
  <si>
    <t>7.67:SOBF#1</t>
  </si>
  <si>
    <t>7.68:LC-7</t>
  </si>
  <si>
    <t>1.1:COAL CONVEYOR CC-1</t>
  </si>
  <si>
    <t>1.2:COAL CONVEYOR CC-2</t>
  </si>
  <si>
    <t>1.3:COAL CONVEYOR CC-3</t>
  </si>
  <si>
    <t>1.4:COAL CONVEYOR CC-4</t>
  </si>
  <si>
    <t>1.5:COAL CONVEYOR CC-5</t>
  </si>
  <si>
    <t>1.6:COAL CONVEYOR CC-6</t>
  </si>
  <si>
    <t>1.7:BOOM CONVEYOR-1 OF SRC-1</t>
  </si>
  <si>
    <t>1.8:COAL YARD CONVEYOR CC-7</t>
  </si>
  <si>
    <t>1.9:BOOM CONVEYOR-2 OF SRC-2</t>
  </si>
  <si>
    <t>1.10:COAL CONVEYOR CC-9</t>
  </si>
  <si>
    <t>1.11:COAL CONVEYOR CC-10</t>
  </si>
  <si>
    <t>1.12:ORE-FLUX CONVEYOR CO-1</t>
  </si>
  <si>
    <t>1.13:ORE-FLUX CONVEYOR CO-2</t>
  </si>
  <si>
    <t>1.14:ORE-FLUX CONVEYOR CO-3</t>
  </si>
  <si>
    <t>1.15:ORE-FLUX CONVEYOR CO-7</t>
  </si>
  <si>
    <t>1.16:ORE-FLUX CONVEYOR CO-8</t>
  </si>
  <si>
    <t>1.17:ORE-FLUX CONVEYOR CO-9</t>
  </si>
  <si>
    <t>1.18:ORE-FLUX CONVEYOR CO-10</t>
  </si>
  <si>
    <t>1.19:ORE-FLUX CONVEYOR CO-11</t>
  </si>
  <si>
    <t>1.20:ORE-FLUX CONVEYOR CO-12</t>
  </si>
  <si>
    <t>1.21:ORE-FLUX CONVEYOR CO-13</t>
  </si>
  <si>
    <t>1.22:ORE-FLUX CONVEYOR CO-14</t>
  </si>
  <si>
    <t>1.23:ORE-FLUX CONVEYOR CO-15</t>
  </si>
  <si>
    <t>1.24:ORE-FLUX CONVEYOR CO-16</t>
  </si>
  <si>
    <t>1.25:ORE-FLUX CONVEYOR CO-17</t>
  </si>
  <si>
    <t>1.26:ORE-FLUX CONVEYOR CO-18</t>
  </si>
  <si>
    <t>1.27:ORE-FLUX YARD CONVEYOR CO-19</t>
  </si>
  <si>
    <t>1.28:BOOM CONVEYOR-1 OF SR-1</t>
  </si>
  <si>
    <t>1.29:ORE-FLUX YARD CONVEYOR CO-20</t>
  </si>
  <si>
    <t>1.30:BOOM CONVEYOR-2 OF SR-2</t>
  </si>
  <si>
    <t>1.31:ORE-FLUX CONVEYOR CO-23</t>
  </si>
  <si>
    <t>1.32:ORE-FLUX CONVEYOR CO-24</t>
  </si>
  <si>
    <t>1.33:LUMP ORE CONVEYOR CO-30</t>
  </si>
  <si>
    <t>1.34:FLUX CONVEYOR FX-1</t>
  </si>
  <si>
    <t>1.35:ORE FINES CONVEYOR OF-1</t>
  </si>
  <si>
    <t>1.36:LUMP ORE CONVEYOR CO-31</t>
  </si>
  <si>
    <t>1.37:LUMP ORE CONVEYOR CO-32</t>
  </si>
  <si>
    <t>1.38:LUMP ORE CONVEYOR CO-33</t>
  </si>
  <si>
    <t>1.39:LUMP ORE CONVEYOR CO-34</t>
  </si>
  <si>
    <t>1.40:FLUX CONVEYOR FX-2</t>
  </si>
  <si>
    <t>1.41:ORE FINES CONVEYOR OF-2</t>
  </si>
  <si>
    <t>1.42:LIMESTONE CONVEYOR LSC-1</t>
  </si>
  <si>
    <t>1.43:LIMESTONE CONVEYOR LSC-2</t>
  </si>
  <si>
    <t>1.44:LIMESTONE CONVEYOR LSC-3</t>
  </si>
  <si>
    <t>1.45:LIMESTONE CONVEYOR LSC-4</t>
  </si>
  <si>
    <t>1.46:LIMESTONE CONVEYOR LSC-5</t>
  </si>
  <si>
    <t>1.47:LIMESTONE CONVEYOR LSC-6</t>
  </si>
  <si>
    <t>1.48:SLC#1</t>
  </si>
  <si>
    <t>1.49:SLC#1A</t>
  </si>
  <si>
    <t>1.50:SLC#2</t>
  </si>
  <si>
    <t>1.51:SLC#3</t>
  </si>
  <si>
    <t>1.52:SLC#4</t>
  </si>
  <si>
    <t>1.53:SLC#5</t>
  </si>
  <si>
    <t>1.54:SLC#6</t>
  </si>
  <si>
    <t>1.55:PCI CONVEYOR PC-1</t>
  </si>
  <si>
    <t>1.56:PCI CONVEYOR PC-2</t>
  </si>
  <si>
    <t>1.57:PCI CONVEYOR PC-3</t>
  </si>
  <si>
    <t>1.58:PCI CONVEYOR PC-4</t>
  </si>
  <si>
    <t>1.59:PCI CONVEYOR PC-5</t>
  </si>
  <si>
    <t>1.60:LSVS-1</t>
  </si>
  <si>
    <t>1.61:LSVS-2</t>
  </si>
  <si>
    <t>1.62:CO-21</t>
  </si>
  <si>
    <t>1.63:CO-29</t>
  </si>
  <si>
    <t>1.64:SR-3 BOOM CONVEYOR</t>
  </si>
  <si>
    <t>1.65:POC-1</t>
  </si>
  <si>
    <t>1.66:POC-2</t>
  </si>
  <si>
    <t>1.67:POC-3</t>
  </si>
  <si>
    <t>1.68:CO-35</t>
  </si>
  <si>
    <t>1.69:CO-27</t>
  </si>
  <si>
    <t>1.70:CO-28</t>
  </si>
  <si>
    <t>1.71:CO-22</t>
  </si>
  <si>
    <t>1.72:CC-8</t>
  </si>
  <si>
    <t>1.73:SR-4 BOOM CONVEYOR</t>
  </si>
  <si>
    <t>1.74:BOOM CONVEYOR-1 OF SRC-3</t>
  </si>
  <si>
    <t>1.75:BOOM CONVEYOR-1 OF SRC-4</t>
  </si>
  <si>
    <t>1.76:BOOM CONVEYOR-1 OF SRC-5</t>
  </si>
  <si>
    <t>1.77:CO-25</t>
  </si>
  <si>
    <t>1.78:CO-26</t>
  </si>
  <si>
    <t>1.79:LSVF-1</t>
  </si>
  <si>
    <t>3.1:CONVEYOR BELT OF A1.001</t>
  </si>
  <si>
    <t>3.2:CONVEYOR BELT OF A1.002</t>
  </si>
  <si>
    <t>3.3:CONVEYOR BELT OF E1.061</t>
  </si>
  <si>
    <t>3.4:CONVEYOR BELT OF E1.062</t>
  </si>
  <si>
    <t>3.5:CONVEYOR BELT OF E1.063</t>
  </si>
  <si>
    <t>3.6:CONVEYOR BELT OF E2.004</t>
  </si>
  <si>
    <t>3.7:CONVEYOR BELT OF E2.005</t>
  </si>
  <si>
    <t>3.8:CONVEYOR BELT OF E2.008</t>
  </si>
  <si>
    <t>3.9:CONVEYOR BELT OF E7.002</t>
  </si>
  <si>
    <t>3.10:CONVEYOR BELT OF E7.003</t>
  </si>
  <si>
    <t>3.11:CONVEYOR BELT OF E7.006</t>
  </si>
  <si>
    <t>3.12:CONVEYOR BELT OF E7.031</t>
  </si>
  <si>
    <t>3.13:CONVEYOR BELT OF E7.041</t>
  </si>
  <si>
    <t>3.14:CONVEYOR BELT OF E7.042</t>
  </si>
  <si>
    <t>3.15:CONVEYOR BELT OF E8.001</t>
  </si>
  <si>
    <t>3.16:CONVEYOR BELT OF E8.006</t>
  </si>
  <si>
    <t>3.17:CONVEYOR BELT OF E8.012</t>
  </si>
  <si>
    <t>3.18:CONVEYOR BELT OF E9.001</t>
  </si>
  <si>
    <t>3.19:CONVEYOR BELT OF E9.006</t>
  </si>
  <si>
    <t>3.20:CONVEYOR BELT OF SC1</t>
  </si>
  <si>
    <t>3.21:CONVEYOR BELT OF SC2</t>
  </si>
  <si>
    <t>3.22:CONVEYOR BELT OF SC3</t>
  </si>
  <si>
    <t>3.23:CONVEYOR BELT OF SC4</t>
  </si>
  <si>
    <t>3.24:CONVEYOR BELT OF SC5</t>
  </si>
  <si>
    <t>3.25:CONVEYOR BELT OF SC6</t>
  </si>
  <si>
    <t>3.26:CONVEYOR BELT OF SC7</t>
  </si>
  <si>
    <t>3.27:CONVEYOR BELT OF SC8</t>
  </si>
  <si>
    <t>3.28:CONVEYOR BELT OF SC9</t>
  </si>
  <si>
    <t>3.29:CONVEYOR BELT OF SC10</t>
  </si>
  <si>
    <t>3.30:CONVEYOR BELT OF SC11</t>
  </si>
  <si>
    <t>3.31:CONVEYOR BELT OF SC12</t>
  </si>
  <si>
    <t>3.32:CONVEYOR BELT OF SC13</t>
  </si>
  <si>
    <t>3.33:CONVEYOR BELT OF SC14</t>
  </si>
  <si>
    <t>3.34:CONVEYOR BELT OF SC15</t>
  </si>
  <si>
    <t>3.35:CONVEYOR BELT OF SC16</t>
  </si>
  <si>
    <t>3.36:Hearth layer Screen E7.008</t>
  </si>
  <si>
    <t>3.37:Hearth layer Screen E7.009</t>
  </si>
  <si>
    <t>3.38:Return fines screen E7.010</t>
  </si>
  <si>
    <t>3.39:Return fines screen E7.011</t>
  </si>
  <si>
    <t>3.40:Sinter machine-DRIVE 1  E3.002.12</t>
  </si>
  <si>
    <t>3.41:Sinter breaker-E3.004.10</t>
  </si>
  <si>
    <t>3.42:Feed Drum Raw mix-3.001.50</t>
  </si>
  <si>
    <t>3.43:Cooling Air Fan1 for igni.furnace-E4.002</t>
  </si>
  <si>
    <t>3.44:Cooling Air Fan2 for igni.furnace-E4.012</t>
  </si>
  <si>
    <t>3.45:Hot air fan</t>
  </si>
  <si>
    <t>3.46:Combustion Air Fan 1-E4.035</t>
  </si>
  <si>
    <t>3.47:Combustion Air Fan 2-E4.036</t>
  </si>
  <si>
    <t>3.48:Vibrating Feeder-E7.001</t>
  </si>
  <si>
    <t>3.49:Double roll crusher 7.005M1</t>
  </si>
  <si>
    <t>3.50:Double roll crusher 7.005M2</t>
  </si>
  <si>
    <t>3.51:Waste gas fan1 [5.004]</t>
  </si>
  <si>
    <t>3.52:Waste gas fan 2 [5.014]</t>
  </si>
  <si>
    <t>3.53:Plant dedusting fan-F2004</t>
  </si>
  <si>
    <t>3.54:Sinter Cooler fan-E6.024</t>
  </si>
  <si>
    <t>3.55:Sinter Cooler fan-E6.025</t>
  </si>
  <si>
    <t>3.56:Sinter Cooler fan-E6.026</t>
  </si>
  <si>
    <t>3.57:Sinter cooler-DRIVE 1</t>
  </si>
  <si>
    <t>3.58:Sinter cooler-DRIVE 2</t>
  </si>
  <si>
    <t>3.59:Clarified Water Recir.Pumps F6.012</t>
  </si>
  <si>
    <t>3.60:Clarified Water Recir.Pumps F6.013</t>
  </si>
  <si>
    <t>3.61:Soft Water Recirculation Pumps F6.006</t>
  </si>
  <si>
    <t>3.62:Soft Water Recirculation Pumps F6.007</t>
  </si>
  <si>
    <t>3.63:Main Pump for Fire Hydrant System F6.041 A</t>
  </si>
  <si>
    <t>3.64:Main Pump for Fire Hydrant System F6.041 B</t>
  </si>
  <si>
    <t>3.65:CompressorsF6.031</t>
  </si>
  <si>
    <t>3.66:CompressorsF6.032</t>
  </si>
  <si>
    <t>3.67:CONVEYOR BELT OF CF1</t>
  </si>
  <si>
    <t>3.68:CONVEYOR BELT OF CF2</t>
  </si>
  <si>
    <t>3.69:CONVEYOR BELT OF CF3</t>
  </si>
  <si>
    <t>3.70:CONVEYOR BELT OF CF4</t>
  </si>
  <si>
    <t>3.71:CONVEYOR BELT OF CF5</t>
  </si>
  <si>
    <t>3.72:CONVEYOR BELT OF CF6</t>
  </si>
  <si>
    <t>3.73:CONVEYOR BELT OF CF6A</t>
  </si>
  <si>
    <t>3.74:CONVEYOR BELT OF CF8</t>
  </si>
  <si>
    <t>3.75:CONVEYOR BELT OF CF9</t>
  </si>
  <si>
    <t>3.76:CONVEYOR BELT OF CF10</t>
  </si>
  <si>
    <t>3.77:CONVEYOR BELT OF CF12</t>
  </si>
  <si>
    <t>3.78:CONVEYOR BELT OF CF13</t>
  </si>
  <si>
    <t>3.79:CONVEYOR BELT OF FX3</t>
  </si>
  <si>
    <t>3.80:CONVEYOR BELT OF FX4</t>
  </si>
  <si>
    <t>3.81:CONVEYOR BELT OF FX5</t>
  </si>
  <si>
    <t>3.82:CONVEYOR BELT OF FX6</t>
  </si>
  <si>
    <t>3.83:CONVEYOR BELT OF FX7</t>
  </si>
  <si>
    <t>3.84:CONVEYOR BELT OF FX8</t>
  </si>
  <si>
    <t>3.85:CONVEYOR BELT OF FX9</t>
  </si>
  <si>
    <t>3.86:CONVEYOR BELT OF FX10</t>
  </si>
  <si>
    <t>3.87:CONVEYOR BELT OF FX11</t>
  </si>
  <si>
    <t>3.88:CONVEYOR BELT OF FX12</t>
  </si>
  <si>
    <t>3.89:CONVEYOR BELT OF OF3</t>
  </si>
  <si>
    <t>3.90:CONVEYOR BELT OF OF4</t>
  </si>
  <si>
    <t>3.91:CONVEYOR BELT OF OF5</t>
  </si>
  <si>
    <t>3.92:CONVEYOR BELT OF OF6</t>
  </si>
  <si>
    <t>3.93:CONVEYOR BELT OF RF1</t>
  </si>
  <si>
    <t>3.94:CONVEYOR BELT OF RF2</t>
  </si>
  <si>
    <t>3.95:CONVEYOR BELT OF BMR1</t>
  </si>
  <si>
    <t>3.96:CONVEYOR BELT OF BMR2</t>
  </si>
  <si>
    <t>3.97:CONVEYOR BELT OF BMR3</t>
  </si>
  <si>
    <t>3.98:CONVEYOR BELT OF BMR4</t>
  </si>
  <si>
    <t>3.99:CONVEYOR BELT OF BMR5</t>
  </si>
  <si>
    <t>3.100:CONVEYOR BELT OF BMS1</t>
  </si>
  <si>
    <t>3.101:CONVEYOR BELT OF BMS2</t>
  </si>
  <si>
    <t>3.102:CONVEYOR BELT OF BMS3</t>
  </si>
  <si>
    <t>3.103:CONVEYOR BELT OF BMS4</t>
  </si>
  <si>
    <t>3.104:BELT FEEDER FXRBF 1</t>
  </si>
  <si>
    <t>3.105:BELT FEEDER FXRBF 2</t>
  </si>
  <si>
    <t>3.106:BELT FEEDER FXRBF 3</t>
  </si>
  <si>
    <t>3.107:BELT FEEDER FXRBF 4</t>
  </si>
  <si>
    <t>3.108:BELT FEEDER FXRBF 5</t>
  </si>
  <si>
    <t>3.109:BELT FEEDER RTFBF 1</t>
  </si>
  <si>
    <t>3.110:BELT FEEDER RTFBF 2</t>
  </si>
  <si>
    <t>3.111:BELT FEEDER RTFBF 3</t>
  </si>
  <si>
    <t>3.112:FLUX CRUSHER FXCR1</t>
  </si>
  <si>
    <t>3.113:FLUX CRUSHER FXCR2</t>
  </si>
  <si>
    <t>3.114:FLUX CRUSHER FXCR3</t>
  </si>
  <si>
    <t>3.115:FLUX CRUSHER FXCR4</t>
  </si>
  <si>
    <t>3.116:FLUX CRUSHER FXCR5</t>
  </si>
  <si>
    <t>3.117:VIBRO FEEDER FXVF-1</t>
  </si>
  <si>
    <t>3.118:VIBRO FEEDER FXVF-2</t>
  </si>
  <si>
    <t>3.119:VIBRO FEEDER FXVF-3</t>
  </si>
  <si>
    <t>3.120:VIBRO FEEDER FXVF-4</t>
  </si>
  <si>
    <t>3.121:VIBRO FEEDER FXVF-5</t>
  </si>
  <si>
    <t>3.122:VIBRO SCREEN FXVS1</t>
  </si>
  <si>
    <t>3.123:VIBRO SCREEN FXVS2</t>
  </si>
  <si>
    <t>3.124:VIBRO SCREEN FXVS3</t>
  </si>
  <si>
    <t>3.125:VIBRO SCREEN FXVS4</t>
  </si>
  <si>
    <t>3.126:VIBRO SCREEN FXVS5</t>
  </si>
  <si>
    <t>3.127:ROD MILL FRM-1</t>
  </si>
  <si>
    <t>3.128:ROD MILL FRM-2</t>
  </si>
  <si>
    <t>3.129:ROD MILL FRM-3</t>
  </si>
  <si>
    <t>3.130:VIBRO SCREEN FVS-1</t>
  </si>
  <si>
    <t>3.131:VIBRO SCREEN FVS-2</t>
  </si>
  <si>
    <t>3.132:Twin Boom Stacker TBS1</t>
  </si>
  <si>
    <t>3.133:Twin BoomStacker TBS2</t>
  </si>
  <si>
    <t>3.134:BRIDGE CONVEYOR OF BR1</t>
  </si>
  <si>
    <t>3.135:BRIDGE CONVEYOR OF BR2</t>
  </si>
  <si>
    <t>3.136:SDE Fan -1</t>
  </si>
  <si>
    <t>3.137:SDE Fan -2</t>
  </si>
  <si>
    <t>3.138:SDE Fan-3</t>
  </si>
  <si>
    <t>3.139:SDE Fan-4</t>
  </si>
  <si>
    <t>3.140:SDE Fan-5/6</t>
  </si>
  <si>
    <t>3.141:SDE Fan-8</t>
  </si>
  <si>
    <t>3.142:SDE Fan-9</t>
  </si>
  <si>
    <t>3.143:SDE Fan-7</t>
  </si>
  <si>
    <t>3.144:SDE Fan-10</t>
  </si>
  <si>
    <t>3.145:SC-17</t>
  </si>
  <si>
    <t>3.146:CF-11</t>
  </si>
  <si>
    <t>5.1:ID FAN-1 Primary</t>
  </si>
  <si>
    <t>5.2:ID FAN-2 Primary</t>
  </si>
  <si>
    <t>5.3:ESP ID FAN-1 SECONDARY</t>
  </si>
  <si>
    <t>5.4:ESP ID FAN-2 SECONDARY</t>
  </si>
  <si>
    <t>5.5:Booster Fan-1_BOF area</t>
  </si>
  <si>
    <t>5.6:Booster Fan-2_BOF area</t>
  </si>
  <si>
    <t>5.7:Quencher pump-1_Vessel-1</t>
  </si>
  <si>
    <t>5.8:Quencher pump-2_Vessel-1</t>
  </si>
  <si>
    <t>5.9:Quencher pump-1_Vessel-2</t>
  </si>
  <si>
    <t>5.10:Quencher pump-2_Vessel-2</t>
  </si>
  <si>
    <t>5.11:Hood cooling pump-1-vessel-1</t>
  </si>
  <si>
    <t>5.12:Hood cooling pump-2_vessel-1</t>
  </si>
  <si>
    <t>5.13:Hood cooling pump-3_vessel-1</t>
  </si>
  <si>
    <t>5.14:Hood cooling pump-1_vessel-2</t>
  </si>
  <si>
    <t>5.15:Hood cooling pump-2_vessel-2</t>
  </si>
  <si>
    <t>5.16:Hood cooling pump-3_vessel-2</t>
  </si>
  <si>
    <t>5.17:Lance cooling pump-1_Vessel-1</t>
  </si>
  <si>
    <t>5.18:Lance cooling pump-2_Vessel-1</t>
  </si>
  <si>
    <t>5.19:Lance cooling pump-1_Vessel-2</t>
  </si>
  <si>
    <t>5.20:Lance cooling pump-2_Vessel-2</t>
  </si>
  <si>
    <t>5.21:P1-A_DCW Pump</t>
  </si>
  <si>
    <t>5.22:P1-B_DCW Pump</t>
  </si>
  <si>
    <t>5.23:P1-C_DCW Pump</t>
  </si>
  <si>
    <t>5.24:P1-D_DCW Pump</t>
  </si>
  <si>
    <t>5.25:P2-A_ICW Pump</t>
  </si>
  <si>
    <t>5.26:P2-B_ICW Pump</t>
  </si>
  <si>
    <t>5.27:P2-C_ICW Pump</t>
  </si>
  <si>
    <t>5.28:P3-A_SSPF FEED Pump</t>
  </si>
  <si>
    <t>5.29:P3-B_SSPF FEED Pump</t>
  </si>
  <si>
    <t>5.30:P6-A_GSW Pump</t>
  </si>
  <si>
    <t>5.31:P6-B_GSW Pump</t>
  </si>
  <si>
    <t>5.32:P6-C_GSW Pump</t>
  </si>
  <si>
    <t>5.33:P31-A_SOFT WATER MAKE UP PUMP</t>
  </si>
  <si>
    <t>5.34:P31-B_SOFT WATER MAKE UP PUMP</t>
  </si>
  <si>
    <t>5.35:P34-A_ICW PUMP FOR LCP&amp;COMPRESSOR</t>
  </si>
  <si>
    <t>5.36:P34-B_ICW PUMP FOR LCP&amp;COMPRESSOR</t>
  </si>
  <si>
    <t>5.37:MC1_P1_Mould cooling pump</t>
  </si>
  <si>
    <t>5.38:MC1_P2_Mould cooling pump</t>
  </si>
  <si>
    <t>5.39:MC1_P3_Mould cooling pump</t>
  </si>
  <si>
    <t>5.40:IC1_P4_Machine cooling pump</t>
  </si>
  <si>
    <t>5.41:IC1_P5_Machine cooling pump</t>
  </si>
  <si>
    <t>5.42:IC1_P6_Machine cooling pump</t>
  </si>
  <si>
    <t>5.43:IC1_P7_Machine cooling pump</t>
  </si>
  <si>
    <t>5.44:COMPRESSER#1_at Sms Utility</t>
  </si>
  <si>
    <t>5.45:COMPRESSER#2_at Sms Utility</t>
  </si>
  <si>
    <t>5.46:COMPRESSER#3_at Sms Utility</t>
  </si>
  <si>
    <t>5.47:STEAM EXHAUST FAN_A-01</t>
  </si>
  <si>
    <t>5.48:STEAM EXHAUST FAN_A-02</t>
  </si>
  <si>
    <t>5.49:STEAM EXHAUST FAN_B-01</t>
  </si>
  <si>
    <t>5.50:STEAM EXHAUST FAN_B-02</t>
  </si>
  <si>
    <t>5.51:MOULD FUME EXHAUST FAN-1 for STAND#1</t>
  </si>
  <si>
    <t>5.52:MOULD FUME EXHAUST FAN-2 for STAND#2</t>
  </si>
  <si>
    <t>5.53:P-10A_ICW Secondary Curcuit Horizontal Centrifugal  Pump</t>
  </si>
  <si>
    <t>5.54:P-10B_ICW Secondary Curcuit Horizontal Centrifugal  Pump</t>
  </si>
  <si>
    <t>5.55:P-10C_ICW Secondary Curcuit Horizontal Centrifugal  Pump</t>
  </si>
  <si>
    <t>5.56:P-11A_ICW SSPF Feed Horizontal Centrifugal  Pump</t>
  </si>
  <si>
    <t>5.57:P-11B_ICW SSPF Feed Horizontal Centrifugal  Pump</t>
  </si>
  <si>
    <t>5.58:P-13A_Caster Spray Cooling Horizontal Centrifugal  Pump</t>
  </si>
  <si>
    <t>5.59:P-13B_Caster Spray Cooling Horizontal Centrifugal  Pump</t>
  </si>
  <si>
    <t>5.60:P-14A_Caster Open Machine Cooling Horizontal Centrifugal  Pump</t>
  </si>
  <si>
    <t>5.61:P-14B_Caster Open Machine Cooling Horizontal Centrifugal  Pump</t>
  </si>
  <si>
    <t>5.62:P-16A_DCW RH Condenser cooling Horizontal Centrifugal  Pump</t>
  </si>
  <si>
    <t>5.63:P-16B_DCW RH Condenser cooling Horizontal Centrifugal  Pump</t>
  </si>
  <si>
    <t>5.64:P-18A_Scale Pit Vertical Turbine pump</t>
  </si>
  <si>
    <t>5.65:P-18B_Scale Pit Vertical Turbine pump</t>
  </si>
  <si>
    <t>5.66:P-18C_Scale Pit Vertical Turbine pump</t>
  </si>
  <si>
    <t>5.67:P-19A_Flume Flushing  Vertical Turbine pump</t>
  </si>
  <si>
    <t>5.68:P-19B_Flume Flushing  Vertical Turbine pump</t>
  </si>
  <si>
    <t>5.69:P-21A_Settling Tank Return  Horizontal Centrifugal  Pump</t>
  </si>
  <si>
    <t>5.70:P-21B_Settling Tank Return  Horizontal Centrifugal  Pump</t>
  </si>
  <si>
    <t>5.71:P-33A_Spray Cooling Compressor Feed Horizontal Centrifugal  Pump</t>
  </si>
  <si>
    <t>5.72:P-33B_Spray Cooling Compressor Feed Horizontal Centrifugal  Pump</t>
  </si>
  <si>
    <t>5.73:FES Booster fan[CASOB]</t>
  </si>
  <si>
    <t>5.74:MHS Booster fan[CASOB]</t>
  </si>
  <si>
    <t>5.75:Bucket conveyor[CASOB]</t>
  </si>
  <si>
    <t>5.76:CC Pump-01[RH Area]</t>
  </si>
  <si>
    <t>5.77:CC Pump-02[RH Area]</t>
  </si>
  <si>
    <t>5.78:CC Pump-03[RH Area]</t>
  </si>
  <si>
    <t>5.79:MC Pump-01[RH Area]</t>
  </si>
  <si>
    <t>5.80:MC Pump-02[RH Area]</t>
  </si>
  <si>
    <t>5.81:Shuttle conveyor-01</t>
  </si>
  <si>
    <t>5.82:LC#18 Drive-1</t>
  </si>
  <si>
    <t>5.83:LC#18 Drive-2</t>
  </si>
  <si>
    <t>5.84:LF ID FAN-1</t>
  </si>
  <si>
    <t>5.85:Pocket Conveyor 1 – PC1</t>
  </si>
  <si>
    <t>5.86:Belt conveyor 1- BC1</t>
  </si>
  <si>
    <t>5.87:Belt conveyor 2- BC2</t>
  </si>
  <si>
    <t>5.88:Belt conveyor 3- BC3</t>
  </si>
  <si>
    <t>5.89:Shuttle conveyor 1 – SBC 1</t>
  </si>
  <si>
    <t>5.90:Reversible Belt conveyor 4 – BC 4</t>
  </si>
  <si>
    <t>5.91:STEAM EXHAUST FAN_A-01</t>
  </si>
  <si>
    <t>5.92:STEAM EXHAUST FAN_A-02</t>
  </si>
  <si>
    <t>5.93:STEAM EXHAUST FAN_B-01</t>
  </si>
  <si>
    <t>5.94:STEAM EXHAUST FAN_B-02</t>
  </si>
  <si>
    <t>5.95:MOULD FUME EXHAUST FAN-1 for STAND#1</t>
  </si>
  <si>
    <t>5.96:MOULD FUME EXHAUST FAN-2 for STAND#2</t>
  </si>
  <si>
    <t>5.97:MC1_P1_Mould cooling pump</t>
  </si>
  <si>
    <t>5.98:MC1_P2_Mould cooling pump</t>
  </si>
  <si>
    <t>5.99:MC1_P3_Mould cooling pump</t>
  </si>
  <si>
    <t>5.100:IC1_P4_Machine cooling pump</t>
  </si>
  <si>
    <t>5.101:IC1_P5_Machine cooling pump</t>
  </si>
  <si>
    <t>5.102:IC1_P6_Machine cooling pump</t>
  </si>
  <si>
    <t>5.103:IC1_P7_Machine cooling pump</t>
  </si>
  <si>
    <t>5.104:INCLINED CONVEYOR</t>
  </si>
  <si>
    <t>5.105:REVERSIBLE CONVEYOR</t>
  </si>
  <si>
    <t>5.106:REVERSIBLE CONVEYOR</t>
  </si>
  <si>
    <t>5.107:LF BOOSTER FAN-1</t>
  </si>
  <si>
    <t>5.108:CRC-1</t>
  </si>
  <si>
    <t>5.109:CRC-2</t>
  </si>
  <si>
    <t>5.110:IRC-1</t>
  </si>
  <si>
    <t>5.111:IRC-2</t>
  </si>
  <si>
    <t>5.112:P-10D_ICW SECONDARY CURCUIT PUMP</t>
  </si>
  <si>
    <t>5.113:P-10E_ICW SECONDARY CURCUIT PUMP</t>
  </si>
  <si>
    <t>5.114:P-10F_ICW SECONDARY CURCUIT PUMP</t>
  </si>
  <si>
    <t>5.115:P-11C_ICW SSPF FEED PUMP</t>
  </si>
  <si>
    <t>5.116:P-13C_CASTER SPRAY COOLING PUMP</t>
  </si>
  <si>
    <t>5.117:P-13D_CASTER SPRAY COOLING PUMP</t>
  </si>
  <si>
    <t>5.118:P-14C_CASTER OPEN MACHINE COOLING PUMP</t>
  </si>
  <si>
    <t>5.119:P-18D_SCALE PIT VERTICAL TURBINE PUMP</t>
  </si>
  <si>
    <t>5.120:P-18E_SCALE PIT VERTICAL TURBINE PUMP</t>
  </si>
  <si>
    <t>5.121:P-18F_SCALE PIT VERTICAL TURBINE PUMP</t>
  </si>
  <si>
    <t>5.122:P-19C_FLUME FLUSHING  VERTICAL TURBINE PUMP</t>
  </si>
  <si>
    <t>5.123:P-19D_FLUME FLUSHING  VERTICAL TURBINE PUMP</t>
  </si>
  <si>
    <t>5.124:P-20A_LUBRICATION HORIZONTAL CENTRIFUGAL  PUMP</t>
  </si>
  <si>
    <t>5.125:P-20B_LUBRICATION HORIZONTAL CENTRIFUGAL  PUMP</t>
  </si>
  <si>
    <t>5.126:P-21C_SETTLING TANK RETURN PUMP</t>
  </si>
  <si>
    <t>8.1:GMS BOOSTER -2</t>
  </si>
  <si>
    <t>8.2:GMS BOOSTER -3</t>
  </si>
  <si>
    <t>8.3:GMS BOOSTER -4</t>
  </si>
  <si>
    <t>8.4:CO GAS BOOSTER -1</t>
  </si>
  <si>
    <t>8.5:CO GAS BOOSTER -2</t>
  </si>
  <si>
    <t>8.6:CO GAS BOOSTER -3</t>
  </si>
  <si>
    <t>8.7:CDQ Gas Circulation Fan</t>
  </si>
  <si>
    <t>8.8:CDQ-booster pump-01</t>
  </si>
  <si>
    <t>8.9:CDQ-booster pump-02</t>
  </si>
  <si>
    <t>8.10:LD Export System Booster 1</t>
  </si>
  <si>
    <t>8.11:LD Export System Booster 2</t>
  </si>
  <si>
    <t xml:space="preserve">8.12:LD Spray Pump1 </t>
  </si>
  <si>
    <t>8.13:LD Spray Pump2</t>
  </si>
  <si>
    <t>8.14:Spray water pump-1</t>
  </si>
  <si>
    <t>8.15:Spray water pump-2</t>
  </si>
  <si>
    <t>8.16:GMS BOOSTER-1</t>
  </si>
  <si>
    <t>8.17:DM PLANT SUPPLY PUMP # 1(PDMS#01)</t>
  </si>
  <si>
    <t>8.18:DM PLANT SUPPLY PUMP # 2 (PDMS#02)</t>
  </si>
  <si>
    <t>8.19:DM PLANT SUPPLY PUMP # 3 (PDMS#03)</t>
  </si>
  <si>
    <t>8.20:DM PLANT SUPPLY PUMP # 4 (PDMS#04)</t>
  </si>
  <si>
    <t>8.21:DM PLANT SUPPLY PUMP # 5 (PDMS#05)</t>
  </si>
  <si>
    <t>8.22:CPP1 DM WATER TRANSFER PUMP#1   (PDMT#01)</t>
  </si>
  <si>
    <t>8.23:CPP1 DM WATER TRANSFER PUMP#2     (PDMT#02)</t>
  </si>
  <si>
    <t>8.24:CPP1 DM WATER TRANSFER PUMP#3      (PDMT#03)</t>
  </si>
  <si>
    <t>8.25:CDQ DM WATER TRANSFER PUMP#1        (PDMT#04)</t>
  </si>
  <si>
    <t>8.26:CDQ DM WATER TRANSFER PUMP     (PDMT#05)</t>
  </si>
  <si>
    <t>8.27:CDQ DM WATER TRANSFER PUMP     (PDMT#06)</t>
  </si>
  <si>
    <t>8.28:BF DM WATER TRANSFER PUMP #1 (PDMT#07)</t>
  </si>
  <si>
    <t>8.29:BF DM WATER TRANSFER PUMP #2(PDMT#08)</t>
  </si>
  <si>
    <t>8.30:BF DM WATER TRANSFER PUMP #3  (PDMT#09)</t>
  </si>
  <si>
    <t>8.31:UF FEED PUMP # 1(PUFF#01)</t>
  </si>
  <si>
    <t>8.32:UF FEED PUMP # 2(PUFF#02)</t>
  </si>
  <si>
    <t>8.33:UF FEED PUMP # 3(PUFF#03)</t>
  </si>
  <si>
    <t>8.34:UF FEED PUMP # 4(PUFF#04)</t>
  </si>
  <si>
    <t>8.35:UF FEED PUMP # 5(PUFF#05)</t>
  </si>
  <si>
    <t>8.36:DEGASSED WATER TRANSFER PUMP # 1 (PDG#01)</t>
  </si>
  <si>
    <t>8.37:DEGASSED WATER TRANSFER PUMP # 2 (PDG#02)</t>
  </si>
  <si>
    <t>8.38:DEGASSED WATER TRANSFER PUMP # 3 (PDG#03)</t>
  </si>
  <si>
    <t>8.39:DEGASSED WATER TRANSFER PUMP # 4 (PDG#04)</t>
  </si>
  <si>
    <t>8.40:DEGASSED WATER TRANSFER PUMP # 5 (PDG#05)</t>
  </si>
  <si>
    <t>8.41:MAKE-UP WATER SUPPLY PUMP - 1[P3]</t>
  </si>
  <si>
    <t>8.42:MAKE-UP WATER SUPPLY PUMP - 2[P3]</t>
  </si>
  <si>
    <t>8.43:MAKE-UP WATER SUPPLY PUMP - 3[P3]</t>
  </si>
  <si>
    <t>8.44:MAKE-UP WATER SUPPLY PUMP - 4[P3]</t>
  </si>
  <si>
    <t>8.45:NEUTRALIZED WW TRANSFER PUMP #1 (PEF#01)</t>
  </si>
  <si>
    <t>8.46:NEUTRALIZED WW TRANSFER PUMP #2 (PEF#02)</t>
  </si>
  <si>
    <t>8.47:NEUTRALIZED WW TRANSFER PUMP #3 (PEF#03)</t>
  </si>
  <si>
    <t>8.48:DRINKING WATER SUPPLY PUMP TO  OHR #1(9A)</t>
  </si>
  <si>
    <t>8.49:DRINKING WATER SUPPLY PUMP TO OHR #2(9B)</t>
  </si>
  <si>
    <t>8.50:DRINKING WATER SUPPLY PUMP TO  OHR #3(9C)</t>
  </si>
  <si>
    <t>8.51:SOFT WATER SUPPLY PUMP TO OHR #1(12A)</t>
  </si>
  <si>
    <t>8.52:SOFT WATER SUPPLY PUMP TO OHR #2(12B)</t>
  </si>
  <si>
    <t>8.53:SOFT WATER SUPPLY PUMP TO OHR #3(12C)</t>
  </si>
  <si>
    <t>8.54:FLOCCULATOR AGITATOR#1,LAMELLA#1</t>
  </si>
  <si>
    <t>8.55:FLOCCULATOR AGITATOR#2,LAMELLA#1</t>
  </si>
  <si>
    <t>8.56:FLOCCULATOR AGITATOR#3,LAMELLA#1</t>
  </si>
  <si>
    <t>8.57:FLOCCULATOR AGITATOR#4,LAMELLA#1</t>
  </si>
  <si>
    <t>8.58:Fire Hydrant main Pump #1</t>
  </si>
  <si>
    <t>8.59:Fire Hydrant main Pump #2</t>
  </si>
  <si>
    <t>8.60:Fire Hydrant main Pump #3</t>
  </si>
  <si>
    <t>8.61:Fire Hydrant main Pump #4</t>
  </si>
  <si>
    <t>8.62:IDCO Pump-01</t>
  </si>
  <si>
    <t>8.63:IDCO Pump-02</t>
  </si>
  <si>
    <t>8.64:IDCO Pump-03</t>
  </si>
  <si>
    <t>8.65:CDQ- Boiler Feed Pump-01</t>
  </si>
  <si>
    <t>8.66:CDQ  Boiler Feed Pump-02</t>
  </si>
  <si>
    <t>8.67:PDMR#01</t>
  </si>
  <si>
    <t>8.68:PDMR#02</t>
  </si>
  <si>
    <t>8.69:SOFT WATER FEED PUMP-10A</t>
  </si>
  <si>
    <t>8.70:SOFT WATER FEED PUMP-10B</t>
  </si>
  <si>
    <t>8.71:SOFT WATER FEED PUMP-10C</t>
  </si>
  <si>
    <t>8.72:STORM WATER PUMP-1</t>
  </si>
  <si>
    <t>8.73:STORM WATER PUMP-2</t>
  </si>
  <si>
    <t>8.74:STORM WATER PUMP-3</t>
  </si>
  <si>
    <t>8.75:RAW WATER PUMP-A</t>
  </si>
  <si>
    <t>8.76:RAW WATER PUMP-B</t>
  </si>
  <si>
    <t>8.77:RAW WATER PUMP-C</t>
  </si>
  <si>
    <t>8.78:RAW WATER PUMP-D</t>
  </si>
  <si>
    <t>8.79:RAW WATER PUMP-E</t>
  </si>
  <si>
    <t>8.80:RAW WATER PUMP-F</t>
  </si>
  <si>
    <t>8.81:RAW WATER PUMP-G</t>
  </si>
  <si>
    <t>8.82:CDQ Spray water pump-1</t>
  </si>
  <si>
    <t>8.83:LD Humidifier Pump 1</t>
  </si>
  <si>
    <t>8.84:LD Humidifier Pump 2</t>
  </si>
  <si>
    <t>8.85:LD Sump pump 1</t>
  </si>
  <si>
    <t>8.86:LD Sump pump 2</t>
  </si>
  <si>
    <t>8.87:BFP- 2</t>
  </si>
  <si>
    <t>8.88:CDQ SPRAY WP-2</t>
  </si>
  <si>
    <t>8.89:DEAERATOR CIRCULATION PUMP-1</t>
  </si>
  <si>
    <t>8.90:MICRO TURBINE</t>
  </si>
  <si>
    <t>9.4:RM-3</t>
  </si>
  <si>
    <t>9.5:RM-4</t>
  </si>
  <si>
    <t>9.6:OF - 1 conveyor</t>
  </si>
  <si>
    <t>9.7:OF - 2  conveyor</t>
  </si>
  <si>
    <t>9.8:DF-1 conveyor</t>
  </si>
  <si>
    <t>9.9:Silo Feed Bucket Elevator</t>
  </si>
  <si>
    <t>9.10:Silo Feed Dedusting Fan</t>
  </si>
  <si>
    <t>9.11:Mill Discharge Dedusting Fan</t>
  </si>
  <si>
    <t>9.12:Mill Feed Dedusting Fan</t>
  </si>
  <si>
    <t>9.13:BALL MILL 1 LIFTING</t>
  </si>
  <si>
    <t>9.14:BALL MILL 1 PRESSING</t>
  </si>
  <si>
    <t>9.15:CA Fan-1 Dryer</t>
  </si>
  <si>
    <t>9.16:CA Fan-2 Dryer</t>
  </si>
  <si>
    <t>9.17:DA Fan-1 Dryer</t>
  </si>
  <si>
    <t>9.18:DA Fan-2 Dryer</t>
  </si>
  <si>
    <t>9.19:Dryer Main Drive(Rotary dryer 1)</t>
  </si>
  <si>
    <t xml:space="preserve">9.20:CA Fan Bentonite </t>
  </si>
  <si>
    <t xml:space="preserve">9.21:DA Fan Bentonite </t>
  </si>
  <si>
    <t>9.22:Bentonite BG5 Fan(Vent air fan)</t>
  </si>
  <si>
    <t xml:space="preserve">9.23:Air Slide Blower </t>
  </si>
  <si>
    <t>9.24:Recirculation fan</t>
  </si>
  <si>
    <t>9.25:Bentonite Mill</t>
  </si>
  <si>
    <t>9.26:MACHINE COOLING PUMP-A</t>
  </si>
  <si>
    <t>9.27:MACHINE COOLING PUMP-B</t>
  </si>
  <si>
    <t>9.28:MACHINE COOLING PUMP-C</t>
  </si>
  <si>
    <t>9.29:MACHINE COOLING PUMP-D</t>
  </si>
  <si>
    <t>9.30:MACHINE COOLING PUMP-E</t>
  </si>
  <si>
    <t>9.31:LINTEL COOLING PUMP-A</t>
  </si>
  <si>
    <t>9.32:LINTEL COOLING PUMP-B</t>
  </si>
  <si>
    <t>9.33:LINTEL COOLING PUMP-C</t>
  </si>
  <si>
    <t>9.34:PROCESS WATER PUMP-A</t>
  </si>
  <si>
    <t>9.35:PROCESS WATER PUMP-B</t>
  </si>
  <si>
    <t>9.36:PROCESS WATER PUMP-C</t>
  </si>
  <si>
    <t>9.37:BOOSTER PUMP-A</t>
  </si>
  <si>
    <t>9.38:BOOSTER PUMP-B</t>
  </si>
  <si>
    <t>9.39:YARD SPRINKLER PUMP-A</t>
  </si>
  <si>
    <t>9.40:YARD SPRINKLER PUMP-B</t>
  </si>
  <si>
    <t>9.41:WEB Fan-1</t>
  </si>
  <si>
    <t>9.42:WEB Fan-2</t>
  </si>
  <si>
    <t>9.43:Hood Exhaust Fan -1</t>
  </si>
  <si>
    <t>9.44:Wind Box Recuperation Fan- 1</t>
  </si>
  <si>
    <t>9.45:Wind Box Recuperation Fan- 2</t>
  </si>
  <si>
    <t>9.46:UP Draft Dying Fan -1</t>
  </si>
  <si>
    <t>9.47:UP Draft Dying Fan -2</t>
  </si>
  <si>
    <t>9.48:Cooling air fan -1</t>
  </si>
  <si>
    <t>9.49:Peddle Mixer</t>
  </si>
  <si>
    <t>9.50:Mixer Mixing fan</t>
  </si>
  <si>
    <t>9.51:Bucket elevator</t>
  </si>
  <si>
    <t>9.52:Mixer feed air fan # 1</t>
  </si>
  <si>
    <t>9.53:Wet Scrubber Fan Mixer</t>
  </si>
  <si>
    <t>9.54:SCR - P7 conveyor</t>
  </si>
  <si>
    <t>9.55:P1 conveyor</t>
  </si>
  <si>
    <t>9.56:P2 conveyor</t>
  </si>
  <si>
    <t>9.57:P3 conveyor</t>
  </si>
  <si>
    <t>9.58:P4 conveyor</t>
  </si>
  <si>
    <t>9.59:P5 conveyor</t>
  </si>
  <si>
    <t>9.60:P6 conveyor</t>
  </si>
  <si>
    <t>9.61:P8 conveyor</t>
  </si>
  <si>
    <t>9.62:P9 conveyor</t>
  </si>
  <si>
    <t>9.63:HL#1</t>
  </si>
  <si>
    <t>9.64:HL#2</t>
  </si>
  <si>
    <t>9.65:HL#3</t>
  </si>
  <si>
    <t>9.66:HL#4</t>
  </si>
  <si>
    <t>9.67:PPC - 1</t>
  </si>
  <si>
    <t>9.68:PPC - 2</t>
  </si>
  <si>
    <t>9.69:PPC - 3</t>
  </si>
  <si>
    <t>9.70:PPC - 4</t>
  </si>
  <si>
    <t>9.71:MO#1</t>
  </si>
  <si>
    <t>9.72:MO#2</t>
  </si>
  <si>
    <t>9.73:MO#3</t>
  </si>
  <si>
    <t>9.74:MO#4</t>
  </si>
  <si>
    <t>9.75:Balling Disc B</t>
  </si>
  <si>
    <t>9.76:Balling Disc C</t>
  </si>
  <si>
    <t>9.77:Balling Disc D</t>
  </si>
  <si>
    <t>9.78:Balling Disc E</t>
  </si>
  <si>
    <t>9.79:Balling Disc F</t>
  </si>
  <si>
    <t>9.80:Balling Disc G</t>
  </si>
  <si>
    <t>9.81:Balling Disc H</t>
  </si>
  <si>
    <t>9.82:Balling Disc J</t>
  </si>
  <si>
    <t>9.83:Balling Disc K</t>
  </si>
  <si>
    <t>9.84:Balling Disc L</t>
  </si>
  <si>
    <t>9.85:Balling Disc M</t>
  </si>
  <si>
    <t>9.86:Wide Belt Conveyor</t>
  </si>
  <si>
    <t>9.87:GFR2 Conveyor</t>
  </si>
  <si>
    <t>9.88:Dribble conveyor D-1</t>
  </si>
  <si>
    <t>9.89:Induration M/C Drive - 1</t>
  </si>
  <si>
    <t>9.90:Induration M/C Drive - 2</t>
  </si>
  <si>
    <t>9.91:Induration M/C Drive - 3</t>
  </si>
  <si>
    <t>9.92:Induration M/C Drive - 4</t>
  </si>
  <si>
    <t>9.93:Induration CA Fan</t>
  </si>
  <si>
    <t>9.94:GFR#3</t>
  </si>
  <si>
    <t>9.95:RM-2</t>
  </si>
  <si>
    <t>9.96:AF-10</t>
  </si>
  <si>
    <t>9.97:DO-1</t>
  </si>
  <si>
    <t>9.98:DO-2</t>
  </si>
  <si>
    <t>9.99:PPC-5</t>
  </si>
  <si>
    <t>9.100:PPC-6</t>
  </si>
  <si>
    <t>9.101:CF-3</t>
  </si>
  <si>
    <t>9.102:CF-4</t>
  </si>
  <si>
    <t>9.103:CF-5</t>
  </si>
  <si>
    <t>9.104:EC-1</t>
  </si>
  <si>
    <t>9.105:EC-2</t>
  </si>
  <si>
    <t>9.106:DF-2</t>
  </si>
  <si>
    <t>9.107:CF-2</t>
  </si>
  <si>
    <t>9.108:DF-3</t>
  </si>
  <si>
    <t>9.109:DF-4</t>
  </si>
  <si>
    <t>9.110:PPC-9</t>
  </si>
  <si>
    <t>9.111:RPC-1</t>
  </si>
  <si>
    <t>9.112:PP MIX PADDLE MIXER FEED WATER PUMP-A</t>
  </si>
  <si>
    <t>9.113:PP MIX PADDLE MIXER FEED WATER PUMP-B</t>
  </si>
  <si>
    <t>9.114:PP MIX PADDLE MIXER FEED WATER PUMP-C</t>
  </si>
  <si>
    <t>9.115:COG Booster A</t>
  </si>
  <si>
    <t>9.116:COG Booster B</t>
  </si>
  <si>
    <t>9.117:COG Booster C</t>
  </si>
  <si>
    <t>9.118:CA Fan-1 Dryer</t>
  </si>
  <si>
    <t>9.119:CA Fan-2 Dryer</t>
  </si>
  <si>
    <t>9.120:DA Fan-1 Dryer</t>
  </si>
  <si>
    <t>9.121:DA Fan-2 Dryer</t>
  </si>
  <si>
    <t>9.122: Dryer ID Fan-1</t>
  </si>
  <si>
    <t>9.123: Dryer ID Fan-2</t>
  </si>
  <si>
    <t>9.124: PP Ben receiving bagfilter fan-BG15</t>
  </si>
  <si>
    <t>9.125:Ball mill ID Fan</t>
  </si>
  <si>
    <t>9.126:BALL MILL-2 LIFTING</t>
  </si>
  <si>
    <t>9.127:BALL MILL-2 PRESSING</t>
  </si>
  <si>
    <t>9.128:Impact crusher-1</t>
  </si>
  <si>
    <t>9.129:Impact crusher-2</t>
  </si>
  <si>
    <t>9.130:Rotary dryer-2</t>
  </si>
  <si>
    <t>9.131:RECYCLE CONVEYOR RSR#1</t>
  </si>
  <si>
    <t>9.132:RECYCLE CONVEYOR RSR#2</t>
  </si>
  <si>
    <t>9.133:RECYCLE CONVEYOR RSR#3</t>
  </si>
  <si>
    <t>9.134:SILO BYPAS BUCKET ELEVATOR #1</t>
  </si>
  <si>
    <t>9.135:SILO BYPAS BUCKET ELEVATOR #2</t>
  </si>
  <si>
    <t>9.136:DISHCHARGE VIBRATING FEEDER</t>
  </si>
  <si>
    <t>9.137:DOUBLE DECK ROLLER SCREEN(DDRS)</t>
  </si>
  <si>
    <t>9.138:HEARTH LAYER VIBRATING SCREEN</t>
  </si>
  <si>
    <t>9.139:VIBRO FEEDER-1</t>
  </si>
  <si>
    <t>9.140:TTP BAGFILTER FAN</t>
  </si>
  <si>
    <t>10.1:PL Entry FES ID Fan 1</t>
  </si>
  <si>
    <t>10.2:STRIP DRYER BLOWER 1</t>
  </si>
  <si>
    <t>10.3:STRIP DRYER BLOWER 2</t>
  </si>
  <si>
    <t>10.4:PL FUME EXHAUST FAN 1</t>
  </si>
  <si>
    <t>10.5:PL FUME EXHAUST FAN 2</t>
  </si>
  <si>
    <t>10.6:TCM FUME EXHAUST FAN 1</t>
  </si>
  <si>
    <t>10.7:TCM FUME EXHAUST FAN 2</t>
  </si>
  <si>
    <t>10.8:TCM BOOSTER FAN</t>
  </si>
  <si>
    <t>10.9:IN Ventilation fan-1</t>
  </si>
  <si>
    <t>10.10:OUT Ventilation fan-2</t>
  </si>
  <si>
    <t>10.11:BLU Pump Drive Motor #1</t>
  </si>
  <si>
    <t>10.12:BLU Pump Drive Motor #2</t>
  </si>
  <si>
    <t>10.13:GLU Pump Drive Motor #1</t>
  </si>
  <si>
    <t>10.14:GLU Pump Drive Motor #2</t>
  </si>
  <si>
    <t>10.15:Roll Coolant Return Pump Drive Motor #1</t>
  </si>
  <si>
    <t>10.16:Roll Coolant Return Pump Drive Motor #2</t>
  </si>
  <si>
    <t>10.17:Roll Coolant Return Pump Drive Motor #3</t>
  </si>
  <si>
    <t>10.18:Roll Coolant Return Pump Drive Motor #4</t>
  </si>
  <si>
    <t>10.19:Roll Coolant Return Pump Drive Motor #5</t>
  </si>
  <si>
    <t>10.20:Roll Coolant Return Pump Drive Motor #6</t>
  </si>
  <si>
    <t>10.21:Roll Coolant Supply Pump Motor #1</t>
  </si>
  <si>
    <t>10.22:Roll Coolant Supply Pump Motor #2</t>
  </si>
  <si>
    <t>10.23:Roll Coolant Supply Pump Motor #3</t>
  </si>
  <si>
    <t>10.24:Roll Coolant Supply Pump Motor #4</t>
  </si>
  <si>
    <t>10.25:Roll Coolant Supply Pump Motor #5</t>
  </si>
  <si>
    <t>10.26:Roll Coolant Supply Pump Motor #6</t>
  </si>
  <si>
    <t>10.27:Iron Oxide Conveying Fan</t>
  </si>
  <si>
    <t>10.28:Combustion Air Fan</t>
  </si>
  <si>
    <t>10.29:Fume Exhaust Fan</t>
  </si>
  <si>
    <t>10.30:MILL STD#1 DRIVE ASSEMBLY</t>
  </si>
  <si>
    <t>10.31:MILL STD#2 DRIVE ASSEMBLY</t>
  </si>
  <si>
    <t>10.32:MILL STD#3 DRIVE ASSEMBLY</t>
  </si>
  <si>
    <t>10.33:MILL STD#4 DRIVE ASSEMBLY</t>
  </si>
  <si>
    <t>10.34:MILL STD#5 DRIVE ASSEMBLY</t>
  </si>
  <si>
    <t>10.35:CARROUSEL TYPE TR NO. 1 DRIVE ASSMEBLY</t>
  </si>
  <si>
    <t>10.36:CARROUSEL TYPE TR NO. 2 DRIVE ASSMEBLY</t>
  </si>
  <si>
    <t>10.37:CARROUSEL TYPE TR MAIN CASING DRIVE ASLY</t>
  </si>
  <si>
    <t>10.38:COG BLOWER-A</t>
  </si>
  <si>
    <t>10.39:COG BLOWER-B</t>
  </si>
  <si>
    <t>10.40:AIR BLOWER-A</t>
  </si>
  <si>
    <t>10.41:AIR BLOWER-B</t>
  </si>
  <si>
    <t>11.1:BUCKET CONVEYOR 1</t>
  </si>
  <si>
    <t>11.2:COMMON SCRAPPER CONVEYOR</t>
  </si>
  <si>
    <t>11.3:NPC-1</t>
  </si>
  <si>
    <t>11.4:GSC-06 M1</t>
  </si>
  <si>
    <t>11.4:GSC-06 M2</t>
  </si>
  <si>
    <t>11.5:GSC-07 M1</t>
  </si>
  <si>
    <t>11.5:GSC-07 M2</t>
  </si>
  <si>
    <t>11.6:GSC-08 M1</t>
  </si>
  <si>
    <t>11.6:GSC-08 M2</t>
  </si>
  <si>
    <t>11.7:GSC-01 M1</t>
  </si>
  <si>
    <t>11.7:GSC-01 M2</t>
  </si>
  <si>
    <t>11.8:GSC-02 M1</t>
  </si>
  <si>
    <t>11.8:GSC-02 M2</t>
  </si>
  <si>
    <t>11.9:GSC-03 M1</t>
  </si>
  <si>
    <t>11.9:GSC-03 M2</t>
  </si>
  <si>
    <t>11.10:GSC-04 M1</t>
  </si>
  <si>
    <t>11.10:GSC-04 M2</t>
  </si>
  <si>
    <t>11.11:GSC-09 M1</t>
  </si>
  <si>
    <t>11.11:GSC-09 M2</t>
  </si>
  <si>
    <t>11.12:GSC-05 M1</t>
  </si>
  <si>
    <t>11.12:GSC-05 M2</t>
  </si>
  <si>
    <t>11.13:GSC-10 M1</t>
  </si>
  <si>
    <t>11.13:GSC-10 M2</t>
  </si>
  <si>
    <t>11.14:BF#1 OFC-3 M1</t>
  </si>
  <si>
    <t>11.14:BF#1 OFC-3 M2</t>
  </si>
  <si>
    <t>11.15:CC-1 M1</t>
  </si>
  <si>
    <t>11.15:CC-1 M2</t>
  </si>
  <si>
    <t>11.16:CFC-1 M1</t>
  </si>
  <si>
    <t>11.16:CFC-1 M2</t>
  </si>
  <si>
    <t>11.17:CFC-2 M1</t>
  </si>
  <si>
    <t>11.17:CFC-2 M2</t>
  </si>
  <si>
    <t>11.18:CFC-3 M1</t>
  </si>
  <si>
    <t>11.18:CFC-3 M2</t>
  </si>
  <si>
    <t>11.19:CFC-4 M1</t>
  </si>
  <si>
    <t>11.19:CFC-4 M2</t>
  </si>
  <si>
    <t>11.20:MCC-1 M1</t>
  </si>
  <si>
    <t>11.20:MCC-1 M2</t>
  </si>
  <si>
    <t>11.21:MCC-2 M1</t>
  </si>
  <si>
    <t>11.22:MCC-2 M2</t>
  </si>
  <si>
    <t>11.23:MCC-2 M3</t>
  </si>
  <si>
    <t>11.24:MCC-2 M4</t>
  </si>
  <si>
    <t>11.25:NCC-1 M1</t>
  </si>
  <si>
    <t>11.25:NCC-1 M2</t>
  </si>
  <si>
    <t>11.26:NCC-2 M1</t>
  </si>
  <si>
    <t>11.26:NCC-2 M2</t>
  </si>
  <si>
    <t>11.27:OC-1 M1</t>
  </si>
  <si>
    <t>11.27:OC-1 M2</t>
  </si>
  <si>
    <t>11.28:OC-1A M1</t>
  </si>
  <si>
    <t>11.28:OC-1A M2</t>
  </si>
  <si>
    <t>11.29:OC-1B M1</t>
  </si>
  <si>
    <t>11.29:OC-1B M2</t>
  </si>
  <si>
    <t>11.30:OC-1CR M1</t>
  </si>
  <si>
    <t>11.30:OC-1CR M2</t>
  </si>
  <si>
    <t>11.31:P&amp;OFC-1 M1</t>
  </si>
  <si>
    <t>11.31:P&amp;OFC-1 M2</t>
  </si>
  <si>
    <t>11.32:S&amp;OFC-1 M1</t>
  </si>
  <si>
    <t>11.32:S&amp;OFC-1 M2</t>
  </si>
  <si>
    <t>11.33:S&amp;OFC-2 M1</t>
  </si>
  <si>
    <t>11.33:S&amp;OFC-2 M2</t>
  </si>
  <si>
    <t>11.34:SC-1 M1</t>
  </si>
  <si>
    <t>11.34:SC-1 M2</t>
  </si>
  <si>
    <t>11.35:SFC-1 M1</t>
  </si>
  <si>
    <t>11.35:SFC-1 M2</t>
  </si>
  <si>
    <t>11.36:SCRAP CONVEYOR#2</t>
  </si>
  <si>
    <t>11.37:COMBUSTION AIR FAN-1</t>
  </si>
  <si>
    <t>11.38:COMBUSTION AIR FAN-2</t>
  </si>
  <si>
    <t>11.39:COMBUSTION AIR FAN-3</t>
  </si>
  <si>
    <t>11.40:ID FAN-01</t>
  </si>
  <si>
    <t>11.41:ID FAN-02</t>
  </si>
  <si>
    <t>11.43:HOT STOVE WASTE GAS DRAFT FAN</t>
  </si>
  <si>
    <t>11.44:STOCKHOUSE DDS1 ID FAN#1</t>
  </si>
  <si>
    <t>11.45:STOCKHOUSE DDS1 ID FAN#2</t>
  </si>
  <si>
    <t>11.46:STOCKHOUSE DDS2 ID FAN</t>
  </si>
  <si>
    <t>11.47:Trough cooling fan-1</t>
  </si>
  <si>
    <t>11.48:Trough cooling fan-2</t>
  </si>
  <si>
    <t>11.49:Trough cooling fan-3</t>
  </si>
  <si>
    <t>11.50:PUMP-1</t>
  </si>
  <si>
    <t>11.51:PUMP-2</t>
  </si>
  <si>
    <t>11.52:CH_0_RE-CIRCULATION PUMP#01</t>
  </si>
  <si>
    <t>11.52:CH_0_RE-CIRCULATION PUMP#02</t>
  </si>
  <si>
    <t>11.53:CH_180_RE-CIRCULATION PUMP#01</t>
  </si>
  <si>
    <t>11.53:CH_180_RE-CIRCULATION PUMP#02</t>
  </si>
  <si>
    <t>11.54:Pump 301-1</t>
  </si>
  <si>
    <t>11.55:Pump P301-2</t>
  </si>
  <si>
    <t>11.55:Pump P301-3</t>
  </si>
  <si>
    <t>11.56:Pump P302-1</t>
  </si>
  <si>
    <t>11.57:Pump P302-2</t>
  </si>
  <si>
    <t>11.57:Pump P302-3</t>
  </si>
  <si>
    <t>11.58:CLEAN WATER SUPPLY PUMP-01</t>
  </si>
  <si>
    <t>11.58:CLEAN WATER SUPPLY PUMP-02</t>
  </si>
  <si>
    <t>11.59:DRY PIT PUMP-01</t>
  </si>
  <si>
    <t>11.60:DRY PIT PUMP-02</t>
  </si>
  <si>
    <t>11.60:DRY PIT PUMP-03</t>
  </si>
  <si>
    <t>11.61:GRANULATION WATER SUPPLY PUMP-01</t>
  </si>
  <si>
    <t>11.62:GRANULATION WATER SUPPLY PUMP-02</t>
  </si>
  <si>
    <t>11.62:GRANULATION WATER SUPPLY PUMP-03</t>
  </si>
  <si>
    <t>11.63:CLEAN WATER SUPPLY PUMP-01</t>
  </si>
  <si>
    <t>11.63:CLEAN WATER SUPPLY PUMP-02</t>
  </si>
  <si>
    <t>11.64:DRY PIT PUMP-01</t>
  </si>
  <si>
    <t>11.65:DRY PIT PUMP-02</t>
  </si>
  <si>
    <t>11.65:DRY PIT PUMP-03</t>
  </si>
  <si>
    <t>11.66:GRANULATION WATER SUPPLY PUMP-01</t>
  </si>
  <si>
    <t>11.67:GRANULATION WATER SUPPLY PUMP-02</t>
  </si>
  <si>
    <t>11.67:GRANULATION WATER SUPPLY PUMP-03</t>
  </si>
  <si>
    <t>11.68:Pump P105-1</t>
  </si>
  <si>
    <t>11.69:Pump P105-2</t>
  </si>
  <si>
    <t>11.69:Pump P105-3</t>
  </si>
  <si>
    <t>11.70:Pump P201-1</t>
  </si>
  <si>
    <t>11.70:Pump P201-2</t>
  </si>
  <si>
    <t>11.71:Pump P203-1</t>
  </si>
  <si>
    <t>11.72:Pump P203-2</t>
  </si>
  <si>
    <t>11.72:Pump P203-3</t>
  </si>
  <si>
    <t>11.73:Fire Fighting Pump</t>
  </si>
  <si>
    <t>11.74:Make Up Pump</t>
  </si>
  <si>
    <t>11.75:PUMP 101-1</t>
  </si>
  <si>
    <t>11.76:PUMP 101-2</t>
  </si>
  <si>
    <t>11.76:PUMP 101-3</t>
  </si>
  <si>
    <t>11.77:PUMP 102-1</t>
  </si>
  <si>
    <t>11.78:PUMP 102-2</t>
  </si>
  <si>
    <t>11.78:PUMP 102-3</t>
  </si>
  <si>
    <t>11.79:PUMP 103-1</t>
  </si>
  <si>
    <t>11.80:PUMP 103-2</t>
  </si>
  <si>
    <t>11.80:PUMP 103-3</t>
  </si>
  <si>
    <t>11.81:Pump P104-1</t>
  </si>
  <si>
    <t>11.82:Pump P104-2</t>
  </si>
  <si>
    <t>11.82:Pump P104-3</t>
  </si>
  <si>
    <t>11.83:RF 1A</t>
  </si>
  <si>
    <t>11.84:RF 1B</t>
  </si>
  <si>
    <t>11.85:RF 1C</t>
  </si>
  <si>
    <t>11.86:BLOWER 4</t>
  </si>
  <si>
    <t>11.87:BLOWER 5</t>
  </si>
  <si>
    <t>11.88:RAIN WATER/TOP SPRAY PUMP 504-1</t>
  </si>
  <si>
    <t>11.89:RAIN WATER/TOP SPRAY PUMP 504-2</t>
  </si>
  <si>
    <t>2024-Dec</t>
  </si>
  <si>
    <t>2025-Jan</t>
  </si>
  <si>
    <t>2025-Feb</t>
  </si>
  <si>
    <t xml:space="preserve">10.42:PHS - RECIRCULATING FAN -1 </t>
  </si>
  <si>
    <t xml:space="preserve">10.43:PHS - RECIRCULATING FAN -2 </t>
  </si>
  <si>
    <t>10.44:RTF 1 - COMBUSTION FAN ZONE -1</t>
  </si>
  <si>
    <t>10.45:RTF 1 - COMBUSTION FAN ZONE -2</t>
  </si>
  <si>
    <t>10.46:RTF 1 - COMBUSTION FAN ZONE -3</t>
  </si>
  <si>
    <t>10.47:RTF 1 - COMBUSTION FAN ZONE -4</t>
  </si>
  <si>
    <t>10.48:RTF 1 - COMBUSTION FAN ZONE -5</t>
  </si>
  <si>
    <t>10.49:RTF 1 - COMBUSTION FAN ZONE -6</t>
  </si>
  <si>
    <t>10.50:RTF 2 - COMBUSTION FAN ZONE -7</t>
  </si>
  <si>
    <t>10.51:RTF 2 - COMBUSTION FAN ZONE -8</t>
  </si>
  <si>
    <t>10.52:RTF 2 - COMBUSTION FAN ZONE -9</t>
  </si>
  <si>
    <t>10.53:RTF 2 - COMBUSTION FAN ZONE -10</t>
  </si>
  <si>
    <t>10.54:SS - COMBUSTION FAN ZONE -11</t>
  </si>
  <si>
    <t>10.55:SS - COMBUSTION FAN ZONE -12</t>
  </si>
  <si>
    <t>10.56:RTF &amp; SS - EXHAUST FAN -1</t>
  </si>
  <si>
    <t>10.57:RTF &amp; SS - EXHAUST FAN -2</t>
  </si>
  <si>
    <t>10.58:RTF &amp; SS - EXHAUST FAN -3</t>
  </si>
  <si>
    <t>10.59:RTF &amp; SS - EXHAUST FAN -4</t>
  </si>
  <si>
    <t>10.60:SCS - CIRCULATION FAN ZONE -1</t>
  </si>
  <si>
    <t>10.61:SCS - CIRCULATION FAN ZONE -2</t>
  </si>
  <si>
    <t>10.62:SCS - CIRCULATION FAN ZONE -3</t>
  </si>
  <si>
    <t>10.63:SCS - CIRCULATION FAN ZONE -4</t>
  </si>
  <si>
    <t>10.64:RCS - CIRCULATION FAN ZONE -1.1</t>
  </si>
  <si>
    <t>10.65:RCS - CIRCULATION FAN ZONE -1.2</t>
  </si>
  <si>
    <t>10.66:RCS - CIRCULATION FAN ZONE -2.1</t>
  </si>
  <si>
    <t>10.67:RCS - CIRCULATION FAN ZONE -2.2</t>
  </si>
  <si>
    <t>10.68:RCS - CIRCULATION FAN ZONE -3.1</t>
  </si>
  <si>
    <t>10.69:RCS - CIRCULATION FAN ZONE -3.2</t>
  </si>
  <si>
    <t>10.70:RCS - CIRCULATION FAN ZONE -4.1</t>
  </si>
  <si>
    <t>10.71:RCS - CIRCULATION FAN ZONE -4.2</t>
  </si>
  <si>
    <t>10.72:RCS - CIRCULATION FAN ZONE -5.1</t>
  </si>
  <si>
    <t>10.73:RCS - CIRCULATION FAN ZONE -5.2</t>
  </si>
  <si>
    <t>10.74:OAS1 - CIRCULATION FAN ZONE -1 OS</t>
  </si>
  <si>
    <t>10.75:OAS1 - CIRCULATION FAN ZONE -2 OS</t>
  </si>
  <si>
    <t>10.76:OAS2 - CIRCULATION FAN ZONE -3 DS</t>
  </si>
  <si>
    <t>10.77:OAS2 - CIRCULATION FAN ZONE -4 OS</t>
  </si>
  <si>
    <t>10.78:FCS - CIRCULATION FAN ZONE -1.1</t>
  </si>
  <si>
    <t>10.79:FCS - CIRCULATION FAN ZONE -1.2</t>
  </si>
  <si>
    <t>10.80:FCS - CIRCULATION FAN ZONE -2.1</t>
  </si>
  <si>
    <t>10.81:FCS - CIRCULATION FAN ZONE -2.2</t>
  </si>
  <si>
    <t>10.82:FCS - CIRCULATION FAN ZONE -3.1</t>
  </si>
  <si>
    <t>10.83:FCS - CIRCULATION FAN ZONE -3.2</t>
  </si>
  <si>
    <t>10.84:FCS - CIRCULATION FAN ZONE -4.1</t>
  </si>
  <si>
    <t>10.85:FCS - CIRCULATION FAN ZONE -4.2</t>
  </si>
  <si>
    <t>12.1:Exhauster D</t>
  </si>
  <si>
    <t>12.2:Exhauster E</t>
  </si>
  <si>
    <t>12.3:Exhauster F</t>
  </si>
  <si>
    <t>12.4:Flushing liquor pump A</t>
  </si>
  <si>
    <t>12.5:Flushing liquor pump B</t>
  </si>
  <si>
    <t>12.6:Flushing liquor pump C</t>
  </si>
  <si>
    <t>12.7:High pressure flushing liquor pump A</t>
  </si>
  <si>
    <t>12.8:High pressure flushing liquor pump B</t>
  </si>
  <si>
    <t>12.9:High pressure flushing liquor pump C</t>
  </si>
  <si>
    <t>12.10:High pressure flushing liquor pump D</t>
  </si>
  <si>
    <t>12.11:Tar press pump A</t>
  </si>
  <si>
    <t>12.12:Tar press pump B</t>
  </si>
  <si>
    <t>12.13:RECIRCULATING WATER PUMP A</t>
  </si>
  <si>
    <t>12.14:RECIRCULATING WATER PUMP B</t>
  </si>
  <si>
    <t>12.15:RECIRCULATING WATER PUMP C</t>
  </si>
  <si>
    <t>12.16:RECIRCULATING WATER PUMP D</t>
  </si>
  <si>
    <t>12.17:CONDENSER COOLING PUMP A</t>
  </si>
  <si>
    <t>12.18:CONDENSER COOLING PUMP B</t>
  </si>
  <si>
    <t>12.19:CONDENSER COOLING PUMP C</t>
  </si>
  <si>
    <t>12.20:CONDENSER COOLING PUMP D</t>
  </si>
  <si>
    <t>12.21:PRIMARY AERATION BLOWER</t>
  </si>
  <si>
    <t>12.22:PRIMARY AERATION BLOWER</t>
  </si>
  <si>
    <t>12.23:PRIMARY AERATION BLOWER</t>
  </si>
  <si>
    <t>12.24:PRIMARY AERATION BLOWER</t>
  </si>
  <si>
    <t>12.25:PRIMARY AERATION BLOWER</t>
  </si>
  <si>
    <t>12.26:CHILLER PUMP A</t>
  </si>
  <si>
    <t>12.27:CHILLER PUMP B</t>
  </si>
  <si>
    <t>12.28:CHILLER PUMP C</t>
  </si>
  <si>
    <t>12.29:CHILLER PUMP D</t>
  </si>
  <si>
    <t>12.30:CHILLER FEED WATER SUPPLY PUMP A</t>
  </si>
  <si>
    <t>12.31:CHILLER FEED WATER SUPPLY PUMP B</t>
  </si>
  <si>
    <t>12.32:CHILLER FEED WATER SUPPLY PUMP C</t>
  </si>
  <si>
    <t>12.33:CHILLER FEED WATER SUPPLY PUMP D</t>
  </si>
  <si>
    <t>12.34:RCPH COOLING TOWER A</t>
  </si>
  <si>
    <t>12.35:RCPH COOLING TOWER B</t>
  </si>
  <si>
    <t>12.36:RCPH COOLING TOWER C</t>
  </si>
  <si>
    <t>12.37:RCPH COOLING TOWER D</t>
  </si>
  <si>
    <t>12.38:CCPH COOLING TOWER A</t>
  </si>
  <si>
    <t>12.39:CCPH COOLING TOWER B</t>
  </si>
  <si>
    <t>12.40:CCPH COOLING TOWER C</t>
  </si>
  <si>
    <t>12.41:CCPH COOLING TOWER D</t>
  </si>
  <si>
    <t>CAL</t>
  </si>
  <si>
    <t>COKE PLANT 2</t>
  </si>
  <si>
    <t>12.42:C209BC</t>
  </si>
  <si>
    <t>12.43:CK-19</t>
  </si>
  <si>
    <t>12.44:CK-25</t>
  </si>
  <si>
    <t>12.45:CK-25AR</t>
  </si>
  <si>
    <t>12.46:CK-27</t>
  </si>
  <si>
    <t>12.47:SCP FEED-1</t>
  </si>
  <si>
    <t>12.48:SCP FEED-2</t>
  </si>
  <si>
    <t>12.49:SCP RSC-1</t>
  </si>
  <si>
    <t>12.50:SCP RSC-2</t>
  </si>
  <si>
    <t>12.51:CK-N1</t>
  </si>
  <si>
    <t>12.52:CK-N2</t>
  </si>
  <si>
    <t>12.53:CK-N3</t>
  </si>
  <si>
    <t>12.54:CK-N4</t>
  </si>
  <si>
    <t>12.55:CK-N9</t>
  </si>
  <si>
    <t>12.56:CCR-3</t>
  </si>
  <si>
    <t>12.57:CCR-6</t>
  </si>
  <si>
    <t>12.58:BATTERY DEDUSTING ID FAN</t>
  </si>
  <si>
    <t>2025-Mar</t>
  </si>
  <si>
    <t>2025-Apr</t>
  </si>
  <si>
    <t>7.69:LANCE COOLING BLOWER3K220201</t>
  </si>
  <si>
    <t>7.70:COMBUSTION AIR BLOWER-3K205001</t>
  </si>
  <si>
    <t>7.71:COMBUSTION AIR BLOWER-3K205002</t>
  </si>
  <si>
    <t>7.72:LIME COOLING AIR BLOWER 3K205006</t>
  </si>
  <si>
    <t>7.73:LIME COOLING AIR BLOWER 3K205007</t>
  </si>
  <si>
    <t>7.74:COOLING RING AIR BLOWER3K205004</t>
  </si>
  <si>
    <t>7.75:GAS BOOSTER-3K230101</t>
  </si>
  <si>
    <t>7.76:GAS BOOSTER-3K230102</t>
  </si>
  <si>
    <t>7.77:GAS BOOSTER-3K230103</t>
  </si>
  <si>
    <t>7.78:SKIP DRIVE KILN-03</t>
  </si>
  <si>
    <t>7.79:WASTE GAS ID FAN-3  KILN -03</t>
  </si>
  <si>
    <t>2025-May</t>
  </si>
  <si>
    <t>6.99:Centrifugal Air Fan-1- Reheating Furnace3</t>
  </si>
  <si>
    <t>6.100:Centrifugal Air Fan-2- Reheating Furnace3</t>
  </si>
  <si>
    <t>6.101:Centrifugal Air Fan-3- Reheating Furnace3</t>
  </si>
  <si>
    <t>6.102:Dilution Air Fans-1_Reheating Furnace 3</t>
  </si>
  <si>
    <t>2025-June</t>
  </si>
  <si>
    <t>5.127:Primary ID Fan-3</t>
  </si>
  <si>
    <t>5.128:LF ID FAN 2</t>
  </si>
  <si>
    <t>5.129:COMPRESSER#4_at Sms Utility</t>
  </si>
  <si>
    <t>5.130:CRC-3</t>
  </si>
  <si>
    <t>5.131:IRC-3</t>
  </si>
  <si>
    <t>CGL</t>
  </si>
  <si>
    <t xml:space="preserve">10.86:DEGREASING FUME EXHAUST SYSTEM </t>
  </si>
  <si>
    <t xml:space="preserve">10.87:FINRINS HOT AIR DRYER  </t>
  </si>
  <si>
    <t xml:space="preserve">10.88:PREHEAT CONVECTIVE FAN 1  </t>
  </si>
  <si>
    <t xml:space="preserve">10.89:PREHEAT CONVECTIVE FAN 2  </t>
  </si>
  <si>
    <t xml:space="preserve">10.90:RTF EXHAUST FAN 1 </t>
  </si>
  <si>
    <t xml:space="preserve">10.91:RTF EXHAUST FAN 2 </t>
  </si>
  <si>
    <t xml:space="preserve">10.92:RTF1 COMBUSTION FAN 1  </t>
  </si>
  <si>
    <t xml:space="preserve">10.93:RTF1 COMBUSTION FAN 2  </t>
  </si>
  <si>
    <t xml:space="preserve">10.94:RTF1 COMBUSTION FAN 3  </t>
  </si>
  <si>
    <t xml:space="preserve">10.95:RTF1 COMBUSTION FAN 4  </t>
  </si>
  <si>
    <t xml:space="preserve">10.96:OXIDATION FAN  </t>
  </si>
  <si>
    <t xml:space="preserve">10.97:RTF2 COMBUSTION FAN 5  </t>
  </si>
  <si>
    <t xml:space="preserve">10.98:RTF2 COMBUSTION FAN 6  </t>
  </si>
  <si>
    <t xml:space="preserve">10.99:SOAK ZONE 7 COMBUSTION FAN  </t>
  </si>
  <si>
    <t xml:space="preserve">10.100:SCS COOLING FAN 1  </t>
  </si>
  <si>
    <t xml:space="preserve">10.101:SCS COOLING FAN 2  </t>
  </si>
  <si>
    <t xml:space="preserve">10.102:RCS COOLING FAN 1  </t>
  </si>
  <si>
    <t xml:space="preserve">10.103:RCS COOLING FAN 2  </t>
  </si>
  <si>
    <t>10.104:POT GI INDUCTOR COOLING FAN 1</t>
  </si>
  <si>
    <t>10.105:POT GI INDUCTOR COOLING FAN 2</t>
  </si>
  <si>
    <t>10.106:POT GA INDUCTOR COOLING FAN 1</t>
  </si>
  <si>
    <t>10.107:POT GA INDUCTOR COOLING FAN 2</t>
  </si>
  <si>
    <t xml:space="preserve">10.108:AIRKNIFE FAN 1 </t>
  </si>
  <si>
    <t xml:space="preserve">10.109:AIRKNIFE FAN 2 </t>
  </si>
  <si>
    <t xml:space="preserve">10.110:APOTCOOL UP PASS COOLING FAN 1 </t>
  </si>
  <si>
    <t xml:space="preserve">10.111:APOTCOOL UP PASS COOLING FAN 2 </t>
  </si>
  <si>
    <t xml:space="preserve">10.112:APOTCOOL UP PASS COOLING FAN 3 </t>
  </si>
  <si>
    <t>10.113:APOTCOOL DOWN PASS COOLING FAN 1</t>
  </si>
  <si>
    <t>10.114:APOTCOOL DOWN PASS COOLING FAN 2</t>
  </si>
  <si>
    <t>10.115:APOTCOOL DOWN PASS COOLING FAN 3</t>
  </si>
  <si>
    <t>10.116:APOTCOOL DOWN PASS COOLING FAN 4</t>
  </si>
  <si>
    <t xml:space="preserve">10.117:QUENCH TANK AIR DRYER  </t>
  </si>
  <si>
    <t xml:space="preserve">10.118:SPM FUME EXHAUST SYSTEM </t>
  </si>
  <si>
    <t xml:space="preserve">10.119:HOT AIR DRYER  </t>
  </si>
  <si>
    <t xml:space="preserve">10.120:AIR COOLER  </t>
  </si>
  <si>
    <t>9.141:Peddle Mixer-2</t>
  </si>
  <si>
    <t>9.142:Ball Mill ID Fan-2</t>
  </si>
  <si>
    <t>9.143:Induration CA Fan 2</t>
  </si>
  <si>
    <t>Mixer</t>
  </si>
  <si>
    <t>9.3: Coke breeze fan(Bag Pass Filter Fan-3)</t>
  </si>
  <si>
    <t>9.2: Mgo fan(Bag Pass Filter Fan-2)</t>
  </si>
  <si>
    <t>9.1: Lime fan(Bag Pass Filter Fan-1)</t>
  </si>
  <si>
    <t>2025-July</t>
  </si>
  <si>
    <t>HYBRID WT CONVEYOR - TCC-1</t>
  </si>
  <si>
    <t>HYBRID WT CONVEYOR - TCC-1A</t>
  </si>
  <si>
    <t>HYBRID WT CONVEYOR - TCC-1B</t>
  </si>
  <si>
    <t>HYBRID WT CONVEYOR - TCC-1C</t>
  </si>
  <si>
    <t>HYBRID WT CONVEYOR - TCC-2</t>
  </si>
  <si>
    <t>HYBRID WT CONVEYOR - TCC-3</t>
  </si>
  <si>
    <t>HYBRID WT CONECTING CONVEYOR - TCC-4</t>
  </si>
  <si>
    <t>HYBRID WT CONECTING CONVEYOR  - TCC-5</t>
  </si>
  <si>
    <t>HYBRID WT CONECTING CONVEYOR  - TCC-6</t>
  </si>
  <si>
    <t>HYBRID WT CONECTING CONVEYOR  - TCC-7</t>
  </si>
  <si>
    <t>HYBRID WT CONECTING CONVEYOR  - TCC-8</t>
  </si>
  <si>
    <t>COKE PLANT</t>
  </si>
  <si>
    <t>MAIN COOLING TOWER 1 FAN</t>
  </si>
  <si>
    <t>MAIN COOLING TOWER 2 FAN</t>
  </si>
  <si>
    <t>MAIN COOLING TOWER 3 FAN</t>
  </si>
  <si>
    <t>MAIN COOLING TOWER 4 FAN</t>
  </si>
  <si>
    <t>MAIN COOLING TOWER 5 FAN</t>
  </si>
  <si>
    <t>MAIN COOLING TOWER 6 FAN</t>
  </si>
  <si>
    <t>MAIN COOLING TOWER 7 FAN</t>
  </si>
  <si>
    <t>MAIN COOLING TOWER 8 FAN</t>
  </si>
  <si>
    <t>QUENCHER PUMP-1_VESSEL-3</t>
  </si>
  <si>
    <t>QUENCHER PUMP-2_VESSEL-3</t>
  </si>
  <si>
    <t>FCE 4 CA FAN 1</t>
  </si>
  <si>
    <t>FCE 4 CA FAN 2</t>
  </si>
  <si>
    <t>FCE 4 CA FAN 3</t>
  </si>
  <si>
    <t>FCE 4 DA FAN 1</t>
  </si>
  <si>
    <t>CDQ 2 GAS CIRCULATION FAN</t>
  </si>
  <si>
    <t>CO GAS BOOSTER -4</t>
  </si>
  <si>
    <t>CO GAS BOOSTER -5</t>
  </si>
  <si>
    <t>GMS BOOSTER -5</t>
  </si>
  <si>
    <t>PULVERIZED COAL DRAFT FAN(ID)</t>
  </si>
  <si>
    <t>NEGATIVE PRESSURE FAN #3</t>
  </si>
  <si>
    <t>11.42:AIR FAN(CA)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</si>
</sst>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horizontal="center"/>
    </xf>
    <xf numFmtId="17" fontId="2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left" indent="1"/>
    </xf>
    <xf numFmtId="0" fontId="1" fillId="0" borderId="0" xfId="1" applyAlignment="1">
      <alignment horizontal="center"/>
    </xf>
    <xf numFmtId="0" fontId="1" fillId="0" borderId="0" xfId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2" fontId="4" fillId="2" borderId="0" xfId="0" applyNumberFormat="1" applyFont="1" applyFill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 indent="2"/>
    </xf>
    <xf numFmtId="2" fontId="0" fillId="3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" fontId="6" fillId="0" borderId="0" xfId="1" applyNumberFormat="1" applyFont="1" applyAlignment="1">
      <alignment horizontal="center"/>
    </xf>
    <xf numFmtId="2" fontId="0" fillId="3" borderId="1" xfId="0" applyNumberFormat="1" applyFill="1" applyBorder="1"/>
    <xf numFmtId="2" fontId="0" fillId="0" borderId="1" xfId="0" applyNumberFormat="1" applyBorder="1"/>
    <xf numFmtId="2" fontId="0" fillId="0" borderId="0" xfId="0" applyNumberFormat="1" applyAlignment="1">
      <alignment horizontal="right" vertical="center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>
      <alignment horizontal="right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 applyProtection="1">
      <alignment horizontal="right" vertical="center"/>
      <protection locked="0"/>
    </xf>
    <xf numFmtId="0" fontId="0" fillId="0" borderId="0" xfId="0" applyBorder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  <protection locked="0"/>
    </xf>
    <xf numFmtId="17" fontId="2" fillId="0" borderId="0" xfId="1" applyNumberFormat="1" applyFont="1" applyFill="1" applyAlignment="1">
      <alignment horizontal="center"/>
    </xf>
    <xf numFmtId="164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17" fontId="2" fillId="0" borderId="0" xfId="1" applyNumberFormat="1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0" fillId="0" borderId="0" xfId="0" applyBorder="1"/>
    <xf numFmtId="0" fontId="1" fillId="0" borderId="0" xfId="2" applyAlignment="1">
      <alignment horizontal="center" vertical="center"/>
    </xf>
    <xf numFmtId="0" fontId="1" fillId="0" borderId="0" xfId="2" applyBorder="1" applyAlignment="1">
      <alignment horizontal="center" vertical="center"/>
    </xf>
    <xf numFmtId="0" fontId="0" fillId="0" borderId="0" xfId="0"/>
    <xf numFmtId="0" fontId="0" fillId="0" borderId="0" xfId="0" applyNumberFormat="1"/>
    <xf numFmtId="2" fontId="1" fillId="0" borderId="0" xfId="2" applyNumberFormat="1" applyBorder="1" applyAlignment="1">
      <alignment horizontal="center" vertical="center"/>
    </xf>
    <xf numFmtId="2" fontId="0" fillId="0" borderId="0" xfId="0" applyNumberFormat="1" applyBorder="1"/>
  </cellXfs>
  <cellStyles count="3">
    <cellStyle name="Normal" xfId="0" builtinId="0"/>
    <cellStyle name="Normal 2 3" xfId="2" xr:uid="{355C36DC-B1E1-4952-A759-43AB6AF36479}"/>
    <cellStyle name="Normal 4" xfId="1" xr:uid="{00000000-0005-0000-0000-000001000000}"/>
  </cellStyles>
  <dxfs count="7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2" formatCode="mmm/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Q1459" totalsRowShown="0" headerRowDxfId="74" headerRowCellStyle="Normal 4">
  <autoFilter ref="A1:CQ1459" xr:uid="{00000000-0009-0000-0100-000001000000}"/>
  <tableColumns count="95">
    <tableColumn id="1" xr3:uid="{00000000-0010-0000-0000-000001000000}" name="S.no."/>
    <tableColumn id="2" xr3:uid="{00000000-0010-0000-0000-000002000000}" name="Department"/>
    <tableColumn id="3" xr3:uid="{00000000-0010-0000-0000-000003000000}" name="Equipment" dataDxfId="73"/>
    <tableColumn id="4" xr3:uid="{00000000-0010-0000-0000-000004000000}" name="Category" dataDxfId="72"/>
    <tableColumn id="5" xr3:uid="{00000000-0010-0000-0000-000005000000}" name="Criticality" dataDxfId="71"/>
    <tableColumn id="57" xr3:uid="{00000000-0010-0000-0000-000039000000}" name="Total Average" dataDxfId="70">
      <calculatedColumnFormula>IFERROR(AVERAGEIF(Table1[[#This Row],[2019-Apr]:[2025-July]],"&lt;&gt;0"),0)</calculatedColumnFormula>
    </tableColumn>
    <tableColumn id="58" xr3:uid="{00000000-0010-0000-0000-00003A000000}" name="Average last 1Y" dataDxfId="69">
      <calculatedColumnFormula>IFERROR(AVERAGEIF(OFFSET(Table1[[#This Row],[Status]],0,COUNT(Table1[[#This Row],[2019-May]:[2025-July]]),1,-12),"&lt;&gt;0"),0)</calculatedColumnFormula>
    </tableColumn>
    <tableColumn id="59" xr3:uid="{00000000-0010-0000-0000-00003B000000}" name="Achieved Min" dataDxfId="68">
      <calculatedColumnFormula>IFERROR(SMALL(Table1[[#This Row],[2019-Apr]:[2025-July]],COUNTIF(Table1[[#This Row],[2019-Apr]:[2025-July]],0)+1),0)</calculatedColumnFormula>
    </tableColumn>
    <tableColumn id="60" xr3:uid="{00000000-0010-0000-0000-00003C000000}" name="Achieved Max" dataDxfId="67">
      <calculatedColumnFormula>IFERROR(MAX(Table1[[#This Row],[2019-Apr]:[2025-July]]),0)</calculatedColumnFormula>
    </tableColumn>
    <tableColumn id="61" xr3:uid="{00000000-0010-0000-0000-00003D000000}" name="Avg of best 6" dataDxfId="66">
      <calculatedColumnFormula array="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calculatedColumnFormula>
    </tableColumn>
    <tableColumn id="11" xr3:uid="{00000000-0010-0000-0000-00000B000000}" name="Standard as per ISO" dataDxfId="65"/>
    <tableColumn id="62" xr3:uid="{00000000-0010-0000-0000-00003E000000}" name="Target" dataDxfId="64">
      <calculatedColumnFormula>IF(Table1[[#This Row],[Standard as per ISO]]&gt;=Table1[[#This Row],[Avg of best 6]],Table1[[#This Row],[Standard as per ISO]],Table1[[#This Row],[Avg of best 6]])</calculatedColumnFormula>
    </tableColumn>
    <tableColumn id="63" xr3:uid="{00000000-0010-0000-0000-00003F000000}" name="Last value" dataDxfId="63">
      <calculatedColumnFormula array="1">IFERROR(LOOKUP(2,1/(Table1[[#This Row],[2019-May]:[2025-July]]&lt;&gt;0),Table1[[#This Row],[2019-May]:[2025-July]]),0)</calculatedColumnFormula>
    </tableColumn>
    <tableColumn id="64" xr3:uid="{00000000-0010-0000-0000-000040000000}" name="Outliers 2Y" dataDxfId="62">
      <calculatedColumnFormula>COUNTIF(Table1[[#This Row],[2019-Apr]:[2025-July]],"&gt;="&amp;Table1[[#This Row],[Target]])</calculatedColumnFormula>
    </tableColumn>
    <tableColumn id="15" xr3:uid="{00000000-0010-0000-0000-00000F000000}" name="Zero Outliers" dataDxfId="61">
      <calculatedColumnFormula>IF(Table1[[#This Row],[Outliers 2Y]]=0,1,0)</calculatedColumnFormula>
    </tableColumn>
    <tableColumn id="16" xr3:uid="{00000000-0010-0000-0000-000010000000}" name="Red " dataDxfId="60">
      <calculatedColumnFormula>IF(Table1[[#This Row],[Last value]]&gt;1.5*Table1[[#This Row],[Target]],1,0)</calculatedColumnFormula>
    </tableColumn>
    <tableColumn id="17" xr3:uid="{00000000-0010-0000-0000-000011000000}" name="Yellow " dataDxfId="59">
      <calculatedColumnFormula>IF(AND(1.5*Table1[[#This Row],[Target]]&gt;=Table1[[#This Row],[Last value]],Table1[[#This Row],[Last value]]&gt;Table1[[#This Row],[Target]]),1,0)</calculatedColumnFormula>
    </tableColumn>
    <tableColumn id="18" xr3:uid="{00000000-0010-0000-0000-000012000000}" name="Green" dataDxfId="58">
      <calculatedColumnFormula>IF(Table1[[#This Row],[Target]]&gt;=Table1[[#This Row],[Last value]],1,0)</calculatedColumnFormula>
    </tableColumn>
    <tableColumn id="19" xr3:uid="{00000000-0010-0000-0000-000013000000}" name="Status" dataDxfId="57">
      <calculatedColumnFormula>IF(P2=1, "Red", IF(Q2=1, "Yellow", "Green"))</calculatedColumnFormula>
    </tableColumn>
    <tableColumn id="20" xr3:uid="{00000000-0010-0000-0000-000014000000}" name="2019-Apr"/>
    <tableColumn id="21" xr3:uid="{00000000-0010-0000-0000-000015000000}" name="2019-May"/>
    <tableColumn id="22" xr3:uid="{00000000-0010-0000-0000-000016000000}" name="2019-Jun"/>
    <tableColumn id="23" xr3:uid="{00000000-0010-0000-0000-000017000000}" name="2019-Jul"/>
    <tableColumn id="24" xr3:uid="{00000000-0010-0000-0000-000018000000}" name="2019-Aug"/>
    <tableColumn id="25" xr3:uid="{00000000-0010-0000-0000-000019000000}" name="2019-Sep"/>
    <tableColumn id="26" xr3:uid="{00000000-0010-0000-0000-00001A000000}" name="2019-Oct"/>
    <tableColumn id="27" xr3:uid="{00000000-0010-0000-0000-00001B000000}" name="2019-Nov"/>
    <tableColumn id="28" xr3:uid="{00000000-0010-0000-0000-00001C000000}" name="2019-Dec"/>
    <tableColumn id="29" xr3:uid="{00000000-0010-0000-0000-00001D000000}" name="2020-Jan"/>
    <tableColumn id="30" xr3:uid="{00000000-0010-0000-0000-00001E000000}" name="2020-Feb"/>
    <tableColumn id="31" xr3:uid="{00000000-0010-0000-0000-00001F000000}" name="2020-Mar"/>
    <tableColumn id="32" xr3:uid="{00000000-0010-0000-0000-000020000000}" name="2020-Apr"/>
    <tableColumn id="33" xr3:uid="{00000000-0010-0000-0000-000021000000}" name="2020-May"/>
    <tableColumn id="34" xr3:uid="{00000000-0010-0000-0000-000022000000}" name="2020-Jun"/>
    <tableColumn id="35" xr3:uid="{00000000-0010-0000-0000-000023000000}" name="2020-Jul"/>
    <tableColumn id="36" xr3:uid="{00000000-0010-0000-0000-000024000000}" name="2020-Aug"/>
    <tableColumn id="37" xr3:uid="{00000000-0010-0000-0000-000025000000}" name="2020-Sep"/>
    <tableColumn id="38" xr3:uid="{00000000-0010-0000-0000-000026000000}" name="2020-Oct"/>
    <tableColumn id="39" xr3:uid="{00000000-0010-0000-0000-000027000000}" name="2020-Nov"/>
    <tableColumn id="40" xr3:uid="{00000000-0010-0000-0000-000028000000}" name="2020-Dec"/>
    <tableColumn id="41" xr3:uid="{00000000-0010-0000-0000-000029000000}" name="2021-Jan"/>
    <tableColumn id="42" xr3:uid="{00000000-0010-0000-0000-00002A000000}" name="2021-Feb"/>
    <tableColumn id="43" xr3:uid="{00000000-0010-0000-0000-00002B000000}" name="2021-Mar"/>
    <tableColumn id="44" xr3:uid="{00000000-0010-0000-0000-00002C000000}" name="2021-Apr" dataDxfId="56"/>
    <tableColumn id="45" xr3:uid="{00000000-0010-0000-0000-00002D000000}" name="2021-May" dataDxfId="55"/>
    <tableColumn id="46" xr3:uid="{00000000-0010-0000-0000-00002E000000}" name="2021-Jun" dataDxfId="54"/>
    <tableColumn id="47" xr3:uid="{00000000-0010-0000-0000-00002F000000}" name="2021-Jul" dataDxfId="53"/>
    <tableColumn id="48" xr3:uid="{00000000-0010-0000-0000-000030000000}" name="2021-Aug" dataDxfId="52"/>
    <tableColumn id="49" xr3:uid="{00000000-0010-0000-0000-000031000000}" name="2021-Sep" dataDxfId="51"/>
    <tableColumn id="50" xr3:uid="{00000000-0010-0000-0000-000032000000}" name="2021-Oct" dataDxfId="50"/>
    <tableColumn id="51" xr3:uid="{00000000-0010-0000-0000-000033000000}" name="2021-Nov" dataDxfId="49"/>
    <tableColumn id="52" xr3:uid="{00000000-0010-0000-0000-000034000000}" name="2021-Dec" dataDxfId="48"/>
    <tableColumn id="53" xr3:uid="{00000000-0010-0000-0000-000035000000}" name="2022-Jan" dataDxfId="47"/>
    <tableColumn id="54" xr3:uid="{00000000-0010-0000-0000-000036000000}" name="2022-Feb" dataDxfId="46"/>
    <tableColumn id="55" xr3:uid="{00000000-0010-0000-0000-000037000000}" name="2022-Mar"/>
    <tableColumn id="56" xr3:uid="{00000000-0010-0000-0000-000038000000}" name="2022-Apr"/>
    <tableColumn id="6" xr3:uid="{00000000-0010-0000-0000-000006000000}" name="2022-May" dataDxfId="45"/>
    <tableColumn id="7" xr3:uid="{00000000-0010-0000-0000-000007000000}" name="2022-Jun" dataDxfId="44"/>
    <tableColumn id="8" xr3:uid="{00000000-0010-0000-0000-000008000000}" name="2022-July" dataDxfId="43"/>
    <tableColumn id="9" xr3:uid="{00000000-0010-0000-0000-000009000000}" name="2022-Aug" dataDxfId="42"/>
    <tableColumn id="10" xr3:uid="{00000000-0010-0000-0000-00000A000000}" name="2022-Sep" dataDxfId="41"/>
    <tableColumn id="12" xr3:uid="{00000000-0010-0000-0000-00000C000000}" name="2022-Oct" dataDxfId="40"/>
    <tableColumn id="13" xr3:uid="{00000000-0010-0000-0000-00000D000000}" name="2022-Nov" dataDxfId="39"/>
    <tableColumn id="14" xr3:uid="{00000000-0010-0000-0000-00000E000000}" name="2022-Dec" dataDxfId="38"/>
    <tableColumn id="65" xr3:uid="{00000000-0010-0000-0000-000041000000}" name="2023-Jan" dataDxfId="37"/>
    <tableColumn id="66" xr3:uid="{00000000-0010-0000-0000-000042000000}" name="2023-Feb" dataDxfId="36"/>
    <tableColumn id="67" xr3:uid="{00000000-0010-0000-0000-000043000000}" name="2023-Mar" dataDxfId="35"/>
    <tableColumn id="68" xr3:uid="{00000000-0010-0000-0000-000044000000}" name="2023-Apr" dataDxfId="34"/>
    <tableColumn id="69" xr3:uid="{00000000-0010-0000-0000-000045000000}" name="2023-May" dataDxfId="33"/>
    <tableColumn id="70" xr3:uid="{00000000-0010-0000-0000-000046000000}" name="2023-Jun" dataDxfId="32"/>
    <tableColumn id="71" xr3:uid="{00000000-0010-0000-0000-000047000000}" name="2023-Jul" dataDxfId="31"/>
    <tableColumn id="72" xr3:uid="{00000000-0010-0000-0000-000048000000}" name="2023-Aug" dataDxfId="30"/>
    <tableColumn id="73" xr3:uid="{00000000-0010-0000-0000-000049000000}" name="2023-Sep" dataDxfId="29"/>
    <tableColumn id="74" xr3:uid="{00000000-0010-0000-0000-00004A000000}" name="2023-Oct" dataDxfId="28"/>
    <tableColumn id="75" xr3:uid="{00000000-0010-0000-0000-00004B000000}" name="2023-Nov" dataDxfId="27"/>
    <tableColumn id="76" xr3:uid="{00000000-0010-0000-0000-00004C000000}" name="2023-Dec" dataDxfId="26"/>
    <tableColumn id="77" xr3:uid="{00000000-0010-0000-0000-00004D000000}" name="2024-jan" dataDxfId="25"/>
    <tableColumn id="78" xr3:uid="{CA4915A9-D1D5-48F9-BE1B-E0405B99134D}" name="2024-Feb" dataDxfId="24"/>
    <tableColumn id="79" xr3:uid="{4649C258-906E-4011-A41F-9E7B088283A1}" name="2024-Mar" dataDxfId="23"/>
    <tableColumn id="80" xr3:uid="{92091F46-97F8-4FC6-BE5D-78F0DDAD4933}" name="2024-Apr" dataDxfId="22"/>
    <tableColumn id="81" xr3:uid="{8EED4150-FBA5-4824-94E2-1ED87C9D0856}" name="2024-May" dataDxfId="21"/>
    <tableColumn id="82" xr3:uid="{89186017-88FC-4F1C-89B8-C8F33D9E1D08}" name="2024-Jun" dataDxfId="20"/>
    <tableColumn id="83" xr3:uid="{0A5C9E3A-4002-4D08-8A7D-C5891647CCE0}" name="2024-Jul" dataDxfId="19"/>
    <tableColumn id="84" xr3:uid="{5ABB950F-02A3-4385-AC17-9E07E4CB17D6}" name="2024-Aug" dataDxfId="18"/>
    <tableColumn id="85" xr3:uid="{DD81ED0D-2117-4E89-AC19-3C15FF43771B}" name="2024-Sep" dataDxfId="17"/>
    <tableColumn id="86" xr3:uid="{4CF446D5-DA68-4233-8880-2A2EDB0E0CEF}" name="2024-Oct" dataDxfId="16"/>
    <tableColumn id="87" xr3:uid="{BFA0B6CC-0B6F-4BBA-A848-E7FDC5CDA52A}" name="2024-Nov" dataDxfId="15"/>
    <tableColumn id="89" xr3:uid="{DCBDE981-E4BB-4C27-A61D-C2A3C81028F3}" name="2024-Dec" dataDxfId="14"/>
    <tableColumn id="88" xr3:uid="{19CFAD4C-8CF3-4823-ABBB-903E6BD4BCC3}" name="2025-Jan" dataDxfId="13"/>
    <tableColumn id="90" xr3:uid="{F4B5E6CA-FD80-42C4-B621-0D0EF0BD9364}" name="2025-Feb" dataDxfId="12"/>
    <tableColumn id="91" xr3:uid="{FB0708EF-51DA-446D-BBFE-355FF9273F18}" name="2025-Mar" dataDxfId="11"/>
    <tableColumn id="92" xr3:uid="{456B842C-9C24-4C8D-8192-8DDCD9AB83EA}" name="2025-Apr" dataDxfId="10" dataCellStyle="Normal 2 3"/>
    <tableColumn id="93" xr3:uid="{7D524CD2-34B8-4D94-A0C2-84325ABA4BDD}" name="2025-May" dataDxfId="9"/>
    <tableColumn id="94" xr3:uid="{BBE8FEBC-1D9D-4D75-9C7D-07D139A94B3F}" name="2025-June" dataDxfId="8"/>
    <tableColumn id="95" xr3:uid="{DAA0E665-CD26-4F81-9279-7536488A04D6}" name="2025-July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70" dT="2024-11-28T08:52:55.47" personId="{00000000-0000-0000-0000-000000000000}" id="{50ACA7C7-727B-4750-9B70-CB75AF23A849}">
    <text>unsafe</text>
  </threadedComment>
  <threadedComment ref="C276" dT="2024-11-28T08:53:10.62" personId="{00000000-0000-0000-0000-000000000000}" id="{2FF4AA62-C6D0-4B46-897E-04EFFBE1AAC0}">
    <text>unsafe</text>
  </threadedComment>
  <threadedComment ref="C467" dT="2024-11-25T05:46:45.82" personId="{00000000-0000-0000-0000-000000000000}" id="{58A90D70-FF8C-4DD3-B1F0-4D6161E36834}">
    <text>Not running for 1 year due to backfilter change</text>
  </threadedComment>
  <threadedComment ref="E1003" dT="2024-10-25T04:04:53.15" personId="{00000000-0000-0000-0000-000000000000}" id="{0BC34669-E20B-46A1-BE2B-58B06592983B}">
    <text>Runs on  seasonal basis</text>
  </threadedComment>
  <threadedComment ref="E1004" dT="2024-10-25T04:04:36.25" personId="{00000000-0000-0000-0000-000000000000}" id="{BF0119DD-C659-4169-9BEC-51589115CB7D}">
    <text>Runs on seasonal basis</text>
  </threadedComment>
  <threadedComment ref="E1005" dT="2024-10-25T04:03:45.63" personId="{00000000-0000-0000-0000-000000000000}" id="{89869456-79A3-4C3F-9693-752CFEDD7B0A}">
    <text xml:space="preserve">Runs on seasonal basis
</text>
  </threadedComment>
  <threadedComment ref="C1056" dT="2024-11-28T08:39:53.25" personId="{00000000-0000-0000-0000-000000000000}" id="{3DF5E619-D064-48AC-B130-58A1289A7169}">
    <text>UNSAFE</text>
  </threadedComment>
  <threadedComment ref="E1154" dT="2024-10-25T04:05:39.58" personId="{00000000-0000-0000-0000-000000000000}" id="{2F5F18CE-FFAD-4414-8E0F-491929A777D9}">
    <text>Seasonal basis</text>
  </threadedComment>
  <threadedComment ref="E1155" dT="2024-10-25T04:05:54.73" personId="{00000000-0000-0000-0000-000000000000}" id="{D074CC9A-C49C-42F2-8952-8F38C65E7C65}">
    <text>Runs on seasonal basis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459"/>
  <sheetViews>
    <sheetView tabSelected="1" topLeftCell="D575" zoomScale="60" zoomScaleNormal="60" workbookViewId="0">
      <selection activeCell="CN1471" sqref="CN1471"/>
    </sheetView>
  </sheetViews>
  <sheetFormatPr defaultRowHeight="14.5" x14ac:dyDescent="0.35"/>
  <cols>
    <col min="2" max="2" width="15.453125" bestFit="1" customWidth="1"/>
    <col min="3" max="3" width="60.6328125" style="22" customWidth="1"/>
    <col min="4" max="4" width="20.36328125" customWidth="1"/>
    <col min="5" max="5" width="9.90625" customWidth="1"/>
    <col min="6" max="7" width="11.36328125" customWidth="1"/>
    <col min="8" max="8" width="10.6328125" customWidth="1"/>
    <col min="9" max="9" width="11.6328125" customWidth="1"/>
    <col min="10" max="10" width="9.54296875" customWidth="1"/>
    <col min="11" max="11" width="7.6328125" customWidth="1"/>
    <col min="12" max="12" width="10.6328125" customWidth="1"/>
    <col min="13" max="13" width="8.36328125" customWidth="1"/>
    <col min="14" max="14" width="9.453125" customWidth="1"/>
    <col min="15" max="15" width="10.36328125" customWidth="1"/>
    <col min="16" max="16" width="9.36328125" customWidth="1"/>
    <col min="17" max="17" width="8" customWidth="1"/>
    <col min="18" max="18" width="8.453125" customWidth="1"/>
    <col min="19" max="19" width="10.6328125" customWidth="1"/>
    <col min="20" max="20" width="8.54296875" customWidth="1"/>
    <col min="21" max="21" width="9" customWidth="1"/>
    <col min="22" max="22" width="8.453125" customWidth="1"/>
    <col min="23" max="23" width="8" customWidth="1"/>
    <col min="24" max="24" width="8.36328125" customWidth="1"/>
    <col min="25" max="25" width="7.6328125" customWidth="1"/>
    <col min="26" max="26" width="8.6328125" customWidth="1"/>
    <col min="27" max="27" width="8.90625" customWidth="1"/>
    <col min="28" max="28" width="9" customWidth="1"/>
    <col min="29" max="30" width="7.90625" customWidth="1"/>
    <col min="31" max="31" width="7.6328125" customWidth="1"/>
    <col min="32" max="32" width="8" customWidth="1"/>
    <col min="33" max="33" width="7.6328125" customWidth="1"/>
    <col min="34" max="34" width="8" customWidth="1"/>
    <col min="35" max="35" width="7.54296875" customWidth="1"/>
    <col min="36" max="36" width="7.453125" customWidth="1"/>
    <col min="37" max="37" width="8.08984375" customWidth="1"/>
    <col min="38" max="38" width="7.6328125" customWidth="1"/>
    <col min="39" max="39" width="8" customWidth="1"/>
    <col min="40" max="40" width="7.54296875" customWidth="1"/>
    <col min="41" max="41" width="6.6328125" customWidth="1"/>
    <col min="42" max="42" width="8.90625" customWidth="1"/>
    <col min="43" max="43" width="8.6328125" customWidth="1"/>
    <col min="44" max="44" width="6.90625" style="3" customWidth="1"/>
    <col min="45" max="45" width="6.6328125" style="3" customWidth="1"/>
    <col min="46" max="46" width="7.6328125" style="3" customWidth="1"/>
    <col min="47" max="47" width="6.6328125" style="3" customWidth="1"/>
    <col min="48" max="48" width="7" style="3" customWidth="1"/>
    <col min="49" max="49" width="7.90625" style="3" customWidth="1"/>
    <col min="50" max="50" width="8.36328125" style="3" customWidth="1"/>
    <col min="51" max="51" width="8" style="3" customWidth="1"/>
    <col min="52" max="52" width="7.36328125" style="3" customWidth="1"/>
    <col min="53" max="53" width="6.6328125" style="3" customWidth="1"/>
    <col min="54" max="54" width="7.36328125" style="3" customWidth="1"/>
    <col min="55" max="55" width="7.6328125" customWidth="1"/>
    <col min="56" max="56" width="7.453125" customWidth="1"/>
    <col min="57" max="58" width="7.36328125" customWidth="1"/>
    <col min="59" max="59" width="7.6328125" customWidth="1"/>
    <col min="60" max="60" width="7.453125" customWidth="1"/>
    <col min="61" max="61" width="7.6328125" customWidth="1"/>
    <col min="62" max="62" width="8.08984375" style="3" customWidth="1"/>
    <col min="63" max="63" width="6.54296875" style="3" customWidth="1"/>
    <col min="64" max="65" width="7.36328125" customWidth="1"/>
    <col min="66" max="66" width="7.54296875" customWidth="1"/>
    <col min="67" max="67" width="9.6328125" customWidth="1"/>
    <col min="68" max="68" width="9.90625" customWidth="1"/>
    <col min="69" max="69" width="11.36328125" customWidth="1"/>
    <col min="70" max="70" width="10.36328125" customWidth="1"/>
    <col min="71" max="71" width="12" customWidth="1"/>
    <col min="72" max="72" width="9.453125" customWidth="1"/>
    <col min="73" max="73" width="10.36328125" customWidth="1"/>
    <col min="74" max="74" width="11.453125" customWidth="1"/>
    <col min="75" max="75" width="11.54296875" customWidth="1"/>
    <col min="76" max="76" width="11.36328125" customWidth="1"/>
    <col min="77" max="77" width="10.36328125" customWidth="1"/>
    <col min="78" max="78" width="8.6328125" customWidth="1"/>
    <col min="79" max="79" width="10.36328125" customWidth="1"/>
    <col min="80" max="80" width="10.54296875" customWidth="1"/>
    <col min="81" max="81" width="9.6328125" customWidth="1"/>
    <col min="82" max="82" width="10.54296875" customWidth="1"/>
    <col min="83" max="83" width="10.453125" customWidth="1"/>
    <col min="84" max="84" width="9.6328125" customWidth="1"/>
    <col min="85" max="87" width="8.81640625" customWidth="1"/>
    <col min="88" max="88" width="10.1796875" customWidth="1"/>
    <col min="89" max="89" width="10.36328125" customWidth="1"/>
    <col min="90" max="90" width="10.6328125" style="41" customWidth="1"/>
    <col min="91" max="91" width="10" customWidth="1"/>
    <col min="92" max="92" width="12.1796875" customWidth="1"/>
    <col min="93" max="93" width="13.453125" customWidth="1"/>
    <col min="94" max="94" width="10.36328125" customWidth="1"/>
  </cols>
  <sheetData>
    <row r="1" spans="1:95" x14ac:dyDescent="0.35">
      <c r="A1" s="1" t="s">
        <v>0</v>
      </c>
      <c r="B1" s="1" t="s">
        <v>1</v>
      </c>
      <c r="C1" s="3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5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35" t="s">
        <v>1390</v>
      </c>
      <c r="CK1" s="35" t="s">
        <v>1391</v>
      </c>
      <c r="CL1" s="39" t="s">
        <v>1392</v>
      </c>
      <c r="CM1" s="35" t="s">
        <v>1497</v>
      </c>
      <c r="CN1" s="35" t="s">
        <v>1498</v>
      </c>
      <c r="CO1" s="35" t="s">
        <v>1510</v>
      </c>
      <c r="CP1" s="35" t="s">
        <v>1515</v>
      </c>
      <c r="CQ1" s="35" t="s">
        <v>1564</v>
      </c>
    </row>
    <row r="2" spans="1:95" s="55" customFormat="1" x14ac:dyDescent="0.35">
      <c r="A2" s="55">
        <v>1</v>
      </c>
      <c r="B2" s="55" t="s">
        <v>111</v>
      </c>
      <c r="C2" s="27" t="s">
        <v>638</v>
      </c>
      <c r="D2" s="6" t="s">
        <v>88</v>
      </c>
      <c r="E2" s="33" t="s">
        <v>89</v>
      </c>
      <c r="F2" s="4">
        <f>IFERROR(AVERAGEIF(Table1[[#This Row],[2019-Apr]:[2025-July]],"&lt;&gt;0"),0)</f>
        <v>2.3589482758620695</v>
      </c>
      <c r="G2" s="4">
        <f ca="1">IFERROR(AVERAGEIF(OFFSET(Table1[[#This Row],[Status]],0,COUNT(Table1[[#This Row],[2019-May]:[2025-July]]),1,-12),"&lt;&gt;0"),0)</f>
        <v>2.34</v>
      </c>
      <c r="H2" s="55">
        <f>IFERROR(SMALL(Table1[[#This Row],[2019-Apr]:[2025-July]],COUNTIF(Table1[[#This Row],[2019-Apr]:[2025-July]],0)+1),0)</f>
        <v>1.181</v>
      </c>
      <c r="I2" s="55">
        <f>IFERROR(MAX(Table1[[#This Row],[2019-Apr]:[2025-July]]),0)</f>
        <v>8.4499999999999993</v>
      </c>
      <c r="J2" s="4" cm="1">
        <f t="array" ref="J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1.2751666666666666</v>
      </c>
      <c r="K2" s="4">
        <v>4.5</v>
      </c>
      <c r="L2" s="4">
        <f>IF(Table1[[#This Row],[Standard as per ISO]]&gt;=Table1[[#This Row],[Avg of best 6]],Table1[[#This Row],[Standard as per ISO]],Table1[[#This Row],[Avg of best 6]])</f>
        <v>4.5</v>
      </c>
      <c r="M2" s="4" cm="1">
        <f t="array" ref="M2">IFERROR(LOOKUP(2,1/(Table1[[#This Row],[2019-May]:[2025-July]]&lt;&gt;0),Table1[[#This Row],[2019-May]:[2025-July]]),0)</f>
        <v>2.7</v>
      </c>
      <c r="N2" s="4">
        <f>COUNTIF(Table1[[#This Row],[2019-Apr]:[2025-July]],"&gt;="&amp;Table1[[#This Row],[Target]])</f>
        <v>1</v>
      </c>
      <c r="O2" s="4">
        <f>IF(Table1[[#This Row],[Outliers 2Y]]=0,1,0)</f>
        <v>0</v>
      </c>
      <c r="P2" s="4">
        <f>IF(Table1[[#This Row],[Last value]]&gt;1.5*Table1[[#This Row],[Target]],1,0)</f>
        <v>0</v>
      </c>
      <c r="Q2" s="4">
        <f>IF(AND(1.5*Table1[[#This Row],[Target]]&gt;=Table1[[#This Row],[Last value]],Table1[[#This Row],[Last value]]&gt;Table1[[#This Row],[Target]]),1,0)</f>
        <v>0</v>
      </c>
      <c r="R2" s="4">
        <f>IF(Table1[[#This Row],[Target]]&gt;=Table1[[#This Row],[Last value]],1,0)</f>
        <v>1</v>
      </c>
      <c r="S2" s="4" t="str">
        <f t="shared" ref="S2:S80" si="0">IF(P2=1, "Red", IF(Q2=1, "Yellow", "Green"))</f>
        <v>Green</v>
      </c>
      <c r="T2" s="7">
        <v>2.1800000000000002</v>
      </c>
      <c r="U2" s="7">
        <v>1.78</v>
      </c>
      <c r="V2" s="7">
        <v>1.99</v>
      </c>
      <c r="W2" s="7">
        <v>1.88</v>
      </c>
      <c r="X2" s="7">
        <v>2.2999999999999998</v>
      </c>
      <c r="Y2" s="7">
        <v>1.3</v>
      </c>
      <c r="Z2" s="7">
        <v>0</v>
      </c>
      <c r="AA2" s="7">
        <v>1.36</v>
      </c>
      <c r="AB2" s="7">
        <v>1.53</v>
      </c>
      <c r="AC2" s="7">
        <v>1.4</v>
      </c>
      <c r="AD2" s="7">
        <v>1.65</v>
      </c>
      <c r="AE2" s="7">
        <v>1.9</v>
      </c>
      <c r="AF2" s="7">
        <v>2</v>
      </c>
      <c r="AG2" s="7">
        <v>1.2</v>
      </c>
      <c r="AH2" s="7">
        <v>1.85</v>
      </c>
      <c r="AI2" s="7">
        <v>0</v>
      </c>
      <c r="AJ2" s="7">
        <v>2.1</v>
      </c>
      <c r="AK2" s="7">
        <v>2.4</v>
      </c>
      <c r="AL2" s="7">
        <v>1.21</v>
      </c>
      <c r="AM2" s="7">
        <v>0</v>
      </c>
      <c r="AN2" s="7">
        <v>1.84</v>
      </c>
      <c r="AO2" s="7">
        <v>1.81</v>
      </c>
      <c r="AP2" s="7">
        <v>2.85</v>
      </c>
      <c r="AQ2" s="7">
        <v>3.89</v>
      </c>
      <c r="AR2" s="9">
        <v>3.09</v>
      </c>
      <c r="AS2" s="9">
        <v>2.77</v>
      </c>
      <c r="AT2" s="9">
        <v>3.31</v>
      </c>
      <c r="AU2" s="50">
        <v>3.29</v>
      </c>
      <c r="AV2" s="50">
        <v>8.4499999999999993</v>
      </c>
      <c r="AW2" s="50">
        <v>1.46</v>
      </c>
      <c r="AX2" s="50">
        <v>1.75</v>
      </c>
      <c r="AY2" s="50">
        <v>1.82</v>
      </c>
      <c r="AZ2" s="50">
        <v>2.8</v>
      </c>
      <c r="BA2" s="50">
        <v>2.7</v>
      </c>
      <c r="BB2" s="50">
        <v>2.9</v>
      </c>
      <c r="BC2" s="55">
        <v>2.4</v>
      </c>
      <c r="BD2" s="55">
        <v>0</v>
      </c>
      <c r="BE2" s="11">
        <v>2.4950000000000001</v>
      </c>
      <c r="BF2" s="4">
        <v>0</v>
      </c>
      <c r="BG2" s="4">
        <v>0</v>
      </c>
      <c r="BH2" s="4">
        <v>3.5489999999999999</v>
      </c>
      <c r="BI2" s="4">
        <v>2.2959999999999998</v>
      </c>
      <c r="BJ2" s="13">
        <v>1.8220000000000001</v>
      </c>
      <c r="BK2" s="13">
        <v>3.2629999999999999</v>
      </c>
      <c r="BL2" s="4">
        <v>2.7519999999999998</v>
      </c>
      <c r="BM2" s="16">
        <v>2.8650000000000002</v>
      </c>
      <c r="BN2" s="4">
        <v>2.2120000000000002</v>
      </c>
      <c r="BO2" s="4">
        <v>3.2189999999999999</v>
      </c>
      <c r="BP2" s="4">
        <v>2.02</v>
      </c>
      <c r="BQ2" s="4">
        <v>3.43</v>
      </c>
      <c r="BR2" s="4">
        <v>1.9990000000000001</v>
      </c>
      <c r="BS2" s="4">
        <v>1.9159999999999999</v>
      </c>
      <c r="BT2" s="4">
        <v>1.79</v>
      </c>
      <c r="BU2" s="4">
        <v>0</v>
      </c>
      <c r="BV2" s="4">
        <v>2.395</v>
      </c>
      <c r="BW2" s="4">
        <v>1.8109999999999999</v>
      </c>
      <c r="BX2" s="4">
        <v>1.5840000000000001</v>
      </c>
      <c r="BY2" s="4">
        <v>1.181</v>
      </c>
      <c r="BZ2" s="18">
        <v>0</v>
      </c>
      <c r="CA2" s="18">
        <v>0</v>
      </c>
      <c r="CB2" s="55">
        <v>0</v>
      </c>
      <c r="CC2" s="18">
        <v>2.66</v>
      </c>
      <c r="CD2" s="55">
        <v>0</v>
      </c>
      <c r="CE2" s="19">
        <v>0</v>
      </c>
      <c r="CF2" s="19">
        <v>0</v>
      </c>
      <c r="CG2" s="4">
        <v>0</v>
      </c>
      <c r="CH2" s="4">
        <v>0</v>
      </c>
      <c r="CI2" s="4">
        <v>0</v>
      </c>
      <c r="CJ2" s="34">
        <v>0</v>
      </c>
      <c r="CK2" s="34">
        <v>1.8</v>
      </c>
      <c r="CL2" s="43">
        <v>2.6</v>
      </c>
      <c r="CM2" s="4">
        <v>0</v>
      </c>
      <c r="CN2" s="53">
        <v>2.2999999999999998</v>
      </c>
      <c r="CO2" s="54">
        <v>2.5</v>
      </c>
      <c r="CP2" s="54">
        <v>2.5</v>
      </c>
      <c r="CQ2" s="4">
        <v>2.7</v>
      </c>
    </row>
    <row r="3" spans="1:95" s="55" customFormat="1" x14ac:dyDescent="0.35">
      <c r="A3" s="55">
        <v>2</v>
      </c>
      <c r="B3" s="55" t="s">
        <v>111</v>
      </c>
      <c r="C3" s="27" t="s">
        <v>639</v>
      </c>
      <c r="D3" s="6" t="s">
        <v>88</v>
      </c>
      <c r="E3" s="33" t="s">
        <v>89</v>
      </c>
      <c r="F3" s="4">
        <f>IFERROR(AVERAGEIF(Table1[[#This Row],[2019-Apr]:[2025-July]],"&lt;&gt;0"),0)</f>
        <v>5.0771363636363622</v>
      </c>
      <c r="G3" s="4">
        <f ca="1">IFERROR(AVERAGEIF(OFFSET(Table1[[#This Row],[Status]],0,COUNT(Table1[[#This Row],[2019-May]:[2025-July]]),1,-12),"&lt;&gt;0"),0)</f>
        <v>3.3575000000000004</v>
      </c>
      <c r="H3" s="55">
        <f>IFERROR(SMALL(Table1[[#This Row],[2019-Apr]:[2025-July]],COUNTIF(Table1[[#This Row],[2019-Apr]:[2025-July]],0)+1),0)</f>
        <v>2.8</v>
      </c>
      <c r="I3" s="55">
        <f>IFERROR(MAX(Table1[[#This Row],[2019-Apr]:[2025-July]]),0)</f>
        <v>10.52</v>
      </c>
      <c r="J3" s="4" cm="1">
        <f t="array" ref="J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3.15</v>
      </c>
      <c r="K3" s="4">
        <v>4.5</v>
      </c>
      <c r="L3" s="4">
        <f>IF(Table1[[#This Row],[Standard as per ISO]]&gt;=Table1[[#This Row],[Avg of best 6]],Table1[[#This Row],[Standard as per ISO]],Table1[[#This Row],[Avg of best 6]])</f>
        <v>4.5</v>
      </c>
      <c r="M3" s="4" cm="1">
        <f t="array" ref="M3">IFERROR(LOOKUP(2,1/(Table1[[#This Row],[2019-May]:[2025-July]]&lt;&gt;0),Table1[[#This Row],[2019-May]:[2025-July]]),0)</f>
        <v>3.7</v>
      </c>
      <c r="N3" s="4">
        <f>COUNTIF(Table1[[#This Row],[2019-Apr]:[2025-July]],"&gt;="&amp;Table1[[#This Row],[Target]])</f>
        <v>47</v>
      </c>
      <c r="O3" s="4">
        <f>IF(Table1[[#This Row],[Outliers 2Y]]=0,1,0)</f>
        <v>0</v>
      </c>
      <c r="P3" s="4">
        <f>IF(Table1[[#This Row],[Last value]]&gt;1.5*Table1[[#This Row],[Target]],1,0)</f>
        <v>0</v>
      </c>
      <c r="Q3" s="4">
        <f>IF(AND(1.5*Table1[[#This Row],[Target]]&gt;=Table1[[#This Row],[Last value]],Table1[[#This Row],[Last value]]&gt;Table1[[#This Row],[Target]]),1,0)</f>
        <v>0</v>
      </c>
      <c r="R3" s="4">
        <f>IF(Table1[[#This Row],[Target]]&gt;=Table1[[#This Row],[Last value]],1,0)</f>
        <v>1</v>
      </c>
      <c r="S3" s="4" t="str">
        <f t="shared" si="0"/>
        <v>Green</v>
      </c>
      <c r="T3" s="7">
        <v>3.83</v>
      </c>
      <c r="U3" s="7">
        <v>5.51</v>
      </c>
      <c r="V3" s="7">
        <v>5.31</v>
      </c>
      <c r="W3" s="7">
        <v>6.94</v>
      </c>
      <c r="X3" s="7">
        <v>5.9</v>
      </c>
      <c r="Y3" s="7">
        <v>4.9000000000000004</v>
      </c>
      <c r="Z3" s="7">
        <v>0</v>
      </c>
      <c r="AA3" s="7">
        <v>4.34</v>
      </c>
      <c r="AB3" s="7">
        <v>5.8</v>
      </c>
      <c r="AC3" s="7">
        <v>5.53</v>
      </c>
      <c r="AD3" s="7">
        <v>4.3</v>
      </c>
      <c r="AE3" s="7">
        <v>4.7</v>
      </c>
      <c r="AF3" s="7">
        <v>4.5</v>
      </c>
      <c r="AG3" s="7">
        <v>4.9000000000000004</v>
      </c>
      <c r="AH3" s="7">
        <v>6.2</v>
      </c>
      <c r="AI3" s="7">
        <v>4.2</v>
      </c>
      <c r="AJ3" s="7">
        <v>5.79</v>
      </c>
      <c r="AK3" s="7">
        <v>0</v>
      </c>
      <c r="AL3" s="7">
        <v>5.88</v>
      </c>
      <c r="AM3" s="7">
        <v>0</v>
      </c>
      <c r="AN3" s="7">
        <v>4.5</v>
      </c>
      <c r="AO3" s="7">
        <v>4.8</v>
      </c>
      <c r="AP3" s="7">
        <v>5.48</v>
      </c>
      <c r="AQ3" s="7">
        <v>4.74</v>
      </c>
      <c r="AR3" s="9">
        <v>7.49</v>
      </c>
      <c r="AS3" s="9">
        <v>8.75</v>
      </c>
      <c r="AT3" s="9">
        <v>7.27</v>
      </c>
      <c r="AU3" s="50">
        <v>5.75</v>
      </c>
      <c r="AV3" s="50">
        <v>7.61</v>
      </c>
      <c r="AW3" s="50">
        <v>6.46</v>
      </c>
      <c r="AX3" s="50">
        <v>5.31</v>
      </c>
      <c r="AY3" s="50">
        <v>7.34</v>
      </c>
      <c r="AZ3" s="50">
        <v>6.45</v>
      </c>
      <c r="BA3" s="50">
        <v>5.7</v>
      </c>
      <c r="BB3" s="50">
        <v>4.5</v>
      </c>
      <c r="BC3" s="55">
        <v>5.2</v>
      </c>
      <c r="BD3" s="55">
        <v>0</v>
      </c>
      <c r="BE3" s="11">
        <v>5.1269999999999998</v>
      </c>
      <c r="BF3" s="4">
        <v>0</v>
      </c>
      <c r="BG3" s="4">
        <v>4.5179999999999998</v>
      </c>
      <c r="BH3" s="4">
        <v>5.0350000000000001</v>
      </c>
      <c r="BI3" s="4">
        <v>4.7450000000000001</v>
      </c>
      <c r="BJ3" s="14">
        <v>6.62</v>
      </c>
      <c r="BK3" s="14">
        <v>4.9509999999999996</v>
      </c>
      <c r="BL3" s="4">
        <v>4.7859999999999996</v>
      </c>
      <c r="BM3" s="17">
        <v>4.5789999999999997</v>
      </c>
      <c r="BN3" s="4">
        <v>4.7489999999999997</v>
      </c>
      <c r="BO3" s="4">
        <v>4.6159999999999997</v>
      </c>
      <c r="BP3" s="4">
        <v>4.4089999999999998</v>
      </c>
      <c r="BQ3" s="4">
        <v>4.6580000000000004</v>
      </c>
      <c r="BR3" s="4">
        <v>4.7960000000000003</v>
      </c>
      <c r="BS3" s="4">
        <v>4.8559999999999999</v>
      </c>
      <c r="BT3" s="4">
        <v>4.774</v>
      </c>
      <c r="BU3" s="4">
        <v>5.3550000000000004</v>
      </c>
      <c r="BV3" s="4">
        <v>5.7869999999999999</v>
      </c>
      <c r="BW3" s="4">
        <v>4.8920000000000003</v>
      </c>
      <c r="BX3" s="4">
        <v>10.52</v>
      </c>
      <c r="BY3" s="4">
        <v>4.0579999999999998</v>
      </c>
      <c r="BZ3" s="55">
        <v>3.5</v>
      </c>
      <c r="CA3" s="55">
        <v>3.9</v>
      </c>
      <c r="CB3" s="55">
        <v>3.72</v>
      </c>
      <c r="CC3" s="55">
        <v>3.7</v>
      </c>
      <c r="CD3" s="55">
        <v>0</v>
      </c>
      <c r="CE3" s="19">
        <v>0</v>
      </c>
      <c r="CF3" s="19">
        <v>0</v>
      </c>
      <c r="CG3" s="4">
        <v>4.3600000000000003</v>
      </c>
      <c r="CH3" s="4">
        <v>0</v>
      </c>
      <c r="CI3" s="4">
        <v>0</v>
      </c>
      <c r="CJ3" s="34">
        <v>3</v>
      </c>
      <c r="CK3" s="34">
        <v>3.4</v>
      </c>
      <c r="CL3" s="43">
        <v>3.2</v>
      </c>
      <c r="CM3" s="4">
        <v>2.8</v>
      </c>
      <c r="CN3" s="53">
        <v>3.3</v>
      </c>
      <c r="CO3" s="54">
        <v>3.2</v>
      </c>
      <c r="CP3" s="54">
        <v>3.6</v>
      </c>
      <c r="CQ3" s="4">
        <v>3.7</v>
      </c>
    </row>
    <row r="4" spans="1:95" s="55" customFormat="1" x14ac:dyDescent="0.35">
      <c r="A4" s="55">
        <v>3</v>
      </c>
      <c r="B4" s="55" t="s">
        <v>111</v>
      </c>
      <c r="C4" s="27" t="s">
        <v>640</v>
      </c>
      <c r="D4" s="6" t="s">
        <v>88</v>
      </c>
      <c r="E4" s="33" t="s">
        <v>89</v>
      </c>
      <c r="F4" s="4">
        <f>IFERROR(AVERAGEIF(Table1[[#This Row],[2019-Apr]:[2025-July]],"&lt;&gt;0"),0)</f>
        <v>5.5074393939393937</v>
      </c>
      <c r="G4" s="4">
        <f ca="1">IFERROR(AVERAGEIF(OFFSET(Table1[[#This Row],[Status]],0,COUNT(Table1[[#This Row],[2019-May]:[2025-July]]),1,-12),"&lt;&gt;0"),0)</f>
        <v>5.1787500000000009</v>
      </c>
      <c r="H4" s="55">
        <f>IFERROR(SMALL(Table1[[#This Row],[2019-Apr]:[2025-July]],COUNTIF(Table1[[#This Row],[2019-Apr]:[2025-July]],0)+1),0)</f>
        <v>3.8</v>
      </c>
      <c r="I4" s="55">
        <f>IFERROR(MAX(Table1[[#This Row],[2019-Apr]:[2025-July]]),0)</f>
        <v>9.69</v>
      </c>
      <c r="J4" s="4" cm="1">
        <f t="array" ref="J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4.0666666666666673</v>
      </c>
      <c r="K4" s="4">
        <v>4.5</v>
      </c>
      <c r="L4" s="4">
        <f>IF(Table1[[#This Row],[Standard as per ISO]]&gt;=Table1[[#This Row],[Avg of best 6]],Table1[[#This Row],[Standard as per ISO]],Table1[[#This Row],[Avg of best 6]])</f>
        <v>4.5</v>
      </c>
      <c r="M4" s="4" cm="1">
        <f t="array" ref="M4">IFERROR(LOOKUP(2,1/(Table1[[#This Row],[2019-May]:[2025-July]]&lt;&gt;0),Table1[[#This Row],[2019-May]:[2025-July]]),0)</f>
        <v>5.7</v>
      </c>
      <c r="N4" s="4">
        <f>COUNTIF(Table1[[#This Row],[2019-Apr]:[2025-July]],"&gt;="&amp;Table1[[#This Row],[Target]])</f>
        <v>55</v>
      </c>
      <c r="O4" s="4">
        <f>IF(Table1[[#This Row],[Outliers 2Y]]=0,1,0)</f>
        <v>0</v>
      </c>
      <c r="P4" s="4">
        <f>IF(Table1[[#This Row],[Last value]]&gt;1.5*Table1[[#This Row],[Target]],1,0)</f>
        <v>0</v>
      </c>
      <c r="Q4" s="4">
        <f>IF(AND(1.5*Table1[[#This Row],[Target]]&gt;=Table1[[#This Row],[Last value]],Table1[[#This Row],[Last value]]&gt;Table1[[#This Row],[Target]]),1,0)</f>
        <v>1</v>
      </c>
      <c r="R4" s="4">
        <f>IF(Table1[[#This Row],[Target]]&gt;=Table1[[#This Row],[Last value]],1,0)</f>
        <v>0</v>
      </c>
      <c r="S4" s="4" t="str">
        <f t="shared" si="0"/>
        <v>Yellow</v>
      </c>
      <c r="T4" s="7">
        <v>9.69</v>
      </c>
      <c r="U4" s="7">
        <v>6.97</v>
      </c>
      <c r="V4" s="7">
        <v>4.42</v>
      </c>
      <c r="W4" s="7">
        <v>5.71</v>
      </c>
      <c r="X4" s="7">
        <v>5</v>
      </c>
      <c r="Y4" s="7">
        <v>5.6</v>
      </c>
      <c r="Z4" s="7">
        <v>0</v>
      </c>
      <c r="AA4" s="7">
        <v>6.33</v>
      </c>
      <c r="AB4" s="7">
        <v>5.72</v>
      </c>
      <c r="AC4" s="7">
        <v>5.26</v>
      </c>
      <c r="AD4" s="7">
        <v>6</v>
      </c>
      <c r="AE4" s="7">
        <v>5.5</v>
      </c>
      <c r="AF4" s="7">
        <v>6.1</v>
      </c>
      <c r="AG4" s="7">
        <v>5.7</v>
      </c>
      <c r="AH4" s="7">
        <v>6.5</v>
      </c>
      <c r="AI4" s="7">
        <v>6.1</v>
      </c>
      <c r="AJ4" s="7">
        <v>6</v>
      </c>
      <c r="AK4" s="7">
        <v>0</v>
      </c>
      <c r="AL4" s="7">
        <v>6.38</v>
      </c>
      <c r="AM4" s="7">
        <v>0</v>
      </c>
      <c r="AN4" s="7">
        <v>6.6</v>
      </c>
      <c r="AO4" s="7">
        <v>6.24</v>
      </c>
      <c r="AP4" s="7">
        <v>9</v>
      </c>
      <c r="AQ4" s="7">
        <v>5.18</v>
      </c>
      <c r="AR4" s="9">
        <v>5.84</v>
      </c>
      <c r="AS4" s="9">
        <v>7.72</v>
      </c>
      <c r="AT4" s="9">
        <v>5.72</v>
      </c>
      <c r="AU4" s="50">
        <v>5.72</v>
      </c>
      <c r="AV4" s="50">
        <v>4.0999999999999996</v>
      </c>
      <c r="AW4" s="50">
        <v>4.97</v>
      </c>
      <c r="AX4" s="50">
        <v>3.83</v>
      </c>
      <c r="AY4" s="50">
        <v>4.68</v>
      </c>
      <c r="AZ4" s="50">
        <v>4.72</v>
      </c>
      <c r="BA4" s="50">
        <v>4.4000000000000004</v>
      </c>
      <c r="BB4" s="50">
        <v>3.8</v>
      </c>
      <c r="BC4" s="55">
        <v>4.2</v>
      </c>
      <c r="BD4" s="55">
        <v>0</v>
      </c>
      <c r="BE4" s="11">
        <v>4.1900000000000004</v>
      </c>
      <c r="BF4" s="4">
        <v>0</v>
      </c>
      <c r="BG4" s="4">
        <v>4.992</v>
      </c>
      <c r="BH4" s="4">
        <v>5.6710000000000003</v>
      </c>
      <c r="BI4" s="4">
        <v>5.6340000000000003</v>
      </c>
      <c r="BJ4" s="13">
        <v>5.1689999999999996</v>
      </c>
      <c r="BK4" s="13">
        <v>5.6740000000000004</v>
      </c>
      <c r="BL4" s="4">
        <v>6.5049999999999999</v>
      </c>
      <c r="BM4" s="16">
        <v>5.8810000000000002</v>
      </c>
      <c r="BN4" s="4">
        <v>6.03</v>
      </c>
      <c r="BO4" s="4">
        <v>5.8819999999999997</v>
      </c>
      <c r="BP4" s="4">
        <v>5.0810000000000004</v>
      </c>
      <c r="BQ4" s="4">
        <v>5.3650000000000002</v>
      </c>
      <c r="BR4" s="4">
        <v>5.327</v>
      </c>
      <c r="BS4" s="4">
        <v>5.5679999999999996</v>
      </c>
      <c r="BT4" s="4">
        <v>5.4580000000000002</v>
      </c>
      <c r="BU4" s="4">
        <v>5.0979999999999999</v>
      </c>
      <c r="BV4" s="4">
        <v>4.5359999999999996</v>
      </c>
      <c r="BW4" s="4">
        <v>5.3559999999999999</v>
      </c>
      <c r="BX4" s="4">
        <v>4.9569999999999999</v>
      </c>
      <c r="BY4" s="4">
        <v>4.3470000000000004</v>
      </c>
      <c r="BZ4" s="55">
        <v>6.11</v>
      </c>
      <c r="CA4" s="55">
        <v>5.13</v>
      </c>
      <c r="CB4" s="55">
        <v>4.42</v>
      </c>
      <c r="CC4" s="55">
        <v>4.28</v>
      </c>
      <c r="CD4" s="55">
        <v>0</v>
      </c>
      <c r="CE4" s="19">
        <v>0</v>
      </c>
      <c r="CF4" s="21">
        <v>4.5</v>
      </c>
      <c r="CG4" s="4">
        <v>5.53</v>
      </c>
      <c r="CH4" s="4">
        <v>0</v>
      </c>
      <c r="CI4" s="4">
        <v>0</v>
      </c>
      <c r="CJ4" s="34">
        <v>6.1</v>
      </c>
      <c r="CK4" s="34">
        <v>5</v>
      </c>
      <c r="CL4" s="43">
        <v>4.3</v>
      </c>
      <c r="CM4" s="4">
        <v>5.6</v>
      </c>
      <c r="CN4" s="53">
        <v>0</v>
      </c>
      <c r="CO4" s="54">
        <v>5.7</v>
      </c>
      <c r="CP4" s="54">
        <v>4.7</v>
      </c>
      <c r="CQ4" s="4">
        <v>5.7</v>
      </c>
    </row>
    <row r="5" spans="1:95" s="55" customFormat="1" x14ac:dyDescent="0.35">
      <c r="A5" s="55">
        <v>4</v>
      </c>
      <c r="B5" s="55" t="s">
        <v>111</v>
      </c>
      <c r="C5" s="27" t="s">
        <v>641</v>
      </c>
      <c r="D5" s="6" t="s">
        <v>88</v>
      </c>
      <c r="E5" s="33" t="s">
        <v>89</v>
      </c>
      <c r="F5" s="4">
        <f>IFERROR(AVERAGEIF(Table1[[#This Row],[2019-Apr]:[2025-July]],"&lt;&gt;0"),0)</f>
        <v>4.2418032786885265</v>
      </c>
      <c r="G5" s="4">
        <f ca="1">IFERROR(AVERAGEIF(OFFSET(Table1[[#This Row],[Status]],0,COUNT(Table1[[#This Row],[2019-May]:[2025-July]]),1,-12),"&lt;&gt;0"),0)</f>
        <v>2.4499999999999997</v>
      </c>
      <c r="H5" s="55">
        <f>IFERROR(SMALL(Table1[[#This Row],[2019-Apr]:[2025-July]],COUNTIF(Table1[[#This Row],[2019-Apr]:[2025-July]],0)+1),0)</f>
        <v>2</v>
      </c>
      <c r="I5" s="55">
        <f>IFERROR(MAX(Table1[[#This Row],[2019-Apr]:[2025-July]]),0)</f>
        <v>7.74</v>
      </c>
      <c r="J5" s="4" cm="1">
        <f t="array" ref="J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2.3246666666666669</v>
      </c>
      <c r="K5" s="4">
        <v>4.5</v>
      </c>
      <c r="L5" s="4">
        <f>IF(Table1[[#This Row],[Standard as per ISO]]&gt;=Table1[[#This Row],[Avg of best 6]],Table1[[#This Row],[Standard as per ISO]],Table1[[#This Row],[Avg of best 6]])</f>
        <v>4.5</v>
      </c>
      <c r="M5" s="4" cm="1">
        <f t="array" ref="M5">IFERROR(LOOKUP(2,1/(Table1[[#This Row],[2019-May]:[2025-July]]&lt;&gt;0),Table1[[#This Row],[2019-May]:[2025-July]]),0)</f>
        <v>3.3</v>
      </c>
      <c r="N5" s="4">
        <f>COUNTIF(Table1[[#This Row],[2019-Apr]:[2025-July]],"&gt;="&amp;Table1[[#This Row],[Target]])</f>
        <v>23</v>
      </c>
      <c r="O5" s="4">
        <f>IF(Table1[[#This Row],[Outliers 2Y]]=0,1,0)</f>
        <v>0</v>
      </c>
      <c r="P5" s="4">
        <f>IF(Table1[[#This Row],[Last value]]&gt;1.5*Table1[[#This Row],[Target]],1,0)</f>
        <v>0</v>
      </c>
      <c r="Q5" s="4">
        <f>IF(AND(1.5*Table1[[#This Row],[Target]]&gt;=Table1[[#This Row],[Last value]],Table1[[#This Row],[Last value]]&gt;Table1[[#This Row],[Target]]),1,0)</f>
        <v>0</v>
      </c>
      <c r="R5" s="4">
        <f>IF(Table1[[#This Row],[Target]]&gt;=Table1[[#This Row],[Last value]],1,0)</f>
        <v>1</v>
      </c>
      <c r="S5" s="4" t="str">
        <f t="shared" si="0"/>
        <v>Green</v>
      </c>
      <c r="T5" s="7">
        <v>5.88</v>
      </c>
      <c r="U5" s="7">
        <v>4.93</v>
      </c>
      <c r="V5" s="7">
        <v>6.16</v>
      </c>
      <c r="W5" s="7">
        <v>5.66</v>
      </c>
      <c r="X5" s="7">
        <v>6.5</v>
      </c>
      <c r="Y5" s="7">
        <v>5.83</v>
      </c>
      <c r="Z5" s="7">
        <v>0</v>
      </c>
      <c r="AA5" s="7">
        <v>0</v>
      </c>
      <c r="AB5" s="7">
        <v>6.58</v>
      </c>
      <c r="AC5" s="7">
        <v>6.95</v>
      </c>
      <c r="AD5" s="7">
        <v>6.7</v>
      </c>
      <c r="AE5" s="7">
        <v>6.8</v>
      </c>
      <c r="AF5" s="7">
        <v>7.22</v>
      </c>
      <c r="AG5" s="7">
        <v>0</v>
      </c>
      <c r="AH5" s="7">
        <v>4.5999999999999996</v>
      </c>
      <c r="AI5" s="7">
        <v>5.6</v>
      </c>
      <c r="AJ5" s="7">
        <v>3</v>
      </c>
      <c r="AK5" s="7">
        <v>4.9000000000000004</v>
      </c>
      <c r="AL5" s="7">
        <v>3.69</v>
      </c>
      <c r="AM5" s="7">
        <v>0</v>
      </c>
      <c r="AN5" s="7">
        <v>4.9000000000000004</v>
      </c>
      <c r="AO5" s="7">
        <v>4.3</v>
      </c>
      <c r="AP5" s="7">
        <v>6.4</v>
      </c>
      <c r="AQ5" s="7">
        <v>5.75</v>
      </c>
      <c r="AR5" s="9">
        <v>7.48</v>
      </c>
      <c r="AS5" s="9">
        <v>6.5</v>
      </c>
      <c r="AT5" s="9">
        <v>6.32</v>
      </c>
      <c r="AU5" s="50">
        <v>7.74</v>
      </c>
      <c r="AV5" s="50">
        <v>2.8</v>
      </c>
      <c r="AW5" s="50">
        <v>3.6</v>
      </c>
      <c r="AX5" s="50">
        <v>2.89</v>
      </c>
      <c r="AY5" s="50">
        <v>2.79</v>
      </c>
      <c r="AZ5" s="50">
        <v>3.11</v>
      </c>
      <c r="BA5" s="50">
        <v>2</v>
      </c>
      <c r="BB5" s="50">
        <v>3.1</v>
      </c>
      <c r="BC5" s="55">
        <v>4.9000000000000004</v>
      </c>
      <c r="BD5" s="55">
        <v>0</v>
      </c>
      <c r="BE5" s="11">
        <v>3.8</v>
      </c>
      <c r="BF5" s="4">
        <v>0</v>
      </c>
      <c r="BG5" s="4">
        <v>4.5730000000000004</v>
      </c>
      <c r="BH5" s="4">
        <v>3.9769999999999999</v>
      </c>
      <c r="BI5" s="4">
        <v>3.6160000000000001</v>
      </c>
      <c r="BJ5" s="14">
        <v>3.2989999999999999</v>
      </c>
      <c r="BK5" s="14">
        <v>3.4</v>
      </c>
      <c r="BL5" s="4">
        <v>2.9340000000000002</v>
      </c>
      <c r="BM5" s="17">
        <v>3.1560000000000001</v>
      </c>
      <c r="BN5" s="4">
        <v>3.476</v>
      </c>
      <c r="BO5" s="4">
        <v>4.3090000000000002</v>
      </c>
      <c r="BP5" s="4">
        <v>3.7170000000000001</v>
      </c>
      <c r="BQ5" s="4">
        <v>2.6070000000000002</v>
      </c>
      <c r="BR5" s="4">
        <v>2.548</v>
      </c>
      <c r="BS5" s="4">
        <v>3.6619999999999999</v>
      </c>
      <c r="BT5" s="4">
        <v>3.7069999999999999</v>
      </c>
      <c r="BU5" s="4">
        <v>3.7349999999999999</v>
      </c>
      <c r="BV5" s="4">
        <v>2.6629999999999998</v>
      </c>
      <c r="BW5" s="4">
        <v>3.3780000000000001</v>
      </c>
      <c r="BX5" s="4">
        <v>2.9289999999999998</v>
      </c>
      <c r="BY5" s="4">
        <v>2.5739999999999998</v>
      </c>
      <c r="BZ5" s="55">
        <v>3.59</v>
      </c>
      <c r="CA5" s="55">
        <v>0</v>
      </c>
      <c r="CB5" s="55">
        <v>0</v>
      </c>
      <c r="CC5" s="55">
        <v>3.52</v>
      </c>
      <c r="CD5" s="55">
        <v>0</v>
      </c>
      <c r="CE5" s="19">
        <v>0</v>
      </c>
      <c r="CF5" s="19">
        <v>0</v>
      </c>
      <c r="CG5" s="4">
        <v>0</v>
      </c>
      <c r="CH5" s="4">
        <v>0</v>
      </c>
      <c r="CI5" s="4">
        <v>0</v>
      </c>
      <c r="CJ5" s="34">
        <v>2.2999999999999998</v>
      </c>
      <c r="CK5" s="34">
        <v>2.4</v>
      </c>
      <c r="CL5" s="43">
        <v>2.2000000000000002</v>
      </c>
      <c r="CM5" s="4">
        <v>2.6</v>
      </c>
      <c r="CN5" s="53">
        <v>0</v>
      </c>
      <c r="CO5" s="54">
        <v>2.5</v>
      </c>
      <c r="CP5" s="54">
        <v>2.7</v>
      </c>
      <c r="CQ5" s="4">
        <v>3.3</v>
      </c>
    </row>
    <row r="6" spans="1:95" s="55" customFormat="1" x14ac:dyDescent="0.35">
      <c r="A6" s="55">
        <v>5</v>
      </c>
      <c r="B6" s="55" t="s">
        <v>111</v>
      </c>
      <c r="C6" s="27" t="s">
        <v>642</v>
      </c>
      <c r="D6" s="6" t="s">
        <v>88</v>
      </c>
      <c r="E6" s="33" t="s">
        <v>89</v>
      </c>
      <c r="F6" s="4">
        <f>IFERROR(AVERAGEIF(Table1[[#This Row],[2019-Apr]:[2025-July]],"&lt;&gt;0"),0)</f>
        <v>5.2308548387096767</v>
      </c>
      <c r="G6" s="4">
        <f ca="1">IFERROR(AVERAGEIF(OFFSET(Table1[[#This Row],[Status]],0,COUNT(Table1[[#This Row],[2019-May]:[2025-July]]),1,-12),"&lt;&gt;0"),0)</f>
        <v>5.6166666666666671</v>
      </c>
      <c r="H6" s="55">
        <f>IFERROR(SMALL(Table1[[#This Row],[2019-Apr]:[2025-July]],COUNTIF(Table1[[#This Row],[2019-Apr]:[2025-July]],0)+1),0)</f>
        <v>1.9</v>
      </c>
      <c r="I6" s="55">
        <f>IFERROR(MAX(Table1[[#This Row],[2019-Apr]:[2025-July]]),0)</f>
        <v>11.9</v>
      </c>
      <c r="J6" s="4" cm="1">
        <f t="array" ref="J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2.0999999999999996</v>
      </c>
      <c r="K6" s="4">
        <v>4.5</v>
      </c>
      <c r="L6" s="4">
        <f>IF(Table1[[#This Row],[Standard as per ISO]]&gt;=Table1[[#This Row],[Avg of best 6]],Table1[[#This Row],[Standard as per ISO]],Table1[[#This Row],[Avg of best 6]])</f>
        <v>4.5</v>
      </c>
      <c r="M6" s="4" cm="1">
        <f t="array" ref="M6">IFERROR(LOOKUP(2,1/(Table1[[#This Row],[2019-May]:[2025-July]]&lt;&gt;0),Table1[[#This Row],[2019-May]:[2025-July]]),0)</f>
        <v>6.3</v>
      </c>
      <c r="N6" s="4">
        <f>COUNTIF(Table1[[#This Row],[2019-Apr]:[2025-July]],"&gt;="&amp;Table1[[#This Row],[Target]])</f>
        <v>46</v>
      </c>
      <c r="O6" s="4">
        <f>IF(Table1[[#This Row],[Outliers 2Y]]=0,1,0)</f>
        <v>0</v>
      </c>
      <c r="P6" s="4">
        <f>IF(Table1[[#This Row],[Last value]]&gt;1.5*Table1[[#This Row],[Target]],1,0)</f>
        <v>0</v>
      </c>
      <c r="Q6" s="4">
        <f>IF(AND(1.5*Table1[[#This Row],[Target]]&gt;=Table1[[#This Row],[Last value]],Table1[[#This Row],[Last value]]&gt;Table1[[#This Row],[Target]]),1,0)</f>
        <v>1</v>
      </c>
      <c r="R6" s="4">
        <f>IF(Table1[[#This Row],[Target]]&gt;=Table1[[#This Row],[Last value]],1,0)</f>
        <v>0</v>
      </c>
      <c r="S6" s="4" t="str">
        <f t="shared" si="0"/>
        <v>Yellow</v>
      </c>
      <c r="T6" s="7">
        <v>1.92</v>
      </c>
      <c r="U6" s="7">
        <v>2.89</v>
      </c>
      <c r="V6" s="7">
        <v>2.2000000000000002</v>
      </c>
      <c r="W6" s="7">
        <v>2.1</v>
      </c>
      <c r="X6" s="7">
        <v>2.2000000000000002</v>
      </c>
      <c r="Y6" s="7">
        <v>3.75</v>
      </c>
      <c r="Z6" s="7">
        <v>0</v>
      </c>
      <c r="AA6" s="7">
        <v>0</v>
      </c>
      <c r="AB6" s="7">
        <v>2.23</v>
      </c>
      <c r="AC6" s="7">
        <v>1.9</v>
      </c>
      <c r="AD6" s="7">
        <v>2.4</v>
      </c>
      <c r="AE6" s="7">
        <v>2</v>
      </c>
      <c r="AF6" s="7">
        <v>2.2000000000000002</v>
      </c>
      <c r="AG6" s="7">
        <v>3.8</v>
      </c>
      <c r="AH6" s="7">
        <v>2.2000000000000002</v>
      </c>
      <c r="AI6" s="7">
        <v>11.9</v>
      </c>
      <c r="AJ6" s="7">
        <v>10.1</v>
      </c>
      <c r="AK6" s="7">
        <v>0</v>
      </c>
      <c r="AL6" s="7">
        <v>10.1</v>
      </c>
      <c r="AM6" s="7">
        <v>0</v>
      </c>
      <c r="AN6" s="7">
        <v>3</v>
      </c>
      <c r="AO6" s="7">
        <v>2.83</v>
      </c>
      <c r="AP6" s="7">
        <v>5</v>
      </c>
      <c r="AQ6" s="7">
        <v>5.48</v>
      </c>
      <c r="AR6" s="9">
        <v>5.96</v>
      </c>
      <c r="AS6" s="9">
        <v>6.85</v>
      </c>
      <c r="AT6" s="9">
        <v>6.83</v>
      </c>
      <c r="AU6" s="50">
        <v>5.74</v>
      </c>
      <c r="AV6" s="50">
        <v>6.41</v>
      </c>
      <c r="AW6" s="50">
        <v>6.36</v>
      </c>
      <c r="AX6" s="50">
        <v>6.19</v>
      </c>
      <c r="AY6" s="50">
        <v>6.16</v>
      </c>
      <c r="AZ6" s="50">
        <v>5.65</v>
      </c>
      <c r="BA6" s="50">
        <v>4</v>
      </c>
      <c r="BB6" s="50">
        <v>4.5999999999999996</v>
      </c>
      <c r="BC6" s="55">
        <v>5.5</v>
      </c>
      <c r="BD6" s="55">
        <v>0</v>
      </c>
      <c r="BE6" s="11">
        <v>6.6059999999999999</v>
      </c>
      <c r="BF6" s="4">
        <v>0</v>
      </c>
      <c r="BG6" s="4">
        <v>4.5</v>
      </c>
      <c r="BH6" s="4">
        <v>5.173</v>
      </c>
      <c r="BI6" s="4">
        <v>5.45</v>
      </c>
      <c r="BJ6" s="13">
        <v>5.843</v>
      </c>
      <c r="BK6" s="13">
        <v>4.9189999999999996</v>
      </c>
      <c r="BL6" s="4">
        <v>5.5439999999999996</v>
      </c>
      <c r="BM6" s="16">
        <v>5.2889999999999997</v>
      </c>
      <c r="BN6" s="4">
        <v>5.1429999999999998</v>
      </c>
      <c r="BO6" s="4">
        <v>5.4950000000000001</v>
      </c>
      <c r="BP6" s="4">
        <v>4.8029999999999999</v>
      </c>
      <c r="BQ6" s="4">
        <v>6.3049999999999997</v>
      </c>
      <c r="BR6" s="4">
        <v>5.2949999999999999</v>
      </c>
      <c r="BS6" s="4">
        <v>5.1929999999999996</v>
      </c>
      <c r="BT6" s="4">
        <v>6.24</v>
      </c>
      <c r="BU6" s="4">
        <v>6.5449999999999999</v>
      </c>
      <c r="BV6" s="4">
        <v>7.1609999999999996</v>
      </c>
      <c r="BW6" s="4">
        <v>7.68</v>
      </c>
      <c r="BX6" s="4">
        <v>6.6340000000000003</v>
      </c>
      <c r="BY6" s="4">
        <v>6.3949999999999996</v>
      </c>
      <c r="BZ6" s="55">
        <v>5.89</v>
      </c>
      <c r="CA6" s="55">
        <v>6.03</v>
      </c>
      <c r="CB6" s="55">
        <v>5.73</v>
      </c>
      <c r="CC6" s="55">
        <v>0</v>
      </c>
      <c r="CD6" s="55">
        <v>0</v>
      </c>
      <c r="CE6" s="19">
        <v>0</v>
      </c>
      <c r="CF6" s="19">
        <v>0</v>
      </c>
      <c r="CG6" s="4">
        <v>0</v>
      </c>
      <c r="CH6" s="4">
        <v>0</v>
      </c>
      <c r="CI6" s="4">
        <v>0</v>
      </c>
      <c r="CJ6" s="34">
        <v>4.8</v>
      </c>
      <c r="CK6" s="34">
        <v>5.3</v>
      </c>
      <c r="CL6" s="43">
        <v>5.7</v>
      </c>
      <c r="CM6" s="4">
        <v>6.5</v>
      </c>
      <c r="CN6" s="53">
        <v>0</v>
      </c>
      <c r="CO6" s="54">
        <v>5.7</v>
      </c>
      <c r="CP6" s="54">
        <v>5.7</v>
      </c>
      <c r="CQ6" s="4">
        <v>6.3</v>
      </c>
    </row>
    <row r="7" spans="1:95" s="55" customFormat="1" x14ac:dyDescent="0.35">
      <c r="A7" s="55">
        <v>6</v>
      </c>
      <c r="B7" s="55" t="s">
        <v>111</v>
      </c>
      <c r="C7" s="27" t="s">
        <v>643</v>
      </c>
      <c r="D7" s="6" t="s">
        <v>88</v>
      </c>
      <c r="E7" s="33" t="s">
        <v>89</v>
      </c>
      <c r="F7" s="4">
        <f>IFERROR(AVERAGEIF(Table1[[#This Row],[2019-Apr]:[2025-July]],"&lt;&gt;0"),0)</f>
        <v>6.0195230769230763</v>
      </c>
      <c r="G7" s="4">
        <f ca="1">IFERROR(AVERAGEIF(OFFSET(Table1[[#This Row],[Status]],0,COUNT(Table1[[#This Row],[2019-May]:[2025-July]]),1,-12),"&lt;&gt;0"),0)</f>
        <v>6.5128571428571425</v>
      </c>
      <c r="H7" s="55">
        <f>IFERROR(SMALL(Table1[[#This Row],[2019-Apr]:[2025-July]],COUNTIF(Table1[[#This Row],[2019-Apr]:[2025-July]],0)+1),0)</f>
        <v>3.8</v>
      </c>
      <c r="I7" s="55">
        <f>IFERROR(MAX(Table1[[#This Row],[2019-Apr]:[2025-July]]),0)</f>
        <v>9.2899999999999991</v>
      </c>
      <c r="J7" s="4" cm="1">
        <f t="array" ref="J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4.0666666666666664</v>
      </c>
      <c r="K7" s="4">
        <v>4.5</v>
      </c>
      <c r="L7" s="4">
        <f>IF(Table1[[#This Row],[Standard as per ISO]]&gt;=Table1[[#This Row],[Avg of best 6]],Table1[[#This Row],[Standard as per ISO]],Table1[[#This Row],[Avg of best 6]])</f>
        <v>4.5</v>
      </c>
      <c r="M7" s="4" cm="1">
        <f t="array" ref="M7">IFERROR(LOOKUP(2,1/(Table1[[#This Row],[2019-May]:[2025-July]]&lt;&gt;0),Table1[[#This Row],[2019-May]:[2025-July]]),0)</f>
        <v>6.4</v>
      </c>
      <c r="N7" s="4">
        <f>COUNTIF(Table1[[#This Row],[2019-Apr]:[2025-July]],"&gt;="&amp;Table1[[#This Row],[Target]])</f>
        <v>56</v>
      </c>
      <c r="O7" s="4">
        <f>IF(Table1[[#This Row],[Outliers 2Y]]=0,1,0)</f>
        <v>0</v>
      </c>
      <c r="P7" s="4">
        <f>IF(Table1[[#This Row],[Last value]]&gt;1.5*Table1[[#This Row],[Target]],1,0)</f>
        <v>0</v>
      </c>
      <c r="Q7" s="4">
        <f>IF(AND(1.5*Table1[[#This Row],[Target]]&gt;=Table1[[#This Row],[Last value]],Table1[[#This Row],[Last value]]&gt;Table1[[#This Row],[Target]]),1,0)</f>
        <v>1</v>
      </c>
      <c r="R7" s="4">
        <f>IF(Table1[[#This Row],[Target]]&gt;=Table1[[#This Row],[Last value]],1,0)</f>
        <v>0</v>
      </c>
      <c r="S7" s="4" t="str">
        <f t="shared" si="0"/>
        <v>Yellow</v>
      </c>
      <c r="T7" s="7">
        <v>7.82</v>
      </c>
      <c r="U7" s="7">
        <v>6.55</v>
      </c>
      <c r="V7" s="7">
        <v>8.34</v>
      </c>
      <c r="W7" s="7">
        <v>7.69</v>
      </c>
      <c r="X7" s="7">
        <v>5.3</v>
      </c>
      <c r="Y7" s="7">
        <v>6.2</v>
      </c>
      <c r="Z7" s="7">
        <v>0</v>
      </c>
      <c r="AA7" s="7">
        <v>6.2</v>
      </c>
      <c r="AB7" s="7">
        <v>6.4</v>
      </c>
      <c r="AC7" s="7">
        <v>7.42</v>
      </c>
      <c r="AD7" s="7">
        <v>5.4</v>
      </c>
      <c r="AE7" s="7">
        <v>4.2</v>
      </c>
      <c r="AF7" s="7">
        <v>4.4000000000000004</v>
      </c>
      <c r="AG7" s="7">
        <v>4.4000000000000004</v>
      </c>
      <c r="AH7" s="7">
        <v>4.0999999999999996</v>
      </c>
      <c r="AI7" s="7">
        <v>3.9</v>
      </c>
      <c r="AJ7" s="7">
        <v>4.4000000000000004</v>
      </c>
      <c r="AK7" s="7">
        <v>0</v>
      </c>
      <c r="AL7" s="7">
        <v>4.63</v>
      </c>
      <c r="AM7" s="7">
        <v>0</v>
      </c>
      <c r="AN7" s="7">
        <v>4.4000000000000004</v>
      </c>
      <c r="AO7" s="7">
        <v>4</v>
      </c>
      <c r="AP7" s="7">
        <v>5.3</v>
      </c>
      <c r="AQ7" s="7">
        <v>5.31</v>
      </c>
      <c r="AR7" s="9">
        <v>5.99</v>
      </c>
      <c r="AS7" s="9">
        <v>5.01</v>
      </c>
      <c r="AT7" s="9">
        <v>6.02</v>
      </c>
      <c r="AU7" s="50">
        <v>6.77</v>
      </c>
      <c r="AV7" s="50">
        <v>3.8</v>
      </c>
      <c r="AW7" s="50">
        <v>8.43</v>
      </c>
      <c r="AX7" s="50">
        <v>6.47</v>
      </c>
      <c r="AY7" s="50">
        <v>8.7200000000000006</v>
      </c>
      <c r="AZ7" s="50">
        <v>9.2899999999999991</v>
      </c>
      <c r="BA7" s="50">
        <v>8.1999999999999993</v>
      </c>
      <c r="BB7" s="50">
        <v>9.1</v>
      </c>
      <c r="BC7" s="55">
        <v>6.2</v>
      </c>
      <c r="BD7" s="55">
        <v>5.2</v>
      </c>
      <c r="BE7" s="11">
        <v>5.7469999999999999</v>
      </c>
      <c r="BF7" s="4">
        <v>0</v>
      </c>
      <c r="BG7" s="4">
        <v>5.17</v>
      </c>
      <c r="BH7" s="4">
        <v>5.12</v>
      </c>
      <c r="BI7" s="4">
        <v>4.8339999999999996</v>
      </c>
      <c r="BJ7" s="14">
        <v>4.79</v>
      </c>
      <c r="BK7" s="14">
        <v>4.7990000000000004</v>
      </c>
      <c r="BL7" s="4">
        <v>6.7759999999999998</v>
      </c>
      <c r="BM7" s="17">
        <v>6.2220000000000004</v>
      </c>
      <c r="BN7" s="4">
        <v>5.2050000000000001</v>
      </c>
      <c r="BO7" s="4">
        <v>5.8440000000000003</v>
      </c>
      <c r="BP7" s="4">
        <v>5.6070000000000002</v>
      </c>
      <c r="BQ7" s="4">
        <v>6.1130000000000004</v>
      </c>
      <c r="BR7" s="4">
        <v>6.327</v>
      </c>
      <c r="BS7" s="4">
        <v>5.7210000000000001</v>
      </c>
      <c r="BT7" s="4">
        <v>6.1669999999999998</v>
      </c>
      <c r="BU7" s="4">
        <v>5.9</v>
      </c>
      <c r="BV7" s="4">
        <v>6.0090000000000003</v>
      </c>
      <c r="BW7" s="4">
        <v>5.798</v>
      </c>
      <c r="BX7" s="4">
        <v>5.8630000000000004</v>
      </c>
      <c r="BY7" s="4">
        <v>5.8070000000000004</v>
      </c>
      <c r="BZ7" s="55">
        <v>0</v>
      </c>
      <c r="CA7" s="55">
        <v>6.46</v>
      </c>
      <c r="CB7" s="55">
        <v>6.7</v>
      </c>
      <c r="CC7" s="55">
        <v>0</v>
      </c>
      <c r="CD7" s="55">
        <v>6.74</v>
      </c>
      <c r="CE7" s="19">
        <v>0</v>
      </c>
      <c r="CF7" s="19">
        <v>0</v>
      </c>
      <c r="CG7" s="4">
        <v>8.59</v>
      </c>
      <c r="CH7" s="4">
        <v>0</v>
      </c>
      <c r="CI7" s="4">
        <v>0</v>
      </c>
      <c r="CJ7" s="34">
        <v>6.3</v>
      </c>
      <c r="CK7" s="34">
        <v>6.4</v>
      </c>
      <c r="CL7" s="43">
        <v>6.8</v>
      </c>
      <c r="CM7" s="4">
        <v>5.7</v>
      </c>
      <c r="CN7" s="53">
        <v>0</v>
      </c>
      <c r="CO7" s="54">
        <v>5.9</v>
      </c>
      <c r="CP7" s="54">
        <v>5.9</v>
      </c>
      <c r="CQ7" s="4">
        <v>6.4</v>
      </c>
    </row>
    <row r="8" spans="1:95" s="55" customFormat="1" x14ac:dyDescent="0.35">
      <c r="A8" s="55">
        <v>7</v>
      </c>
      <c r="B8" s="55" t="s">
        <v>111</v>
      </c>
      <c r="C8" s="27" t="s">
        <v>644</v>
      </c>
      <c r="D8" s="6" t="s">
        <v>88</v>
      </c>
      <c r="E8" s="33" t="s">
        <v>89</v>
      </c>
      <c r="F8" s="4">
        <f>IFERROR(AVERAGEIF(Table1[[#This Row],[2019-Apr]:[2025-July]],"&lt;&gt;0"),0)</f>
        <v>8.8489666666666675</v>
      </c>
      <c r="G8" s="4">
        <f ca="1">IFERROR(AVERAGEIF(OFFSET(Table1[[#This Row],[Status]],0,COUNT(Table1[[#This Row],[2019-May]:[2025-July]]),1,-12),"&lt;&gt;0"),0)</f>
        <v>9.1199999999999992</v>
      </c>
      <c r="H8" s="55">
        <f>IFERROR(SMALL(Table1[[#This Row],[2019-Apr]:[2025-July]],COUNTIF(Table1[[#This Row],[2019-Apr]:[2025-July]],0)+1),0)</f>
        <v>3.17</v>
      </c>
      <c r="I8" s="55">
        <f>IFERROR(MAX(Table1[[#This Row],[2019-Apr]:[2025-July]]),0)</f>
        <v>16.3</v>
      </c>
      <c r="J8" s="4" cm="1">
        <f t="array" ref="J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4.75</v>
      </c>
      <c r="K8" s="4">
        <v>4.5</v>
      </c>
      <c r="L8" s="4">
        <f>IF(Table1[[#This Row],[Standard as per ISO]]&gt;=Table1[[#This Row],[Avg of best 6]],Table1[[#This Row],[Standard as per ISO]],Table1[[#This Row],[Avg of best 6]])</f>
        <v>4.75</v>
      </c>
      <c r="M8" s="4" cm="1">
        <f t="array" ref="M8">IFERROR(LOOKUP(2,1/(Table1[[#This Row],[2019-May]:[2025-July]]&lt;&gt;0),Table1[[#This Row],[2019-May]:[2025-July]]),0)</f>
        <v>5.8</v>
      </c>
      <c r="N8" s="4">
        <f>COUNTIF(Table1[[#This Row],[2019-Apr]:[2025-July]],"&gt;="&amp;Table1[[#This Row],[Target]])</f>
        <v>57</v>
      </c>
      <c r="O8" s="4">
        <f>IF(Table1[[#This Row],[Outliers 2Y]]=0,1,0)</f>
        <v>0</v>
      </c>
      <c r="P8" s="4">
        <f>IF(Table1[[#This Row],[Last value]]&gt;1.5*Table1[[#This Row],[Target]],1,0)</f>
        <v>0</v>
      </c>
      <c r="Q8" s="4">
        <f>IF(AND(1.5*Table1[[#This Row],[Target]]&gt;=Table1[[#This Row],[Last value]],Table1[[#This Row],[Last value]]&gt;Table1[[#This Row],[Target]]),1,0)</f>
        <v>1</v>
      </c>
      <c r="R8" s="4">
        <f>IF(Table1[[#This Row],[Target]]&gt;=Table1[[#This Row],[Last value]],1,0)</f>
        <v>0</v>
      </c>
      <c r="S8" s="4" t="str">
        <f t="shared" si="0"/>
        <v>Yellow</v>
      </c>
      <c r="T8" s="7">
        <v>12.6</v>
      </c>
      <c r="U8" s="7">
        <v>7.56</v>
      </c>
      <c r="V8" s="7">
        <v>9.11</v>
      </c>
      <c r="W8" s="7">
        <v>6.03</v>
      </c>
      <c r="X8" s="7">
        <v>9.7899999999999991</v>
      </c>
      <c r="Y8" s="7">
        <v>9.07</v>
      </c>
      <c r="Z8" s="7">
        <v>0</v>
      </c>
      <c r="AA8" s="7">
        <v>7.39</v>
      </c>
      <c r="AB8" s="7">
        <v>8.6</v>
      </c>
      <c r="AC8" s="7">
        <v>8.5</v>
      </c>
      <c r="AD8" s="7">
        <v>6.54</v>
      </c>
      <c r="AE8" s="7">
        <v>6.57</v>
      </c>
      <c r="AF8" s="7">
        <v>10</v>
      </c>
      <c r="AG8" s="7">
        <v>10.6</v>
      </c>
      <c r="AH8" s="7">
        <v>14.7</v>
      </c>
      <c r="AI8" s="7">
        <v>9.24</v>
      </c>
      <c r="AJ8" s="7">
        <v>0</v>
      </c>
      <c r="AK8" s="7">
        <v>10.4</v>
      </c>
      <c r="AL8" s="7">
        <v>8.5</v>
      </c>
      <c r="AM8" s="7">
        <v>0</v>
      </c>
      <c r="AN8" s="7">
        <v>7.7</v>
      </c>
      <c r="AO8" s="7">
        <v>9</v>
      </c>
      <c r="AP8" s="7">
        <v>9.5500000000000007</v>
      </c>
      <c r="AQ8" s="7">
        <v>7.52</v>
      </c>
      <c r="AR8" s="9">
        <v>7.7</v>
      </c>
      <c r="AS8" s="9">
        <v>10.5</v>
      </c>
      <c r="AT8" s="9">
        <v>3.64</v>
      </c>
      <c r="AU8" s="50">
        <v>3.17</v>
      </c>
      <c r="AV8" s="50">
        <v>4.03</v>
      </c>
      <c r="AW8" s="50">
        <v>10.8</v>
      </c>
      <c r="AX8" s="50">
        <v>5.83</v>
      </c>
      <c r="AY8" s="50">
        <v>11.1</v>
      </c>
      <c r="AZ8" s="50">
        <v>12.9</v>
      </c>
      <c r="BA8" s="50">
        <v>12.7</v>
      </c>
      <c r="BB8" s="50">
        <v>16.3</v>
      </c>
      <c r="BC8" s="55">
        <v>8.1</v>
      </c>
      <c r="BD8" s="55">
        <v>0</v>
      </c>
      <c r="BE8" s="11">
        <v>6.8330000000000002</v>
      </c>
      <c r="BF8" s="4">
        <v>8.8390000000000004</v>
      </c>
      <c r="BG8" s="4">
        <v>8.24</v>
      </c>
      <c r="BH8" s="4">
        <v>10.76</v>
      </c>
      <c r="BI8" s="4">
        <v>12.31</v>
      </c>
      <c r="BJ8" s="13">
        <v>10.44</v>
      </c>
      <c r="BK8" s="13">
        <v>6.2610000000000001</v>
      </c>
      <c r="BL8" s="4">
        <v>7.86</v>
      </c>
      <c r="BM8" s="16">
        <v>10.3</v>
      </c>
      <c r="BN8" s="4">
        <v>0</v>
      </c>
      <c r="BO8" s="4">
        <v>8.5869999999999997</v>
      </c>
      <c r="BP8" s="4">
        <v>0</v>
      </c>
      <c r="BQ8" s="4">
        <v>6.6230000000000002</v>
      </c>
      <c r="BR8" s="4">
        <v>6.73</v>
      </c>
      <c r="BS8" s="4">
        <v>8.407</v>
      </c>
      <c r="BT8" s="4">
        <v>6.9820000000000002</v>
      </c>
      <c r="BU8" s="4">
        <v>8.4849999999999994</v>
      </c>
      <c r="BV8" s="4">
        <v>12.02</v>
      </c>
      <c r="BW8" s="4">
        <v>7.8849999999999998</v>
      </c>
      <c r="BX8" s="4">
        <v>8.6959999999999997</v>
      </c>
      <c r="BY8" s="4">
        <v>7.42</v>
      </c>
      <c r="BZ8" s="55">
        <v>0</v>
      </c>
      <c r="CA8" s="55">
        <v>10.98</v>
      </c>
      <c r="CB8" s="55">
        <v>0</v>
      </c>
      <c r="CC8" s="55">
        <v>7.6</v>
      </c>
      <c r="CD8" s="55">
        <v>7.34</v>
      </c>
      <c r="CE8" s="19">
        <v>0</v>
      </c>
      <c r="CF8" s="21">
        <v>7.7</v>
      </c>
      <c r="CG8" s="4">
        <v>0</v>
      </c>
      <c r="CH8" s="4">
        <v>0</v>
      </c>
      <c r="CI8" s="4">
        <v>0</v>
      </c>
      <c r="CJ8" s="34">
        <v>8.1999999999999993</v>
      </c>
      <c r="CK8" s="34">
        <v>10.6</v>
      </c>
      <c r="CL8" s="43">
        <v>13.3</v>
      </c>
      <c r="CM8" s="4">
        <v>0</v>
      </c>
      <c r="CN8" s="53">
        <v>0</v>
      </c>
      <c r="CO8" s="54">
        <v>5.8</v>
      </c>
      <c r="CP8" s="54">
        <v>0</v>
      </c>
      <c r="CQ8" s="4">
        <v>0</v>
      </c>
    </row>
    <row r="9" spans="1:95" s="55" customFormat="1" x14ac:dyDescent="0.35">
      <c r="A9" s="55">
        <v>8</v>
      </c>
      <c r="B9" s="55" t="s">
        <v>111</v>
      </c>
      <c r="C9" s="27" t="s">
        <v>645</v>
      </c>
      <c r="D9" s="6" t="s">
        <v>88</v>
      </c>
      <c r="E9" s="33" t="s">
        <v>89</v>
      </c>
      <c r="F9" s="4">
        <f>IFERROR(AVERAGEIF(Table1[[#This Row],[2019-Apr]:[2025-July]],"&lt;&gt;0"),0)</f>
        <v>5.8041406249999987</v>
      </c>
      <c r="G9" s="4">
        <f ca="1">IFERROR(AVERAGEIF(OFFSET(Table1[[#This Row],[Status]],0,COUNT(Table1[[#This Row],[2019-May]:[2025-July]]),1,-12),"&lt;&gt;0"),0)</f>
        <v>6.4562499999999998</v>
      </c>
      <c r="H9" s="55">
        <f>IFERROR(SMALL(Table1[[#This Row],[2019-Apr]:[2025-July]],COUNTIF(Table1[[#This Row],[2019-Apr]:[2025-July]],0)+1),0)</f>
        <v>2.8</v>
      </c>
      <c r="I9" s="55">
        <f>IFERROR(MAX(Table1[[#This Row],[2019-Apr]:[2025-July]]),0)</f>
        <v>11.8</v>
      </c>
      <c r="J9" s="4" cm="1">
        <f t="array" ref="J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3.4216666666666664</v>
      </c>
      <c r="K9" s="4">
        <v>4.5</v>
      </c>
      <c r="L9" s="4">
        <f>IF(Table1[[#This Row],[Standard as per ISO]]&gt;=Table1[[#This Row],[Avg of best 6]],Table1[[#This Row],[Standard as per ISO]],Table1[[#This Row],[Avg of best 6]])</f>
        <v>4.5</v>
      </c>
      <c r="M9" s="4" cm="1">
        <f t="array" ref="M9">IFERROR(LOOKUP(2,1/(Table1[[#This Row],[2019-May]:[2025-July]]&lt;&gt;0),Table1[[#This Row],[2019-May]:[2025-July]]),0)</f>
        <v>4.5</v>
      </c>
      <c r="N9" s="4">
        <f>COUNTIF(Table1[[#This Row],[2019-Apr]:[2025-July]],"&gt;="&amp;Table1[[#This Row],[Target]])</f>
        <v>50</v>
      </c>
      <c r="O9" s="4">
        <f>IF(Table1[[#This Row],[Outliers 2Y]]=0,1,0)</f>
        <v>0</v>
      </c>
      <c r="P9" s="4">
        <f>IF(Table1[[#This Row],[Last value]]&gt;1.5*Table1[[#This Row],[Target]],1,0)</f>
        <v>0</v>
      </c>
      <c r="Q9" s="4">
        <f>IF(AND(1.5*Table1[[#This Row],[Target]]&gt;=Table1[[#This Row],[Last value]],Table1[[#This Row],[Last value]]&gt;Table1[[#This Row],[Target]]),1,0)</f>
        <v>0</v>
      </c>
      <c r="R9" s="4">
        <f>IF(Table1[[#This Row],[Target]]&gt;=Table1[[#This Row],[Last value]],1,0)</f>
        <v>1</v>
      </c>
      <c r="S9" s="4" t="str">
        <f t="shared" si="0"/>
        <v>Green</v>
      </c>
      <c r="T9" s="7">
        <v>7.76</v>
      </c>
      <c r="U9" s="7">
        <v>3.53</v>
      </c>
      <c r="V9" s="7">
        <v>3.98</v>
      </c>
      <c r="W9" s="7">
        <v>4.4000000000000004</v>
      </c>
      <c r="X9" s="7">
        <v>3.6</v>
      </c>
      <c r="Y9" s="7">
        <v>3.8</v>
      </c>
      <c r="Z9" s="7">
        <v>5.72</v>
      </c>
      <c r="AA9" s="7">
        <v>0</v>
      </c>
      <c r="AB9" s="7">
        <v>0</v>
      </c>
      <c r="AC9" s="7">
        <v>6.6</v>
      </c>
      <c r="AD9" s="7">
        <v>7.7</v>
      </c>
      <c r="AE9" s="7">
        <v>4.3</v>
      </c>
      <c r="AF9" s="7">
        <v>4.41</v>
      </c>
      <c r="AG9" s="7">
        <v>4</v>
      </c>
      <c r="AH9" s="7">
        <v>4.6500000000000004</v>
      </c>
      <c r="AI9" s="7">
        <v>8.3000000000000007</v>
      </c>
      <c r="AJ9" s="7">
        <v>9.9</v>
      </c>
      <c r="AK9" s="7">
        <v>9.4600000000000009</v>
      </c>
      <c r="AL9" s="7">
        <v>11.8</v>
      </c>
      <c r="AM9" s="7">
        <v>0</v>
      </c>
      <c r="AN9" s="7">
        <v>9.5</v>
      </c>
      <c r="AO9" s="7">
        <v>5.16</v>
      </c>
      <c r="AP9" s="7">
        <v>2.8</v>
      </c>
      <c r="AQ9" s="7">
        <v>3.4</v>
      </c>
      <c r="AR9" s="9">
        <v>4.7699999999999996</v>
      </c>
      <c r="AS9" s="9">
        <v>3.94</v>
      </c>
      <c r="AT9" s="9">
        <v>4.92</v>
      </c>
      <c r="AU9" s="50">
        <v>5.84</v>
      </c>
      <c r="AV9" s="50">
        <v>5.62</v>
      </c>
      <c r="AW9" s="50">
        <v>5.7</v>
      </c>
      <c r="AX9" s="50">
        <v>6.1</v>
      </c>
      <c r="AY9" s="50">
        <v>6.17</v>
      </c>
      <c r="AZ9" s="50">
        <v>6.91</v>
      </c>
      <c r="BA9" s="50">
        <v>3.7</v>
      </c>
      <c r="BB9" s="50">
        <v>5.8</v>
      </c>
      <c r="BC9" s="55">
        <v>5</v>
      </c>
      <c r="BD9" s="55">
        <v>0</v>
      </c>
      <c r="BE9" s="11">
        <v>6.875</v>
      </c>
      <c r="BF9" s="4">
        <v>5.9989999999999997</v>
      </c>
      <c r="BG9" s="4">
        <v>0</v>
      </c>
      <c r="BH9" s="4">
        <v>6.3280000000000003</v>
      </c>
      <c r="BI9" s="4">
        <v>3.863</v>
      </c>
      <c r="BJ9" s="14">
        <v>7.8150000000000004</v>
      </c>
      <c r="BK9" s="14">
        <v>5.7110000000000003</v>
      </c>
      <c r="BL9" s="4">
        <v>5.4960000000000004</v>
      </c>
      <c r="BM9" s="17">
        <v>5.2329999999999997</v>
      </c>
      <c r="BN9" s="4">
        <v>6.9489999999999998</v>
      </c>
      <c r="BO9" s="4">
        <v>4.9880000000000004</v>
      </c>
      <c r="BP9" s="4">
        <v>4.7770000000000001</v>
      </c>
      <c r="BQ9" s="4">
        <v>7.9359999999999999</v>
      </c>
      <c r="BR9" s="4">
        <v>4.95</v>
      </c>
      <c r="BS9" s="4">
        <v>5.13</v>
      </c>
      <c r="BT9" s="4">
        <v>5</v>
      </c>
      <c r="BU9" s="4">
        <v>0</v>
      </c>
      <c r="BV9" s="4">
        <v>6.5490000000000004</v>
      </c>
      <c r="BW9" s="4">
        <v>6.3289999999999997</v>
      </c>
      <c r="BX9" s="4">
        <v>5.5170000000000003</v>
      </c>
      <c r="BY9" s="4">
        <v>4.55</v>
      </c>
      <c r="BZ9" s="55">
        <v>4.82</v>
      </c>
      <c r="CA9" s="55">
        <v>5.21</v>
      </c>
      <c r="CB9" s="55">
        <v>6.05</v>
      </c>
      <c r="CC9" s="55">
        <v>0</v>
      </c>
      <c r="CD9" s="55">
        <v>0</v>
      </c>
      <c r="CE9" s="19">
        <v>0</v>
      </c>
      <c r="CF9" s="19">
        <v>0</v>
      </c>
      <c r="CG9" s="4">
        <v>5.94</v>
      </c>
      <c r="CH9" s="4">
        <v>0</v>
      </c>
      <c r="CI9" s="4">
        <v>7.51</v>
      </c>
      <c r="CJ9" s="34">
        <v>10.3</v>
      </c>
      <c r="CK9" s="34">
        <v>4.7</v>
      </c>
      <c r="CL9" s="43">
        <v>7.7</v>
      </c>
      <c r="CM9" s="4">
        <v>6.3</v>
      </c>
      <c r="CN9" s="53">
        <v>0</v>
      </c>
      <c r="CO9" s="54">
        <v>5.7</v>
      </c>
      <c r="CP9" s="54">
        <v>3.5</v>
      </c>
      <c r="CQ9" s="4">
        <v>4.5</v>
      </c>
    </row>
    <row r="10" spans="1:95" s="55" customFormat="1" x14ac:dyDescent="0.35">
      <c r="A10" s="55">
        <v>9</v>
      </c>
      <c r="B10" s="55" t="s">
        <v>111</v>
      </c>
      <c r="C10" s="27" t="s">
        <v>646</v>
      </c>
      <c r="D10" s="6" t="s">
        <v>88</v>
      </c>
      <c r="E10" s="33" t="s">
        <v>89</v>
      </c>
      <c r="F10" s="4">
        <f>IFERROR(AVERAGEIF(Table1[[#This Row],[2019-Apr]:[2025-July]],"&lt;&gt;0"),0)</f>
        <v>8.3556721311475393</v>
      </c>
      <c r="G10" s="4">
        <f ca="1">IFERROR(AVERAGEIF(OFFSET(Table1[[#This Row],[Status]],0,COUNT(Table1[[#This Row],[2019-May]:[2025-July]]),1,-12),"&lt;&gt;0"),0)</f>
        <v>6.12</v>
      </c>
      <c r="H10" s="55">
        <f>IFERROR(SMALL(Table1[[#This Row],[2019-Apr]:[2025-July]],COUNTIF(Table1[[#This Row],[2019-Apr]:[2025-July]],0)+1),0)</f>
        <v>4.7</v>
      </c>
      <c r="I10" s="55">
        <f>IFERROR(MAX(Table1[[#This Row],[2019-Apr]:[2025-July]]),0)</f>
        <v>15</v>
      </c>
      <c r="J10" s="4" cm="1">
        <f t="array" ref="J1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4.8965000000000005</v>
      </c>
      <c r="K10" s="4">
        <v>4.5</v>
      </c>
      <c r="L10" s="4">
        <f>IF(Table1[[#This Row],[Standard as per ISO]]&gt;=Table1[[#This Row],[Avg of best 6]],Table1[[#This Row],[Standard as per ISO]],Table1[[#This Row],[Avg of best 6]])</f>
        <v>4.8965000000000005</v>
      </c>
      <c r="M10" s="4" cm="1">
        <f t="array" ref="M10">IFERROR(LOOKUP(2,1/(Table1[[#This Row],[2019-May]:[2025-July]]&lt;&gt;0),Table1[[#This Row],[2019-May]:[2025-July]]),0)</f>
        <v>5.3</v>
      </c>
      <c r="N10" s="4">
        <f>COUNTIF(Table1[[#This Row],[2019-Apr]:[2025-July]],"&gt;="&amp;Table1[[#This Row],[Target]])</f>
        <v>57</v>
      </c>
      <c r="O10" s="4">
        <f>IF(Table1[[#This Row],[Outliers 2Y]]=0,1,0)</f>
        <v>0</v>
      </c>
      <c r="P10" s="4">
        <f>IF(Table1[[#This Row],[Last value]]&gt;1.5*Table1[[#This Row],[Target]],1,0)</f>
        <v>0</v>
      </c>
      <c r="Q10" s="4">
        <f>IF(AND(1.5*Table1[[#This Row],[Target]]&gt;=Table1[[#This Row],[Last value]],Table1[[#This Row],[Last value]]&gt;Table1[[#This Row],[Target]]),1,0)</f>
        <v>1</v>
      </c>
      <c r="R10" s="4">
        <f>IF(Table1[[#This Row],[Target]]&gt;=Table1[[#This Row],[Last value]],1,0)</f>
        <v>0</v>
      </c>
      <c r="S10" s="4" t="str">
        <f t="shared" si="0"/>
        <v>Yellow</v>
      </c>
      <c r="T10" s="7">
        <v>9.99</v>
      </c>
      <c r="U10" s="7">
        <v>9.9600000000000009</v>
      </c>
      <c r="V10" s="7">
        <v>8.01</v>
      </c>
      <c r="W10" s="7">
        <v>8.7200000000000006</v>
      </c>
      <c r="X10" s="7">
        <v>6.6</v>
      </c>
      <c r="Y10" s="7">
        <v>7.1</v>
      </c>
      <c r="Z10" s="7">
        <v>0</v>
      </c>
      <c r="AA10" s="7">
        <v>7.9</v>
      </c>
      <c r="AB10" s="7">
        <v>12.5</v>
      </c>
      <c r="AC10" s="7">
        <v>9.75</v>
      </c>
      <c r="AD10" s="7">
        <v>5.75</v>
      </c>
      <c r="AE10" s="7">
        <v>8.9</v>
      </c>
      <c r="AF10" s="7">
        <v>9</v>
      </c>
      <c r="AG10" s="7">
        <v>5.8</v>
      </c>
      <c r="AH10" s="7">
        <v>7.2</v>
      </c>
      <c r="AI10" s="7">
        <v>0</v>
      </c>
      <c r="AJ10" s="7">
        <v>8</v>
      </c>
      <c r="AK10" s="7">
        <v>6.3</v>
      </c>
      <c r="AL10" s="7">
        <v>7.9</v>
      </c>
      <c r="AM10" s="7">
        <v>0</v>
      </c>
      <c r="AN10" s="7">
        <v>14.1</v>
      </c>
      <c r="AO10" s="7">
        <v>14.7</v>
      </c>
      <c r="AP10" s="7">
        <v>7.9</v>
      </c>
      <c r="AQ10" s="7">
        <v>9.9700000000000006</v>
      </c>
      <c r="AR10" s="9">
        <v>14.5</v>
      </c>
      <c r="AS10" s="9">
        <v>8.43</v>
      </c>
      <c r="AT10" s="9">
        <v>13.44</v>
      </c>
      <c r="AU10" s="50">
        <v>9.1199999999999992</v>
      </c>
      <c r="AV10" s="50">
        <v>9.41</v>
      </c>
      <c r="AW10" s="50">
        <v>7.68</v>
      </c>
      <c r="AX10" s="50">
        <v>15</v>
      </c>
      <c r="AY10" s="50">
        <v>13</v>
      </c>
      <c r="AZ10" s="50">
        <v>14.3</v>
      </c>
      <c r="BA10" s="50">
        <v>8.3000000000000007</v>
      </c>
      <c r="BB10" s="50">
        <v>11.5</v>
      </c>
      <c r="BC10" s="55">
        <v>9.9</v>
      </c>
      <c r="BD10" s="55">
        <v>0</v>
      </c>
      <c r="BE10" s="11">
        <v>12.77</v>
      </c>
      <c r="BF10" s="4">
        <v>0</v>
      </c>
      <c r="BG10" s="4">
        <v>0</v>
      </c>
      <c r="BH10" s="4">
        <v>14.29</v>
      </c>
      <c r="BI10" s="4">
        <v>5.31</v>
      </c>
      <c r="BJ10" s="13">
        <v>4.7</v>
      </c>
      <c r="BK10" s="13">
        <v>4.7759999999999998</v>
      </c>
      <c r="BL10" s="4">
        <v>5.7640000000000002</v>
      </c>
      <c r="BM10" s="16">
        <v>5.3659999999999997</v>
      </c>
      <c r="BN10" s="4">
        <v>6.7720000000000002</v>
      </c>
      <c r="BO10" s="4">
        <v>8.7029999999999994</v>
      </c>
      <c r="BP10" s="4">
        <v>6.17</v>
      </c>
      <c r="BQ10" s="4">
        <v>6.1740000000000004</v>
      </c>
      <c r="BR10" s="4">
        <v>5.7089999999999996</v>
      </c>
      <c r="BS10" s="4">
        <v>4.7130000000000001</v>
      </c>
      <c r="BT10" s="4">
        <v>4.84</v>
      </c>
      <c r="BU10" s="4">
        <v>8.3889999999999993</v>
      </c>
      <c r="BV10" s="4">
        <v>8.3889999999999993</v>
      </c>
      <c r="BW10" s="4">
        <v>5.76</v>
      </c>
      <c r="BX10" s="4">
        <v>6.2279999999999998</v>
      </c>
      <c r="BY10" s="4">
        <v>5.3129999999999997</v>
      </c>
      <c r="BZ10" s="55">
        <v>0</v>
      </c>
      <c r="CA10" s="55">
        <v>6.2</v>
      </c>
      <c r="CB10" s="55">
        <v>7.51</v>
      </c>
      <c r="CC10" s="55">
        <v>9.57</v>
      </c>
      <c r="CD10" s="55">
        <v>5.05</v>
      </c>
      <c r="CE10" s="19">
        <v>0</v>
      </c>
      <c r="CF10" s="19">
        <v>0</v>
      </c>
      <c r="CG10" s="4">
        <v>5.4</v>
      </c>
      <c r="CH10" s="4">
        <v>0</v>
      </c>
      <c r="CI10" s="4">
        <v>0</v>
      </c>
      <c r="CJ10" s="34">
        <v>5.9</v>
      </c>
      <c r="CK10" s="34">
        <v>6.8</v>
      </c>
      <c r="CL10" s="43">
        <v>7.2</v>
      </c>
      <c r="CM10" s="4">
        <v>0</v>
      </c>
      <c r="CN10" s="53">
        <v>0</v>
      </c>
      <c r="CO10" s="54">
        <v>5.3</v>
      </c>
      <c r="CP10" s="54">
        <v>0</v>
      </c>
      <c r="CQ10" s="4">
        <v>0</v>
      </c>
    </row>
    <row r="11" spans="1:95" s="55" customFormat="1" x14ac:dyDescent="0.35">
      <c r="A11" s="55">
        <v>10</v>
      </c>
      <c r="B11" s="55" t="s">
        <v>111</v>
      </c>
      <c r="C11" s="27" t="s">
        <v>647</v>
      </c>
      <c r="D11" s="6" t="s">
        <v>88</v>
      </c>
      <c r="E11" s="33" t="s">
        <v>89</v>
      </c>
      <c r="F11" s="4">
        <f>IFERROR(AVERAGEIF(Table1[[#This Row],[2019-Apr]:[2025-July]],"&lt;&gt;0"),0)</f>
        <v>3.7629047619047613</v>
      </c>
      <c r="G11" s="4">
        <f ca="1">IFERROR(AVERAGEIF(OFFSET(Table1[[#This Row],[Status]],0,COUNT(Table1[[#This Row],[2019-May]:[2025-July]]),1,-12),"&lt;&gt;0"),0)</f>
        <v>3.3824999999999998</v>
      </c>
      <c r="H11" s="55">
        <f>IFERROR(SMALL(Table1[[#This Row],[2019-Apr]:[2025-July]],COUNTIF(Table1[[#This Row],[2019-Apr]:[2025-July]],0)+1),0)</f>
        <v>2.3620000000000001</v>
      </c>
      <c r="I11" s="55">
        <f>IFERROR(MAX(Table1[[#This Row],[2019-Apr]:[2025-July]]),0)</f>
        <v>6.77</v>
      </c>
      <c r="J11" s="4" cm="1">
        <f t="array" ref="J1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2.5029999999999997</v>
      </c>
      <c r="K11" s="4">
        <v>4.5</v>
      </c>
      <c r="L11" s="4">
        <f>IF(Table1[[#This Row],[Standard as per ISO]]&gt;=Table1[[#This Row],[Avg of best 6]],Table1[[#This Row],[Standard as per ISO]],Table1[[#This Row],[Avg of best 6]])</f>
        <v>4.5</v>
      </c>
      <c r="M11" s="4" cm="1">
        <f t="array" ref="M11">IFERROR(LOOKUP(2,1/(Table1[[#This Row],[2019-May]:[2025-July]]&lt;&gt;0),Table1[[#This Row],[2019-May]:[2025-July]]),0)</f>
        <v>3.9</v>
      </c>
      <c r="N11" s="4">
        <f>COUNTIF(Table1[[#This Row],[2019-Apr]:[2025-July]],"&gt;="&amp;Table1[[#This Row],[Target]])</f>
        <v>15</v>
      </c>
      <c r="O11" s="4">
        <f>IF(Table1[[#This Row],[Outliers 2Y]]=0,1,0)</f>
        <v>0</v>
      </c>
      <c r="P11" s="4">
        <f>IF(Table1[[#This Row],[Last value]]&gt;1.5*Table1[[#This Row],[Target]],1,0)</f>
        <v>0</v>
      </c>
      <c r="Q11" s="4">
        <f>IF(AND(1.5*Table1[[#This Row],[Target]]&gt;=Table1[[#This Row],[Last value]],Table1[[#This Row],[Last value]]&gt;Table1[[#This Row],[Target]]),1,0)</f>
        <v>0</v>
      </c>
      <c r="R11" s="4">
        <f>IF(Table1[[#This Row],[Target]]&gt;=Table1[[#This Row],[Last value]],1,0)</f>
        <v>1</v>
      </c>
      <c r="S11" s="4" t="str">
        <f t="shared" si="0"/>
        <v>Green</v>
      </c>
      <c r="T11" s="7">
        <v>6.77</v>
      </c>
      <c r="U11" s="7">
        <v>5.72</v>
      </c>
      <c r="V11" s="7">
        <v>5.37</v>
      </c>
      <c r="W11" s="7">
        <v>4.5</v>
      </c>
      <c r="X11" s="7">
        <v>4.7</v>
      </c>
      <c r="Y11" s="7">
        <v>5.2</v>
      </c>
      <c r="Z11" s="7">
        <v>0</v>
      </c>
      <c r="AA11" s="7">
        <v>4.58</v>
      </c>
      <c r="AB11" s="7">
        <v>4.59</v>
      </c>
      <c r="AC11" s="7">
        <v>4.32</v>
      </c>
      <c r="AD11" s="7">
        <v>3.3</v>
      </c>
      <c r="AE11" s="7">
        <v>4.5</v>
      </c>
      <c r="AF11" s="7">
        <v>4.3</v>
      </c>
      <c r="AG11" s="7">
        <v>3.7</v>
      </c>
      <c r="AH11" s="7">
        <v>3.7</v>
      </c>
      <c r="AI11" s="7">
        <v>3.66</v>
      </c>
      <c r="AJ11" s="7">
        <v>4.5</v>
      </c>
      <c r="AK11" s="7">
        <v>0</v>
      </c>
      <c r="AL11" s="7">
        <v>3.85</v>
      </c>
      <c r="AM11" s="7">
        <v>0</v>
      </c>
      <c r="AN11" s="7">
        <v>4.8</v>
      </c>
      <c r="AO11" s="7">
        <v>2.9</v>
      </c>
      <c r="AP11" s="7">
        <v>3.1</v>
      </c>
      <c r="AQ11" s="7">
        <v>3.05</v>
      </c>
      <c r="AR11" s="9">
        <v>3.3</v>
      </c>
      <c r="AS11" s="9">
        <v>3.01</v>
      </c>
      <c r="AT11" s="9">
        <v>3.29</v>
      </c>
      <c r="AU11" s="50">
        <v>3.29</v>
      </c>
      <c r="AV11" s="50">
        <v>5.22</v>
      </c>
      <c r="AW11" s="50">
        <v>5.96</v>
      </c>
      <c r="AX11" s="50">
        <v>5.67</v>
      </c>
      <c r="AY11" s="50">
        <v>4.43</v>
      </c>
      <c r="AZ11" s="50">
        <v>2.69</v>
      </c>
      <c r="BA11" s="50">
        <v>0</v>
      </c>
      <c r="BB11" s="50">
        <v>3.8</v>
      </c>
      <c r="BC11" s="55">
        <v>3.2</v>
      </c>
      <c r="BD11" s="55">
        <v>3.4</v>
      </c>
      <c r="BE11" s="11">
        <v>3.5310000000000001</v>
      </c>
      <c r="BF11" s="4">
        <v>4.218</v>
      </c>
      <c r="BG11" s="4">
        <v>3.24</v>
      </c>
      <c r="BH11" s="4">
        <v>3.7080000000000002</v>
      </c>
      <c r="BI11" s="4">
        <v>3.1269999999999998</v>
      </c>
      <c r="BJ11" s="14">
        <v>3.3959999999999999</v>
      </c>
      <c r="BK11" s="14">
        <v>3.597</v>
      </c>
      <c r="BL11" s="4">
        <v>3.1640000000000001</v>
      </c>
      <c r="BM11" s="17">
        <v>2.5049999999999999</v>
      </c>
      <c r="BN11" s="4">
        <v>3.7429999999999999</v>
      </c>
      <c r="BO11" s="4">
        <v>3.851</v>
      </c>
      <c r="BP11" s="4">
        <v>3.0979999999999999</v>
      </c>
      <c r="BQ11" s="4">
        <v>2.871</v>
      </c>
      <c r="BR11" s="4">
        <v>2.3620000000000001</v>
      </c>
      <c r="BS11" s="4">
        <v>2.4609999999999999</v>
      </c>
      <c r="BT11" s="4">
        <v>3.2970000000000002</v>
      </c>
      <c r="BU11" s="4">
        <v>0</v>
      </c>
      <c r="BV11" s="4">
        <v>2.7879999999999998</v>
      </c>
      <c r="BW11" s="4">
        <v>3.7629999999999999</v>
      </c>
      <c r="BX11" s="4">
        <v>2.8860000000000001</v>
      </c>
      <c r="BY11" s="4">
        <v>3.2069999999999999</v>
      </c>
      <c r="BZ11" s="55">
        <v>0</v>
      </c>
      <c r="CA11" s="55">
        <v>0</v>
      </c>
      <c r="CB11" s="55">
        <v>0</v>
      </c>
      <c r="CC11" s="55">
        <v>0</v>
      </c>
      <c r="CD11" s="55">
        <v>2.92</v>
      </c>
      <c r="CE11" s="19">
        <v>0</v>
      </c>
      <c r="CF11" s="19">
        <v>0</v>
      </c>
      <c r="CG11" s="4">
        <v>3.16</v>
      </c>
      <c r="CH11" s="4">
        <v>0</v>
      </c>
      <c r="CI11" s="4">
        <v>0</v>
      </c>
      <c r="CJ11" s="34">
        <v>3.2</v>
      </c>
      <c r="CK11" s="34">
        <v>2.5</v>
      </c>
      <c r="CL11" s="43">
        <v>4.5</v>
      </c>
      <c r="CM11" s="4">
        <v>3.4</v>
      </c>
      <c r="CN11" s="53">
        <v>4.0999999999999996</v>
      </c>
      <c r="CO11" s="54">
        <v>3.7</v>
      </c>
      <c r="CP11" s="54">
        <v>2.5</v>
      </c>
      <c r="CQ11" s="4">
        <v>3.9</v>
      </c>
    </row>
    <row r="12" spans="1:95" s="55" customFormat="1" x14ac:dyDescent="0.35">
      <c r="A12" s="55">
        <v>11</v>
      </c>
      <c r="B12" s="55" t="s">
        <v>111</v>
      </c>
      <c r="C12" s="27" t="s">
        <v>648</v>
      </c>
      <c r="D12" s="6" t="s">
        <v>88</v>
      </c>
      <c r="E12" s="33" t="s">
        <v>89</v>
      </c>
      <c r="F12" s="4">
        <f>IFERROR(AVERAGEIF(Table1[[#This Row],[2019-Apr]:[2025-July]],"&lt;&gt;0"),0)</f>
        <v>2.7332539682539676</v>
      </c>
      <c r="G12" s="4">
        <f ca="1">IFERROR(AVERAGEIF(OFFSET(Table1[[#This Row],[Status]],0,COUNT(Table1[[#This Row],[2019-May]:[2025-July]]),1,-12),"&lt;&gt;0"),0)</f>
        <v>2.4649999999999999</v>
      </c>
      <c r="H12" s="55">
        <f>IFERROR(SMALL(Table1[[#This Row],[2019-Apr]:[2025-July]],COUNTIF(Table1[[#This Row],[2019-Apr]:[2025-July]],0)+1),0)</f>
        <v>1.5980000000000001</v>
      </c>
      <c r="I12" s="55">
        <f>IFERROR(MAX(Table1[[#This Row],[2019-Apr]:[2025-July]]),0)</f>
        <v>6.3</v>
      </c>
      <c r="J12" s="4" cm="1">
        <f t="array" ref="J1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1.8538333333333332</v>
      </c>
      <c r="K12" s="4">
        <v>4.5</v>
      </c>
      <c r="L12" s="4">
        <f>IF(Table1[[#This Row],[Standard as per ISO]]&gt;=Table1[[#This Row],[Avg of best 6]],Table1[[#This Row],[Standard as per ISO]],Table1[[#This Row],[Avg of best 6]])</f>
        <v>4.5</v>
      </c>
      <c r="M12" s="4" cm="1">
        <f t="array" ref="M12">IFERROR(LOOKUP(2,1/(Table1[[#This Row],[2019-May]:[2025-July]]&lt;&gt;0),Table1[[#This Row],[2019-May]:[2025-July]]),0)</f>
        <v>2.5</v>
      </c>
      <c r="N12" s="4">
        <f>COUNTIF(Table1[[#This Row],[2019-Apr]:[2025-July]],"&gt;="&amp;Table1[[#This Row],[Target]])</f>
        <v>1</v>
      </c>
      <c r="O12" s="4">
        <f>IF(Table1[[#This Row],[Outliers 2Y]]=0,1,0)</f>
        <v>0</v>
      </c>
      <c r="P12" s="4">
        <f>IF(Table1[[#This Row],[Last value]]&gt;1.5*Table1[[#This Row],[Target]],1,0)</f>
        <v>0</v>
      </c>
      <c r="Q12" s="4">
        <f>IF(AND(1.5*Table1[[#This Row],[Target]]&gt;=Table1[[#This Row],[Last value]],Table1[[#This Row],[Last value]]&gt;Table1[[#This Row],[Target]]),1,0)</f>
        <v>0</v>
      </c>
      <c r="R12" s="4">
        <f>IF(Table1[[#This Row],[Target]]&gt;=Table1[[#This Row],[Last value]],1,0)</f>
        <v>1</v>
      </c>
      <c r="S12" s="4" t="str">
        <f t="shared" si="0"/>
        <v>Green</v>
      </c>
      <c r="T12" s="7">
        <v>0</v>
      </c>
      <c r="U12" s="7">
        <v>2.06</v>
      </c>
      <c r="V12" s="7">
        <v>2.93</v>
      </c>
      <c r="W12" s="7">
        <v>3.19</v>
      </c>
      <c r="X12" s="7">
        <v>3.3</v>
      </c>
      <c r="Y12" s="7">
        <v>2.8</v>
      </c>
      <c r="Z12" s="7">
        <v>0</v>
      </c>
      <c r="AA12" s="7">
        <v>3.38</v>
      </c>
      <c r="AB12" s="7">
        <v>3.52</v>
      </c>
      <c r="AC12" s="7">
        <v>3.17</v>
      </c>
      <c r="AD12" s="7">
        <v>3.2</v>
      </c>
      <c r="AE12" s="7">
        <v>3</v>
      </c>
      <c r="AF12" s="7">
        <v>2.9</v>
      </c>
      <c r="AG12" s="7">
        <v>2.7</v>
      </c>
      <c r="AH12" s="7">
        <v>2.5</v>
      </c>
      <c r="AI12" s="7">
        <v>3.2</v>
      </c>
      <c r="AJ12" s="7">
        <v>2.9</v>
      </c>
      <c r="AK12" s="7">
        <v>0</v>
      </c>
      <c r="AL12" s="7">
        <v>3.52</v>
      </c>
      <c r="AM12" s="7">
        <v>0</v>
      </c>
      <c r="AN12" s="7">
        <v>2.9</v>
      </c>
      <c r="AO12" s="7">
        <v>3.8</v>
      </c>
      <c r="AP12" s="7">
        <v>2.9</v>
      </c>
      <c r="AQ12" s="7">
        <v>3.56</v>
      </c>
      <c r="AR12" s="9">
        <v>2.9</v>
      </c>
      <c r="AS12" s="9">
        <v>2.99</v>
      </c>
      <c r="AT12" s="9">
        <v>3.26</v>
      </c>
      <c r="AU12" s="50">
        <v>2.63</v>
      </c>
      <c r="AV12" s="50">
        <v>3.87</v>
      </c>
      <c r="AW12" s="50">
        <v>2.94</v>
      </c>
      <c r="AX12" s="50">
        <v>3.13</v>
      </c>
      <c r="AY12" s="50">
        <v>3.19</v>
      </c>
      <c r="AZ12" s="50">
        <v>3.36</v>
      </c>
      <c r="BA12" s="50">
        <v>0</v>
      </c>
      <c r="BB12" s="50">
        <v>2.5</v>
      </c>
      <c r="BC12" s="55">
        <v>2.5</v>
      </c>
      <c r="BD12" s="55">
        <v>2</v>
      </c>
      <c r="BE12" s="11">
        <v>2.3359999999999999</v>
      </c>
      <c r="BF12" s="4">
        <v>3.1819999999999999</v>
      </c>
      <c r="BG12" s="4">
        <v>1.5980000000000001</v>
      </c>
      <c r="BH12" s="4">
        <v>1.958</v>
      </c>
      <c r="BI12" s="4">
        <v>2.0790000000000002</v>
      </c>
      <c r="BJ12" s="13">
        <v>2.0129999999999999</v>
      </c>
      <c r="BK12" s="13">
        <v>1.907</v>
      </c>
      <c r="BL12" s="4">
        <v>2.008</v>
      </c>
      <c r="BM12" s="16">
        <v>1.9359999999999999</v>
      </c>
      <c r="BN12" s="4">
        <v>2.944</v>
      </c>
      <c r="BO12" s="4">
        <v>2.871</v>
      </c>
      <c r="BP12" s="4">
        <v>1.988</v>
      </c>
      <c r="BQ12" s="4">
        <v>2.3180000000000001</v>
      </c>
      <c r="BR12" s="4">
        <v>1.901</v>
      </c>
      <c r="BS12" s="4">
        <v>2.1909999999999998</v>
      </c>
      <c r="BT12" s="4">
        <v>2.4369999999999998</v>
      </c>
      <c r="BU12" s="4">
        <v>0</v>
      </c>
      <c r="BV12" s="4">
        <v>2.35</v>
      </c>
      <c r="BW12" s="4">
        <v>2.831</v>
      </c>
      <c r="BX12" s="4">
        <v>1.873</v>
      </c>
      <c r="BY12" s="4">
        <v>1.9239999999999999</v>
      </c>
      <c r="BZ12" s="55">
        <v>0</v>
      </c>
      <c r="CA12" s="55">
        <v>0</v>
      </c>
      <c r="CB12" s="55">
        <v>0</v>
      </c>
      <c r="CC12" s="55">
        <v>2.33</v>
      </c>
      <c r="CD12" s="55">
        <v>6.3</v>
      </c>
      <c r="CE12" s="19">
        <v>0</v>
      </c>
      <c r="CF12" s="19">
        <v>0</v>
      </c>
      <c r="CG12" s="4">
        <v>1.92</v>
      </c>
      <c r="CH12" s="4">
        <v>0</v>
      </c>
      <c r="CI12" s="4">
        <v>0</v>
      </c>
      <c r="CJ12" s="34">
        <v>2.6</v>
      </c>
      <c r="CK12" s="34">
        <v>2.7</v>
      </c>
      <c r="CL12" s="43">
        <v>2.4</v>
      </c>
      <c r="CM12" s="4">
        <v>2.7</v>
      </c>
      <c r="CN12" s="53">
        <v>2.5</v>
      </c>
      <c r="CO12" s="54">
        <v>2.5</v>
      </c>
      <c r="CP12" s="54">
        <v>2.4</v>
      </c>
      <c r="CQ12" s="4">
        <v>2.5</v>
      </c>
    </row>
    <row r="13" spans="1:95" s="55" customFormat="1" x14ac:dyDescent="0.35">
      <c r="A13" s="55">
        <v>12</v>
      </c>
      <c r="B13" s="55" t="s">
        <v>111</v>
      </c>
      <c r="C13" s="27" t="s">
        <v>649</v>
      </c>
      <c r="D13" s="6" t="s">
        <v>88</v>
      </c>
      <c r="E13" s="33" t="s">
        <v>89</v>
      </c>
      <c r="F13" s="4">
        <f>IFERROR(AVERAGEIF(Table1[[#This Row],[2019-Apr]:[2025-July]],"&lt;&gt;0"),0)</f>
        <v>1.9799841269841276</v>
      </c>
      <c r="G13" s="4">
        <f ca="1">IFERROR(AVERAGEIF(OFFSET(Table1[[#This Row],[Status]],0,COUNT(Table1[[#This Row],[2019-May]:[2025-July]]),1,-12),"&lt;&gt;0"),0)</f>
        <v>1.8375000000000001</v>
      </c>
      <c r="H13" s="55">
        <f>IFERROR(SMALL(Table1[[#This Row],[2019-Apr]:[2025-July]],COUNTIF(Table1[[#This Row],[2019-Apr]:[2025-July]],0)+1),0)</f>
        <v>1.1499999999999999</v>
      </c>
      <c r="I13" s="55">
        <f>IFERROR(MAX(Table1[[#This Row],[2019-Apr]:[2025-July]]),0)</f>
        <v>3.5</v>
      </c>
      <c r="J13" s="4" cm="1">
        <f t="array" ref="J1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1.224</v>
      </c>
      <c r="K13" s="4">
        <v>4.5</v>
      </c>
      <c r="L13" s="4">
        <f>IF(Table1[[#This Row],[Standard as per ISO]]&gt;=Table1[[#This Row],[Avg of best 6]],Table1[[#This Row],[Standard as per ISO]],Table1[[#This Row],[Avg of best 6]])</f>
        <v>4.5</v>
      </c>
      <c r="M13" s="4" cm="1">
        <f t="array" ref="M13">IFERROR(LOOKUP(2,1/(Table1[[#This Row],[2019-May]:[2025-July]]&lt;&gt;0),Table1[[#This Row],[2019-May]:[2025-July]]),0)</f>
        <v>1.6</v>
      </c>
      <c r="N13" s="4">
        <f>COUNTIF(Table1[[#This Row],[2019-Apr]:[2025-July]],"&gt;="&amp;Table1[[#This Row],[Target]])</f>
        <v>0</v>
      </c>
      <c r="O13" s="4">
        <f>IF(Table1[[#This Row],[Outliers 2Y]]=0,1,0)</f>
        <v>1</v>
      </c>
      <c r="P13" s="4">
        <f>IF(Table1[[#This Row],[Last value]]&gt;1.5*Table1[[#This Row],[Target]],1,0)</f>
        <v>0</v>
      </c>
      <c r="Q13" s="4">
        <f>IF(AND(1.5*Table1[[#This Row],[Target]]&gt;=Table1[[#This Row],[Last value]],Table1[[#This Row],[Last value]]&gt;Table1[[#This Row],[Target]]),1,0)</f>
        <v>0</v>
      </c>
      <c r="R13" s="4">
        <f>IF(Table1[[#This Row],[Target]]&gt;=Table1[[#This Row],[Last value]],1,0)</f>
        <v>1</v>
      </c>
      <c r="S13" s="4" t="str">
        <f t="shared" si="0"/>
        <v>Green</v>
      </c>
      <c r="T13" s="7">
        <v>1.89</v>
      </c>
      <c r="U13" s="7">
        <v>3.09</v>
      </c>
      <c r="V13" s="7">
        <v>2.29</v>
      </c>
      <c r="W13" s="7">
        <v>2.2999999999999998</v>
      </c>
      <c r="X13" s="7">
        <v>2.9</v>
      </c>
      <c r="Y13" s="7">
        <v>1.8</v>
      </c>
      <c r="Z13" s="7">
        <v>0</v>
      </c>
      <c r="AA13" s="7">
        <v>3.2</v>
      </c>
      <c r="AB13" s="7">
        <v>2.2999999999999998</v>
      </c>
      <c r="AC13" s="7">
        <v>2.4</v>
      </c>
      <c r="AD13" s="7">
        <v>2.1</v>
      </c>
      <c r="AE13" s="7">
        <v>3</v>
      </c>
      <c r="AF13" s="7">
        <v>3.5</v>
      </c>
      <c r="AG13" s="7">
        <v>2.5</v>
      </c>
      <c r="AH13" s="7">
        <v>3</v>
      </c>
      <c r="AI13" s="7">
        <v>0</v>
      </c>
      <c r="AJ13" s="7">
        <v>2.7</v>
      </c>
      <c r="AK13" s="7">
        <v>2.4</v>
      </c>
      <c r="AL13" s="7">
        <v>2.3199999999999998</v>
      </c>
      <c r="AM13" s="7">
        <v>1.92</v>
      </c>
      <c r="AN13" s="7">
        <v>1.91</v>
      </c>
      <c r="AO13" s="7">
        <v>2.2000000000000002</v>
      </c>
      <c r="AP13" s="7">
        <v>1.8</v>
      </c>
      <c r="AQ13" s="7">
        <v>2.15</v>
      </c>
      <c r="AR13" s="9">
        <v>0</v>
      </c>
      <c r="AS13" s="9">
        <v>0</v>
      </c>
      <c r="AT13" s="9">
        <v>1.1499999999999999</v>
      </c>
      <c r="AU13" s="50">
        <v>2.08</v>
      </c>
      <c r="AV13" s="50">
        <v>1.57</v>
      </c>
      <c r="AW13" s="50">
        <v>2.14</v>
      </c>
      <c r="AX13" s="50">
        <v>1.7</v>
      </c>
      <c r="AY13" s="50">
        <v>1.8</v>
      </c>
      <c r="AZ13" s="50">
        <v>1.75</v>
      </c>
      <c r="BA13" s="50">
        <v>1.9</v>
      </c>
      <c r="BB13" s="50">
        <v>1.4</v>
      </c>
      <c r="BC13" s="55">
        <v>2.1</v>
      </c>
      <c r="BD13" s="55">
        <v>0</v>
      </c>
      <c r="BE13" s="11">
        <v>1.53</v>
      </c>
      <c r="BF13" s="4">
        <v>2.157</v>
      </c>
      <c r="BG13" s="4">
        <v>1.84</v>
      </c>
      <c r="BH13" s="4">
        <v>2.157</v>
      </c>
      <c r="BI13" s="4">
        <v>1.633</v>
      </c>
      <c r="BJ13" s="14">
        <v>2.3130000000000002</v>
      </c>
      <c r="BK13" s="14">
        <v>1.798</v>
      </c>
      <c r="BL13" s="4">
        <v>2.1880000000000002</v>
      </c>
      <c r="BM13" s="17">
        <v>1.647</v>
      </c>
      <c r="BN13" s="4">
        <v>1.4410000000000001</v>
      </c>
      <c r="BO13" s="4">
        <v>1.1910000000000001</v>
      </c>
      <c r="BP13" s="4">
        <v>1.218</v>
      </c>
      <c r="BQ13" s="4">
        <v>1.4630000000000001</v>
      </c>
      <c r="BR13" s="4">
        <v>1.4219999999999999</v>
      </c>
      <c r="BS13" s="4">
        <v>1.3109999999999999</v>
      </c>
      <c r="BT13" s="4">
        <v>1.5669999999999999</v>
      </c>
      <c r="BU13" s="4">
        <v>2.0760000000000001</v>
      </c>
      <c r="BV13" s="4">
        <v>1.5009999999999999</v>
      </c>
      <c r="BW13" s="4">
        <v>1.274</v>
      </c>
      <c r="BX13" s="4">
        <v>1.4139999999999999</v>
      </c>
      <c r="BY13" s="4">
        <v>1.6679999999999999</v>
      </c>
      <c r="BZ13" s="55">
        <v>0</v>
      </c>
      <c r="CA13" s="55">
        <v>0</v>
      </c>
      <c r="CB13" s="55">
        <v>0</v>
      </c>
      <c r="CC13" s="55">
        <v>2.37</v>
      </c>
      <c r="CD13" s="55">
        <v>0</v>
      </c>
      <c r="CE13" s="19">
        <v>0</v>
      </c>
      <c r="CF13" s="19">
        <v>1.9</v>
      </c>
      <c r="CG13" s="4">
        <v>0</v>
      </c>
      <c r="CH13" s="4">
        <v>0</v>
      </c>
      <c r="CI13" s="4">
        <v>0</v>
      </c>
      <c r="CJ13" s="34">
        <v>1.2</v>
      </c>
      <c r="CK13" s="34">
        <v>1.4</v>
      </c>
      <c r="CL13" s="43">
        <v>1.4</v>
      </c>
      <c r="CM13" s="4">
        <v>1.9</v>
      </c>
      <c r="CN13" s="53">
        <v>2.5</v>
      </c>
      <c r="CO13" s="54">
        <v>1.9</v>
      </c>
      <c r="CP13" s="54">
        <v>2.5</v>
      </c>
      <c r="CQ13" s="4">
        <v>1.6</v>
      </c>
    </row>
    <row r="14" spans="1:95" s="55" customFormat="1" x14ac:dyDescent="0.35">
      <c r="A14" s="55">
        <v>13</v>
      </c>
      <c r="B14" s="55" t="s">
        <v>111</v>
      </c>
      <c r="C14" s="27" t="s">
        <v>650</v>
      </c>
      <c r="D14" s="6" t="s">
        <v>88</v>
      </c>
      <c r="E14" s="33" t="s">
        <v>91</v>
      </c>
      <c r="F14" s="4">
        <f>IFERROR(AVERAGEIF(Table1[[#This Row],[2019-Apr]:[2025-July]],"&lt;&gt;0"),0)</f>
        <v>1.3985849056603774</v>
      </c>
      <c r="G14" s="4">
        <f ca="1">IFERROR(AVERAGEIF(OFFSET(Table1[[#This Row],[Status]],0,COUNT(Table1[[#This Row],[2019-May]:[2025-July]]),1,-12),"&lt;&gt;0"),0)</f>
        <v>0.9</v>
      </c>
      <c r="H14" s="55">
        <f>IFERROR(SMALL(Table1[[#This Row],[2019-Apr]:[2025-July]],COUNTIF(Table1[[#This Row],[2019-Apr]:[2025-July]],0)+1),0)</f>
        <v>0.76500000000000001</v>
      </c>
      <c r="I14" s="55">
        <f>IFERROR(MAX(Table1[[#This Row],[2019-Apr]:[2025-July]]),0)</f>
        <v>2.6</v>
      </c>
      <c r="J14" s="4" cm="1">
        <f t="array" ref="J1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0.86333333333333329</v>
      </c>
      <c r="K14" s="4">
        <v>4.5</v>
      </c>
      <c r="L14" s="4">
        <f>IF(Table1[[#This Row],[Standard as per ISO]]&gt;=Table1[[#This Row],[Avg of best 6]],Table1[[#This Row],[Standard as per ISO]],Table1[[#This Row],[Avg of best 6]])</f>
        <v>4.5</v>
      </c>
      <c r="M14" s="4" cm="1">
        <f t="array" ref="M14">IFERROR(LOOKUP(2,1/(Table1[[#This Row],[2019-May]:[2025-July]]&lt;&gt;0),Table1[[#This Row],[2019-May]:[2025-July]]),0)</f>
        <v>0.9</v>
      </c>
      <c r="N14" s="4">
        <f>COUNTIF(Table1[[#This Row],[2019-Apr]:[2025-July]],"&gt;="&amp;Table1[[#This Row],[Target]])</f>
        <v>0</v>
      </c>
      <c r="O14" s="4">
        <f>IF(Table1[[#This Row],[Outliers 2Y]]=0,1,0)</f>
        <v>1</v>
      </c>
      <c r="P14" s="4">
        <f>IF(Table1[[#This Row],[Last value]]&gt;1.5*Table1[[#This Row],[Target]],1,0)</f>
        <v>0</v>
      </c>
      <c r="Q14" s="4">
        <f>IF(AND(1.5*Table1[[#This Row],[Target]]&gt;=Table1[[#This Row],[Last value]],Table1[[#This Row],[Last value]]&gt;Table1[[#This Row],[Target]]),1,0)</f>
        <v>0</v>
      </c>
      <c r="R14" s="4">
        <f>IF(Table1[[#This Row],[Target]]&gt;=Table1[[#This Row],[Last value]],1,0)</f>
        <v>1</v>
      </c>
      <c r="S14" s="4" t="str">
        <f t="shared" si="0"/>
        <v>Green</v>
      </c>
      <c r="T14" s="7">
        <v>1.41</v>
      </c>
      <c r="U14" s="7">
        <v>1.76</v>
      </c>
      <c r="V14" s="7">
        <v>1.2</v>
      </c>
      <c r="W14" s="7">
        <v>2.6</v>
      </c>
      <c r="X14" s="7">
        <v>1.91</v>
      </c>
      <c r="Y14" s="7">
        <v>2</v>
      </c>
      <c r="Z14" s="7">
        <v>0</v>
      </c>
      <c r="AA14" s="7">
        <v>1.3</v>
      </c>
      <c r="AB14" s="7">
        <v>1.34</v>
      </c>
      <c r="AC14" s="7">
        <v>1.2</v>
      </c>
      <c r="AD14" s="7">
        <v>2.1</v>
      </c>
      <c r="AE14" s="7">
        <v>2</v>
      </c>
      <c r="AF14" s="7">
        <v>0</v>
      </c>
      <c r="AG14" s="7">
        <v>1</v>
      </c>
      <c r="AH14" s="7">
        <v>1.3</v>
      </c>
      <c r="AI14" s="7">
        <v>1.51</v>
      </c>
      <c r="AJ14" s="7">
        <v>0</v>
      </c>
      <c r="AK14" s="7">
        <v>0</v>
      </c>
      <c r="AL14" s="7">
        <v>1.1399999999999999</v>
      </c>
      <c r="AM14" s="7">
        <v>0</v>
      </c>
      <c r="AN14" s="7">
        <v>0.79</v>
      </c>
      <c r="AO14" s="7">
        <v>1.59</v>
      </c>
      <c r="AP14" s="7">
        <v>1.3</v>
      </c>
      <c r="AQ14" s="7">
        <v>1.51</v>
      </c>
      <c r="AR14" s="9">
        <v>1.5</v>
      </c>
      <c r="AS14" s="9">
        <v>1.23</v>
      </c>
      <c r="AT14" s="9">
        <v>0.95199999999999996</v>
      </c>
      <c r="AU14" s="50">
        <v>1.4</v>
      </c>
      <c r="AV14" s="50">
        <v>1.22</v>
      </c>
      <c r="AW14" s="50">
        <v>1.6</v>
      </c>
      <c r="AX14" s="50">
        <v>1.73</v>
      </c>
      <c r="AY14" s="50">
        <v>1.76</v>
      </c>
      <c r="AZ14" s="50">
        <v>0</v>
      </c>
      <c r="BA14" s="50">
        <v>2</v>
      </c>
      <c r="BB14" s="50">
        <v>1.3</v>
      </c>
      <c r="BC14" s="55">
        <v>1.1000000000000001</v>
      </c>
      <c r="BD14" s="55">
        <v>0</v>
      </c>
      <c r="BE14" s="11">
        <v>1.3560000000000001</v>
      </c>
      <c r="BF14" s="4">
        <v>2.2029999999999998</v>
      </c>
      <c r="BG14" s="4">
        <v>1.155</v>
      </c>
      <c r="BH14" s="4">
        <v>1.3720000000000001</v>
      </c>
      <c r="BI14" s="4">
        <v>1.6</v>
      </c>
      <c r="BJ14" s="13">
        <v>1.0389999999999999</v>
      </c>
      <c r="BK14" s="13">
        <v>0.93200000000000005</v>
      </c>
      <c r="BL14" s="4">
        <v>1.0449999999999999</v>
      </c>
      <c r="BM14" s="16">
        <v>1.32</v>
      </c>
      <c r="BN14" s="4">
        <v>1.464</v>
      </c>
      <c r="BO14" s="4">
        <v>1.571</v>
      </c>
      <c r="BP14" s="4">
        <v>1.194</v>
      </c>
      <c r="BQ14" s="4">
        <v>0</v>
      </c>
      <c r="BR14" s="4">
        <v>1.1839999999999999</v>
      </c>
      <c r="BS14" s="4">
        <v>0.96499999999999997</v>
      </c>
      <c r="BT14" s="4">
        <v>0.76500000000000001</v>
      </c>
      <c r="BU14" s="4">
        <v>1.02</v>
      </c>
      <c r="BV14" s="4">
        <v>1.22</v>
      </c>
      <c r="BW14" s="4">
        <v>1.1930000000000001</v>
      </c>
      <c r="BX14" s="4">
        <v>0.84099999999999997</v>
      </c>
      <c r="BY14" s="4">
        <v>0.99399999999999999</v>
      </c>
      <c r="BZ14" s="55">
        <v>1.55</v>
      </c>
      <c r="CA14" s="55">
        <v>0</v>
      </c>
      <c r="CB14" s="55">
        <v>0</v>
      </c>
      <c r="CC14" s="55">
        <v>2.4900000000000002</v>
      </c>
      <c r="CD14" s="55">
        <v>0</v>
      </c>
      <c r="CE14" s="19">
        <v>0</v>
      </c>
      <c r="CF14" s="19">
        <v>0.9</v>
      </c>
      <c r="CG14" s="4">
        <v>0</v>
      </c>
      <c r="CH14" s="4">
        <v>0</v>
      </c>
      <c r="CI14" s="4">
        <v>0</v>
      </c>
      <c r="CJ14" s="34">
        <v>0</v>
      </c>
      <c r="CK14" s="34">
        <v>0</v>
      </c>
      <c r="CL14" s="34">
        <v>0</v>
      </c>
      <c r="CM14" s="4">
        <v>0</v>
      </c>
      <c r="CN14" s="53">
        <v>0</v>
      </c>
      <c r="CO14" s="54">
        <v>0</v>
      </c>
      <c r="CP14" s="54">
        <v>0</v>
      </c>
      <c r="CQ14" s="4">
        <v>0</v>
      </c>
    </row>
    <row r="15" spans="1:95" s="55" customFormat="1" x14ac:dyDescent="0.35">
      <c r="A15" s="55">
        <v>14</v>
      </c>
      <c r="B15" s="55" t="s">
        <v>111</v>
      </c>
      <c r="C15" s="27" t="s">
        <v>651</v>
      </c>
      <c r="D15" s="6" t="s">
        <v>88</v>
      </c>
      <c r="E15" s="33" t="s">
        <v>91</v>
      </c>
      <c r="F15" s="4">
        <f>IFERROR(AVERAGEIF(Table1[[#This Row],[2019-Apr]:[2025-July]],"&lt;&gt;0"),0)</f>
        <v>1.9701724137931034</v>
      </c>
      <c r="G15" s="4">
        <f ca="1">IFERROR(AVERAGEIF(OFFSET(Table1[[#This Row],[Status]],0,COUNT(Table1[[#This Row],[2019-May]:[2025-July]]),1,-12),"&lt;&gt;0"),0)</f>
        <v>0.9</v>
      </c>
      <c r="H15" s="55">
        <f>IFERROR(SMALL(Table1[[#This Row],[2019-Apr]:[2025-July]],COUNTIF(Table1[[#This Row],[2019-Apr]:[2025-July]],0)+1),0)</f>
        <v>0.76900000000000002</v>
      </c>
      <c r="I15" s="55">
        <f>IFERROR(MAX(Table1[[#This Row],[2019-Apr]:[2025-July]]),0)</f>
        <v>5.26</v>
      </c>
      <c r="J15" s="4" cm="1">
        <f t="array" ref="J1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0.89</v>
      </c>
      <c r="K15" s="4">
        <v>4.5</v>
      </c>
      <c r="L15" s="4">
        <f>IF(Table1[[#This Row],[Standard as per ISO]]&gt;=Table1[[#This Row],[Avg of best 6]],Table1[[#This Row],[Standard as per ISO]],Table1[[#This Row],[Avg of best 6]])</f>
        <v>4.5</v>
      </c>
      <c r="M15" s="4" cm="1">
        <f t="array" ref="M15">IFERROR(LOOKUP(2,1/(Table1[[#This Row],[2019-May]:[2025-July]]&lt;&gt;0),Table1[[#This Row],[2019-May]:[2025-July]]),0)</f>
        <v>0.9</v>
      </c>
      <c r="N15" s="4">
        <f>COUNTIF(Table1[[#This Row],[2019-Apr]:[2025-July]],"&gt;="&amp;Table1[[#This Row],[Target]])</f>
        <v>2</v>
      </c>
      <c r="O15" s="4">
        <f>IF(Table1[[#This Row],[Outliers 2Y]]=0,1,0)</f>
        <v>0</v>
      </c>
      <c r="P15" s="4">
        <f>IF(Table1[[#This Row],[Last value]]&gt;1.5*Table1[[#This Row],[Target]],1,0)</f>
        <v>0</v>
      </c>
      <c r="Q15" s="4">
        <f>IF(AND(1.5*Table1[[#This Row],[Target]]&gt;=Table1[[#This Row],[Last value]],Table1[[#This Row],[Last value]]&gt;Table1[[#This Row],[Target]]),1,0)</f>
        <v>0</v>
      </c>
      <c r="R15" s="4">
        <f>IF(Table1[[#This Row],[Target]]&gt;=Table1[[#This Row],[Last value]],1,0)</f>
        <v>1</v>
      </c>
      <c r="S15" s="4" t="str">
        <f t="shared" si="0"/>
        <v>Green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1.38</v>
      </c>
      <c r="AQ15" s="7">
        <v>1.87</v>
      </c>
      <c r="AR15" s="9">
        <v>1.58</v>
      </c>
      <c r="AS15" s="9">
        <v>2.81</v>
      </c>
      <c r="AT15" s="9">
        <v>0</v>
      </c>
      <c r="AU15" s="50">
        <v>0</v>
      </c>
      <c r="AV15" s="50">
        <v>5.26</v>
      </c>
      <c r="AW15" s="50">
        <v>0</v>
      </c>
      <c r="AX15" s="50">
        <v>0</v>
      </c>
      <c r="AY15" s="50">
        <v>5.14</v>
      </c>
      <c r="AZ15" s="50">
        <v>1.9</v>
      </c>
      <c r="BA15" s="50">
        <v>1.5</v>
      </c>
      <c r="BB15" s="50">
        <v>0</v>
      </c>
      <c r="BC15" s="55">
        <v>1.3</v>
      </c>
      <c r="BD15" s="55">
        <v>0</v>
      </c>
      <c r="BE15" s="11">
        <v>1.123</v>
      </c>
      <c r="BF15" s="4">
        <v>0</v>
      </c>
      <c r="BG15" s="4">
        <v>0</v>
      </c>
      <c r="BH15" s="4">
        <v>1.353</v>
      </c>
      <c r="BI15" s="4">
        <v>1.353</v>
      </c>
      <c r="BJ15" s="14">
        <v>1.5680000000000001</v>
      </c>
      <c r="BK15" s="14">
        <v>1.1000000000000001</v>
      </c>
      <c r="BL15" s="4">
        <v>1.125</v>
      </c>
      <c r="BM15" s="17">
        <v>0.76900000000000002</v>
      </c>
      <c r="BN15" s="4">
        <v>2.6419999999999999</v>
      </c>
      <c r="BO15" s="4">
        <v>2.8370000000000002</v>
      </c>
      <c r="BP15" s="4">
        <v>3.1840000000000002</v>
      </c>
      <c r="BQ15" s="4">
        <v>0</v>
      </c>
      <c r="BR15" s="4">
        <v>1.3009999999999999</v>
      </c>
      <c r="BS15" s="4">
        <v>0.84</v>
      </c>
      <c r="BT15" s="4">
        <v>2.0019999999999998</v>
      </c>
      <c r="BU15" s="4">
        <v>2.3929999999999998</v>
      </c>
      <c r="BV15" s="4">
        <v>3.1379999999999999</v>
      </c>
      <c r="BW15" s="4">
        <v>2.468</v>
      </c>
      <c r="BX15" s="4">
        <v>2.5680000000000001</v>
      </c>
      <c r="BY15" s="4">
        <v>0.86099999999999999</v>
      </c>
      <c r="BZ15" s="55">
        <v>0</v>
      </c>
      <c r="CA15" s="55">
        <v>0</v>
      </c>
      <c r="CB15" s="55">
        <v>0</v>
      </c>
      <c r="CC15" s="55">
        <v>0.87</v>
      </c>
      <c r="CD15" s="55">
        <v>0</v>
      </c>
      <c r="CE15" s="19">
        <v>0</v>
      </c>
      <c r="CF15" s="19">
        <v>0.9</v>
      </c>
      <c r="CG15" s="4">
        <v>0</v>
      </c>
      <c r="CH15" s="4">
        <v>0</v>
      </c>
      <c r="CI15" s="4">
        <v>0</v>
      </c>
      <c r="CJ15" s="34">
        <v>0</v>
      </c>
      <c r="CK15" s="34">
        <v>0</v>
      </c>
      <c r="CL15" s="34">
        <v>0</v>
      </c>
      <c r="CM15" s="4">
        <v>0</v>
      </c>
      <c r="CN15" s="53">
        <v>0</v>
      </c>
      <c r="CO15" s="54">
        <v>0</v>
      </c>
      <c r="CP15" s="54">
        <v>0</v>
      </c>
      <c r="CQ15" s="4">
        <v>0</v>
      </c>
    </row>
    <row r="16" spans="1:95" s="55" customFormat="1" x14ac:dyDescent="0.35">
      <c r="A16" s="55">
        <v>15</v>
      </c>
      <c r="B16" s="55" t="s">
        <v>111</v>
      </c>
      <c r="C16" s="27" t="s">
        <v>652</v>
      </c>
      <c r="D16" s="6" t="s">
        <v>88</v>
      </c>
      <c r="E16" s="33" t="s">
        <v>91</v>
      </c>
      <c r="F16" s="4">
        <f>IFERROR(AVERAGEIF(Table1[[#This Row],[2019-Apr]:[2025-July]],"&lt;&gt;0"),0)</f>
        <v>7.2811794871794859</v>
      </c>
      <c r="G16" s="4">
        <f ca="1">IFERROR(AVERAGEIF(OFFSET(Table1[[#This Row],[Status]],0,COUNT(Table1[[#This Row],[2019-May]:[2025-July]]),1,-12),"&lt;&gt;0"),0)</f>
        <v>8.3000000000000007</v>
      </c>
      <c r="H16" s="55">
        <f>IFERROR(SMALL(Table1[[#This Row],[2019-Apr]:[2025-July]],COUNTIF(Table1[[#This Row],[2019-Apr]:[2025-July]],0)+1),0)</f>
        <v>2.3279999999999998</v>
      </c>
      <c r="I16" s="55">
        <f>IFERROR(MAX(Table1[[#This Row],[2019-Apr]:[2025-July]]),0)</f>
        <v>13.2</v>
      </c>
      <c r="J16" s="4" cm="1">
        <f t="array" ref="J1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3.3951666666666664</v>
      </c>
      <c r="K16" s="4">
        <v>4.5</v>
      </c>
      <c r="L16" s="4">
        <f>IF(Table1[[#This Row],[Standard as per ISO]]&gt;=Table1[[#This Row],[Avg of best 6]],Table1[[#This Row],[Standard as per ISO]],Table1[[#This Row],[Avg of best 6]])</f>
        <v>4.5</v>
      </c>
      <c r="M16" s="4" cm="1">
        <f t="array" ref="M16">IFERROR(LOOKUP(2,1/(Table1[[#This Row],[2019-May]:[2025-July]]&lt;&gt;0),Table1[[#This Row],[2019-May]:[2025-July]]),0)</f>
        <v>4.9000000000000004</v>
      </c>
      <c r="N16" s="4">
        <f>COUNTIF(Table1[[#This Row],[2019-Apr]:[2025-July]],"&gt;="&amp;Table1[[#This Row],[Target]])</f>
        <v>28</v>
      </c>
      <c r="O16" s="4">
        <f>IF(Table1[[#This Row],[Outliers 2Y]]=0,1,0)</f>
        <v>0</v>
      </c>
      <c r="P16" s="4">
        <f>IF(Table1[[#This Row],[Last value]]&gt;1.5*Table1[[#This Row],[Target]],1,0)</f>
        <v>0</v>
      </c>
      <c r="Q16" s="4">
        <f>IF(AND(1.5*Table1[[#This Row],[Target]]&gt;=Table1[[#This Row],[Last value]],Table1[[#This Row],[Last value]]&gt;Table1[[#This Row],[Target]]),1,0)</f>
        <v>1</v>
      </c>
      <c r="R16" s="4">
        <f>IF(Table1[[#This Row],[Target]]&gt;=Table1[[#This Row],[Last value]],1,0)</f>
        <v>0</v>
      </c>
      <c r="S16" s="4" t="str">
        <f t="shared" si="0"/>
        <v>Yellow</v>
      </c>
      <c r="T16" s="7">
        <v>0</v>
      </c>
      <c r="U16" s="7">
        <v>0</v>
      </c>
      <c r="V16" s="7">
        <v>13.2</v>
      </c>
      <c r="W16" s="7">
        <v>7.2</v>
      </c>
      <c r="X16" s="7">
        <v>10.6</v>
      </c>
      <c r="Y16" s="7">
        <v>0</v>
      </c>
      <c r="Z16" s="7">
        <v>8.4499999999999993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7.9</v>
      </c>
      <c r="AP16" s="7">
        <v>8.73</v>
      </c>
      <c r="AQ16" s="7">
        <v>9.68</v>
      </c>
      <c r="AR16" s="9">
        <v>6.49</v>
      </c>
      <c r="AS16" s="9">
        <v>6.96</v>
      </c>
      <c r="AT16" s="9">
        <v>8.92</v>
      </c>
      <c r="AU16" s="50">
        <v>8.83</v>
      </c>
      <c r="AV16" s="50">
        <v>7.54</v>
      </c>
      <c r="AW16" s="50">
        <v>7.69</v>
      </c>
      <c r="AX16" s="50">
        <v>9.9700000000000006</v>
      </c>
      <c r="AY16" s="50">
        <v>6.77</v>
      </c>
      <c r="AZ16" s="50">
        <v>7.85</v>
      </c>
      <c r="BA16" s="50">
        <v>7.1</v>
      </c>
      <c r="BB16" s="50">
        <v>0</v>
      </c>
      <c r="BC16" s="55">
        <v>9.8000000000000007</v>
      </c>
      <c r="BD16" s="55">
        <v>0</v>
      </c>
      <c r="BE16" s="11">
        <v>10.11</v>
      </c>
      <c r="BF16" s="4">
        <v>0</v>
      </c>
      <c r="BG16" s="4">
        <v>0</v>
      </c>
      <c r="BH16" s="4">
        <v>8.9260000000000002</v>
      </c>
      <c r="BI16" s="4">
        <v>9.6560000000000006</v>
      </c>
      <c r="BJ16" s="13">
        <v>10.42</v>
      </c>
      <c r="BK16" s="13">
        <v>11.66</v>
      </c>
      <c r="BL16" s="4">
        <v>6.6420000000000003</v>
      </c>
      <c r="BM16" s="16">
        <v>3.8029999999999999</v>
      </c>
      <c r="BN16" s="4">
        <v>4.3540000000000001</v>
      </c>
      <c r="BO16" s="4">
        <v>3.9009999999999998</v>
      </c>
      <c r="BP16" s="4">
        <v>4.4550000000000001</v>
      </c>
      <c r="BQ16" s="4">
        <v>0</v>
      </c>
      <c r="BR16" s="4">
        <v>4.3659999999999997</v>
      </c>
      <c r="BS16" s="4">
        <v>2.3279999999999998</v>
      </c>
      <c r="BT16" s="4">
        <v>3.5409999999999999</v>
      </c>
      <c r="BU16" s="4">
        <v>2.8439999999999999</v>
      </c>
      <c r="BV16" s="4">
        <v>3.9540000000000002</v>
      </c>
      <c r="BW16" s="4">
        <v>4.3120000000000003</v>
      </c>
      <c r="BX16" s="4">
        <v>0</v>
      </c>
      <c r="BY16" s="4">
        <v>4.4340000000000002</v>
      </c>
      <c r="BZ16" s="55">
        <v>0</v>
      </c>
      <c r="CA16" s="55">
        <v>0</v>
      </c>
      <c r="CB16" s="55">
        <v>0</v>
      </c>
      <c r="CC16" s="55">
        <v>9.08</v>
      </c>
      <c r="CD16" s="55">
        <v>0</v>
      </c>
      <c r="CE16" s="19">
        <v>9.3000000000000007</v>
      </c>
      <c r="CF16" s="19">
        <v>7.3</v>
      </c>
      <c r="CG16" s="4">
        <v>0</v>
      </c>
      <c r="CH16" s="4">
        <v>0</v>
      </c>
      <c r="CI16" s="4">
        <v>0</v>
      </c>
      <c r="CJ16" s="34">
        <v>0</v>
      </c>
      <c r="CK16" s="34">
        <v>0</v>
      </c>
      <c r="CL16" s="34">
        <v>0</v>
      </c>
      <c r="CM16" s="4">
        <v>0</v>
      </c>
      <c r="CN16" s="53">
        <v>0</v>
      </c>
      <c r="CO16" s="54">
        <v>0</v>
      </c>
      <c r="CP16" s="54">
        <v>0</v>
      </c>
      <c r="CQ16" s="4">
        <v>4.9000000000000004</v>
      </c>
    </row>
    <row r="17" spans="1:95" s="55" customFormat="1" x14ac:dyDescent="0.35">
      <c r="A17" s="55">
        <v>16</v>
      </c>
      <c r="B17" s="55" t="s">
        <v>111</v>
      </c>
      <c r="C17" s="27" t="s">
        <v>653</v>
      </c>
      <c r="D17" s="6" t="s">
        <v>88</v>
      </c>
      <c r="E17" s="33" t="s">
        <v>91</v>
      </c>
      <c r="F17" s="4">
        <f>IFERROR(AVERAGEIF(Table1[[#This Row],[2019-Apr]:[2025-July]],"&lt;&gt;0"),0)</f>
        <v>8.4279090909090861</v>
      </c>
      <c r="G17" s="4">
        <f ca="1">IFERROR(AVERAGEIF(OFFSET(Table1[[#This Row],[Status]],0,COUNT(Table1[[#This Row],[2019-May]:[2025-July]]),1,-12),"&lt;&gt;0"),0)</f>
        <v>5.8</v>
      </c>
      <c r="H17" s="55">
        <f>IFERROR(SMALL(Table1[[#This Row],[2019-Apr]:[2025-July]],COUNTIF(Table1[[#This Row],[2019-Apr]:[2025-July]],0)+1),0)</f>
        <v>4</v>
      </c>
      <c r="I17" s="55">
        <f>IFERROR(MAX(Table1[[#This Row],[2019-Apr]:[2025-July]]),0)</f>
        <v>17.100000000000001</v>
      </c>
      <c r="J17" s="4" cm="1">
        <f t="array" ref="J1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4.8028333333333331</v>
      </c>
      <c r="K17" s="4">
        <v>4.5</v>
      </c>
      <c r="L17" s="4">
        <f>IF(Table1[[#This Row],[Standard as per ISO]]&gt;=Table1[[#This Row],[Avg of best 6]],Table1[[#This Row],[Standard as per ISO]],Table1[[#This Row],[Avg of best 6]])</f>
        <v>4.8028333333333331</v>
      </c>
      <c r="M17" s="4" cm="1">
        <f t="array" ref="M17">IFERROR(LOOKUP(2,1/(Table1[[#This Row],[2019-May]:[2025-July]]&lt;&gt;0),Table1[[#This Row],[2019-May]:[2025-July]]),0)</f>
        <v>5.9</v>
      </c>
      <c r="N17" s="4">
        <f>COUNTIF(Table1[[#This Row],[2019-Apr]:[2025-July]],"&gt;="&amp;Table1[[#This Row],[Target]])</f>
        <v>52</v>
      </c>
      <c r="O17" s="4">
        <f>IF(Table1[[#This Row],[Outliers 2Y]]=0,1,0)</f>
        <v>0</v>
      </c>
      <c r="P17" s="4">
        <f>IF(Table1[[#This Row],[Last value]]&gt;1.5*Table1[[#This Row],[Target]],1,0)</f>
        <v>0</v>
      </c>
      <c r="Q17" s="4">
        <f>IF(AND(1.5*Table1[[#This Row],[Target]]&gt;=Table1[[#This Row],[Last value]],Table1[[#This Row],[Last value]]&gt;Table1[[#This Row],[Target]]),1,0)</f>
        <v>1</v>
      </c>
      <c r="R17" s="4">
        <f>IF(Table1[[#This Row],[Target]]&gt;=Table1[[#This Row],[Last value]],1,0)</f>
        <v>0</v>
      </c>
      <c r="S17" s="4" t="str">
        <f t="shared" si="0"/>
        <v>Yellow</v>
      </c>
      <c r="T17" s="7">
        <v>0</v>
      </c>
      <c r="U17" s="7">
        <v>6.76</v>
      </c>
      <c r="V17" s="7">
        <v>8.43</v>
      </c>
      <c r="W17" s="7">
        <v>9.51</v>
      </c>
      <c r="X17" s="7">
        <v>12.5</v>
      </c>
      <c r="Y17" s="7">
        <v>8.6999999999999993</v>
      </c>
      <c r="Z17" s="7">
        <v>0</v>
      </c>
      <c r="AA17" s="7">
        <v>0</v>
      </c>
      <c r="AB17" s="7">
        <v>11</v>
      </c>
      <c r="AC17" s="7">
        <v>0</v>
      </c>
      <c r="AD17" s="7">
        <v>9.7200000000000006</v>
      </c>
      <c r="AE17" s="7">
        <v>8.3000000000000007</v>
      </c>
      <c r="AF17" s="7">
        <v>9.4</v>
      </c>
      <c r="AG17" s="7">
        <v>9.6999999999999993</v>
      </c>
      <c r="AH17" s="7">
        <v>4</v>
      </c>
      <c r="AI17" s="7">
        <v>4.53</v>
      </c>
      <c r="AJ17" s="7">
        <v>0</v>
      </c>
      <c r="AK17" s="7">
        <v>6.5</v>
      </c>
      <c r="AL17" s="7">
        <v>7.37</v>
      </c>
      <c r="AM17" s="7">
        <v>7.36</v>
      </c>
      <c r="AN17" s="7">
        <v>8.43</v>
      </c>
      <c r="AO17" s="7">
        <v>6</v>
      </c>
      <c r="AP17" s="7">
        <v>6.78</v>
      </c>
      <c r="AQ17" s="7">
        <v>8.1300000000000008</v>
      </c>
      <c r="AR17" s="9">
        <v>0</v>
      </c>
      <c r="AS17" s="9">
        <v>7.95</v>
      </c>
      <c r="AT17" s="9">
        <v>6.88</v>
      </c>
      <c r="AU17" s="50">
        <v>8.64</v>
      </c>
      <c r="AV17" s="50">
        <v>17.100000000000001</v>
      </c>
      <c r="AW17" s="50">
        <v>12.3</v>
      </c>
      <c r="AX17" s="50">
        <v>12.1</v>
      </c>
      <c r="AY17" s="50">
        <v>10.7</v>
      </c>
      <c r="AZ17" s="50">
        <v>0</v>
      </c>
      <c r="BA17" s="50">
        <v>8.1999999999999993</v>
      </c>
      <c r="BB17" s="50">
        <v>11.5</v>
      </c>
      <c r="BC17" s="55">
        <v>10.9</v>
      </c>
      <c r="BD17" s="55">
        <v>0</v>
      </c>
      <c r="BE17" s="11">
        <v>12.76</v>
      </c>
      <c r="BF17" s="4">
        <v>12.76</v>
      </c>
      <c r="BG17" s="4">
        <v>12.74</v>
      </c>
      <c r="BH17" s="4">
        <v>12.73</v>
      </c>
      <c r="BI17" s="4">
        <v>5.76</v>
      </c>
      <c r="BJ17" s="14">
        <v>6.52</v>
      </c>
      <c r="BK17" s="14">
        <v>8.2319999999999993</v>
      </c>
      <c r="BL17" s="4">
        <v>8.3079999999999998</v>
      </c>
      <c r="BM17" s="17">
        <v>5.008</v>
      </c>
      <c r="BN17" s="4">
        <v>5.5789999999999997</v>
      </c>
      <c r="BO17" s="4">
        <v>7.1470000000000002</v>
      </c>
      <c r="BP17" s="4">
        <v>0</v>
      </c>
      <c r="BQ17" s="4">
        <v>0</v>
      </c>
      <c r="BR17" s="4">
        <v>6.2439999999999998</v>
      </c>
      <c r="BS17" s="4">
        <v>6.7649999999999997</v>
      </c>
      <c r="BT17" s="4">
        <v>7.0220000000000002</v>
      </c>
      <c r="BU17" s="4">
        <v>8.5129999999999999</v>
      </c>
      <c r="BV17" s="4">
        <v>9.3420000000000005</v>
      </c>
      <c r="BW17" s="4">
        <v>7.226</v>
      </c>
      <c r="BX17" s="4">
        <v>7.7960000000000003</v>
      </c>
      <c r="BY17" s="4">
        <v>6.5730000000000004</v>
      </c>
      <c r="BZ17" s="55">
        <v>0</v>
      </c>
      <c r="CA17" s="55">
        <v>8.34</v>
      </c>
      <c r="CB17" s="55">
        <v>7.26</v>
      </c>
      <c r="CC17" s="55">
        <v>0</v>
      </c>
      <c r="CD17" s="55">
        <v>8.2200000000000006</v>
      </c>
      <c r="CE17" s="19">
        <v>4.2</v>
      </c>
      <c r="CF17" s="19">
        <v>7.7</v>
      </c>
      <c r="CG17" s="4">
        <v>0</v>
      </c>
      <c r="CH17" s="4">
        <v>0</v>
      </c>
      <c r="CI17" s="4">
        <v>0</v>
      </c>
      <c r="CJ17" s="34">
        <v>0</v>
      </c>
      <c r="CK17" s="34">
        <v>0</v>
      </c>
      <c r="CL17" s="34">
        <v>0</v>
      </c>
      <c r="CM17" s="4">
        <v>0</v>
      </c>
      <c r="CN17" s="53">
        <v>0</v>
      </c>
      <c r="CO17" s="54">
        <v>0</v>
      </c>
      <c r="CP17" s="54">
        <v>5.5</v>
      </c>
      <c r="CQ17" s="4">
        <v>5.9</v>
      </c>
    </row>
    <row r="18" spans="1:95" s="55" customFormat="1" x14ac:dyDescent="0.35">
      <c r="A18" s="55">
        <v>17</v>
      </c>
      <c r="B18" s="55" t="s">
        <v>111</v>
      </c>
      <c r="C18" s="27" t="s">
        <v>654</v>
      </c>
      <c r="D18" s="6" t="s">
        <v>88</v>
      </c>
      <c r="E18" s="33" t="s">
        <v>89</v>
      </c>
      <c r="F18" s="4">
        <f>IFERROR(AVERAGEIF(Table1[[#This Row],[2019-Apr]:[2025-July]],"&lt;&gt;0"),0)</f>
        <v>4.6340645161290306</v>
      </c>
      <c r="G18" s="4">
        <f ca="1">IFERROR(AVERAGEIF(OFFSET(Table1[[#This Row],[Status]],0,COUNT(Table1[[#This Row],[2019-May]:[2025-July]]),1,-12),"&lt;&gt;0"),0)</f>
        <v>3.9500000000000006</v>
      </c>
      <c r="H18" s="55">
        <f>IFERROR(SMALL(Table1[[#This Row],[2019-Apr]:[2025-July]],COUNTIF(Table1[[#This Row],[2019-Apr]:[2025-July]],0)+1),0)</f>
        <v>2.2000000000000002</v>
      </c>
      <c r="I18" s="55">
        <f>IFERROR(MAX(Table1[[#This Row],[2019-Apr]:[2025-July]]),0)</f>
        <v>16.3</v>
      </c>
      <c r="J18" s="4" cm="1">
        <f t="array" ref="J1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2.38</v>
      </c>
      <c r="K18" s="4">
        <v>4.5</v>
      </c>
      <c r="L18" s="4">
        <f>IF(Table1[[#This Row],[Standard as per ISO]]&gt;=Table1[[#This Row],[Avg of best 6]],Table1[[#This Row],[Standard as per ISO]],Table1[[#This Row],[Avg of best 6]])</f>
        <v>4.5</v>
      </c>
      <c r="M18" s="4" cm="1">
        <f t="array" ref="M18">IFERROR(LOOKUP(2,1/(Table1[[#This Row],[2019-May]:[2025-July]]&lt;&gt;0),Table1[[#This Row],[2019-May]:[2025-July]]),0)</f>
        <v>3.2</v>
      </c>
      <c r="N18" s="4">
        <f>COUNTIF(Table1[[#This Row],[2019-Apr]:[2025-July]],"&gt;="&amp;Table1[[#This Row],[Target]])</f>
        <v>27</v>
      </c>
      <c r="O18" s="4">
        <f>IF(Table1[[#This Row],[Outliers 2Y]]=0,1,0)</f>
        <v>0</v>
      </c>
      <c r="P18" s="4">
        <f>IF(Table1[[#This Row],[Last value]]&gt;1.5*Table1[[#This Row],[Target]],1,0)</f>
        <v>0</v>
      </c>
      <c r="Q18" s="4">
        <f>IF(AND(1.5*Table1[[#This Row],[Target]]&gt;=Table1[[#This Row],[Last value]],Table1[[#This Row],[Last value]]&gt;Table1[[#This Row],[Target]]),1,0)</f>
        <v>0</v>
      </c>
      <c r="R18" s="4">
        <f>IF(Table1[[#This Row],[Target]]&gt;=Table1[[#This Row],[Last value]],1,0)</f>
        <v>1</v>
      </c>
      <c r="S18" s="4" t="str">
        <f t="shared" si="0"/>
        <v>Green</v>
      </c>
      <c r="T18" s="7">
        <v>15.5</v>
      </c>
      <c r="U18" s="7">
        <v>5.14</v>
      </c>
      <c r="V18" s="7">
        <v>3.47</v>
      </c>
      <c r="W18" s="7">
        <v>2.58</v>
      </c>
      <c r="X18" s="7">
        <v>3.1</v>
      </c>
      <c r="Y18" s="7">
        <v>3.2</v>
      </c>
      <c r="Z18" s="7">
        <v>0</v>
      </c>
      <c r="AA18" s="7">
        <v>3.4</v>
      </c>
      <c r="AB18" s="7">
        <v>3.99</v>
      </c>
      <c r="AC18" s="7">
        <v>3.1</v>
      </c>
      <c r="AD18" s="7">
        <v>3.09</v>
      </c>
      <c r="AE18" s="7">
        <v>3.47</v>
      </c>
      <c r="AF18" s="7">
        <v>4.4400000000000004</v>
      </c>
      <c r="AG18" s="7">
        <v>4.5999999999999996</v>
      </c>
      <c r="AH18" s="7">
        <v>3.6</v>
      </c>
      <c r="AI18" s="7">
        <v>2.2999999999999998</v>
      </c>
      <c r="AJ18" s="7">
        <v>2.4</v>
      </c>
      <c r="AK18" s="7">
        <v>0</v>
      </c>
      <c r="AL18" s="7">
        <v>2.2000000000000002</v>
      </c>
      <c r="AM18" s="7">
        <v>3.49</v>
      </c>
      <c r="AN18" s="7">
        <v>0</v>
      </c>
      <c r="AO18" s="7">
        <v>4.4000000000000004</v>
      </c>
      <c r="AP18" s="7">
        <v>16.3</v>
      </c>
      <c r="AQ18" s="7">
        <v>7.38</v>
      </c>
      <c r="AR18" s="9">
        <v>0</v>
      </c>
      <c r="AS18" s="9">
        <v>0</v>
      </c>
      <c r="AT18" s="9">
        <v>5.16</v>
      </c>
      <c r="AU18" s="50">
        <v>3.16</v>
      </c>
      <c r="AV18" s="50">
        <v>4.6100000000000003</v>
      </c>
      <c r="AW18" s="50">
        <v>4.6900000000000004</v>
      </c>
      <c r="AX18" s="50">
        <v>5.67</v>
      </c>
      <c r="AY18" s="50">
        <v>4.95</v>
      </c>
      <c r="AZ18" s="50">
        <v>5.47</v>
      </c>
      <c r="BA18" s="50">
        <v>3.4</v>
      </c>
      <c r="BB18" s="50">
        <v>3.7</v>
      </c>
      <c r="BC18" s="55">
        <v>4.2</v>
      </c>
      <c r="BD18" s="55">
        <v>0</v>
      </c>
      <c r="BE18" s="11">
        <v>3.544</v>
      </c>
      <c r="BF18" s="4">
        <v>3.202</v>
      </c>
      <c r="BG18" s="4">
        <v>3.202</v>
      </c>
      <c r="BH18" s="4">
        <v>3.601</v>
      </c>
      <c r="BI18" s="4">
        <v>2.92</v>
      </c>
      <c r="BJ18" s="13">
        <v>2.9540000000000002</v>
      </c>
      <c r="BK18" s="13">
        <v>3.7610000000000001</v>
      </c>
      <c r="BL18" s="4">
        <v>4.1539999999999999</v>
      </c>
      <c r="BM18" s="16">
        <v>5.8680000000000003</v>
      </c>
      <c r="BN18" s="4">
        <v>5.0449999999999999</v>
      </c>
      <c r="BO18" s="4">
        <v>5.3220000000000001</v>
      </c>
      <c r="BP18" s="4">
        <v>5.5119999999999996</v>
      </c>
      <c r="BQ18" s="4">
        <v>5.0640000000000001</v>
      </c>
      <c r="BR18" s="4">
        <v>2.8570000000000002</v>
      </c>
      <c r="BS18" s="4">
        <v>3.952</v>
      </c>
      <c r="BT18" s="4">
        <v>3.0179999999999998</v>
      </c>
      <c r="BU18" s="4">
        <v>4.8860000000000001</v>
      </c>
      <c r="BV18" s="4">
        <v>4.5490000000000004</v>
      </c>
      <c r="BW18" s="4">
        <v>6.1360000000000001</v>
      </c>
      <c r="BX18" s="4">
        <v>6.1580000000000004</v>
      </c>
      <c r="BY18" s="4">
        <v>5.5170000000000003</v>
      </c>
      <c r="BZ18" s="55">
        <v>0</v>
      </c>
      <c r="CA18" s="55">
        <v>8.24</v>
      </c>
      <c r="CB18" s="55">
        <v>8.7799999999999994</v>
      </c>
      <c r="CC18" s="55">
        <v>0</v>
      </c>
      <c r="CD18" s="55">
        <v>6.01</v>
      </c>
      <c r="CE18" s="19">
        <v>0</v>
      </c>
      <c r="CF18" s="19">
        <v>0</v>
      </c>
      <c r="CG18" s="4">
        <v>0</v>
      </c>
      <c r="CH18" s="4">
        <v>0</v>
      </c>
      <c r="CI18" s="4">
        <v>0</v>
      </c>
      <c r="CJ18" s="34">
        <v>5.4</v>
      </c>
      <c r="CK18" s="34">
        <v>5</v>
      </c>
      <c r="CL18" s="43">
        <v>4.7</v>
      </c>
      <c r="CM18" s="4">
        <v>3.8</v>
      </c>
      <c r="CN18" s="53">
        <v>0</v>
      </c>
      <c r="CO18" s="54">
        <v>2.2000000000000002</v>
      </c>
      <c r="CP18" s="54">
        <v>2.6</v>
      </c>
      <c r="CQ18" s="4">
        <v>3.2</v>
      </c>
    </row>
    <row r="19" spans="1:95" s="55" customFormat="1" x14ac:dyDescent="0.35">
      <c r="A19" s="55">
        <v>18</v>
      </c>
      <c r="B19" s="55" t="s">
        <v>111</v>
      </c>
      <c r="C19" s="27" t="s">
        <v>655</v>
      </c>
      <c r="D19" s="6" t="s">
        <v>88</v>
      </c>
      <c r="E19" s="33" t="s">
        <v>95</v>
      </c>
      <c r="F19" s="4">
        <f>IFERROR(AVERAGEIF(Table1[[#This Row],[2019-Apr]:[2025-July]],"&lt;&gt;0"),0)</f>
        <v>3.7634374999999989</v>
      </c>
      <c r="G19" s="4">
        <f ca="1">IFERROR(AVERAGEIF(OFFSET(Table1[[#This Row],[Status]],0,COUNT(Table1[[#This Row],[2019-May]:[2025-July]]),1,-12),"&lt;&gt;0"),0)</f>
        <v>2.2999999999999998</v>
      </c>
      <c r="H19" s="55">
        <f>IFERROR(SMALL(Table1[[#This Row],[2019-Apr]:[2025-July]],COUNTIF(Table1[[#This Row],[2019-Apr]:[2025-July]],0)+1),0)</f>
        <v>2.2999999999999998</v>
      </c>
      <c r="I19" s="55">
        <f>IFERROR(MAX(Table1[[#This Row],[2019-Apr]:[2025-July]]),0)</f>
        <v>6.6</v>
      </c>
      <c r="J19" s="4" cm="1">
        <f t="array" ref="J1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2.6799999999999997</v>
      </c>
      <c r="K19" s="4">
        <v>4.5</v>
      </c>
      <c r="L19" s="4">
        <f>IF(Table1[[#This Row],[Standard as per ISO]]&gt;=Table1[[#This Row],[Avg of best 6]],Table1[[#This Row],[Standard as per ISO]],Table1[[#This Row],[Avg of best 6]])</f>
        <v>4.5</v>
      </c>
      <c r="M19" s="4" cm="1">
        <f t="array" ref="M19">IFERROR(LOOKUP(2,1/(Table1[[#This Row],[2019-May]:[2025-July]]&lt;&gt;0),Table1[[#This Row],[2019-May]:[2025-July]]),0)</f>
        <v>2.2999999999999998</v>
      </c>
      <c r="N19" s="4">
        <f>COUNTIF(Table1[[#This Row],[2019-Apr]:[2025-July]],"&gt;="&amp;Table1[[#This Row],[Target]])</f>
        <v>8</v>
      </c>
      <c r="O19" s="4">
        <f>IF(Table1[[#This Row],[Outliers 2Y]]=0,1,0)</f>
        <v>0</v>
      </c>
      <c r="P19" s="4">
        <f>IF(Table1[[#This Row],[Last value]]&gt;1.5*Table1[[#This Row],[Target]],1,0)</f>
        <v>0</v>
      </c>
      <c r="Q19" s="4">
        <f>IF(AND(1.5*Table1[[#This Row],[Target]]&gt;=Table1[[#This Row],[Last value]],Table1[[#This Row],[Last value]]&gt;Table1[[#This Row],[Target]]),1,0)</f>
        <v>0</v>
      </c>
      <c r="R19" s="4">
        <f>IF(Table1[[#This Row],[Target]]&gt;=Table1[[#This Row],[Last value]],1,0)</f>
        <v>1</v>
      </c>
      <c r="S19" s="4" t="str">
        <f t="shared" si="0"/>
        <v>Green</v>
      </c>
      <c r="T19" s="7">
        <v>0</v>
      </c>
      <c r="U19" s="7">
        <v>3.05</v>
      </c>
      <c r="V19" s="7">
        <v>5.63</v>
      </c>
      <c r="W19" s="7">
        <v>4.79</v>
      </c>
      <c r="X19" s="7">
        <v>2.87</v>
      </c>
      <c r="Y19" s="7">
        <v>3.6</v>
      </c>
      <c r="Z19" s="7">
        <v>0</v>
      </c>
      <c r="AA19" s="7">
        <v>3.7</v>
      </c>
      <c r="AB19" s="7">
        <v>3.76</v>
      </c>
      <c r="AC19" s="7">
        <v>3.64</v>
      </c>
      <c r="AD19" s="7">
        <v>3.75</v>
      </c>
      <c r="AE19" s="7">
        <v>4.2</v>
      </c>
      <c r="AF19" s="7">
        <v>5.2</v>
      </c>
      <c r="AG19" s="7">
        <v>4.8</v>
      </c>
      <c r="AH19" s="7">
        <v>4.7</v>
      </c>
      <c r="AI19" s="7">
        <v>2.73</v>
      </c>
      <c r="AJ19" s="7">
        <v>0</v>
      </c>
      <c r="AK19" s="7">
        <v>0</v>
      </c>
      <c r="AL19" s="7">
        <v>0</v>
      </c>
      <c r="AM19" s="7">
        <v>2.6</v>
      </c>
      <c r="AN19" s="7">
        <v>2.83</v>
      </c>
      <c r="AO19" s="7">
        <v>6.6</v>
      </c>
      <c r="AP19" s="7">
        <v>6.46</v>
      </c>
      <c r="AQ19" s="7">
        <v>4.9000000000000004</v>
      </c>
      <c r="AR19" s="9">
        <v>0</v>
      </c>
      <c r="AS19" s="8">
        <v>3.05</v>
      </c>
      <c r="AT19" s="9">
        <v>0</v>
      </c>
      <c r="AU19" s="50">
        <v>0</v>
      </c>
      <c r="AV19" s="50">
        <v>0</v>
      </c>
      <c r="AW19" s="50">
        <v>2.95</v>
      </c>
      <c r="AX19" s="50">
        <v>0</v>
      </c>
      <c r="AY19" s="50">
        <v>0</v>
      </c>
      <c r="AZ19" s="50">
        <v>2.82</v>
      </c>
      <c r="BA19" s="50">
        <v>3.1</v>
      </c>
      <c r="BB19" s="50">
        <v>2.8</v>
      </c>
      <c r="BC19" s="55">
        <v>3.5</v>
      </c>
      <c r="BD19" s="55">
        <v>0</v>
      </c>
      <c r="BE19" s="11">
        <v>3.5680000000000001</v>
      </c>
      <c r="BF19" s="4">
        <v>0</v>
      </c>
      <c r="BG19" s="4">
        <v>3.21</v>
      </c>
      <c r="BH19" s="4">
        <v>3.5790000000000002</v>
      </c>
      <c r="BI19" s="4">
        <v>0</v>
      </c>
      <c r="BJ19" s="14">
        <v>0</v>
      </c>
      <c r="BK19" s="14">
        <v>3.3420000000000001</v>
      </c>
      <c r="BL19" s="4">
        <v>0</v>
      </c>
      <c r="BM19" s="17">
        <v>2.831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3.57</v>
      </c>
      <c r="BX19" s="4">
        <v>0</v>
      </c>
      <c r="BY19" s="4">
        <v>0</v>
      </c>
      <c r="BZ19" s="55">
        <v>0</v>
      </c>
      <c r="CA19" s="55">
        <v>0</v>
      </c>
      <c r="CB19" s="55">
        <v>0</v>
      </c>
      <c r="CC19" s="55">
        <v>0</v>
      </c>
      <c r="CD19" s="55">
        <v>0</v>
      </c>
      <c r="CE19" s="19">
        <v>2.2999999999999998</v>
      </c>
      <c r="CF19" s="19">
        <v>0</v>
      </c>
      <c r="CG19" s="4">
        <v>0</v>
      </c>
      <c r="CH19" s="4">
        <v>0</v>
      </c>
      <c r="CI19" s="4">
        <v>0</v>
      </c>
      <c r="CJ19" s="34">
        <v>0</v>
      </c>
      <c r="CK19" s="34">
        <v>0</v>
      </c>
      <c r="CL19" s="34">
        <v>0</v>
      </c>
      <c r="CM19" s="4">
        <v>0</v>
      </c>
      <c r="CN19" s="53">
        <v>0</v>
      </c>
      <c r="CO19" s="54">
        <v>0</v>
      </c>
      <c r="CP19" s="54">
        <v>0</v>
      </c>
      <c r="CQ19" s="4">
        <v>0</v>
      </c>
    </row>
    <row r="20" spans="1:95" s="55" customFormat="1" x14ac:dyDescent="0.35">
      <c r="A20" s="55">
        <v>19</v>
      </c>
      <c r="B20" s="55" t="s">
        <v>111</v>
      </c>
      <c r="C20" s="27" t="s">
        <v>656</v>
      </c>
      <c r="D20" s="6" t="s">
        <v>88</v>
      </c>
      <c r="E20" s="33" t="s">
        <v>91</v>
      </c>
      <c r="F20" s="4">
        <f>IFERROR(AVERAGEIF(Table1[[#This Row],[2019-Apr]:[2025-July]],"&lt;&gt;0"),0)</f>
        <v>3.8493793103448279</v>
      </c>
      <c r="G20" s="4">
        <f ca="1">IFERROR(AVERAGEIF(OFFSET(Table1[[#This Row],[Status]],0,COUNT(Table1[[#This Row],[2019-May]:[2025-July]]),1,-12),"&lt;&gt;0"),0)</f>
        <v>4.0599999999999996</v>
      </c>
      <c r="H20" s="55">
        <f>IFERROR(SMALL(Table1[[#This Row],[2019-Apr]:[2025-July]],COUNTIF(Table1[[#This Row],[2019-Apr]:[2025-July]],0)+1),0)</f>
        <v>2.42</v>
      </c>
      <c r="I20" s="55">
        <f>IFERROR(MAX(Table1[[#This Row],[2019-Apr]:[2025-July]]),0)</f>
        <v>5.16</v>
      </c>
      <c r="J20" s="4" cm="1">
        <f t="array" ref="J2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3.015166666666667</v>
      </c>
      <c r="K20" s="4">
        <v>4.5</v>
      </c>
      <c r="L20" s="4">
        <f>IF(Table1[[#This Row],[Standard as per ISO]]&gt;=Table1[[#This Row],[Avg of best 6]],Table1[[#This Row],[Standard as per ISO]],Table1[[#This Row],[Avg of best 6]])</f>
        <v>4.5</v>
      </c>
      <c r="M20" s="4" cm="1">
        <f t="array" ref="M20">IFERROR(LOOKUP(2,1/(Table1[[#This Row],[2019-May]:[2025-July]]&lt;&gt;0),Table1[[#This Row],[2019-May]:[2025-July]]),0)</f>
        <v>4.0599999999999996</v>
      </c>
      <c r="N20" s="4">
        <f>COUNTIF(Table1[[#This Row],[2019-Apr]:[2025-July]],"&gt;="&amp;Table1[[#This Row],[Target]])</f>
        <v>5</v>
      </c>
      <c r="O20" s="4">
        <f>IF(Table1[[#This Row],[Outliers 2Y]]=0,1,0)</f>
        <v>0</v>
      </c>
      <c r="P20" s="4">
        <f>IF(Table1[[#This Row],[Last value]]&gt;1.5*Table1[[#This Row],[Target]],1,0)</f>
        <v>0</v>
      </c>
      <c r="Q20" s="4">
        <f>IF(AND(1.5*Table1[[#This Row],[Target]]&gt;=Table1[[#This Row],[Last value]],Table1[[#This Row],[Last value]]&gt;Table1[[#This Row],[Target]]),1,0)</f>
        <v>0</v>
      </c>
      <c r="R20" s="4">
        <f>IF(Table1[[#This Row],[Target]]&gt;=Table1[[#This Row],[Last value]],1,0)</f>
        <v>1</v>
      </c>
      <c r="S20" s="4" t="str">
        <f t="shared" si="0"/>
        <v>Green</v>
      </c>
      <c r="T20" s="7">
        <v>3.7</v>
      </c>
      <c r="U20" s="7">
        <v>3.91</v>
      </c>
      <c r="V20" s="7">
        <v>3.92</v>
      </c>
      <c r="W20" s="7">
        <v>3.11</v>
      </c>
      <c r="X20" s="7">
        <v>3.4</v>
      </c>
      <c r="Y20" s="7">
        <v>3.7</v>
      </c>
      <c r="Z20" s="7">
        <v>0</v>
      </c>
      <c r="AA20" s="7">
        <v>4</v>
      </c>
      <c r="AB20" s="7">
        <v>4.13</v>
      </c>
      <c r="AC20" s="7">
        <v>3.7</v>
      </c>
      <c r="AD20" s="7">
        <v>3.97</v>
      </c>
      <c r="AE20" s="7">
        <v>4.2</v>
      </c>
      <c r="AF20" s="7">
        <v>3.9</v>
      </c>
      <c r="AG20" s="7">
        <v>3.8</v>
      </c>
      <c r="AH20" s="7">
        <v>3.3</v>
      </c>
      <c r="AI20" s="7">
        <v>4</v>
      </c>
      <c r="AJ20" s="7">
        <v>3.6</v>
      </c>
      <c r="AK20" s="7">
        <v>4.1900000000000004</v>
      </c>
      <c r="AL20" s="7">
        <v>4.26</v>
      </c>
      <c r="AM20" s="7">
        <v>0</v>
      </c>
      <c r="AN20" s="7">
        <v>4.5999999999999996</v>
      </c>
      <c r="AO20" s="7">
        <v>5.16</v>
      </c>
      <c r="AP20" s="7">
        <v>0</v>
      </c>
      <c r="AQ20" s="7">
        <v>4.46</v>
      </c>
      <c r="AR20" s="9">
        <v>4.0599999999999996</v>
      </c>
      <c r="AS20" s="9">
        <v>4.29</v>
      </c>
      <c r="AT20" s="9">
        <v>4.1500000000000004</v>
      </c>
      <c r="AU20" s="50">
        <v>4.37</v>
      </c>
      <c r="AV20" s="50">
        <v>4.16</v>
      </c>
      <c r="AW20" s="50">
        <v>4.4400000000000004</v>
      </c>
      <c r="AX20" s="50">
        <v>4.54</v>
      </c>
      <c r="AY20" s="50">
        <v>4.3899999999999997</v>
      </c>
      <c r="AZ20" s="50">
        <v>3.81</v>
      </c>
      <c r="BA20" s="50">
        <v>3.5</v>
      </c>
      <c r="BB20" s="50">
        <v>4.5</v>
      </c>
      <c r="BC20" s="55">
        <v>4.0999999999999996</v>
      </c>
      <c r="BD20" s="55">
        <v>4.0999999999999996</v>
      </c>
      <c r="BE20" s="11">
        <v>3.988</v>
      </c>
      <c r="BF20" s="4">
        <v>4.1669999999999998</v>
      </c>
      <c r="BG20" s="4">
        <v>3.06</v>
      </c>
      <c r="BH20" s="4">
        <v>3.496</v>
      </c>
      <c r="BI20" s="4">
        <v>3.8109999999999999</v>
      </c>
      <c r="BJ20" s="13">
        <v>4.0640000000000001</v>
      </c>
      <c r="BK20" s="13">
        <v>3.07</v>
      </c>
      <c r="BL20" s="4">
        <v>3.9380000000000002</v>
      </c>
      <c r="BM20" s="16">
        <v>3.262</v>
      </c>
      <c r="BN20" s="4">
        <v>3.4950000000000001</v>
      </c>
      <c r="BO20" s="4">
        <v>3.8980000000000001</v>
      </c>
      <c r="BP20" s="4">
        <v>3.5459999999999998</v>
      </c>
      <c r="BQ20" s="4">
        <v>3.24</v>
      </c>
      <c r="BR20" s="4">
        <v>3.585</v>
      </c>
      <c r="BS20" s="4">
        <v>4.8860000000000001</v>
      </c>
      <c r="BT20" s="4">
        <v>3.4159999999999999</v>
      </c>
      <c r="BU20" s="4">
        <v>2.42</v>
      </c>
      <c r="BV20" s="4">
        <v>3.3420000000000001</v>
      </c>
      <c r="BW20" s="4">
        <v>3.8690000000000002</v>
      </c>
      <c r="BX20" s="4">
        <v>3.1909999999999998</v>
      </c>
      <c r="BY20" s="4">
        <v>3.28</v>
      </c>
      <c r="BZ20" s="55">
        <v>3.37</v>
      </c>
      <c r="CA20" s="55">
        <v>0</v>
      </c>
      <c r="CB20" s="55">
        <v>0</v>
      </c>
      <c r="CC20" s="55">
        <v>3.39</v>
      </c>
      <c r="CD20" s="55">
        <v>0</v>
      </c>
      <c r="CE20" s="19">
        <v>0</v>
      </c>
      <c r="CF20" s="19">
        <v>0</v>
      </c>
      <c r="CG20" s="4">
        <v>4.0599999999999996</v>
      </c>
      <c r="CH20" s="4">
        <v>0</v>
      </c>
      <c r="CI20" s="4">
        <v>0</v>
      </c>
      <c r="CJ20" s="34">
        <v>0</v>
      </c>
      <c r="CK20" s="34">
        <v>0</v>
      </c>
      <c r="CL20" s="34">
        <v>0</v>
      </c>
      <c r="CM20" s="4">
        <v>0</v>
      </c>
      <c r="CN20" s="53">
        <v>0</v>
      </c>
      <c r="CO20" s="54">
        <v>0</v>
      </c>
      <c r="CP20" s="54">
        <v>0</v>
      </c>
      <c r="CQ20" s="4">
        <v>0</v>
      </c>
    </row>
    <row r="21" spans="1:95" s="55" customFormat="1" x14ac:dyDescent="0.35">
      <c r="A21" s="55">
        <v>20</v>
      </c>
      <c r="B21" s="55" t="s">
        <v>111</v>
      </c>
      <c r="C21" s="27" t="s">
        <v>657</v>
      </c>
      <c r="D21" s="6" t="s">
        <v>88</v>
      </c>
      <c r="E21" s="33" t="s">
        <v>91</v>
      </c>
      <c r="F21" s="4">
        <f>IFERROR(AVERAGEIF(Table1[[#This Row],[2019-Apr]:[2025-July]],"&lt;&gt;0"),0)</f>
        <v>3.2822068965517239</v>
      </c>
      <c r="G21" s="4">
        <f ca="1">IFERROR(AVERAGEIF(OFFSET(Table1[[#This Row],[Status]],0,COUNT(Table1[[#This Row],[2019-May]:[2025-July]]),1,-12),"&lt;&gt;0"),0)</f>
        <v>3.8</v>
      </c>
      <c r="H21" s="55">
        <f>IFERROR(SMALL(Table1[[#This Row],[2019-Apr]:[2025-July]],COUNTIF(Table1[[#This Row],[2019-Apr]:[2025-July]],0)+1),0)</f>
        <v>1.84</v>
      </c>
      <c r="I21" s="55">
        <f>IFERROR(MAX(Table1[[#This Row],[2019-Apr]:[2025-July]]),0)</f>
        <v>5.35</v>
      </c>
      <c r="J21" s="4" cm="1">
        <f t="array" ref="J2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2.1863333333333332</v>
      </c>
      <c r="K21" s="4">
        <v>4.5</v>
      </c>
      <c r="L21" s="4">
        <f>IF(Table1[[#This Row],[Standard as per ISO]]&gt;=Table1[[#This Row],[Avg of best 6]],Table1[[#This Row],[Standard as per ISO]],Table1[[#This Row],[Avg of best 6]])</f>
        <v>4.5</v>
      </c>
      <c r="M21" s="4" cm="1">
        <f t="array" ref="M21">IFERROR(LOOKUP(2,1/(Table1[[#This Row],[2019-May]:[2025-July]]&lt;&gt;0),Table1[[#This Row],[2019-May]:[2025-July]]),0)</f>
        <v>3.8</v>
      </c>
      <c r="N21" s="4">
        <f>COUNTIF(Table1[[#This Row],[2019-Apr]:[2025-July]],"&gt;="&amp;Table1[[#This Row],[Target]])</f>
        <v>2</v>
      </c>
      <c r="O21" s="4">
        <f>IF(Table1[[#This Row],[Outliers 2Y]]=0,1,0)</f>
        <v>0</v>
      </c>
      <c r="P21" s="4">
        <f>IF(Table1[[#This Row],[Last value]]&gt;1.5*Table1[[#This Row],[Target]],1,0)</f>
        <v>0</v>
      </c>
      <c r="Q21" s="4">
        <f>IF(AND(1.5*Table1[[#This Row],[Target]]&gt;=Table1[[#This Row],[Last value]],Table1[[#This Row],[Last value]]&gt;Table1[[#This Row],[Target]]),1,0)</f>
        <v>0</v>
      </c>
      <c r="R21" s="4">
        <f>IF(Table1[[#This Row],[Target]]&gt;=Table1[[#This Row],[Last value]],1,0)</f>
        <v>1</v>
      </c>
      <c r="S21" s="4" t="str">
        <f t="shared" si="0"/>
        <v>Green</v>
      </c>
      <c r="T21" s="7">
        <v>4.25</v>
      </c>
      <c r="U21" s="7">
        <v>3.69</v>
      </c>
      <c r="V21" s="7">
        <v>4.75</v>
      </c>
      <c r="W21" s="7">
        <v>4.45</v>
      </c>
      <c r="X21" s="7">
        <v>3.4</v>
      </c>
      <c r="Y21" s="7">
        <v>2.7</v>
      </c>
      <c r="Z21" s="7">
        <v>0</v>
      </c>
      <c r="AA21" s="7">
        <v>3.38</v>
      </c>
      <c r="AB21" s="7">
        <v>5.35</v>
      </c>
      <c r="AC21" s="7">
        <v>3.67</v>
      </c>
      <c r="AD21" s="7">
        <v>4.34</v>
      </c>
      <c r="AE21" s="7">
        <v>4.2</v>
      </c>
      <c r="AF21" s="7">
        <v>2.4</v>
      </c>
      <c r="AG21" s="7">
        <v>3.7</v>
      </c>
      <c r="AH21" s="7">
        <v>3.6</v>
      </c>
      <c r="AI21" s="7">
        <v>3.55</v>
      </c>
      <c r="AJ21" s="7">
        <v>2.9</v>
      </c>
      <c r="AK21" s="7">
        <v>0</v>
      </c>
      <c r="AL21" s="7">
        <v>4.17</v>
      </c>
      <c r="AM21" s="7">
        <v>0</v>
      </c>
      <c r="AN21" s="7">
        <v>3.3</v>
      </c>
      <c r="AO21" s="7">
        <v>3</v>
      </c>
      <c r="AP21" s="7">
        <v>4.0999999999999996</v>
      </c>
      <c r="AQ21" s="7">
        <v>4.3099999999999996</v>
      </c>
      <c r="AR21" s="9">
        <v>2.5099999999999998</v>
      </c>
      <c r="AS21" s="9">
        <v>2.85</v>
      </c>
      <c r="AT21" s="9">
        <v>3.88</v>
      </c>
      <c r="AU21" s="50">
        <v>3.1</v>
      </c>
      <c r="AV21" s="50">
        <v>3.3</v>
      </c>
      <c r="AW21" s="50">
        <v>2.67</v>
      </c>
      <c r="AX21" s="50">
        <v>3.26</v>
      </c>
      <c r="AY21" s="50">
        <v>3.32</v>
      </c>
      <c r="AZ21" s="50">
        <v>3.03</v>
      </c>
      <c r="BA21" s="50">
        <v>3.7</v>
      </c>
      <c r="BB21" s="50">
        <v>2.9</v>
      </c>
      <c r="BC21" s="55">
        <v>3</v>
      </c>
      <c r="BD21" s="55">
        <v>3.8</v>
      </c>
      <c r="BE21" s="11">
        <v>2.3119999999999998</v>
      </c>
      <c r="BF21" s="4">
        <v>2.6440000000000001</v>
      </c>
      <c r="BG21" s="4">
        <v>2.54</v>
      </c>
      <c r="BH21" s="4">
        <v>2.54</v>
      </c>
      <c r="BI21" s="4">
        <v>2.54</v>
      </c>
      <c r="BJ21" s="14">
        <v>2.9249999999999998</v>
      </c>
      <c r="BK21" s="14">
        <v>2.78</v>
      </c>
      <c r="BL21" s="4">
        <v>4.3029999999999999</v>
      </c>
      <c r="BM21" s="17">
        <v>2.7879999999999998</v>
      </c>
      <c r="BN21" s="4">
        <v>2.1840000000000002</v>
      </c>
      <c r="BO21" s="4">
        <v>2.3809999999999998</v>
      </c>
      <c r="BP21" s="4">
        <v>2.4249999999999998</v>
      </c>
      <c r="BQ21" s="4">
        <v>2.8010000000000002</v>
      </c>
      <c r="BR21" s="4">
        <v>3.3839999999999999</v>
      </c>
      <c r="BS21" s="4">
        <v>4.125</v>
      </c>
      <c r="BT21" s="4">
        <v>3.7850000000000001</v>
      </c>
      <c r="BU21" s="4">
        <v>2.2749999999999999</v>
      </c>
      <c r="BV21" s="4">
        <v>3.657</v>
      </c>
      <c r="BW21" s="4">
        <v>2.9049999999999998</v>
      </c>
      <c r="BX21" s="4">
        <v>3.3980000000000001</v>
      </c>
      <c r="BY21" s="4">
        <v>2.1259999999999999</v>
      </c>
      <c r="BZ21" s="55">
        <v>1.84</v>
      </c>
      <c r="CA21" s="55">
        <v>0</v>
      </c>
      <c r="CB21" s="55">
        <v>0</v>
      </c>
      <c r="CC21" s="55">
        <v>3.38</v>
      </c>
      <c r="CD21" s="55">
        <v>0</v>
      </c>
      <c r="CE21" s="19">
        <v>0</v>
      </c>
      <c r="CF21" s="19">
        <v>3.8</v>
      </c>
      <c r="CG21" s="4">
        <v>0</v>
      </c>
      <c r="CH21" s="4">
        <v>0</v>
      </c>
      <c r="CI21" s="4">
        <v>0</v>
      </c>
      <c r="CJ21" s="34">
        <v>0</v>
      </c>
      <c r="CK21" s="34">
        <v>0</v>
      </c>
      <c r="CL21" s="34">
        <v>0</v>
      </c>
      <c r="CM21" s="4">
        <v>0</v>
      </c>
      <c r="CN21" s="53">
        <v>0</v>
      </c>
      <c r="CO21" s="54">
        <v>0</v>
      </c>
      <c r="CP21" s="54">
        <v>0</v>
      </c>
      <c r="CQ21" s="4">
        <v>0</v>
      </c>
    </row>
    <row r="22" spans="1:95" s="55" customFormat="1" x14ac:dyDescent="0.35">
      <c r="A22" s="55">
        <v>21</v>
      </c>
      <c r="B22" s="55" t="s">
        <v>111</v>
      </c>
      <c r="C22" s="27" t="s">
        <v>658</v>
      </c>
      <c r="D22" s="6" t="s">
        <v>88</v>
      </c>
      <c r="E22" s="33" t="s">
        <v>89</v>
      </c>
      <c r="F22" s="4">
        <f>IFERROR(AVERAGEIF(Table1[[#This Row],[2019-Apr]:[2025-July]],"&lt;&gt;0"),0)</f>
        <v>3.5867656250000004</v>
      </c>
      <c r="G22" s="4">
        <f ca="1">IFERROR(AVERAGEIF(OFFSET(Table1[[#This Row],[Status]],0,COUNT(Table1[[#This Row],[2019-May]:[2025-July]]),1,-12),"&lt;&gt;0"),0)</f>
        <v>4.2574999999999994</v>
      </c>
      <c r="H22" s="55">
        <f>IFERROR(SMALL(Table1[[#This Row],[2019-Apr]:[2025-July]],COUNTIF(Table1[[#This Row],[2019-Apr]:[2025-July]],0)+1),0)</f>
        <v>1.6</v>
      </c>
      <c r="I22" s="55">
        <f>IFERROR(MAX(Table1[[#This Row],[2019-Apr]:[2025-July]]),0)</f>
        <v>6.8</v>
      </c>
      <c r="J22" s="4" cm="1">
        <f t="array" ref="J2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1.7033333333333334</v>
      </c>
      <c r="K22" s="4">
        <v>4.5</v>
      </c>
      <c r="L22" s="4">
        <f>IF(Table1[[#This Row],[Standard as per ISO]]&gt;=Table1[[#This Row],[Avg of best 6]],Table1[[#This Row],[Standard as per ISO]],Table1[[#This Row],[Avg of best 6]])</f>
        <v>4.5</v>
      </c>
      <c r="M22" s="4" cm="1">
        <f t="array" ref="M22">IFERROR(LOOKUP(2,1/(Table1[[#This Row],[2019-May]:[2025-July]]&lt;&gt;0),Table1[[#This Row],[2019-May]:[2025-July]]),0)</f>
        <v>3.6</v>
      </c>
      <c r="N22" s="4">
        <f>COUNTIF(Table1[[#This Row],[2019-Apr]:[2025-July]],"&gt;="&amp;Table1[[#This Row],[Target]])</f>
        <v>13</v>
      </c>
      <c r="O22" s="4">
        <f>IF(Table1[[#This Row],[Outliers 2Y]]=0,1,0)</f>
        <v>0</v>
      </c>
      <c r="P22" s="4">
        <f>IF(Table1[[#This Row],[Last value]]&gt;1.5*Table1[[#This Row],[Target]],1,0)</f>
        <v>0</v>
      </c>
      <c r="Q22" s="4">
        <f>IF(AND(1.5*Table1[[#This Row],[Target]]&gt;=Table1[[#This Row],[Last value]],Table1[[#This Row],[Last value]]&gt;Table1[[#This Row],[Target]]),1,0)</f>
        <v>0</v>
      </c>
      <c r="R22" s="4">
        <f>IF(Table1[[#This Row],[Target]]&gt;=Table1[[#This Row],[Last value]],1,0)</f>
        <v>1</v>
      </c>
      <c r="S22" s="4" t="str">
        <f t="shared" si="0"/>
        <v>Green</v>
      </c>
      <c r="T22" s="7">
        <v>2.12</v>
      </c>
      <c r="U22" s="7">
        <v>2.0099999999999998</v>
      </c>
      <c r="V22" s="7">
        <v>2.1</v>
      </c>
      <c r="W22" s="7">
        <v>0</v>
      </c>
      <c r="X22" s="7">
        <v>2.2000000000000002</v>
      </c>
      <c r="Y22" s="7">
        <v>2.9</v>
      </c>
      <c r="Z22" s="7">
        <v>0</v>
      </c>
      <c r="AA22" s="7">
        <v>2.4700000000000002</v>
      </c>
      <c r="AB22" s="7">
        <v>3.03</v>
      </c>
      <c r="AC22" s="7">
        <v>2.29</v>
      </c>
      <c r="AD22" s="7">
        <v>3.2</v>
      </c>
      <c r="AE22" s="7">
        <v>2.8</v>
      </c>
      <c r="AF22" s="7">
        <v>2.5</v>
      </c>
      <c r="AG22" s="7">
        <v>2.1</v>
      </c>
      <c r="AH22" s="7">
        <v>1.8</v>
      </c>
      <c r="AI22" s="7">
        <v>2.6</v>
      </c>
      <c r="AJ22" s="7">
        <v>1.6</v>
      </c>
      <c r="AK22" s="7">
        <v>0</v>
      </c>
      <c r="AL22" s="7">
        <v>1.63</v>
      </c>
      <c r="AM22" s="7">
        <v>0</v>
      </c>
      <c r="AN22" s="7">
        <v>1.8</v>
      </c>
      <c r="AO22" s="7">
        <v>2.4</v>
      </c>
      <c r="AP22" s="7">
        <v>1.7</v>
      </c>
      <c r="AQ22" s="7">
        <v>2.08</v>
      </c>
      <c r="AR22" s="9">
        <v>1.69</v>
      </c>
      <c r="AS22" s="9">
        <v>2</v>
      </c>
      <c r="AT22" s="9">
        <v>2.0099999999999998</v>
      </c>
      <c r="AU22" s="50">
        <v>6.13</v>
      </c>
      <c r="AV22" s="50">
        <v>6.73</v>
      </c>
      <c r="AW22" s="50">
        <v>6.79</v>
      </c>
      <c r="AX22" s="50">
        <v>5.75</v>
      </c>
      <c r="AY22" s="50">
        <v>5.79</v>
      </c>
      <c r="AZ22" s="50">
        <v>6.71</v>
      </c>
      <c r="BA22" s="50">
        <v>6.8</v>
      </c>
      <c r="BB22" s="50">
        <v>4.5999999999999996</v>
      </c>
      <c r="BC22" s="55">
        <v>4.7</v>
      </c>
      <c r="BD22" s="55">
        <v>3.9</v>
      </c>
      <c r="BE22" s="11">
        <v>6.6470000000000002</v>
      </c>
      <c r="BF22" s="4">
        <v>0</v>
      </c>
      <c r="BG22" s="4">
        <v>4.59</v>
      </c>
      <c r="BH22" s="4">
        <v>3.2759999999999998</v>
      </c>
      <c r="BI22" s="4">
        <v>3.7130000000000001</v>
      </c>
      <c r="BJ22" s="13">
        <v>3.1349999999999998</v>
      </c>
      <c r="BK22" s="13">
        <v>3.1059999999999999</v>
      </c>
      <c r="BL22" s="4">
        <v>4.3029999999999999</v>
      </c>
      <c r="BM22" s="16">
        <v>3.2349999999999999</v>
      </c>
      <c r="BN22" s="4">
        <v>3.6560000000000001</v>
      </c>
      <c r="BO22" s="4">
        <v>3.476</v>
      </c>
      <c r="BP22" s="4">
        <v>3.5059999999999998</v>
      </c>
      <c r="BQ22" s="4">
        <v>3.149</v>
      </c>
      <c r="BR22" s="4">
        <v>4.0570000000000004</v>
      </c>
      <c r="BS22" s="4">
        <v>4.4610000000000003</v>
      </c>
      <c r="BT22" s="4">
        <v>3.157</v>
      </c>
      <c r="BU22" s="4">
        <v>3.7589999999999999</v>
      </c>
      <c r="BV22" s="4">
        <v>3.9910000000000001</v>
      </c>
      <c r="BW22" s="4">
        <v>4.3710000000000004</v>
      </c>
      <c r="BX22" s="4">
        <v>3.31</v>
      </c>
      <c r="BY22" s="4">
        <v>3.875</v>
      </c>
      <c r="BZ22" s="55">
        <v>2.4300000000000002</v>
      </c>
      <c r="CA22" s="55">
        <v>0</v>
      </c>
      <c r="CB22" s="55">
        <v>0</v>
      </c>
      <c r="CC22" s="55">
        <v>0</v>
      </c>
      <c r="CD22" s="55">
        <v>3.76</v>
      </c>
      <c r="CE22" s="19">
        <v>0</v>
      </c>
      <c r="CF22" s="19">
        <v>5.0999999999999996</v>
      </c>
      <c r="CG22" s="4">
        <v>4.76</v>
      </c>
      <c r="CH22" s="4">
        <v>0</v>
      </c>
      <c r="CI22" s="4">
        <v>0</v>
      </c>
      <c r="CJ22" s="34">
        <v>3.9</v>
      </c>
      <c r="CK22" s="34">
        <v>4</v>
      </c>
      <c r="CL22" s="43">
        <v>4</v>
      </c>
      <c r="CM22" s="4">
        <v>3.9</v>
      </c>
      <c r="CN22" s="53">
        <v>0</v>
      </c>
      <c r="CO22" s="54">
        <v>4.4000000000000004</v>
      </c>
      <c r="CP22" s="54">
        <v>4</v>
      </c>
      <c r="CQ22" s="4">
        <v>3.6</v>
      </c>
    </row>
    <row r="23" spans="1:95" s="55" customFormat="1" x14ac:dyDescent="0.35">
      <c r="A23" s="55">
        <v>22</v>
      </c>
      <c r="B23" s="55" t="s">
        <v>111</v>
      </c>
      <c r="C23" s="27" t="s">
        <v>659</v>
      </c>
      <c r="D23" s="6" t="s">
        <v>88</v>
      </c>
      <c r="E23" s="33" t="s">
        <v>95</v>
      </c>
      <c r="F23" s="4">
        <f>IFERROR(AVERAGEIF(Table1[[#This Row],[2019-Apr]:[2025-July]],"&lt;&gt;0"),0)</f>
        <v>2.9888421052631573</v>
      </c>
      <c r="G23" s="4">
        <f ca="1">IFERROR(AVERAGEIF(OFFSET(Table1[[#This Row],[Status]],0,COUNT(Table1[[#This Row],[2019-May]:[2025-July]]),1,-12),"&lt;&gt;0"),0)</f>
        <v>2.29</v>
      </c>
      <c r="H23" s="55">
        <f>IFERROR(SMALL(Table1[[#This Row],[2019-Apr]:[2025-July]],COUNTIF(Table1[[#This Row],[2019-Apr]:[2025-July]],0)+1),0)</f>
        <v>1.8819999999999999</v>
      </c>
      <c r="I23" s="55">
        <f>IFERROR(MAX(Table1[[#This Row],[2019-Apr]:[2025-July]]),0)</f>
        <v>4.819</v>
      </c>
      <c r="J23" s="4" cm="1">
        <f t="array" ref="J2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1.9261666666666664</v>
      </c>
      <c r="K23" s="4">
        <v>4.5</v>
      </c>
      <c r="L23" s="4">
        <f>IF(Table1[[#This Row],[Standard as per ISO]]&gt;=Table1[[#This Row],[Avg of best 6]],Table1[[#This Row],[Standard as per ISO]],Table1[[#This Row],[Avg of best 6]])</f>
        <v>4.5</v>
      </c>
      <c r="M23" s="4" cm="1">
        <f t="array" ref="M23">IFERROR(LOOKUP(2,1/(Table1[[#This Row],[2019-May]:[2025-July]]&lt;&gt;0),Table1[[#This Row],[2019-May]:[2025-July]]),0)</f>
        <v>2.29</v>
      </c>
      <c r="N23" s="4">
        <f>COUNTIF(Table1[[#This Row],[2019-Apr]:[2025-July]],"&gt;="&amp;Table1[[#This Row],[Target]])</f>
        <v>4</v>
      </c>
      <c r="O23" s="4">
        <f>IF(Table1[[#This Row],[Outliers 2Y]]=0,1,0)</f>
        <v>0</v>
      </c>
      <c r="P23" s="4">
        <f>IF(Table1[[#This Row],[Last value]]&gt;1.5*Table1[[#This Row],[Target]],1,0)</f>
        <v>0</v>
      </c>
      <c r="Q23" s="4">
        <f>IF(AND(1.5*Table1[[#This Row],[Target]]&gt;=Table1[[#This Row],[Last value]],Table1[[#This Row],[Last value]]&gt;Table1[[#This Row],[Target]]),1,0)</f>
        <v>0</v>
      </c>
      <c r="R23" s="4">
        <f>IF(Table1[[#This Row],[Target]]&gt;=Table1[[#This Row],[Last value]],1,0)</f>
        <v>1</v>
      </c>
      <c r="S23" s="4" t="str">
        <f t="shared" si="0"/>
        <v>Green</v>
      </c>
      <c r="T23" s="7">
        <v>3.95</v>
      </c>
      <c r="U23" s="7">
        <v>1.93</v>
      </c>
      <c r="V23" s="7">
        <v>2.11</v>
      </c>
      <c r="W23" s="7">
        <v>2.78</v>
      </c>
      <c r="X23" s="7">
        <v>2</v>
      </c>
      <c r="Y23" s="7">
        <v>1.9</v>
      </c>
      <c r="Z23" s="7">
        <v>0</v>
      </c>
      <c r="AA23" s="7">
        <v>2.7</v>
      </c>
      <c r="AB23" s="7">
        <v>0</v>
      </c>
      <c r="AC23" s="7">
        <v>2.42</v>
      </c>
      <c r="AD23" s="7">
        <v>2.4</v>
      </c>
      <c r="AE23" s="7">
        <v>1.95</v>
      </c>
      <c r="AF23" s="7">
        <v>2.63</v>
      </c>
      <c r="AG23" s="7">
        <v>2.6</v>
      </c>
      <c r="AH23" s="7">
        <v>3.5</v>
      </c>
      <c r="AI23" s="7">
        <v>0</v>
      </c>
      <c r="AJ23" s="7">
        <v>3.25</v>
      </c>
      <c r="AK23" s="7">
        <v>2.81</v>
      </c>
      <c r="AL23" s="7">
        <v>3.73</v>
      </c>
      <c r="AM23" s="7">
        <v>0</v>
      </c>
      <c r="AN23" s="7">
        <v>2.2000000000000002</v>
      </c>
      <c r="AO23" s="7">
        <v>2.8</v>
      </c>
      <c r="AP23" s="7">
        <v>4.18</v>
      </c>
      <c r="AQ23" s="7">
        <v>2.5499999999999998</v>
      </c>
      <c r="AR23" s="9">
        <v>2.63</v>
      </c>
      <c r="AS23" s="9">
        <v>3.26</v>
      </c>
      <c r="AT23" s="9">
        <v>4.53</v>
      </c>
      <c r="AU23" s="50">
        <v>3.56</v>
      </c>
      <c r="AV23" s="50">
        <v>3.63</v>
      </c>
      <c r="AW23" s="50">
        <v>4.62</v>
      </c>
      <c r="AX23" s="50">
        <v>3</v>
      </c>
      <c r="AY23" s="50">
        <v>4.54</v>
      </c>
      <c r="AZ23" s="50">
        <v>2.64</v>
      </c>
      <c r="BA23" s="50">
        <v>2.7</v>
      </c>
      <c r="BB23" s="50">
        <v>3.2</v>
      </c>
      <c r="BC23" s="55">
        <v>3</v>
      </c>
      <c r="BD23" s="55">
        <v>2.2999999999999998</v>
      </c>
      <c r="BE23" s="11">
        <v>4.819</v>
      </c>
      <c r="BF23" s="4">
        <v>4.423</v>
      </c>
      <c r="BG23" s="4">
        <v>2.2999999999999998</v>
      </c>
      <c r="BH23" s="4">
        <v>2.4300000000000002</v>
      </c>
      <c r="BI23" s="4">
        <v>3.8860000000000001</v>
      </c>
      <c r="BJ23" s="14">
        <v>3.234</v>
      </c>
      <c r="BK23" s="14">
        <v>2.8210000000000002</v>
      </c>
      <c r="BL23" s="4">
        <v>3.226</v>
      </c>
      <c r="BM23" s="17">
        <v>2.919</v>
      </c>
      <c r="BN23" s="4">
        <v>4.4210000000000003</v>
      </c>
      <c r="BO23" s="4">
        <v>3.4119999999999999</v>
      </c>
      <c r="BP23" s="4">
        <v>2.9279999999999999</v>
      </c>
      <c r="BQ23" s="4">
        <v>3.1280000000000001</v>
      </c>
      <c r="BR23" s="4">
        <v>3.165</v>
      </c>
      <c r="BS23" s="4">
        <v>2.4710000000000001</v>
      </c>
      <c r="BT23" s="4">
        <v>1.895</v>
      </c>
      <c r="BU23" s="4">
        <v>1.8819999999999999</v>
      </c>
      <c r="BV23" s="4">
        <v>2.7679999999999998</v>
      </c>
      <c r="BW23" s="4">
        <v>4.4969999999999999</v>
      </c>
      <c r="BX23" s="4">
        <v>2.367</v>
      </c>
      <c r="BY23" s="4">
        <v>2.3519999999999999</v>
      </c>
      <c r="BZ23" s="55">
        <v>2.42</v>
      </c>
      <c r="CA23" s="55">
        <v>0</v>
      </c>
      <c r="CB23" s="55">
        <v>0</v>
      </c>
      <c r="CC23" s="55">
        <v>2.31</v>
      </c>
      <c r="CD23" s="55">
        <v>0</v>
      </c>
      <c r="CE23" s="19">
        <v>0</v>
      </c>
      <c r="CF23" s="19">
        <v>0</v>
      </c>
      <c r="CG23" s="4">
        <v>2.29</v>
      </c>
      <c r="CH23" s="4">
        <v>0</v>
      </c>
      <c r="CI23" s="4">
        <v>0</v>
      </c>
      <c r="CJ23" s="34">
        <v>0</v>
      </c>
      <c r="CK23" s="34">
        <v>0</v>
      </c>
      <c r="CL23" s="34">
        <v>0</v>
      </c>
      <c r="CM23" s="4">
        <v>0</v>
      </c>
      <c r="CN23" s="53">
        <v>0</v>
      </c>
      <c r="CO23" s="54">
        <v>0</v>
      </c>
      <c r="CP23" s="54">
        <v>0</v>
      </c>
      <c r="CQ23" s="4">
        <v>0</v>
      </c>
    </row>
    <row r="24" spans="1:95" s="55" customFormat="1" x14ac:dyDescent="0.35">
      <c r="A24" s="55">
        <v>23</v>
      </c>
      <c r="B24" s="55" t="s">
        <v>111</v>
      </c>
      <c r="C24" s="27" t="s">
        <v>660</v>
      </c>
      <c r="D24" s="6" t="s">
        <v>88</v>
      </c>
      <c r="E24" s="33" t="s">
        <v>91</v>
      </c>
      <c r="F24" s="4">
        <f>IFERROR(AVERAGEIF(Table1[[#This Row],[2019-Apr]:[2025-July]],"&lt;&gt;0"),0)</f>
        <v>4.9274827586206884</v>
      </c>
      <c r="G24" s="4">
        <f ca="1">IFERROR(AVERAGEIF(OFFSET(Table1[[#This Row],[Status]],0,COUNT(Table1[[#This Row],[2019-May]:[2025-July]]),1,-12),"&lt;&gt;0"),0)</f>
        <v>5.18</v>
      </c>
      <c r="H24" s="55">
        <f>IFERROR(SMALL(Table1[[#This Row],[2019-Apr]:[2025-July]],COUNTIF(Table1[[#This Row],[2019-Apr]:[2025-July]],0)+1),0)</f>
        <v>2.72</v>
      </c>
      <c r="I24" s="55">
        <f>IFERROR(MAX(Table1[[#This Row],[2019-Apr]:[2025-July]]),0)</f>
        <v>9.41</v>
      </c>
      <c r="J24" s="4" cm="1">
        <f t="array" ref="J2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3.1374999999999997</v>
      </c>
      <c r="K24" s="4">
        <v>4.5</v>
      </c>
      <c r="L24" s="4">
        <f>IF(Table1[[#This Row],[Standard as per ISO]]&gt;=Table1[[#This Row],[Avg of best 6]],Table1[[#This Row],[Standard as per ISO]],Table1[[#This Row],[Avg of best 6]])</f>
        <v>4.5</v>
      </c>
      <c r="M24" s="4" cm="1">
        <f t="array" ref="M24">IFERROR(LOOKUP(2,1/(Table1[[#This Row],[2019-May]:[2025-July]]&lt;&gt;0),Table1[[#This Row],[2019-May]:[2025-July]]),0)</f>
        <v>5.18</v>
      </c>
      <c r="N24" s="4">
        <f>COUNTIF(Table1[[#This Row],[2019-Apr]:[2025-July]],"&gt;="&amp;Table1[[#This Row],[Target]])</f>
        <v>27</v>
      </c>
      <c r="O24" s="4">
        <f>IF(Table1[[#This Row],[Outliers 2Y]]=0,1,0)</f>
        <v>0</v>
      </c>
      <c r="P24" s="4">
        <f>IF(Table1[[#This Row],[Last value]]&gt;1.5*Table1[[#This Row],[Target]],1,0)</f>
        <v>0</v>
      </c>
      <c r="Q24" s="4">
        <f>IF(AND(1.5*Table1[[#This Row],[Target]]&gt;=Table1[[#This Row],[Last value]],Table1[[#This Row],[Last value]]&gt;Table1[[#This Row],[Target]]),1,0)</f>
        <v>1</v>
      </c>
      <c r="R24" s="4">
        <f>IF(Table1[[#This Row],[Target]]&gt;=Table1[[#This Row],[Last value]],1,0)</f>
        <v>0</v>
      </c>
      <c r="S24" s="4" t="str">
        <f t="shared" si="0"/>
        <v>Yellow</v>
      </c>
      <c r="T24" s="7">
        <v>9.4</v>
      </c>
      <c r="U24" s="7">
        <v>7.56</v>
      </c>
      <c r="V24" s="7">
        <v>8.92</v>
      </c>
      <c r="W24" s="7">
        <v>7.4</v>
      </c>
      <c r="X24" s="7">
        <v>5.71</v>
      </c>
      <c r="Y24" s="7">
        <v>6.2</v>
      </c>
      <c r="Z24" s="7">
        <v>0</v>
      </c>
      <c r="AA24" s="7">
        <v>8.9</v>
      </c>
      <c r="AB24" s="7">
        <v>7.05</v>
      </c>
      <c r="AC24" s="7">
        <v>0</v>
      </c>
      <c r="AD24" s="7">
        <v>9.41</v>
      </c>
      <c r="AE24" s="7">
        <v>5.8</v>
      </c>
      <c r="AF24" s="7">
        <v>8.49</v>
      </c>
      <c r="AG24" s="7">
        <v>4.9000000000000004</v>
      </c>
      <c r="AH24" s="7">
        <v>6.2</v>
      </c>
      <c r="AI24" s="7">
        <v>7.07</v>
      </c>
      <c r="AJ24" s="7">
        <v>3.12</v>
      </c>
      <c r="AK24" s="7">
        <v>2.72</v>
      </c>
      <c r="AL24" s="7">
        <v>3.37</v>
      </c>
      <c r="AM24" s="7">
        <v>0</v>
      </c>
      <c r="AN24" s="7">
        <v>4.3</v>
      </c>
      <c r="AO24" s="7">
        <v>3.6</v>
      </c>
      <c r="AP24" s="7">
        <v>4.7</v>
      </c>
      <c r="AQ24" s="7">
        <v>4.05</v>
      </c>
      <c r="AR24" s="9">
        <v>3.91</v>
      </c>
      <c r="AS24" s="9">
        <v>4.54</v>
      </c>
      <c r="AT24" s="9">
        <v>4.6900000000000004</v>
      </c>
      <c r="AU24" s="50">
        <v>4.18</v>
      </c>
      <c r="AV24" s="50">
        <v>3.3</v>
      </c>
      <c r="AW24" s="50">
        <v>3.78</v>
      </c>
      <c r="AX24" s="50">
        <v>4.3899999999999997</v>
      </c>
      <c r="AY24" s="50">
        <v>5.35</v>
      </c>
      <c r="AZ24" s="50">
        <v>6.37</v>
      </c>
      <c r="BA24" s="50">
        <v>3.2</v>
      </c>
      <c r="BB24" s="50">
        <v>4.5</v>
      </c>
      <c r="BC24" s="55">
        <v>4.5999999999999996</v>
      </c>
      <c r="BD24" s="55">
        <v>3.5</v>
      </c>
      <c r="BE24" s="11">
        <v>4.7670000000000003</v>
      </c>
      <c r="BF24" s="4">
        <v>0</v>
      </c>
      <c r="BG24" s="4">
        <v>5.86</v>
      </c>
      <c r="BH24" s="4">
        <v>4.8680000000000003</v>
      </c>
      <c r="BI24" s="4">
        <v>5.3609999999999998</v>
      </c>
      <c r="BJ24" s="13">
        <v>4.0629999999999997</v>
      </c>
      <c r="BK24" s="13">
        <v>3.774</v>
      </c>
      <c r="BL24" s="4">
        <v>4.4089999999999998</v>
      </c>
      <c r="BM24" s="16">
        <v>3.5459999999999998</v>
      </c>
      <c r="BN24" s="4">
        <v>3.7919999999999998</v>
      </c>
      <c r="BO24" s="4">
        <v>3.879</v>
      </c>
      <c r="BP24" s="4">
        <v>3.1989999999999998</v>
      </c>
      <c r="BQ24" s="4">
        <v>3.4289999999999998</v>
      </c>
      <c r="BR24" s="4">
        <v>3.899</v>
      </c>
      <c r="BS24" s="4">
        <v>3.286</v>
      </c>
      <c r="BT24" s="4">
        <v>4.1719999999999997</v>
      </c>
      <c r="BU24" s="4">
        <v>3.8210000000000002</v>
      </c>
      <c r="BV24" s="4">
        <v>3.3290000000000002</v>
      </c>
      <c r="BW24" s="4">
        <v>3.8090000000000002</v>
      </c>
      <c r="BX24" s="4">
        <v>3.5680000000000001</v>
      </c>
      <c r="BY24" s="4">
        <v>4.3929999999999998</v>
      </c>
      <c r="BZ24" s="55">
        <v>5.34</v>
      </c>
      <c r="CA24" s="55">
        <v>4.43</v>
      </c>
      <c r="CB24" s="55">
        <v>4.4400000000000004</v>
      </c>
      <c r="CC24" s="55">
        <v>0</v>
      </c>
      <c r="CD24" s="55">
        <v>0</v>
      </c>
      <c r="CE24" s="19">
        <v>0</v>
      </c>
      <c r="CF24" s="19">
        <v>0</v>
      </c>
      <c r="CG24" s="4">
        <v>5.18</v>
      </c>
      <c r="CH24" s="4">
        <v>0</v>
      </c>
      <c r="CI24" s="4">
        <v>0</v>
      </c>
      <c r="CJ24" s="34">
        <v>0</v>
      </c>
      <c r="CK24" s="34">
        <v>0</v>
      </c>
      <c r="CL24" s="34">
        <v>0</v>
      </c>
      <c r="CM24" s="4">
        <v>0</v>
      </c>
      <c r="CN24" s="53">
        <v>0</v>
      </c>
      <c r="CO24" s="54">
        <v>0</v>
      </c>
      <c r="CP24" s="54">
        <v>0</v>
      </c>
      <c r="CQ24" s="4">
        <v>0</v>
      </c>
    </row>
    <row r="25" spans="1:95" s="55" customFormat="1" x14ac:dyDescent="0.35">
      <c r="A25" s="55">
        <v>24</v>
      </c>
      <c r="B25" s="55" t="s">
        <v>111</v>
      </c>
      <c r="C25" s="27" t="s">
        <v>661</v>
      </c>
      <c r="D25" s="6" t="s">
        <v>88</v>
      </c>
      <c r="E25" s="33" t="s">
        <v>91</v>
      </c>
      <c r="F25" s="4">
        <f>IFERROR(AVERAGEIF(Table1[[#This Row],[2019-Apr]:[2025-July]],"&lt;&gt;0"),0)</f>
        <v>6.9265263157894736</v>
      </c>
      <c r="G25" s="4">
        <f ca="1">IFERROR(AVERAGEIF(OFFSET(Table1[[#This Row],[Status]],0,COUNT(Table1[[#This Row],[2019-May]:[2025-July]]),1,-12),"&lt;&gt;0"),0)</f>
        <v>6.51</v>
      </c>
      <c r="H25" s="55">
        <f>IFERROR(SMALL(Table1[[#This Row],[2019-Apr]:[2025-July]],COUNTIF(Table1[[#This Row],[2019-Apr]:[2025-July]],0)+1),0)</f>
        <v>3.6459999999999999</v>
      </c>
      <c r="I25" s="55">
        <f>IFERROR(MAX(Table1[[#This Row],[2019-Apr]:[2025-July]]),0)</f>
        <v>19.3</v>
      </c>
      <c r="J25" s="4" cm="1">
        <f t="array" ref="J2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3.9963333333333337</v>
      </c>
      <c r="K25" s="4">
        <v>4.5</v>
      </c>
      <c r="L25" s="4">
        <f>IF(Table1[[#This Row],[Standard as per ISO]]&gt;=Table1[[#This Row],[Avg of best 6]],Table1[[#This Row],[Standard as per ISO]],Table1[[#This Row],[Avg of best 6]])</f>
        <v>4.5</v>
      </c>
      <c r="M25" s="4" cm="1">
        <f t="array" ref="M25">IFERROR(LOOKUP(2,1/(Table1[[#This Row],[2019-May]:[2025-July]]&lt;&gt;0),Table1[[#This Row],[2019-May]:[2025-July]]),0)</f>
        <v>6.51</v>
      </c>
      <c r="N25" s="4">
        <f>COUNTIF(Table1[[#This Row],[2019-Apr]:[2025-July]],"&gt;="&amp;Table1[[#This Row],[Target]])</f>
        <v>50</v>
      </c>
      <c r="O25" s="4">
        <f>IF(Table1[[#This Row],[Outliers 2Y]]=0,1,0)</f>
        <v>0</v>
      </c>
      <c r="P25" s="4">
        <f>IF(Table1[[#This Row],[Last value]]&gt;1.5*Table1[[#This Row],[Target]],1,0)</f>
        <v>0</v>
      </c>
      <c r="Q25" s="4">
        <f>IF(AND(1.5*Table1[[#This Row],[Target]]&gt;=Table1[[#This Row],[Last value]],Table1[[#This Row],[Last value]]&gt;Table1[[#This Row],[Target]]),1,0)</f>
        <v>1</v>
      </c>
      <c r="R25" s="4">
        <f>IF(Table1[[#This Row],[Target]]&gt;=Table1[[#This Row],[Last value]],1,0)</f>
        <v>0</v>
      </c>
      <c r="S25" s="4" t="str">
        <f t="shared" si="0"/>
        <v>Yellow</v>
      </c>
      <c r="T25" s="7">
        <v>18.100000000000001</v>
      </c>
      <c r="U25" s="7">
        <v>16.5</v>
      </c>
      <c r="V25" s="7">
        <v>19.3</v>
      </c>
      <c r="W25" s="7">
        <v>13.6</v>
      </c>
      <c r="X25" s="7">
        <v>8.9</v>
      </c>
      <c r="Y25" s="7">
        <v>8.6</v>
      </c>
      <c r="Z25" s="7">
        <v>0</v>
      </c>
      <c r="AA25" s="7">
        <v>10.4</v>
      </c>
      <c r="AB25" s="7">
        <v>14.5</v>
      </c>
      <c r="AC25" s="7">
        <v>8.77</v>
      </c>
      <c r="AD25" s="7">
        <v>10</v>
      </c>
      <c r="AE25" s="7">
        <v>4.0999999999999996</v>
      </c>
      <c r="AF25" s="7">
        <v>3.93</v>
      </c>
      <c r="AG25" s="7">
        <v>4.5</v>
      </c>
      <c r="AH25" s="7">
        <v>4.8</v>
      </c>
      <c r="AI25" s="7">
        <v>4.5199999999999996</v>
      </c>
      <c r="AJ25" s="7">
        <v>4.5999999999999996</v>
      </c>
      <c r="AK25" s="7">
        <v>4.8</v>
      </c>
      <c r="AL25" s="7">
        <v>5.87</v>
      </c>
      <c r="AM25" s="7">
        <v>0</v>
      </c>
      <c r="AN25" s="7">
        <v>5.0999999999999996</v>
      </c>
      <c r="AO25" s="7">
        <v>6.1</v>
      </c>
      <c r="AP25" s="7">
        <v>5.89</v>
      </c>
      <c r="AQ25" s="7">
        <v>5.38</v>
      </c>
      <c r="AR25" s="9">
        <v>4.59</v>
      </c>
      <c r="AS25" s="9">
        <v>4.4800000000000004</v>
      </c>
      <c r="AT25" s="9">
        <v>0</v>
      </c>
      <c r="AU25" s="50">
        <v>7.28</v>
      </c>
      <c r="AV25" s="50">
        <v>4.4420000000000002</v>
      </c>
      <c r="AW25" s="50">
        <v>4.91</v>
      </c>
      <c r="AX25" s="50">
        <v>8.7799999999999994</v>
      </c>
      <c r="AY25" s="50">
        <v>7.23</v>
      </c>
      <c r="AZ25" s="50">
        <v>8.83</v>
      </c>
      <c r="BA25" s="50">
        <v>7.7</v>
      </c>
      <c r="BB25" s="50">
        <v>4</v>
      </c>
      <c r="BC25" s="55">
        <v>6.3</v>
      </c>
      <c r="BD25" s="55">
        <v>0</v>
      </c>
      <c r="BE25" s="11">
        <v>5.5339999999999998</v>
      </c>
      <c r="BF25" s="4">
        <v>5.34</v>
      </c>
      <c r="BG25" s="4">
        <v>6.9</v>
      </c>
      <c r="BH25" s="4">
        <v>6.42</v>
      </c>
      <c r="BI25" s="4">
        <v>6.452</v>
      </c>
      <c r="BJ25" s="14">
        <v>5.4480000000000004</v>
      </c>
      <c r="BK25" s="14">
        <v>6.125</v>
      </c>
      <c r="BL25" s="4">
        <v>6.2590000000000003</v>
      </c>
      <c r="BM25" s="17">
        <v>6.8529999999999998</v>
      </c>
      <c r="BN25" s="4">
        <v>0</v>
      </c>
      <c r="BO25" s="4">
        <v>4.7939999999999996</v>
      </c>
      <c r="BP25" s="4">
        <v>5.9329999999999998</v>
      </c>
      <c r="BQ25" s="4">
        <v>4.55</v>
      </c>
      <c r="BR25" s="4">
        <v>4.8380000000000001</v>
      </c>
      <c r="BS25" s="4">
        <v>3.6459999999999999</v>
      </c>
      <c r="BT25" s="4">
        <v>5.1369999999999996</v>
      </c>
      <c r="BU25" s="4">
        <v>6.2119999999999997</v>
      </c>
      <c r="BV25" s="4">
        <v>4.7039999999999997</v>
      </c>
      <c r="BW25" s="4">
        <v>0</v>
      </c>
      <c r="BX25" s="4">
        <v>6.827</v>
      </c>
      <c r="BY25" s="4">
        <v>5.9379999999999997</v>
      </c>
      <c r="BZ25" s="55">
        <v>3.86</v>
      </c>
      <c r="CA25" s="55">
        <v>6.55</v>
      </c>
      <c r="CB25" s="55">
        <v>6.89</v>
      </c>
      <c r="CC25" s="55">
        <v>0</v>
      </c>
      <c r="CD25" s="55">
        <v>6.29</v>
      </c>
      <c r="CE25" s="19">
        <v>0</v>
      </c>
      <c r="CF25" s="19">
        <v>0</v>
      </c>
      <c r="CG25" s="4">
        <v>6.51</v>
      </c>
      <c r="CH25" s="4">
        <v>0</v>
      </c>
      <c r="CI25" s="4">
        <v>0</v>
      </c>
      <c r="CJ25" s="34">
        <v>0</v>
      </c>
      <c r="CK25" s="34">
        <v>0</v>
      </c>
      <c r="CL25" s="34">
        <v>0</v>
      </c>
      <c r="CM25" s="4">
        <v>0</v>
      </c>
      <c r="CN25" s="53">
        <v>0</v>
      </c>
      <c r="CO25" s="54">
        <v>0</v>
      </c>
      <c r="CP25" s="54">
        <v>0</v>
      </c>
      <c r="CQ25" s="4">
        <v>0</v>
      </c>
    </row>
    <row r="26" spans="1:95" s="55" customFormat="1" x14ac:dyDescent="0.35">
      <c r="A26" s="55">
        <v>25</v>
      </c>
      <c r="B26" s="55" t="s">
        <v>111</v>
      </c>
      <c r="C26" s="27" t="s">
        <v>662</v>
      </c>
      <c r="D26" s="6" t="s">
        <v>88</v>
      </c>
      <c r="E26" s="33" t="s">
        <v>91</v>
      </c>
      <c r="F26" s="4">
        <f>IFERROR(AVERAGEIF(Table1[[#This Row],[2019-Apr]:[2025-July]],"&lt;&gt;0"),0)</f>
        <v>8.0885849056603778</v>
      </c>
      <c r="G26" s="4">
        <f ca="1">IFERROR(AVERAGEIF(OFFSET(Table1[[#This Row],[Status]],0,COUNT(Table1[[#This Row],[2019-May]:[2025-July]]),1,-12),"&lt;&gt;0"),0)</f>
        <v>9.2649999999999988</v>
      </c>
      <c r="H26" s="55">
        <f>IFERROR(SMALL(Table1[[#This Row],[2019-Apr]:[2025-July]],COUNTIF(Table1[[#This Row],[2019-Apr]:[2025-July]],0)+1),0)</f>
        <v>4.22</v>
      </c>
      <c r="I26" s="55">
        <f>IFERROR(MAX(Table1[[#This Row],[2019-Apr]:[2025-July]]),0)</f>
        <v>15.5</v>
      </c>
      <c r="J26" s="4" cm="1">
        <f t="array" ref="J2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4.6550000000000002</v>
      </c>
      <c r="K26" s="4">
        <v>4.5</v>
      </c>
      <c r="L26" s="4">
        <f>IF(Table1[[#This Row],[Standard as per ISO]]&gt;=Table1[[#This Row],[Avg of best 6]],Table1[[#This Row],[Standard as per ISO]],Table1[[#This Row],[Avg of best 6]])</f>
        <v>4.6550000000000002</v>
      </c>
      <c r="M26" s="4" cm="1">
        <f t="array" ref="M26">IFERROR(LOOKUP(2,1/(Table1[[#This Row],[2019-May]:[2025-July]]&lt;&gt;0),Table1[[#This Row],[2019-May]:[2025-July]]),0)</f>
        <v>5.76</v>
      </c>
      <c r="N26" s="4">
        <f>COUNTIF(Table1[[#This Row],[2019-Apr]:[2025-July]],"&gt;="&amp;Table1[[#This Row],[Target]])</f>
        <v>49</v>
      </c>
      <c r="O26" s="4">
        <f>IF(Table1[[#This Row],[Outliers 2Y]]=0,1,0)</f>
        <v>0</v>
      </c>
      <c r="P26" s="4">
        <f>IF(Table1[[#This Row],[Last value]]&gt;1.5*Table1[[#This Row],[Target]],1,0)</f>
        <v>0</v>
      </c>
      <c r="Q26" s="4">
        <f>IF(AND(1.5*Table1[[#This Row],[Target]]&gt;=Table1[[#This Row],[Last value]],Table1[[#This Row],[Last value]]&gt;Table1[[#This Row],[Target]]),1,0)</f>
        <v>1</v>
      </c>
      <c r="R26" s="4">
        <f>IF(Table1[[#This Row],[Target]]&gt;=Table1[[#This Row],[Last value]],1,0)</f>
        <v>0</v>
      </c>
      <c r="S26" s="4" t="str">
        <f t="shared" si="0"/>
        <v>Yellow</v>
      </c>
      <c r="T26" s="7">
        <v>0</v>
      </c>
      <c r="U26" s="7">
        <v>0</v>
      </c>
      <c r="V26" s="7">
        <v>0</v>
      </c>
      <c r="W26" s="7">
        <v>4.5</v>
      </c>
      <c r="X26" s="7">
        <v>4.9000000000000004</v>
      </c>
      <c r="Y26" s="7">
        <v>0</v>
      </c>
      <c r="Z26" s="7">
        <v>0</v>
      </c>
      <c r="AA26" s="7">
        <v>14.6</v>
      </c>
      <c r="AB26" s="7">
        <v>15.5</v>
      </c>
      <c r="AC26" s="7">
        <v>14.6</v>
      </c>
      <c r="AD26" s="7">
        <v>12.6</v>
      </c>
      <c r="AE26" s="7">
        <v>4.5599999999999996</v>
      </c>
      <c r="AF26" s="7">
        <v>7.74</v>
      </c>
      <c r="AG26" s="7">
        <v>7.6</v>
      </c>
      <c r="AH26" s="7">
        <v>9.6999999999999993</v>
      </c>
      <c r="AI26" s="7">
        <v>7.1</v>
      </c>
      <c r="AJ26" s="7">
        <v>6.96</v>
      </c>
      <c r="AK26" s="7">
        <v>0</v>
      </c>
      <c r="AL26" s="7">
        <v>7.03</v>
      </c>
      <c r="AM26" s="7">
        <v>0</v>
      </c>
      <c r="AN26" s="7">
        <v>8.1999999999999993</v>
      </c>
      <c r="AO26" s="7">
        <v>9.1</v>
      </c>
      <c r="AP26" s="7">
        <v>8.2899999999999991</v>
      </c>
      <c r="AQ26" s="7">
        <v>0</v>
      </c>
      <c r="AR26" s="9">
        <v>8.39</v>
      </c>
      <c r="AS26" s="9">
        <v>6.72</v>
      </c>
      <c r="AT26" s="9">
        <v>6.7</v>
      </c>
      <c r="AU26" s="50">
        <v>7.09</v>
      </c>
      <c r="AV26" s="50">
        <v>7.07</v>
      </c>
      <c r="AW26" s="50">
        <v>5.68</v>
      </c>
      <c r="AX26" s="50">
        <v>5.36</v>
      </c>
      <c r="AY26" s="50">
        <v>5.35</v>
      </c>
      <c r="AZ26" s="50">
        <v>4.22</v>
      </c>
      <c r="BA26" s="50">
        <v>4.4000000000000004</v>
      </c>
      <c r="BB26" s="50">
        <v>8.6999999999999993</v>
      </c>
      <c r="BC26" s="55">
        <v>6.5</v>
      </c>
      <c r="BD26" s="55">
        <v>0</v>
      </c>
      <c r="BE26" s="11">
        <v>8.0069999999999997</v>
      </c>
      <c r="BF26" s="4">
        <v>8.4870000000000001</v>
      </c>
      <c r="BG26" s="4">
        <v>0</v>
      </c>
      <c r="BH26" s="4">
        <v>9.7750000000000004</v>
      </c>
      <c r="BI26" s="4">
        <v>9.4740000000000002</v>
      </c>
      <c r="BJ26" s="13">
        <v>6.077</v>
      </c>
      <c r="BK26" s="13">
        <v>6.8280000000000003</v>
      </c>
      <c r="BL26" s="4">
        <v>8.4429999999999996</v>
      </c>
      <c r="BM26" s="16">
        <v>6.984</v>
      </c>
      <c r="BN26" s="4">
        <v>6.3040000000000003</v>
      </c>
      <c r="BO26" s="4">
        <v>6.048</v>
      </c>
      <c r="BP26" s="4">
        <v>8.5860000000000003</v>
      </c>
      <c r="BQ26" s="4">
        <v>6.625</v>
      </c>
      <c r="BR26" s="4">
        <v>7.9340000000000002</v>
      </c>
      <c r="BS26" s="4">
        <v>10.68</v>
      </c>
      <c r="BT26" s="4">
        <v>0</v>
      </c>
      <c r="BU26" s="4">
        <v>10.62</v>
      </c>
      <c r="BV26" s="4">
        <v>11.14</v>
      </c>
      <c r="BW26" s="4">
        <v>0</v>
      </c>
      <c r="BX26" s="4">
        <v>5.9379999999999997</v>
      </c>
      <c r="BY26" s="4">
        <v>6.9749999999999996</v>
      </c>
      <c r="BZ26" s="55">
        <v>0</v>
      </c>
      <c r="CA26" s="55">
        <v>6.97</v>
      </c>
      <c r="CB26" s="55">
        <v>8.14</v>
      </c>
      <c r="CC26" s="55">
        <v>0</v>
      </c>
      <c r="CD26" s="55">
        <v>12.44</v>
      </c>
      <c r="CE26" s="19">
        <v>11.5</v>
      </c>
      <c r="CF26" s="19">
        <v>8.1999999999999993</v>
      </c>
      <c r="CG26" s="4">
        <v>11.6</v>
      </c>
      <c r="CH26" s="4">
        <v>5.76</v>
      </c>
      <c r="CI26" s="4">
        <v>0</v>
      </c>
      <c r="CJ26" s="34">
        <v>0</v>
      </c>
      <c r="CK26" s="34">
        <v>0</v>
      </c>
      <c r="CL26" s="34">
        <v>0</v>
      </c>
      <c r="CM26" s="4">
        <v>0</v>
      </c>
      <c r="CN26" s="53">
        <v>0</v>
      </c>
      <c r="CO26" s="54">
        <v>0</v>
      </c>
      <c r="CP26" s="54">
        <v>0</v>
      </c>
      <c r="CQ26" s="4">
        <v>0</v>
      </c>
    </row>
    <row r="27" spans="1:95" s="55" customFormat="1" x14ac:dyDescent="0.35">
      <c r="A27" s="55">
        <v>26</v>
      </c>
      <c r="B27" s="55" t="s">
        <v>111</v>
      </c>
      <c r="C27" s="27" t="s">
        <v>663</v>
      </c>
      <c r="D27" s="6" t="s">
        <v>88</v>
      </c>
      <c r="E27" s="33" t="s">
        <v>89</v>
      </c>
      <c r="F27" s="4">
        <f>IFERROR(AVERAGEIF(Table1[[#This Row],[2019-Apr]:[2025-July]],"&lt;&gt;0"),0)</f>
        <v>2.7863404255319155</v>
      </c>
      <c r="G27" s="4">
        <f ca="1">IFERROR(AVERAGEIF(OFFSET(Table1[[#This Row],[Status]],0,COUNT(Table1[[#This Row],[2019-May]:[2025-July]]),1,-12),"&lt;&gt;0"),0)</f>
        <v>2.34</v>
      </c>
      <c r="H27" s="55">
        <f>IFERROR(SMALL(Table1[[#This Row],[2019-Apr]:[2025-July]],COUNTIF(Table1[[#This Row],[2019-Apr]:[2025-July]],0)+1),0)</f>
        <v>2.0369999999999999</v>
      </c>
      <c r="I27" s="55">
        <f>IFERROR(MAX(Table1[[#This Row],[2019-Apr]:[2025-July]]),0)</f>
        <v>5.87</v>
      </c>
      <c r="J27" s="4" cm="1">
        <f t="array" ref="J2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2.1143333333333332</v>
      </c>
      <c r="K27" s="4">
        <v>4.5</v>
      </c>
      <c r="L27" s="4">
        <f>IF(Table1[[#This Row],[Standard as per ISO]]&gt;=Table1[[#This Row],[Avg of best 6]],Table1[[#This Row],[Standard as per ISO]],Table1[[#This Row],[Avg of best 6]])</f>
        <v>4.5</v>
      </c>
      <c r="M27" s="4" cm="1">
        <f t="array" ref="M27">IFERROR(LOOKUP(2,1/(Table1[[#This Row],[2019-May]:[2025-July]]&lt;&gt;0),Table1[[#This Row],[2019-May]:[2025-July]]),0)</f>
        <v>3</v>
      </c>
      <c r="N27" s="4">
        <f>COUNTIF(Table1[[#This Row],[2019-Apr]:[2025-July]],"&gt;="&amp;Table1[[#This Row],[Target]])</f>
        <v>1</v>
      </c>
      <c r="O27" s="4">
        <f>IF(Table1[[#This Row],[Outliers 2Y]]=0,1,0)</f>
        <v>0</v>
      </c>
      <c r="P27" s="4">
        <f>IF(Table1[[#This Row],[Last value]]&gt;1.5*Table1[[#This Row],[Target]],1,0)</f>
        <v>0</v>
      </c>
      <c r="Q27" s="4">
        <f>IF(AND(1.5*Table1[[#This Row],[Target]]&gt;=Table1[[#This Row],[Last value]],Table1[[#This Row],[Last value]]&gt;Table1[[#This Row],[Target]]),1,0)</f>
        <v>0</v>
      </c>
      <c r="R27" s="4">
        <f>IF(Table1[[#This Row],[Target]]&gt;=Table1[[#This Row],[Last value]],1,0)</f>
        <v>1</v>
      </c>
      <c r="S27" s="4" t="str">
        <f t="shared" si="0"/>
        <v>Green</v>
      </c>
      <c r="T27" s="7">
        <v>0</v>
      </c>
      <c r="U27" s="7">
        <v>2.95</v>
      </c>
      <c r="V27" s="7">
        <v>2.4300000000000002</v>
      </c>
      <c r="W27" s="7">
        <v>2.7</v>
      </c>
      <c r="X27" s="7">
        <v>2.58</v>
      </c>
      <c r="Y27" s="7">
        <v>2.5</v>
      </c>
      <c r="Z27" s="7">
        <v>0</v>
      </c>
      <c r="AA27" s="7">
        <v>3.1</v>
      </c>
      <c r="AB27" s="7">
        <v>0</v>
      </c>
      <c r="AC27" s="7">
        <v>2.95</v>
      </c>
      <c r="AD27" s="7">
        <v>2.69</v>
      </c>
      <c r="AE27" s="7">
        <v>3.5</v>
      </c>
      <c r="AF27" s="7">
        <v>2.5</v>
      </c>
      <c r="AG27" s="7">
        <v>2.4</v>
      </c>
      <c r="AH27" s="7">
        <v>2.5</v>
      </c>
      <c r="AI27" s="7">
        <v>0</v>
      </c>
      <c r="AJ27" s="7">
        <v>2.7</v>
      </c>
      <c r="AK27" s="7">
        <v>2.62</v>
      </c>
      <c r="AL27" s="7">
        <v>2.78</v>
      </c>
      <c r="AM27" s="7">
        <v>0</v>
      </c>
      <c r="AN27" s="7">
        <v>2.9</v>
      </c>
      <c r="AO27" s="7">
        <v>2.8</v>
      </c>
      <c r="AP27" s="7">
        <v>2.67</v>
      </c>
      <c r="AQ27" s="7">
        <v>2.54</v>
      </c>
      <c r="AR27" s="9">
        <v>2.16</v>
      </c>
      <c r="AS27" s="9">
        <v>3.3</v>
      </c>
      <c r="AT27" s="9">
        <v>0</v>
      </c>
      <c r="AU27" s="50">
        <v>3.05</v>
      </c>
      <c r="AV27" s="50">
        <v>2.87</v>
      </c>
      <c r="AW27" s="50">
        <v>3.75</v>
      </c>
      <c r="AX27" s="50">
        <v>3.82</v>
      </c>
      <c r="AY27" s="50">
        <v>2.65</v>
      </c>
      <c r="AZ27" s="50">
        <v>5.87</v>
      </c>
      <c r="BA27" s="50">
        <v>3.4</v>
      </c>
      <c r="BB27" s="50">
        <v>3.8</v>
      </c>
      <c r="BC27" s="55">
        <v>3</v>
      </c>
      <c r="BD27" s="55">
        <v>0</v>
      </c>
      <c r="BE27" s="11">
        <v>2.5630000000000002</v>
      </c>
      <c r="BF27" s="4">
        <v>2.3839999999999999</v>
      </c>
      <c r="BG27" s="4">
        <v>2.27</v>
      </c>
      <c r="BH27" s="4">
        <v>2.0710000000000002</v>
      </c>
      <c r="BI27" s="4">
        <v>2.44</v>
      </c>
      <c r="BJ27" s="14">
        <v>2.5190000000000001</v>
      </c>
      <c r="BK27" s="14">
        <v>2.0990000000000002</v>
      </c>
      <c r="BL27" s="4">
        <v>2.69</v>
      </c>
      <c r="BM27" s="17">
        <v>2.4369999999999998</v>
      </c>
      <c r="BN27" s="4">
        <v>0</v>
      </c>
      <c r="BO27" s="4">
        <v>2.9870000000000001</v>
      </c>
      <c r="BP27" s="4">
        <v>2.1680000000000001</v>
      </c>
      <c r="BQ27" s="4">
        <v>2.1509999999999998</v>
      </c>
      <c r="BR27" s="4">
        <v>2.9820000000000002</v>
      </c>
      <c r="BS27" s="4">
        <v>2.0369999999999999</v>
      </c>
      <c r="BT27" s="4">
        <v>0</v>
      </c>
      <c r="BU27" s="4">
        <v>0</v>
      </c>
      <c r="BV27" s="4">
        <v>2.34</v>
      </c>
      <c r="BW27" s="4">
        <v>0</v>
      </c>
      <c r="BX27" s="4">
        <v>0</v>
      </c>
      <c r="BY27" s="4">
        <v>0</v>
      </c>
      <c r="BZ27" s="55">
        <v>0</v>
      </c>
      <c r="CA27" s="55">
        <v>0</v>
      </c>
      <c r="CB27" s="55">
        <v>0</v>
      </c>
      <c r="CC27" s="55">
        <v>0</v>
      </c>
      <c r="CD27" s="55">
        <v>0</v>
      </c>
      <c r="CE27" s="19">
        <v>0</v>
      </c>
      <c r="CF27" s="19">
        <v>0</v>
      </c>
      <c r="CG27" s="4">
        <v>0</v>
      </c>
      <c r="CH27" s="4">
        <v>2.34</v>
      </c>
      <c r="CI27" s="4">
        <v>0</v>
      </c>
      <c r="CJ27" s="34">
        <v>0</v>
      </c>
      <c r="CK27" s="34">
        <v>0</v>
      </c>
      <c r="CL27" s="43">
        <v>0</v>
      </c>
      <c r="CM27" s="4">
        <v>0</v>
      </c>
      <c r="CN27" s="53">
        <v>0</v>
      </c>
      <c r="CO27" s="54">
        <v>0</v>
      </c>
      <c r="CP27" s="54">
        <v>0</v>
      </c>
      <c r="CQ27" s="4">
        <v>3</v>
      </c>
    </row>
    <row r="28" spans="1:95" s="55" customFormat="1" x14ac:dyDescent="0.35">
      <c r="A28" s="55">
        <v>27</v>
      </c>
      <c r="B28" s="55" t="s">
        <v>111</v>
      </c>
      <c r="C28" s="27" t="s">
        <v>664</v>
      </c>
      <c r="D28" s="6" t="s">
        <v>88</v>
      </c>
      <c r="E28" s="33" t="s">
        <v>89</v>
      </c>
      <c r="F28" s="4">
        <f>IFERROR(AVERAGEIF(Table1[[#This Row],[2019-Apr]:[2025-July]],"&lt;&gt;0"),0)</f>
        <v>4.7323939393939414</v>
      </c>
      <c r="G28" s="4">
        <f ca="1">IFERROR(AVERAGEIF(OFFSET(Table1[[#This Row],[Status]],0,COUNT(Table1[[#This Row],[2019-May]:[2025-July]]),1,-12),"&lt;&gt;0"),0)</f>
        <v>6.47</v>
      </c>
      <c r="H28" s="55">
        <f>IFERROR(SMALL(Table1[[#This Row],[2019-Apr]:[2025-July]],COUNTIF(Table1[[#This Row],[2019-Apr]:[2025-July]],0)+1),0)</f>
        <v>1.68</v>
      </c>
      <c r="I28" s="55">
        <f>IFERROR(MAX(Table1[[#This Row],[2019-Apr]:[2025-July]]),0)</f>
        <v>12.78</v>
      </c>
      <c r="J28" s="4" cm="1">
        <f t="array" ref="J2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2.1060000000000003</v>
      </c>
      <c r="K28" s="4">
        <v>4.5</v>
      </c>
      <c r="L28" s="4">
        <f>IF(Table1[[#This Row],[Standard as per ISO]]&gt;=Table1[[#This Row],[Avg of best 6]],Table1[[#This Row],[Standard as per ISO]],Table1[[#This Row],[Avg of best 6]])</f>
        <v>4.5</v>
      </c>
      <c r="M28" s="4" cm="1">
        <f t="array" ref="M28">IFERROR(LOOKUP(2,1/(Table1[[#This Row],[2019-May]:[2025-July]]&lt;&gt;0),Table1[[#This Row],[2019-May]:[2025-July]]),0)</f>
        <v>6.6</v>
      </c>
      <c r="N28" s="4">
        <f>COUNTIF(Table1[[#This Row],[2019-Apr]:[2025-July]],"&gt;="&amp;Table1[[#This Row],[Target]])</f>
        <v>28</v>
      </c>
      <c r="O28" s="4">
        <f>IF(Table1[[#This Row],[Outliers 2Y]]=0,1,0)</f>
        <v>0</v>
      </c>
      <c r="P28" s="4">
        <f>IF(Table1[[#This Row],[Last value]]&gt;1.5*Table1[[#This Row],[Target]],1,0)</f>
        <v>0</v>
      </c>
      <c r="Q28" s="4">
        <f>IF(AND(1.5*Table1[[#This Row],[Target]]&gt;=Table1[[#This Row],[Last value]],Table1[[#This Row],[Last value]]&gt;Table1[[#This Row],[Target]]),1,0)</f>
        <v>1</v>
      </c>
      <c r="R28" s="4">
        <f>IF(Table1[[#This Row],[Target]]&gt;=Table1[[#This Row],[Last value]],1,0)</f>
        <v>0</v>
      </c>
      <c r="S28" s="4" t="str">
        <f t="shared" si="0"/>
        <v>Yellow</v>
      </c>
      <c r="T28" s="7">
        <v>4.0999999999999996</v>
      </c>
      <c r="U28" s="7">
        <v>3.44</v>
      </c>
      <c r="V28" s="7">
        <v>3.04</v>
      </c>
      <c r="W28" s="7">
        <v>2.76</v>
      </c>
      <c r="X28" s="7">
        <v>4.3499999999999996</v>
      </c>
      <c r="Y28" s="7">
        <v>5.4</v>
      </c>
      <c r="Z28" s="7">
        <v>0</v>
      </c>
      <c r="AA28" s="7">
        <v>0</v>
      </c>
      <c r="AB28" s="7">
        <v>3.67</v>
      </c>
      <c r="AC28" s="7">
        <v>4.5199999999999996</v>
      </c>
      <c r="AD28" s="7">
        <v>3.86</v>
      </c>
      <c r="AE28" s="7">
        <v>3.9</v>
      </c>
      <c r="AF28" s="7">
        <v>4</v>
      </c>
      <c r="AG28" s="7">
        <v>3.6</v>
      </c>
      <c r="AH28" s="7">
        <v>4</v>
      </c>
      <c r="AI28" s="7">
        <v>4.5</v>
      </c>
      <c r="AJ28" s="7">
        <v>4.45</v>
      </c>
      <c r="AK28" s="7">
        <v>2.27</v>
      </c>
      <c r="AL28" s="7">
        <v>5.68</v>
      </c>
      <c r="AM28" s="7">
        <v>0</v>
      </c>
      <c r="AN28" s="7">
        <v>8.9</v>
      </c>
      <c r="AO28" s="7">
        <v>9.4</v>
      </c>
      <c r="AP28" s="7">
        <v>0</v>
      </c>
      <c r="AQ28" s="7">
        <v>7.7</v>
      </c>
      <c r="AR28" s="9">
        <v>5.32</v>
      </c>
      <c r="AS28" s="9">
        <v>4.32</v>
      </c>
      <c r="AT28" s="9">
        <v>4.2699999999999996</v>
      </c>
      <c r="AU28" s="50">
        <v>4.25</v>
      </c>
      <c r="AV28" s="50">
        <v>4.5199999999999996</v>
      </c>
      <c r="AW28" s="50">
        <v>3.6</v>
      </c>
      <c r="AX28" s="50">
        <v>4.3899999999999997</v>
      </c>
      <c r="AY28" s="50">
        <v>5.87</v>
      </c>
      <c r="AZ28" s="50">
        <v>5.87</v>
      </c>
      <c r="BA28" s="50">
        <v>2.2999999999999998</v>
      </c>
      <c r="BB28" s="50">
        <v>4.5999999999999996</v>
      </c>
      <c r="BC28" s="55">
        <v>3.2</v>
      </c>
      <c r="BD28" s="55">
        <v>3.1</v>
      </c>
      <c r="BE28" s="11">
        <v>2.137</v>
      </c>
      <c r="BF28" s="4">
        <v>2.766</v>
      </c>
      <c r="BG28" s="4">
        <v>1.68</v>
      </c>
      <c r="BH28" s="4">
        <v>1.907</v>
      </c>
      <c r="BI28" s="4">
        <v>2.3420000000000001</v>
      </c>
      <c r="BJ28" s="13">
        <v>2.7440000000000002</v>
      </c>
      <c r="BK28" s="13">
        <v>3.8769999999999998</v>
      </c>
      <c r="BL28" s="4">
        <v>3.15</v>
      </c>
      <c r="BM28" s="16">
        <v>4.2089999999999996</v>
      </c>
      <c r="BN28" s="4">
        <v>4.8170000000000002</v>
      </c>
      <c r="BO28" s="4">
        <v>3.3929999999999998</v>
      </c>
      <c r="BP28" s="4">
        <v>3.4</v>
      </c>
      <c r="BQ28" s="4">
        <v>4.0179999999999998</v>
      </c>
      <c r="BR28" s="4">
        <v>5.7809999999999997</v>
      </c>
      <c r="BS28" s="4">
        <v>2.9710000000000001</v>
      </c>
      <c r="BT28" s="4">
        <v>3.6480000000000001</v>
      </c>
      <c r="BU28" s="4">
        <v>3.823</v>
      </c>
      <c r="BV28" s="4">
        <v>4.9729999999999999</v>
      </c>
      <c r="BW28" s="4">
        <v>8.6479999999999997</v>
      </c>
      <c r="BX28" s="4">
        <v>12.78</v>
      </c>
      <c r="BY28" s="4">
        <v>5.2640000000000002</v>
      </c>
      <c r="BZ28" s="55">
        <v>8.57</v>
      </c>
      <c r="CA28" s="55">
        <v>5.83</v>
      </c>
      <c r="CB28" s="55">
        <v>5.84</v>
      </c>
      <c r="CC28" s="55">
        <v>0</v>
      </c>
      <c r="CD28" s="55">
        <v>2.73</v>
      </c>
      <c r="CE28" s="19">
        <v>0</v>
      </c>
      <c r="CF28" s="19">
        <v>0</v>
      </c>
      <c r="CG28" s="4">
        <v>3.49</v>
      </c>
      <c r="CH28" s="4">
        <v>0</v>
      </c>
      <c r="CI28" s="4">
        <v>0</v>
      </c>
      <c r="CJ28" s="34">
        <v>0</v>
      </c>
      <c r="CK28" s="34">
        <v>5.6</v>
      </c>
      <c r="CL28" s="43">
        <v>6.3</v>
      </c>
      <c r="CM28" s="4">
        <v>6.3</v>
      </c>
      <c r="CN28" s="53">
        <v>6.7</v>
      </c>
      <c r="CO28" s="54">
        <v>6.4</v>
      </c>
      <c r="CP28" s="54">
        <v>10.5</v>
      </c>
      <c r="CQ28" s="4">
        <v>6.6</v>
      </c>
    </row>
    <row r="29" spans="1:95" s="55" customFormat="1" x14ac:dyDescent="0.35">
      <c r="A29" s="55">
        <v>28</v>
      </c>
      <c r="B29" s="55" t="s">
        <v>111</v>
      </c>
      <c r="C29" s="27" t="s">
        <v>665</v>
      </c>
      <c r="D29" s="6" t="s">
        <v>88</v>
      </c>
      <c r="E29" s="33" t="s">
        <v>89</v>
      </c>
      <c r="F29" s="4">
        <f>IFERROR(AVERAGEIF(Table1[[#This Row],[2019-Apr]:[2025-July]],"&lt;&gt;0"),0)</f>
        <v>6.0671724137931031</v>
      </c>
      <c r="G29" s="4">
        <f ca="1">IFERROR(AVERAGEIF(OFFSET(Table1[[#This Row],[Status]],0,COUNT(Table1[[#This Row],[2019-May]:[2025-July]]),1,-12),"&lt;&gt;0"),0)</f>
        <v>6.0250000000000004</v>
      </c>
      <c r="H29" s="55">
        <f>IFERROR(SMALL(Table1[[#This Row],[2019-Apr]:[2025-July]],COUNTIF(Table1[[#This Row],[2019-Apr]:[2025-July]],0)+1),0)</f>
        <v>3.25</v>
      </c>
      <c r="I29" s="55">
        <f>IFERROR(MAX(Table1[[#This Row],[2019-Apr]:[2025-July]]),0)</f>
        <v>15</v>
      </c>
      <c r="J29" s="4" cm="1">
        <f t="array" ref="J2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3.7583333333333333</v>
      </c>
      <c r="K29" s="4">
        <v>4.5</v>
      </c>
      <c r="L29" s="4">
        <f>IF(Table1[[#This Row],[Standard as per ISO]]&gt;=Table1[[#This Row],[Avg of best 6]],Table1[[#This Row],[Standard as per ISO]],Table1[[#This Row],[Avg of best 6]])</f>
        <v>4.5</v>
      </c>
      <c r="M29" s="4" cm="1">
        <f t="array" ref="M29">IFERROR(LOOKUP(2,1/(Table1[[#This Row],[2019-May]:[2025-July]]&lt;&gt;0),Table1[[#This Row],[2019-May]:[2025-July]]),0)</f>
        <v>4</v>
      </c>
      <c r="N29" s="4">
        <f>COUNTIF(Table1[[#This Row],[2019-Apr]:[2025-July]],"&gt;="&amp;Table1[[#This Row],[Target]])</f>
        <v>47</v>
      </c>
      <c r="O29" s="4">
        <f>IF(Table1[[#This Row],[Outliers 2Y]]=0,1,0)</f>
        <v>0</v>
      </c>
      <c r="P29" s="4">
        <f>IF(Table1[[#This Row],[Last value]]&gt;1.5*Table1[[#This Row],[Target]],1,0)</f>
        <v>0</v>
      </c>
      <c r="Q29" s="4">
        <f>IF(AND(1.5*Table1[[#This Row],[Target]]&gt;=Table1[[#This Row],[Last value]],Table1[[#This Row],[Last value]]&gt;Table1[[#This Row],[Target]]),1,0)</f>
        <v>0</v>
      </c>
      <c r="R29" s="4">
        <f>IF(Table1[[#This Row],[Target]]&gt;=Table1[[#This Row],[Last value]],1,0)</f>
        <v>1</v>
      </c>
      <c r="S29" s="4" t="str">
        <f t="shared" si="0"/>
        <v>Green</v>
      </c>
      <c r="T29" s="7">
        <v>0</v>
      </c>
      <c r="U29" s="7">
        <v>6.3</v>
      </c>
      <c r="V29" s="7">
        <v>3.25</v>
      </c>
      <c r="W29" s="7">
        <v>7.93</v>
      </c>
      <c r="X29" s="7">
        <v>9.1999999999999993</v>
      </c>
      <c r="Y29" s="7">
        <v>0</v>
      </c>
      <c r="Z29" s="7">
        <v>0</v>
      </c>
      <c r="AA29" s="7">
        <v>3.75</v>
      </c>
      <c r="AB29" s="7">
        <v>3.76</v>
      </c>
      <c r="AC29" s="7">
        <v>4.12</v>
      </c>
      <c r="AD29" s="7">
        <v>9.6</v>
      </c>
      <c r="AE29" s="7">
        <v>5.2</v>
      </c>
      <c r="AF29" s="7">
        <v>15</v>
      </c>
      <c r="AG29" s="7">
        <v>10.7</v>
      </c>
      <c r="AH29" s="7">
        <v>10.1</v>
      </c>
      <c r="AI29" s="7">
        <v>7.33</v>
      </c>
      <c r="AJ29" s="7">
        <v>7.9</v>
      </c>
      <c r="AK29" s="7">
        <v>5.8</v>
      </c>
      <c r="AL29" s="7">
        <v>6.34</v>
      </c>
      <c r="AM29" s="7">
        <v>4.17</v>
      </c>
      <c r="AN29" s="7">
        <v>6.29</v>
      </c>
      <c r="AO29" s="7">
        <v>6.7</v>
      </c>
      <c r="AP29" s="7">
        <v>4.57</v>
      </c>
      <c r="AQ29" s="7">
        <v>0</v>
      </c>
      <c r="AR29" s="9">
        <v>4.75</v>
      </c>
      <c r="AS29" s="9">
        <v>6.24</v>
      </c>
      <c r="AT29" s="9">
        <v>4.3899999999999997</v>
      </c>
      <c r="AU29" s="50">
        <v>4.6100000000000003</v>
      </c>
      <c r="AV29" s="50">
        <v>5.88</v>
      </c>
      <c r="AW29" s="50">
        <v>6</v>
      </c>
      <c r="AX29" s="50">
        <v>5.1100000000000003</v>
      </c>
      <c r="AY29" s="50">
        <v>5.57</v>
      </c>
      <c r="AZ29" s="50">
        <v>6.47</v>
      </c>
      <c r="BA29" s="50">
        <v>5.0999999999999996</v>
      </c>
      <c r="BB29" s="50">
        <v>6.3</v>
      </c>
      <c r="BC29" s="55">
        <v>8.5</v>
      </c>
      <c r="BD29" s="55">
        <v>7.9</v>
      </c>
      <c r="BE29" s="11">
        <v>6.71</v>
      </c>
      <c r="BF29" s="4">
        <v>0</v>
      </c>
      <c r="BG29" s="4">
        <v>4.45</v>
      </c>
      <c r="BH29" s="4">
        <v>6.5759999999999996</v>
      </c>
      <c r="BI29" s="4">
        <v>6.0359999999999996</v>
      </c>
      <c r="BJ29" s="14">
        <v>6.2930000000000001</v>
      </c>
      <c r="BK29" s="14">
        <v>3.67</v>
      </c>
      <c r="BL29" s="4">
        <v>5.3490000000000002</v>
      </c>
      <c r="BM29" s="17">
        <v>4.13</v>
      </c>
      <c r="BN29" s="4">
        <v>5.83</v>
      </c>
      <c r="BO29" s="4">
        <v>4.8890000000000002</v>
      </c>
      <c r="BP29" s="4">
        <v>5.9950000000000001</v>
      </c>
      <c r="BQ29" s="4">
        <v>4.8639999999999999</v>
      </c>
      <c r="BR29" s="4">
        <v>5.165</v>
      </c>
      <c r="BS29" s="4">
        <v>5.9779999999999998</v>
      </c>
      <c r="BT29" s="4">
        <v>5.8639999999999999</v>
      </c>
      <c r="BU29" s="4">
        <v>0</v>
      </c>
      <c r="BV29" s="4">
        <v>4.585</v>
      </c>
      <c r="BW29" s="4">
        <v>0</v>
      </c>
      <c r="BX29" s="4">
        <v>0</v>
      </c>
      <c r="BY29" s="4">
        <v>6.242</v>
      </c>
      <c r="BZ29" s="55">
        <v>0</v>
      </c>
      <c r="CA29" s="55">
        <v>6.7</v>
      </c>
      <c r="CB29" s="55">
        <v>5.42</v>
      </c>
      <c r="CC29" s="55">
        <v>4.22</v>
      </c>
      <c r="CD29" s="55">
        <v>0</v>
      </c>
      <c r="CE29" s="19">
        <v>0</v>
      </c>
      <c r="CF29" s="19">
        <v>0</v>
      </c>
      <c r="CG29" s="4">
        <v>0</v>
      </c>
      <c r="CH29" s="4">
        <v>0</v>
      </c>
      <c r="CI29" s="4">
        <v>0</v>
      </c>
      <c r="CJ29" s="34">
        <v>0</v>
      </c>
      <c r="CK29" s="34">
        <v>7.8</v>
      </c>
      <c r="CL29" s="43">
        <v>5.2</v>
      </c>
      <c r="CM29" s="4">
        <v>5.7</v>
      </c>
      <c r="CN29" s="53">
        <v>0</v>
      </c>
      <c r="CO29" s="54">
        <v>5.4</v>
      </c>
      <c r="CP29" s="54">
        <v>0</v>
      </c>
      <c r="CQ29" s="4">
        <v>4</v>
      </c>
    </row>
    <row r="30" spans="1:95" s="55" customFormat="1" x14ac:dyDescent="0.35">
      <c r="A30" s="55">
        <v>29</v>
      </c>
      <c r="B30" s="55" t="s">
        <v>111</v>
      </c>
      <c r="C30" s="27" t="s">
        <v>666</v>
      </c>
      <c r="D30" s="6" t="s">
        <v>88</v>
      </c>
      <c r="E30" s="33" t="s">
        <v>89</v>
      </c>
      <c r="F30" s="4">
        <f>IFERROR(AVERAGEIF(Table1[[#This Row],[2019-Apr]:[2025-July]],"&lt;&gt;0"),0)</f>
        <v>6.9347575757575735</v>
      </c>
      <c r="G30" s="4">
        <f ca="1">IFERROR(AVERAGEIF(OFFSET(Table1[[#This Row],[Status]],0,COUNT(Table1[[#This Row],[2019-May]:[2025-July]]),1,-12),"&lt;&gt;0"),0)</f>
        <v>4.5037499999999993</v>
      </c>
      <c r="H30" s="55">
        <f>IFERROR(SMALL(Table1[[#This Row],[2019-Apr]:[2025-July]],COUNTIF(Table1[[#This Row],[2019-Apr]:[2025-July]],0)+1),0)</f>
        <v>2.61</v>
      </c>
      <c r="I30" s="55">
        <f>IFERROR(MAX(Table1[[#This Row],[2019-Apr]:[2025-July]]),0)</f>
        <v>18.100000000000001</v>
      </c>
      <c r="J30" s="4" cm="1">
        <f t="array" ref="J3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3.5016666666666665</v>
      </c>
      <c r="K30" s="4">
        <v>4.5</v>
      </c>
      <c r="L30" s="4">
        <f>IF(Table1[[#This Row],[Standard as per ISO]]&gt;=Table1[[#This Row],[Avg of best 6]],Table1[[#This Row],[Standard as per ISO]],Table1[[#This Row],[Avg of best 6]])</f>
        <v>4.5</v>
      </c>
      <c r="M30" s="4" cm="1">
        <f t="array" ref="M30">IFERROR(LOOKUP(2,1/(Table1[[#This Row],[2019-May]:[2025-July]]&lt;&gt;0),Table1[[#This Row],[2019-May]:[2025-July]]),0)</f>
        <v>5.3</v>
      </c>
      <c r="N30" s="4">
        <f>COUNTIF(Table1[[#This Row],[2019-Apr]:[2025-July]],"&gt;="&amp;Table1[[#This Row],[Target]])</f>
        <v>55</v>
      </c>
      <c r="O30" s="4">
        <f>IF(Table1[[#This Row],[Outliers 2Y]]=0,1,0)</f>
        <v>0</v>
      </c>
      <c r="P30" s="4">
        <f>IF(Table1[[#This Row],[Last value]]&gt;1.5*Table1[[#This Row],[Target]],1,0)</f>
        <v>0</v>
      </c>
      <c r="Q30" s="4">
        <f>IF(AND(1.5*Table1[[#This Row],[Target]]&gt;=Table1[[#This Row],[Last value]],Table1[[#This Row],[Last value]]&gt;Table1[[#This Row],[Target]]),1,0)</f>
        <v>1</v>
      </c>
      <c r="R30" s="4">
        <f>IF(Table1[[#This Row],[Target]]&gt;=Table1[[#This Row],[Last value]],1,0)</f>
        <v>0</v>
      </c>
      <c r="S30" s="4" t="str">
        <f t="shared" si="0"/>
        <v>Yellow</v>
      </c>
      <c r="T30" s="7">
        <v>18.100000000000001</v>
      </c>
      <c r="U30" s="7">
        <v>6.3</v>
      </c>
      <c r="V30" s="7">
        <v>5.99</v>
      </c>
      <c r="W30" s="7">
        <v>6.66</v>
      </c>
      <c r="X30" s="7">
        <v>7.87</v>
      </c>
      <c r="Y30" s="7">
        <v>9.3000000000000007</v>
      </c>
      <c r="Z30" s="7">
        <v>0</v>
      </c>
      <c r="AA30" s="7">
        <v>0</v>
      </c>
      <c r="AB30" s="7">
        <v>9.19</v>
      </c>
      <c r="AC30" s="7">
        <v>10</v>
      </c>
      <c r="AD30" s="7">
        <v>9.5399999999999991</v>
      </c>
      <c r="AE30" s="7">
        <v>9.3000000000000007</v>
      </c>
      <c r="AF30" s="7">
        <v>10.5</v>
      </c>
      <c r="AG30" s="7">
        <v>12.4</v>
      </c>
      <c r="AH30" s="7">
        <v>9.4</v>
      </c>
      <c r="AI30" s="7">
        <v>12.6</v>
      </c>
      <c r="AJ30" s="7">
        <v>9.3000000000000007</v>
      </c>
      <c r="AK30" s="7">
        <v>0</v>
      </c>
      <c r="AL30" s="7">
        <v>11.7</v>
      </c>
      <c r="AM30" s="7">
        <v>10.3</v>
      </c>
      <c r="AN30" s="7">
        <v>12.7</v>
      </c>
      <c r="AO30" s="7">
        <v>5.3</v>
      </c>
      <c r="AP30" s="7">
        <v>0</v>
      </c>
      <c r="AQ30" s="7">
        <v>8.66</v>
      </c>
      <c r="AR30" s="9">
        <v>4.28</v>
      </c>
      <c r="AS30" s="9">
        <v>4.09</v>
      </c>
      <c r="AT30" s="9">
        <v>4.6500000000000004</v>
      </c>
      <c r="AU30" s="50">
        <v>4.51</v>
      </c>
      <c r="AV30" s="50">
        <v>10.199999999999999</v>
      </c>
      <c r="AW30" s="50">
        <v>12</v>
      </c>
      <c r="AX30" s="50">
        <v>8.7799999999999994</v>
      </c>
      <c r="AY30" s="50">
        <v>2.61</v>
      </c>
      <c r="AZ30" s="50">
        <v>4.05</v>
      </c>
      <c r="BA30" s="50">
        <v>3.3</v>
      </c>
      <c r="BB30" s="50">
        <v>4.9000000000000004</v>
      </c>
      <c r="BC30" s="55">
        <v>3.9</v>
      </c>
      <c r="BD30" s="55">
        <v>5.6</v>
      </c>
      <c r="BE30" s="11">
        <v>5.4720000000000004</v>
      </c>
      <c r="BF30" s="4">
        <v>6.633</v>
      </c>
      <c r="BG30" s="4">
        <v>7.99</v>
      </c>
      <c r="BH30" s="4">
        <v>7.8230000000000004</v>
      </c>
      <c r="BI30" s="4">
        <v>6.359</v>
      </c>
      <c r="BJ30" s="13">
        <v>5.9029999999999996</v>
      </c>
      <c r="BK30" s="13">
        <v>6.8630000000000004</v>
      </c>
      <c r="BL30" s="4">
        <v>5.0309999999999997</v>
      </c>
      <c r="BM30" s="16">
        <v>5.12</v>
      </c>
      <c r="BN30" s="4">
        <v>7.7859999999999996</v>
      </c>
      <c r="BO30" s="4">
        <v>8.5090000000000003</v>
      </c>
      <c r="BP30" s="4">
        <v>6.4290000000000003</v>
      </c>
      <c r="BQ30" s="4">
        <v>6.4</v>
      </c>
      <c r="BR30" s="4">
        <v>5.556</v>
      </c>
      <c r="BS30" s="4">
        <v>7.2670000000000003</v>
      </c>
      <c r="BT30" s="4">
        <v>5.6619999999999999</v>
      </c>
      <c r="BU30" s="4">
        <v>5.9020000000000001</v>
      </c>
      <c r="BV30" s="4">
        <v>0</v>
      </c>
      <c r="BW30" s="4">
        <v>5.2990000000000004</v>
      </c>
      <c r="BX30" s="4">
        <v>6.0259999999999998</v>
      </c>
      <c r="BY30" s="4">
        <v>5.5640000000000001</v>
      </c>
      <c r="BZ30" s="55">
        <v>5.43</v>
      </c>
      <c r="CA30" s="55">
        <v>4.9400000000000004</v>
      </c>
      <c r="CB30" s="55">
        <v>4.6900000000000004</v>
      </c>
      <c r="CC30" s="55">
        <v>0</v>
      </c>
      <c r="CD30" s="55">
        <v>5.73</v>
      </c>
      <c r="CE30" s="19">
        <v>0</v>
      </c>
      <c r="CF30" s="19">
        <v>0</v>
      </c>
      <c r="CG30" s="4">
        <v>3.93</v>
      </c>
      <c r="CH30" s="4">
        <v>0</v>
      </c>
      <c r="CI30" s="4">
        <v>0</v>
      </c>
      <c r="CJ30" s="34">
        <v>3.5</v>
      </c>
      <c r="CK30" s="34">
        <v>6.9</v>
      </c>
      <c r="CL30" s="43">
        <v>4.7</v>
      </c>
      <c r="CM30" s="4">
        <v>4.4000000000000004</v>
      </c>
      <c r="CN30" s="53">
        <v>4.9000000000000004</v>
      </c>
      <c r="CO30" s="54">
        <v>3.9</v>
      </c>
      <c r="CP30" s="54">
        <v>3.8</v>
      </c>
      <c r="CQ30" s="4">
        <v>5.3</v>
      </c>
    </row>
    <row r="31" spans="1:95" s="55" customFormat="1" x14ac:dyDescent="0.35">
      <c r="A31" s="55">
        <v>30</v>
      </c>
      <c r="B31" s="55" t="s">
        <v>111</v>
      </c>
      <c r="C31" s="27" t="s">
        <v>667</v>
      </c>
      <c r="D31" s="6" t="s">
        <v>88</v>
      </c>
      <c r="E31" s="33" t="s">
        <v>89</v>
      </c>
      <c r="F31" s="4">
        <f>IFERROR(AVERAGEIF(Table1[[#This Row],[2019-Apr]:[2025-July]],"&lt;&gt;0"),0)</f>
        <v>6.1070727272727279</v>
      </c>
      <c r="G31" s="4">
        <f ca="1">IFERROR(AVERAGEIF(OFFSET(Table1[[#This Row],[Status]],0,COUNT(Table1[[#This Row],[2019-May]:[2025-July]]),1,-12),"&lt;&gt;0"),0)</f>
        <v>8.6666666666666661</v>
      </c>
      <c r="H31" s="55">
        <f>IFERROR(SMALL(Table1[[#This Row],[2019-Apr]:[2025-July]],COUNTIF(Table1[[#This Row],[2019-Apr]:[2025-July]],0)+1),0)</f>
        <v>1.95</v>
      </c>
      <c r="I31" s="55">
        <f>IFERROR(MAX(Table1[[#This Row],[2019-Apr]:[2025-July]]),0)</f>
        <v>13.6</v>
      </c>
      <c r="J31" s="4" cm="1">
        <f t="array" ref="J3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2.9350000000000001</v>
      </c>
      <c r="K31" s="4">
        <v>4.5</v>
      </c>
      <c r="L31" s="4">
        <f>IF(Table1[[#This Row],[Standard as per ISO]]&gt;=Table1[[#This Row],[Avg of best 6]],Table1[[#This Row],[Standard as per ISO]],Table1[[#This Row],[Avg of best 6]])</f>
        <v>4.5</v>
      </c>
      <c r="M31" s="4" cm="1">
        <f t="array" ref="M31">IFERROR(LOOKUP(2,1/(Table1[[#This Row],[2019-May]:[2025-July]]&lt;&gt;0),Table1[[#This Row],[2019-May]:[2025-July]]),0)</f>
        <v>5.2</v>
      </c>
      <c r="N31" s="4">
        <f>COUNTIF(Table1[[#This Row],[2019-Apr]:[2025-July]],"&gt;="&amp;Table1[[#This Row],[Target]])</f>
        <v>41</v>
      </c>
      <c r="O31" s="4">
        <f>IF(Table1[[#This Row],[Outliers 2Y]]=0,1,0)</f>
        <v>0</v>
      </c>
      <c r="P31" s="4">
        <f>IF(Table1[[#This Row],[Last value]]&gt;1.5*Table1[[#This Row],[Target]],1,0)</f>
        <v>0</v>
      </c>
      <c r="Q31" s="4">
        <f>IF(AND(1.5*Table1[[#This Row],[Target]]&gt;=Table1[[#This Row],[Last value]],Table1[[#This Row],[Last value]]&gt;Table1[[#This Row],[Target]]),1,0)</f>
        <v>1</v>
      </c>
      <c r="R31" s="4">
        <f>IF(Table1[[#This Row],[Target]]&gt;=Table1[[#This Row],[Last value]],1,0)</f>
        <v>0</v>
      </c>
      <c r="S31" s="4" t="str">
        <f t="shared" si="0"/>
        <v>Yellow</v>
      </c>
      <c r="T31" s="7">
        <v>4.0999999999999996</v>
      </c>
      <c r="U31" s="7">
        <v>2.27</v>
      </c>
      <c r="V31" s="7">
        <v>4.0999999999999996</v>
      </c>
      <c r="W31" s="7">
        <v>1.95</v>
      </c>
      <c r="X31" s="7">
        <v>0</v>
      </c>
      <c r="Y31" s="7">
        <v>4.0999999999999996</v>
      </c>
      <c r="Z31" s="7">
        <v>0</v>
      </c>
      <c r="AA31" s="7">
        <v>0</v>
      </c>
      <c r="AB31" s="7">
        <v>2.6</v>
      </c>
      <c r="AC31" s="7">
        <v>4.1100000000000003</v>
      </c>
      <c r="AD31" s="7">
        <v>6.6</v>
      </c>
      <c r="AE31" s="7">
        <v>3</v>
      </c>
      <c r="AF31" s="7">
        <v>4.2</v>
      </c>
      <c r="AG31" s="7">
        <v>4.4000000000000004</v>
      </c>
      <c r="AH31" s="7">
        <v>4.3</v>
      </c>
      <c r="AI31" s="7">
        <v>5.8</v>
      </c>
      <c r="AJ31" s="7">
        <v>5</v>
      </c>
      <c r="AK31" s="7">
        <v>4.2300000000000004</v>
      </c>
      <c r="AL31" s="7">
        <v>6.36</v>
      </c>
      <c r="AM31" s="7">
        <v>0</v>
      </c>
      <c r="AN31" s="7">
        <v>9.4</v>
      </c>
      <c r="AO31" s="7">
        <v>10.7</v>
      </c>
      <c r="AP31" s="7">
        <v>7.4</v>
      </c>
      <c r="AQ31" s="7">
        <v>10.8</v>
      </c>
      <c r="AR31" s="9">
        <v>4.54</v>
      </c>
      <c r="AS31" s="9">
        <v>7.89</v>
      </c>
      <c r="AT31" s="9">
        <v>6.04</v>
      </c>
      <c r="AU31" s="50">
        <v>6.41</v>
      </c>
      <c r="AV31" s="50">
        <v>3.69</v>
      </c>
      <c r="AW31" s="50">
        <v>4.3899999999999997</v>
      </c>
      <c r="AX31" s="50">
        <v>5.52</v>
      </c>
      <c r="AY31" s="50">
        <v>4.75</v>
      </c>
      <c r="AZ31" s="50">
        <v>5.2</v>
      </c>
      <c r="BA31" s="50">
        <v>0</v>
      </c>
      <c r="BB31" s="50">
        <v>5.5</v>
      </c>
      <c r="BC31" s="55">
        <v>6.2</v>
      </c>
      <c r="BD31" s="55">
        <v>0</v>
      </c>
      <c r="BE31" s="11">
        <v>4.95</v>
      </c>
      <c r="BF31" s="4">
        <v>0</v>
      </c>
      <c r="BG31" s="4">
        <v>5.88</v>
      </c>
      <c r="BH31" s="4">
        <v>6.9109999999999996</v>
      </c>
      <c r="BI31" s="4">
        <v>5.0309999999999997</v>
      </c>
      <c r="BJ31" s="14">
        <v>5.75</v>
      </c>
      <c r="BK31" s="14">
        <v>5.766</v>
      </c>
      <c r="BL31" s="4">
        <v>7.133</v>
      </c>
      <c r="BM31" s="17">
        <v>4.9560000000000004</v>
      </c>
      <c r="BN31" s="4">
        <v>7.0940000000000003</v>
      </c>
      <c r="BO31" s="4">
        <v>9.4849999999999994</v>
      </c>
      <c r="BP31" s="4">
        <v>8.5530000000000008</v>
      </c>
      <c r="BQ31" s="4">
        <v>7.4180000000000001</v>
      </c>
      <c r="BR31" s="4">
        <v>6.6909999999999998</v>
      </c>
      <c r="BS31" s="4">
        <v>6.5510000000000002</v>
      </c>
      <c r="BT31" s="4">
        <v>5.1719999999999997</v>
      </c>
      <c r="BU31" s="4">
        <v>12.15</v>
      </c>
      <c r="BV31" s="4">
        <v>5.6379999999999999</v>
      </c>
      <c r="BW31" s="4">
        <v>0</v>
      </c>
      <c r="BX31" s="4">
        <v>0</v>
      </c>
      <c r="BY31" s="4">
        <v>12.07</v>
      </c>
      <c r="BZ31" s="55">
        <v>0</v>
      </c>
      <c r="CA31" s="55">
        <v>6.51</v>
      </c>
      <c r="CB31" s="55">
        <v>5.43</v>
      </c>
      <c r="CC31" s="55">
        <v>0</v>
      </c>
      <c r="CD31" s="55">
        <v>0</v>
      </c>
      <c r="CE31" s="19">
        <v>0</v>
      </c>
      <c r="CF31" s="19">
        <v>0</v>
      </c>
      <c r="CG31" s="4">
        <v>0</v>
      </c>
      <c r="CH31" s="4">
        <v>0</v>
      </c>
      <c r="CI31" s="4">
        <v>0</v>
      </c>
      <c r="CJ31" s="34">
        <v>0</v>
      </c>
      <c r="CK31" s="34">
        <v>13.6</v>
      </c>
      <c r="CL31" s="43">
        <v>6.6</v>
      </c>
      <c r="CM31" s="4">
        <v>0</v>
      </c>
      <c r="CN31" s="53">
        <v>0</v>
      </c>
      <c r="CO31" s="54">
        <v>5.8</v>
      </c>
      <c r="CP31" s="54">
        <v>0</v>
      </c>
      <c r="CQ31" s="4">
        <v>5.2</v>
      </c>
    </row>
    <row r="32" spans="1:95" s="55" customFormat="1" x14ac:dyDescent="0.35">
      <c r="A32" s="55">
        <v>31</v>
      </c>
      <c r="B32" s="55" t="s">
        <v>111</v>
      </c>
      <c r="C32" s="27" t="s">
        <v>668</v>
      </c>
      <c r="D32" s="6" t="s">
        <v>88</v>
      </c>
      <c r="E32" s="33" t="s">
        <v>89</v>
      </c>
      <c r="F32" s="4">
        <f>IFERROR(AVERAGEIF(Table1[[#This Row],[2019-Apr]:[2025-July]],"&lt;&gt;0"),0)</f>
        <v>3.6078571428571427</v>
      </c>
      <c r="G32" s="4">
        <f ca="1">IFERROR(AVERAGEIF(OFFSET(Table1[[#This Row],[Status]],0,COUNT(Table1[[#This Row],[2019-May]:[2025-July]]),1,-12),"&lt;&gt;0"),0)</f>
        <v>2.4012500000000006</v>
      </c>
      <c r="H32" s="55">
        <f>IFERROR(SMALL(Table1[[#This Row],[2019-Apr]:[2025-July]],COUNTIF(Table1[[#This Row],[2019-Apr]:[2025-July]],0)+1),0)</f>
        <v>1.679</v>
      </c>
      <c r="I32" s="55">
        <f>IFERROR(MAX(Table1[[#This Row],[2019-Apr]:[2025-July]]),0)</f>
        <v>8.9</v>
      </c>
      <c r="J32" s="4" cm="1">
        <f t="array" ref="J3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1.8550000000000002</v>
      </c>
      <c r="K32" s="4">
        <v>4.5</v>
      </c>
      <c r="L32" s="4">
        <f>IF(Table1[[#This Row],[Standard as per ISO]]&gt;=Table1[[#This Row],[Avg of best 6]],Table1[[#This Row],[Standard as per ISO]],Table1[[#This Row],[Avg of best 6]])</f>
        <v>4.5</v>
      </c>
      <c r="M32" s="4" cm="1">
        <f t="array" ref="M32">IFERROR(LOOKUP(2,1/(Table1[[#This Row],[2019-May]:[2025-July]]&lt;&gt;0),Table1[[#This Row],[2019-May]:[2025-July]]),0)</f>
        <v>2.1</v>
      </c>
      <c r="N32" s="4">
        <f>COUNTIF(Table1[[#This Row],[2019-Apr]:[2025-July]],"&gt;="&amp;Table1[[#This Row],[Target]])</f>
        <v>15</v>
      </c>
      <c r="O32" s="4">
        <f>IF(Table1[[#This Row],[Outliers 2Y]]=0,1,0)</f>
        <v>0</v>
      </c>
      <c r="P32" s="4">
        <f>IF(Table1[[#This Row],[Last value]]&gt;1.5*Table1[[#This Row],[Target]],1,0)</f>
        <v>0</v>
      </c>
      <c r="Q32" s="4">
        <f>IF(AND(1.5*Table1[[#This Row],[Target]]&gt;=Table1[[#This Row],[Last value]],Table1[[#This Row],[Last value]]&gt;Table1[[#This Row],[Target]]),1,0)</f>
        <v>0</v>
      </c>
      <c r="R32" s="4">
        <f>IF(Table1[[#This Row],[Target]]&gt;=Table1[[#This Row],[Last value]],1,0)</f>
        <v>1</v>
      </c>
      <c r="S32" s="4" t="str">
        <f t="shared" si="0"/>
        <v>Green</v>
      </c>
      <c r="T32" s="7">
        <v>3.07</v>
      </c>
      <c r="U32" s="7">
        <v>2.1800000000000002</v>
      </c>
      <c r="V32" s="7">
        <v>1.71</v>
      </c>
      <c r="W32" s="7">
        <v>4.3</v>
      </c>
      <c r="X32" s="7">
        <v>3.29</v>
      </c>
      <c r="Y32" s="7">
        <v>4.5999999999999996</v>
      </c>
      <c r="Z32" s="7">
        <v>0</v>
      </c>
      <c r="AA32" s="7">
        <v>0</v>
      </c>
      <c r="AB32" s="7">
        <v>6.97</v>
      </c>
      <c r="AC32" s="7">
        <v>8.14</v>
      </c>
      <c r="AD32" s="7">
        <v>7.18</v>
      </c>
      <c r="AE32" s="7">
        <v>3.1</v>
      </c>
      <c r="AF32" s="7">
        <v>3.9</v>
      </c>
      <c r="AG32" s="7">
        <v>5.3</v>
      </c>
      <c r="AH32" s="7">
        <v>3.7</v>
      </c>
      <c r="AI32" s="7">
        <v>4.2</v>
      </c>
      <c r="AJ32" s="7">
        <v>8.9</v>
      </c>
      <c r="AK32" s="7">
        <v>4.32</v>
      </c>
      <c r="AL32" s="7">
        <v>5.76</v>
      </c>
      <c r="AM32" s="7">
        <v>0</v>
      </c>
      <c r="AN32" s="7">
        <v>4.4000000000000004</v>
      </c>
      <c r="AO32" s="7">
        <v>2.66</v>
      </c>
      <c r="AP32" s="7">
        <v>0</v>
      </c>
      <c r="AQ32" s="7">
        <v>4.8899999999999997</v>
      </c>
      <c r="AR32" s="9">
        <v>4.0199999999999996</v>
      </c>
      <c r="AS32" s="9">
        <v>5.3</v>
      </c>
      <c r="AT32" s="9">
        <v>2.2599999999999998</v>
      </c>
      <c r="AU32" s="50">
        <v>2.17</v>
      </c>
      <c r="AV32" s="50">
        <v>3.12</v>
      </c>
      <c r="AW32" s="50">
        <v>4.6900000000000004</v>
      </c>
      <c r="AX32" s="50">
        <v>3.27</v>
      </c>
      <c r="AY32" s="50">
        <v>3.79</v>
      </c>
      <c r="AZ32" s="50">
        <v>4.18</v>
      </c>
      <c r="BA32" s="50">
        <v>4.7</v>
      </c>
      <c r="BB32" s="50">
        <v>5.9</v>
      </c>
      <c r="BC32" s="55">
        <v>3.9</v>
      </c>
      <c r="BD32" s="55">
        <v>2.9</v>
      </c>
      <c r="BE32" s="11">
        <v>5.7</v>
      </c>
      <c r="BF32" s="4">
        <v>0</v>
      </c>
      <c r="BG32" s="4">
        <v>2.39</v>
      </c>
      <c r="BH32" s="4">
        <v>2.0710000000000002</v>
      </c>
      <c r="BI32" s="4">
        <v>2.0089999999999999</v>
      </c>
      <c r="BJ32" s="13">
        <v>2.4740000000000002</v>
      </c>
      <c r="BK32" s="13">
        <v>2.214</v>
      </c>
      <c r="BL32" s="4">
        <v>3.5190000000000001</v>
      </c>
      <c r="BM32" s="16">
        <v>2.556</v>
      </c>
      <c r="BN32" s="4">
        <v>5.83</v>
      </c>
      <c r="BO32" s="4">
        <v>3.2919999999999998</v>
      </c>
      <c r="BP32" s="4">
        <v>0</v>
      </c>
      <c r="BQ32" s="4">
        <v>2.6349999999999998</v>
      </c>
      <c r="BR32" s="4">
        <v>1.732</v>
      </c>
      <c r="BS32" s="4">
        <v>1.679</v>
      </c>
      <c r="BT32" s="4">
        <v>2.6760000000000002</v>
      </c>
      <c r="BU32" s="4">
        <v>2.109</v>
      </c>
      <c r="BV32" s="4">
        <v>2.7330000000000001</v>
      </c>
      <c r="BW32" s="4">
        <v>2.0329999999999999</v>
      </c>
      <c r="BX32" s="4">
        <v>4.7229999999999999</v>
      </c>
      <c r="BY32" s="4">
        <v>3.8</v>
      </c>
      <c r="BZ32" s="55">
        <v>3.75</v>
      </c>
      <c r="CA32" s="55">
        <v>0</v>
      </c>
      <c r="CB32" s="55">
        <v>0</v>
      </c>
      <c r="CC32" s="55">
        <v>0</v>
      </c>
      <c r="CD32" s="55">
        <v>3.29</v>
      </c>
      <c r="CE32" s="19">
        <v>0</v>
      </c>
      <c r="CF32" s="19">
        <v>0</v>
      </c>
      <c r="CG32" s="4">
        <v>3.91</v>
      </c>
      <c r="CH32" s="4">
        <v>0</v>
      </c>
      <c r="CI32" s="4">
        <v>0</v>
      </c>
      <c r="CJ32" s="34">
        <v>2</v>
      </c>
      <c r="CK32" s="34">
        <v>2.1</v>
      </c>
      <c r="CL32" s="43">
        <v>2.2000000000000002</v>
      </c>
      <c r="CM32" s="4">
        <v>2</v>
      </c>
      <c r="CN32" s="53">
        <v>2.2999999999999998</v>
      </c>
      <c r="CO32" s="54">
        <v>2.1</v>
      </c>
      <c r="CP32" s="54">
        <v>2.6</v>
      </c>
      <c r="CQ32" s="4">
        <v>2.1</v>
      </c>
    </row>
    <row r="33" spans="1:95" s="55" customFormat="1" x14ac:dyDescent="0.35">
      <c r="A33" s="55">
        <v>32</v>
      </c>
      <c r="B33" s="55" t="s">
        <v>111</v>
      </c>
      <c r="C33" s="27" t="s">
        <v>669</v>
      </c>
      <c r="D33" s="6" t="s">
        <v>88</v>
      </c>
      <c r="E33" s="33" t="s">
        <v>89</v>
      </c>
      <c r="F33" s="4">
        <f>IFERROR(AVERAGEIF(Table1[[#This Row],[2019-Apr]:[2025-July]],"&lt;&gt;0"),0)</f>
        <v>3.6988888888888889</v>
      </c>
      <c r="G33" s="4">
        <f ca="1">IFERROR(AVERAGEIF(OFFSET(Table1[[#This Row],[Status]],0,COUNT(Table1[[#This Row],[2019-May]:[2025-July]]),1,-12),"&lt;&gt;0"),0)</f>
        <v>3.07125</v>
      </c>
      <c r="H33" s="55">
        <f>IFERROR(SMALL(Table1[[#This Row],[2019-Apr]:[2025-July]],COUNTIF(Table1[[#This Row],[2019-Apr]:[2025-July]],0)+1),0)</f>
        <v>2.2000000000000002</v>
      </c>
      <c r="I33" s="55">
        <f>IFERROR(MAX(Table1[[#This Row],[2019-Apr]:[2025-July]]),0)</f>
        <v>8.06</v>
      </c>
      <c r="J33" s="4" cm="1">
        <f t="array" ref="J3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2.3548333333333331</v>
      </c>
      <c r="K33" s="4">
        <v>4.5</v>
      </c>
      <c r="L33" s="4">
        <f>IF(Table1[[#This Row],[Standard as per ISO]]&gt;=Table1[[#This Row],[Avg of best 6]],Table1[[#This Row],[Standard as per ISO]],Table1[[#This Row],[Avg of best 6]])</f>
        <v>4.5</v>
      </c>
      <c r="M33" s="4" cm="1">
        <f t="array" ref="M33">IFERROR(LOOKUP(2,1/(Table1[[#This Row],[2019-May]:[2025-July]]&lt;&gt;0),Table1[[#This Row],[2019-May]:[2025-July]]),0)</f>
        <v>3.5</v>
      </c>
      <c r="N33" s="4">
        <f>COUNTIF(Table1[[#This Row],[2019-Apr]:[2025-July]],"&gt;="&amp;Table1[[#This Row],[Target]])</f>
        <v>10</v>
      </c>
      <c r="O33" s="4">
        <f>IF(Table1[[#This Row],[Outliers 2Y]]=0,1,0)</f>
        <v>0</v>
      </c>
      <c r="P33" s="4">
        <f>IF(Table1[[#This Row],[Last value]]&gt;1.5*Table1[[#This Row],[Target]],1,0)</f>
        <v>0</v>
      </c>
      <c r="Q33" s="4">
        <f>IF(AND(1.5*Table1[[#This Row],[Target]]&gt;=Table1[[#This Row],[Last value]],Table1[[#This Row],[Last value]]&gt;Table1[[#This Row],[Target]]),1,0)</f>
        <v>0</v>
      </c>
      <c r="R33" s="4">
        <f>IF(Table1[[#This Row],[Target]]&gt;=Table1[[#This Row],[Last value]],1,0)</f>
        <v>1</v>
      </c>
      <c r="S33" s="4" t="str">
        <f t="shared" si="0"/>
        <v>Green</v>
      </c>
      <c r="T33" s="7">
        <v>3.62</v>
      </c>
      <c r="U33" s="7">
        <v>3.04</v>
      </c>
      <c r="V33" s="7">
        <v>2.79</v>
      </c>
      <c r="W33" s="7">
        <v>2.99</v>
      </c>
      <c r="X33" s="7">
        <v>5.39</v>
      </c>
      <c r="Y33" s="7">
        <v>2.2999999999999998</v>
      </c>
      <c r="Z33" s="7">
        <v>0</v>
      </c>
      <c r="AA33" s="7">
        <v>0</v>
      </c>
      <c r="AB33" s="7">
        <v>2.58</v>
      </c>
      <c r="AC33" s="7">
        <v>2.36</v>
      </c>
      <c r="AD33" s="7">
        <v>3.5</v>
      </c>
      <c r="AE33" s="7">
        <v>4.5</v>
      </c>
      <c r="AF33" s="7">
        <v>2.9</v>
      </c>
      <c r="AG33" s="7">
        <v>3.5</v>
      </c>
      <c r="AH33" s="7">
        <v>4.3</v>
      </c>
      <c r="AI33" s="7">
        <v>3.25</v>
      </c>
      <c r="AJ33" s="7">
        <v>3.5</v>
      </c>
      <c r="AK33" s="7">
        <v>0</v>
      </c>
      <c r="AL33" s="7">
        <v>3.21</v>
      </c>
      <c r="AM33" s="7">
        <v>0</v>
      </c>
      <c r="AN33" s="7">
        <v>3.5</v>
      </c>
      <c r="AO33" s="7">
        <v>4.17</v>
      </c>
      <c r="AP33" s="7">
        <v>0</v>
      </c>
      <c r="AQ33" s="7">
        <v>2.59</v>
      </c>
      <c r="AR33" s="9">
        <v>4.78</v>
      </c>
      <c r="AS33" s="9">
        <v>2.25</v>
      </c>
      <c r="AT33" s="9">
        <v>8.06</v>
      </c>
      <c r="AU33" s="50">
        <v>2.56</v>
      </c>
      <c r="AV33" s="50">
        <v>0</v>
      </c>
      <c r="AW33" s="50">
        <v>6.2</v>
      </c>
      <c r="AX33" s="50">
        <v>3.4</v>
      </c>
      <c r="AY33" s="50">
        <v>7.65</v>
      </c>
      <c r="AZ33" s="50">
        <v>3.94</v>
      </c>
      <c r="BA33" s="50">
        <v>5</v>
      </c>
      <c r="BB33" s="50">
        <v>4.0999999999999996</v>
      </c>
      <c r="BC33" s="55">
        <v>4.5</v>
      </c>
      <c r="BD33" s="55">
        <v>4</v>
      </c>
      <c r="BE33" s="11">
        <v>4.0679999999999996</v>
      </c>
      <c r="BF33" s="4">
        <v>3.1720000000000002</v>
      </c>
      <c r="BG33" s="4">
        <v>3.871</v>
      </c>
      <c r="BH33" s="4">
        <v>3.121</v>
      </c>
      <c r="BI33" s="4">
        <v>3.8370000000000002</v>
      </c>
      <c r="BJ33" s="14">
        <v>5.22</v>
      </c>
      <c r="BK33" s="14">
        <v>3.6819999999999999</v>
      </c>
      <c r="BL33" s="4">
        <v>2.883</v>
      </c>
      <c r="BM33" s="17">
        <v>3.3140000000000001</v>
      </c>
      <c r="BN33" s="4">
        <v>2.895</v>
      </c>
      <c r="BO33" s="4">
        <v>2.4590000000000001</v>
      </c>
      <c r="BP33" s="4">
        <v>2.7</v>
      </c>
      <c r="BQ33" s="4">
        <v>3.65</v>
      </c>
      <c r="BR33" s="4">
        <v>4.2919999999999998</v>
      </c>
      <c r="BS33" s="4">
        <v>2.7330000000000001</v>
      </c>
      <c r="BT33" s="4">
        <v>6.2839999999999998</v>
      </c>
      <c r="BU33" s="4">
        <v>3.3519999999999999</v>
      </c>
      <c r="BV33" s="4">
        <v>4.0069999999999997</v>
      </c>
      <c r="BW33" s="4">
        <v>3.3570000000000002</v>
      </c>
      <c r="BX33" s="4">
        <v>3.2930000000000001</v>
      </c>
      <c r="BY33" s="4">
        <v>4.43</v>
      </c>
      <c r="BZ33" s="55">
        <v>3.7</v>
      </c>
      <c r="CA33" s="55">
        <v>0</v>
      </c>
      <c r="CB33" s="55">
        <v>0</v>
      </c>
      <c r="CC33" s="55">
        <v>0</v>
      </c>
      <c r="CD33" s="55">
        <v>4.21</v>
      </c>
      <c r="CE33" s="19">
        <v>0</v>
      </c>
      <c r="CF33" s="19">
        <v>0</v>
      </c>
      <c r="CG33" s="4">
        <v>2.77</v>
      </c>
      <c r="CH33" s="4">
        <v>0</v>
      </c>
      <c r="CI33" s="4">
        <v>0</v>
      </c>
      <c r="CJ33" s="34">
        <v>2.8</v>
      </c>
      <c r="CK33" s="34">
        <v>2.2000000000000002</v>
      </c>
      <c r="CL33" s="43">
        <v>3</v>
      </c>
      <c r="CM33" s="4">
        <v>4.2</v>
      </c>
      <c r="CN33" s="53">
        <v>3.3</v>
      </c>
      <c r="CO33" s="54">
        <v>3.6</v>
      </c>
      <c r="CP33" s="54">
        <v>2.7</v>
      </c>
      <c r="CQ33" s="4">
        <v>3.5</v>
      </c>
    </row>
    <row r="34" spans="1:95" s="55" customFormat="1" x14ac:dyDescent="0.35">
      <c r="A34" s="55">
        <v>33</v>
      </c>
      <c r="B34" s="55" t="s">
        <v>111</v>
      </c>
      <c r="C34" s="27" t="s">
        <v>670</v>
      </c>
      <c r="D34" s="6" t="s">
        <v>88</v>
      </c>
      <c r="E34" s="33" t="s">
        <v>89</v>
      </c>
      <c r="F34" s="4">
        <f>IFERROR(AVERAGEIF(Table1[[#This Row],[2019-Apr]:[2025-July]],"&lt;&gt;0"),0)</f>
        <v>4.9626363636363635</v>
      </c>
      <c r="G34" s="4">
        <f ca="1">IFERROR(AVERAGEIF(OFFSET(Table1[[#This Row],[Status]],0,COUNT(Table1[[#This Row],[2019-May]:[2025-July]]),1,-12),"&lt;&gt;0"),0)</f>
        <v>5.2214285714285706</v>
      </c>
      <c r="H34" s="55">
        <f>IFERROR(SMALL(Table1[[#This Row],[2019-Apr]:[2025-July]],COUNTIF(Table1[[#This Row],[2019-Apr]:[2025-July]],0)+1),0)</f>
        <v>1.96</v>
      </c>
      <c r="I34" s="55">
        <f>IFERROR(MAX(Table1[[#This Row],[2019-Apr]:[2025-July]]),0)</f>
        <v>18.3</v>
      </c>
      <c r="J34" s="4" cm="1">
        <f t="array" ref="J3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2.1133333333333333</v>
      </c>
      <c r="K34" s="4">
        <v>4.5</v>
      </c>
      <c r="L34" s="4">
        <f>IF(Table1[[#This Row],[Standard as per ISO]]&gt;=Table1[[#This Row],[Avg of best 6]],Table1[[#This Row],[Standard as per ISO]],Table1[[#This Row],[Avg of best 6]])</f>
        <v>4.5</v>
      </c>
      <c r="M34" s="4" cm="1">
        <f t="array" ref="M34">IFERROR(LOOKUP(2,1/(Table1[[#This Row],[2019-May]:[2025-July]]&lt;&gt;0),Table1[[#This Row],[2019-May]:[2025-July]]),0)</f>
        <v>5.5</v>
      </c>
      <c r="N34" s="4">
        <f>COUNTIF(Table1[[#This Row],[2019-Apr]:[2025-July]],"&gt;="&amp;Table1[[#This Row],[Target]])</f>
        <v>40</v>
      </c>
      <c r="O34" s="4">
        <f>IF(Table1[[#This Row],[Outliers 2Y]]=0,1,0)</f>
        <v>0</v>
      </c>
      <c r="P34" s="4">
        <f>IF(Table1[[#This Row],[Last value]]&gt;1.5*Table1[[#This Row],[Target]],1,0)</f>
        <v>0</v>
      </c>
      <c r="Q34" s="4">
        <f>IF(AND(1.5*Table1[[#This Row],[Target]]&gt;=Table1[[#This Row],[Last value]],Table1[[#This Row],[Last value]]&gt;Table1[[#This Row],[Target]]),1,0)</f>
        <v>1</v>
      </c>
      <c r="R34" s="4">
        <f>IF(Table1[[#This Row],[Target]]&gt;=Table1[[#This Row],[Last value]],1,0)</f>
        <v>0</v>
      </c>
      <c r="S34" s="4" t="str">
        <f t="shared" si="0"/>
        <v>Yellow</v>
      </c>
      <c r="T34" s="7">
        <v>2.44</v>
      </c>
      <c r="U34" s="7">
        <v>2.41</v>
      </c>
      <c r="V34" s="7">
        <v>2.12</v>
      </c>
      <c r="W34" s="7">
        <v>2.2999999999999998</v>
      </c>
      <c r="X34" s="7">
        <v>3.26</v>
      </c>
      <c r="Y34" s="7">
        <v>2.9</v>
      </c>
      <c r="Z34" s="7">
        <v>0</v>
      </c>
      <c r="AA34" s="7">
        <v>2.84</v>
      </c>
      <c r="AB34" s="7">
        <v>2.99</v>
      </c>
      <c r="AC34" s="7">
        <v>3.2</v>
      </c>
      <c r="AD34" s="7">
        <v>3.78</v>
      </c>
      <c r="AE34" s="7">
        <v>2.6</v>
      </c>
      <c r="AF34" s="7">
        <v>2</v>
      </c>
      <c r="AG34" s="7">
        <v>2</v>
      </c>
      <c r="AH34" s="7">
        <v>1.96</v>
      </c>
      <c r="AI34" s="7">
        <v>2.5</v>
      </c>
      <c r="AJ34" s="7">
        <v>2.7</v>
      </c>
      <c r="AK34" s="7">
        <v>0</v>
      </c>
      <c r="AL34" s="7">
        <v>2.2999999999999998</v>
      </c>
      <c r="AM34" s="7">
        <v>3.67</v>
      </c>
      <c r="AN34" s="7">
        <v>3.3</v>
      </c>
      <c r="AO34" s="7">
        <v>3.9</v>
      </c>
      <c r="AP34" s="7">
        <v>2.58</v>
      </c>
      <c r="AQ34" s="7">
        <v>2.69</v>
      </c>
      <c r="AR34" s="9">
        <v>3.72</v>
      </c>
      <c r="AS34" s="9">
        <v>5.01</v>
      </c>
      <c r="AT34" s="9">
        <v>5.21</v>
      </c>
      <c r="AU34" s="50">
        <v>4.43</v>
      </c>
      <c r="AV34" s="50">
        <v>0</v>
      </c>
      <c r="AW34" s="50">
        <v>5.35</v>
      </c>
      <c r="AX34" s="50">
        <v>5.74</v>
      </c>
      <c r="AY34" s="50">
        <v>5.44</v>
      </c>
      <c r="AZ34" s="50">
        <v>18.3</v>
      </c>
      <c r="BA34" s="50">
        <v>9.5</v>
      </c>
      <c r="BB34" s="50">
        <v>8.1</v>
      </c>
      <c r="BC34" s="55">
        <v>6.3</v>
      </c>
      <c r="BD34" s="55">
        <v>6.1</v>
      </c>
      <c r="BE34" s="11">
        <v>10.199999999999999</v>
      </c>
      <c r="BF34" s="4">
        <v>5.5860000000000003</v>
      </c>
      <c r="BG34" s="4">
        <v>9.1609999999999996</v>
      </c>
      <c r="BH34" s="4">
        <v>8.0990000000000002</v>
      </c>
      <c r="BI34" s="4">
        <v>6.4</v>
      </c>
      <c r="BJ34" s="13">
        <v>7.1550000000000002</v>
      </c>
      <c r="BK34" s="13">
        <v>6.6230000000000002</v>
      </c>
      <c r="BL34" s="4">
        <v>5.2009999999999996</v>
      </c>
      <c r="BM34" s="16">
        <v>5.3819999999999997</v>
      </c>
      <c r="BN34" s="4">
        <v>4.9509999999999996</v>
      </c>
      <c r="BO34" s="4">
        <v>5.0030000000000001</v>
      </c>
      <c r="BP34" s="4">
        <v>4.6390000000000002</v>
      </c>
      <c r="BQ34" s="4">
        <v>4.6310000000000002</v>
      </c>
      <c r="BR34" s="4">
        <v>5.032</v>
      </c>
      <c r="BS34" s="4">
        <v>4.7460000000000004</v>
      </c>
      <c r="BT34" s="4">
        <v>4.1219999999999999</v>
      </c>
      <c r="BU34" s="4">
        <v>4.5590000000000002</v>
      </c>
      <c r="BV34" s="4">
        <v>4.6189999999999998</v>
      </c>
      <c r="BW34" s="4">
        <v>5.4669999999999996</v>
      </c>
      <c r="BX34" s="4">
        <v>5.1740000000000004</v>
      </c>
      <c r="BY34" s="4">
        <v>5.3140000000000001</v>
      </c>
      <c r="BZ34" s="55">
        <v>0</v>
      </c>
      <c r="CA34" s="55">
        <v>6.72</v>
      </c>
      <c r="CB34" s="55">
        <v>6.8</v>
      </c>
      <c r="CC34" s="55">
        <v>0</v>
      </c>
      <c r="CD34" s="55">
        <v>6.26</v>
      </c>
      <c r="CE34" s="19">
        <v>0</v>
      </c>
      <c r="CF34" s="19">
        <v>0</v>
      </c>
      <c r="CG34" s="4">
        <v>6.55</v>
      </c>
      <c r="CH34" s="4">
        <v>0</v>
      </c>
      <c r="CI34" s="4">
        <v>0</v>
      </c>
      <c r="CJ34" s="34">
        <v>5.4</v>
      </c>
      <c r="CK34" s="34">
        <v>5.2</v>
      </c>
      <c r="CL34" s="43">
        <v>5.4</v>
      </c>
      <c r="CM34" s="4">
        <v>0</v>
      </c>
      <c r="CN34" s="53">
        <v>4.4000000000000004</v>
      </c>
      <c r="CO34" s="54">
        <v>4.5</v>
      </c>
      <c r="CP34" s="54">
        <v>5.0999999999999996</v>
      </c>
      <c r="CQ34" s="4">
        <v>5.5</v>
      </c>
    </row>
    <row r="35" spans="1:95" s="55" customFormat="1" x14ac:dyDescent="0.35">
      <c r="A35" s="55">
        <v>34</v>
      </c>
      <c r="B35" s="55" t="s">
        <v>111</v>
      </c>
      <c r="C35" s="27" t="s">
        <v>671</v>
      </c>
      <c r="D35" s="6" t="s">
        <v>88</v>
      </c>
      <c r="E35" s="33" t="s">
        <v>89</v>
      </c>
      <c r="F35" s="4">
        <f>IFERROR(AVERAGEIF(Table1[[#This Row],[2019-Apr]:[2025-July]],"&lt;&gt;0"),0)</f>
        <v>3.7802499999999992</v>
      </c>
      <c r="G35" s="4">
        <f ca="1">IFERROR(AVERAGEIF(OFFSET(Table1[[#This Row],[Status]],0,COUNT(Table1[[#This Row],[2019-May]:[2025-July]]),1,-12),"&lt;&gt;0"),0)</f>
        <v>3.3137499999999993</v>
      </c>
      <c r="H35" s="55">
        <f>IFERROR(SMALL(Table1[[#This Row],[2019-Apr]:[2025-July]],COUNTIF(Table1[[#This Row],[2019-Apr]:[2025-July]],0)+1),0)</f>
        <v>2.8</v>
      </c>
      <c r="I35" s="55">
        <f>IFERROR(MAX(Table1[[#This Row],[2019-Apr]:[2025-July]]),0)</f>
        <v>5.76</v>
      </c>
      <c r="J35" s="4" cm="1">
        <f t="array" ref="J3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2.9535</v>
      </c>
      <c r="K35" s="4">
        <v>4.5</v>
      </c>
      <c r="L35" s="4">
        <f>IF(Table1[[#This Row],[Standard as per ISO]]&gt;=Table1[[#This Row],[Avg of best 6]],Table1[[#This Row],[Standard as per ISO]],Table1[[#This Row],[Avg of best 6]])</f>
        <v>4.5</v>
      </c>
      <c r="M35" s="4" cm="1">
        <f t="array" ref="M35">IFERROR(LOOKUP(2,1/(Table1[[#This Row],[2019-May]:[2025-July]]&lt;&gt;0),Table1[[#This Row],[2019-May]:[2025-July]]),0)</f>
        <v>2.9</v>
      </c>
      <c r="N35" s="4">
        <f>COUNTIF(Table1[[#This Row],[2019-Apr]:[2025-July]],"&gt;="&amp;Table1[[#This Row],[Target]])</f>
        <v>6</v>
      </c>
      <c r="O35" s="4">
        <f>IF(Table1[[#This Row],[Outliers 2Y]]=0,1,0)</f>
        <v>0</v>
      </c>
      <c r="P35" s="4">
        <f>IF(Table1[[#This Row],[Last value]]&gt;1.5*Table1[[#This Row],[Target]],1,0)</f>
        <v>0</v>
      </c>
      <c r="Q35" s="4">
        <f>IF(AND(1.5*Table1[[#This Row],[Target]]&gt;=Table1[[#This Row],[Last value]],Table1[[#This Row],[Last value]]&gt;Table1[[#This Row],[Target]]),1,0)</f>
        <v>0</v>
      </c>
      <c r="R35" s="4">
        <f>IF(Table1[[#This Row],[Target]]&gt;=Table1[[#This Row],[Last value]],1,0)</f>
        <v>1</v>
      </c>
      <c r="S35" s="4" t="str">
        <f t="shared" si="0"/>
        <v>Green</v>
      </c>
      <c r="T35" s="7">
        <v>4.42</v>
      </c>
      <c r="U35" s="7">
        <v>4.41</v>
      </c>
      <c r="V35" s="7">
        <v>3.82</v>
      </c>
      <c r="W35" s="7">
        <v>4.03</v>
      </c>
      <c r="X35" s="7">
        <v>3.97</v>
      </c>
      <c r="Y35" s="7">
        <v>4.5999999999999996</v>
      </c>
      <c r="Z35" s="7">
        <v>0</v>
      </c>
      <c r="AA35" s="7">
        <v>4.3</v>
      </c>
      <c r="AB35" s="7">
        <v>4.08</v>
      </c>
      <c r="AC35" s="7">
        <v>3.68</v>
      </c>
      <c r="AD35" s="7">
        <v>5.76</v>
      </c>
      <c r="AE35" s="7">
        <v>4.3</v>
      </c>
      <c r="AF35" s="7">
        <v>0</v>
      </c>
      <c r="AG35" s="7">
        <v>4.5999999999999996</v>
      </c>
      <c r="AH35" s="7">
        <v>4.0999999999999996</v>
      </c>
      <c r="AI35" s="7">
        <v>3.7</v>
      </c>
      <c r="AJ35" s="7">
        <v>3.2</v>
      </c>
      <c r="AK35" s="7">
        <v>0</v>
      </c>
      <c r="AL35" s="7">
        <v>4.22</v>
      </c>
      <c r="AM35" s="7">
        <v>0</v>
      </c>
      <c r="AN35" s="7">
        <v>3.8</v>
      </c>
      <c r="AO35" s="7">
        <v>3.5</v>
      </c>
      <c r="AP35" s="7">
        <v>0</v>
      </c>
      <c r="AQ35" s="7">
        <v>5.42</v>
      </c>
      <c r="AR35" s="9">
        <v>3.67</v>
      </c>
      <c r="AS35" s="9">
        <v>4.66</v>
      </c>
      <c r="AT35" s="9">
        <v>4.13</v>
      </c>
      <c r="AU35" s="50">
        <v>3.82</v>
      </c>
      <c r="AV35" s="50">
        <v>0</v>
      </c>
      <c r="AW35" s="50">
        <v>4.0599999999999996</v>
      </c>
      <c r="AX35" s="50">
        <v>3.97</v>
      </c>
      <c r="AY35" s="50">
        <v>3.99</v>
      </c>
      <c r="AZ35" s="50">
        <v>4.5</v>
      </c>
      <c r="BA35" s="50">
        <v>3.2</v>
      </c>
      <c r="BB35" s="50">
        <v>3.6</v>
      </c>
      <c r="BC35" s="50">
        <v>0</v>
      </c>
      <c r="BD35" s="55">
        <v>0</v>
      </c>
      <c r="BE35" s="11">
        <v>4.0629999999999997</v>
      </c>
      <c r="BF35" s="4">
        <v>0</v>
      </c>
      <c r="BG35" s="4">
        <v>4.0590000000000002</v>
      </c>
      <c r="BH35" s="4">
        <v>3.109</v>
      </c>
      <c r="BI35" s="4">
        <v>3.2509999999999999</v>
      </c>
      <c r="BJ35" s="14">
        <v>3.9620000000000002</v>
      </c>
      <c r="BK35" s="14">
        <v>3.3959999999999999</v>
      </c>
      <c r="BL35" s="4">
        <v>3.9449999999999998</v>
      </c>
      <c r="BM35" s="17">
        <v>3.7370000000000001</v>
      </c>
      <c r="BN35" s="4">
        <v>3.3410000000000002</v>
      </c>
      <c r="BO35" s="4">
        <v>3.415</v>
      </c>
      <c r="BP35" s="4">
        <v>3.323</v>
      </c>
      <c r="BQ35" s="4">
        <v>3.8069999999999999</v>
      </c>
      <c r="BR35" s="4">
        <v>3.7759999999999998</v>
      </c>
      <c r="BS35" s="4">
        <v>3.8359999999999999</v>
      </c>
      <c r="BT35" s="4">
        <v>3.6280000000000001</v>
      </c>
      <c r="BU35" s="4">
        <v>3.7360000000000002</v>
      </c>
      <c r="BV35" s="4">
        <v>2.84</v>
      </c>
      <c r="BW35" s="4">
        <v>3.677</v>
      </c>
      <c r="BX35" s="4">
        <v>3.1720000000000002</v>
      </c>
      <c r="BY35" s="4">
        <v>3.2120000000000002</v>
      </c>
      <c r="BZ35" s="55">
        <v>3.19</v>
      </c>
      <c r="CA35" s="55">
        <v>0</v>
      </c>
      <c r="CB35" s="55">
        <v>0</v>
      </c>
      <c r="CC35" s="55">
        <v>0</v>
      </c>
      <c r="CD35" s="55">
        <v>3.42</v>
      </c>
      <c r="CE35" s="19">
        <v>0</v>
      </c>
      <c r="CF35" s="19">
        <v>0</v>
      </c>
      <c r="CG35" s="4">
        <v>3.31</v>
      </c>
      <c r="CH35" s="4">
        <v>0</v>
      </c>
      <c r="CI35" s="4">
        <v>0</v>
      </c>
      <c r="CJ35" s="34">
        <v>2.8</v>
      </c>
      <c r="CK35" s="34">
        <v>3.7</v>
      </c>
      <c r="CL35" s="43">
        <v>2.9</v>
      </c>
      <c r="CM35" s="4">
        <v>3.3</v>
      </c>
      <c r="CN35" s="53">
        <v>3.4</v>
      </c>
      <c r="CO35" s="54">
        <v>3.9</v>
      </c>
      <c r="CP35" s="54">
        <v>3.2</v>
      </c>
      <c r="CQ35" s="4">
        <v>2.9</v>
      </c>
    </row>
    <row r="36" spans="1:95" s="55" customFormat="1" x14ac:dyDescent="0.35">
      <c r="A36" s="55">
        <v>35</v>
      </c>
      <c r="B36" s="55" t="s">
        <v>111</v>
      </c>
      <c r="C36" s="27" t="s">
        <v>672</v>
      </c>
      <c r="D36" s="6" t="s">
        <v>88</v>
      </c>
      <c r="E36" s="33" t="s">
        <v>89</v>
      </c>
      <c r="F36" s="4">
        <f>IFERROR(AVERAGEIF(Table1[[#This Row],[2019-Apr]:[2025-July]],"&lt;&gt;0"),0)</f>
        <v>5.5872903225806478</v>
      </c>
      <c r="G36" s="4">
        <f ca="1">IFERROR(AVERAGEIF(OFFSET(Table1[[#This Row],[Status]],0,COUNT(Table1[[#This Row],[2019-May]:[2025-July]]),1,-12),"&lt;&gt;0"),0)</f>
        <v>4.7824999999999998</v>
      </c>
      <c r="H36" s="55">
        <f>IFERROR(SMALL(Table1[[#This Row],[2019-Apr]:[2025-July]],COUNTIF(Table1[[#This Row],[2019-Apr]:[2025-July]],0)+1),0)</f>
        <v>3.278</v>
      </c>
      <c r="I36" s="55">
        <f>IFERROR(MAX(Table1[[#This Row],[2019-Apr]:[2025-July]]),0)</f>
        <v>10.199999999999999</v>
      </c>
      <c r="J36" s="4" cm="1">
        <f t="array" ref="J3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3.5709999999999997</v>
      </c>
      <c r="K36" s="4">
        <v>4.5</v>
      </c>
      <c r="L36" s="4">
        <f>IF(Table1[[#This Row],[Standard as per ISO]]&gt;=Table1[[#This Row],[Avg of best 6]],Table1[[#This Row],[Standard as per ISO]],Table1[[#This Row],[Avg of best 6]])</f>
        <v>4.5</v>
      </c>
      <c r="M36" s="4" cm="1">
        <f t="array" ref="M36">IFERROR(LOOKUP(2,1/(Table1[[#This Row],[2019-May]:[2025-July]]&lt;&gt;0),Table1[[#This Row],[2019-May]:[2025-July]]),0)</f>
        <v>4.8</v>
      </c>
      <c r="N36" s="4">
        <f>COUNTIF(Table1[[#This Row],[2019-Apr]:[2025-July]],"&gt;="&amp;Table1[[#This Row],[Target]])</f>
        <v>45</v>
      </c>
      <c r="O36" s="4">
        <f>IF(Table1[[#This Row],[Outliers 2Y]]=0,1,0)</f>
        <v>0</v>
      </c>
      <c r="P36" s="4">
        <f>IF(Table1[[#This Row],[Last value]]&gt;1.5*Table1[[#This Row],[Target]],1,0)</f>
        <v>0</v>
      </c>
      <c r="Q36" s="4">
        <f>IF(AND(1.5*Table1[[#This Row],[Target]]&gt;=Table1[[#This Row],[Last value]],Table1[[#This Row],[Last value]]&gt;Table1[[#This Row],[Target]]),1,0)</f>
        <v>1</v>
      </c>
      <c r="R36" s="4">
        <f>IF(Table1[[#This Row],[Target]]&gt;=Table1[[#This Row],[Last value]],1,0)</f>
        <v>0</v>
      </c>
      <c r="S36" s="4" t="str">
        <f t="shared" si="0"/>
        <v>Yellow</v>
      </c>
      <c r="T36" s="7">
        <v>0</v>
      </c>
      <c r="U36" s="7">
        <v>5.74</v>
      </c>
      <c r="V36" s="7">
        <v>4.99</v>
      </c>
      <c r="W36" s="7">
        <v>10.199999999999999</v>
      </c>
      <c r="X36" s="7">
        <v>8.1</v>
      </c>
      <c r="Y36" s="7">
        <v>7.3</v>
      </c>
      <c r="Z36" s="7">
        <v>0</v>
      </c>
      <c r="AA36" s="7">
        <v>8.8000000000000007</v>
      </c>
      <c r="AB36" s="7">
        <v>6.04</v>
      </c>
      <c r="AC36" s="7">
        <v>6.32</v>
      </c>
      <c r="AD36" s="7">
        <v>5.8</v>
      </c>
      <c r="AE36" s="7">
        <v>4.5</v>
      </c>
      <c r="AF36" s="7">
        <v>4.4000000000000004</v>
      </c>
      <c r="AG36" s="7">
        <v>5.4</v>
      </c>
      <c r="AH36" s="7">
        <v>0</v>
      </c>
      <c r="AI36" s="7">
        <v>6.125</v>
      </c>
      <c r="AJ36" s="7">
        <v>8.0299999999999994</v>
      </c>
      <c r="AK36" s="7">
        <v>0</v>
      </c>
      <c r="AL36" s="7">
        <v>9.4499999999999993</v>
      </c>
      <c r="AM36" s="7">
        <v>0</v>
      </c>
      <c r="AN36" s="7">
        <v>7</v>
      </c>
      <c r="AO36" s="7">
        <v>8.1999999999999993</v>
      </c>
      <c r="AP36" s="7">
        <v>0</v>
      </c>
      <c r="AQ36" s="7">
        <v>7.3</v>
      </c>
      <c r="AR36" s="9">
        <v>5.7</v>
      </c>
      <c r="AS36" s="9">
        <v>5.93</v>
      </c>
      <c r="AT36" s="9">
        <v>7.3</v>
      </c>
      <c r="AU36" s="50">
        <v>6.49</v>
      </c>
      <c r="AV36" s="50">
        <v>5.86</v>
      </c>
      <c r="AW36" s="50">
        <v>7.22</v>
      </c>
      <c r="AX36" s="50">
        <v>5.37</v>
      </c>
      <c r="AY36" s="50">
        <v>5.6</v>
      </c>
      <c r="AZ36" s="50">
        <v>5.6</v>
      </c>
      <c r="BA36" s="50">
        <v>5.4</v>
      </c>
      <c r="BB36" s="50">
        <v>3.9</v>
      </c>
      <c r="BC36" s="55">
        <v>6.8</v>
      </c>
      <c r="BD36" s="55">
        <v>5.9</v>
      </c>
      <c r="BE36" s="11">
        <v>5.9950000000000001</v>
      </c>
      <c r="BF36" s="4">
        <v>0</v>
      </c>
      <c r="BG36" s="4">
        <v>4.43</v>
      </c>
      <c r="BH36" s="4">
        <v>6.7469999999999999</v>
      </c>
      <c r="BI36" s="4">
        <v>7.5410000000000004</v>
      </c>
      <c r="BJ36" s="13">
        <v>6.4850000000000003</v>
      </c>
      <c r="BK36" s="13">
        <v>4.6539999999999999</v>
      </c>
      <c r="BL36" s="4">
        <v>3.4750000000000001</v>
      </c>
      <c r="BM36" s="16">
        <v>4.2359999999999998</v>
      </c>
      <c r="BN36" s="4">
        <v>3.9660000000000002</v>
      </c>
      <c r="BO36" s="4">
        <v>3.278</v>
      </c>
      <c r="BP36" s="4">
        <v>3.9980000000000002</v>
      </c>
      <c r="BQ36" s="4">
        <v>4.6070000000000002</v>
      </c>
      <c r="BR36" s="4">
        <v>4.76</v>
      </c>
      <c r="BS36" s="4">
        <v>3.5579999999999998</v>
      </c>
      <c r="BT36" s="4">
        <v>4.117</v>
      </c>
      <c r="BU36" s="4">
        <v>4.3520000000000003</v>
      </c>
      <c r="BV36" s="4">
        <v>5.5620000000000003</v>
      </c>
      <c r="BW36" s="4">
        <v>4.0599999999999996</v>
      </c>
      <c r="BX36" s="4">
        <v>3.4249999999999998</v>
      </c>
      <c r="BY36" s="4">
        <v>4.0510000000000002</v>
      </c>
      <c r="BZ36" s="55">
        <v>3.79</v>
      </c>
      <c r="CA36" s="55">
        <v>0</v>
      </c>
      <c r="CB36" s="55">
        <v>0</v>
      </c>
      <c r="CC36" s="55">
        <v>0</v>
      </c>
      <c r="CD36" s="55">
        <v>5.5</v>
      </c>
      <c r="CE36" s="19">
        <v>0</v>
      </c>
      <c r="CF36" s="19">
        <v>0</v>
      </c>
      <c r="CG36" s="4">
        <v>5.16</v>
      </c>
      <c r="CH36" s="4">
        <v>0</v>
      </c>
      <c r="CI36" s="4">
        <v>0</v>
      </c>
      <c r="CJ36" s="34">
        <v>4.7</v>
      </c>
      <c r="CK36" s="34">
        <v>4.5999999999999996</v>
      </c>
      <c r="CL36" s="43">
        <v>5</v>
      </c>
      <c r="CM36" s="4">
        <v>5.7</v>
      </c>
      <c r="CN36" s="53">
        <v>4.2</v>
      </c>
      <c r="CO36" s="54">
        <v>4.3</v>
      </c>
      <c r="CP36" s="54">
        <v>4.5999999999999996</v>
      </c>
      <c r="CQ36" s="4">
        <v>4.8</v>
      </c>
    </row>
    <row r="37" spans="1:95" s="55" customFormat="1" x14ac:dyDescent="0.35">
      <c r="A37" s="55">
        <v>36</v>
      </c>
      <c r="B37" s="55" t="s">
        <v>111</v>
      </c>
      <c r="C37" s="27" t="s">
        <v>673</v>
      </c>
      <c r="D37" s="6" t="s">
        <v>88</v>
      </c>
      <c r="E37" s="33" t="s">
        <v>89</v>
      </c>
      <c r="F37" s="4">
        <f>IFERROR(AVERAGEIF(Table1[[#This Row],[2019-Apr]:[2025-July]],"&lt;&gt;0"),0)</f>
        <v>4.2233114754098366</v>
      </c>
      <c r="G37" s="4">
        <f ca="1">IFERROR(AVERAGEIF(OFFSET(Table1[[#This Row],[Status]],0,COUNT(Table1[[#This Row],[2019-May]:[2025-July]]),1,-12),"&lt;&gt;0"),0)</f>
        <v>2.7571428571428571</v>
      </c>
      <c r="H37" s="55">
        <f>IFERROR(SMALL(Table1[[#This Row],[2019-Apr]:[2025-July]],COUNTIF(Table1[[#This Row],[2019-Apr]:[2025-July]],0)+1),0)</f>
        <v>1.0449999999999999</v>
      </c>
      <c r="I37" s="55">
        <f>IFERROR(MAX(Table1[[#This Row],[2019-Apr]:[2025-July]]),0)</f>
        <v>12.8</v>
      </c>
      <c r="J37" s="4" cm="1">
        <f t="array" ref="J3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1.9020000000000001</v>
      </c>
      <c r="K37" s="4">
        <v>4.5</v>
      </c>
      <c r="L37" s="4">
        <f>IF(Table1[[#This Row],[Standard as per ISO]]&gt;=Table1[[#This Row],[Avg of best 6]],Table1[[#This Row],[Standard as per ISO]],Table1[[#This Row],[Avg of best 6]])</f>
        <v>4.5</v>
      </c>
      <c r="M37" s="4" cm="1">
        <f t="array" ref="M37">IFERROR(LOOKUP(2,1/(Table1[[#This Row],[2019-May]:[2025-July]]&lt;&gt;0),Table1[[#This Row],[2019-May]:[2025-July]]),0)</f>
        <v>3.1</v>
      </c>
      <c r="N37" s="4">
        <f>COUNTIF(Table1[[#This Row],[2019-Apr]:[2025-July]],"&gt;="&amp;Table1[[#This Row],[Target]])</f>
        <v>18</v>
      </c>
      <c r="O37" s="4">
        <f>IF(Table1[[#This Row],[Outliers 2Y]]=0,1,0)</f>
        <v>0</v>
      </c>
      <c r="P37" s="4">
        <f>IF(Table1[[#This Row],[Last value]]&gt;1.5*Table1[[#This Row],[Target]],1,0)</f>
        <v>0</v>
      </c>
      <c r="Q37" s="4">
        <f>IF(AND(1.5*Table1[[#This Row],[Target]]&gt;=Table1[[#This Row],[Last value]],Table1[[#This Row],[Last value]]&gt;Table1[[#This Row],[Target]]),1,0)</f>
        <v>0</v>
      </c>
      <c r="R37" s="4">
        <f>IF(Table1[[#This Row],[Target]]&gt;=Table1[[#This Row],[Last value]],1,0)</f>
        <v>1</v>
      </c>
      <c r="S37" s="4" t="str">
        <f t="shared" si="0"/>
        <v>Green</v>
      </c>
      <c r="T37" s="7">
        <v>5.47</v>
      </c>
      <c r="U37" s="7">
        <v>0</v>
      </c>
      <c r="V37" s="7">
        <v>5.42</v>
      </c>
      <c r="W37" s="7">
        <v>0</v>
      </c>
      <c r="X37" s="7">
        <v>5.7</v>
      </c>
      <c r="Y37" s="7">
        <v>12.8</v>
      </c>
      <c r="Z37" s="7">
        <v>3.92</v>
      </c>
      <c r="AA37" s="7">
        <v>0</v>
      </c>
      <c r="AB37" s="7">
        <v>0</v>
      </c>
      <c r="AC37" s="7">
        <v>3.73</v>
      </c>
      <c r="AD37" s="7">
        <v>4.8</v>
      </c>
      <c r="AE37" s="7">
        <v>4.5999999999999996</v>
      </c>
      <c r="AF37" s="7">
        <v>4.3</v>
      </c>
      <c r="AG37" s="7">
        <v>5.0999999999999996</v>
      </c>
      <c r="AH37" s="7">
        <v>4.8</v>
      </c>
      <c r="AI37" s="7">
        <v>2.7</v>
      </c>
      <c r="AJ37" s="7">
        <v>7.29</v>
      </c>
      <c r="AK37" s="7">
        <v>0</v>
      </c>
      <c r="AL37" s="7">
        <v>2.95</v>
      </c>
      <c r="AM37" s="7">
        <v>6.72</v>
      </c>
      <c r="AN37" s="7">
        <v>3</v>
      </c>
      <c r="AO37" s="7">
        <v>3.4</v>
      </c>
      <c r="AP37" s="7">
        <v>0</v>
      </c>
      <c r="AQ37" s="7">
        <v>2.48</v>
      </c>
      <c r="AR37" s="9">
        <v>6.31</v>
      </c>
      <c r="AS37" s="9">
        <v>7.67</v>
      </c>
      <c r="AT37" s="9">
        <v>3.84</v>
      </c>
      <c r="AU37" s="50">
        <v>7.64</v>
      </c>
      <c r="AV37" s="50">
        <v>9.67</v>
      </c>
      <c r="AW37" s="50">
        <v>7.3</v>
      </c>
      <c r="AX37" s="50">
        <v>10.6</v>
      </c>
      <c r="AY37" s="50">
        <v>8.91</v>
      </c>
      <c r="AZ37" s="50">
        <v>1.62</v>
      </c>
      <c r="BA37" s="50">
        <v>2.2999999999999998</v>
      </c>
      <c r="BB37" s="50">
        <v>2.2000000000000002</v>
      </c>
      <c r="BC37" s="55">
        <v>2.6</v>
      </c>
      <c r="BD37" s="55">
        <v>0</v>
      </c>
      <c r="BE37" s="11">
        <v>3.536</v>
      </c>
      <c r="BF37" s="4">
        <v>2.8679999999999999</v>
      </c>
      <c r="BG37" s="4">
        <v>2.94</v>
      </c>
      <c r="BH37" s="4">
        <v>2.4790000000000001</v>
      </c>
      <c r="BI37" s="4">
        <v>3.331</v>
      </c>
      <c r="BJ37" s="14">
        <v>3.54</v>
      </c>
      <c r="BK37" s="14">
        <v>2.6619999999999999</v>
      </c>
      <c r="BL37" s="4">
        <v>3.4249999999999998</v>
      </c>
      <c r="BM37" s="17">
        <v>2.2469999999999999</v>
      </c>
      <c r="BN37" s="4">
        <v>1.0449999999999999</v>
      </c>
      <c r="BO37" s="4">
        <v>2.9079999999999999</v>
      </c>
      <c r="BP37" s="4">
        <v>3.806</v>
      </c>
      <c r="BQ37" s="4">
        <v>3.2559999999999998</v>
      </c>
      <c r="BR37" s="4">
        <v>4.367</v>
      </c>
      <c r="BS37" s="4">
        <v>2.9670000000000001</v>
      </c>
      <c r="BT37" s="4">
        <v>6.3719999999999999</v>
      </c>
      <c r="BU37" s="4">
        <v>2.4889999999999999</v>
      </c>
      <c r="BV37" s="4">
        <v>3.157</v>
      </c>
      <c r="BW37" s="4">
        <v>3.0270000000000001</v>
      </c>
      <c r="BX37" s="4">
        <v>4.1580000000000004</v>
      </c>
      <c r="BY37" s="4">
        <v>3.2919999999999998</v>
      </c>
      <c r="BZ37" s="55">
        <v>0</v>
      </c>
      <c r="CA37" s="55">
        <v>3.96</v>
      </c>
      <c r="CB37" s="55">
        <v>3.55</v>
      </c>
      <c r="CC37" s="55">
        <v>0</v>
      </c>
      <c r="CD37" s="55">
        <v>0</v>
      </c>
      <c r="CE37" s="19">
        <v>0</v>
      </c>
      <c r="CF37" s="19">
        <v>0</v>
      </c>
      <c r="CG37" s="4">
        <v>0</v>
      </c>
      <c r="CH37" s="4">
        <v>0</v>
      </c>
      <c r="CI37" s="4">
        <v>0</v>
      </c>
      <c r="CJ37" s="34">
        <v>2.5</v>
      </c>
      <c r="CK37" s="34">
        <v>2.8</v>
      </c>
      <c r="CL37" s="43">
        <v>2.2000000000000002</v>
      </c>
      <c r="CM37" s="4">
        <v>4.2</v>
      </c>
      <c r="CN37" s="53">
        <v>3</v>
      </c>
      <c r="CO37" s="54">
        <v>2.1</v>
      </c>
      <c r="CP37" s="54">
        <v>2.5</v>
      </c>
      <c r="CQ37" s="4">
        <v>3.1</v>
      </c>
    </row>
    <row r="38" spans="1:95" s="55" customFormat="1" x14ac:dyDescent="0.35">
      <c r="A38" s="55">
        <v>37</v>
      </c>
      <c r="B38" s="55" t="s">
        <v>111</v>
      </c>
      <c r="C38" s="27" t="s">
        <v>674</v>
      </c>
      <c r="D38" s="6" t="s">
        <v>88</v>
      </c>
      <c r="E38" s="33" t="s">
        <v>89</v>
      </c>
      <c r="F38" s="4">
        <f>IFERROR(AVERAGEIF(Table1[[#This Row],[2019-Apr]:[2025-July]],"&lt;&gt;0"),0)</f>
        <v>4.7742641509433961</v>
      </c>
      <c r="G38" s="4">
        <f ca="1">IFERROR(AVERAGEIF(OFFSET(Table1[[#This Row],[Status]],0,COUNT(Table1[[#This Row],[2019-May]:[2025-July]]),1,-12),"&lt;&gt;0"),0)</f>
        <v>2.9499999999999993</v>
      </c>
      <c r="H38" s="55">
        <f>IFERROR(SMALL(Table1[[#This Row],[2019-Apr]:[2025-July]],COUNTIF(Table1[[#This Row],[2019-Apr]:[2025-July]],0)+1),0)</f>
        <v>1.599</v>
      </c>
      <c r="I38" s="55">
        <f>IFERROR(MAX(Table1[[#This Row],[2019-Apr]:[2025-July]]),0)</f>
        <v>13.2</v>
      </c>
      <c r="J38" s="4" cm="1">
        <f t="array" ref="J3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2.0811666666666668</v>
      </c>
      <c r="K38" s="4">
        <v>4.5</v>
      </c>
      <c r="L38" s="4">
        <f>IF(Table1[[#This Row],[Standard as per ISO]]&gt;=Table1[[#This Row],[Avg of best 6]],Table1[[#This Row],[Standard as per ISO]],Table1[[#This Row],[Avg of best 6]])</f>
        <v>4.5</v>
      </c>
      <c r="M38" s="4" cm="1">
        <f t="array" ref="M38">IFERROR(LOOKUP(2,1/(Table1[[#This Row],[2019-May]:[2025-July]]&lt;&gt;0),Table1[[#This Row],[2019-May]:[2025-July]]),0)</f>
        <v>2.8</v>
      </c>
      <c r="N38" s="4">
        <f>COUNTIF(Table1[[#This Row],[2019-Apr]:[2025-July]],"&gt;="&amp;Table1[[#This Row],[Target]])</f>
        <v>22</v>
      </c>
      <c r="O38" s="4">
        <f>IF(Table1[[#This Row],[Outliers 2Y]]=0,1,0)</f>
        <v>0</v>
      </c>
      <c r="P38" s="4">
        <f>IF(Table1[[#This Row],[Last value]]&gt;1.5*Table1[[#This Row],[Target]],1,0)</f>
        <v>0</v>
      </c>
      <c r="Q38" s="4">
        <f>IF(AND(1.5*Table1[[#This Row],[Target]]&gt;=Table1[[#This Row],[Last value]],Table1[[#This Row],[Last value]]&gt;Table1[[#This Row],[Target]]),1,0)</f>
        <v>0</v>
      </c>
      <c r="R38" s="4">
        <f>IF(Table1[[#This Row],[Target]]&gt;=Table1[[#This Row],[Last value]],1,0)</f>
        <v>1</v>
      </c>
      <c r="S38" s="4" t="str">
        <f t="shared" si="0"/>
        <v>Green</v>
      </c>
      <c r="T38" s="7">
        <v>0</v>
      </c>
      <c r="U38" s="7">
        <v>5.12</v>
      </c>
      <c r="V38" s="7">
        <v>5.88</v>
      </c>
      <c r="W38" s="7">
        <v>0</v>
      </c>
      <c r="X38" s="7">
        <v>10.4</v>
      </c>
      <c r="Y38" s="7">
        <v>9.3000000000000007</v>
      </c>
      <c r="Z38" s="7">
        <v>10.3</v>
      </c>
      <c r="AA38" s="7">
        <v>11.3</v>
      </c>
      <c r="AB38" s="7">
        <v>0</v>
      </c>
      <c r="AC38" s="7">
        <v>11.9</v>
      </c>
      <c r="AD38" s="7">
        <v>13.2</v>
      </c>
      <c r="AE38" s="7">
        <v>5.4</v>
      </c>
      <c r="AF38" s="7">
        <v>5.71</v>
      </c>
      <c r="AG38" s="7">
        <v>8.6</v>
      </c>
      <c r="AH38" s="7">
        <v>7.1</v>
      </c>
      <c r="AI38" s="7">
        <v>7.16</v>
      </c>
      <c r="AJ38" s="7">
        <v>2.58</v>
      </c>
      <c r="AK38" s="7">
        <v>2.6</v>
      </c>
      <c r="AL38" s="7">
        <v>3.47</v>
      </c>
      <c r="AM38" s="7">
        <v>3.59</v>
      </c>
      <c r="AN38" s="7">
        <v>4.1900000000000004</v>
      </c>
      <c r="AO38" s="7">
        <v>3.81</v>
      </c>
      <c r="AP38" s="7">
        <v>6.74</v>
      </c>
      <c r="AQ38" s="7">
        <v>6.66</v>
      </c>
      <c r="AR38" s="9">
        <v>3.69</v>
      </c>
      <c r="AS38" s="9">
        <v>0</v>
      </c>
      <c r="AT38" s="9">
        <v>6.55</v>
      </c>
      <c r="AU38" s="50">
        <v>5.18</v>
      </c>
      <c r="AV38" s="50">
        <v>4.7699999999999996</v>
      </c>
      <c r="AW38" s="50">
        <v>4.8899999999999997</v>
      </c>
      <c r="AX38" s="50">
        <v>4.95</v>
      </c>
      <c r="AY38" s="50">
        <v>5.7</v>
      </c>
      <c r="AZ38" s="50">
        <v>0</v>
      </c>
      <c r="BA38" s="50">
        <v>3.1</v>
      </c>
      <c r="BB38" s="50">
        <v>2.1</v>
      </c>
      <c r="BC38" s="55">
        <v>2.6</v>
      </c>
      <c r="BD38" s="55">
        <v>0</v>
      </c>
      <c r="BE38" s="11">
        <v>2.7909999999999999</v>
      </c>
      <c r="BF38" s="4">
        <v>2.4249999999999998</v>
      </c>
      <c r="BG38" s="4">
        <v>4.1900000000000004</v>
      </c>
      <c r="BH38" s="4">
        <v>3.9609999999999999</v>
      </c>
      <c r="BI38" s="4">
        <v>4.8179999999999996</v>
      </c>
      <c r="BJ38" s="13">
        <v>2.6859999999999999</v>
      </c>
      <c r="BK38" s="13">
        <v>3.5590000000000002</v>
      </c>
      <c r="BL38" s="4">
        <v>1.599</v>
      </c>
      <c r="BM38" s="16">
        <v>2.6269999999999998</v>
      </c>
      <c r="BN38" s="4">
        <v>3.226</v>
      </c>
      <c r="BO38" s="4">
        <v>2.9319999999999999</v>
      </c>
      <c r="BP38" s="4">
        <v>2.6859999999999999</v>
      </c>
      <c r="BQ38" s="4">
        <v>0</v>
      </c>
      <c r="BR38" s="4">
        <v>2.5329999999999999</v>
      </c>
      <c r="BS38" s="4">
        <v>2.2909999999999999</v>
      </c>
      <c r="BT38" s="4">
        <v>0</v>
      </c>
      <c r="BU38" s="4">
        <v>0</v>
      </c>
      <c r="BV38" s="4">
        <v>0</v>
      </c>
      <c r="BW38" s="4">
        <v>1.6719999999999999</v>
      </c>
      <c r="BX38" s="4">
        <v>0</v>
      </c>
      <c r="BY38" s="4">
        <v>0</v>
      </c>
      <c r="BZ38" s="55">
        <v>0</v>
      </c>
      <c r="CA38" s="55">
        <v>0</v>
      </c>
      <c r="CB38" s="55">
        <v>0</v>
      </c>
      <c r="CC38" s="55">
        <v>0</v>
      </c>
      <c r="CD38" s="55">
        <v>0</v>
      </c>
      <c r="CE38" s="19">
        <v>3.2</v>
      </c>
      <c r="CF38" s="19">
        <v>0</v>
      </c>
      <c r="CG38" s="4">
        <v>0</v>
      </c>
      <c r="CH38" s="4">
        <v>0</v>
      </c>
      <c r="CI38" s="4">
        <v>0</v>
      </c>
      <c r="CJ38" s="34">
        <v>2.4</v>
      </c>
      <c r="CK38" s="34">
        <v>2.8</v>
      </c>
      <c r="CL38" s="43">
        <v>2.6</v>
      </c>
      <c r="CM38" s="4">
        <v>3.8</v>
      </c>
      <c r="CN38" s="53">
        <v>0</v>
      </c>
      <c r="CO38" s="54">
        <v>0</v>
      </c>
      <c r="CP38" s="54">
        <v>2.9</v>
      </c>
      <c r="CQ38" s="4">
        <v>2.8</v>
      </c>
    </row>
    <row r="39" spans="1:95" s="55" customFormat="1" x14ac:dyDescent="0.35">
      <c r="A39" s="55">
        <v>38</v>
      </c>
      <c r="B39" s="55" t="s">
        <v>111</v>
      </c>
      <c r="C39" s="27" t="s">
        <v>675</v>
      </c>
      <c r="D39" s="6" t="s">
        <v>88</v>
      </c>
      <c r="E39" s="33" t="s">
        <v>90</v>
      </c>
      <c r="F39" s="4">
        <f>IFERROR(AVERAGEIF(Table1[[#This Row],[2019-Apr]:[2025-July]],"&lt;&gt;0"),0)</f>
        <v>1.3984571428571431</v>
      </c>
      <c r="G39" s="4">
        <f ca="1">IFERROR(AVERAGEIF(OFFSET(Table1[[#This Row],[Status]],0,COUNT(Table1[[#This Row],[2019-May]:[2025-July]]),1,-12),"&lt;&gt;0"),0)</f>
        <v>1.0008333333333332</v>
      </c>
      <c r="H39" s="55">
        <f>IFERROR(SMALL(Table1[[#This Row],[2019-Apr]:[2025-July]],COUNTIF(Table1[[#This Row],[2019-Apr]:[2025-July]],0)+1),0)</f>
        <v>0.7</v>
      </c>
      <c r="I39" s="55">
        <f>IFERROR(MAX(Table1[[#This Row],[2019-Apr]:[2025-July]]),0)</f>
        <v>3.76</v>
      </c>
      <c r="J39" s="4" cm="1">
        <f t="array" ref="J3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0.80149999999999999</v>
      </c>
      <c r="K39" s="4">
        <v>4.5</v>
      </c>
      <c r="L39" s="4">
        <f>IF(Table1[[#This Row],[Standard as per ISO]]&gt;=Table1[[#This Row],[Avg of best 6]],Table1[[#This Row],[Standard as per ISO]],Table1[[#This Row],[Avg of best 6]])</f>
        <v>4.5</v>
      </c>
      <c r="M39" s="4" cm="1">
        <f t="array" ref="M39">IFERROR(LOOKUP(2,1/(Table1[[#This Row],[2019-May]:[2025-July]]&lt;&gt;0),Table1[[#This Row],[2019-May]:[2025-July]]),0)</f>
        <v>1</v>
      </c>
      <c r="N39" s="4">
        <f>COUNTIF(Table1[[#This Row],[2019-Apr]:[2025-July]],"&gt;="&amp;Table1[[#This Row],[Target]])</f>
        <v>0</v>
      </c>
      <c r="O39" s="4">
        <f>IF(Table1[[#This Row],[Outliers 2Y]]=0,1,0)</f>
        <v>1</v>
      </c>
      <c r="P39" s="4">
        <f>IF(Table1[[#This Row],[Last value]]&gt;1.5*Table1[[#This Row],[Target]],1,0)</f>
        <v>0</v>
      </c>
      <c r="Q39" s="4">
        <f>IF(AND(1.5*Table1[[#This Row],[Target]]&gt;=Table1[[#This Row],[Last value]],Table1[[#This Row],[Last value]]&gt;Table1[[#This Row],[Target]]),1,0)</f>
        <v>0</v>
      </c>
      <c r="R39" s="4">
        <f>IF(Table1[[#This Row],[Target]]&gt;=Table1[[#This Row],[Last value]],1,0)</f>
        <v>1</v>
      </c>
      <c r="S39" s="4" t="str">
        <f t="shared" si="0"/>
        <v>Green</v>
      </c>
      <c r="T39" s="7">
        <v>2.76</v>
      </c>
      <c r="U39" s="7">
        <v>3.76</v>
      </c>
      <c r="V39" s="7">
        <v>2.2999999999999998</v>
      </c>
      <c r="W39" s="7">
        <v>1.8</v>
      </c>
      <c r="X39" s="7">
        <v>0.7</v>
      </c>
      <c r="Y39" s="7">
        <v>1.1000000000000001</v>
      </c>
      <c r="Z39" s="7">
        <v>0</v>
      </c>
      <c r="AA39" s="7">
        <v>0.76</v>
      </c>
      <c r="AB39" s="7">
        <v>0</v>
      </c>
      <c r="AC39" s="7">
        <v>1.1000000000000001</v>
      </c>
      <c r="AD39" s="7">
        <v>0.8</v>
      </c>
      <c r="AE39" s="7">
        <v>1.66</v>
      </c>
      <c r="AF39" s="7">
        <v>1.17</v>
      </c>
      <c r="AG39" s="7">
        <v>1.1000000000000001</v>
      </c>
      <c r="AH39" s="7">
        <v>1</v>
      </c>
      <c r="AI39" s="7">
        <v>2.25</v>
      </c>
      <c r="AJ39" s="7">
        <v>1.04</v>
      </c>
      <c r="AK39" s="7">
        <v>0</v>
      </c>
      <c r="AL39" s="7">
        <v>0.85</v>
      </c>
      <c r="AM39" s="7">
        <v>1.32</v>
      </c>
      <c r="AN39" s="7">
        <v>0.9</v>
      </c>
      <c r="AO39" s="7">
        <v>0.91</v>
      </c>
      <c r="AP39" s="7">
        <v>0.9</v>
      </c>
      <c r="AQ39" s="7">
        <v>1.86</v>
      </c>
      <c r="AR39" s="9">
        <v>1.25</v>
      </c>
      <c r="AS39" s="9">
        <v>1.62</v>
      </c>
      <c r="AT39" s="9">
        <v>2.44</v>
      </c>
      <c r="AU39" s="50">
        <v>0.9</v>
      </c>
      <c r="AV39" s="50">
        <v>1.41</v>
      </c>
      <c r="AW39" s="50">
        <v>1.1399999999999999</v>
      </c>
      <c r="AX39" s="50">
        <v>1.58</v>
      </c>
      <c r="AY39" s="50">
        <v>2.0099999999999998</v>
      </c>
      <c r="AZ39" s="50">
        <v>1.0900000000000001</v>
      </c>
      <c r="BA39" s="50">
        <v>1.7</v>
      </c>
      <c r="BB39" s="50">
        <v>1.9</v>
      </c>
      <c r="BC39" s="55">
        <v>1.4</v>
      </c>
      <c r="BD39" s="55">
        <v>0</v>
      </c>
      <c r="BE39" s="11">
        <v>1.5469999999999999</v>
      </c>
      <c r="BF39" s="4">
        <v>2.2959999999999998</v>
      </c>
      <c r="BG39" s="4">
        <v>1.9</v>
      </c>
      <c r="BH39" s="4">
        <v>1.024</v>
      </c>
      <c r="BI39" s="4">
        <v>1.2589999999999999</v>
      </c>
      <c r="BJ39" s="14">
        <v>0.97399999999999998</v>
      </c>
      <c r="BK39" s="14">
        <v>1.512</v>
      </c>
      <c r="BL39" s="4">
        <v>2.004</v>
      </c>
      <c r="BM39" s="17">
        <v>0.79900000000000004</v>
      </c>
      <c r="BN39" s="4">
        <v>1.2150000000000001</v>
      </c>
      <c r="BO39" s="4">
        <v>0.97</v>
      </c>
      <c r="BP39" s="4">
        <v>1.909</v>
      </c>
      <c r="BQ39" s="4">
        <v>2.165</v>
      </c>
      <c r="BR39" s="4">
        <v>1.835</v>
      </c>
      <c r="BS39" s="4">
        <v>1.105</v>
      </c>
      <c r="BT39" s="4">
        <v>1.23</v>
      </c>
      <c r="BU39" s="4">
        <v>0</v>
      </c>
      <c r="BV39" s="4">
        <v>2.6920000000000002</v>
      </c>
      <c r="BW39" s="4">
        <v>1.306</v>
      </c>
      <c r="BX39" s="4">
        <v>1.3859999999999999</v>
      </c>
      <c r="BY39" s="4">
        <v>2.7839999999999998</v>
      </c>
      <c r="BZ39" s="55">
        <v>0</v>
      </c>
      <c r="CA39" s="55">
        <v>1.1599999999999999</v>
      </c>
      <c r="CB39" s="55">
        <v>1.07</v>
      </c>
      <c r="CC39" s="55">
        <v>1.18</v>
      </c>
      <c r="CD39" s="55">
        <v>1.08</v>
      </c>
      <c r="CE39" s="19">
        <v>0.9</v>
      </c>
      <c r="CF39" s="19">
        <v>0.9</v>
      </c>
      <c r="CG39" s="4">
        <v>1.18</v>
      </c>
      <c r="CH39" s="4">
        <v>0.96</v>
      </c>
      <c r="CI39" s="4">
        <v>1.17</v>
      </c>
      <c r="CJ39" s="34">
        <v>0.9</v>
      </c>
      <c r="CK39" s="34">
        <v>1</v>
      </c>
      <c r="CL39" s="43">
        <v>1</v>
      </c>
      <c r="CM39" s="4">
        <v>0.9</v>
      </c>
      <c r="CN39" s="53">
        <v>1</v>
      </c>
      <c r="CO39" s="54">
        <v>1</v>
      </c>
      <c r="CP39" s="54">
        <v>1.1000000000000001</v>
      </c>
      <c r="CQ39" s="4">
        <v>1</v>
      </c>
    </row>
    <row r="40" spans="1:95" s="55" customFormat="1" x14ac:dyDescent="0.35">
      <c r="A40" s="55">
        <v>39</v>
      </c>
      <c r="B40" s="55" t="s">
        <v>111</v>
      </c>
      <c r="C40" s="27" t="s">
        <v>676</v>
      </c>
      <c r="D40" s="6" t="s">
        <v>88</v>
      </c>
      <c r="E40" s="33" t="s">
        <v>89</v>
      </c>
      <c r="F40" s="4">
        <f>IFERROR(AVERAGEIF(Table1[[#This Row],[2019-Apr]:[2025-July]],"&lt;&gt;0"),0)</f>
        <v>4.1046400000000016</v>
      </c>
      <c r="G40" s="4">
        <f ca="1">IFERROR(AVERAGEIF(OFFSET(Table1[[#This Row],[Status]],0,COUNT(Table1[[#This Row],[2019-May]:[2025-July]]),1,-12),"&lt;&gt;0"),0)</f>
        <v>4.7</v>
      </c>
      <c r="H40" s="55">
        <f>IFERROR(SMALL(Table1[[#This Row],[2019-Apr]:[2025-July]],COUNTIF(Table1[[#This Row],[2019-Apr]:[2025-July]],0)+1),0)</f>
        <v>1.395</v>
      </c>
      <c r="I40" s="55">
        <f>IFERROR(MAX(Table1[[#This Row],[2019-Apr]:[2025-July]]),0)</f>
        <v>7.96</v>
      </c>
      <c r="J40" s="4" cm="1">
        <f t="array" ref="J4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2.4218333333333333</v>
      </c>
      <c r="K40" s="4">
        <v>4.5</v>
      </c>
      <c r="L40" s="4">
        <f>IF(Table1[[#This Row],[Standard as per ISO]]&gt;=Table1[[#This Row],[Avg of best 6]],Table1[[#This Row],[Standard as per ISO]],Table1[[#This Row],[Avg of best 6]])</f>
        <v>4.5</v>
      </c>
      <c r="M40" s="4" cm="1">
        <f t="array" ref="M40">IFERROR(LOOKUP(2,1/(Table1[[#This Row],[2019-May]:[2025-July]]&lt;&gt;0),Table1[[#This Row],[2019-May]:[2025-July]]),0)</f>
        <v>4.9000000000000004</v>
      </c>
      <c r="N40" s="4">
        <f>COUNTIF(Table1[[#This Row],[2019-Apr]:[2025-July]],"&gt;="&amp;Table1[[#This Row],[Target]])</f>
        <v>19</v>
      </c>
      <c r="O40" s="4">
        <f>IF(Table1[[#This Row],[Outliers 2Y]]=0,1,0)</f>
        <v>0</v>
      </c>
      <c r="P40" s="4">
        <f>IF(Table1[[#This Row],[Last value]]&gt;1.5*Table1[[#This Row],[Target]],1,0)</f>
        <v>0</v>
      </c>
      <c r="Q40" s="4">
        <f>IF(AND(1.5*Table1[[#This Row],[Target]]&gt;=Table1[[#This Row],[Last value]],Table1[[#This Row],[Last value]]&gt;Table1[[#This Row],[Target]]),1,0)</f>
        <v>1</v>
      </c>
      <c r="R40" s="4">
        <f>IF(Table1[[#This Row],[Target]]&gt;=Table1[[#This Row],[Last value]],1,0)</f>
        <v>0</v>
      </c>
      <c r="S40" s="4" t="str">
        <f t="shared" si="0"/>
        <v>Yellow</v>
      </c>
      <c r="T40" s="7">
        <v>4.91</v>
      </c>
      <c r="U40" s="7">
        <v>3.16</v>
      </c>
      <c r="V40" s="7">
        <v>3.57</v>
      </c>
      <c r="W40" s="7">
        <v>3.3</v>
      </c>
      <c r="X40" s="7">
        <v>3.3</v>
      </c>
      <c r="Y40" s="7">
        <v>3.3</v>
      </c>
      <c r="Z40" s="7">
        <v>0</v>
      </c>
      <c r="AA40" s="7">
        <v>0</v>
      </c>
      <c r="AB40" s="7">
        <v>3.54</v>
      </c>
      <c r="AC40" s="7">
        <v>3.16</v>
      </c>
      <c r="AD40" s="7">
        <v>3.3</v>
      </c>
      <c r="AE40" s="7">
        <v>2.6</v>
      </c>
      <c r="AF40" s="7">
        <v>3.35</v>
      </c>
      <c r="AG40" s="7">
        <v>3.4</v>
      </c>
      <c r="AH40" s="7">
        <v>3.125</v>
      </c>
      <c r="AI40" s="7">
        <v>0</v>
      </c>
      <c r="AJ40" s="7">
        <v>3.2</v>
      </c>
      <c r="AK40" s="7">
        <v>3.35</v>
      </c>
      <c r="AL40" s="7">
        <v>3.92</v>
      </c>
      <c r="AM40" s="7">
        <v>3.83</v>
      </c>
      <c r="AN40" s="7">
        <v>0</v>
      </c>
      <c r="AO40" s="7">
        <v>2.6</v>
      </c>
      <c r="AP40" s="7">
        <v>3.12</v>
      </c>
      <c r="AQ40" s="7">
        <v>2.2000000000000002</v>
      </c>
      <c r="AR40" s="9">
        <v>0</v>
      </c>
      <c r="AS40" s="9">
        <v>0</v>
      </c>
      <c r="AT40" s="9">
        <v>0</v>
      </c>
      <c r="AU40" s="50">
        <v>2.98</v>
      </c>
      <c r="AV40" s="50">
        <v>3.65</v>
      </c>
      <c r="AW40" s="50">
        <v>3.29</v>
      </c>
      <c r="AX40" s="50">
        <v>3.4</v>
      </c>
      <c r="AY40" s="50">
        <v>7.96</v>
      </c>
      <c r="AZ40" s="50">
        <v>6.41</v>
      </c>
      <c r="BA40" s="50">
        <v>4.4000000000000004</v>
      </c>
      <c r="BB40" s="50">
        <v>4.7</v>
      </c>
      <c r="BC40" s="55">
        <v>5</v>
      </c>
      <c r="BD40" s="55">
        <v>0</v>
      </c>
      <c r="BE40" s="11">
        <v>3.87</v>
      </c>
      <c r="BF40" s="4">
        <v>0</v>
      </c>
      <c r="BG40" s="4">
        <v>4.7050000000000001</v>
      </c>
      <c r="BH40" s="4">
        <v>4.7530000000000001</v>
      </c>
      <c r="BI40" s="4">
        <v>4.976</v>
      </c>
      <c r="BJ40" s="13">
        <v>4.5620000000000003</v>
      </c>
      <c r="BK40" s="13">
        <v>1.395</v>
      </c>
      <c r="BL40" s="4">
        <v>4.1840000000000002</v>
      </c>
      <c r="BM40" s="16">
        <v>4.32</v>
      </c>
      <c r="BN40" s="4">
        <v>4.7510000000000003</v>
      </c>
      <c r="BO40" s="4">
        <v>4.6980000000000004</v>
      </c>
      <c r="BP40" s="4">
        <v>4.2519999999999998</v>
      </c>
      <c r="BQ40" s="4">
        <v>4.798</v>
      </c>
      <c r="BR40" s="4">
        <v>4.3970000000000002</v>
      </c>
      <c r="BS40" s="4">
        <v>2.7559999999999998</v>
      </c>
      <c r="BT40" s="4">
        <v>0</v>
      </c>
      <c r="BU40" s="4">
        <v>0</v>
      </c>
      <c r="BV40" s="4">
        <v>0</v>
      </c>
      <c r="BW40" s="4">
        <v>5.2009999999999996</v>
      </c>
      <c r="BX40" s="4">
        <v>6.2229999999999999</v>
      </c>
      <c r="BY40" s="4">
        <v>6.1859999999999999</v>
      </c>
      <c r="BZ40" s="55">
        <v>0</v>
      </c>
      <c r="CA40" s="55">
        <v>5.83</v>
      </c>
      <c r="CB40" s="55">
        <v>5.95</v>
      </c>
      <c r="CC40" s="55">
        <v>0</v>
      </c>
      <c r="CD40" s="55">
        <v>0</v>
      </c>
      <c r="CE40" s="19">
        <v>0</v>
      </c>
      <c r="CF40" s="19">
        <v>0</v>
      </c>
      <c r="CG40" s="4">
        <v>0</v>
      </c>
      <c r="CH40" s="4">
        <v>0</v>
      </c>
      <c r="CI40" s="4">
        <v>0</v>
      </c>
      <c r="CJ40" s="34">
        <v>0</v>
      </c>
      <c r="CK40" s="34">
        <v>0</v>
      </c>
      <c r="CL40" s="43">
        <v>0</v>
      </c>
      <c r="CM40" s="4">
        <v>0</v>
      </c>
      <c r="CN40" s="53">
        <v>0</v>
      </c>
      <c r="CO40" s="54">
        <v>4.5</v>
      </c>
      <c r="CP40" s="54">
        <v>4.9000000000000004</v>
      </c>
      <c r="CQ40" s="4">
        <v>0</v>
      </c>
    </row>
    <row r="41" spans="1:95" s="55" customFormat="1" x14ac:dyDescent="0.35">
      <c r="A41" s="55">
        <v>40</v>
      </c>
      <c r="B41" s="55" t="s">
        <v>111</v>
      </c>
      <c r="C41" s="27" t="s">
        <v>677</v>
      </c>
      <c r="D41" s="6" t="s">
        <v>88</v>
      </c>
      <c r="E41" s="33" t="s">
        <v>89</v>
      </c>
      <c r="F41" s="4">
        <f>IFERROR(AVERAGEIF(Table1[[#This Row],[2019-Apr]:[2025-July]],"&lt;&gt;0"),0)</f>
        <v>6.5470499999999987</v>
      </c>
      <c r="G41" s="4">
        <f ca="1">IFERROR(AVERAGEIF(OFFSET(Table1[[#This Row],[Status]],0,COUNT(Table1[[#This Row],[2019-May]:[2025-July]]),1,-12),"&lt;&gt;0"),0)</f>
        <v>5.5857142857142863</v>
      </c>
      <c r="H41" s="55">
        <f>IFERROR(SMALL(Table1[[#This Row],[2019-Apr]:[2025-July]],COUNTIF(Table1[[#This Row],[2019-Apr]:[2025-July]],0)+1),0)</f>
        <v>0.90100000000000002</v>
      </c>
      <c r="I41" s="55">
        <f>IFERROR(MAX(Table1[[#This Row],[2019-Apr]:[2025-July]]),0)</f>
        <v>16.899999999999999</v>
      </c>
      <c r="J41" s="4" cm="1">
        <f t="array" ref="J4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2.6648333333333336</v>
      </c>
      <c r="K41" s="4">
        <v>4.5</v>
      </c>
      <c r="L41" s="4">
        <f>IF(Table1[[#This Row],[Standard as per ISO]]&gt;=Table1[[#This Row],[Avg of best 6]],Table1[[#This Row],[Standard as per ISO]],Table1[[#This Row],[Avg of best 6]])</f>
        <v>4.5</v>
      </c>
      <c r="M41" s="4" cm="1">
        <f t="array" ref="M41">IFERROR(LOOKUP(2,1/(Table1[[#This Row],[2019-May]:[2025-July]]&lt;&gt;0),Table1[[#This Row],[2019-May]:[2025-July]]),0)</f>
        <v>16.899999999999999</v>
      </c>
      <c r="N41" s="4">
        <f>COUNTIF(Table1[[#This Row],[2019-Apr]:[2025-July]],"&gt;="&amp;Table1[[#This Row],[Target]])</f>
        <v>49</v>
      </c>
      <c r="O41" s="4">
        <f>IF(Table1[[#This Row],[Outliers 2Y]]=0,1,0)</f>
        <v>0</v>
      </c>
      <c r="P41" s="4">
        <f>IF(Table1[[#This Row],[Last value]]&gt;1.5*Table1[[#This Row],[Target]],1,0)</f>
        <v>1</v>
      </c>
      <c r="Q41" s="4">
        <f>IF(AND(1.5*Table1[[#This Row],[Target]]&gt;=Table1[[#This Row],[Last value]],Table1[[#This Row],[Last value]]&gt;Table1[[#This Row],[Target]]),1,0)</f>
        <v>0</v>
      </c>
      <c r="R41" s="4">
        <f>IF(Table1[[#This Row],[Target]]&gt;=Table1[[#This Row],[Last value]],1,0)</f>
        <v>0</v>
      </c>
      <c r="S41" s="4" t="str">
        <f t="shared" si="0"/>
        <v>Red</v>
      </c>
      <c r="T41" s="7">
        <v>4.6100000000000003</v>
      </c>
      <c r="U41" s="7">
        <v>4.5</v>
      </c>
      <c r="V41" s="7">
        <v>6.61</v>
      </c>
      <c r="W41" s="7">
        <v>7.09</v>
      </c>
      <c r="X41" s="7">
        <v>6.7</v>
      </c>
      <c r="Y41" s="7">
        <v>9.5</v>
      </c>
      <c r="Z41" s="7">
        <v>0</v>
      </c>
      <c r="AA41" s="7">
        <v>8.6999999999999993</v>
      </c>
      <c r="AB41" s="7">
        <v>4.83</v>
      </c>
      <c r="AC41" s="7">
        <v>8.74</v>
      </c>
      <c r="AD41" s="7">
        <v>5.99</v>
      </c>
      <c r="AE41" s="7">
        <v>4.63</v>
      </c>
      <c r="AF41" s="7">
        <v>5.87</v>
      </c>
      <c r="AG41" s="7">
        <v>4.9000000000000004</v>
      </c>
      <c r="AH41" s="7">
        <v>5.5</v>
      </c>
      <c r="AI41" s="7">
        <v>6.1</v>
      </c>
      <c r="AJ41" s="7">
        <v>6.5</v>
      </c>
      <c r="AK41" s="7">
        <v>8.3000000000000007</v>
      </c>
      <c r="AL41" s="7">
        <v>5.69</v>
      </c>
      <c r="AM41" s="7">
        <v>5.26</v>
      </c>
      <c r="AN41" s="7">
        <v>4.3</v>
      </c>
      <c r="AO41" s="7">
        <v>6.5</v>
      </c>
      <c r="AP41" s="7">
        <v>12.9</v>
      </c>
      <c r="AQ41" s="7">
        <v>0</v>
      </c>
      <c r="AR41" s="9">
        <v>8.4</v>
      </c>
      <c r="AS41" s="9">
        <v>4.7</v>
      </c>
      <c r="AT41" s="9">
        <v>7.73</v>
      </c>
      <c r="AU41" s="50">
        <v>10.7</v>
      </c>
      <c r="AV41" s="50">
        <v>11.8</v>
      </c>
      <c r="AW41" s="50">
        <v>12.4</v>
      </c>
      <c r="AX41" s="50">
        <v>10.4</v>
      </c>
      <c r="AY41" s="50">
        <v>13.5</v>
      </c>
      <c r="AZ41" s="50">
        <v>7.4</v>
      </c>
      <c r="BA41" s="50">
        <v>12.4</v>
      </c>
      <c r="BB41" s="50">
        <v>4.9000000000000004</v>
      </c>
      <c r="BC41" s="50">
        <v>0</v>
      </c>
      <c r="BD41" s="55">
        <v>0</v>
      </c>
      <c r="BE41" s="11">
        <v>7.0010000000000003</v>
      </c>
      <c r="BF41" s="4">
        <v>0</v>
      </c>
      <c r="BG41" s="4">
        <v>0</v>
      </c>
      <c r="BH41" s="4">
        <v>3.871</v>
      </c>
      <c r="BI41" s="4">
        <v>5.2</v>
      </c>
      <c r="BJ41" s="14">
        <v>4.4429999999999996</v>
      </c>
      <c r="BK41" s="14">
        <v>5.59</v>
      </c>
      <c r="BL41" s="4">
        <v>5.1340000000000003</v>
      </c>
      <c r="BM41" s="17">
        <v>3.0030000000000001</v>
      </c>
      <c r="BN41" s="4">
        <v>4.9939999999999998</v>
      </c>
      <c r="BO41" s="4">
        <v>0.90100000000000002</v>
      </c>
      <c r="BP41" s="4">
        <v>4.9690000000000003</v>
      </c>
      <c r="BQ41" s="4">
        <v>4.7779999999999996</v>
      </c>
      <c r="BR41" s="4">
        <v>6.6589999999999998</v>
      </c>
      <c r="BS41" s="4">
        <v>0</v>
      </c>
      <c r="BT41" s="4">
        <v>5.4390000000000001</v>
      </c>
      <c r="BU41" s="4">
        <v>6.9790000000000001</v>
      </c>
      <c r="BV41" s="4">
        <v>4.8440000000000003</v>
      </c>
      <c r="BW41" s="4">
        <v>5.0350000000000001</v>
      </c>
      <c r="BX41" s="4">
        <v>3.5550000000000002</v>
      </c>
      <c r="BY41" s="4">
        <v>4.3479999999999999</v>
      </c>
      <c r="BZ41" s="55">
        <v>2.0299999999999998</v>
      </c>
      <c r="CA41" s="55">
        <v>0</v>
      </c>
      <c r="CB41" s="55">
        <v>0</v>
      </c>
      <c r="CC41" s="55">
        <v>0</v>
      </c>
      <c r="CD41" s="55">
        <v>0</v>
      </c>
      <c r="CE41" s="19">
        <v>5.2</v>
      </c>
      <c r="CF41" s="19">
        <v>0</v>
      </c>
      <c r="CG41" s="4">
        <v>0</v>
      </c>
      <c r="CH41" s="4">
        <v>0</v>
      </c>
      <c r="CI41" s="4">
        <v>0</v>
      </c>
      <c r="CJ41" s="34">
        <v>2.7</v>
      </c>
      <c r="CK41" s="34">
        <v>3.8</v>
      </c>
      <c r="CL41" s="43">
        <v>4.4000000000000004</v>
      </c>
      <c r="CM41" s="4">
        <v>5.7</v>
      </c>
      <c r="CN41" s="53">
        <v>0</v>
      </c>
      <c r="CO41" s="54">
        <v>4.5</v>
      </c>
      <c r="CP41" s="54">
        <v>12.8</v>
      </c>
      <c r="CQ41" s="4">
        <v>16.899999999999999</v>
      </c>
    </row>
    <row r="42" spans="1:95" s="55" customFormat="1" x14ac:dyDescent="0.35">
      <c r="A42" s="55">
        <v>41</v>
      </c>
      <c r="B42" s="55" t="s">
        <v>111</v>
      </c>
      <c r="C42" s="27" t="s">
        <v>678</v>
      </c>
      <c r="D42" s="6" t="s">
        <v>88</v>
      </c>
      <c r="E42" s="33" t="s">
        <v>90</v>
      </c>
      <c r="F42" s="4">
        <f>IFERROR(AVERAGEIF(Table1[[#This Row],[2019-Apr]:[2025-July]],"&lt;&gt;0"),0)</f>
        <v>4.7724285714285735</v>
      </c>
      <c r="G42" s="4">
        <f ca="1">IFERROR(AVERAGEIF(OFFSET(Table1[[#This Row],[Status]],0,COUNT(Table1[[#This Row],[2019-May]:[2025-July]]),1,-12),"&lt;&gt;0"),0)</f>
        <v>7.3775000000000004</v>
      </c>
      <c r="H42" s="55">
        <f>IFERROR(SMALL(Table1[[#This Row],[2019-Apr]:[2025-July]],COUNTIF(Table1[[#This Row],[2019-Apr]:[2025-July]],0)+1),0)</f>
        <v>1.65</v>
      </c>
      <c r="I42" s="55">
        <f>IFERROR(MAX(Table1[[#This Row],[2019-Apr]:[2025-July]]),0)</f>
        <v>19.920000000000002</v>
      </c>
      <c r="J42" s="4" cm="1">
        <f t="array" ref="J4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1.8231666666666666</v>
      </c>
      <c r="K42" s="4">
        <v>4.5</v>
      </c>
      <c r="L42" s="4">
        <f>IF(Table1[[#This Row],[Standard as per ISO]]&gt;=Table1[[#This Row],[Avg of best 6]],Table1[[#This Row],[Standard as per ISO]],Table1[[#This Row],[Avg of best 6]])</f>
        <v>4.5</v>
      </c>
      <c r="M42" s="4" cm="1">
        <f t="array" ref="M42">IFERROR(LOOKUP(2,1/(Table1[[#This Row],[2019-May]:[2025-July]]&lt;&gt;0),Table1[[#This Row],[2019-May]:[2025-July]]),0)</f>
        <v>3.6</v>
      </c>
      <c r="N42" s="4">
        <f>COUNTIF(Table1[[#This Row],[2019-Apr]:[2025-July]],"&gt;="&amp;Table1[[#This Row],[Target]])</f>
        <v>26</v>
      </c>
      <c r="O42" s="4">
        <f>IF(Table1[[#This Row],[Outliers 2Y]]=0,1,0)</f>
        <v>0</v>
      </c>
      <c r="P42" s="4">
        <f>IF(Table1[[#This Row],[Last value]]&gt;1.5*Table1[[#This Row],[Target]],1,0)</f>
        <v>0</v>
      </c>
      <c r="Q42" s="4">
        <f>IF(AND(1.5*Table1[[#This Row],[Target]]&gt;=Table1[[#This Row],[Last value]],Table1[[#This Row],[Last value]]&gt;Table1[[#This Row],[Target]]),1,0)</f>
        <v>0</v>
      </c>
      <c r="R42" s="4">
        <f>IF(Table1[[#This Row],[Target]]&gt;=Table1[[#This Row],[Last value]],1,0)</f>
        <v>1</v>
      </c>
      <c r="S42" s="4" t="str">
        <f t="shared" si="0"/>
        <v>Green</v>
      </c>
      <c r="T42" s="7">
        <v>4.84</v>
      </c>
      <c r="U42" s="7">
        <v>0</v>
      </c>
      <c r="V42" s="7">
        <v>3.76</v>
      </c>
      <c r="W42" s="7">
        <v>7.09</v>
      </c>
      <c r="X42" s="7">
        <v>5.9</v>
      </c>
      <c r="Y42" s="7">
        <v>10.4</v>
      </c>
      <c r="Z42" s="7">
        <v>7.24</v>
      </c>
      <c r="AA42" s="7">
        <v>0</v>
      </c>
      <c r="AB42" s="7">
        <v>4.9000000000000004</v>
      </c>
      <c r="AC42" s="7">
        <v>6.64</v>
      </c>
      <c r="AD42" s="7">
        <v>5.67</v>
      </c>
      <c r="AE42" s="7">
        <v>3.67</v>
      </c>
      <c r="AF42" s="7">
        <v>3.7</v>
      </c>
      <c r="AG42" s="7">
        <v>4</v>
      </c>
      <c r="AH42" s="7">
        <v>3.57</v>
      </c>
      <c r="AI42" s="7">
        <v>2.5</v>
      </c>
      <c r="AJ42" s="7">
        <v>8.4</v>
      </c>
      <c r="AK42" s="7">
        <v>0</v>
      </c>
      <c r="AL42" s="7">
        <v>8.43</v>
      </c>
      <c r="AM42" s="7">
        <v>0</v>
      </c>
      <c r="AN42" s="7">
        <v>1.9</v>
      </c>
      <c r="AO42" s="7">
        <v>1.65</v>
      </c>
      <c r="AP42" s="7">
        <v>1.89</v>
      </c>
      <c r="AQ42" s="7">
        <v>0</v>
      </c>
      <c r="AR42" s="9">
        <v>9.8699999999999992</v>
      </c>
      <c r="AS42" s="9">
        <v>2.16</v>
      </c>
      <c r="AT42" s="9">
        <v>1.89</v>
      </c>
      <c r="AU42" s="50">
        <v>3.18</v>
      </c>
      <c r="AV42" s="50">
        <v>2.15</v>
      </c>
      <c r="AW42" s="50">
        <v>6.97</v>
      </c>
      <c r="AX42" s="50">
        <v>2.31</v>
      </c>
      <c r="AY42" s="50">
        <v>4.4000000000000004</v>
      </c>
      <c r="AZ42" s="50">
        <v>2</v>
      </c>
      <c r="BA42" s="50">
        <v>2.2999999999999998</v>
      </c>
      <c r="BB42" s="50">
        <v>2.5</v>
      </c>
      <c r="BC42" s="50">
        <v>0</v>
      </c>
      <c r="BD42" s="55">
        <v>0</v>
      </c>
      <c r="BE42" s="11">
        <v>1.9</v>
      </c>
      <c r="BF42" s="4">
        <v>0</v>
      </c>
      <c r="BG42" s="4">
        <v>1.78</v>
      </c>
      <c r="BH42" s="4">
        <v>2.9830000000000001</v>
      </c>
      <c r="BI42" s="4">
        <v>2.1</v>
      </c>
      <c r="BJ42" s="13">
        <v>10.93</v>
      </c>
      <c r="BK42" s="13">
        <v>2.7029999999999998</v>
      </c>
      <c r="BL42" s="4">
        <v>4.6820000000000004</v>
      </c>
      <c r="BM42" s="16">
        <v>2.109</v>
      </c>
      <c r="BN42" s="4">
        <v>1.829</v>
      </c>
      <c r="BO42" s="4">
        <v>2.02</v>
      </c>
      <c r="BP42" s="4">
        <v>1.9910000000000001</v>
      </c>
      <c r="BQ42" s="4">
        <v>2.4500000000000002</v>
      </c>
      <c r="BR42" s="4">
        <v>2.5299999999999998</v>
      </c>
      <c r="BS42" s="4">
        <v>7.88</v>
      </c>
      <c r="BT42" s="4">
        <v>2.6829999999999998</v>
      </c>
      <c r="BU42" s="4">
        <v>6.1870000000000003</v>
      </c>
      <c r="BV42" s="4">
        <v>2.62</v>
      </c>
      <c r="BW42" s="4">
        <v>2.1619999999999999</v>
      </c>
      <c r="BX42" s="4">
        <v>2.601</v>
      </c>
      <c r="BY42" s="4">
        <v>2.383</v>
      </c>
      <c r="BZ42" s="55">
        <v>2.5299999999999998</v>
      </c>
      <c r="CA42" s="55">
        <v>2.5299999999999998</v>
      </c>
      <c r="CB42" s="55">
        <v>0</v>
      </c>
      <c r="CC42" s="55">
        <v>10.66</v>
      </c>
      <c r="CD42" s="55">
        <v>19.920000000000002</v>
      </c>
      <c r="CE42" s="19">
        <v>16.399999999999999</v>
      </c>
      <c r="CF42" s="19">
        <v>10</v>
      </c>
      <c r="CG42" s="4">
        <v>0</v>
      </c>
      <c r="CH42" s="4">
        <v>0</v>
      </c>
      <c r="CI42" s="4">
        <v>0</v>
      </c>
      <c r="CJ42" s="34">
        <v>4.5</v>
      </c>
      <c r="CK42" s="34">
        <v>5.2</v>
      </c>
      <c r="CL42" s="43">
        <v>5.2</v>
      </c>
      <c r="CM42" s="4">
        <v>4.7</v>
      </c>
      <c r="CN42" s="53">
        <v>0</v>
      </c>
      <c r="CO42" s="54">
        <v>5.97</v>
      </c>
      <c r="CP42" s="54">
        <v>7.05</v>
      </c>
      <c r="CQ42" s="4">
        <v>3.6</v>
      </c>
    </row>
    <row r="43" spans="1:95" s="55" customFormat="1" x14ac:dyDescent="0.35">
      <c r="A43" s="55">
        <v>42</v>
      </c>
      <c r="B43" s="55" t="s">
        <v>111</v>
      </c>
      <c r="C43" s="27" t="s">
        <v>679</v>
      </c>
      <c r="D43" s="6" t="s">
        <v>88</v>
      </c>
      <c r="E43" s="33" t="s">
        <v>89</v>
      </c>
      <c r="F43" s="4">
        <f>IFERROR(AVERAGEIF(Table1[[#This Row],[2019-Apr]:[2025-July]],"&lt;&gt;0"),0)</f>
        <v>3.2970000000000006</v>
      </c>
      <c r="G43" s="4">
        <f ca="1">IFERROR(AVERAGEIF(OFFSET(Table1[[#This Row],[Status]],0,COUNT(Table1[[#This Row],[2019-May]:[2025-July]]),1,-12),"&lt;&gt;0"),0)</f>
        <v>4.375</v>
      </c>
      <c r="H43" s="55">
        <f>IFERROR(SMALL(Table1[[#This Row],[2019-Apr]:[2025-July]],COUNTIF(Table1[[#This Row],[2019-Apr]:[2025-July]],0)+1),0)</f>
        <v>0.98</v>
      </c>
      <c r="I43" s="55">
        <f>IFERROR(MAX(Table1[[#This Row],[2019-Apr]:[2025-July]]),0)</f>
        <v>8.8000000000000007</v>
      </c>
      <c r="J43" s="4" cm="1">
        <f t="array" ref="J4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1.2700000000000002</v>
      </c>
      <c r="K43" s="4">
        <v>4.5</v>
      </c>
      <c r="L43" s="4">
        <f>IF(Table1[[#This Row],[Standard as per ISO]]&gt;=Table1[[#This Row],[Avg of best 6]],Table1[[#This Row],[Standard as per ISO]],Table1[[#This Row],[Avg of best 6]])</f>
        <v>4.5</v>
      </c>
      <c r="M43" s="4" cm="1">
        <f t="array" ref="M43">IFERROR(LOOKUP(2,1/(Table1[[#This Row],[2019-May]:[2025-July]]&lt;&gt;0),Table1[[#This Row],[2019-May]:[2025-July]]),0)</f>
        <v>4.5999999999999996</v>
      </c>
      <c r="N43" s="4">
        <f>COUNTIF(Table1[[#This Row],[2019-Apr]:[2025-July]],"&gt;="&amp;Table1[[#This Row],[Target]])</f>
        <v>14</v>
      </c>
      <c r="O43" s="4">
        <f>IF(Table1[[#This Row],[Outliers 2Y]]=0,1,0)</f>
        <v>0</v>
      </c>
      <c r="P43" s="4">
        <f>IF(Table1[[#This Row],[Last value]]&gt;1.5*Table1[[#This Row],[Target]],1,0)</f>
        <v>0</v>
      </c>
      <c r="Q43" s="4">
        <f>IF(AND(1.5*Table1[[#This Row],[Target]]&gt;=Table1[[#This Row],[Last value]],Table1[[#This Row],[Last value]]&gt;Table1[[#This Row],[Target]]),1,0)</f>
        <v>1</v>
      </c>
      <c r="R43" s="4">
        <f>IF(Table1[[#This Row],[Target]]&gt;=Table1[[#This Row],[Last value]],1,0)</f>
        <v>0</v>
      </c>
      <c r="S43" s="4" t="str">
        <f t="shared" si="0"/>
        <v>Yellow</v>
      </c>
      <c r="T43" s="7">
        <v>2.91</v>
      </c>
      <c r="U43" s="7">
        <v>1.48</v>
      </c>
      <c r="V43" s="7">
        <v>1.96</v>
      </c>
      <c r="W43" s="7">
        <v>1.46</v>
      </c>
      <c r="X43" s="7">
        <v>2.8</v>
      </c>
      <c r="Y43" s="7">
        <v>1.1000000000000001</v>
      </c>
      <c r="Z43" s="7">
        <v>0</v>
      </c>
      <c r="AA43" s="7">
        <v>1.1000000000000001</v>
      </c>
      <c r="AB43" s="7">
        <v>6.1</v>
      </c>
      <c r="AC43" s="7">
        <v>1.5</v>
      </c>
      <c r="AD43" s="7">
        <v>1.5</v>
      </c>
      <c r="AE43" s="7">
        <v>1.8</v>
      </c>
      <c r="AF43" s="7">
        <v>1.7</v>
      </c>
      <c r="AG43" s="7">
        <v>4.0999999999999996</v>
      </c>
      <c r="AH43" s="7">
        <v>1.5</v>
      </c>
      <c r="AI43" s="7">
        <v>8.8000000000000007</v>
      </c>
      <c r="AJ43" s="7">
        <v>5.69</v>
      </c>
      <c r="AK43" s="7">
        <v>0</v>
      </c>
      <c r="AL43" s="7">
        <v>7.46</v>
      </c>
      <c r="AM43" s="7">
        <v>0</v>
      </c>
      <c r="AN43" s="7">
        <v>6.1</v>
      </c>
      <c r="AO43" s="7">
        <v>0.98</v>
      </c>
      <c r="AP43" s="7">
        <v>0</v>
      </c>
      <c r="AQ43" s="7">
        <v>6.2</v>
      </c>
      <c r="AR43" s="9">
        <v>1.93</v>
      </c>
      <c r="AS43" s="9">
        <v>1.79</v>
      </c>
      <c r="AT43" s="9">
        <v>3.06</v>
      </c>
      <c r="AU43" s="50">
        <v>1.83</v>
      </c>
      <c r="AV43" s="50">
        <v>2.5499999999999998</v>
      </c>
      <c r="AW43" s="50">
        <v>2.0099999999999998</v>
      </c>
      <c r="AX43" s="50">
        <v>4.66</v>
      </c>
      <c r="AY43" s="50">
        <v>6.33</v>
      </c>
      <c r="AZ43" s="50">
        <v>2.16</v>
      </c>
      <c r="BA43" s="50">
        <v>2.6</v>
      </c>
      <c r="BB43" s="50">
        <v>2.1</v>
      </c>
      <c r="BC43" s="50">
        <v>0</v>
      </c>
      <c r="BD43" s="55">
        <v>0</v>
      </c>
      <c r="BE43" s="11">
        <v>1.506</v>
      </c>
      <c r="BF43" s="4">
        <v>0</v>
      </c>
      <c r="BG43" s="4">
        <v>4.5999999999999996</v>
      </c>
      <c r="BH43" s="4">
        <v>2.7509999999999999</v>
      </c>
      <c r="BI43" s="4">
        <v>1.9159999999999999</v>
      </c>
      <c r="BJ43" s="14">
        <v>3.6139999999999999</v>
      </c>
      <c r="BK43" s="14">
        <v>3.673</v>
      </c>
      <c r="BL43" s="4">
        <v>2.7389999999999999</v>
      </c>
      <c r="BM43" s="17">
        <v>3.2959999999999998</v>
      </c>
      <c r="BN43" s="4">
        <v>3.5960000000000001</v>
      </c>
      <c r="BO43" s="4">
        <v>3.19</v>
      </c>
      <c r="BP43" s="4">
        <v>4.8019999999999996</v>
      </c>
      <c r="BQ43" s="4">
        <v>3.8650000000000002</v>
      </c>
      <c r="BR43" s="4">
        <v>1.7869999999999999</v>
      </c>
      <c r="BS43" s="4">
        <v>1.79</v>
      </c>
      <c r="BT43" s="4">
        <v>4.8140000000000001</v>
      </c>
      <c r="BU43" s="4">
        <v>4.0780000000000003</v>
      </c>
      <c r="BV43" s="4">
        <v>3.5019999999999998</v>
      </c>
      <c r="BW43" s="4">
        <v>3.65</v>
      </c>
      <c r="BX43" s="4">
        <v>2.2109999999999999</v>
      </c>
      <c r="BY43" s="4">
        <v>3.4390000000000001</v>
      </c>
      <c r="BZ43" s="55">
        <v>0</v>
      </c>
      <c r="CA43" s="55">
        <v>0</v>
      </c>
      <c r="CB43" s="55">
        <v>0</v>
      </c>
      <c r="CC43" s="55">
        <v>0</v>
      </c>
      <c r="CD43" s="55">
        <v>3.75</v>
      </c>
      <c r="CE43" s="19">
        <v>0</v>
      </c>
      <c r="CF43" s="19">
        <v>0</v>
      </c>
      <c r="CG43" s="4">
        <v>0</v>
      </c>
      <c r="CH43" s="4">
        <v>0</v>
      </c>
      <c r="CI43" s="4">
        <v>0</v>
      </c>
      <c r="CJ43" s="34">
        <v>0</v>
      </c>
      <c r="CK43" s="34">
        <v>6.1</v>
      </c>
      <c r="CL43" s="43">
        <v>1.9</v>
      </c>
      <c r="CM43" s="4">
        <v>6.6</v>
      </c>
      <c r="CN43" s="53">
        <v>0</v>
      </c>
      <c r="CO43" s="54">
        <v>0</v>
      </c>
      <c r="CP43" s="54">
        <v>2.9</v>
      </c>
      <c r="CQ43" s="4">
        <v>4.5999999999999996</v>
      </c>
    </row>
    <row r="44" spans="1:95" s="55" customFormat="1" x14ac:dyDescent="0.35">
      <c r="A44" s="55">
        <v>43</v>
      </c>
      <c r="B44" s="55" t="s">
        <v>111</v>
      </c>
      <c r="C44" s="27" t="s">
        <v>680</v>
      </c>
      <c r="D44" s="6" t="s">
        <v>88</v>
      </c>
      <c r="E44" s="33" t="s">
        <v>89</v>
      </c>
      <c r="F44" s="4">
        <f>IFERROR(AVERAGEIF(Table1[[#This Row],[2019-Apr]:[2025-July]],"&lt;&gt;0"),0)</f>
        <v>1.4991551724137926</v>
      </c>
      <c r="G44" s="4">
        <f ca="1">IFERROR(AVERAGEIF(OFFSET(Table1[[#This Row],[Status]],0,COUNT(Table1[[#This Row],[2019-May]:[2025-July]]),1,-12),"&lt;&gt;0"),0)</f>
        <v>1.08</v>
      </c>
      <c r="H44" s="55">
        <f>IFERROR(SMALL(Table1[[#This Row],[2019-Apr]:[2025-July]],COUNTIF(Table1[[#This Row],[2019-Apr]:[2025-July]],0)+1),0)</f>
        <v>0.6</v>
      </c>
      <c r="I44" s="55">
        <f>IFERROR(MAX(Table1[[#This Row],[2019-Apr]:[2025-July]]),0)</f>
        <v>4.7</v>
      </c>
      <c r="J44" s="4" cm="1">
        <f t="array" ref="J4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0.76666666666666661</v>
      </c>
      <c r="K44" s="4">
        <v>4.5</v>
      </c>
      <c r="L44" s="4">
        <f>IF(Table1[[#This Row],[Standard as per ISO]]&gt;=Table1[[#This Row],[Avg of best 6]],Table1[[#This Row],[Standard as per ISO]],Table1[[#This Row],[Avg of best 6]])</f>
        <v>4.5</v>
      </c>
      <c r="M44" s="4" cm="1">
        <f t="array" ref="M44">IFERROR(LOOKUP(2,1/(Table1[[#This Row],[2019-May]:[2025-July]]&lt;&gt;0),Table1[[#This Row],[2019-May]:[2025-July]]),0)</f>
        <v>2.2999999999999998</v>
      </c>
      <c r="N44" s="4">
        <f>COUNTIF(Table1[[#This Row],[2019-Apr]:[2025-July]],"&gt;="&amp;Table1[[#This Row],[Target]])</f>
        <v>1</v>
      </c>
      <c r="O44" s="4">
        <f>IF(Table1[[#This Row],[Outliers 2Y]]=0,1,0)</f>
        <v>0</v>
      </c>
      <c r="P44" s="4">
        <f>IF(Table1[[#This Row],[Last value]]&gt;1.5*Table1[[#This Row],[Target]],1,0)</f>
        <v>0</v>
      </c>
      <c r="Q44" s="4">
        <f>IF(AND(1.5*Table1[[#This Row],[Target]]&gt;=Table1[[#This Row],[Last value]],Table1[[#This Row],[Last value]]&gt;Table1[[#This Row],[Target]]),1,0)</f>
        <v>0</v>
      </c>
      <c r="R44" s="4">
        <f>IF(Table1[[#This Row],[Target]]&gt;=Table1[[#This Row],[Last value]],1,0)</f>
        <v>1</v>
      </c>
      <c r="S44" s="4" t="str">
        <f t="shared" si="0"/>
        <v>Green</v>
      </c>
      <c r="T44" s="7">
        <v>2.23</v>
      </c>
      <c r="U44" s="7">
        <v>2.37</v>
      </c>
      <c r="V44" s="7">
        <v>1.66</v>
      </c>
      <c r="W44" s="7">
        <v>2.76</v>
      </c>
      <c r="X44" s="7">
        <v>1.3</v>
      </c>
      <c r="Y44" s="7">
        <v>4.7</v>
      </c>
      <c r="Z44" s="7">
        <v>0</v>
      </c>
      <c r="AA44" s="7">
        <v>0.8</v>
      </c>
      <c r="AB44" s="7">
        <v>0.8</v>
      </c>
      <c r="AC44" s="7">
        <v>1.4</v>
      </c>
      <c r="AD44" s="7">
        <v>1.43</v>
      </c>
      <c r="AE44" s="7">
        <v>1.6</v>
      </c>
      <c r="AF44" s="7">
        <v>1.73</v>
      </c>
      <c r="AG44" s="7">
        <v>1.1000000000000001</v>
      </c>
      <c r="AH44" s="7">
        <v>1.2</v>
      </c>
      <c r="AI44" s="7">
        <v>1.25</v>
      </c>
      <c r="AJ44" s="7">
        <v>1.6</v>
      </c>
      <c r="AK44" s="7">
        <v>0</v>
      </c>
      <c r="AL44" s="7">
        <v>1.57</v>
      </c>
      <c r="AM44" s="7">
        <v>0</v>
      </c>
      <c r="AN44" s="7">
        <v>1.69</v>
      </c>
      <c r="AO44" s="7">
        <v>0.9</v>
      </c>
      <c r="AP44" s="7">
        <v>0</v>
      </c>
      <c r="AQ44" s="7">
        <v>1.3</v>
      </c>
      <c r="AR44" s="9">
        <v>1.23</v>
      </c>
      <c r="AS44" s="9">
        <v>1.36</v>
      </c>
      <c r="AT44" s="9">
        <v>1.73</v>
      </c>
      <c r="AU44" s="50">
        <v>2.15</v>
      </c>
      <c r="AV44" s="50">
        <v>1.01</v>
      </c>
      <c r="AW44" s="50">
        <v>1.1399999999999999</v>
      </c>
      <c r="AX44" s="50">
        <v>1.22</v>
      </c>
      <c r="AY44" s="50">
        <v>1.52</v>
      </c>
      <c r="AZ44" s="50">
        <v>1.92</v>
      </c>
      <c r="BA44" s="50">
        <v>0.6</v>
      </c>
      <c r="BB44" s="50">
        <v>0.8</v>
      </c>
      <c r="BC44" s="50">
        <v>0</v>
      </c>
      <c r="BD44" s="55">
        <v>0</v>
      </c>
      <c r="BE44" s="11">
        <v>0.83199999999999996</v>
      </c>
      <c r="BF44" s="4">
        <v>0</v>
      </c>
      <c r="BG44" s="4">
        <v>1.3</v>
      </c>
      <c r="BH44" s="4">
        <v>1.073</v>
      </c>
      <c r="BI44" s="4">
        <v>1.018</v>
      </c>
      <c r="BJ44" s="13">
        <v>1.2130000000000001</v>
      </c>
      <c r="BK44" s="13">
        <v>1.536</v>
      </c>
      <c r="BL44" s="4">
        <v>1.3660000000000001</v>
      </c>
      <c r="BM44" s="16">
        <v>1.516</v>
      </c>
      <c r="BN44" s="4">
        <v>1.661</v>
      </c>
      <c r="BO44" s="4">
        <v>2.8530000000000002</v>
      </c>
      <c r="BP44" s="4">
        <v>1.474</v>
      </c>
      <c r="BQ44" s="4">
        <v>1.3819999999999999</v>
      </c>
      <c r="BR44" s="4">
        <v>0.95699999999999996</v>
      </c>
      <c r="BS44" s="4">
        <v>1.7250000000000001</v>
      </c>
      <c r="BT44" s="4">
        <v>1.08</v>
      </c>
      <c r="BU44" s="4">
        <v>1.579</v>
      </c>
      <c r="BV44" s="4">
        <v>1.827</v>
      </c>
      <c r="BW44" s="4">
        <v>2.0569999999999999</v>
      </c>
      <c r="BX44" s="4">
        <v>1</v>
      </c>
      <c r="BY44" s="4">
        <v>2.1819999999999999</v>
      </c>
      <c r="BZ44" s="55">
        <v>0</v>
      </c>
      <c r="CA44" s="55">
        <v>0</v>
      </c>
      <c r="CB44" s="55">
        <v>0</v>
      </c>
      <c r="CC44" s="55">
        <v>0</v>
      </c>
      <c r="CD44" s="55">
        <v>1.55</v>
      </c>
      <c r="CE44" s="19">
        <v>0</v>
      </c>
      <c r="CF44" s="19">
        <v>0</v>
      </c>
      <c r="CG44" s="4">
        <v>0</v>
      </c>
      <c r="CH44" s="4">
        <v>0</v>
      </c>
      <c r="CI44" s="4">
        <v>0</v>
      </c>
      <c r="CJ44" s="34">
        <v>0</v>
      </c>
      <c r="CK44" s="34">
        <v>1.6</v>
      </c>
      <c r="CL44" s="43">
        <v>0.8</v>
      </c>
      <c r="CM44" s="4">
        <v>1.4</v>
      </c>
      <c r="CN44" s="53">
        <v>0</v>
      </c>
      <c r="CO44" s="54">
        <v>0.8</v>
      </c>
      <c r="CP44" s="54">
        <v>0.8</v>
      </c>
      <c r="CQ44" s="4">
        <v>2.2999999999999998</v>
      </c>
    </row>
    <row r="45" spans="1:95" s="55" customFormat="1" x14ac:dyDescent="0.35">
      <c r="A45" s="55">
        <v>44</v>
      </c>
      <c r="B45" s="55" t="s">
        <v>111</v>
      </c>
      <c r="C45" s="27" t="s">
        <v>681</v>
      </c>
      <c r="D45" s="6" t="s">
        <v>88</v>
      </c>
      <c r="E45" s="33" t="s">
        <v>89</v>
      </c>
      <c r="F45" s="4">
        <f>IFERROR(AVERAGEIF(Table1[[#This Row],[2019-Apr]:[2025-July]],"&lt;&gt;0"),0)</f>
        <v>7.0461269841269853</v>
      </c>
      <c r="G45" s="4">
        <f ca="1">IFERROR(AVERAGEIF(OFFSET(Table1[[#This Row],[Status]],0,COUNT(Table1[[#This Row],[2019-May]:[2025-July]]),1,-12),"&lt;&gt;0"),0)</f>
        <v>8.8714285714285719</v>
      </c>
      <c r="H45" s="55">
        <f>IFERROR(SMALL(Table1[[#This Row],[2019-Apr]:[2025-July]],COUNTIF(Table1[[#This Row],[2019-Apr]:[2025-July]],0)+1),0)</f>
        <v>4.5789999999999997</v>
      </c>
      <c r="I45" s="55">
        <f>IFERROR(MAX(Table1[[#This Row],[2019-Apr]:[2025-July]]),0)</f>
        <v>17.89</v>
      </c>
      <c r="J45" s="4" cm="1">
        <f t="array" ref="J4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4.9859999999999998</v>
      </c>
      <c r="K45" s="4">
        <v>4.5</v>
      </c>
      <c r="L45" s="4">
        <f>IF(Table1[[#This Row],[Standard as per ISO]]&gt;=Table1[[#This Row],[Avg of best 6]],Table1[[#This Row],[Standard as per ISO]],Table1[[#This Row],[Avg of best 6]])</f>
        <v>4.9859999999999998</v>
      </c>
      <c r="M45" s="4" cm="1">
        <f t="array" ref="M45">IFERROR(LOOKUP(2,1/(Table1[[#This Row],[2019-May]:[2025-July]]&lt;&gt;0),Table1[[#This Row],[2019-May]:[2025-July]]),0)</f>
        <v>7.9</v>
      </c>
      <c r="N45" s="4">
        <f>COUNTIF(Table1[[#This Row],[2019-Apr]:[2025-July]],"&gt;="&amp;Table1[[#This Row],[Target]])</f>
        <v>61</v>
      </c>
      <c r="O45" s="4">
        <f>IF(Table1[[#This Row],[Outliers 2Y]]=0,1,0)</f>
        <v>0</v>
      </c>
      <c r="P45" s="4">
        <f>IF(Table1[[#This Row],[Last value]]&gt;1.5*Table1[[#This Row],[Target]],1,0)</f>
        <v>1</v>
      </c>
      <c r="Q45" s="4">
        <f>IF(AND(1.5*Table1[[#This Row],[Target]]&gt;=Table1[[#This Row],[Last value]],Table1[[#This Row],[Last value]]&gt;Table1[[#This Row],[Target]]),1,0)</f>
        <v>0</v>
      </c>
      <c r="R45" s="4">
        <f>IF(Table1[[#This Row],[Target]]&gt;=Table1[[#This Row],[Last value]],1,0)</f>
        <v>0</v>
      </c>
      <c r="S45" s="4" t="str">
        <f t="shared" si="0"/>
        <v>Red</v>
      </c>
      <c r="T45" s="7">
        <v>6.8</v>
      </c>
      <c r="U45" s="7">
        <v>8.44</v>
      </c>
      <c r="V45" s="7">
        <v>6.49</v>
      </c>
      <c r="W45" s="7">
        <v>7.67</v>
      </c>
      <c r="X45" s="7">
        <v>0</v>
      </c>
      <c r="Y45" s="7">
        <v>8.06</v>
      </c>
      <c r="Z45" s="7">
        <v>0</v>
      </c>
      <c r="AA45" s="7">
        <v>9.5</v>
      </c>
      <c r="AB45" s="7">
        <v>6.3</v>
      </c>
      <c r="AC45" s="7">
        <v>7.6</v>
      </c>
      <c r="AD45" s="7">
        <v>6.84</v>
      </c>
      <c r="AE45" s="7">
        <v>7.16</v>
      </c>
      <c r="AF45" s="7">
        <v>6.96</v>
      </c>
      <c r="AG45" s="7">
        <v>6.5</v>
      </c>
      <c r="AH45" s="7">
        <v>5.3</v>
      </c>
      <c r="AI45" s="7">
        <v>5.8</v>
      </c>
      <c r="AJ45" s="7">
        <v>8.1</v>
      </c>
      <c r="AK45" s="7">
        <v>6.89</v>
      </c>
      <c r="AL45" s="7">
        <v>6.98</v>
      </c>
      <c r="AM45" s="7">
        <v>0</v>
      </c>
      <c r="AN45" s="7">
        <v>7</v>
      </c>
      <c r="AO45" s="7">
        <v>5.13</v>
      </c>
      <c r="AP45" s="7">
        <v>0</v>
      </c>
      <c r="AQ45" s="7">
        <v>5.0599999999999996</v>
      </c>
      <c r="AR45" s="9">
        <v>6.83</v>
      </c>
      <c r="AS45" s="9">
        <v>6.29</v>
      </c>
      <c r="AT45" s="9">
        <v>6.21</v>
      </c>
      <c r="AU45" s="50">
        <v>6.43</v>
      </c>
      <c r="AV45" s="50">
        <v>5.3</v>
      </c>
      <c r="AW45" s="50">
        <v>5.83</v>
      </c>
      <c r="AX45" s="50">
        <v>6.29</v>
      </c>
      <c r="AY45" s="50">
        <v>6.9</v>
      </c>
      <c r="AZ45" s="50">
        <v>6.61</v>
      </c>
      <c r="BA45" s="50">
        <v>6</v>
      </c>
      <c r="BB45" s="50">
        <v>5.8</v>
      </c>
      <c r="BC45" s="50">
        <v>0</v>
      </c>
      <c r="BD45" s="55">
        <v>0</v>
      </c>
      <c r="BE45" s="11">
        <v>5.8230000000000004</v>
      </c>
      <c r="BF45" s="4">
        <v>0</v>
      </c>
      <c r="BG45" s="4">
        <v>5.2</v>
      </c>
      <c r="BH45" s="4">
        <v>6.8819999999999997</v>
      </c>
      <c r="BI45" s="4">
        <v>5.89</v>
      </c>
      <c r="BJ45" s="14">
        <v>5.4279999999999999</v>
      </c>
      <c r="BK45" s="14">
        <v>5.5780000000000003</v>
      </c>
      <c r="BL45" s="4">
        <v>5.8630000000000004</v>
      </c>
      <c r="BM45" s="17">
        <v>5.8920000000000003</v>
      </c>
      <c r="BN45" s="4">
        <v>5.1920000000000002</v>
      </c>
      <c r="BO45" s="4">
        <v>6.3070000000000004</v>
      </c>
      <c r="BP45" s="4">
        <v>5.7370000000000001</v>
      </c>
      <c r="BQ45" s="4">
        <v>6.3179999999999996</v>
      </c>
      <c r="BR45" s="4">
        <v>5.6159999999999997</v>
      </c>
      <c r="BS45" s="4">
        <v>6.601</v>
      </c>
      <c r="BT45" s="4">
        <v>5.6849999999999996</v>
      </c>
      <c r="BU45" s="4">
        <v>5.2329999999999997</v>
      </c>
      <c r="BV45" s="4">
        <v>5.7229999999999999</v>
      </c>
      <c r="BW45" s="4">
        <v>6.4039999999999999</v>
      </c>
      <c r="BX45" s="4">
        <v>5.0549999999999997</v>
      </c>
      <c r="BY45" s="4">
        <v>4.5789999999999997</v>
      </c>
      <c r="BZ45" s="55">
        <v>17.89</v>
      </c>
      <c r="CA45" s="55">
        <v>10.41</v>
      </c>
      <c r="CB45" s="55">
        <v>11.71</v>
      </c>
      <c r="CC45" s="55">
        <v>0</v>
      </c>
      <c r="CD45" s="55">
        <v>11.82</v>
      </c>
      <c r="CE45" s="19">
        <v>11.1</v>
      </c>
      <c r="CF45" s="19">
        <v>12.3</v>
      </c>
      <c r="CG45" s="4">
        <v>0</v>
      </c>
      <c r="CH45" s="4">
        <v>0</v>
      </c>
      <c r="CI45" s="4">
        <v>0</v>
      </c>
      <c r="CJ45" s="34">
        <v>0</v>
      </c>
      <c r="CK45" s="34">
        <v>9.4</v>
      </c>
      <c r="CL45" s="43">
        <v>6</v>
      </c>
      <c r="CM45" s="4">
        <v>9.6</v>
      </c>
      <c r="CN45" s="53">
        <v>0</v>
      </c>
      <c r="CO45" s="54">
        <v>8.8000000000000007</v>
      </c>
      <c r="CP45" s="54">
        <v>4.9000000000000004</v>
      </c>
      <c r="CQ45" s="4">
        <v>7.9</v>
      </c>
    </row>
    <row r="46" spans="1:95" s="55" customFormat="1" x14ac:dyDescent="0.35">
      <c r="A46" s="55">
        <v>45</v>
      </c>
      <c r="B46" s="55" t="s">
        <v>111</v>
      </c>
      <c r="C46" s="27" t="s">
        <v>682</v>
      </c>
      <c r="D46" s="6" t="s">
        <v>88</v>
      </c>
      <c r="E46" s="33" t="s">
        <v>89</v>
      </c>
      <c r="F46" s="4">
        <f>IFERROR(AVERAGEIF(Table1[[#This Row],[2019-Apr]:[2025-July]],"&lt;&gt;0"),0)</f>
        <v>1.8592542372881355</v>
      </c>
      <c r="G46" s="4">
        <f ca="1">IFERROR(AVERAGEIF(OFFSET(Table1[[#This Row],[Status]],0,COUNT(Table1[[#This Row],[2019-May]:[2025-July]]),1,-12),"&lt;&gt;0"),0)</f>
        <v>1.22</v>
      </c>
      <c r="H46" s="55">
        <f>IFERROR(SMALL(Table1[[#This Row],[2019-Apr]:[2025-July]],COUNTIF(Table1[[#This Row],[2019-Apr]:[2025-July]],0)+1),0)</f>
        <v>1</v>
      </c>
      <c r="I46" s="55">
        <f>IFERROR(MAX(Table1[[#This Row],[2019-Apr]:[2025-July]]),0)</f>
        <v>3.4</v>
      </c>
      <c r="J46" s="4" cm="1">
        <f t="array" ref="J4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1.0799999999999998</v>
      </c>
      <c r="K46" s="4">
        <v>4.5</v>
      </c>
      <c r="L46" s="4">
        <f>IF(Table1[[#This Row],[Standard as per ISO]]&gt;=Table1[[#This Row],[Avg of best 6]],Table1[[#This Row],[Standard as per ISO]],Table1[[#This Row],[Avg of best 6]])</f>
        <v>4.5</v>
      </c>
      <c r="M46" s="4" cm="1">
        <f t="array" ref="M46">IFERROR(LOOKUP(2,1/(Table1[[#This Row],[2019-May]:[2025-July]]&lt;&gt;0),Table1[[#This Row],[2019-May]:[2025-July]]),0)</f>
        <v>2.2999999999999998</v>
      </c>
      <c r="N46" s="4">
        <f>COUNTIF(Table1[[#This Row],[2019-Apr]:[2025-July]],"&gt;="&amp;Table1[[#This Row],[Target]])</f>
        <v>0</v>
      </c>
      <c r="O46" s="4">
        <f>IF(Table1[[#This Row],[Outliers 2Y]]=0,1,0)</f>
        <v>1</v>
      </c>
      <c r="P46" s="4">
        <f>IF(Table1[[#This Row],[Last value]]&gt;1.5*Table1[[#This Row],[Target]],1,0)</f>
        <v>0</v>
      </c>
      <c r="Q46" s="4">
        <f>IF(AND(1.5*Table1[[#This Row],[Target]]&gt;=Table1[[#This Row],[Last value]],Table1[[#This Row],[Last value]]&gt;Table1[[#This Row],[Target]]),1,0)</f>
        <v>0</v>
      </c>
      <c r="R46" s="4">
        <f>IF(Table1[[#This Row],[Target]]&gt;=Table1[[#This Row],[Last value]],1,0)</f>
        <v>1</v>
      </c>
      <c r="S46" s="4" t="str">
        <f t="shared" si="0"/>
        <v>Green</v>
      </c>
      <c r="T46" s="7">
        <v>3.4</v>
      </c>
      <c r="U46" s="7">
        <v>1.9</v>
      </c>
      <c r="V46" s="7">
        <v>2.41</v>
      </c>
      <c r="W46" s="7">
        <v>2.5299999999999998</v>
      </c>
      <c r="X46" s="7">
        <v>3.1</v>
      </c>
      <c r="Y46" s="7">
        <v>1.29</v>
      </c>
      <c r="Z46" s="7">
        <v>0</v>
      </c>
      <c r="AA46" s="7">
        <v>2.1</v>
      </c>
      <c r="AB46" s="7">
        <v>1.6</v>
      </c>
      <c r="AC46" s="7">
        <v>2.5</v>
      </c>
      <c r="AD46" s="7">
        <v>1.91</v>
      </c>
      <c r="AE46" s="7">
        <v>2.7</v>
      </c>
      <c r="AF46" s="7">
        <v>2.46</v>
      </c>
      <c r="AG46" s="7">
        <v>3.1</v>
      </c>
      <c r="AH46" s="7">
        <v>3.1</v>
      </c>
      <c r="AI46" s="7">
        <v>2.9</v>
      </c>
      <c r="AJ46" s="7">
        <v>3.1</v>
      </c>
      <c r="AK46" s="7">
        <v>2.0699999999999998</v>
      </c>
      <c r="AL46" s="7">
        <v>3.26</v>
      </c>
      <c r="AM46" s="7">
        <v>0</v>
      </c>
      <c r="AN46" s="7">
        <v>2.7</v>
      </c>
      <c r="AO46" s="7">
        <v>1.86</v>
      </c>
      <c r="AP46" s="7">
        <v>0</v>
      </c>
      <c r="AQ46" s="7">
        <v>1.78</v>
      </c>
      <c r="AR46" s="9">
        <v>2.06</v>
      </c>
      <c r="AS46" s="9">
        <v>1.46</v>
      </c>
      <c r="AT46" s="9">
        <v>1.78</v>
      </c>
      <c r="AU46" s="50">
        <v>1.8</v>
      </c>
      <c r="AV46" s="50">
        <v>1.75</v>
      </c>
      <c r="AW46" s="50">
        <v>1.75</v>
      </c>
      <c r="AX46" s="50">
        <v>1.57</v>
      </c>
      <c r="AY46" s="50">
        <v>2.19</v>
      </c>
      <c r="AZ46" s="50">
        <v>1.47</v>
      </c>
      <c r="BA46" s="50">
        <v>1.6</v>
      </c>
      <c r="BB46" s="50">
        <v>1.3</v>
      </c>
      <c r="BC46" s="50">
        <v>0</v>
      </c>
      <c r="BD46" s="55">
        <v>0</v>
      </c>
      <c r="BE46" s="11">
        <v>1.5289999999999999</v>
      </c>
      <c r="BF46" s="4">
        <v>0</v>
      </c>
      <c r="BG46" s="4">
        <v>1.4</v>
      </c>
      <c r="BH46" s="4">
        <v>1.4</v>
      </c>
      <c r="BI46" s="4">
        <v>1.4</v>
      </c>
      <c r="BJ46" s="13">
        <v>1.4</v>
      </c>
      <c r="BK46" s="13">
        <v>1.4</v>
      </c>
      <c r="BL46" s="4">
        <v>1.4</v>
      </c>
      <c r="BM46" s="16">
        <v>1.88</v>
      </c>
      <c r="BN46" s="4">
        <v>1.454</v>
      </c>
      <c r="BO46" s="4">
        <v>1.454</v>
      </c>
      <c r="BP46" s="4">
        <v>1.3540000000000001</v>
      </c>
      <c r="BQ46" s="4">
        <v>1.81</v>
      </c>
      <c r="BR46" s="4">
        <v>1.831</v>
      </c>
      <c r="BS46" s="4">
        <v>1.0269999999999999</v>
      </c>
      <c r="BT46" s="4">
        <v>1.667</v>
      </c>
      <c r="BU46" s="4">
        <v>1.466</v>
      </c>
      <c r="BV46" s="4">
        <v>1.306</v>
      </c>
      <c r="BW46" s="4">
        <v>2.0019999999999998</v>
      </c>
      <c r="BX46" s="4">
        <v>1.0529999999999999</v>
      </c>
      <c r="BY46" s="4">
        <v>1.2529999999999999</v>
      </c>
      <c r="BZ46" s="55">
        <v>0</v>
      </c>
      <c r="CA46" s="55">
        <v>0</v>
      </c>
      <c r="CB46" s="55">
        <v>0</v>
      </c>
      <c r="CC46" s="55">
        <v>0</v>
      </c>
      <c r="CD46" s="55">
        <v>1.31</v>
      </c>
      <c r="CE46" s="19">
        <v>0</v>
      </c>
      <c r="CF46" s="19">
        <v>0</v>
      </c>
      <c r="CG46" s="4">
        <v>0</v>
      </c>
      <c r="CH46" s="4">
        <v>0</v>
      </c>
      <c r="CI46" s="4">
        <v>0</v>
      </c>
      <c r="CJ46" s="34">
        <v>0</v>
      </c>
      <c r="CK46" s="34">
        <v>1.1000000000000001</v>
      </c>
      <c r="CL46" s="43">
        <v>1.2</v>
      </c>
      <c r="CM46" s="4">
        <v>1.7</v>
      </c>
      <c r="CN46" s="53">
        <v>0</v>
      </c>
      <c r="CO46" s="54">
        <v>1.1000000000000001</v>
      </c>
      <c r="CP46" s="54">
        <v>1</v>
      </c>
      <c r="CQ46" s="4">
        <v>2.2999999999999998</v>
      </c>
    </row>
    <row r="47" spans="1:95" s="55" customFormat="1" x14ac:dyDescent="0.35">
      <c r="A47" s="55">
        <v>46</v>
      </c>
      <c r="B47" s="55" t="s">
        <v>111</v>
      </c>
      <c r="C47" s="27" t="s">
        <v>683</v>
      </c>
      <c r="D47" s="6" t="s">
        <v>88</v>
      </c>
      <c r="E47" s="33" t="s">
        <v>95</v>
      </c>
      <c r="F47" s="4">
        <f>IFERROR(AVERAGEIF(Table1[[#This Row],[2019-Apr]:[2025-July]],"&lt;&gt;0"),0)</f>
        <v>5.7532830188679256</v>
      </c>
      <c r="G47" s="4">
        <f ca="1">IFERROR(AVERAGEIF(OFFSET(Table1[[#This Row],[Status]],0,COUNT(Table1[[#This Row],[2019-May]:[2025-July]]),1,-12),"&lt;&gt;0"),0)</f>
        <v>0</v>
      </c>
      <c r="H47" s="55">
        <f>IFERROR(SMALL(Table1[[#This Row],[2019-Apr]:[2025-July]],COUNTIF(Table1[[#This Row],[2019-Apr]:[2025-July]],0)+1),0)</f>
        <v>3.9860000000000002</v>
      </c>
      <c r="I47" s="55">
        <f>IFERROR(MAX(Table1[[#This Row],[2019-Apr]:[2025-July]]),0)</f>
        <v>9.32</v>
      </c>
      <c r="J47" s="4" cm="1">
        <f t="array" ref="J4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4.2523333333333335</v>
      </c>
      <c r="K47" s="4">
        <v>4.5</v>
      </c>
      <c r="L47" s="4">
        <f>IF(Table1[[#This Row],[Standard as per ISO]]&gt;=Table1[[#This Row],[Avg of best 6]],Table1[[#This Row],[Standard as per ISO]],Table1[[#This Row],[Avg of best 6]])</f>
        <v>4.5</v>
      </c>
      <c r="M47" s="4" cm="1">
        <f t="array" ref="M47">IFERROR(LOOKUP(2,1/(Table1[[#This Row],[2019-May]:[2025-July]]&lt;&gt;0),Table1[[#This Row],[2019-May]:[2025-July]]),0)</f>
        <v>5.0599999999999996</v>
      </c>
      <c r="N47" s="4">
        <f>COUNTIF(Table1[[#This Row],[2019-Apr]:[2025-July]],"&gt;="&amp;Table1[[#This Row],[Target]])</f>
        <v>47</v>
      </c>
      <c r="O47" s="4">
        <f>IF(Table1[[#This Row],[Outliers 2Y]]=0,1,0)</f>
        <v>0</v>
      </c>
      <c r="P47" s="4">
        <f>IF(Table1[[#This Row],[Last value]]&gt;1.5*Table1[[#This Row],[Target]],1,0)</f>
        <v>0</v>
      </c>
      <c r="Q47" s="4">
        <f>IF(AND(1.5*Table1[[#This Row],[Target]]&gt;=Table1[[#This Row],[Last value]],Table1[[#This Row],[Last value]]&gt;Table1[[#This Row],[Target]]),1,0)</f>
        <v>1</v>
      </c>
      <c r="R47" s="4">
        <f>IF(Table1[[#This Row],[Target]]&gt;=Table1[[#This Row],[Last value]],1,0)</f>
        <v>0</v>
      </c>
      <c r="S47" s="4" t="str">
        <f t="shared" si="0"/>
        <v>Yellow</v>
      </c>
      <c r="T47" s="7">
        <v>5.49</v>
      </c>
      <c r="U47" s="7">
        <v>7.59</v>
      </c>
      <c r="V47" s="7">
        <v>4.95</v>
      </c>
      <c r="W47" s="7">
        <v>7.23</v>
      </c>
      <c r="X47" s="7">
        <v>6.8</v>
      </c>
      <c r="Y47" s="7">
        <v>9.32</v>
      </c>
      <c r="Z47" s="7">
        <v>0</v>
      </c>
      <c r="AA47" s="7">
        <v>0</v>
      </c>
      <c r="AB47" s="7">
        <v>6.51</v>
      </c>
      <c r="AC47" s="7">
        <v>6.4</v>
      </c>
      <c r="AD47" s="7">
        <v>6.96</v>
      </c>
      <c r="AE47" s="7">
        <v>6.8</v>
      </c>
      <c r="AF47" s="7">
        <v>6.5</v>
      </c>
      <c r="AG47" s="7">
        <v>6.2</v>
      </c>
      <c r="AH47" s="7">
        <v>6.6</v>
      </c>
      <c r="AI47" s="7">
        <v>6.82</v>
      </c>
      <c r="AJ47" s="7">
        <v>5.98</v>
      </c>
      <c r="AK47" s="7">
        <v>0</v>
      </c>
      <c r="AL47" s="7">
        <v>5.8</v>
      </c>
      <c r="AM47" s="7">
        <v>0</v>
      </c>
      <c r="AN47" s="7">
        <v>5.5</v>
      </c>
      <c r="AO47" s="7">
        <v>6.3</v>
      </c>
      <c r="AP47" s="7">
        <v>0</v>
      </c>
      <c r="AQ47" s="7">
        <v>5.3</v>
      </c>
      <c r="AR47" s="9">
        <v>5.81</v>
      </c>
      <c r="AS47" s="9">
        <v>6.32</v>
      </c>
      <c r="AT47" s="9">
        <v>5.15</v>
      </c>
      <c r="AU47" s="50">
        <v>6.75</v>
      </c>
      <c r="AV47" s="50">
        <v>6.89</v>
      </c>
      <c r="AW47" s="50">
        <v>6.34</v>
      </c>
      <c r="AX47" s="50">
        <v>6.4</v>
      </c>
      <c r="AY47" s="50">
        <v>6.71</v>
      </c>
      <c r="AZ47" s="50">
        <v>7.53</v>
      </c>
      <c r="BA47" s="50">
        <v>5.8</v>
      </c>
      <c r="BB47" s="50">
        <v>5.4</v>
      </c>
      <c r="BC47" s="50">
        <v>0</v>
      </c>
      <c r="BD47" s="55">
        <v>0</v>
      </c>
      <c r="BE47" s="11">
        <v>6.0270000000000001</v>
      </c>
      <c r="BF47" s="4">
        <v>0</v>
      </c>
      <c r="BG47" s="4">
        <v>4.9000000000000004</v>
      </c>
      <c r="BH47" s="4">
        <v>3.9860000000000002</v>
      </c>
      <c r="BI47" s="4">
        <v>4.9640000000000004</v>
      </c>
      <c r="BJ47" s="14">
        <v>4.0839999999999996</v>
      </c>
      <c r="BK47" s="14">
        <v>4.3339999999999996</v>
      </c>
      <c r="BL47" s="4">
        <v>5.218</v>
      </c>
      <c r="BM47" s="17">
        <v>4.8250000000000002</v>
      </c>
      <c r="BN47" s="4">
        <v>4.3339999999999996</v>
      </c>
      <c r="BO47" s="4">
        <v>4.766</v>
      </c>
      <c r="BP47" s="4">
        <v>5.5209999999999999</v>
      </c>
      <c r="BQ47" s="4">
        <v>4.6020000000000003</v>
      </c>
      <c r="BR47" s="4">
        <v>4.7309999999999999</v>
      </c>
      <c r="BS47" s="4">
        <v>4.5789999999999997</v>
      </c>
      <c r="BT47" s="4">
        <v>4.306</v>
      </c>
      <c r="BU47" s="4">
        <v>6.6360000000000001</v>
      </c>
      <c r="BV47" s="4">
        <v>5.4509999999999996</v>
      </c>
      <c r="BW47" s="4">
        <v>4.99</v>
      </c>
      <c r="BX47" s="4">
        <v>5.27</v>
      </c>
      <c r="BY47" s="4">
        <v>4.8</v>
      </c>
      <c r="BZ47" s="55">
        <v>0</v>
      </c>
      <c r="CA47" s="55">
        <v>4.92</v>
      </c>
      <c r="CB47" s="55">
        <v>4.47</v>
      </c>
      <c r="CC47" s="55">
        <v>0</v>
      </c>
      <c r="CD47" s="55">
        <v>5.0599999999999996</v>
      </c>
      <c r="CE47" s="19">
        <v>0</v>
      </c>
      <c r="CF47" s="19">
        <v>0</v>
      </c>
      <c r="CG47" s="4">
        <v>0</v>
      </c>
      <c r="CH47" s="4">
        <v>0</v>
      </c>
      <c r="CI47" s="4">
        <v>0</v>
      </c>
      <c r="CJ47" s="34">
        <v>0</v>
      </c>
      <c r="CK47" s="34">
        <v>0</v>
      </c>
      <c r="CL47" s="34">
        <v>0</v>
      </c>
      <c r="CM47" s="4">
        <v>0</v>
      </c>
      <c r="CN47" s="53">
        <v>0</v>
      </c>
      <c r="CO47" s="54">
        <v>0</v>
      </c>
      <c r="CP47" s="54">
        <v>0</v>
      </c>
      <c r="CQ47" s="4">
        <v>0</v>
      </c>
    </row>
    <row r="48" spans="1:95" s="55" customFormat="1" x14ac:dyDescent="0.35">
      <c r="A48" s="55">
        <v>47</v>
      </c>
      <c r="B48" s="55" t="s">
        <v>111</v>
      </c>
      <c r="C48" s="27" t="s">
        <v>684</v>
      </c>
      <c r="D48" s="6" t="s">
        <v>88</v>
      </c>
      <c r="E48" s="33" t="s">
        <v>95</v>
      </c>
      <c r="F48" s="4">
        <f>IFERROR(AVERAGEIF(Table1[[#This Row],[2019-Apr]:[2025-July]],"&lt;&gt;0"),0)</f>
        <v>1.0954999999999999</v>
      </c>
      <c r="G48" s="4">
        <f ca="1">IFERROR(AVERAGEIF(OFFSET(Table1[[#This Row],[Status]],0,COUNT(Table1[[#This Row],[2019-May]:[2025-July]]),1,-12),"&lt;&gt;0"),0)</f>
        <v>0</v>
      </c>
      <c r="H48" s="55">
        <f>IFERROR(SMALL(Table1[[#This Row],[2019-Apr]:[2025-July]],COUNTIF(Table1[[#This Row],[2019-Apr]:[2025-July]],0)+1),0)</f>
        <v>0.48799999999999999</v>
      </c>
      <c r="I48" s="55">
        <f>IFERROR(MAX(Table1[[#This Row],[2019-Apr]:[2025-July]]),0)</f>
        <v>2.34</v>
      </c>
      <c r="J48" s="4" cm="1">
        <f t="array" ref="J4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0.58333333333333337</v>
      </c>
      <c r="K48" s="4">
        <v>4.5</v>
      </c>
      <c r="L48" s="4">
        <f>IF(Table1[[#This Row],[Standard as per ISO]]&gt;=Table1[[#This Row],[Avg of best 6]],Table1[[#This Row],[Standard as per ISO]],Table1[[#This Row],[Avg of best 6]])</f>
        <v>4.5</v>
      </c>
      <c r="M48" s="4" cm="1">
        <f t="array" ref="M48">IFERROR(LOOKUP(2,1/(Table1[[#This Row],[2019-May]:[2025-July]]&lt;&gt;0),Table1[[#This Row],[2019-May]:[2025-July]]),0)</f>
        <v>1.25</v>
      </c>
      <c r="N48" s="4">
        <f>COUNTIF(Table1[[#This Row],[2019-Apr]:[2025-July]],"&gt;="&amp;Table1[[#This Row],[Target]])</f>
        <v>0</v>
      </c>
      <c r="O48" s="4">
        <f>IF(Table1[[#This Row],[Outliers 2Y]]=0,1,0)</f>
        <v>1</v>
      </c>
      <c r="P48" s="4">
        <f>IF(Table1[[#This Row],[Last value]]&gt;1.5*Table1[[#This Row],[Target]],1,0)</f>
        <v>0</v>
      </c>
      <c r="Q48" s="4">
        <f>IF(AND(1.5*Table1[[#This Row],[Target]]&gt;=Table1[[#This Row],[Last value]],Table1[[#This Row],[Last value]]&gt;Table1[[#This Row],[Target]]),1,0)</f>
        <v>0</v>
      </c>
      <c r="R48" s="4">
        <f>IF(Table1[[#This Row],[Target]]&gt;=Table1[[#This Row],[Last value]],1,0)</f>
        <v>1</v>
      </c>
      <c r="S48" s="4" t="str">
        <f t="shared" si="0"/>
        <v>Green</v>
      </c>
      <c r="T48" s="7">
        <v>0.79</v>
      </c>
      <c r="U48" s="7">
        <v>0.89</v>
      </c>
      <c r="V48" s="7">
        <v>0.91</v>
      </c>
      <c r="W48" s="7">
        <v>0.67</v>
      </c>
      <c r="X48" s="7">
        <v>0.64</v>
      </c>
      <c r="Y48" s="7">
        <v>0.61</v>
      </c>
      <c r="Z48" s="7">
        <v>0</v>
      </c>
      <c r="AA48" s="7">
        <v>0.55000000000000004</v>
      </c>
      <c r="AB48" s="7">
        <v>0.88</v>
      </c>
      <c r="AC48" s="7">
        <v>0.8</v>
      </c>
      <c r="AD48" s="7">
        <v>0.83</v>
      </c>
      <c r="AE48" s="7">
        <v>0.75</v>
      </c>
      <c r="AF48" s="7">
        <v>0.8</v>
      </c>
      <c r="AG48" s="7">
        <v>0.69</v>
      </c>
      <c r="AH48" s="7">
        <v>0.82</v>
      </c>
      <c r="AI48" s="7">
        <v>0.7</v>
      </c>
      <c r="AJ48" s="7">
        <v>0.75</v>
      </c>
      <c r="AK48" s="7">
        <v>0</v>
      </c>
      <c r="AL48" s="7">
        <v>0.88</v>
      </c>
      <c r="AM48" s="7">
        <v>0</v>
      </c>
      <c r="AN48" s="7">
        <v>0.97</v>
      </c>
      <c r="AO48" s="7">
        <v>0.72</v>
      </c>
      <c r="AP48" s="7">
        <v>0</v>
      </c>
      <c r="AQ48" s="7">
        <v>0.7</v>
      </c>
      <c r="AR48" s="9">
        <v>0.64</v>
      </c>
      <c r="AS48" s="9">
        <v>1.29</v>
      </c>
      <c r="AT48" s="9">
        <v>1.69</v>
      </c>
      <c r="AU48" s="50">
        <v>1.39</v>
      </c>
      <c r="AV48" s="50">
        <v>1.42</v>
      </c>
      <c r="AW48" s="50">
        <v>1.43</v>
      </c>
      <c r="AX48" s="50">
        <v>1.73</v>
      </c>
      <c r="AY48" s="50">
        <v>0.9</v>
      </c>
      <c r="AZ48" s="50">
        <v>1.66</v>
      </c>
      <c r="BA48" s="50">
        <v>1.1000000000000001</v>
      </c>
      <c r="BB48" s="50">
        <v>1.6</v>
      </c>
      <c r="BC48" s="50">
        <v>0</v>
      </c>
      <c r="BD48" s="55">
        <v>0</v>
      </c>
      <c r="BE48" s="11">
        <v>1.1499999999999999</v>
      </c>
      <c r="BF48" s="4">
        <v>0</v>
      </c>
      <c r="BG48" s="4">
        <v>1.38</v>
      </c>
      <c r="BH48" s="4">
        <v>1.1080000000000001</v>
      </c>
      <c r="BI48" s="4">
        <v>1.8360000000000001</v>
      </c>
      <c r="BJ48" s="13">
        <v>2.34</v>
      </c>
      <c r="BK48" s="13">
        <v>2.1579999999999999</v>
      </c>
      <c r="BL48" s="4">
        <v>1.3959999999999999</v>
      </c>
      <c r="BM48" s="16">
        <v>1.9910000000000001</v>
      </c>
      <c r="BN48" s="4">
        <v>1.121</v>
      </c>
      <c r="BO48" s="4">
        <v>2.2829999999999999</v>
      </c>
      <c r="BP48" s="4">
        <v>1.5609999999999999</v>
      </c>
      <c r="BQ48" s="4">
        <v>0.90600000000000003</v>
      </c>
      <c r="BR48" s="4">
        <v>0.72399999999999998</v>
      </c>
      <c r="BS48" s="4">
        <v>0.89200000000000002</v>
      </c>
      <c r="BT48" s="4">
        <v>0.48799999999999999</v>
      </c>
      <c r="BU48" s="4">
        <v>0.82699999999999996</v>
      </c>
      <c r="BV48" s="4">
        <v>0.59199999999999997</v>
      </c>
      <c r="BW48" s="4">
        <v>0.62</v>
      </c>
      <c r="BX48" s="4">
        <v>1.18</v>
      </c>
      <c r="BY48" s="4">
        <v>0.96299999999999997</v>
      </c>
      <c r="BZ48" s="55">
        <v>0</v>
      </c>
      <c r="CA48" s="55">
        <v>0</v>
      </c>
      <c r="CB48" s="55">
        <v>0</v>
      </c>
      <c r="CC48" s="55">
        <v>0</v>
      </c>
      <c r="CD48" s="55">
        <v>1.25</v>
      </c>
      <c r="CE48" s="19">
        <v>0</v>
      </c>
      <c r="CF48" s="19">
        <v>0</v>
      </c>
      <c r="CG48" s="4">
        <v>0</v>
      </c>
      <c r="CH48" s="4">
        <v>0</v>
      </c>
      <c r="CI48" s="4">
        <v>0</v>
      </c>
      <c r="CJ48" s="34">
        <v>0</v>
      </c>
      <c r="CK48" s="34">
        <v>0</v>
      </c>
      <c r="CL48" s="34">
        <v>0</v>
      </c>
      <c r="CM48" s="4">
        <v>0</v>
      </c>
      <c r="CN48" s="53">
        <v>0</v>
      </c>
      <c r="CO48" s="54">
        <v>0</v>
      </c>
      <c r="CP48" s="54">
        <v>0</v>
      </c>
      <c r="CQ48" s="4">
        <v>0</v>
      </c>
    </row>
    <row r="49" spans="1:95" s="55" customFormat="1" x14ac:dyDescent="0.35">
      <c r="A49" s="55">
        <v>48</v>
      </c>
      <c r="B49" s="55" t="s">
        <v>111</v>
      </c>
      <c r="C49" s="27" t="s">
        <v>685</v>
      </c>
      <c r="D49" s="6" t="s">
        <v>88</v>
      </c>
      <c r="E49" s="33" t="s">
        <v>89</v>
      </c>
      <c r="F49" s="4">
        <f>IFERROR(AVERAGEIF(Table1[[#This Row],[2019-Apr]:[2025-July]],"&lt;&gt;0"),0)</f>
        <v>2.1348028169014084</v>
      </c>
      <c r="G49" s="4">
        <f ca="1">IFERROR(AVERAGEIF(OFFSET(Table1[[#This Row],[Status]],0,COUNT(Table1[[#This Row],[2019-May]:[2025-July]]),1,-12),"&lt;&gt;0"),0)</f>
        <v>1.8741666666666668</v>
      </c>
      <c r="H49" s="55">
        <f>IFERROR(SMALL(Table1[[#This Row],[2019-Apr]:[2025-July]],COUNTIF(Table1[[#This Row],[2019-Apr]:[2025-July]],0)+1),0)</f>
        <v>1.3</v>
      </c>
      <c r="I49" s="55">
        <f>IFERROR(MAX(Table1[[#This Row],[2019-Apr]:[2025-July]]),0)</f>
        <v>3.24</v>
      </c>
      <c r="J49" s="4" cm="1">
        <f t="array" ref="J4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1.5830000000000002</v>
      </c>
      <c r="K49" s="4">
        <v>4.5</v>
      </c>
      <c r="L49" s="4">
        <f>IF(Table1[[#This Row],[Standard as per ISO]]&gt;=Table1[[#This Row],[Avg of best 6]],Table1[[#This Row],[Standard as per ISO]],Table1[[#This Row],[Avg of best 6]])</f>
        <v>4.5</v>
      </c>
      <c r="M49" s="4" cm="1">
        <f t="array" ref="M49">IFERROR(LOOKUP(2,1/(Table1[[#This Row],[2019-May]:[2025-July]]&lt;&gt;0),Table1[[#This Row],[2019-May]:[2025-July]]),0)</f>
        <v>1.9</v>
      </c>
      <c r="N49" s="4">
        <f>COUNTIF(Table1[[#This Row],[2019-Apr]:[2025-July]],"&gt;="&amp;Table1[[#This Row],[Target]])</f>
        <v>0</v>
      </c>
      <c r="O49" s="4">
        <f>IF(Table1[[#This Row],[Outliers 2Y]]=0,1,0)</f>
        <v>1</v>
      </c>
      <c r="P49" s="4">
        <f>IF(Table1[[#This Row],[Last value]]&gt;1.5*Table1[[#This Row],[Target]],1,0)</f>
        <v>0</v>
      </c>
      <c r="Q49" s="4">
        <f>IF(AND(1.5*Table1[[#This Row],[Target]]&gt;=Table1[[#This Row],[Last value]],Table1[[#This Row],[Last value]]&gt;Table1[[#This Row],[Target]]),1,0)</f>
        <v>0</v>
      </c>
      <c r="R49" s="4">
        <f>IF(Table1[[#This Row],[Target]]&gt;=Table1[[#This Row],[Last value]],1,0)</f>
        <v>1</v>
      </c>
      <c r="S49" s="4" t="str">
        <f t="shared" si="0"/>
        <v>Green</v>
      </c>
      <c r="T49" s="7">
        <v>2.4700000000000002</v>
      </c>
      <c r="U49" s="7">
        <v>2.7</v>
      </c>
      <c r="V49" s="7">
        <v>2.2000000000000002</v>
      </c>
      <c r="W49" s="7">
        <v>2.15</v>
      </c>
      <c r="X49" s="7">
        <v>2.2000000000000002</v>
      </c>
      <c r="Y49" s="7">
        <v>2.46</v>
      </c>
      <c r="Z49" s="7">
        <v>0</v>
      </c>
      <c r="AA49" s="7">
        <v>2.2000000000000002</v>
      </c>
      <c r="AB49" s="7">
        <v>1.92</v>
      </c>
      <c r="AC49" s="7">
        <v>2</v>
      </c>
      <c r="AD49" s="7">
        <v>2.2000000000000002</v>
      </c>
      <c r="AE49" s="7">
        <v>2</v>
      </c>
      <c r="AF49" s="7">
        <v>2.2000000000000002</v>
      </c>
      <c r="AG49" s="7">
        <v>1.7</v>
      </c>
      <c r="AH49" s="7">
        <v>1.9</v>
      </c>
      <c r="AI49" s="7">
        <v>1.99</v>
      </c>
      <c r="AJ49" s="7">
        <v>1.7</v>
      </c>
      <c r="AK49" s="7">
        <v>1.9</v>
      </c>
      <c r="AL49" s="7">
        <v>2.2000000000000002</v>
      </c>
      <c r="AM49" s="7">
        <v>2.81</v>
      </c>
      <c r="AN49" s="7">
        <v>1.76</v>
      </c>
      <c r="AO49" s="7">
        <v>1.9</v>
      </c>
      <c r="AP49" s="7">
        <v>0</v>
      </c>
      <c r="AQ49" s="7">
        <v>2.4700000000000002</v>
      </c>
      <c r="AR49" s="9">
        <v>2.2999999999999998</v>
      </c>
      <c r="AS49" s="9">
        <v>1.85</v>
      </c>
      <c r="AT49" s="9">
        <v>2.68</v>
      </c>
      <c r="AU49" s="50">
        <v>3.24</v>
      </c>
      <c r="AV49" s="50">
        <v>2.68</v>
      </c>
      <c r="AW49" s="50">
        <v>1.91</v>
      </c>
      <c r="AX49" s="50">
        <v>2.86</v>
      </c>
      <c r="AY49" s="50">
        <v>2.19</v>
      </c>
      <c r="AZ49" s="50">
        <v>2.0699999999999998</v>
      </c>
      <c r="BA49" s="50">
        <v>2.2999999999999998</v>
      </c>
      <c r="BB49" s="50">
        <v>2.6</v>
      </c>
      <c r="BC49" s="50">
        <v>0</v>
      </c>
      <c r="BD49" s="55">
        <v>0</v>
      </c>
      <c r="BE49" s="11">
        <v>2.4249999999999998</v>
      </c>
      <c r="BF49" s="4">
        <v>0</v>
      </c>
      <c r="BG49" s="4">
        <v>2.4500000000000002</v>
      </c>
      <c r="BH49" s="4">
        <v>2.069</v>
      </c>
      <c r="BI49" s="4">
        <v>2.5950000000000002</v>
      </c>
      <c r="BJ49" s="14">
        <v>2.3450000000000002</v>
      </c>
      <c r="BK49" s="14">
        <v>2.0249999999999999</v>
      </c>
      <c r="BL49" s="4">
        <v>2.706</v>
      </c>
      <c r="BM49" s="17">
        <v>1.952</v>
      </c>
      <c r="BN49" s="4">
        <v>2.0699999999999998</v>
      </c>
      <c r="BO49" s="4">
        <v>1.9279999999999999</v>
      </c>
      <c r="BP49" s="4">
        <v>2.1680000000000001</v>
      </c>
      <c r="BQ49" s="4">
        <v>2.6440000000000001</v>
      </c>
      <c r="BR49" s="4">
        <v>1.9830000000000001</v>
      </c>
      <c r="BS49" s="4">
        <v>2.0870000000000002</v>
      </c>
      <c r="BT49" s="4">
        <v>2.0059999999999998</v>
      </c>
      <c r="BU49" s="4">
        <v>1.81</v>
      </c>
      <c r="BV49" s="4">
        <v>2.0649999999999999</v>
      </c>
      <c r="BW49" s="4">
        <v>2.2650000000000001</v>
      </c>
      <c r="BX49" s="4">
        <v>2.17</v>
      </c>
      <c r="BY49" s="4">
        <v>1.6180000000000001</v>
      </c>
      <c r="BZ49" s="55">
        <v>1.59</v>
      </c>
      <c r="CA49" s="55">
        <v>1.84</v>
      </c>
      <c r="CB49" s="55">
        <v>2.1</v>
      </c>
      <c r="CC49" s="55">
        <v>2.36</v>
      </c>
      <c r="CD49" s="55">
        <v>2.2000000000000002</v>
      </c>
      <c r="CE49" s="19">
        <v>2</v>
      </c>
      <c r="CF49" s="19">
        <v>1.3</v>
      </c>
      <c r="CG49" s="4">
        <v>1.94</v>
      </c>
      <c r="CH49" s="4">
        <v>1.86</v>
      </c>
      <c r="CI49" s="4">
        <v>1.59</v>
      </c>
      <c r="CJ49" s="34">
        <v>2.5</v>
      </c>
      <c r="CK49" s="34">
        <v>1.7</v>
      </c>
      <c r="CL49" s="43">
        <v>1.8</v>
      </c>
      <c r="CM49" s="4">
        <v>2.2000000000000002</v>
      </c>
      <c r="CN49" s="53">
        <v>1.8</v>
      </c>
      <c r="CO49" s="54">
        <v>2.1</v>
      </c>
      <c r="CP49" s="54">
        <v>1.7</v>
      </c>
      <c r="CQ49" s="4">
        <v>1.9</v>
      </c>
    </row>
    <row r="50" spans="1:95" s="55" customFormat="1" x14ac:dyDescent="0.35">
      <c r="A50" s="55">
        <v>49</v>
      </c>
      <c r="B50" s="55" t="s">
        <v>111</v>
      </c>
      <c r="C50" s="27" t="s">
        <v>686</v>
      </c>
      <c r="D50" s="6" t="s">
        <v>88</v>
      </c>
      <c r="E50" s="33" t="s">
        <v>89</v>
      </c>
      <c r="F50" s="4">
        <f>IFERROR(AVERAGEIF(Table1[[#This Row],[2019-Apr]:[2025-July]],"&lt;&gt;0"),0)</f>
        <v>2.3404999999999991</v>
      </c>
      <c r="G50" s="4">
        <f ca="1">IFERROR(AVERAGEIF(OFFSET(Table1[[#This Row],[Status]],0,COUNT(Table1[[#This Row],[2019-May]:[2025-July]]),1,-12),"&lt;&gt;0"),0)</f>
        <v>1.9424999999999999</v>
      </c>
      <c r="H50" s="55">
        <f>IFERROR(SMALL(Table1[[#This Row],[2019-Apr]:[2025-July]],COUNTIF(Table1[[#This Row],[2019-Apr]:[2025-July]],0)+1),0)</f>
        <v>1.4</v>
      </c>
      <c r="I50" s="55">
        <f>IFERROR(MAX(Table1[[#This Row],[2019-Apr]:[2025-July]]),0)</f>
        <v>3.75</v>
      </c>
      <c r="J50" s="4" cm="1">
        <f t="array" ref="J5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1.514</v>
      </c>
      <c r="K50" s="4">
        <v>4.5</v>
      </c>
      <c r="L50" s="4">
        <f>IF(Table1[[#This Row],[Standard as per ISO]]&gt;=Table1[[#This Row],[Avg of best 6]],Table1[[#This Row],[Standard as per ISO]],Table1[[#This Row],[Avg of best 6]])</f>
        <v>4.5</v>
      </c>
      <c r="M50" s="4" cm="1">
        <f t="array" ref="M50">IFERROR(LOOKUP(2,1/(Table1[[#This Row],[2019-May]:[2025-July]]&lt;&gt;0),Table1[[#This Row],[2019-May]:[2025-July]]),0)</f>
        <v>1.7</v>
      </c>
      <c r="N50" s="4">
        <f>COUNTIF(Table1[[#This Row],[2019-Apr]:[2025-July]],"&gt;="&amp;Table1[[#This Row],[Target]])</f>
        <v>0</v>
      </c>
      <c r="O50" s="4">
        <f>IF(Table1[[#This Row],[Outliers 2Y]]=0,1,0)</f>
        <v>1</v>
      </c>
      <c r="P50" s="4">
        <f>IF(Table1[[#This Row],[Last value]]&gt;1.5*Table1[[#This Row],[Target]],1,0)</f>
        <v>0</v>
      </c>
      <c r="Q50" s="4">
        <f>IF(AND(1.5*Table1[[#This Row],[Target]]&gt;=Table1[[#This Row],[Last value]],Table1[[#This Row],[Last value]]&gt;Table1[[#This Row],[Target]]),1,0)</f>
        <v>0</v>
      </c>
      <c r="R50" s="4">
        <f>IF(Table1[[#This Row],[Target]]&gt;=Table1[[#This Row],[Last value]],1,0)</f>
        <v>1</v>
      </c>
      <c r="S50" s="4" t="str">
        <f t="shared" si="0"/>
        <v>Green</v>
      </c>
      <c r="T50" s="7">
        <v>1.67</v>
      </c>
      <c r="U50" s="7">
        <v>3.24</v>
      </c>
      <c r="V50" s="7">
        <v>2.34</v>
      </c>
      <c r="W50" s="7">
        <v>2.44</v>
      </c>
      <c r="X50" s="7">
        <v>1.9</v>
      </c>
      <c r="Y50" s="7">
        <v>2</v>
      </c>
      <c r="Z50" s="7">
        <v>0</v>
      </c>
      <c r="AA50" s="7">
        <v>2.2000000000000002</v>
      </c>
      <c r="AB50" s="7">
        <v>1.85</v>
      </c>
      <c r="AC50" s="7">
        <v>2.97</v>
      </c>
      <c r="AD50" s="7">
        <v>2.4</v>
      </c>
      <c r="AE50" s="7">
        <v>1.96</v>
      </c>
      <c r="AF50" s="7">
        <v>3</v>
      </c>
      <c r="AG50" s="7">
        <v>1.8</v>
      </c>
      <c r="AH50" s="7">
        <v>2.6</v>
      </c>
      <c r="AI50" s="7">
        <v>2.2999999999999998</v>
      </c>
      <c r="AJ50" s="7">
        <v>2.2000000000000002</v>
      </c>
      <c r="AK50" s="7">
        <v>2.12</v>
      </c>
      <c r="AL50" s="7">
        <v>1.4</v>
      </c>
      <c r="AM50" s="7">
        <v>1.78</v>
      </c>
      <c r="AN50" s="7">
        <v>2.1</v>
      </c>
      <c r="AO50" s="7">
        <v>1.7</v>
      </c>
      <c r="AP50" s="7">
        <v>0</v>
      </c>
      <c r="AQ50" s="7">
        <v>3</v>
      </c>
      <c r="AR50" s="9">
        <v>2.77</v>
      </c>
      <c r="AS50" s="9">
        <v>3.75</v>
      </c>
      <c r="AT50" s="9">
        <v>2.89</v>
      </c>
      <c r="AU50" s="50">
        <v>2.59</v>
      </c>
      <c r="AV50" s="50">
        <v>2.34</v>
      </c>
      <c r="AW50" s="50">
        <v>3.01</v>
      </c>
      <c r="AX50" s="50">
        <v>2.7</v>
      </c>
      <c r="AY50" s="50">
        <v>2.33</v>
      </c>
      <c r="AZ50" s="50">
        <v>3.54</v>
      </c>
      <c r="BA50" s="50">
        <v>2.6</v>
      </c>
      <c r="BB50" s="50">
        <v>3.1</v>
      </c>
      <c r="BC50" s="55">
        <v>2</v>
      </c>
      <c r="BD50" s="55">
        <v>0</v>
      </c>
      <c r="BE50" s="11">
        <v>3.6850000000000001</v>
      </c>
      <c r="BF50" s="4">
        <v>0</v>
      </c>
      <c r="BG50" s="4">
        <v>3.39</v>
      </c>
      <c r="BH50" s="4">
        <v>2.9860000000000002</v>
      </c>
      <c r="BI50" s="4">
        <v>2.484</v>
      </c>
      <c r="BJ50" s="13">
        <v>2.4649999999999999</v>
      </c>
      <c r="BK50" s="13">
        <v>2.6539999999999999</v>
      </c>
      <c r="BL50" s="4">
        <v>2.302</v>
      </c>
      <c r="BM50" s="16">
        <v>3.24</v>
      </c>
      <c r="BN50" s="4">
        <v>2.4750000000000001</v>
      </c>
      <c r="BO50" s="4">
        <v>2.4169999999999998</v>
      </c>
      <c r="BP50" s="4">
        <v>2.9209999999999998</v>
      </c>
      <c r="BQ50" s="4">
        <v>1.5840000000000001</v>
      </c>
      <c r="BR50" s="4">
        <v>2.0760000000000001</v>
      </c>
      <c r="BS50" s="4">
        <v>1.722</v>
      </c>
      <c r="BT50" s="4">
        <v>1.6519999999999999</v>
      </c>
      <c r="BU50" s="4">
        <v>2.681</v>
      </c>
      <c r="BV50" s="4">
        <v>2.504</v>
      </c>
      <c r="BW50" s="4">
        <v>2.6160000000000001</v>
      </c>
      <c r="BX50" s="4">
        <v>1.9279999999999999</v>
      </c>
      <c r="BY50" s="4">
        <v>2.5539999999999998</v>
      </c>
      <c r="BZ50" s="55">
        <v>1.83</v>
      </c>
      <c r="CA50" s="55">
        <v>1.89</v>
      </c>
      <c r="CB50" s="55">
        <v>2.57</v>
      </c>
      <c r="CC50" s="55">
        <v>2.63</v>
      </c>
      <c r="CD50" s="55">
        <v>1.66</v>
      </c>
      <c r="CE50" s="19">
        <v>1.7</v>
      </c>
      <c r="CF50" s="19">
        <v>2.2999999999999998</v>
      </c>
      <c r="CG50" s="4">
        <v>2.64</v>
      </c>
      <c r="CH50" s="4">
        <v>2.39</v>
      </c>
      <c r="CI50" s="4">
        <v>2.68</v>
      </c>
      <c r="CJ50" s="34">
        <v>1.5</v>
      </c>
      <c r="CK50" s="34">
        <v>2.1</v>
      </c>
      <c r="CL50" s="43">
        <v>1.6</v>
      </c>
      <c r="CM50" s="4">
        <v>1.7</v>
      </c>
      <c r="CN50" s="53">
        <v>1.7</v>
      </c>
      <c r="CO50" s="54">
        <v>1.5</v>
      </c>
      <c r="CP50" s="54">
        <v>1.5</v>
      </c>
      <c r="CQ50" s="4">
        <v>1.7</v>
      </c>
    </row>
    <row r="51" spans="1:95" s="55" customFormat="1" x14ac:dyDescent="0.35">
      <c r="A51" s="55">
        <v>50</v>
      </c>
      <c r="B51" s="55" t="s">
        <v>111</v>
      </c>
      <c r="C51" s="27" t="s">
        <v>687</v>
      </c>
      <c r="D51" s="6" t="s">
        <v>88</v>
      </c>
      <c r="E51" s="33" t="s">
        <v>89</v>
      </c>
      <c r="F51" s="4">
        <f>IFERROR(AVERAGEIF(Table1[[#This Row],[2019-Apr]:[2025-July]],"&lt;&gt;0"),0)</f>
        <v>2.5354848484848485</v>
      </c>
      <c r="G51" s="4">
        <f ca="1">IFERROR(AVERAGEIF(OFFSET(Table1[[#This Row],[Status]],0,COUNT(Table1[[#This Row],[2019-May]:[2025-July]]),1,-12),"&lt;&gt;0"),0)</f>
        <v>1.5011111111111108</v>
      </c>
      <c r="H51" s="55">
        <f>IFERROR(SMALL(Table1[[#This Row],[2019-Apr]:[2025-July]],COUNTIF(Table1[[#This Row],[2019-Apr]:[2025-July]],0)+1),0)</f>
        <v>1.1000000000000001</v>
      </c>
      <c r="I51" s="55">
        <f>IFERROR(MAX(Table1[[#This Row],[2019-Apr]:[2025-July]]),0)</f>
        <v>10.9</v>
      </c>
      <c r="J51" s="4" cm="1">
        <f t="array" ref="J5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1.1900000000000002</v>
      </c>
      <c r="K51" s="4">
        <v>4.5</v>
      </c>
      <c r="L51" s="4">
        <f>IF(Table1[[#This Row],[Standard as per ISO]]&gt;=Table1[[#This Row],[Avg of best 6]],Table1[[#This Row],[Standard as per ISO]],Table1[[#This Row],[Avg of best 6]])</f>
        <v>4.5</v>
      </c>
      <c r="M51" s="4" cm="1">
        <f t="array" ref="M51">IFERROR(LOOKUP(2,1/(Table1[[#This Row],[2019-May]:[2025-July]]&lt;&gt;0),Table1[[#This Row],[2019-May]:[2025-July]]),0)</f>
        <v>1.3</v>
      </c>
      <c r="N51" s="4">
        <f>COUNTIF(Table1[[#This Row],[2019-Apr]:[2025-July]],"&gt;="&amp;Table1[[#This Row],[Target]])</f>
        <v>1</v>
      </c>
      <c r="O51" s="4">
        <f>IF(Table1[[#This Row],[Outliers 2Y]]=0,1,0)</f>
        <v>0</v>
      </c>
      <c r="P51" s="4">
        <f>IF(Table1[[#This Row],[Last value]]&gt;1.5*Table1[[#This Row],[Target]],1,0)</f>
        <v>0</v>
      </c>
      <c r="Q51" s="4">
        <f>IF(AND(1.5*Table1[[#This Row],[Target]]&gt;=Table1[[#This Row],[Last value]],Table1[[#This Row],[Last value]]&gt;Table1[[#This Row],[Target]]),1,0)</f>
        <v>0</v>
      </c>
      <c r="R51" s="4">
        <f>IF(Table1[[#This Row],[Target]]&gt;=Table1[[#This Row],[Last value]],1,0)</f>
        <v>1</v>
      </c>
      <c r="S51" s="4" t="str">
        <f t="shared" si="0"/>
        <v>Green</v>
      </c>
      <c r="T51" s="7">
        <v>1.44</v>
      </c>
      <c r="U51" s="7">
        <v>1.49</v>
      </c>
      <c r="V51" s="7">
        <v>1.2</v>
      </c>
      <c r="W51" s="7">
        <v>1.36</v>
      </c>
      <c r="X51" s="7">
        <v>1.2</v>
      </c>
      <c r="Y51" s="7">
        <v>1.24</v>
      </c>
      <c r="Z51" s="7">
        <v>0</v>
      </c>
      <c r="AA51" s="7">
        <v>3.3</v>
      </c>
      <c r="AB51" s="7">
        <v>3.23</v>
      </c>
      <c r="AC51" s="7">
        <v>2.7</v>
      </c>
      <c r="AD51" s="7">
        <v>2.83</v>
      </c>
      <c r="AE51" s="7">
        <v>2.75</v>
      </c>
      <c r="AF51" s="7">
        <v>2.5</v>
      </c>
      <c r="AG51" s="7">
        <v>3.1</v>
      </c>
      <c r="AH51" s="7">
        <v>2.2999999999999998</v>
      </c>
      <c r="AI51" s="7">
        <v>3.77</v>
      </c>
      <c r="AJ51" s="7">
        <v>4.0999999999999996</v>
      </c>
      <c r="AK51" s="7">
        <v>3.8</v>
      </c>
      <c r="AL51" s="7">
        <v>1.94</v>
      </c>
      <c r="AM51" s="7">
        <v>3.91</v>
      </c>
      <c r="AN51" s="7">
        <v>3.3</v>
      </c>
      <c r="AO51" s="7">
        <v>3.8</v>
      </c>
      <c r="AP51" s="7">
        <v>0</v>
      </c>
      <c r="AQ51" s="7">
        <v>3.3</v>
      </c>
      <c r="AR51" s="9">
        <v>3.32</v>
      </c>
      <c r="AS51" s="9">
        <v>3.75</v>
      </c>
      <c r="AT51" s="9">
        <v>1.92</v>
      </c>
      <c r="AU51" s="50">
        <v>2.66</v>
      </c>
      <c r="AV51" s="50">
        <v>3.12</v>
      </c>
      <c r="AW51" s="50">
        <v>3.06</v>
      </c>
      <c r="AX51" s="50">
        <v>2.98</v>
      </c>
      <c r="AY51" s="50">
        <v>3.07</v>
      </c>
      <c r="AZ51" s="50">
        <v>2.86</v>
      </c>
      <c r="BA51" s="50">
        <v>2.5</v>
      </c>
      <c r="BB51" s="50">
        <v>2.5</v>
      </c>
      <c r="BC51" s="55">
        <v>2.9</v>
      </c>
      <c r="BD51" s="55">
        <v>0</v>
      </c>
      <c r="BE51" s="11">
        <v>2.3759999999999999</v>
      </c>
      <c r="BF51" s="4">
        <v>0</v>
      </c>
      <c r="BG51" s="4">
        <v>2.37</v>
      </c>
      <c r="BH51" s="4">
        <v>1.911</v>
      </c>
      <c r="BI51" s="4">
        <v>1.73</v>
      </c>
      <c r="BJ51" s="14">
        <v>2.0190000000000001</v>
      </c>
      <c r="BK51" s="14">
        <v>10.9</v>
      </c>
      <c r="BL51" s="4">
        <v>3.004</v>
      </c>
      <c r="BM51" s="17">
        <v>2.9220000000000002</v>
      </c>
      <c r="BN51" s="4">
        <v>2.4220000000000002</v>
      </c>
      <c r="BO51" s="4">
        <v>2.1949999999999998</v>
      </c>
      <c r="BP51" s="4">
        <v>2.1930000000000001</v>
      </c>
      <c r="BQ51" s="4">
        <v>1.8460000000000001</v>
      </c>
      <c r="BR51" s="4">
        <v>1.9770000000000001</v>
      </c>
      <c r="BS51" s="4">
        <v>2.1520000000000001</v>
      </c>
      <c r="BT51" s="4">
        <v>1.9610000000000001</v>
      </c>
      <c r="BU51" s="4">
        <v>2.0169999999999999</v>
      </c>
      <c r="BV51" s="4">
        <v>2.1589999999999998</v>
      </c>
      <c r="BW51" s="4">
        <v>1.98</v>
      </c>
      <c r="BX51" s="4">
        <v>2.5939999999999999</v>
      </c>
      <c r="BY51" s="4">
        <v>2.6240000000000001</v>
      </c>
      <c r="BZ51" s="55">
        <v>3.26</v>
      </c>
      <c r="CA51" s="55">
        <v>0</v>
      </c>
      <c r="CB51" s="55">
        <v>0</v>
      </c>
      <c r="CC51" s="55">
        <v>0</v>
      </c>
      <c r="CD51" s="55">
        <v>2.72</v>
      </c>
      <c r="CE51" s="19">
        <v>0</v>
      </c>
      <c r="CF51" s="19">
        <v>0</v>
      </c>
      <c r="CG51" s="4">
        <v>2.1800000000000002</v>
      </c>
      <c r="CH51" s="4">
        <v>1.53</v>
      </c>
      <c r="CI51" s="4">
        <v>0</v>
      </c>
      <c r="CJ51" s="34">
        <v>1.4</v>
      </c>
      <c r="CK51" s="34">
        <v>1.5</v>
      </c>
      <c r="CL51" s="43">
        <v>1.1000000000000001</v>
      </c>
      <c r="CM51" s="4">
        <v>1.7</v>
      </c>
      <c r="CN51" s="53">
        <v>1.7</v>
      </c>
      <c r="CO51" s="54">
        <v>1.3</v>
      </c>
      <c r="CP51" s="54">
        <v>1.1000000000000001</v>
      </c>
      <c r="CQ51" s="4">
        <v>1.3</v>
      </c>
    </row>
    <row r="52" spans="1:95" s="55" customFormat="1" x14ac:dyDescent="0.35">
      <c r="A52" s="55">
        <v>51</v>
      </c>
      <c r="B52" s="55" t="s">
        <v>111</v>
      </c>
      <c r="C52" s="27" t="s">
        <v>688</v>
      </c>
      <c r="D52" s="6" t="s">
        <v>88</v>
      </c>
      <c r="E52" s="33" t="s">
        <v>89</v>
      </c>
      <c r="F52" s="4">
        <f>IFERROR(AVERAGEIF(Table1[[#This Row],[2019-Apr]:[2025-July]],"&lt;&gt;0"),0)</f>
        <v>3.5550000000000002</v>
      </c>
      <c r="G52" s="4">
        <f ca="1">IFERROR(AVERAGEIF(OFFSET(Table1[[#This Row],[Status]],0,COUNT(Table1[[#This Row],[2019-May]:[2025-July]]),1,-12),"&lt;&gt;0"),0)</f>
        <v>2.5437500000000002</v>
      </c>
      <c r="H52" s="55">
        <f>IFERROR(SMALL(Table1[[#This Row],[2019-Apr]:[2025-July]],COUNTIF(Table1[[#This Row],[2019-Apr]:[2025-July]],0)+1),0)</f>
        <v>1.8260000000000001</v>
      </c>
      <c r="I52" s="55">
        <f>IFERROR(MAX(Table1[[#This Row],[2019-Apr]:[2025-July]]),0)</f>
        <v>8.11</v>
      </c>
      <c r="J52" s="4" cm="1">
        <f t="array" ref="J5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2.1443333333333334</v>
      </c>
      <c r="K52" s="4">
        <v>4.5</v>
      </c>
      <c r="L52" s="4">
        <f>IF(Table1[[#This Row],[Standard as per ISO]]&gt;=Table1[[#This Row],[Avg of best 6]],Table1[[#This Row],[Standard as per ISO]],Table1[[#This Row],[Avg of best 6]])</f>
        <v>4.5</v>
      </c>
      <c r="M52" s="4" cm="1">
        <f t="array" ref="M52">IFERROR(LOOKUP(2,1/(Table1[[#This Row],[2019-May]:[2025-July]]&lt;&gt;0),Table1[[#This Row],[2019-May]:[2025-July]]),0)</f>
        <v>2.8</v>
      </c>
      <c r="N52" s="4">
        <f>COUNTIF(Table1[[#This Row],[2019-Apr]:[2025-July]],"&gt;="&amp;Table1[[#This Row],[Target]])</f>
        <v>9</v>
      </c>
      <c r="O52" s="4">
        <f>IF(Table1[[#This Row],[Outliers 2Y]]=0,1,0)</f>
        <v>0</v>
      </c>
      <c r="P52" s="4">
        <f>IF(Table1[[#This Row],[Last value]]&gt;1.5*Table1[[#This Row],[Target]],1,0)</f>
        <v>0</v>
      </c>
      <c r="Q52" s="4">
        <f>IF(AND(1.5*Table1[[#This Row],[Target]]&gt;=Table1[[#This Row],[Last value]],Table1[[#This Row],[Last value]]&gt;Table1[[#This Row],[Target]]),1,0)</f>
        <v>0</v>
      </c>
      <c r="R52" s="4">
        <f>IF(Table1[[#This Row],[Target]]&gt;=Table1[[#This Row],[Last value]],1,0)</f>
        <v>1</v>
      </c>
      <c r="S52" s="4" t="str">
        <f t="shared" si="0"/>
        <v>Green</v>
      </c>
      <c r="T52" s="7">
        <v>3.47</v>
      </c>
      <c r="U52" s="7">
        <v>2.98</v>
      </c>
      <c r="V52" s="7">
        <v>2.2599999999999998</v>
      </c>
      <c r="W52" s="7">
        <v>3.1</v>
      </c>
      <c r="X52" s="7">
        <v>3.3</v>
      </c>
      <c r="Y52" s="7">
        <v>3.65</v>
      </c>
      <c r="Z52" s="7">
        <v>0</v>
      </c>
      <c r="AA52" s="7">
        <v>3</v>
      </c>
      <c r="AB52" s="7">
        <v>3.28</v>
      </c>
      <c r="AC52" s="7">
        <v>3.61</v>
      </c>
      <c r="AD52" s="7">
        <v>3.5</v>
      </c>
      <c r="AE52" s="7">
        <v>3.5</v>
      </c>
      <c r="AF52" s="7">
        <v>4.0999999999999996</v>
      </c>
      <c r="AG52" s="7">
        <v>8.11</v>
      </c>
      <c r="AH52" s="7">
        <v>4.45</v>
      </c>
      <c r="AI52" s="7">
        <v>2.15</v>
      </c>
      <c r="AJ52" s="7">
        <v>4</v>
      </c>
      <c r="AK52" s="7">
        <v>3.25</v>
      </c>
      <c r="AL52" s="7">
        <v>4.2</v>
      </c>
      <c r="AM52" s="7">
        <v>3.84</v>
      </c>
      <c r="AN52" s="7">
        <v>4.5</v>
      </c>
      <c r="AO52" s="7">
        <v>4.5</v>
      </c>
      <c r="AP52" s="7">
        <v>0</v>
      </c>
      <c r="AQ52" s="7">
        <v>4.32</v>
      </c>
      <c r="AR52" s="9">
        <v>4.7699999999999996</v>
      </c>
      <c r="AS52" s="9">
        <v>4.13</v>
      </c>
      <c r="AT52" s="9">
        <v>4.37</v>
      </c>
      <c r="AU52" s="50">
        <v>4.26</v>
      </c>
      <c r="AV52" s="50">
        <v>5.0199999999999996</v>
      </c>
      <c r="AW52" s="50">
        <v>4.54</v>
      </c>
      <c r="AX52" s="50">
        <v>4.1500000000000004</v>
      </c>
      <c r="AY52" s="50">
        <v>4.4800000000000004</v>
      </c>
      <c r="AZ52" s="50">
        <v>4.13</v>
      </c>
      <c r="BA52" s="50">
        <v>3.9</v>
      </c>
      <c r="BB52" s="50">
        <v>4.3</v>
      </c>
      <c r="BC52" s="50">
        <v>0</v>
      </c>
      <c r="BD52" s="55">
        <v>0</v>
      </c>
      <c r="BE52" s="11">
        <v>3.9660000000000002</v>
      </c>
      <c r="BF52" s="4">
        <v>0</v>
      </c>
      <c r="BG52" s="4">
        <v>4.7</v>
      </c>
      <c r="BH52" s="4">
        <v>4.3529999999999998</v>
      </c>
      <c r="BI52" s="4">
        <v>3.677</v>
      </c>
      <c r="BJ52" s="13">
        <v>4.1529999999999996</v>
      </c>
      <c r="BK52" s="13">
        <v>3.3450000000000002</v>
      </c>
      <c r="BL52" s="4">
        <v>4.2160000000000002</v>
      </c>
      <c r="BM52" s="16">
        <v>3.464</v>
      </c>
      <c r="BN52" s="4">
        <v>4.3010000000000002</v>
      </c>
      <c r="BO52" s="4">
        <v>4.5819999999999999</v>
      </c>
      <c r="BP52" s="4">
        <v>4.944</v>
      </c>
      <c r="BQ52" s="4">
        <v>2.8450000000000002</v>
      </c>
      <c r="BR52" s="4">
        <v>2.4300000000000002</v>
      </c>
      <c r="BS52" s="4">
        <v>2.4910000000000001</v>
      </c>
      <c r="BT52" s="4">
        <v>2.7149999999999999</v>
      </c>
      <c r="BU52" s="4">
        <v>2.5920000000000001</v>
      </c>
      <c r="BV52" s="4">
        <v>1.8260000000000001</v>
      </c>
      <c r="BW52" s="4">
        <v>2.13</v>
      </c>
      <c r="BX52" s="4">
        <v>2.7040000000000002</v>
      </c>
      <c r="BY52" s="4">
        <v>2.6960000000000002</v>
      </c>
      <c r="BZ52" s="55">
        <v>2.33</v>
      </c>
      <c r="CA52" s="55">
        <v>0</v>
      </c>
      <c r="CB52" s="55">
        <v>0</v>
      </c>
      <c r="CC52" s="55">
        <v>0</v>
      </c>
      <c r="CD52" s="55">
        <v>2.79</v>
      </c>
      <c r="CE52" s="19">
        <v>0</v>
      </c>
      <c r="CF52" s="19">
        <v>0</v>
      </c>
      <c r="CG52" s="4">
        <v>2.35</v>
      </c>
      <c r="CH52" s="4">
        <v>0</v>
      </c>
      <c r="CI52" s="4">
        <v>0</v>
      </c>
      <c r="CJ52" s="34">
        <v>2.9</v>
      </c>
      <c r="CK52" s="34">
        <v>2.8</v>
      </c>
      <c r="CL52" s="43">
        <v>2.2000000000000002</v>
      </c>
      <c r="CM52" s="4">
        <v>2.2999999999999998</v>
      </c>
      <c r="CN52" s="53">
        <v>2.7</v>
      </c>
      <c r="CO52" s="54">
        <v>2.6</v>
      </c>
      <c r="CP52" s="54">
        <v>2.5</v>
      </c>
      <c r="CQ52" s="4">
        <v>2.8</v>
      </c>
    </row>
    <row r="53" spans="1:95" s="55" customFormat="1" x14ac:dyDescent="0.35">
      <c r="A53" s="55">
        <v>52</v>
      </c>
      <c r="B53" s="55" t="s">
        <v>111</v>
      </c>
      <c r="C53" s="27" t="s">
        <v>689</v>
      </c>
      <c r="D53" s="6" t="s">
        <v>88</v>
      </c>
      <c r="E53" s="33" t="s">
        <v>91</v>
      </c>
      <c r="F53" s="4">
        <f>IFERROR(AVERAGEIF(Table1[[#This Row],[2019-Apr]:[2025-July]],"&lt;&gt;0"),0)</f>
        <v>2.9677321428571424</v>
      </c>
      <c r="G53" s="4">
        <f ca="1">IFERROR(AVERAGEIF(OFFSET(Table1[[#This Row],[Status]],0,COUNT(Table1[[#This Row],[2019-May]:[2025-July]]),1,-12),"&lt;&gt;0"),0)</f>
        <v>2.83</v>
      </c>
      <c r="H53" s="55">
        <f>IFERROR(SMALL(Table1[[#This Row],[2019-Apr]:[2025-July]],COUNTIF(Table1[[#This Row],[2019-Apr]:[2025-July]],0)+1),0)</f>
        <v>1.7</v>
      </c>
      <c r="I53" s="55">
        <f>IFERROR(MAX(Table1[[#This Row],[2019-Apr]:[2025-July]]),0)</f>
        <v>3.95</v>
      </c>
      <c r="J53" s="4" cm="1">
        <f t="array" ref="J5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2.0901666666666663</v>
      </c>
      <c r="K53" s="4">
        <v>4.5</v>
      </c>
      <c r="L53" s="4">
        <f>IF(Table1[[#This Row],[Standard as per ISO]]&gt;=Table1[[#This Row],[Avg of best 6]],Table1[[#This Row],[Standard as per ISO]],Table1[[#This Row],[Avg of best 6]])</f>
        <v>4.5</v>
      </c>
      <c r="M53" s="4" cm="1">
        <f t="array" ref="M53">IFERROR(LOOKUP(2,1/(Table1[[#This Row],[2019-May]:[2025-July]]&lt;&gt;0),Table1[[#This Row],[2019-May]:[2025-July]]),0)</f>
        <v>2.83</v>
      </c>
      <c r="N53" s="4">
        <f>COUNTIF(Table1[[#This Row],[2019-Apr]:[2025-July]],"&gt;="&amp;Table1[[#This Row],[Target]])</f>
        <v>0</v>
      </c>
      <c r="O53" s="4">
        <f>IF(Table1[[#This Row],[Outliers 2Y]]=0,1,0)</f>
        <v>1</v>
      </c>
      <c r="P53" s="4">
        <f>IF(Table1[[#This Row],[Last value]]&gt;1.5*Table1[[#This Row],[Target]],1,0)</f>
        <v>0</v>
      </c>
      <c r="Q53" s="4">
        <f>IF(AND(1.5*Table1[[#This Row],[Target]]&gt;=Table1[[#This Row],[Last value]],Table1[[#This Row],[Last value]]&gt;Table1[[#This Row],[Target]]),1,0)</f>
        <v>0</v>
      </c>
      <c r="R53" s="4">
        <f>IF(Table1[[#This Row],[Target]]&gt;=Table1[[#This Row],[Last value]],1,0)</f>
        <v>1</v>
      </c>
      <c r="S53" s="4" t="str">
        <f t="shared" si="0"/>
        <v>Green</v>
      </c>
      <c r="T53" s="7">
        <v>3.47</v>
      </c>
      <c r="U53" s="7">
        <v>2.98</v>
      </c>
      <c r="V53" s="7">
        <v>2.2599999999999998</v>
      </c>
      <c r="W53" s="7">
        <v>2.79</v>
      </c>
      <c r="X53" s="7">
        <v>2.7</v>
      </c>
      <c r="Y53" s="7">
        <v>2.69</v>
      </c>
      <c r="Z53" s="7">
        <v>0</v>
      </c>
      <c r="AA53" s="7">
        <v>2.9</v>
      </c>
      <c r="AB53" s="7">
        <v>2.71</v>
      </c>
      <c r="AC53" s="7">
        <v>2.73</v>
      </c>
      <c r="AD53" s="7">
        <v>2.78</v>
      </c>
      <c r="AE53" s="7">
        <v>2.9</v>
      </c>
      <c r="AF53" s="7">
        <v>2.8</v>
      </c>
      <c r="AG53" s="7">
        <v>3</v>
      </c>
      <c r="AH53" s="7">
        <v>3.95</v>
      </c>
      <c r="AI53" s="7">
        <v>3.7</v>
      </c>
      <c r="AJ53" s="7">
        <v>2.5</v>
      </c>
      <c r="AK53" s="7">
        <v>3.12</v>
      </c>
      <c r="AL53" s="7">
        <v>3.3</v>
      </c>
      <c r="AM53" s="7">
        <v>3.43</v>
      </c>
      <c r="AN53" s="7">
        <v>3.88</v>
      </c>
      <c r="AO53" s="7">
        <v>3.6</v>
      </c>
      <c r="AP53" s="7">
        <v>0</v>
      </c>
      <c r="AQ53" s="7">
        <v>2.95</v>
      </c>
      <c r="AR53" s="9">
        <v>3.57</v>
      </c>
      <c r="AS53" s="9">
        <v>3.06</v>
      </c>
      <c r="AT53" s="9">
        <v>3.08</v>
      </c>
      <c r="AU53" s="50">
        <v>3.03</v>
      </c>
      <c r="AV53" s="50">
        <v>3.12</v>
      </c>
      <c r="AW53" s="50">
        <v>3.47</v>
      </c>
      <c r="AX53" s="50">
        <v>3.45</v>
      </c>
      <c r="AY53" s="50">
        <v>3.63</v>
      </c>
      <c r="AZ53" s="50">
        <v>3.4</v>
      </c>
      <c r="BA53" s="50">
        <v>1.7</v>
      </c>
      <c r="BB53" s="50">
        <v>2.2000000000000002</v>
      </c>
      <c r="BC53" s="50">
        <v>0</v>
      </c>
      <c r="BD53" s="55">
        <v>0</v>
      </c>
      <c r="BE53" s="11">
        <v>3.5960000000000001</v>
      </c>
      <c r="BF53" s="4">
        <v>0</v>
      </c>
      <c r="BG53" s="4">
        <v>3.4</v>
      </c>
      <c r="BH53" s="4">
        <v>3.1739999999999999</v>
      </c>
      <c r="BI53" s="4">
        <v>3.4350000000000001</v>
      </c>
      <c r="BJ53" s="14">
        <v>3.1920000000000002</v>
      </c>
      <c r="BK53" s="14">
        <v>3.125</v>
      </c>
      <c r="BL53" s="4">
        <v>2.7650000000000001</v>
      </c>
      <c r="BM53" s="17">
        <v>2.387</v>
      </c>
      <c r="BN53" s="4">
        <v>2.6970000000000001</v>
      </c>
      <c r="BO53" s="4">
        <v>2.3719999999999999</v>
      </c>
      <c r="BP53" s="4">
        <v>2.327</v>
      </c>
      <c r="BQ53" s="4">
        <v>2.7309999999999999</v>
      </c>
      <c r="BR53" s="4">
        <v>2.694</v>
      </c>
      <c r="BS53" s="4">
        <v>2.754</v>
      </c>
      <c r="BT53" s="4">
        <v>2.2679999999999998</v>
      </c>
      <c r="BU53" s="4">
        <v>2.4359999999999999</v>
      </c>
      <c r="BV53" s="4">
        <v>1.786</v>
      </c>
      <c r="BW53" s="4">
        <v>2.4889999999999999</v>
      </c>
      <c r="BX53" s="4">
        <v>3.0939999999999999</v>
      </c>
      <c r="BY53" s="4">
        <v>3.621</v>
      </c>
      <c r="BZ53" s="55">
        <v>3.2</v>
      </c>
      <c r="CA53" s="55">
        <v>0</v>
      </c>
      <c r="CB53" s="55">
        <v>0</v>
      </c>
      <c r="CC53" s="55">
        <v>0</v>
      </c>
      <c r="CD53" s="55">
        <v>2.97</v>
      </c>
      <c r="CE53" s="19">
        <v>0</v>
      </c>
      <c r="CF53" s="19">
        <v>0</v>
      </c>
      <c r="CG53" s="4">
        <v>2.83</v>
      </c>
      <c r="CH53" s="4">
        <v>0</v>
      </c>
      <c r="CI53" s="4">
        <v>0</v>
      </c>
      <c r="CJ53" s="34">
        <v>0</v>
      </c>
      <c r="CK53" s="34">
        <v>0</v>
      </c>
      <c r="CL53" s="34">
        <v>0</v>
      </c>
      <c r="CM53" s="4">
        <v>0</v>
      </c>
      <c r="CN53" s="53">
        <v>0</v>
      </c>
      <c r="CO53" s="54">
        <v>0</v>
      </c>
      <c r="CP53" s="54">
        <v>0</v>
      </c>
      <c r="CQ53" s="4">
        <v>0</v>
      </c>
    </row>
    <row r="54" spans="1:95" s="55" customFormat="1" x14ac:dyDescent="0.35">
      <c r="A54" s="55">
        <v>53</v>
      </c>
      <c r="B54" s="55" t="s">
        <v>111</v>
      </c>
      <c r="C54" s="27" t="s">
        <v>690</v>
      </c>
      <c r="D54" s="6" t="s">
        <v>88</v>
      </c>
      <c r="E54" s="33" t="s">
        <v>91</v>
      </c>
      <c r="F54" s="4">
        <f>IFERROR(AVERAGEIF(Table1[[#This Row],[2019-Apr]:[2025-July]],"&lt;&gt;0"),0)</f>
        <v>1.8462807017543856</v>
      </c>
      <c r="G54" s="4">
        <f ca="1">IFERROR(AVERAGEIF(OFFSET(Table1[[#This Row],[Status]],0,COUNT(Table1[[#This Row],[2019-May]:[2025-July]]),1,-12),"&lt;&gt;0"),0)</f>
        <v>2.65</v>
      </c>
      <c r="H54" s="55">
        <f>IFERROR(SMALL(Table1[[#This Row],[2019-Apr]:[2025-July]],COUNTIF(Table1[[#This Row],[2019-Apr]:[2025-July]],0)+1),0)</f>
        <v>1.36</v>
      </c>
      <c r="I54" s="55">
        <f>IFERROR(MAX(Table1[[#This Row],[2019-Apr]:[2025-July]]),0)</f>
        <v>2.65</v>
      </c>
      <c r="J54" s="4" cm="1">
        <f t="array" ref="J5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1.46</v>
      </c>
      <c r="K54" s="4">
        <v>4.5</v>
      </c>
      <c r="L54" s="4">
        <f>IF(Table1[[#This Row],[Standard as per ISO]]&gt;=Table1[[#This Row],[Avg of best 6]],Table1[[#This Row],[Standard as per ISO]],Table1[[#This Row],[Avg of best 6]])</f>
        <v>4.5</v>
      </c>
      <c r="M54" s="4" cm="1">
        <f t="array" ref="M54">IFERROR(LOOKUP(2,1/(Table1[[#This Row],[2019-May]:[2025-July]]&lt;&gt;0),Table1[[#This Row],[2019-May]:[2025-July]]),0)</f>
        <v>2.65</v>
      </c>
      <c r="N54" s="4">
        <f>COUNTIF(Table1[[#This Row],[2019-Apr]:[2025-July]],"&gt;="&amp;Table1[[#This Row],[Target]])</f>
        <v>0</v>
      </c>
      <c r="O54" s="4">
        <f>IF(Table1[[#This Row],[Outliers 2Y]]=0,1,0)</f>
        <v>1</v>
      </c>
      <c r="P54" s="4">
        <f>IF(Table1[[#This Row],[Last value]]&gt;1.5*Table1[[#This Row],[Target]],1,0)</f>
        <v>0</v>
      </c>
      <c r="Q54" s="4">
        <f>IF(AND(1.5*Table1[[#This Row],[Target]]&gt;=Table1[[#This Row],[Last value]],Table1[[#This Row],[Last value]]&gt;Table1[[#This Row],[Target]]),1,0)</f>
        <v>0</v>
      </c>
      <c r="R54" s="4">
        <f>IF(Table1[[#This Row],[Target]]&gt;=Table1[[#This Row],[Last value]],1,0)</f>
        <v>1</v>
      </c>
      <c r="S54" s="4" t="str">
        <f t="shared" si="0"/>
        <v>Green</v>
      </c>
      <c r="T54" s="7">
        <v>1.6</v>
      </c>
      <c r="U54" s="7">
        <v>1.66</v>
      </c>
      <c r="V54" s="7">
        <v>1.73</v>
      </c>
      <c r="W54" s="7">
        <v>1.36</v>
      </c>
      <c r="X54" s="7">
        <v>2</v>
      </c>
      <c r="Y54" s="7">
        <v>1.8</v>
      </c>
      <c r="Z54" s="7">
        <v>0</v>
      </c>
      <c r="AA54" s="7">
        <v>1.5</v>
      </c>
      <c r="AB54" s="7">
        <v>1.59</v>
      </c>
      <c r="AC54" s="7">
        <v>1.58</v>
      </c>
      <c r="AD54" s="7">
        <v>1.58</v>
      </c>
      <c r="AE54" s="7">
        <v>1.6</v>
      </c>
      <c r="AF54" s="7">
        <v>1.9</v>
      </c>
      <c r="AG54" s="7">
        <v>1.7</v>
      </c>
      <c r="AH54" s="7">
        <v>1.83</v>
      </c>
      <c r="AI54" s="7">
        <v>1.7</v>
      </c>
      <c r="AJ54" s="7">
        <v>1.71</v>
      </c>
      <c r="AK54" s="7">
        <v>1.85</v>
      </c>
      <c r="AL54" s="7">
        <v>2.5</v>
      </c>
      <c r="AM54" s="7">
        <v>2.5</v>
      </c>
      <c r="AN54" s="7">
        <v>1.92</v>
      </c>
      <c r="AO54" s="7">
        <v>1.4</v>
      </c>
      <c r="AP54" s="7">
        <v>0</v>
      </c>
      <c r="AQ54" s="7">
        <v>1.55</v>
      </c>
      <c r="AR54" s="9">
        <v>2</v>
      </c>
      <c r="AS54" s="9">
        <v>1.83</v>
      </c>
      <c r="AT54" s="9">
        <v>1.87</v>
      </c>
      <c r="AU54" s="50">
        <v>1.72</v>
      </c>
      <c r="AV54" s="50">
        <v>1.78</v>
      </c>
      <c r="AW54" s="50">
        <v>2.36</v>
      </c>
      <c r="AX54" s="50">
        <v>1.59</v>
      </c>
      <c r="AY54" s="50">
        <v>1.88</v>
      </c>
      <c r="AZ54" s="50">
        <v>2.1800000000000002</v>
      </c>
      <c r="BA54" s="50">
        <v>1.5</v>
      </c>
      <c r="BB54" s="50">
        <v>1.9</v>
      </c>
      <c r="BC54" s="55">
        <v>2.1</v>
      </c>
      <c r="BD54" s="55">
        <v>0</v>
      </c>
      <c r="BE54" s="11">
        <v>2.0489999999999999</v>
      </c>
      <c r="BF54" s="4">
        <v>0</v>
      </c>
      <c r="BG54" s="4">
        <v>2.0699999999999998</v>
      </c>
      <c r="BH54" s="4">
        <v>1.506</v>
      </c>
      <c r="BI54" s="4">
        <v>1.7010000000000001</v>
      </c>
      <c r="BJ54" s="13">
        <v>2.1040000000000001</v>
      </c>
      <c r="BK54" s="13">
        <v>1.9510000000000001</v>
      </c>
      <c r="BL54" s="4">
        <v>1.694</v>
      </c>
      <c r="BM54" s="16">
        <v>1.5</v>
      </c>
      <c r="BN54" s="4">
        <v>1.5</v>
      </c>
      <c r="BO54" s="4">
        <v>1.5</v>
      </c>
      <c r="BP54" s="4">
        <v>1.5</v>
      </c>
      <c r="BQ54" s="4">
        <v>2.1789999999999998</v>
      </c>
      <c r="BR54" s="4">
        <v>2.048</v>
      </c>
      <c r="BS54" s="4">
        <v>2.2189999999999999</v>
      </c>
      <c r="BT54" s="4">
        <v>2.2490000000000001</v>
      </c>
      <c r="BU54" s="4">
        <v>1.931</v>
      </c>
      <c r="BV54" s="4">
        <v>1.7909999999999999</v>
      </c>
      <c r="BW54" s="4">
        <v>1.9179999999999999</v>
      </c>
      <c r="BX54" s="4">
        <v>1.9019999999999999</v>
      </c>
      <c r="BY54" s="4">
        <v>2.206</v>
      </c>
      <c r="BZ54" s="55">
        <v>1.99</v>
      </c>
      <c r="CA54" s="55">
        <v>0</v>
      </c>
      <c r="CB54" s="55">
        <v>0</v>
      </c>
      <c r="CC54" s="55">
        <v>0</v>
      </c>
      <c r="CD54" s="55">
        <v>1.81</v>
      </c>
      <c r="CE54" s="19">
        <v>0</v>
      </c>
      <c r="CF54" s="19">
        <v>0</v>
      </c>
      <c r="CG54" s="4">
        <v>2.65</v>
      </c>
      <c r="CH54" s="4">
        <v>0</v>
      </c>
      <c r="CI54" s="4">
        <v>0</v>
      </c>
      <c r="CJ54" s="34">
        <v>0</v>
      </c>
      <c r="CK54" s="34">
        <v>0</v>
      </c>
      <c r="CL54" s="34">
        <v>0</v>
      </c>
      <c r="CM54" s="4">
        <v>0</v>
      </c>
      <c r="CN54" s="53">
        <v>0</v>
      </c>
      <c r="CO54" s="54">
        <v>0</v>
      </c>
      <c r="CP54" s="54">
        <v>0</v>
      </c>
      <c r="CQ54" s="4">
        <v>0</v>
      </c>
    </row>
    <row r="55" spans="1:95" s="55" customFormat="1" x14ac:dyDescent="0.35">
      <c r="A55" s="55">
        <v>54</v>
      </c>
      <c r="B55" s="55" t="s">
        <v>111</v>
      </c>
      <c r="C55" s="27" t="s">
        <v>691</v>
      </c>
      <c r="D55" s="6" t="s">
        <v>88</v>
      </c>
      <c r="E55" s="33" t="s">
        <v>91</v>
      </c>
      <c r="F55" s="4">
        <f>IFERROR(AVERAGEIF(Table1[[#This Row],[2019-Apr]:[2025-July]],"&lt;&gt;0"),0)</f>
        <v>1.6860714285714287</v>
      </c>
      <c r="G55" s="4">
        <f ca="1">IFERROR(AVERAGEIF(OFFSET(Table1[[#This Row],[Status]],0,COUNT(Table1[[#This Row],[2019-May]:[2025-July]]),1,-12),"&lt;&gt;0"),0)</f>
        <v>1.18</v>
      </c>
      <c r="H55" s="55">
        <f>IFERROR(SMALL(Table1[[#This Row],[2019-Apr]:[2025-July]],COUNTIF(Table1[[#This Row],[2019-Apr]:[2025-July]],0)+1),0)</f>
        <v>0.78900000000000003</v>
      </c>
      <c r="I55" s="55">
        <f>IFERROR(MAX(Table1[[#This Row],[2019-Apr]:[2025-July]]),0)</f>
        <v>2.7559999999999998</v>
      </c>
      <c r="J55" s="4" cm="1">
        <f t="array" ref="J5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1.1645000000000001</v>
      </c>
      <c r="K55" s="4">
        <v>4.5</v>
      </c>
      <c r="L55" s="4">
        <f>IF(Table1[[#This Row],[Standard as per ISO]]&gt;=Table1[[#This Row],[Avg of best 6]],Table1[[#This Row],[Standard as per ISO]],Table1[[#This Row],[Avg of best 6]])</f>
        <v>4.5</v>
      </c>
      <c r="M55" s="4" cm="1">
        <f t="array" ref="M55">IFERROR(LOOKUP(2,1/(Table1[[#This Row],[2019-May]:[2025-July]]&lt;&gt;0),Table1[[#This Row],[2019-May]:[2025-July]]),0)</f>
        <v>1.18</v>
      </c>
      <c r="N55" s="4">
        <f>COUNTIF(Table1[[#This Row],[2019-Apr]:[2025-July]],"&gt;="&amp;Table1[[#This Row],[Target]])</f>
        <v>0</v>
      </c>
      <c r="O55" s="4">
        <f>IF(Table1[[#This Row],[Outliers 2Y]]=0,1,0)</f>
        <v>1</v>
      </c>
      <c r="P55" s="4">
        <f>IF(Table1[[#This Row],[Last value]]&gt;1.5*Table1[[#This Row],[Target]],1,0)</f>
        <v>0</v>
      </c>
      <c r="Q55" s="4">
        <f>IF(AND(1.5*Table1[[#This Row],[Target]]&gt;=Table1[[#This Row],[Last value]],Table1[[#This Row],[Last value]]&gt;Table1[[#This Row],[Target]]),1,0)</f>
        <v>0</v>
      </c>
      <c r="R55" s="4">
        <f>IF(Table1[[#This Row],[Target]]&gt;=Table1[[#This Row],[Last value]],1,0)</f>
        <v>1</v>
      </c>
      <c r="S55" s="4" t="str">
        <f t="shared" si="0"/>
        <v>Green</v>
      </c>
      <c r="T55" s="7">
        <v>1.6</v>
      </c>
      <c r="U55" s="7">
        <v>1.66</v>
      </c>
      <c r="V55" s="7">
        <v>1.73</v>
      </c>
      <c r="W55" s="7">
        <v>2.48</v>
      </c>
      <c r="X55" s="7">
        <v>1.5</v>
      </c>
      <c r="Y55" s="7">
        <v>1.6</v>
      </c>
      <c r="Z55" s="7">
        <v>0</v>
      </c>
      <c r="AA55" s="7">
        <v>1.7</v>
      </c>
      <c r="AB55" s="7">
        <v>1.62</v>
      </c>
      <c r="AC55" s="7">
        <v>1.69</v>
      </c>
      <c r="AD55" s="7">
        <v>1.72</v>
      </c>
      <c r="AE55" s="7">
        <v>1.8</v>
      </c>
      <c r="AF55" s="7">
        <v>1.7</v>
      </c>
      <c r="AG55" s="7">
        <v>1.5</v>
      </c>
      <c r="AH55" s="7">
        <v>1.45</v>
      </c>
      <c r="AI55" s="7">
        <v>1.4</v>
      </c>
      <c r="AJ55" s="7">
        <v>1.55</v>
      </c>
      <c r="AK55" s="7">
        <v>1.64</v>
      </c>
      <c r="AL55" s="7">
        <v>1.63</v>
      </c>
      <c r="AM55" s="7">
        <v>1.63</v>
      </c>
      <c r="AN55" s="7">
        <v>1.8</v>
      </c>
      <c r="AO55" s="7">
        <v>1.8</v>
      </c>
      <c r="AP55" s="7">
        <v>0</v>
      </c>
      <c r="AQ55" s="7">
        <v>2.12</v>
      </c>
      <c r="AR55" s="9">
        <v>2.11</v>
      </c>
      <c r="AS55" s="9">
        <v>1.63</v>
      </c>
      <c r="AT55" s="9">
        <v>1.84</v>
      </c>
      <c r="AU55" s="50">
        <v>1.75</v>
      </c>
      <c r="AV55" s="50">
        <v>1.54</v>
      </c>
      <c r="AW55" s="50">
        <v>1.67</v>
      </c>
      <c r="AX55" s="50">
        <v>1.83</v>
      </c>
      <c r="AY55" s="50">
        <v>1.77</v>
      </c>
      <c r="AZ55" s="50">
        <v>1.71</v>
      </c>
      <c r="BA55" s="50">
        <v>2</v>
      </c>
      <c r="BB55" s="50">
        <v>1.7</v>
      </c>
      <c r="BC55" s="50">
        <v>0</v>
      </c>
      <c r="BD55" s="55">
        <v>0</v>
      </c>
      <c r="BE55" s="11">
        <v>1.7649999999999999</v>
      </c>
      <c r="BF55" s="4">
        <v>0</v>
      </c>
      <c r="BG55" s="4">
        <v>1.56</v>
      </c>
      <c r="BH55" s="4">
        <v>1.4450000000000001</v>
      </c>
      <c r="BI55" s="4">
        <v>1.226</v>
      </c>
      <c r="BJ55" s="14">
        <v>1.4319999999999999</v>
      </c>
      <c r="BK55" s="14">
        <v>2.1749999999999998</v>
      </c>
      <c r="BL55" s="4">
        <v>1.7509999999999999</v>
      </c>
      <c r="BM55" s="17">
        <v>1.871</v>
      </c>
      <c r="BN55" s="4">
        <v>1.7190000000000001</v>
      </c>
      <c r="BO55" s="4">
        <v>1.1879999999999999</v>
      </c>
      <c r="BP55" s="4">
        <v>1.982</v>
      </c>
      <c r="BQ55" s="4">
        <v>2.7559999999999998</v>
      </c>
      <c r="BR55" s="4">
        <v>1.464</v>
      </c>
      <c r="BS55" s="4">
        <v>1.417</v>
      </c>
      <c r="BT55" s="4">
        <v>0.78900000000000003</v>
      </c>
      <c r="BU55" s="4">
        <v>1.345</v>
      </c>
      <c r="BV55" s="4">
        <v>1.8360000000000001</v>
      </c>
      <c r="BW55" s="4">
        <v>2.2599999999999998</v>
      </c>
      <c r="BX55" s="4">
        <v>1.3140000000000001</v>
      </c>
      <c r="BY55" s="4">
        <v>1.7549999999999999</v>
      </c>
      <c r="BZ55" s="55">
        <v>2.0299999999999998</v>
      </c>
      <c r="CA55" s="55">
        <v>0</v>
      </c>
      <c r="CB55" s="55">
        <v>0</v>
      </c>
      <c r="CC55" s="55">
        <v>0</v>
      </c>
      <c r="CD55" s="55">
        <v>1.29</v>
      </c>
      <c r="CE55" s="19">
        <v>0</v>
      </c>
      <c r="CF55" s="19">
        <v>0</v>
      </c>
      <c r="CG55" s="4">
        <v>1.18</v>
      </c>
      <c r="CH55" s="4">
        <v>0</v>
      </c>
      <c r="CI55" s="4">
        <v>0</v>
      </c>
      <c r="CJ55" s="34">
        <v>0</v>
      </c>
      <c r="CK55" s="34">
        <v>0</v>
      </c>
      <c r="CL55" s="34">
        <v>0</v>
      </c>
      <c r="CM55" s="4">
        <v>0</v>
      </c>
      <c r="CN55" s="53">
        <v>0</v>
      </c>
      <c r="CO55" s="54">
        <v>0</v>
      </c>
      <c r="CP55" s="54">
        <v>0</v>
      </c>
      <c r="CQ55" s="4">
        <v>0</v>
      </c>
    </row>
    <row r="56" spans="1:95" s="55" customFormat="1" x14ac:dyDescent="0.35">
      <c r="A56" s="55">
        <v>55</v>
      </c>
      <c r="B56" s="55" t="s">
        <v>111</v>
      </c>
      <c r="C56" s="27" t="s">
        <v>692</v>
      </c>
      <c r="D56" s="6" t="s">
        <v>88</v>
      </c>
      <c r="E56" s="33" t="s">
        <v>91</v>
      </c>
      <c r="F56" s="4">
        <f>IFERROR(AVERAGEIF(Table1[[#This Row],[2019-Apr]:[2025-July]],"&lt;&gt;0"),0)</f>
        <v>6.7753399999999973</v>
      </c>
      <c r="G56" s="4">
        <f ca="1">IFERROR(AVERAGEIF(OFFSET(Table1[[#This Row],[Status]],0,COUNT(Table1[[#This Row],[2019-May]:[2025-July]]),1,-12),"&lt;&gt;0"),0)</f>
        <v>4.8</v>
      </c>
      <c r="H56" s="55">
        <f>IFERROR(SMALL(Table1[[#This Row],[2019-Apr]:[2025-July]],COUNTIF(Table1[[#This Row],[2019-Apr]:[2025-July]],0)+1),0)</f>
        <v>3.456</v>
      </c>
      <c r="I56" s="55">
        <f>IFERROR(MAX(Table1[[#This Row],[2019-Apr]:[2025-July]]),0)</f>
        <v>10.5</v>
      </c>
      <c r="J56" s="4" cm="1">
        <f t="array" ref="J5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4.3921666666666672</v>
      </c>
      <c r="K56" s="4">
        <v>4.5</v>
      </c>
      <c r="L56" s="4">
        <f>IF(Table1[[#This Row],[Standard as per ISO]]&gt;=Table1[[#This Row],[Avg of best 6]],Table1[[#This Row],[Standard as per ISO]],Table1[[#This Row],[Avg of best 6]])</f>
        <v>4.5</v>
      </c>
      <c r="M56" s="4" cm="1">
        <f t="array" ref="M56">IFERROR(LOOKUP(2,1/(Table1[[#This Row],[2019-May]:[2025-July]]&lt;&gt;0),Table1[[#This Row],[2019-May]:[2025-July]]),0)</f>
        <v>4.8</v>
      </c>
      <c r="N56" s="4">
        <f>COUNTIF(Table1[[#This Row],[2019-Apr]:[2025-July]],"&gt;="&amp;Table1[[#This Row],[Target]])</f>
        <v>48</v>
      </c>
      <c r="O56" s="4">
        <f>IF(Table1[[#This Row],[Outliers 2Y]]=0,1,0)</f>
        <v>0</v>
      </c>
      <c r="P56" s="4">
        <f>IF(Table1[[#This Row],[Last value]]&gt;1.5*Table1[[#This Row],[Target]],1,0)</f>
        <v>0</v>
      </c>
      <c r="Q56" s="4">
        <f>IF(AND(1.5*Table1[[#This Row],[Target]]&gt;=Table1[[#This Row],[Last value]],Table1[[#This Row],[Last value]]&gt;Table1[[#This Row],[Target]]),1,0)</f>
        <v>1</v>
      </c>
      <c r="R56" s="4">
        <f>IF(Table1[[#This Row],[Target]]&gt;=Table1[[#This Row],[Last value]],1,0)</f>
        <v>0</v>
      </c>
      <c r="S56" s="4" t="str">
        <f t="shared" si="0"/>
        <v>Yellow</v>
      </c>
      <c r="T56" s="7">
        <v>8.52</v>
      </c>
      <c r="U56" s="7">
        <v>9.0399999999999991</v>
      </c>
      <c r="V56" s="7">
        <v>8.77</v>
      </c>
      <c r="W56" s="7">
        <v>9.8000000000000007</v>
      </c>
      <c r="X56" s="7">
        <v>10.1</v>
      </c>
      <c r="Y56" s="7">
        <v>8.4499999999999993</v>
      </c>
      <c r="Z56" s="7">
        <v>0</v>
      </c>
      <c r="AA56" s="7">
        <v>7.8</v>
      </c>
      <c r="AB56" s="7">
        <v>9.6</v>
      </c>
      <c r="AC56" s="7">
        <v>0</v>
      </c>
      <c r="AD56" s="7">
        <v>8.3000000000000007</v>
      </c>
      <c r="AE56" s="7">
        <v>9.8000000000000007</v>
      </c>
      <c r="AF56" s="7">
        <v>10.5</v>
      </c>
      <c r="AG56" s="7">
        <v>8.1999999999999993</v>
      </c>
      <c r="AH56" s="7">
        <v>10.1</v>
      </c>
      <c r="AI56" s="7">
        <v>5.74</v>
      </c>
      <c r="AJ56" s="7">
        <v>0</v>
      </c>
      <c r="AK56" s="7">
        <v>5.2</v>
      </c>
      <c r="AL56" s="7">
        <v>5.3</v>
      </c>
      <c r="AM56" s="7">
        <v>5.62</v>
      </c>
      <c r="AN56" s="7">
        <v>5.46</v>
      </c>
      <c r="AO56" s="7">
        <v>6.8</v>
      </c>
      <c r="AP56" s="7">
        <v>7.29</v>
      </c>
      <c r="AQ56" s="7">
        <v>8.34</v>
      </c>
      <c r="AR56" s="9">
        <v>0</v>
      </c>
      <c r="AS56" s="9">
        <v>3.69</v>
      </c>
      <c r="AT56" s="9">
        <v>7.84</v>
      </c>
      <c r="AU56" s="50">
        <v>7.84</v>
      </c>
      <c r="AV56" s="50">
        <v>6.69</v>
      </c>
      <c r="AW56" s="50">
        <v>6.45</v>
      </c>
      <c r="AX56" s="50">
        <v>0</v>
      </c>
      <c r="AY56" s="50">
        <v>0</v>
      </c>
      <c r="AZ56" s="50">
        <v>0</v>
      </c>
      <c r="BA56" s="50">
        <v>6.2</v>
      </c>
      <c r="BB56" s="50">
        <v>6.7</v>
      </c>
      <c r="BC56" s="55">
        <v>6.2</v>
      </c>
      <c r="BD56" s="55">
        <v>0</v>
      </c>
      <c r="BE56" s="11">
        <v>6.2969999999999997</v>
      </c>
      <c r="BF56" s="4">
        <v>5.92</v>
      </c>
      <c r="BG56" s="4">
        <v>5.5</v>
      </c>
      <c r="BH56" s="4">
        <v>6.0179999999999998</v>
      </c>
      <c r="BI56" s="4">
        <v>6.57</v>
      </c>
      <c r="BJ56" s="13">
        <v>5.407</v>
      </c>
      <c r="BK56" s="13">
        <v>6.3520000000000003</v>
      </c>
      <c r="BL56" s="4">
        <v>6.7030000000000003</v>
      </c>
      <c r="BM56" s="16">
        <v>7.7320000000000002</v>
      </c>
      <c r="BN56" s="4">
        <v>5.3620000000000001</v>
      </c>
      <c r="BO56" s="4">
        <v>5.8369999999999997</v>
      </c>
      <c r="BP56" s="4">
        <v>4.585</v>
      </c>
      <c r="BQ56" s="4">
        <v>5.0579999999999998</v>
      </c>
      <c r="BR56" s="4">
        <v>3.456</v>
      </c>
      <c r="BS56" s="4">
        <v>4.8620000000000001</v>
      </c>
      <c r="BT56" s="4">
        <v>0</v>
      </c>
      <c r="BU56" s="4">
        <v>0</v>
      </c>
      <c r="BV56" s="4">
        <v>5.1360000000000001</v>
      </c>
      <c r="BW56" s="4">
        <v>6.3159999999999998</v>
      </c>
      <c r="BX56" s="4">
        <v>0</v>
      </c>
      <c r="BY56" s="4">
        <v>5.0659999999999998</v>
      </c>
      <c r="BZ56" s="55">
        <v>0</v>
      </c>
      <c r="CA56" s="55">
        <v>6.49</v>
      </c>
      <c r="CB56" s="55">
        <v>4.96</v>
      </c>
      <c r="CC56" s="55">
        <v>0</v>
      </c>
      <c r="CD56" s="55">
        <v>0</v>
      </c>
      <c r="CE56" s="19">
        <v>0</v>
      </c>
      <c r="CF56" s="19">
        <v>4.8</v>
      </c>
      <c r="CG56" s="4">
        <v>0</v>
      </c>
      <c r="CH56" s="4">
        <v>0</v>
      </c>
      <c r="CI56" s="4">
        <v>0</v>
      </c>
      <c r="CJ56" s="34">
        <v>0</v>
      </c>
      <c r="CK56" s="34">
        <v>0</v>
      </c>
      <c r="CL56" s="34">
        <v>0</v>
      </c>
      <c r="CM56" s="4">
        <v>0</v>
      </c>
      <c r="CN56" s="53">
        <v>0</v>
      </c>
      <c r="CO56" s="54">
        <v>0</v>
      </c>
      <c r="CP56" s="54">
        <v>0</v>
      </c>
      <c r="CQ56" s="4">
        <v>0</v>
      </c>
    </row>
    <row r="57" spans="1:95" s="55" customFormat="1" x14ac:dyDescent="0.35">
      <c r="A57" s="55">
        <v>56</v>
      </c>
      <c r="B57" s="55" t="s">
        <v>111</v>
      </c>
      <c r="C57" s="27" t="s">
        <v>693</v>
      </c>
      <c r="D57" s="6" t="s">
        <v>88</v>
      </c>
      <c r="E57" s="33" t="s">
        <v>91</v>
      </c>
      <c r="F57" s="4">
        <f>IFERROR(AVERAGEIF(Table1[[#This Row],[2019-Apr]:[2025-July]],"&lt;&gt;0"),0)</f>
        <v>6.2846326530612222</v>
      </c>
      <c r="G57" s="4">
        <f ca="1">IFERROR(AVERAGEIF(OFFSET(Table1[[#This Row],[Status]],0,COUNT(Table1[[#This Row],[2019-May]:[2025-July]]),1,-12),"&lt;&gt;0"),0)</f>
        <v>5.7</v>
      </c>
      <c r="H57" s="55">
        <f>IFERROR(SMALL(Table1[[#This Row],[2019-Apr]:[2025-July]],COUNTIF(Table1[[#This Row],[2019-Apr]:[2025-July]],0)+1),0)</f>
        <v>2.61</v>
      </c>
      <c r="I57" s="55">
        <f>IFERROR(MAX(Table1[[#This Row],[2019-Apr]:[2025-July]]),0)</f>
        <v>17.7</v>
      </c>
      <c r="J57" s="4" cm="1">
        <f t="array" ref="J5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2.9451666666666672</v>
      </c>
      <c r="K57" s="4">
        <v>4.5</v>
      </c>
      <c r="L57" s="4">
        <f>IF(Table1[[#This Row],[Standard as per ISO]]&gt;=Table1[[#This Row],[Avg of best 6]],Table1[[#This Row],[Standard as per ISO]],Table1[[#This Row],[Avg of best 6]])</f>
        <v>4.5</v>
      </c>
      <c r="M57" s="4" cm="1">
        <f t="array" ref="M57">IFERROR(LOOKUP(2,1/(Table1[[#This Row],[2019-May]:[2025-July]]&lt;&gt;0),Table1[[#This Row],[2019-May]:[2025-July]]),0)</f>
        <v>5.7</v>
      </c>
      <c r="N57" s="4">
        <f>COUNTIF(Table1[[#This Row],[2019-Apr]:[2025-July]],"&gt;="&amp;Table1[[#This Row],[Target]])</f>
        <v>35</v>
      </c>
      <c r="O57" s="4">
        <f>IF(Table1[[#This Row],[Outliers 2Y]]=0,1,0)</f>
        <v>0</v>
      </c>
      <c r="P57" s="4">
        <f>IF(Table1[[#This Row],[Last value]]&gt;1.5*Table1[[#This Row],[Target]],1,0)</f>
        <v>0</v>
      </c>
      <c r="Q57" s="4">
        <f>IF(AND(1.5*Table1[[#This Row],[Target]]&gt;=Table1[[#This Row],[Last value]],Table1[[#This Row],[Last value]]&gt;Table1[[#This Row],[Target]]),1,0)</f>
        <v>1</v>
      </c>
      <c r="R57" s="4">
        <f>IF(Table1[[#This Row],[Target]]&gt;=Table1[[#This Row],[Last value]],1,0)</f>
        <v>0</v>
      </c>
      <c r="S57" s="4" t="str">
        <f t="shared" si="0"/>
        <v>Yellow</v>
      </c>
      <c r="T57" s="7">
        <v>5.39</v>
      </c>
      <c r="U57" s="7">
        <v>6.82</v>
      </c>
      <c r="V57" s="7">
        <v>6.9</v>
      </c>
      <c r="W57" s="7">
        <v>7.16</v>
      </c>
      <c r="X57" s="7">
        <v>9.1999999999999993</v>
      </c>
      <c r="Y57" s="7">
        <v>7.6</v>
      </c>
      <c r="Z57" s="7">
        <v>0</v>
      </c>
      <c r="AA57" s="7">
        <v>8.6999999999999993</v>
      </c>
      <c r="AB57" s="7">
        <v>8.67</v>
      </c>
      <c r="AC57" s="7">
        <v>0</v>
      </c>
      <c r="AD57" s="7">
        <v>8.64</v>
      </c>
      <c r="AE57" s="7">
        <v>9</v>
      </c>
      <c r="AF57" s="7">
        <v>8.33</v>
      </c>
      <c r="AG57" s="7">
        <v>9</v>
      </c>
      <c r="AH57" s="7">
        <v>8.1</v>
      </c>
      <c r="AI57" s="7">
        <v>9.6199999999999992</v>
      </c>
      <c r="AJ57" s="7">
        <v>0</v>
      </c>
      <c r="AK57" s="7">
        <v>9.86</v>
      </c>
      <c r="AL57" s="7">
        <v>17.7</v>
      </c>
      <c r="AM57" s="7">
        <v>7.64</v>
      </c>
      <c r="AN57" s="7">
        <v>2.7</v>
      </c>
      <c r="AO57" s="7">
        <v>6.2</v>
      </c>
      <c r="AP57" s="7">
        <v>7.86</v>
      </c>
      <c r="AQ57" s="7">
        <v>6.4</v>
      </c>
      <c r="AR57" s="9">
        <v>0</v>
      </c>
      <c r="AS57" s="9">
        <v>0</v>
      </c>
      <c r="AT57" s="9">
        <v>6.48</v>
      </c>
      <c r="AU57" s="50">
        <v>6.48</v>
      </c>
      <c r="AV57" s="50">
        <v>3.76</v>
      </c>
      <c r="AW57" s="50">
        <v>3.47</v>
      </c>
      <c r="AX57" s="50">
        <v>0</v>
      </c>
      <c r="AY57" s="50">
        <v>0</v>
      </c>
      <c r="AZ57" s="50">
        <v>0</v>
      </c>
      <c r="BA57" s="50">
        <v>5.9</v>
      </c>
      <c r="BB57" s="50">
        <v>2.7</v>
      </c>
      <c r="BC57" s="55">
        <v>4.0999999999999996</v>
      </c>
      <c r="BD57" s="55">
        <v>0</v>
      </c>
      <c r="BE57" s="11">
        <v>4.0999999999999996</v>
      </c>
      <c r="BF57" s="4">
        <v>5.9669999999999996</v>
      </c>
      <c r="BG57" s="4">
        <v>7.1</v>
      </c>
      <c r="BH57" s="4">
        <v>8.2789999999999999</v>
      </c>
      <c r="BI57" s="4">
        <v>5.4729999999999999</v>
      </c>
      <c r="BJ57" s="14">
        <v>4.5259999999999998</v>
      </c>
      <c r="BK57" s="14">
        <v>7.94</v>
      </c>
      <c r="BL57" s="4">
        <v>6.2080000000000002</v>
      </c>
      <c r="BM57" s="17">
        <v>4.1749999999999998</v>
      </c>
      <c r="BN57" s="4">
        <v>4.484</v>
      </c>
      <c r="BO57" s="4">
        <v>3.9660000000000002</v>
      </c>
      <c r="BP57" s="4">
        <v>4.6379999999999999</v>
      </c>
      <c r="BQ57" s="4">
        <v>3.972</v>
      </c>
      <c r="BR57" s="4">
        <v>3.371</v>
      </c>
      <c r="BS57" s="4">
        <v>3.9980000000000002</v>
      </c>
      <c r="BT57" s="4">
        <v>0</v>
      </c>
      <c r="BU57" s="4">
        <v>0</v>
      </c>
      <c r="BV57" s="4">
        <v>4.5259999999999998</v>
      </c>
      <c r="BW57" s="4">
        <v>4.742</v>
      </c>
      <c r="BX57" s="4">
        <v>0</v>
      </c>
      <c r="BY57" s="4">
        <v>4.9720000000000004</v>
      </c>
      <c r="BZ57" s="55">
        <v>0</v>
      </c>
      <c r="CA57" s="55">
        <v>2.82</v>
      </c>
      <c r="CB57" s="55">
        <v>2.61</v>
      </c>
      <c r="CC57" s="55">
        <v>0</v>
      </c>
      <c r="CD57" s="55">
        <v>0</v>
      </c>
      <c r="CE57" s="19">
        <v>0</v>
      </c>
      <c r="CF57" s="19">
        <v>5.7</v>
      </c>
      <c r="CG57" s="4">
        <v>0</v>
      </c>
      <c r="CH57" s="4">
        <v>0</v>
      </c>
      <c r="CI57" s="4">
        <v>0</v>
      </c>
      <c r="CJ57" s="34">
        <v>0</v>
      </c>
      <c r="CK57" s="34">
        <v>0</v>
      </c>
      <c r="CL57" s="34">
        <v>0</v>
      </c>
      <c r="CM57" s="4">
        <v>0</v>
      </c>
      <c r="CN57" s="53">
        <v>0</v>
      </c>
      <c r="CO57" s="54">
        <v>0</v>
      </c>
      <c r="CP57" s="54">
        <v>0</v>
      </c>
      <c r="CQ57" s="4">
        <v>0</v>
      </c>
    </row>
    <row r="58" spans="1:95" s="55" customFormat="1" x14ac:dyDescent="0.35">
      <c r="A58" s="55">
        <v>57</v>
      </c>
      <c r="B58" s="55" t="s">
        <v>111</v>
      </c>
      <c r="C58" s="27" t="s">
        <v>694</v>
      </c>
      <c r="D58" s="6" t="s">
        <v>88</v>
      </c>
      <c r="E58" s="33" t="s">
        <v>89</v>
      </c>
      <c r="F58" s="4">
        <f>IFERROR(AVERAGEIF(Table1[[#This Row],[2019-Apr]:[2025-July]],"&lt;&gt;0"),0)</f>
        <v>4.7208088235294117</v>
      </c>
      <c r="G58" s="4">
        <f ca="1">IFERROR(AVERAGEIF(OFFSET(Table1[[#This Row],[Status]],0,COUNT(Table1[[#This Row],[2019-May]:[2025-July]]),1,-12),"&lt;&gt;0"),0)</f>
        <v>5.9590000000000005</v>
      </c>
      <c r="H58" s="55">
        <f>IFERROR(SMALL(Table1[[#This Row],[2019-Apr]:[2025-July]],COUNTIF(Table1[[#This Row],[2019-Apr]:[2025-July]],0)+1),0)</f>
        <v>2.2999999999999998</v>
      </c>
      <c r="I58" s="55">
        <f>IFERROR(MAX(Table1[[#This Row],[2019-Apr]:[2025-July]]),0)</f>
        <v>9.9570000000000007</v>
      </c>
      <c r="J58" s="4" cm="1">
        <f t="array" ref="J5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2.7103333333333333</v>
      </c>
      <c r="K58" s="4">
        <v>4.5</v>
      </c>
      <c r="L58" s="4">
        <f>IF(Table1[[#This Row],[Standard as per ISO]]&gt;=Table1[[#This Row],[Avg of best 6]],Table1[[#This Row],[Standard as per ISO]],Table1[[#This Row],[Avg of best 6]])</f>
        <v>4.5</v>
      </c>
      <c r="M58" s="4" cm="1">
        <f t="array" ref="M58">IFERROR(LOOKUP(2,1/(Table1[[#This Row],[2019-May]:[2025-July]]&lt;&gt;0),Table1[[#This Row],[2019-May]:[2025-July]]),0)</f>
        <v>5.3</v>
      </c>
      <c r="N58" s="4">
        <f>COUNTIF(Table1[[#This Row],[2019-Apr]:[2025-July]],"&gt;="&amp;Table1[[#This Row],[Target]])</f>
        <v>27</v>
      </c>
      <c r="O58" s="4">
        <f>IF(Table1[[#This Row],[Outliers 2Y]]=0,1,0)</f>
        <v>0</v>
      </c>
      <c r="P58" s="4">
        <f>IF(Table1[[#This Row],[Last value]]&gt;1.5*Table1[[#This Row],[Target]],1,0)</f>
        <v>0</v>
      </c>
      <c r="Q58" s="4">
        <f>IF(AND(1.5*Table1[[#This Row],[Target]]&gt;=Table1[[#This Row],[Last value]],Table1[[#This Row],[Last value]]&gt;Table1[[#This Row],[Target]]),1,0)</f>
        <v>1</v>
      </c>
      <c r="R58" s="4">
        <f>IF(Table1[[#This Row],[Target]]&gt;=Table1[[#This Row],[Last value]],1,0)</f>
        <v>0</v>
      </c>
      <c r="S58" s="4" t="str">
        <f t="shared" si="0"/>
        <v>Yellow</v>
      </c>
      <c r="T58" s="7">
        <v>4.46</v>
      </c>
      <c r="U58" s="7">
        <v>4.08</v>
      </c>
      <c r="V58" s="7">
        <v>4.1399999999999997</v>
      </c>
      <c r="W58" s="7">
        <v>5.3</v>
      </c>
      <c r="X58" s="7">
        <v>4</v>
      </c>
      <c r="Y58" s="7">
        <v>4.5</v>
      </c>
      <c r="Z58" s="7">
        <v>0</v>
      </c>
      <c r="AA58" s="7">
        <v>3.9</v>
      </c>
      <c r="AB58" s="7">
        <v>4.26</v>
      </c>
      <c r="AC58" s="7">
        <v>0</v>
      </c>
      <c r="AD58" s="7">
        <v>2.2999999999999998</v>
      </c>
      <c r="AE58" s="7">
        <v>3.85</v>
      </c>
      <c r="AF58" s="7">
        <v>4.3</v>
      </c>
      <c r="AG58" s="7">
        <v>4.3</v>
      </c>
      <c r="AH58" s="7">
        <v>3.8</v>
      </c>
      <c r="AI58" s="7">
        <v>4.03</v>
      </c>
      <c r="AJ58" s="7">
        <v>0</v>
      </c>
      <c r="AK58" s="7">
        <v>2.44</v>
      </c>
      <c r="AL58" s="7">
        <v>3.4</v>
      </c>
      <c r="AM58" s="7">
        <v>3.98</v>
      </c>
      <c r="AN58" s="7">
        <v>3.5</v>
      </c>
      <c r="AO58" s="7">
        <v>3.1</v>
      </c>
      <c r="AP58" s="7">
        <v>2.33</v>
      </c>
      <c r="AQ58" s="7">
        <v>4.32</v>
      </c>
      <c r="AR58" s="9">
        <v>5.07</v>
      </c>
      <c r="AS58" s="9">
        <v>3.69</v>
      </c>
      <c r="AT58" s="9">
        <v>4.5199999999999996</v>
      </c>
      <c r="AU58" s="50">
        <v>3.79</v>
      </c>
      <c r="AV58" s="50">
        <v>4.29</v>
      </c>
      <c r="AW58" s="50">
        <v>3.9</v>
      </c>
      <c r="AX58" s="50">
        <v>4.0599999999999996</v>
      </c>
      <c r="AY58" s="50">
        <v>4.42</v>
      </c>
      <c r="AZ58" s="50">
        <v>5.39</v>
      </c>
      <c r="BA58" s="50">
        <v>3.9</v>
      </c>
      <c r="BB58" s="50">
        <v>3.7</v>
      </c>
      <c r="BC58" s="55">
        <v>3.6</v>
      </c>
      <c r="BD58" s="55">
        <v>0</v>
      </c>
      <c r="BE58" s="11">
        <v>4.7149999999999999</v>
      </c>
      <c r="BF58" s="4">
        <v>5.4640000000000004</v>
      </c>
      <c r="BG58" s="4">
        <v>4</v>
      </c>
      <c r="BH58" s="4">
        <v>4.7830000000000004</v>
      </c>
      <c r="BI58" s="4">
        <v>4.4850000000000003</v>
      </c>
      <c r="BJ58" s="13">
        <v>4.2149999999999999</v>
      </c>
      <c r="BK58" s="13">
        <v>3.4489999999999998</v>
      </c>
      <c r="BL58" s="4">
        <v>4.0780000000000003</v>
      </c>
      <c r="BM58" s="16">
        <v>3.4790000000000001</v>
      </c>
      <c r="BN58" s="4">
        <v>4.391</v>
      </c>
      <c r="BO58" s="4">
        <v>3.6150000000000002</v>
      </c>
      <c r="BP58" s="4">
        <v>3.9039999999999999</v>
      </c>
      <c r="BQ58" s="4">
        <v>3.508</v>
      </c>
      <c r="BR58" s="4">
        <v>3.681</v>
      </c>
      <c r="BS58" s="4">
        <v>2.6920000000000002</v>
      </c>
      <c r="BT58" s="4">
        <v>0</v>
      </c>
      <c r="BU58" s="4">
        <v>0</v>
      </c>
      <c r="BV58" s="4">
        <v>3.66</v>
      </c>
      <c r="BW58" s="4">
        <v>9.7759999999999998</v>
      </c>
      <c r="BX58" s="4">
        <v>8.7729999999999997</v>
      </c>
      <c r="BY58" s="4">
        <v>9.9570000000000007</v>
      </c>
      <c r="BZ58" s="55">
        <v>6.45</v>
      </c>
      <c r="CA58" s="55">
        <v>5.72</v>
      </c>
      <c r="CB58" s="55">
        <v>7.65</v>
      </c>
      <c r="CC58" s="55">
        <v>7.47</v>
      </c>
      <c r="CD58" s="55">
        <v>5.59</v>
      </c>
      <c r="CE58" s="19">
        <v>0</v>
      </c>
      <c r="CF58" s="19">
        <v>6.4</v>
      </c>
      <c r="CG58" s="4">
        <v>5.74</v>
      </c>
      <c r="CH58" s="4">
        <v>5.68</v>
      </c>
      <c r="CI58" s="4">
        <v>6.37</v>
      </c>
      <c r="CJ58" s="34">
        <v>0</v>
      </c>
      <c r="CK58" s="34">
        <v>6.9</v>
      </c>
      <c r="CL58" s="43">
        <v>7.3</v>
      </c>
      <c r="CM58" s="4">
        <v>5.7</v>
      </c>
      <c r="CN58" s="53">
        <v>5.7</v>
      </c>
      <c r="CO58" s="54">
        <v>4.9000000000000004</v>
      </c>
      <c r="CP58" s="54">
        <v>4.9000000000000004</v>
      </c>
      <c r="CQ58" s="4">
        <v>5.3</v>
      </c>
    </row>
    <row r="59" spans="1:95" s="55" customFormat="1" x14ac:dyDescent="0.35">
      <c r="A59" s="55">
        <v>58</v>
      </c>
      <c r="B59" s="55" t="s">
        <v>111</v>
      </c>
      <c r="C59" s="27" t="s">
        <v>695</v>
      </c>
      <c r="D59" s="6" t="s">
        <v>88</v>
      </c>
      <c r="E59" s="33" t="s">
        <v>90</v>
      </c>
      <c r="F59" s="4">
        <f>IFERROR(AVERAGEIF(Table1[[#This Row],[2019-Apr]:[2025-July]],"&lt;&gt;0"),0)</f>
        <v>5.7399859154929587</v>
      </c>
      <c r="G59" s="4">
        <f ca="1">IFERROR(AVERAGEIF(OFFSET(Table1[[#This Row],[Status]],0,COUNT(Table1[[#This Row],[2019-May]:[2025-July]]),1,-12),"&lt;&gt;0"),0)</f>
        <v>2.6945454545454544</v>
      </c>
      <c r="H59" s="55">
        <f>IFERROR(SMALL(Table1[[#This Row],[2019-Apr]:[2025-July]],COUNTIF(Table1[[#This Row],[2019-Apr]:[2025-July]],0)+1),0)</f>
        <v>1.7</v>
      </c>
      <c r="I59" s="55">
        <f>IFERROR(MAX(Table1[[#This Row],[2019-Apr]:[2025-July]]),0)</f>
        <v>22.3</v>
      </c>
      <c r="J59" s="4" cm="1">
        <f t="array" ref="J5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2.0333333333333332</v>
      </c>
      <c r="K59" s="4">
        <v>4.5</v>
      </c>
      <c r="L59" s="4">
        <f>IF(Table1[[#This Row],[Standard as per ISO]]&gt;=Table1[[#This Row],[Avg of best 6]],Table1[[#This Row],[Standard as per ISO]],Table1[[#This Row],[Avg of best 6]])</f>
        <v>4.5</v>
      </c>
      <c r="M59" s="4" cm="1">
        <f t="array" ref="M59">IFERROR(LOOKUP(2,1/(Table1[[#This Row],[2019-May]:[2025-July]]&lt;&gt;0),Table1[[#This Row],[2019-May]:[2025-July]]),0)</f>
        <v>2.2999999999999998</v>
      </c>
      <c r="N59" s="4">
        <f>COUNTIF(Table1[[#This Row],[2019-Apr]:[2025-July]],"&gt;="&amp;Table1[[#This Row],[Target]])</f>
        <v>31</v>
      </c>
      <c r="O59" s="4">
        <f>IF(Table1[[#This Row],[Outliers 2Y]]=0,1,0)</f>
        <v>0</v>
      </c>
      <c r="P59" s="4">
        <f>IF(Table1[[#This Row],[Last value]]&gt;1.5*Table1[[#This Row],[Target]],1,0)</f>
        <v>0</v>
      </c>
      <c r="Q59" s="4">
        <f>IF(AND(1.5*Table1[[#This Row],[Target]]&gt;=Table1[[#This Row],[Last value]],Table1[[#This Row],[Last value]]&gt;Table1[[#This Row],[Target]]),1,0)</f>
        <v>0</v>
      </c>
      <c r="R59" s="4">
        <f>IF(Table1[[#This Row],[Target]]&gt;=Table1[[#This Row],[Last value]],1,0)</f>
        <v>1</v>
      </c>
      <c r="S59" s="4" t="str">
        <f t="shared" si="0"/>
        <v>Green</v>
      </c>
      <c r="T59" s="7">
        <v>8.5</v>
      </c>
      <c r="U59" s="7">
        <v>10.199999999999999</v>
      </c>
      <c r="V59" s="7">
        <v>22.3</v>
      </c>
      <c r="W59" s="7">
        <v>11.2</v>
      </c>
      <c r="X59" s="7">
        <v>11.5</v>
      </c>
      <c r="Y59" s="7">
        <v>13.6</v>
      </c>
      <c r="Z59" s="7">
        <v>0</v>
      </c>
      <c r="AA59" s="7">
        <v>10.6</v>
      </c>
      <c r="AB59" s="7">
        <v>8.6300000000000008</v>
      </c>
      <c r="AC59" s="7">
        <v>9.1</v>
      </c>
      <c r="AD59" s="7">
        <v>9.1999999999999993</v>
      </c>
      <c r="AE59" s="7">
        <v>7.5</v>
      </c>
      <c r="AF59" s="7">
        <v>7.5</v>
      </c>
      <c r="AG59" s="7">
        <v>10.1</v>
      </c>
      <c r="AH59" s="7">
        <v>7.7</v>
      </c>
      <c r="AI59" s="7">
        <v>10.7</v>
      </c>
      <c r="AJ59" s="7">
        <v>0</v>
      </c>
      <c r="AK59" s="7">
        <v>12.6</v>
      </c>
      <c r="AL59" s="7">
        <v>8.7799999999999994</v>
      </c>
      <c r="AM59" s="7">
        <v>10.3</v>
      </c>
      <c r="AN59" s="7">
        <v>13.4</v>
      </c>
      <c r="AO59" s="7">
        <v>12.3</v>
      </c>
      <c r="AP59" s="7">
        <v>5.13</v>
      </c>
      <c r="AQ59" s="7">
        <v>5.47</v>
      </c>
      <c r="AR59" s="9">
        <v>4.8</v>
      </c>
      <c r="AS59" s="9">
        <v>4.21</v>
      </c>
      <c r="AT59" s="9">
        <v>4.53</v>
      </c>
      <c r="AU59" s="50">
        <v>4.24</v>
      </c>
      <c r="AV59" s="50">
        <v>4.32</v>
      </c>
      <c r="AW59" s="50">
        <v>4.67</v>
      </c>
      <c r="AX59" s="50">
        <v>5.05</v>
      </c>
      <c r="AY59" s="50">
        <v>3.64</v>
      </c>
      <c r="AZ59" s="50">
        <v>4.41</v>
      </c>
      <c r="BA59" s="50">
        <v>4.5999999999999996</v>
      </c>
      <c r="BB59" s="50">
        <v>4</v>
      </c>
      <c r="BC59" s="55">
        <v>4.0999999999999996</v>
      </c>
      <c r="BD59" s="55">
        <v>0</v>
      </c>
      <c r="BE59" s="11">
        <v>3.5289999999999999</v>
      </c>
      <c r="BF59" s="4">
        <v>4.4139999999999997</v>
      </c>
      <c r="BG59" s="4">
        <v>3.59</v>
      </c>
      <c r="BH59" s="4">
        <v>3.9929999999999999</v>
      </c>
      <c r="BI59" s="4">
        <v>5.3120000000000003</v>
      </c>
      <c r="BJ59" s="14">
        <v>5.1619999999999999</v>
      </c>
      <c r="BK59" s="14">
        <v>4.6459999999999999</v>
      </c>
      <c r="BL59" s="4">
        <v>5.577</v>
      </c>
      <c r="BM59" s="17">
        <v>2.69</v>
      </c>
      <c r="BN59" s="4">
        <v>2.69</v>
      </c>
      <c r="BO59" s="4">
        <v>2.69</v>
      </c>
      <c r="BP59" s="4">
        <v>3.8980000000000001</v>
      </c>
      <c r="BQ59" s="4">
        <v>2.915</v>
      </c>
      <c r="BR59" s="4">
        <v>3.2869999999999999</v>
      </c>
      <c r="BS59" s="4">
        <v>3.177</v>
      </c>
      <c r="BT59" s="4">
        <v>3.782</v>
      </c>
      <c r="BU59" s="4">
        <v>0</v>
      </c>
      <c r="BV59" s="4">
        <v>3.669</v>
      </c>
      <c r="BW59" s="4">
        <v>4.3330000000000002</v>
      </c>
      <c r="BX59" s="4">
        <v>3.9079999999999999</v>
      </c>
      <c r="BY59" s="4">
        <v>4.0869999999999997</v>
      </c>
      <c r="BZ59" s="55">
        <v>4.21</v>
      </c>
      <c r="CA59" s="55">
        <v>3.59</v>
      </c>
      <c r="CB59" s="55">
        <v>3.31</v>
      </c>
      <c r="CC59" s="55">
        <v>4.16</v>
      </c>
      <c r="CD59" s="55">
        <v>4.0999999999999996</v>
      </c>
      <c r="CE59" s="19">
        <v>0</v>
      </c>
      <c r="CF59" s="19">
        <v>3.9</v>
      </c>
      <c r="CG59" s="4">
        <v>4.04</v>
      </c>
      <c r="CH59" s="4">
        <v>3.5</v>
      </c>
      <c r="CI59" s="4">
        <v>3.6</v>
      </c>
      <c r="CJ59" s="34">
        <v>1.9</v>
      </c>
      <c r="CK59" s="34">
        <v>2</v>
      </c>
      <c r="CL59" s="43">
        <v>2.2999999999999998</v>
      </c>
      <c r="CM59" s="4">
        <v>2.4</v>
      </c>
      <c r="CN59" s="53">
        <v>2.2000000000000002</v>
      </c>
      <c r="CO59" s="54">
        <v>2.1</v>
      </c>
      <c r="CP59" s="54">
        <v>1.7</v>
      </c>
      <c r="CQ59" s="4">
        <v>2.2999999999999998</v>
      </c>
    </row>
    <row r="60" spans="1:95" s="55" customFormat="1" x14ac:dyDescent="0.35">
      <c r="A60" s="55">
        <v>59</v>
      </c>
      <c r="B60" s="55" t="s">
        <v>111</v>
      </c>
      <c r="C60" s="27" t="s">
        <v>696</v>
      </c>
      <c r="D60" s="6" t="s">
        <v>88</v>
      </c>
      <c r="E60" s="33" t="s">
        <v>89</v>
      </c>
      <c r="F60" s="4">
        <f>IFERROR(AVERAGEIF(Table1[[#This Row],[2019-Apr]:[2025-July]],"&lt;&gt;0"),0)</f>
        <v>4.2203142857142861</v>
      </c>
      <c r="G60" s="4">
        <f ca="1">IFERROR(AVERAGEIF(OFFSET(Table1[[#This Row],[Status]],0,COUNT(Table1[[#This Row],[2019-May]:[2025-July]]),1,-12),"&lt;&gt;0"),0)</f>
        <v>5.1718181818181828</v>
      </c>
      <c r="H60" s="55">
        <f>IFERROR(SMALL(Table1[[#This Row],[2019-Apr]:[2025-July]],COUNTIF(Table1[[#This Row],[2019-Apr]:[2025-July]],0)+1),0)</f>
        <v>2.2999999999999998</v>
      </c>
      <c r="I60" s="55">
        <f>IFERROR(MAX(Table1[[#This Row],[2019-Apr]:[2025-July]]),0)</f>
        <v>6.452</v>
      </c>
      <c r="J60" s="4" cm="1">
        <f t="array" ref="J6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2.7823333333333333</v>
      </c>
      <c r="K60" s="4">
        <v>4.5</v>
      </c>
      <c r="L60" s="4">
        <f>IF(Table1[[#This Row],[Standard as per ISO]]&gt;=Table1[[#This Row],[Avg of best 6]],Table1[[#This Row],[Standard as per ISO]],Table1[[#This Row],[Avg of best 6]])</f>
        <v>4.5</v>
      </c>
      <c r="M60" s="4" cm="1">
        <f t="array" ref="M60">IFERROR(LOOKUP(2,1/(Table1[[#This Row],[2019-May]:[2025-July]]&lt;&gt;0),Table1[[#This Row],[2019-May]:[2025-July]]),0)</f>
        <v>3.8</v>
      </c>
      <c r="N60" s="4">
        <f>COUNTIF(Table1[[#This Row],[2019-Apr]:[2025-July]],"&gt;="&amp;Table1[[#This Row],[Target]])</f>
        <v>24</v>
      </c>
      <c r="O60" s="4">
        <f>IF(Table1[[#This Row],[Outliers 2Y]]=0,1,0)</f>
        <v>0</v>
      </c>
      <c r="P60" s="4">
        <f>IF(Table1[[#This Row],[Last value]]&gt;1.5*Table1[[#This Row],[Target]],1,0)</f>
        <v>0</v>
      </c>
      <c r="Q60" s="4">
        <f>IF(AND(1.5*Table1[[#This Row],[Target]]&gt;=Table1[[#This Row],[Last value]],Table1[[#This Row],[Last value]]&gt;Table1[[#This Row],[Target]]),1,0)</f>
        <v>0</v>
      </c>
      <c r="R60" s="4">
        <f>IF(Table1[[#This Row],[Target]]&gt;=Table1[[#This Row],[Last value]],1,0)</f>
        <v>1</v>
      </c>
      <c r="S60" s="4" t="str">
        <f t="shared" si="0"/>
        <v>Green</v>
      </c>
      <c r="T60" s="7">
        <v>3.07</v>
      </c>
      <c r="U60" s="7">
        <v>3.2</v>
      </c>
      <c r="V60" s="7">
        <v>2.9</v>
      </c>
      <c r="W60" s="7">
        <v>2.8</v>
      </c>
      <c r="X60" s="7">
        <v>3.2</v>
      </c>
      <c r="Y60" s="7">
        <v>3.8</v>
      </c>
      <c r="Z60" s="7">
        <v>0</v>
      </c>
      <c r="AA60" s="7">
        <v>0</v>
      </c>
      <c r="AB60" s="7">
        <v>4</v>
      </c>
      <c r="AC60" s="7">
        <v>4.5199999999999996</v>
      </c>
      <c r="AD60" s="7">
        <v>3.49</v>
      </c>
      <c r="AE60" s="7">
        <v>3.66</v>
      </c>
      <c r="AF60" s="7">
        <v>3.98</v>
      </c>
      <c r="AG60" s="7">
        <v>3.5</v>
      </c>
      <c r="AH60" s="7">
        <v>3.7</v>
      </c>
      <c r="AI60" s="7">
        <v>3.63</v>
      </c>
      <c r="AJ60" s="7">
        <v>0</v>
      </c>
      <c r="AK60" s="7">
        <v>3.79</v>
      </c>
      <c r="AL60" s="7">
        <v>3.44</v>
      </c>
      <c r="AM60" s="7">
        <v>4.05</v>
      </c>
      <c r="AN60" s="7">
        <v>4.1900000000000004</v>
      </c>
      <c r="AO60" s="7">
        <v>3.87</v>
      </c>
      <c r="AP60" s="7">
        <v>3.38</v>
      </c>
      <c r="AQ60" s="7">
        <v>3.73</v>
      </c>
      <c r="AR60" s="9">
        <v>3.76</v>
      </c>
      <c r="AS60" s="9">
        <v>4.0999999999999996</v>
      </c>
      <c r="AT60" s="9">
        <v>4.96</v>
      </c>
      <c r="AU60" s="50">
        <v>3.83</v>
      </c>
      <c r="AV60" s="50">
        <v>4.25</v>
      </c>
      <c r="AW60" s="50">
        <v>3.76</v>
      </c>
      <c r="AX60" s="50">
        <v>3.67</v>
      </c>
      <c r="AY60" s="50">
        <v>4.22</v>
      </c>
      <c r="AZ60" s="50">
        <v>4.1900000000000004</v>
      </c>
      <c r="BA60" s="50">
        <v>3.9</v>
      </c>
      <c r="BB60" s="50">
        <v>2.2999999999999998</v>
      </c>
      <c r="BC60" s="55">
        <v>3</v>
      </c>
      <c r="BD60" s="55">
        <v>0</v>
      </c>
      <c r="BE60" s="11">
        <v>3.218</v>
      </c>
      <c r="BF60" s="4">
        <v>4.2149999999999999</v>
      </c>
      <c r="BG60" s="4">
        <v>3.8</v>
      </c>
      <c r="BH60" s="4">
        <v>2.976</v>
      </c>
      <c r="BI60" s="4">
        <v>4</v>
      </c>
      <c r="BJ60" s="13">
        <v>6.452</v>
      </c>
      <c r="BK60" s="13">
        <v>4.3479999999999999</v>
      </c>
      <c r="BL60" s="4">
        <v>6.226</v>
      </c>
      <c r="BM60" s="16">
        <v>5.6470000000000002</v>
      </c>
      <c r="BN60" s="4">
        <v>4.258</v>
      </c>
      <c r="BO60" s="4">
        <v>4.6310000000000002</v>
      </c>
      <c r="BP60" s="4">
        <v>3.968</v>
      </c>
      <c r="BQ60" s="4">
        <v>4.5599999999999996</v>
      </c>
      <c r="BR60" s="4">
        <v>4.3230000000000004</v>
      </c>
      <c r="BS60" s="4">
        <v>3.2</v>
      </c>
      <c r="BT60" s="4">
        <v>2.718</v>
      </c>
      <c r="BU60" s="4">
        <v>0</v>
      </c>
      <c r="BV60" s="4">
        <v>5.6660000000000004</v>
      </c>
      <c r="BW60" s="4">
        <v>4.1689999999999996</v>
      </c>
      <c r="BX60" s="4">
        <v>5.2140000000000004</v>
      </c>
      <c r="BY60" s="4">
        <v>5.5129999999999999</v>
      </c>
      <c r="BZ60" s="55">
        <v>4.59</v>
      </c>
      <c r="CA60" s="55">
        <v>4.07</v>
      </c>
      <c r="CB60" s="55">
        <v>5.22</v>
      </c>
      <c r="CC60" s="55">
        <v>4.68</v>
      </c>
      <c r="CD60" s="55">
        <v>5.23</v>
      </c>
      <c r="CE60" s="19">
        <v>0</v>
      </c>
      <c r="CF60" s="19">
        <v>5.5</v>
      </c>
      <c r="CG60" s="4">
        <v>5.45</v>
      </c>
      <c r="CH60" s="4">
        <v>6.05</v>
      </c>
      <c r="CI60" s="4">
        <v>5.59</v>
      </c>
      <c r="CJ60" s="34">
        <v>4.9000000000000004</v>
      </c>
      <c r="CK60" s="34">
        <v>4.8</v>
      </c>
      <c r="CL60" s="43">
        <v>5.0999999999999996</v>
      </c>
      <c r="CM60" s="4">
        <v>5.6</v>
      </c>
      <c r="CN60" s="53">
        <v>4.5</v>
      </c>
      <c r="CO60" s="54">
        <v>5.2</v>
      </c>
      <c r="CP60" s="54">
        <v>4.2</v>
      </c>
      <c r="CQ60" s="4">
        <v>3.8</v>
      </c>
    </row>
    <row r="61" spans="1:95" s="55" customFormat="1" x14ac:dyDescent="0.35">
      <c r="A61" s="55">
        <v>60</v>
      </c>
      <c r="B61" s="55" t="s">
        <v>111</v>
      </c>
      <c r="C61" s="27" t="s">
        <v>697</v>
      </c>
      <c r="D61" s="6" t="s">
        <v>92</v>
      </c>
      <c r="E61" s="33" t="s">
        <v>95</v>
      </c>
      <c r="F61" s="4">
        <f>IFERROR(AVERAGEIF(Table1[[#This Row],[2019-Apr]:[2025-July]],"&lt;&gt;0"),0)</f>
        <v>96.947499999999991</v>
      </c>
      <c r="G61" s="4">
        <f ca="1">IFERROR(AVERAGEIF(OFFSET(Table1[[#This Row],[Status]],0,COUNT(Table1[[#This Row],[2019-May]:[2025-July]]),1,-12),"&lt;&gt;0"),0)</f>
        <v>35.200000000000003</v>
      </c>
      <c r="H61" s="55">
        <f>IFERROR(SMALL(Table1[[#This Row],[2019-Apr]:[2025-July]],COUNTIF(Table1[[#This Row],[2019-Apr]:[2025-July]],0)+1),0)</f>
        <v>33.4</v>
      </c>
      <c r="I61" s="55">
        <f>IFERROR(MAX(Table1[[#This Row],[2019-Apr]:[2025-July]]),0)</f>
        <v>159</v>
      </c>
      <c r="J61" s="4" cm="1">
        <f t="array" ref="J6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51.131666666666668</v>
      </c>
      <c r="K61" s="4">
        <v>4.5</v>
      </c>
      <c r="L61" s="4">
        <f>IF(Table1[[#This Row],[Standard as per ISO]]&gt;=Table1[[#This Row],[Avg of best 6]],Table1[[#This Row],[Standard as per ISO]],Table1[[#This Row],[Avg of best 6]])</f>
        <v>51.131666666666668</v>
      </c>
      <c r="M61" s="4" cm="1">
        <f t="array" ref="M61">IFERROR(LOOKUP(2,1/(Table1[[#This Row],[2019-May]:[2025-July]]&lt;&gt;0),Table1[[#This Row],[2019-May]:[2025-July]]),0)</f>
        <v>33.4</v>
      </c>
      <c r="N61" s="4">
        <f>COUNTIF(Table1[[#This Row],[2019-Apr]:[2025-July]],"&gt;="&amp;Table1[[#This Row],[Target]])</f>
        <v>42</v>
      </c>
      <c r="O61" s="4">
        <f>IF(Table1[[#This Row],[Outliers 2Y]]=0,1,0)</f>
        <v>0</v>
      </c>
      <c r="P61" s="4">
        <f>IF(Table1[[#This Row],[Last value]]&gt;1.5*Table1[[#This Row],[Target]],1,0)</f>
        <v>0</v>
      </c>
      <c r="Q61" s="4">
        <f>IF(AND(1.5*Table1[[#This Row],[Target]]&gt;=Table1[[#This Row],[Last value]],Table1[[#This Row],[Last value]]&gt;Table1[[#This Row],[Target]]),1,0)</f>
        <v>0</v>
      </c>
      <c r="R61" s="4">
        <f>IF(Table1[[#This Row],[Target]]&gt;=Table1[[#This Row],[Last value]],1,0)</f>
        <v>1</v>
      </c>
      <c r="S61" s="4" t="str">
        <f t="shared" si="0"/>
        <v>Green</v>
      </c>
      <c r="T61" s="7">
        <v>0</v>
      </c>
      <c r="U61" s="7">
        <v>137</v>
      </c>
      <c r="V61" s="7">
        <v>101</v>
      </c>
      <c r="W61" s="7">
        <v>86.2</v>
      </c>
      <c r="X61" s="7">
        <v>60</v>
      </c>
      <c r="Y61" s="7">
        <v>128</v>
      </c>
      <c r="Z61" s="7">
        <v>0</v>
      </c>
      <c r="AA61" s="7">
        <v>94.8</v>
      </c>
      <c r="AB61" s="7">
        <v>0</v>
      </c>
      <c r="AC61" s="7">
        <v>115</v>
      </c>
      <c r="AD61" s="7">
        <v>83.6</v>
      </c>
      <c r="AE61" s="7">
        <v>66.099999999999994</v>
      </c>
      <c r="AF61" s="7">
        <v>114</v>
      </c>
      <c r="AG61" s="7">
        <v>93.5</v>
      </c>
      <c r="AH61" s="7">
        <v>103</v>
      </c>
      <c r="AI61" s="7">
        <v>0</v>
      </c>
      <c r="AJ61" s="7">
        <v>106</v>
      </c>
      <c r="AK61" s="7">
        <v>0</v>
      </c>
      <c r="AL61" s="7">
        <v>106</v>
      </c>
      <c r="AM61" s="7">
        <v>88.9</v>
      </c>
      <c r="AN61" s="7">
        <v>135</v>
      </c>
      <c r="AO61" s="7">
        <v>120</v>
      </c>
      <c r="AP61" s="7">
        <v>105</v>
      </c>
      <c r="AQ61" s="7">
        <v>117</v>
      </c>
      <c r="AR61" s="9">
        <v>107</v>
      </c>
      <c r="AS61" s="9">
        <v>114</v>
      </c>
      <c r="AT61" s="9">
        <v>117</v>
      </c>
      <c r="AU61" s="50">
        <v>124</v>
      </c>
      <c r="AV61" s="50">
        <v>133</v>
      </c>
      <c r="AW61" s="50">
        <v>149</v>
      </c>
      <c r="AX61" s="50">
        <v>159</v>
      </c>
      <c r="AY61" s="50">
        <v>140</v>
      </c>
      <c r="AZ61" s="50">
        <v>139</v>
      </c>
      <c r="BA61" s="50">
        <v>86.6</v>
      </c>
      <c r="BB61" s="50">
        <v>97.8</v>
      </c>
      <c r="BC61" s="55">
        <v>77.099999999999994</v>
      </c>
      <c r="BD61" s="55">
        <v>0</v>
      </c>
      <c r="BE61" s="11">
        <v>59.59</v>
      </c>
      <c r="BF61" s="4">
        <v>0</v>
      </c>
      <c r="BG61" s="4">
        <v>64</v>
      </c>
      <c r="BH61" s="4">
        <v>54.87</v>
      </c>
      <c r="BI61" s="4">
        <v>0</v>
      </c>
      <c r="BJ61" s="14">
        <v>62.41</v>
      </c>
      <c r="BK61" s="14">
        <v>83.63</v>
      </c>
      <c r="BL61" s="4">
        <v>88.73</v>
      </c>
      <c r="BM61" s="17">
        <v>83.14</v>
      </c>
      <c r="BN61" s="4">
        <v>0</v>
      </c>
      <c r="BO61" s="4">
        <v>61.93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84.15</v>
      </c>
      <c r="BW61" s="4">
        <v>64.03</v>
      </c>
      <c r="BX61" s="4">
        <v>0</v>
      </c>
      <c r="BY61" s="4">
        <v>85.21</v>
      </c>
      <c r="BZ61" s="55">
        <v>0</v>
      </c>
      <c r="CA61" s="55">
        <v>0</v>
      </c>
      <c r="CB61" s="55">
        <v>0</v>
      </c>
      <c r="CC61" s="55">
        <v>0</v>
      </c>
      <c r="CD61" s="55">
        <v>0</v>
      </c>
      <c r="CE61" s="19">
        <v>37</v>
      </c>
      <c r="CF61" s="19">
        <v>33.4</v>
      </c>
      <c r="CG61" s="4">
        <v>0</v>
      </c>
      <c r="CH61" s="4">
        <v>0</v>
      </c>
      <c r="CI61" s="4">
        <v>0</v>
      </c>
      <c r="CJ61" s="34">
        <v>0</v>
      </c>
      <c r="CK61" s="34">
        <v>0</v>
      </c>
      <c r="CL61" s="34">
        <v>0</v>
      </c>
      <c r="CM61" s="4">
        <v>0</v>
      </c>
      <c r="CN61" s="53">
        <v>0</v>
      </c>
      <c r="CO61" s="54">
        <v>0</v>
      </c>
      <c r="CP61" s="54">
        <v>0</v>
      </c>
      <c r="CQ61" s="4">
        <v>0</v>
      </c>
    </row>
    <row r="62" spans="1:95" s="55" customFormat="1" x14ac:dyDescent="0.35">
      <c r="A62" s="55">
        <v>61</v>
      </c>
      <c r="B62" s="55" t="s">
        <v>111</v>
      </c>
      <c r="C62" s="27" t="s">
        <v>698</v>
      </c>
      <c r="D62" s="6" t="s">
        <v>92</v>
      </c>
      <c r="E62" s="33" t="s">
        <v>95</v>
      </c>
      <c r="F62" s="4">
        <f>IFERROR(AVERAGEIF(Table1[[#This Row],[2019-Apr]:[2025-July]],"&lt;&gt;0"),0)</f>
        <v>71.03638297872341</v>
      </c>
      <c r="G62" s="4">
        <f ca="1">IFERROR(AVERAGEIF(OFFSET(Table1[[#This Row],[Status]],0,COUNT(Table1[[#This Row],[2019-May]:[2025-July]]),1,-12),"&lt;&gt;0"),0)</f>
        <v>0</v>
      </c>
      <c r="H62" s="55">
        <f>IFERROR(SMALL(Table1[[#This Row],[2019-Apr]:[2025-July]],COUNTIF(Table1[[#This Row],[2019-Apr]:[2025-July]],0)+1),0)</f>
        <v>35.99</v>
      </c>
      <c r="I62" s="55">
        <f>IFERROR(MAX(Table1[[#This Row],[2019-Apr]:[2025-July]]),0)</f>
        <v>116</v>
      </c>
      <c r="J62" s="4" cm="1">
        <f t="array" ref="J6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43.463333333333331</v>
      </c>
      <c r="K62" s="4">
        <v>4.5</v>
      </c>
      <c r="L62" s="4">
        <f>IF(Table1[[#This Row],[Standard as per ISO]]&gt;=Table1[[#This Row],[Avg of best 6]],Table1[[#This Row],[Standard as per ISO]],Table1[[#This Row],[Avg of best 6]])</f>
        <v>43.463333333333331</v>
      </c>
      <c r="M62" s="4" cm="1">
        <f t="array" ref="M62">IFERROR(LOOKUP(2,1/(Table1[[#This Row],[2019-May]:[2025-July]]&lt;&gt;0),Table1[[#This Row],[2019-May]:[2025-July]]),0)</f>
        <v>82.09</v>
      </c>
      <c r="N62" s="4">
        <f>COUNTIF(Table1[[#This Row],[2019-Apr]:[2025-July]],"&gt;="&amp;Table1[[#This Row],[Target]])</f>
        <v>44</v>
      </c>
      <c r="O62" s="4">
        <f>IF(Table1[[#This Row],[Outliers 2Y]]=0,1,0)</f>
        <v>0</v>
      </c>
      <c r="P62" s="4">
        <f>IF(Table1[[#This Row],[Last value]]&gt;1.5*Table1[[#This Row],[Target]],1,0)</f>
        <v>1</v>
      </c>
      <c r="Q62" s="4">
        <f>IF(AND(1.5*Table1[[#This Row],[Target]]&gt;=Table1[[#This Row],[Last value]],Table1[[#This Row],[Last value]]&gt;Table1[[#This Row],[Target]]),1,0)</f>
        <v>0</v>
      </c>
      <c r="R62" s="4">
        <f>IF(Table1[[#This Row],[Target]]&gt;=Table1[[#This Row],[Last value]],1,0)</f>
        <v>0</v>
      </c>
      <c r="S62" s="4" t="str">
        <f t="shared" si="0"/>
        <v>Red</v>
      </c>
      <c r="T62" s="7">
        <v>0</v>
      </c>
      <c r="U62" s="7">
        <v>68.5</v>
      </c>
      <c r="V62" s="7">
        <v>52.3</v>
      </c>
      <c r="W62" s="7">
        <v>73.8</v>
      </c>
      <c r="X62" s="7">
        <v>84</v>
      </c>
      <c r="Y62" s="7">
        <v>53</v>
      </c>
      <c r="Z62" s="7">
        <v>0</v>
      </c>
      <c r="AA62" s="7">
        <v>59</v>
      </c>
      <c r="AB62" s="7">
        <v>70.7</v>
      </c>
      <c r="AC62" s="7">
        <v>57</v>
      </c>
      <c r="AD62" s="7">
        <v>62.3</v>
      </c>
      <c r="AE62" s="7">
        <v>76.400000000000006</v>
      </c>
      <c r="AF62" s="7">
        <v>73</v>
      </c>
      <c r="AG62" s="7">
        <v>70.7</v>
      </c>
      <c r="AH62" s="7">
        <v>88</v>
      </c>
      <c r="AI62" s="7">
        <v>0</v>
      </c>
      <c r="AJ62" s="7">
        <v>70.400000000000006</v>
      </c>
      <c r="AK62" s="7">
        <v>91.1</v>
      </c>
      <c r="AL62" s="7">
        <v>91.7</v>
      </c>
      <c r="AM62" s="7">
        <v>0</v>
      </c>
      <c r="AN62" s="7">
        <v>75.099999999999994</v>
      </c>
      <c r="AO62" s="7">
        <v>101</v>
      </c>
      <c r="AP62" s="7">
        <v>69.599999999999994</v>
      </c>
      <c r="AQ62" s="7">
        <v>87.5</v>
      </c>
      <c r="AR62" s="9">
        <v>0</v>
      </c>
      <c r="AS62" s="8">
        <v>72.8</v>
      </c>
      <c r="AT62" s="8">
        <v>116</v>
      </c>
      <c r="AU62" s="50">
        <v>91.3</v>
      </c>
      <c r="AV62" s="50">
        <v>99.5</v>
      </c>
      <c r="AW62" s="50">
        <v>70.8</v>
      </c>
      <c r="AX62" s="50">
        <v>70</v>
      </c>
      <c r="AY62" s="50">
        <v>51.4</v>
      </c>
      <c r="AZ62" s="50">
        <v>50.8</v>
      </c>
      <c r="BA62" s="50">
        <v>40.200000000000003</v>
      </c>
      <c r="BB62" s="50">
        <v>49.7</v>
      </c>
      <c r="BC62" s="55">
        <v>47</v>
      </c>
      <c r="BD62" s="55">
        <v>0</v>
      </c>
      <c r="BE62" s="11">
        <v>41.59</v>
      </c>
      <c r="BF62" s="4">
        <v>0</v>
      </c>
      <c r="BG62" s="4">
        <v>54</v>
      </c>
      <c r="BH62" s="4">
        <v>91.32</v>
      </c>
      <c r="BI62" s="4">
        <v>50</v>
      </c>
      <c r="BJ62" s="13">
        <v>89.32</v>
      </c>
      <c r="BK62" s="13">
        <v>76.3</v>
      </c>
      <c r="BL62" s="4">
        <v>89.4</v>
      </c>
      <c r="BM62" s="16">
        <v>46.3</v>
      </c>
      <c r="BN62" s="4">
        <v>56</v>
      </c>
      <c r="BO62" s="4">
        <v>88.35</v>
      </c>
      <c r="BP62" s="4">
        <v>77.3</v>
      </c>
      <c r="BQ62" s="4">
        <v>68.709999999999994</v>
      </c>
      <c r="BR62" s="4">
        <v>79.849999999999994</v>
      </c>
      <c r="BS62" s="4">
        <v>35.99</v>
      </c>
      <c r="BT62" s="4">
        <v>77.59</v>
      </c>
      <c r="BU62" s="4">
        <v>82.09</v>
      </c>
      <c r="BV62" s="4">
        <v>0</v>
      </c>
      <c r="BW62" s="4">
        <v>0</v>
      </c>
      <c r="BX62" s="4">
        <v>0</v>
      </c>
      <c r="BY62" s="4">
        <v>0</v>
      </c>
      <c r="BZ62" s="55">
        <v>0</v>
      </c>
      <c r="CA62" s="55">
        <v>0</v>
      </c>
      <c r="CB62" s="55">
        <v>0</v>
      </c>
      <c r="CC62" s="55">
        <v>0</v>
      </c>
      <c r="CD62" s="55">
        <v>0</v>
      </c>
      <c r="CE62" s="19">
        <v>0</v>
      </c>
      <c r="CF62" s="19">
        <v>0</v>
      </c>
      <c r="CG62" s="4">
        <v>0</v>
      </c>
      <c r="CH62" s="4">
        <v>0</v>
      </c>
      <c r="CI62" s="4">
        <v>0</v>
      </c>
      <c r="CJ62" s="34">
        <v>0</v>
      </c>
      <c r="CK62" s="34">
        <v>0</v>
      </c>
      <c r="CL62" s="34">
        <v>0</v>
      </c>
      <c r="CM62" s="4">
        <v>0</v>
      </c>
      <c r="CN62" s="53">
        <v>0</v>
      </c>
      <c r="CO62" s="54">
        <v>0</v>
      </c>
      <c r="CP62" s="54">
        <v>0</v>
      </c>
      <c r="CQ62" s="4">
        <v>0</v>
      </c>
    </row>
    <row r="63" spans="1:95" s="55" customFormat="1" x14ac:dyDescent="0.35">
      <c r="A63" s="55">
        <v>62</v>
      </c>
      <c r="B63" s="55" t="s">
        <v>111</v>
      </c>
      <c r="C63" s="27" t="s">
        <v>699</v>
      </c>
      <c r="D63" s="6" t="s">
        <v>88</v>
      </c>
      <c r="E63" s="33" t="s">
        <v>89</v>
      </c>
      <c r="F63" s="4">
        <f>IFERROR(AVERAGEIF(Table1[[#This Row],[2019-Apr]:[2025-July]],"&lt;&gt;0"),0)</f>
        <v>7.1295454545454557</v>
      </c>
      <c r="G63" s="4">
        <f ca="1">IFERROR(AVERAGEIF(OFFSET(Table1[[#This Row],[Status]],0,COUNT(Table1[[#This Row],[2019-May]:[2025-July]]),1,-12),"&lt;&gt;0"),0)</f>
        <v>4.1890909090909085</v>
      </c>
      <c r="H63" s="55">
        <f>IFERROR(SMALL(Table1[[#This Row],[2019-Apr]:[2025-July]],COUNTIF(Table1[[#This Row],[2019-Apr]:[2025-July]],0)+1),0)</f>
        <v>1.83</v>
      </c>
      <c r="I63" s="55">
        <f>IFERROR(MAX(Table1[[#This Row],[2019-Apr]:[2025-July]]),0)</f>
        <v>29</v>
      </c>
      <c r="J63" s="4" cm="1">
        <f t="array" ref="J6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2.1383333333333332</v>
      </c>
      <c r="K63" s="4">
        <v>4.5</v>
      </c>
      <c r="L63" s="4">
        <f>IF(Table1[[#This Row],[Standard as per ISO]]&gt;=Table1[[#This Row],[Avg of best 6]],Table1[[#This Row],[Standard as per ISO]],Table1[[#This Row],[Avg of best 6]])</f>
        <v>4.5</v>
      </c>
      <c r="M63" s="4" cm="1">
        <f t="array" ref="M63">IFERROR(LOOKUP(2,1/(Table1[[#This Row],[2019-May]:[2025-July]]&lt;&gt;0),Table1[[#This Row],[2019-May]:[2025-July]]),0)</f>
        <v>3.4</v>
      </c>
      <c r="N63" s="4">
        <f>COUNTIF(Table1[[#This Row],[2019-Apr]:[2025-July]],"&gt;="&amp;Table1[[#This Row],[Target]])</f>
        <v>11</v>
      </c>
      <c r="O63" s="4">
        <f>IF(Table1[[#This Row],[Outliers 2Y]]=0,1,0)</f>
        <v>0</v>
      </c>
      <c r="P63" s="4">
        <f>IF(Table1[[#This Row],[Last value]]&gt;1.5*Table1[[#This Row],[Target]],1,0)</f>
        <v>0</v>
      </c>
      <c r="Q63" s="4">
        <f>IF(AND(1.5*Table1[[#This Row],[Target]]&gt;=Table1[[#This Row],[Last value]],Table1[[#This Row],[Last value]]&gt;Table1[[#This Row],[Target]]),1,0)</f>
        <v>0</v>
      </c>
      <c r="R63" s="4">
        <f>IF(Table1[[#This Row],[Target]]&gt;=Table1[[#This Row],[Last value]],1,0)</f>
        <v>1</v>
      </c>
      <c r="S63" s="4" t="str">
        <f t="shared" si="0"/>
        <v>Green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4">
        <v>5.83</v>
      </c>
      <c r="BS63" s="4">
        <v>4.6100000000000003</v>
      </c>
      <c r="BT63" s="4">
        <v>14.99</v>
      </c>
      <c r="BU63" s="4">
        <v>0</v>
      </c>
      <c r="BV63" s="4">
        <v>29</v>
      </c>
      <c r="BW63" s="4">
        <v>12.17</v>
      </c>
      <c r="BX63" s="4">
        <v>13.48</v>
      </c>
      <c r="BY63" s="4">
        <v>10.6</v>
      </c>
      <c r="BZ63" s="55">
        <v>0</v>
      </c>
      <c r="CA63" s="55">
        <v>8.9499999999999993</v>
      </c>
      <c r="CB63" s="55">
        <v>3.27</v>
      </c>
      <c r="CC63" s="55">
        <v>4.47</v>
      </c>
      <c r="CD63" s="55">
        <v>0</v>
      </c>
      <c r="CE63" s="19">
        <v>10.08</v>
      </c>
      <c r="CF63" s="19">
        <v>8.3000000000000007</v>
      </c>
      <c r="CG63" s="4">
        <v>8.9700000000000006</v>
      </c>
      <c r="CH63" s="4">
        <v>1.83</v>
      </c>
      <c r="CI63" s="4">
        <v>0</v>
      </c>
      <c r="CJ63" s="34">
        <v>2</v>
      </c>
      <c r="CK63" s="34">
        <v>2.1</v>
      </c>
      <c r="CL63" s="43">
        <v>3</v>
      </c>
      <c r="CM63" s="4">
        <v>2.2999999999999998</v>
      </c>
      <c r="CN63" s="53">
        <v>2.1</v>
      </c>
      <c r="CO63" s="54">
        <v>2.9</v>
      </c>
      <c r="CP63" s="54">
        <v>2.5</v>
      </c>
      <c r="CQ63" s="4">
        <v>3.4</v>
      </c>
    </row>
    <row r="64" spans="1:95" s="55" customFormat="1" x14ac:dyDescent="0.35">
      <c r="A64" s="55">
        <v>63</v>
      </c>
      <c r="B64" s="55" t="s">
        <v>111</v>
      </c>
      <c r="C64" s="27" t="s">
        <v>700</v>
      </c>
      <c r="D64" s="6" t="s">
        <v>88</v>
      </c>
      <c r="E64" s="33" t="s">
        <v>90</v>
      </c>
      <c r="F64" s="4">
        <f>IFERROR(AVERAGEIF(Table1[[#This Row],[2019-Apr]:[2025-July]],"&lt;&gt;0"),0)</f>
        <v>3.8220000000000005</v>
      </c>
      <c r="G64" s="4">
        <f ca="1">IFERROR(AVERAGEIF(OFFSET(Table1[[#This Row],[Status]],0,COUNT(Table1[[#This Row],[2019-May]:[2025-July]]),1,-12),"&lt;&gt;0"),0)</f>
        <v>3.5912499999999996</v>
      </c>
      <c r="H64" s="55">
        <f>IFERROR(SMALL(Table1[[#This Row],[2019-Apr]:[2025-July]],COUNTIF(Table1[[#This Row],[2019-Apr]:[2025-July]],0)+1),0)</f>
        <v>3.1</v>
      </c>
      <c r="I64" s="55">
        <f>IFERROR(MAX(Table1[[#This Row],[2019-Apr]:[2025-July]]),0)</f>
        <v>5.07</v>
      </c>
      <c r="J64" s="4" cm="1">
        <f t="array" ref="J6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3.3016666666666672</v>
      </c>
      <c r="K64" s="4">
        <v>4.5</v>
      </c>
      <c r="L64" s="4">
        <f>IF(Table1[[#This Row],[Standard as per ISO]]&gt;=Table1[[#This Row],[Avg of best 6]],Table1[[#This Row],[Standard as per ISO]],Table1[[#This Row],[Avg of best 6]])</f>
        <v>4.5</v>
      </c>
      <c r="M64" s="4" cm="1">
        <f t="array" ref="M64">IFERROR(LOOKUP(2,1/(Table1[[#This Row],[2019-May]:[2025-July]]&lt;&gt;0),Table1[[#This Row],[2019-May]:[2025-July]]),0)</f>
        <v>3.3</v>
      </c>
      <c r="N64" s="4">
        <f>COUNTIF(Table1[[#This Row],[2019-Apr]:[2025-July]],"&gt;="&amp;Table1[[#This Row],[Target]])</f>
        <v>3</v>
      </c>
      <c r="O64" s="4">
        <f>IF(Table1[[#This Row],[Outliers 2Y]]=0,1,0)</f>
        <v>0</v>
      </c>
      <c r="P64" s="4">
        <f>IF(Table1[[#This Row],[Last value]]&gt;1.5*Table1[[#This Row],[Target]],1,0)</f>
        <v>0</v>
      </c>
      <c r="Q64" s="4">
        <f>IF(AND(1.5*Table1[[#This Row],[Target]]&gt;=Table1[[#This Row],[Last value]],Table1[[#This Row],[Last value]]&gt;Table1[[#This Row],[Target]]),1,0)</f>
        <v>0</v>
      </c>
      <c r="R64" s="4">
        <f>IF(Table1[[#This Row],[Target]]&gt;=Table1[[#This Row],[Last value]],1,0)</f>
        <v>1</v>
      </c>
      <c r="S64" s="4" t="str">
        <f t="shared" si="0"/>
        <v>Green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4">
        <v>4.5199999999999996</v>
      </c>
      <c r="BR64" s="4">
        <v>4.16</v>
      </c>
      <c r="BS64" s="4">
        <v>3.76</v>
      </c>
      <c r="BT64" s="4">
        <v>5.07</v>
      </c>
      <c r="BU64" s="4">
        <v>0</v>
      </c>
      <c r="BV64" s="4">
        <v>3.93</v>
      </c>
      <c r="BW64" s="4">
        <v>3.99</v>
      </c>
      <c r="BX64" s="4">
        <v>3.67</v>
      </c>
      <c r="BY64" s="4">
        <v>3.85</v>
      </c>
      <c r="BZ64" s="55">
        <v>4.2</v>
      </c>
      <c r="CA64" s="55">
        <v>0</v>
      </c>
      <c r="CB64" s="55">
        <v>0</v>
      </c>
      <c r="CC64" s="55">
        <v>3.85</v>
      </c>
      <c r="CD64" s="55">
        <v>3.41</v>
      </c>
      <c r="CE64" s="19">
        <v>0</v>
      </c>
      <c r="CF64" s="19">
        <v>4.5</v>
      </c>
      <c r="CG64" s="4">
        <v>0</v>
      </c>
      <c r="CH64" s="4">
        <v>0</v>
      </c>
      <c r="CI64" s="4">
        <v>0</v>
      </c>
      <c r="CJ64" s="34">
        <v>3.2</v>
      </c>
      <c r="CK64" s="34">
        <v>3.1</v>
      </c>
      <c r="CL64" s="43">
        <v>3.9</v>
      </c>
      <c r="CM64" s="4">
        <v>3.4</v>
      </c>
      <c r="CN64" s="53">
        <v>3.56</v>
      </c>
      <c r="CO64" s="54">
        <v>3.67</v>
      </c>
      <c r="CP64" s="54">
        <v>3.4</v>
      </c>
      <c r="CQ64" s="4">
        <v>3.3</v>
      </c>
    </row>
    <row r="65" spans="1:95" s="55" customFormat="1" x14ac:dyDescent="0.35">
      <c r="A65" s="55">
        <v>64</v>
      </c>
      <c r="B65" s="55" t="s">
        <v>111</v>
      </c>
      <c r="C65" s="27" t="s">
        <v>701</v>
      </c>
      <c r="D65" s="6" t="s">
        <v>88</v>
      </c>
      <c r="E65" s="33" t="s">
        <v>89</v>
      </c>
      <c r="F65" s="4">
        <f>IFERROR(AVERAGEIF(Table1[[#This Row],[2019-Apr]:[2025-July]],"&lt;&gt;0"),0)</f>
        <v>4.3331249999999999</v>
      </c>
      <c r="G65" s="4">
        <f ca="1">IFERROR(AVERAGEIF(OFFSET(Table1[[#This Row],[Status]],0,COUNT(Table1[[#This Row],[2019-May]:[2025-July]]),1,-12),"&lt;&gt;0"),0)</f>
        <v>4.108888888888889</v>
      </c>
      <c r="H65" s="55">
        <f>IFERROR(SMALL(Table1[[#This Row],[2019-Apr]:[2025-July]],COUNTIF(Table1[[#This Row],[2019-Apr]:[2025-July]],0)+1),0)</f>
        <v>1.53</v>
      </c>
      <c r="I65" s="55">
        <f>IFERROR(MAX(Table1[[#This Row],[2019-Apr]:[2025-July]]),0)</f>
        <v>6.6</v>
      </c>
      <c r="J65" s="4" cm="1">
        <f t="array" ref="J6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3.3650000000000002</v>
      </c>
      <c r="K65" s="4">
        <v>4.5</v>
      </c>
      <c r="L65" s="4">
        <f>IF(Table1[[#This Row],[Standard as per ISO]]&gt;=Table1[[#This Row],[Avg of best 6]],Table1[[#This Row],[Standard as per ISO]],Table1[[#This Row],[Avg of best 6]])</f>
        <v>4.5</v>
      </c>
      <c r="M65" s="4" cm="1">
        <f t="array" ref="M65">IFERROR(LOOKUP(2,1/(Table1[[#This Row],[2019-May]:[2025-July]]&lt;&gt;0),Table1[[#This Row],[2019-May]:[2025-July]]),0)</f>
        <v>5.36</v>
      </c>
      <c r="N65" s="4">
        <f>COUNTIF(Table1[[#This Row],[2019-Apr]:[2025-July]],"&gt;="&amp;Table1[[#This Row],[Target]])</f>
        <v>6</v>
      </c>
      <c r="O65" s="4">
        <f>IF(Table1[[#This Row],[Outliers 2Y]]=0,1,0)</f>
        <v>0</v>
      </c>
      <c r="P65" s="4">
        <f>IF(Table1[[#This Row],[Last value]]&gt;1.5*Table1[[#This Row],[Target]],1,0)</f>
        <v>0</v>
      </c>
      <c r="Q65" s="4">
        <f>IF(AND(1.5*Table1[[#This Row],[Target]]&gt;=Table1[[#This Row],[Last value]],Table1[[#This Row],[Last value]]&gt;Table1[[#This Row],[Target]]),1,0)</f>
        <v>1</v>
      </c>
      <c r="R65" s="4">
        <f>IF(Table1[[#This Row],[Target]]&gt;=Table1[[#This Row],[Last value]],1,0)</f>
        <v>0</v>
      </c>
      <c r="S65" s="4" t="str">
        <f t="shared" si="0"/>
        <v>Yellow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4">
        <v>4.49</v>
      </c>
      <c r="BR65" s="4">
        <v>6.6</v>
      </c>
      <c r="BS65" s="4">
        <v>1.53</v>
      </c>
      <c r="BT65" s="4">
        <v>5.27</v>
      </c>
      <c r="BU65" s="4">
        <v>0</v>
      </c>
      <c r="BV65" s="4">
        <v>0</v>
      </c>
      <c r="BW65" s="4">
        <v>0</v>
      </c>
      <c r="BX65" s="4">
        <v>0</v>
      </c>
      <c r="BY65" s="4">
        <v>4.82</v>
      </c>
      <c r="BZ65" s="55">
        <v>0</v>
      </c>
      <c r="CA65" s="55">
        <v>0</v>
      </c>
      <c r="CB65" s="55">
        <v>0</v>
      </c>
      <c r="CC65" s="55">
        <v>4.28</v>
      </c>
      <c r="CD65" s="55">
        <v>0</v>
      </c>
      <c r="CE65" s="19">
        <v>3.94</v>
      </c>
      <c r="CF65" s="19">
        <v>3.62</v>
      </c>
      <c r="CG65" s="4">
        <v>4.22</v>
      </c>
      <c r="CH65" s="4">
        <v>0</v>
      </c>
      <c r="CI65" s="4">
        <v>4</v>
      </c>
      <c r="CJ65" s="34">
        <v>3.8</v>
      </c>
      <c r="CK65" s="34">
        <v>3.3</v>
      </c>
      <c r="CL65" s="43">
        <v>4.5</v>
      </c>
      <c r="CM65" s="4">
        <v>4.3</v>
      </c>
      <c r="CN65" s="53">
        <v>5.3</v>
      </c>
      <c r="CO65" s="54">
        <v>0</v>
      </c>
      <c r="CP65" s="54">
        <v>0</v>
      </c>
      <c r="CQ65" s="4">
        <v>5.36</v>
      </c>
    </row>
    <row r="66" spans="1:95" s="55" customFormat="1" x14ac:dyDescent="0.35">
      <c r="A66" s="55">
        <v>65</v>
      </c>
      <c r="B66" s="55" t="s">
        <v>111</v>
      </c>
      <c r="C66" s="27" t="s">
        <v>702</v>
      </c>
      <c r="D66" s="6" t="s">
        <v>88</v>
      </c>
      <c r="E66" s="33" t="s">
        <v>90</v>
      </c>
      <c r="F66" s="4">
        <f>IFERROR(AVERAGEIF(Table1[[#This Row],[2019-Apr]:[2025-July]],"&lt;&gt;0"),0)</f>
        <v>6.8818181818181818</v>
      </c>
      <c r="G66" s="4">
        <f ca="1">IFERROR(AVERAGEIF(OFFSET(Table1[[#This Row],[Status]],0,COUNT(Table1[[#This Row],[2019-May]:[2025-July]]),1,-12),"&lt;&gt;0"),0)</f>
        <v>3.2183333333333333</v>
      </c>
      <c r="H66" s="55">
        <f>IFERROR(SMALL(Table1[[#This Row],[2019-Apr]:[2025-July]],COUNTIF(Table1[[#This Row],[2019-Apr]:[2025-July]],0)+1),0)</f>
        <v>2.0099999999999998</v>
      </c>
      <c r="I66" s="55">
        <f>IFERROR(MAX(Table1[[#This Row],[2019-Apr]:[2025-July]]),0)</f>
        <v>83.86</v>
      </c>
      <c r="J66" s="4" cm="1">
        <f t="array" ref="J6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2.1949999999999998</v>
      </c>
      <c r="K66" s="4">
        <v>4.5</v>
      </c>
      <c r="L66" s="4">
        <f>IF(Table1[[#This Row],[Standard as per ISO]]&gt;=Table1[[#This Row],[Avg of best 6]],Table1[[#This Row],[Standard as per ISO]],Table1[[#This Row],[Avg of best 6]])</f>
        <v>4.5</v>
      </c>
      <c r="M66" s="4" cm="1">
        <f t="array" ref="M66">IFERROR(LOOKUP(2,1/(Table1[[#This Row],[2019-May]:[2025-July]]&lt;&gt;0),Table1[[#This Row],[2019-May]:[2025-July]]),0)</f>
        <v>3.4</v>
      </c>
      <c r="N66" s="4">
        <f>COUNTIF(Table1[[#This Row],[2019-Apr]:[2025-July]],"&gt;="&amp;Table1[[#This Row],[Target]])</f>
        <v>3</v>
      </c>
      <c r="O66" s="4">
        <f>IF(Table1[[#This Row],[Outliers 2Y]]=0,1,0)</f>
        <v>0</v>
      </c>
      <c r="P66" s="4">
        <f>IF(Table1[[#This Row],[Last value]]&gt;1.5*Table1[[#This Row],[Target]],1,0)</f>
        <v>0</v>
      </c>
      <c r="Q66" s="4">
        <f>IF(AND(1.5*Table1[[#This Row],[Target]]&gt;=Table1[[#This Row],[Last value]],Table1[[#This Row],[Last value]]&gt;Table1[[#This Row],[Target]]),1,0)</f>
        <v>0</v>
      </c>
      <c r="R66" s="4">
        <f>IF(Table1[[#This Row],[Target]]&gt;=Table1[[#This Row],[Last value]],1,0)</f>
        <v>1</v>
      </c>
      <c r="S66" s="4" t="str">
        <f t="shared" si="0"/>
        <v>Green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4">
        <v>0</v>
      </c>
      <c r="BR66" s="4">
        <v>5.38</v>
      </c>
      <c r="BS66" s="4">
        <v>3.42</v>
      </c>
      <c r="BT66" s="4">
        <v>83.86</v>
      </c>
      <c r="BU66" s="4">
        <v>0</v>
      </c>
      <c r="BV66" s="4">
        <v>0</v>
      </c>
      <c r="BW66" s="4">
        <v>3.48</v>
      </c>
      <c r="BX66" s="4">
        <v>2.81</v>
      </c>
      <c r="BY66" s="4">
        <v>2.1</v>
      </c>
      <c r="BZ66" s="55">
        <v>3.89</v>
      </c>
      <c r="CA66" s="55">
        <v>0</v>
      </c>
      <c r="CB66" s="55">
        <v>0</v>
      </c>
      <c r="CC66" s="55">
        <v>2.4300000000000002</v>
      </c>
      <c r="CD66" s="55">
        <v>2.0099999999999998</v>
      </c>
      <c r="CE66" s="19">
        <v>2.4300000000000002</v>
      </c>
      <c r="CF66" s="19">
        <v>2.09</v>
      </c>
      <c r="CG66" s="4">
        <v>3</v>
      </c>
      <c r="CH66" s="4">
        <v>2.11</v>
      </c>
      <c r="CI66" s="4">
        <v>3.99</v>
      </c>
      <c r="CJ66" s="34">
        <v>3.1</v>
      </c>
      <c r="CK66" s="34">
        <v>2.7</v>
      </c>
      <c r="CL66" s="43">
        <v>4.5</v>
      </c>
      <c r="CM66" s="4">
        <v>3.9</v>
      </c>
      <c r="CN66" s="53">
        <v>3.7</v>
      </c>
      <c r="CO66" s="54">
        <v>3.2</v>
      </c>
      <c r="CP66" s="54">
        <v>3.9</v>
      </c>
      <c r="CQ66" s="4">
        <v>3.4</v>
      </c>
    </row>
    <row r="67" spans="1:95" s="55" customFormat="1" x14ac:dyDescent="0.35">
      <c r="A67" s="55">
        <v>66</v>
      </c>
      <c r="B67" s="55" t="s">
        <v>111</v>
      </c>
      <c r="C67" s="27" t="s">
        <v>703</v>
      </c>
      <c r="D67" s="6" t="s">
        <v>88</v>
      </c>
      <c r="E67" s="33" t="s">
        <v>90</v>
      </c>
      <c r="F67" s="4">
        <f>IFERROR(AVERAGEIF(Table1[[#This Row],[2019-Apr]:[2025-July]],"&lt;&gt;0"),0)</f>
        <v>6.1146153846153846</v>
      </c>
      <c r="G67" s="4">
        <f ca="1">IFERROR(AVERAGEIF(OFFSET(Table1[[#This Row],[Status]],0,COUNT(Table1[[#This Row],[2019-May]:[2025-July]]),1,-12),"&lt;&gt;0"),0)</f>
        <v>5.7600000000000007</v>
      </c>
      <c r="H67" s="55">
        <f>IFERROR(SMALL(Table1[[#This Row],[2019-Apr]:[2025-July]],COUNTIF(Table1[[#This Row],[2019-Apr]:[2025-July]],0)+1),0)</f>
        <v>2.91</v>
      </c>
      <c r="I67" s="55">
        <f>IFERROR(MAX(Table1[[#This Row],[2019-Apr]:[2025-July]]),0)</f>
        <v>9.74</v>
      </c>
      <c r="J67" s="4" cm="1">
        <f t="array" ref="J6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4.1483333333333334</v>
      </c>
      <c r="K67" s="4">
        <v>4.5</v>
      </c>
      <c r="L67" s="4">
        <f>IF(Table1[[#This Row],[Standard as per ISO]]&gt;=Table1[[#This Row],[Avg of best 6]],Table1[[#This Row],[Standard as per ISO]],Table1[[#This Row],[Avg of best 6]])</f>
        <v>4.5</v>
      </c>
      <c r="M67" s="4" cm="1">
        <f t="array" ref="M67">IFERROR(LOOKUP(2,1/(Table1[[#This Row],[2019-May]:[2025-July]]&lt;&gt;0),Table1[[#This Row],[2019-May]:[2025-July]]),0)</f>
        <v>5.0999999999999996</v>
      </c>
      <c r="N67" s="4">
        <f>COUNTIF(Table1[[#This Row],[2019-Apr]:[2025-July]],"&gt;="&amp;Table1[[#This Row],[Target]])</f>
        <v>23</v>
      </c>
      <c r="O67" s="4">
        <f>IF(Table1[[#This Row],[Outliers 2Y]]=0,1,0)</f>
        <v>0</v>
      </c>
      <c r="P67" s="4">
        <f>IF(Table1[[#This Row],[Last value]]&gt;1.5*Table1[[#This Row],[Target]],1,0)</f>
        <v>0</v>
      </c>
      <c r="Q67" s="4">
        <f>IF(AND(1.5*Table1[[#This Row],[Target]]&gt;=Table1[[#This Row],[Last value]],Table1[[#This Row],[Last value]]&gt;Table1[[#This Row],[Target]]),1,0)</f>
        <v>1</v>
      </c>
      <c r="R67" s="4">
        <f>IF(Table1[[#This Row],[Target]]&gt;=Table1[[#This Row],[Last value]],1,0)</f>
        <v>0</v>
      </c>
      <c r="S67" s="4" t="str">
        <f t="shared" si="0"/>
        <v>Yellow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4">
        <v>0</v>
      </c>
      <c r="BR67" s="4">
        <v>4.1500000000000004</v>
      </c>
      <c r="BS67" s="4">
        <v>3</v>
      </c>
      <c r="BT67" s="4">
        <v>2.91</v>
      </c>
      <c r="BU67" s="4">
        <v>8.08</v>
      </c>
      <c r="BV67" s="4">
        <v>8.51</v>
      </c>
      <c r="BW67" s="4">
        <v>7.35</v>
      </c>
      <c r="BX67" s="4">
        <v>7.8</v>
      </c>
      <c r="BY67" s="4">
        <v>9.74</v>
      </c>
      <c r="BZ67" s="55">
        <v>7.29</v>
      </c>
      <c r="CA67" s="55">
        <v>7.09</v>
      </c>
      <c r="CB67" s="55">
        <v>6.45</v>
      </c>
      <c r="CC67" s="55">
        <v>6.62</v>
      </c>
      <c r="CD67" s="55">
        <v>5.77</v>
      </c>
      <c r="CE67" s="19">
        <v>5.96</v>
      </c>
      <c r="CF67" s="19">
        <v>5.82</v>
      </c>
      <c r="CG67" s="4">
        <v>5.95</v>
      </c>
      <c r="CH67" s="4">
        <v>5.41</v>
      </c>
      <c r="CI67" s="4">
        <v>6.25</v>
      </c>
      <c r="CJ67" s="34">
        <v>6.6</v>
      </c>
      <c r="CK67" s="34">
        <v>6.6</v>
      </c>
      <c r="CL67" s="43">
        <v>5.5</v>
      </c>
      <c r="CM67" s="4">
        <v>5.5</v>
      </c>
      <c r="CN67" s="53">
        <v>5.8</v>
      </c>
      <c r="CO67" s="54">
        <v>5.08</v>
      </c>
      <c r="CP67" s="54">
        <v>4.6500000000000004</v>
      </c>
      <c r="CQ67" s="4">
        <v>5.0999999999999996</v>
      </c>
    </row>
    <row r="68" spans="1:95" s="55" customFormat="1" x14ac:dyDescent="0.35">
      <c r="A68" s="55">
        <v>67</v>
      </c>
      <c r="B68" s="55" t="s">
        <v>111</v>
      </c>
      <c r="C68" s="27" t="s">
        <v>704</v>
      </c>
      <c r="D68" s="6" t="s">
        <v>88</v>
      </c>
      <c r="E68" s="33" t="s">
        <v>89</v>
      </c>
      <c r="F68" s="4">
        <f>IFERROR(AVERAGEIF(Table1[[#This Row],[2019-Apr]:[2025-July]],"&lt;&gt;0"),0)</f>
        <v>5.1628000000000007</v>
      </c>
      <c r="G68" s="4">
        <f ca="1">IFERROR(AVERAGEIF(OFFSET(Table1[[#This Row],[Status]],0,COUNT(Table1[[#This Row],[2019-May]:[2025-July]]),1,-12),"&lt;&gt;0"),0)</f>
        <v>5.2591666666666672</v>
      </c>
      <c r="H68" s="55">
        <f>IFERROR(SMALL(Table1[[#This Row],[2019-Apr]:[2025-July]],COUNTIF(Table1[[#This Row],[2019-Apr]:[2025-July]],0)+1),0)</f>
        <v>4.0599999999999996</v>
      </c>
      <c r="I68" s="55">
        <f>IFERROR(MAX(Table1[[#This Row],[2019-Apr]:[2025-July]]),0)</f>
        <v>6.7</v>
      </c>
      <c r="J68" s="4" cm="1">
        <f t="array" ref="J6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4.3466666666666667</v>
      </c>
      <c r="K68" s="4">
        <v>4.5</v>
      </c>
      <c r="L68" s="4">
        <f>IF(Table1[[#This Row],[Standard as per ISO]]&gt;=Table1[[#This Row],[Avg of best 6]],Table1[[#This Row],[Standard as per ISO]],Table1[[#This Row],[Avg of best 6]])</f>
        <v>4.5</v>
      </c>
      <c r="M68" s="4" cm="1">
        <f t="array" ref="M68">IFERROR(LOOKUP(2,1/(Table1[[#This Row],[2019-May]:[2025-July]]&lt;&gt;0),Table1[[#This Row],[2019-May]:[2025-July]]),0)</f>
        <v>5.4</v>
      </c>
      <c r="N68" s="4">
        <f>COUNTIF(Table1[[#This Row],[2019-Apr]:[2025-July]],"&gt;="&amp;Table1[[#This Row],[Target]])</f>
        <v>21</v>
      </c>
      <c r="O68" s="4">
        <f>IF(Table1[[#This Row],[Outliers 2Y]]=0,1,0)</f>
        <v>0</v>
      </c>
      <c r="P68" s="4">
        <f>IF(Table1[[#This Row],[Last value]]&gt;1.5*Table1[[#This Row],[Target]],1,0)</f>
        <v>0</v>
      </c>
      <c r="Q68" s="4">
        <f>IF(AND(1.5*Table1[[#This Row],[Target]]&gt;=Table1[[#This Row],[Last value]],Table1[[#This Row],[Last value]]&gt;Table1[[#This Row],[Target]]),1,0)</f>
        <v>1</v>
      </c>
      <c r="R68" s="4">
        <f>IF(Table1[[#This Row],[Target]]&gt;=Table1[[#This Row],[Last value]],1,0)</f>
        <v>0</v>
      </c>
      <c r="S68" s="4" t="str">
        <f t="shared" si="0"/>
        <v>Yellow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4">
        <v>0</v>
      </c>
      <c r="BR68" s="4">
        <v>6.53</v>
      </c>
      <c r="BS68" s="4">
        <v>4.79</v>
      </c>
      <c r="BT68" s="4">
        <v>4.78</v>
      </c>
      <c r="BU68" s="4">
        <v>5.43</v>
      </c>
      <c r="BV68" s="4">
        <v>0</v>
      </c>
      <c r="BW68" s="4">
        <v>4.29</v>
      </c>
      <c r="BX68" s="4">
        <v>4.0599999999999996</v>
      </c>
      <c r="BY68" s="4">
        <v>5.3</v>
      </c>
      <c r="BZ68" s="55">
        <v>4.96</v>
      </c>
      <c r="CA68" s="55">
        <v>4.84</v>
      </c>
      <c r="CB68" s="55">
        <v>4.8899999999999997</v>
      </c>
      <c r="CC68" s="55">
        <v>5.39</v>
      </c>
      <c r="CD68" s="55">
        <v>5.3</v>
      </c>
      <c r="CE68" s="19">
        <v>5.53</v>
      </c>
      <c r="CF68" s="19">
        <v>4.55</v>
      </c>
      <c r="CG68" s="4">
        <v>5.54</v>
      </c>
      <c r="CH68" s="4">
        <v>4.8600000000000003</v>
      </c>
      <c r="CI68" s="4">
        <v>6.23</v>
      </c>
      <c r="CJ68" s="34">
        <v>4.9000000000000004</v>
      </c>
      <c r="CK68" s="34">
        <v>6.7</v>
      </c>
      <c r="CL68" s="43">
        <v>5.5</v>
      </c>
      <c r="CM68" s="4">
        <v>5.7</v>
      </c>
      <c r="CN68" s="53">
        <v>5.2</v>
      </c>
      <c r="CO68" s="54">
        <v>4.0999999999999996</v>
      </c>
      <c r="CP68" s="54">
        <v>4.3</v>
      </c>
      <c r="CQ68" s="4">
        <v>5.4</v>
      </c>
    </row>
    <row r="69" spans="1:95" s="55" customFormat="1" x14ac:dyDescent="0.35">
      <c r="A69" s="55">
        <v>68</v>
      </c>
      <c r="B69" s="55" t="s">
        <v>111</v>
      </c>
      <c r="C69" s="27" t="s">
        <v>705</v>
      </c>
      <c r="D69" s="6" t="s">
        <v>88</v>
      </c>
      <c r="E69" s="33" t="s">
        <v>90</v>
      </c>
      <c r="F69" s="4">
        <f>IFERROR(AVERAGEIF(Table1[[#This Row],[2019-Apr]:[2025-July]],"&lt;&gt;0"),0)</f>
        <v>0.8666666666666667</v>
      </c>
      <c r="G69" s="4">
        <f ca="1">IFERROR(AVERAGEIF(OFFSET(Table1[[#This Row],[Status]],0,COUNT(Table1[[#This Row],[2019-May]:[2025-July]]),1,-12),"&lt;&gt;0"),0)</f>
        <v>0.8</v>
      </c>
      <c r="H69" s="55">
        <f>IFERROR(SMALL(Table1[[#This Row],[2019-Apr]:[2025-July]],COUNTIF(Table1[[#This Row],[2019-Apr]:[2025-July]],0)+1),0)</f>
        <v>0.6</v>
      </c>
      <c r="I69" s="55">
        <f>IFERROR(MAX(Table1[[#This Row],[2019-Apr]:[2025-July]]),0)</f>
        <v>1.2</v>
      </c>
      <c r="J69" s="4" cm="1">
        <f t="array" ref="J6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0.86666666666666659</v>
      </c>
      <c r="K69" s="4">
        <v>4.5</v>
      </c>
      <c r="L69" s="4">
        <f>IF(Table1[[#This Row],[Standard as per ISO]]&gt;=Table1[[#This Row],[Avg of best 6]],Table1[[#This Row],[Standard as per ISO]],Table1[[#This Row],[Avg of best 6]])</f>
        <v>4.5</v>
      </c>
      <c r="M69" s="4" cm="1">
        <f t="array" ref="M69">IFERROR(LOOKUP(2,1/(Table1[[#This Row],[2019-May]:[2025-July]]&lt;&gt;0),Table1[[#This Row],[2019-May]:[2025-July]]),0)</f>
        <v>1.2</v>
      </c>
      <c r="N69" s="4">
        <f>COUNTIF(Table1[[#This Row],[2019-Apr]:[2025-July]],"&gt;="&amp;Table1[[#This Row],[Target]])</f>
        <v>0</v>
      </c>
      <c r="O69" s="4">
        <f>IF(Table1[[#This Row],[Outliers 2Y]]=0,1,0)</f>
        <v>1</v>
      </c>
      <c r="P69" s="4">
        <f>IF(Table1[[#This Row],[Last value]]&gt;1.5*Table1[[#This Row],[Target]],1,0)</f>
        <v>0</v>
      </c>
      <c r="Q69" s="4">
        <f>IF(AND(1.5*Table1[[#This Row],[Target]]&gt;=Table1[[#This Row],[Last value]],Table1[[#This Row],[Last value]]&gt;Table1[[#This Row],[Target]]),1,0)</f>
        <v>0</v>
      </c>
      <c r="R69" s="4">
        <f>IF(Table1[[#This Row],[Target]]&gt;=Table1[[#This Row],[Last value]],1,0)</f>
        <v>1</v>
      </c>
      <c r="S69" s="4" t="str">
        <f t="shared" si="0"/>
        <v>Green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34">
        <v>0</v>
      </c>
      <c r="CK69" s="34">
        <v>0.7</v>
      </c>
      <c r="CL69" s="43">
        <v>0.9</v>
      </c>
      <c r="CM69" s="4">
        <v>0.9</v>
      </c>
      <c r="CN69" s="53">
        <v>0</v>
      </c>
      <c r="CO69" s="54">
        <v>0.9</v>
      </c>
      <c r="CP69" s="54">
        <v>0.6</v>
      </c>
      <c r="CQ69" s="4">
        <v>1.2</v>
      </c>
    </row>
    <row r="70" spans="1:95" s="55" customFormat="1" x14ac:dyDescent="0.35">
      <c r="A70" s="55">
        <v>69</v>
      </c>
      <c r="B70" s="55" t="s">
        <v>111</v>
      </c>
      <c r="C70" s="27" t="s">
        <v>706</v>
      </c>
      <c r="D70" s="6" t="s">
        <v>88</v>
      </c>
      <c r="E70" s="33" t="s">
        <v>89</v>
      </c>
      <c r="F70" s="4">
        <f>IFERROR(AVERAGEIF(Table1[[#This Row],[2019-Apr]:[2025-July]],"&lt;&gt;0"),0)</f>
        <v>2.8866666666666658</v>
      </c>
      <c r="G70" s="4">
        <f ca="1">IFERROR(AVERAGEIF(OFFSET(Table1[[#This Row],[Status]],0,COUNT(Table1[[#This Row],[2019-May]:[2025-July]]),1,-12),"&lt;&gt;0"),0)</f>
        <v>3.2918181818181811</v>
      </c>
      <c r="H70" s="55">
        <f>IFERROR(SMALL(Table1[[#This Row],[2019-Apr]:[2025-July]],COUNTIF(Table1[[#This Row],[2019-Apr]:[2025-July]],0)+1),0)</f>
        <v>0.65</v>
      </c>
      <c r="I70" s="55">
        <f>IFERROR(MAX(Table1[[#This Row],[2019-Apr]:[2025-July]]),0)</f>
        <v>4.5999999999999996</v>
      </c>
      <c r="J70" s="4" cm="1">
        <f t="array" ref="J7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1.8316666666666663</v>
      </c>
      <c r="K70" s="4">
        <v>4.5</v>
      </c>
      <c r="L70" s="4">
        <f>IF(Table1[[#This Row],[Standard as per ISO]]&gt;=Table1[[#This Row],[Avg of best 6]],Table1[[#This Row],[Standard as per ISO]],Table1[[#This Row],[Avg of best 6]])</f>
        <v>4.5</v>
      </c>
      <c r="M70" s="4" cm="1">
        <f t="array" ref="M70">IFERROR(LOOKUP(2,1/(Table1[[#This Row],[2019-May]:[2025-July]]&lt;&gt;0),Table1[[#This Row],[2019-May]:[2025-July]]),0)</f>
        <v>3</v>
      </c>
      <c r="N70" s="4">
        <f>COUNTIF(Table1[[#This Row],[2019-Apr]:[2025-July]],"&gt;="&amp;Table1[[#This Row],[Target]])</f>
        <v>1</v>
      </c>
      <c r="O70" s="4">
        <f>IF(Table1[[#This Row],[Outliers 2Y]]=0,1,0)</f>
        <v>0</v>
      </c>
      <c r="P70" s="4">
        <f>IF(Table1[[#This Row],[Last value]]&gt;1.5*Table1[[#This Row],[Target]],1,0)</f>
        <v>0</v>
      </c>
      <c r="Q70" s="4">
        <f>IF(AND(1.5*Table1[[#This Row],[Target]]&gt;=Table1[[#This Row],[Last value]],Table1[[#This Row],[Last value]]&gt;Table1[[#This Row],[Target]]),1,0)</f>
        <v>0</v>
      </c>
      <c r="R70" s="4">
        <f>IF(Table1[[#This Row],[Target]]&gt;=Table1[[#This Row],[Last value]],1,0)</f>
        <v>1</v>
      </c>
      <c r="S70" s="4" t="str">
        <f t="shared" si="0"/>
        <v>Green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4">
        <v>0.65</v>
      </c>
      <c r="BV70" s="4">
        <v>1.65</v>
      </c>
      <c r="BW70" s="4">
        <v>0</v>
      </c>
      <c r="BX70" s="4">
        <v>0</v>
      </c>
      <c r="BY70" s="4">
        <v>0</v>
      </c>
      <c r="BZ70" s="55">
        <v>0</v>
      </c>
      <c r="CA70" s="55">
        <v>0</v>
      </c>
      <c r="CB70" s="55">
        <v>0</v>
      </c>
      <c r="CC70" s="55">
        <v>0</v>
      </c>
      <c r="CD70" s="55">
        <v>1.79</v>
      </c>
      <c r="CE70" s="19">
        <v>2.2799999999999998</v>
      </c>
      <c r="CF70" s="19">
        <v>4.5999999999999996</v>
      </c>
      <c r="CG70" s="4">
        <v>2.79</v>
      </c>
      <c r="CH70" s="4">
        <v>1.92</v>
      </c>
      <c r="CI70" s="4">
        <v>3.12</v>
      </c>
      <c r="CJ70" s="34">
        <v>2.7</v>
      </c>
      <c r="CK70" s="34">
        <v>4.3</v>
      </c>
      <c r="CL70" s="43">
        <v>3.7</v>
      </c>
      <c r="CM70" s="4">
        <v>4.2</v>
      </c>
      <c r="CN70" s="53">
        <v>0</v>
      </c>
      <c r="CO70" s="54">
        <v>3.3</v>
      </c>
      <c r="CP70" s="54">
        <v>3.3</v>
      </c>
      <c r="CQ70" s="4">
        <v>3</v>
      </c>
    </row>
    <row r="71" spans="1:95" s="55" customFormat="1" x14ac:dyDescent="0.35">
      <c r="A71" s="55">
        <v>70</v>
      </c>
      <c r="B71" s="55" t="s">
        <v>111</v>
      </c>
      <c r="C71" s="27" t="s">
        <v>707</v>
      </c>
      <c r="D71" s="6" t="s">
        <v>88</v>
      </c>
      <c r="E71" s="33" t="s">
        <v>89</v>
      </c>
      <c r="F71" s="4">
        <f>IFERROR(AVERAGEIF(Table1[[#This Row],[2019-Apr]:[2025-July]],"&lt;&gt;0"),0)</f>
        <v>6.0547058823529412</v>
      </c>
      <c r="G71" s="4">
        <f ca="1">IFERROR(AVERAGEIF(OFFSET(Table1[[#This Row],[Status]],0,COUNT(Table1[[#This Row],[2019-May]:[2025-July]]),1,-12),"&lt;&gt;0"),0)</f>
        <v>4.1936363636363625</v>
      </c>
      <c r="H71" s="55">
        <f>IFERROR(SMALL(Table1[[#This Row],[2019-Apr]:[2025-July]],COUNTIF(Table1[[#This Row],[2019-Apr]:[2025-July]],0)+1),0)</f>
        <v>2.08</v>
      </c>
      <c r="I71" s="55">
        <f>IFERROR(MAX(Table1[[#This Row],[2019-Apr]:[2025-July]]),0)</f>
        <v>22.96</v>
      </c>
      <c r="J71" s="4" cm="1">
        <f t="array" ref="J7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2.8699999999999997</v>
      </c>
      <c r="K71" s="4">
        <v>4.5</v>
      </c>
      <c r="L71" s="4">
        <f>IF(Table1[[#This Row],[Standard as per ISO]]&gt;=Table1[[#This Row],[Avg of best 6]],Table1[[#This Row],[Standard as per ISO]],Table1[[#This Row],[Avg of best 6]])</f>
        <v>4.5</v>
      </c>
      <c r="M71" s="4" cm="1">
        <f t="array" ref="M71">IFERROR(LOOKUP(2,1/(Table1[[#This Row],[2019-May]:[2025-July]]&lt;&gt;0),Table1[[#This Row],[2019-May]:[2025-July]]),0)</f>
        <v>4.7</v>
      </c>
      <c r="N71" s="4">
        <f>COUNTIF(Table1[[#This Row],[2019-Apr]:[2025-July]],"&gt;="&amp;Table1[[#This Row],[Target]])</f>
        <v>5</v>
      </c>
      <c r="O71" s="4">
        <f>IF(Table1[[#This Row],[Outliers 2Y]]=0,1,0)</f>
        <v>0</v>
      </c>
      <c r="P71" s="4">
        <f>IF(Table1[[#This Row],[Last value]]&gt;1.5*Table1[[#This Row],[Target]],1,0)</f>
        <v>0</v>
      </c>
      <c r="Q71" s="4">
        <f>IF(AND(1.5*Table1[[#This Row],[Target]]&gt;=Table1[[#This Row],[Last value]],Table1[[#This Row],[Last value]]&gt;Table1[[#This Row],[Target]]),1,0)</f>
        <v>1</v>
      </c>
      <c r="R71" s="4">
        <f>IF(Table1[[#This Row],[Target]]&gt;=Table1[[#This Row],[Last value]],1,0)</f>
        <v>0</v>
      </c>
      <c r="S71" s="4" t="str">
        <f t="shared" si="0"/>
        <v>Yellow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4">
        <v>3.01</v>
      </c>
      <c r="BW71" s="4">
        <v>0</v>
      </c>
      <c r="BX71" s="4">
        <v>0</v>
      </c>
      <c r="BY71" s="4">
        <v>0</v>
      </c>
      <c r="BZ71" s="55">
        <v>0</v>
      </c>
      <c r="CA71" s="55">
        <v>22.96</v>
      </c>
      <c r="CB71" s="55">
        <v>19.07</v>
      </c>
      <c r="CC71" s="55">
        <v>3.33</v>
      </c>
      <c r="CD71" s="55">
        <v>3.73</v>
      </c>
      <c r="CE71" s="19">
        <v>10.9</v>
      </c>
      <c r="CF71" s="19">
        <v>2.08</v>
      </c>
      <c r="CG71" s="4">
        <v>5.0999999999999996</v>
      </c>
      <c r="CH71" s="4">
        <v>4.0599999999999996</v>
      </c>
      <c r="CI71" s="4">
        <v>3.79</v>
      </c>
      <c r="CJ71" s="34">
        <v>4.0999999999999996</v>
      </c>
      <c r="CK71" s="34">
        <v>2.8</v>
      </c>
      <c r="CL71" s="43">
        <v>3.5</v>
      </c>
      <c r="CM71" s="4">
        <v>3.8</v>
      </c>
      <c r="CN71" s="53">
        <v>0</v>
      </c>
      <c r="CO71" s="54">
        <v>2.8</v>
      </c>
      <c r="CP71" s="54">
        <v>3.2</v>
      </c>
      <c r="CQ71" s="4">
        <v>4.7</v>
      </c>
    </row>
    <row r="72" spans="1:95" s="55" customFormat="1" x14ac:dyDescent="0.35">
      <c r="A72" s="55">
        <v>71</v>
      </c>
      <c r="B72" s="55" t="s">
        <v>111</v>
      </c>
      <c r="C72" s="27" t="s">
        <v>708</v>
      </c>
      <c r="D72" s="6" t="s">
        <v>88</v>
      </c>
      <c r="E72" s="33" t="s">
        <v>89</v>
      </c>
      <c r="F72" s="4">
        <f>IFERROR(AVERAGEIF(Table1[[#This Row],[2019-Apr]:[2025-July]],"&lt;&gt;0"),0)</f>
        <v>2.4222222222222221</v>
      </c>
      <c r="G72" s="4">
        <f ca="1">IFERROR(AVERAGEIF(OFFSET(Table1[[#This Row],[Status]],0,COUNT(Table1[[#This Row],[2019-May]:[2025-July]]),1,-12),"&lt;&gt;0"),0)</f>
        <v>2.1749999999999998</v>
      </c>
      <c r="H72" s="55">
        <f>IFERROR(SMALL(Table1[[#This Row],[2019-Apr]:[2025-July]],COUNTIF(Table1[[#This Row],[2019-Apr]:[2025-July]],0)+1),0)</f>
        <v>1.3</v>
      </c>
      <c r="I72" s="55">
        <f>IFERROR(MAX(Table1[[#This Row],[2019-Apr]:[2025-July]]),0)</f>
        <v>4.4000000000000004</v>
      </c>
      <c r="J72" s="4" cm="1">
        <f t="array" ref="J7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1.8333333333333333</v>
      </c>
      <c r="K72" s="4">
        <v>4.5</v>
      </c>
      <c r="L72" s="4">
        <f>IF(Table1[[#This Row],[Standard as per ISO]]&gt;=Table1[[#This Row],[Avg of best 6]],Table1[[#This Row],[Standard as per ISO]],Table1[[#This Row],[Avg of best 6]])</f>
        <v>4.5</v>
      </c>
      <c r="M72" s="4" cm="1">
        <f t="array" ref="M72">IFERROR(LOOKUP(2,1/(Table1[[#This Row],[2019-May]:[2025-July]]&lt;&gt;0),Table1[[#This Row],[2019-May]:[2025-July]]),0)</f>
        <v>4.4000000000000004</v>
      </c>
      <c r="N72" s="4">
        <f>COUNTIF(Table1[[#This Row],[2019-Apr]:[2025-July]],"&gt;="&amp;Table1[[#This Row],[Target]])</f>
        <v>0</v>
      </c>
      <c r="O72" s="4">
        <f>IF(Table1[[#This Row],[Outliers 2Y]]=0,1,0)</f>
        <v>1</v>
      </c>
      <c r="P72" s="4">
        <f>IF(Table1[[#This Row],[Last value]]&gt;1.5*Table1[[#This Row],[Target]],1,0)</f>
        <v>0</v>
      </c>
      <c r="Q72" s="4">
        <f>IF(AND(1.5*Table1[[#This Row],[Target]]&gt;=Table1[[#This Row],[Last value]],Table1[[#This Row],[Last value]]&gt;Table1[[#This Row],[Target]]),1,0)</f>
        <v>0</v>
      </c>
      <c r="R72" s="4">
        <f>IF(Table1[[#This Row],[Target]]&gt;=Table1[[#This Row],[Last value]],1,0)</f>
        <v>1</v>
      </c>
      <c r="S72" s="4" t="str">
        <f t="shared" si="0"/>
        <v>Green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19">
        <v>2.5</v>
      </c>
      <c r="CG72" s="4">
        <v>0</v>
      </c>
      <c r="CH72" s="4">
        <v>0</v>
      </c>
      <c r="CI72" s="4">
        <v>0</v>
      </c>
      <c r="CJ72" s="34">
        <v>1.4</v>
      </c>
      <c r="CK72" s="34">
        <v>1.3</v>
      </c>
      <c r="CL72" s="43">
        <v>2.5</v>
      </c>
      <c r="CM72" s="4">
        <v>1.5</v>
      </c>
      <c r="CN72" s="53">
        <v>1.8</v>
      </c>
      <c r="CO72" s="54">
        <v>3.2</v>
      </c>
      <c r="CP72" s="54">
        <v>3.2</v>
      </c>
      <c r="CQ72" s="4">
        <v>4.4000000000000004</v>
      </c>
    </row>
    <row r="73" spans="1:95" s="55" customFormat="1" x14ac:dyDescent="0.35">
      <c r="A73" s="55">
        <v>72</v>
      </c>
      <c r="B73" s="55" t="s">
        <v>111</v>
      </c>
      <c r="C73" s="27" t="s">
        <v>709</v>
      </c>
      <c r="D73" s="6" t="s">
        <v>88</v>
      </c>
      <c r="E73" s="33" t="s">
        <v>89</v>
      </c>
      <c r="F73" s="4">
        <f>IFERROR(AVERAGEIF(Table1[[#This Row],[2019-Apr]:[2025-July]],"&lt;&gt;0"),0)</f>
        <v>0</v>
      </c>
      <c r="G73" s="4">
        <f ca="1">IFERROR(AVERAGEIF(OFFSET(Table1[[#This Row],[Status]],0,COUNT(Table1[[#This Row],[2019-May]:[2025-July]]),1,-12),"&lt;&gt;0"),0)</f>
        <v>0</v>
      </c>
      <c r="H73" s="55">
        <f>IFERROR(SMALL(Table1[[#This Row],[2019-Apr]:[2025-July]],COUNTIF(Table1[[#This Row],[2019-Apr]:[2025-July]],0)+1),0)</f>
        <v>0</v>
      </c>
      <c r="I73" s="55">
        <f>IFERROR(MAX(Table1[[#This Row],[2019-Apr]:[2025-July]]),0)</f>
        <v>0</v>
      </c>
      <c r="J73" s="4" cm="1">
        <f t="array" ref="J7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73" s="4">
        <v>4.5</v>
      </c>
      <c r="L73" s="4">
        <f>IF(Table1[[#This Row],[Standard as per ISO]]&gt;=Table1[[#This Row],[Avg of best 6]],Table1[[#This Row],[Standard as per ISO]],Table1[[#This Row],[Avg of best 6]])</f>
        <v>4.5</v>
      </c>
      <c r="M73" s="4" cm="1">
        <f t="array" ref="M73">IFERROR(LOOKUP(2,1/(Table1[[#This Row],[2019-May]:[2025-July]]&lt;&gt;0),Table1[[#This Row],[2019-May]:[2025-July]]),0)</f>
        <v>0</v>
      </c>
      <c r="N73" s="4">
        <f>COUNTIF(Table1[[#This Row],[2019-Apr]:[2025-July]],"&gt;="&amp;Table1[[#This Row],[Target]])</f>
        <v>0</v>
      </c>
      <c r="O73" s="4">
        <f>IF(Table1[[#This Row],[Outliers 2Y]]=0,1,0)</f>
        <v>1</v>
      </c>
      <c r="P73" s="4">
        <f>IF(Table1[[#This Row],[Last value]]&gt;1.5*Table1[[#This Row],[Target]],1,0)</f>
        <v>0</v>
      </c>
      <c r="Q73" s="4">
        <f>IF(AND(1.5*Table1[[#This Row],[Target]]&gt;=Table1[[#This Row],[Last value]],Table1[[#This Row],[Last value]]&gt;Table1[[#This Row],[Target]]),1,0)</f>
        <v>0</v>
      </c>
      <c r="R73" s="4">
        <f>IF(Table1[[#This Row],[Target]]&gt;=Table1[[#This Row],[Last value]],1,0)</f>
        <v>1</v>
      </c>
      <c r="S73" s="4" t="str">
        <f t="shared" si="0"/>
        <v>Green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34">
        <v>0</v>
      </c>
      <c r="CK73" s="34">
        <v>0</v>
      </c>
      <c r="CL73" s="43">
        <v>0</v>
      </c>
      <c r="CM73" s="4">
        <v>0</v>
      </c>
      <c r="CN73" s="53">
        <v>0</v>
      </c>
      <c r="CO73" s="54">
        <v>0</v>
      </c>
      <c r="CP73" s="54">
        <v>0</v>
      </c>
      <c r="CQ73" s="4">
        <v>0</v>
      </c>
    </row>
    <row r="74" spans="1:95" s="55" customFormat="1" x14ac:dyDescent="0.35">
      <c r="A74" s="55">
        <v>73</v>
      </c>
      <c r="B74" s="55" t="s">
        <v>111</v>
      </c>
      <c r="C74" s="27" t="s">
        <v>710</v>
      </c>
      <c r="D74" s="6" t="s">
        <v>88</v>
      </c>
      <c r="E74" s="33" t="s">
        <v>89</v>
      </c>
      <c r="F74" s="4">
        <f>IFERROR(AVERAGEIF(Table1[[#This Row],[2019-Apr]:[2025-July]],"&lt;&gt;0"),0)</f>
        <v>4.3266666666666662</v>
      </c>
      <c r="G74" s="4">
        <f ca="1">IFERROR(AVERAGEIF(OFFSET(Table1[[#This Row],[Status]],0,COUNT(Table1[[#This Row],[2019-May]:[2025-July]]),1,-12),"&lt;&gt;0"),0)</f>
        <v>4.3266666666666662</v>
      </c>
      <c r="H74" s="55">
        <f>IFERROR(SMALL(Table1[[#This Row],[2019-Apr]:[2025-July]],COUNTIF(Table1[[#This Row],[2019-Apr]:[2025-July]],0)+1),0)</f>
        <v>3.1</v>
      </c>
      <c r="I74" s="55">
        <f>IFERROR(MAX(Table1[[#This Row],[2019-Apr]:[2025-July]]),0)</f>
        <v>5.3</v>
      </c>
      <c r="J74" s="4" cm="1">
        <f t="array" ref="J7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3.9016666666666668</v>
      </c>
      <c r="K74" s="4">
        <v>4.5</v>
      </c>
      <c r="L74" s="4">
        <f>IF(Table1[[#This Row],[Standard as per ISO]]&gt;=Table1[[#This Row],[Avg of best 6]],Table1[[#This Row],[Standard as per ISO]],Table1[[#This Row],[Avg of best 6]])</f>
        <v>4.5</v>
      </c>
      <c r="M74" s="4" cm="1">
        <f t="array" ref="M74">IFERROR(LOOKUP(2,1/(Table1[[#This Row],[2019-May]:[2025-July]]&lt;&gt;0),Table1[[#This Row],[2019-May]:[2025-July]]),0)</f>
        <v>5.27</v>
      </c>
      <c r="N74" s="4">
        <f>COUNTIF(Table1[[#This Row],[2019-Apr]:[2025-July]],"&gt;="&amp;Table1[[#This Row],[Target]])</f>
        <v>4</v>
      </c>
      <c r="O74" s="4">
        <f>IF(Table1[[#This Row],[Outliers 2Y]]=0,1,0)</f>
        <v>0</v>
      </c>
      <c r="P74" s="4">
        <f>IF(Table1[[#This Row],[Last value]]&gt;1.5*Table1[[#This Row],[Target]],1,0)</f>
        <v>0</v>
      </c>
      <c r="Q74" s="4">
        <f>IF(AND(1.5*Table1[[#This Row],[Target]]&gt;=Table1[[#This Row],[Last value]],Table1[[#This Row],[Last value]]&gt;Table1[[#This Row],[Target]]),1,0)</f>
        <v>1</v>
      </c>
      <c r="R74" s="4">
        <f>IF(Table1[[#This Row],[Target]]&gt;=Table1[[#This Row],[Last value]],1,0)</f>
        <v>0</v>
      </c>
      <c r="S74" s="4" t="str">
        <f t="shared" si="0"/>
        <v>Yellow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19">
        <v>4.96</v>
      </c>
      <c r="CF74" s="19">
        <v>3.68</v>
      </c>
      <c r="CG74" s="4">
        <v>0</v>
      </c>
      <c r="CH74" s="4">
        <v>0</v>
      </c>
      <c r="CI74" s="4">
        <v>4.7300000000000004</v>
      </c>
      <c r="CJ74" s="34">
        <v>4.0999999999999996</v>
      </c>
      <c r="CK74" s="34">
        <v>3.5</v>
      </c>
      <c r="CL74" s="43">
        <v>3.1</v>
      </c>
      <c r="CM74" s="4">
        <v>4.3</v>
      </c>
      <c r="CN74" s="53">
        <v>5.3</v>
      </c>
      <c r="CO74" s="54">
        <v>5.27</v>
      </c>
      <c r="CP74" s="54">
        <v>0</v>
      </c>
      <c r="CQ74" s="4">
        <v>0</v>
      </c>
    </row>
    <row r="75" spans="1:95" s="55" customFormat="1" x14ac:dyDescent="0.35">
      <c r="A75" s="55">
        <v>74</v>
      </c>
      <c r="B75" s="55" t="s">
        <v>111</v>
      </c>
      <c r="C75" s="27" t="s">
        <v>711</v>
      </c>
      <c r="D75" s="6" t="s">
        <v>88</v>
      </c>
      <c r="E75" s="33" t="s">
        <v>89</v>
      </c>
      <c r="F75" s="4">
        <f>IFERROR(AVERAGEIF(Table1[[#This Row],[2019-Apr]:[2025-July]],"&lt;&gt;0"),0)</f>
        <v>0</v>
      </c>
      <c r="G75" s="4">
        <f ca="1">IFERROR(AVERAGEIF(OFFSET(Table1[[#This Row],[Status]],0,COUNT(Table1[[#This Row],[2019-May]:[2025-July]]),1,-12),"&lt;&gt;0"),0)</f>
        <v>0</v>
      </c>
      <c r="H75" s="55">
        <f>IFERROR(SMALL(Table1[[#This Row],[2019-Apr]:[2025-July]],COUNTIF(Table1[[#This Row],[2019-Apr]:[2025-July]],0)+1),0)</f>
        <v>0</v>
      </c>
      <c r="I75" s="55">
        <f>IFERROR(MAX(Table1[[#This Row],[2019-Apr]:[2025-July]]),0)</f>
        <v>0</v>
      </c>
      <c r="J75" s="4" cm="1">
        <f t="array" ref="J7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75" s="4">
        <v>4.5</v>
      </c>
      <c r="L75" s="4">
        <f>IF(Table1[[#This Row],[Standard as per ISO]]&gt;=Table1[[#This Row],[Avg of best 6]],Table1[[#This Row],[Standard as per ISO]],Table1[[#This Row],[Avg of best 6]])</f>
        <v>4.5</v>
      </c>
      <c r="M75" s="4" cm="1">
        <f t="array" ref="M75">IFERROR(LOOKUP(2,1/(Table1[[#This Row],[2019-May]:[2025-July]]&lt;&gt;0),Table1[[#This Row],[2019-May]:[2025-July]]),0)</f>
        <v>0</v>
      </c>
      <c r="N75" s="4">
        <f>COUNTIF(Table1[[#This Row],[2019-Apr]:[2025-July]],"&gt;="&amp;Table1[[#This Row],[Target]])</f>
        <v>0</v>
      </c>
      <c r="O75" s="4">
        <f>IF(Table1[[#This Row],[Outliers 2Y]]=0,1,0)</f>
        <v>1</v>
      </c>
      <c r="P75" s="4">
        <f>IF(Table1[[#This Row],[Last value]]&gt;1.5*Table1[[#This Row],[Target]],1,0)</f>
        <v>0</v>
      </c>
      <c r="Q75" s="4">
        <f>IF(AND(1.5*Table1[[#This Row],[Target]]&gt;=Table1[[#This Row],[Last value]],Table1[[#This Row],[Last value]]&gt;Table1[[#This Row],[Target]]),1,0)</f>
        <v>0</v>
      </c>
      <c r="R75" s="4">
        <f>IF(Table1[[#This Row],[Target]]&gt;=Table1[[#This Row],[Last value]],1,0)</f>
        <v>1</v>
      </c>
      <c r="S75" s="4" t="str">
        <f t="shared" si="0"/>
        <v>Green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34">
        <v>0</v>
      </c>
      <c r="CK75" s="34">
        <v>0</v>
      </c>
      <c r="CL75" s="43">
        <v>0</v>
      </c>
      <c r="CM75" s="4">
        <v>0</v>
      </c>
      <c r="CN75" s="53">
        <v>0</v>
      </c>
      <c r="CO75" s="54">
        <v>0</v>
      </c>
      <c r="CP75" s="54">
        <v>0</v>
      </c>
      <c r="CQ75" s="4">
        <v>0</v>
      </c>
    </row>
    <row r="76" spans="1:95" s="55" customFormat="1" x14ac:dyDescent="0.35">
      <c r="A76" s="55">
        <v>75</v>
      </c>
      <c r="B76" s="55" t="s">
        <v>111</v>
      </c>
      <c r="C76" s="27" t="s">
        <v>712</v>
      </c>
      <c r="D76" s="6" t="s">
        <v>88</v>
      </c>
      <c r="E76" s="33" t="s">
        <v>91</v>
      </c>
      <c r="F76" s="4">
        <f>IFERROR(AVERAGEIF(Table1[[#This Row],[2019-Apr]:[2025-July]],"&lt;&gt;0"),0)</f>
        <v>0</v>
      </c>
      <c r="G76" s="4">
        <f ca="1">IFERROR(AVERAGEIF(OFFSET(Table1[[#This Row],[Status]],0,COUNT(Table1[[#This Row],[2019-May]:[2025-July]]),1,-12),"&lt;&gt;0"),0)</f>
        <v>0</v>
      </c>
      <c r="H76" s="55">
        <f>IFERROR(SMALL(Table1[[#This Row],[2019-Apr]:[2025-July]],COUNTIF(Table1[[#This Row],[2019-Apr]:[2025-July]],0)+1),0)</f>
        <v>0</v>
      </c>
      <c r="I76" s="55">
        <f>IFERROR(MAX(Table1[[#This Row],[2019-Apr]:[2025-July]]),0)</f>
        <v>0</v>
      </c>
      <c r="J76" s="4" cm="1">
        <f t="array" ref="J7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76" s="4">
        <v>4.5</v>
      </c>
      <c r="L76" s="4">
        <f>IF(Table1[[#This Row],[Standard as per ISO]]&gt;=Table1[[#This Row],[Avg of best 6]],Table1[[#This Row],[Standard as per ISO]],Table1[[#This Row],[Avg of best 6]])</f>
        <v>4.5</v>
      </c>
      <c r="M76" s="4" cm="1">
        <f t="array" ref="M76">IFERROR(LOOKUP(2,1/(Table1[[#This Row],[2019-May]:[2025-July]]&lt;&gt;0),Table1[[#This Row],[2019-May]:[2025-July]]),0)</f>
        <v>0</v>
      </c>
      <c r="N76" s="4">
        <f>COUNTIF(Table1[[#This Row],[2019-Apr]:[2025-July]],"&gt;="&amp;Table1[[#This Row],[Target]])</f>
        <v>0</v>
      </c>
      <c r="O76" s="4">
        <f>IF(Table1[[#This Row],[Outliers 2Y]]=0,1,0)</f>
        <v>1</v>
      </c>
      <c r="P76" s="4">
        <f>IF(Table1[[#This Row],[Last value]]&gt;1.5*Table1[[#This Row],[Target]],1,0)</f>
        <v>0</v>
      </c>
      <c r="Q76" s="4">
        <f>IF(AND(1.5*Table1[[#This Row],[Target]]&gt;=Table1[[#This Row],[Last value]],Table1[[#This Row],[Last value]]&gt;Table1[[#This Row],[Target]]),1,0)</f>
        <v>0</v>
      </c>
      <c r="R76" s="4">
        <f>IF(Table1[[#This Row],[Target]]&gt;=Table1[[#This Row],[Last value]],1,0)</f>
        <v>1</v>
      </c>
      <c r="S76" s="4" t="str">
        <f t="shared" si="0"/>
        <v>Green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34">
        <v>0</v>
      </c>
      <c r="CK76" s="34">
        <v>0</v>
      </c>
      <c r="CL76" s="34">
        <v>0</v>
      </c>
      <c r="CM76" s="4">
        <v>0</v>
      </c>
      <c r="CN76" s="53">
        <v>0</v>
      </c>
      <c r="CO76" s="54">
        <v>0</v>
      </c>
      <c r="CP76" s="54">
        <v>0</v>
      </c>
      <c r="CQ76" s="4">
        <v>0</v>
      </c>
    </row>
    <row r="77" spans="1:95" s="55" customFormat="1" x14ac:dyDescent="0.35">
      <c r="A77" s="55">
        <v>76</v>
      </c>
      <c r="B77" s="55" t="s">
        <v>111</v>
      </c>
      <c r="C77" s="27" t="s">
        <v>713</v>
      </c>
      <c r="D77" s="6" t="s">
        <v>88</v>
      </c>
      <c r="E77" s="33" t="s">
        <v>91</v>
      </c>
      <c r="F77" s="4">
        <f>IFERROR(AVERAGEIF(Table1[[#This Row],[2019-Apr]:[2025-July]],"&lt;&gt;0"),0)</f>
        <v>0</v>
      </c>
      <c r="G77" s="4">
        <f ca="1">IFERROR(AVERAGEIF(OFFSET(Table1[[#This Row],[Status]],0,COUNT(Table1[[#This Row],[2019-May]:[2025-July]]),1,-12),"&lt;&gt;0"),0)</f>
        <v>0</v>
      </c>
      <c r="H77" s="55">
        <f>IFERROR(SMALL(Table1[[#This Row],[2019-Apr]:[2025-July]],COUNTIF(Table1[[#This Row],[2019-Apr]:[2025-July]],0)+1),0)</f>
        <v>0</v>
      </c>
      <c r="I77" s="55">
        <f>IFERROR(MAX(Table1[[#This Row],[2019-Apr]:[2025-July]]),0)</f>
        <v>0</v>
      </c>
      <c r="J77" s="4" cm="1">
        <f t="array" ref="J7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77" s="4">
        <v>4.5</v>
      </c>
      <c r="L77" s="4">
        <f>IF(Table1[[#This Row],[Standard as per ISO]]&gt;=Table1[[#This Row],[Avg of best 6]],Table1[[#This Row],[Standard as per ISO]],Table1[[#This Row],[Avg of best 6]])</f>
        <v>4.5</v>
      </c>
      <c r="M77" s="4" cm="1">
        <f t="array" ref="M77">IFERROR(LOOKUP(2,1/(Table1[[#This Row],[2019-May]:[2025-July]]&lt;&gt;0),Table1[[#This Row],[2019-May]:[2025-July]]),0)</f>
        <v>0</v>
      </c>
      <c r="N77" s="4">
        <f>COUNTIF(Table1[[#This Row],[2019-Apr]:[2025-July]],"&gt;="&amp;Table1[[#This Row],[Target]])</f>
        <v>0</v>
      </c>
      <c r="O77" s="4">
        <f>IF(Table1[[#This Row],[Outliers 2Y]]=0,1,0)</f>
        <v>1</v>
      </c>
      <c r="P77" s="4">
        <f>IF(Table1[[#This Row],[Last value]]&gt;1.5*Table1[[#This Row],[Target]],1,0)</f>
        <v>0</v>
      </c>
      <c r="Q77" s="4">
        <f>IF(AND(1.5*Table1[[#This Row],[Target]]&gt;=Table1[[#This Row],[Last value]],Table1[[#This Row],[Last value]]&gt;Table1[[#This Row],[Target]]),1,0)</f>
        <v>0</v>
      </c>
      <c r="R77" s="4">
        <f>IF(Table1[[#This Row],[Target]]&gt;=Table1[[#This Row],[Last value]],1,0)</f>
        <v>1</v>
      </c>
      <c r="S77" s="4" t="str">
        <f t="shared" si="0"/>
        <v>Green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34">
        <v>0</v>
      </c>
      <c r="CK77" s="34">
        <v>0</v>
      </c>
      <c r="CL77" s="34">
        <v>0</v>
      </c>
      <c r="CM77" s="4">
        <v>0</v>
      </c>
      <c r="CN77" s="53">
        <v>0</v>
      </c>
      <c r="CO77" s="54">
        <v>0</v>
      </c>
      <c r="CP77" s="54">
        <v>0</v>
      </c>
      <c r="CQ77" s="4">
        <v>0</v>
      </c>
    </row>
    <row r="78" spans="1:95" s="55" customFormat="1" x14ac:dyDescent="0.35">
      <c r="A78" s="55">
        <v>77</v>
      </c>
      <c r="B78" s="55" t="s">
        <v>111</v>
      </c>
      <c r="C78" s="27" t="s">
        <v>714</v>
      </c>
      <c r="D78" s="6" t="s">
        <v>88</v>
      </c>
      <c r="E78" s="33" t="s">
        <v>89</v>
      </c>
      <c r="F78" s="4">
        <f>IFERROR(AVERAGEIF(Table1[[#This Row],[2019-Apr]:[2025-July]],"&lt;&gt;0"),0)</f>
        <v>2.8000000000000003</v>
      </c>
      <c r="G78" s="4">
        <f ca="1">IFERROR(AVERAGEIF(OFFSET(Table1[[#This Row],[Status]],0,COUNT(Table1[[#This Row],[2019-May]:[2025-July]]),1,-12),"&lt;&gt;0"),0)</f>
        <v>2.8000000000000003</v>
      </c>
      <c r="H78" s="55">
        <f>IFERROR(SMALL(Table1[[#This Row],[2019-Apr]:[2025-July]],COUNTIF(Table1[[#This Row],[2019-Apr]:[2025-July]],0)+1),0)</f>
        <v>2</v>
      </c>
      <c r="I78" s="55">
        <f>IFERROR(MAX(Table1[[#This Row],[2019-Apr]:[2025-July]]),0)</f>
        <v>4</v>
      </c>
      <c r="J78" s="4" cm="1">
        <f t="array" ref="J7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</v>
      </c>
      <c r="K78" s="4">
        <v>4.5</v>
      </c>
      <c r="L78" s="4">
        <f>IF(Table1[[#This Row],[Standard as per ISO]]&gt;=Table1[[#This Row],[Avg of best 6]],Table1[[#This Row],[Standard as per ISO]],Table1[[#This Row],[Avg of best 6]])</f>
        <v>4.5</v>
      </c>
      <c r="M78" s="4" cm="1">
        <f t="array" ref="M78">IFERROR(LOOKUP(2,1/(Table1[[#This Row],[2019-May]:[2025-July]]&lt;&gt;0),Table1[[#This Row],[2019-May]:[2025-July]]),0)</f>
        <v>2.8</v>
      </c>
      <c r="N78" s="4">
        <f>COUNTIF(Table1[[#This Row],[2019-Apr]:[2025-July]],"&gt;="&amp;Table1[[#This Row],[Target]])</f>
        <v>0</v>
      </c>
      <c r="O78" s="4">
        <f>IF(Table1[[#This Row],[Outliers 2Y]]=0,1,0)</f>
        <v>1</v>
      </c>
      <c r="P78" s="4">
        <f>IF(Table1[[#This Row],[Last value]]&gt;1.5*Table1[[#This Row],[Target]],1,0)</f>
        <v>0</v>
      </c>
      <c r="Q78" s="4">
        <f>IF(AND(1.5*Table1[[#This Row],[Target]]&gt;=Table1[[#This Row],[Last value]],Table1[[#This Row],[Last value]]&gt;Table1[[#This Row],[Target]]),1,0)</f>
        <v>0</v>
      </c>
      <c r="R78" s="4">
        <f>IF(Table1[[#This Row],[Target]]&gt;=Table1[[#This Row],[Last value]],1,0)</f>
        <v>1</v>
      </c>
      <c r="S78" s="4" t="str">
        <f t="shared" si="0"/>
        <v>Green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34">
        <v>2.2999999999999998</v>
      </c>
      <c r="CK78" s="34">
        <v>2</v>
      </c>
      <c r="CL78" s="43">
        <v>3.6</v>
      </c>
      <c r="CM78" s="4">
        <v>0</v>
      </c>
      <c r="CN78" s="53">
        <v>4</v>
      </c>
      <c r="CO78" s="54">
        <v>2</v>
      </c>
      <c r="CP78" s="54">
        <v>2.9</v>
      </c>
      <c r="CQ78" s="4">
        <v>2.8</v>
      </c>
    </row>
    <row r="79" spans="1:95" s="55" customFormat="1" x14ac:dyDescent="0.35">
      <c r="A79" s="55">
        <v>78</v>
      </c>
      <c r="B79" s="55" t="s">
        <v>111</v>
      </c>
      <c r="C79" s="27" t="s">
        <v>715</v>
      </c>
      <c r="D79" s="6" t="s">
        <v>88</v>
      </c>
      <c r="E79" s="33" t="s">
        <v>89</v>
      </c>
      <c r="F79" s="4">
        <f>IFERROR(AVERAGEIF(Table1[[#This Row],[2019-Apr]:[2025-July]],"&lt;&gt;0"),0)</f>
        <v>3.4125000000000001</v>
      </c>
      <c r="G79" s="4">
        <f ca="1">IFERROR(AVERAGEIF(OFFSET(Table1[[#This Row],[Status]],0,COUNT(Table1[[#This Row],[2019-May]:[2025-July]]),1,-12),"&lt;&gt;0"),0)</f>
        <v>3.5</v>
      </c>
      <c r="H79" s="55">
        <f>IFERROR(SMALL(Table1[[#This Row],[2019-Apr]:[2025-July]],COUNTIF(Table1[[#This Row],[2019-Apr]:[2025-July]],0)+1),0)</f>
        <v>2.8</v>
      </c>
      <c r="I79" s="55">
        <f>IFERROR(MAX(Table1[[#This Row],[2019-Apr]:[2025-July]]),0)</f>
        <v>4.3</v>
      </c>
      <c r="J79" s="4" cm="1">
        <f t="array" ref="J7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3.1166666666666667</v>
      </c>
      <c r="K79" s="4">
        <v>4.5</v>
      </c>
      <c r="L79" s="4">
        <f>IF(Table1[[#This Row],[Standard as per ISO]]&gt;=Table1[[#This Row],[Avg of best 6]],Table1[[#This Row],[Standard as per ISO]],Table1[[#This Row],[Avg of best 6]])</f>
        <v>4.5</v>
      </c>
      <c r="M79" s="4" cm="1">
        <f t="array" ref="M79">IFERROR(LOOKUP(2,1/(Table1[[#This Row],[2019-May]:[2025-July]]&lt;&gt;0),Table1[[#This Row],[2019-May]:[2025-July]]),0)</f>
        <v>2.8</v>
      </c>
      <c r="N79" s="4">
        <f>COUNTIF(Table1[[#This Row],[2019-Apr]:[2025-July]],"&gt;="&amp;Table1[[#This Row],[Target]])</f>
        <v>0</v>
      </c>
      <c r="O79" s="4">
        <f>IF(Table1[[#This Row],[Outliers 2Y]]=0,1,0)</f>
        <v>1</v>
      </c>
      <c r="P79" s="4">
        <f>IF(Table1[[#This Row],[Last value]]&gt;1.5*Table1[[#This Row],[Target]],1,0)</f>
        <v>0</v>
      </c>
      <c r="Q79" s="4">
        <f>IF(AND(1.5*Table1[[#This Row],[Target]]&gt;=Table1[[#This Row],[Last value]],Table1[[#This Row],[Last value]]&gt;Table1[[#This Row],[Target]]),1,0)</f>
        <v>0</v>
      </c>
      <c r="R79" s="4">
        <f>IF(Table1[[#This Row],[Target]]&gt;=Table1[[#This Row],[Last value]],1,0)</f>
        <v>1</v>
      </c>
      <c r="S79" s="4" t="str">
        <f t="shared" si="0"/>
        <v>Green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34">
        <v>3.1</v>
      </c>
      <c r="CK79" s="34">
        <v>4.3</v>
      </c>
      <c r="CL79" s="43">
        <v>2.9</v>
      </c>
      <c r="CM79" s="4">
        <v>3.3</v>
      </c>
      <c r="CN79" s="53">
        <v>4.3</v>
      </c>
      <c r="CO79" s="54">
        <v>3.7</v>
      </c>
      <c r="CP79" s="54">
        <v>2.9</v>
      </c>
      <c r="CQ79" s="4">
        <v>2.8</v>
      </c>
    </row>
    <row r="80" spans="1:95" s="55" customFormat="1" x14ac:dyDescent="0.35">
      <c r="A80" s="55">
        <v>79</v>
      </c>
      <c r="B80" s="55" t="s">
        <v>111</v>
      </c>
      <c r="C80" s="27" t="s">
        <v>716</v>
      </c>
      <c r="D80" s="25" t="s">
        <v>124</v>
      </c>
      <c r="E80" s="33" t="s">
        <v>89</v>
      </c>
      <c r="F80" s="4">
        <f>IFERROR(AVERAGEIF(Table1[[#This Row],[2019-Apr]:[2025-July]],"&lt;&gt;0"),0)</f>
        <v>27</v>
      </c>
      <c r="G80" s="4">
        <f ca="1">IFERROR(AVERAGEIF(OFFSET(Table1[[#This Row],[Status]],0,COUNT(Table1[[#This Row],[2019-May]:[2025-July]]),1,-12),"&lt;&gt;0"),0)</f>
        <v>38.5</v>
      </c>
      <c r="H80" s="55">
        <f>IFERROR(SMALL(Table1[[#This Row],[2019-Apr]:[2025-July]],COUNTIF(Table1[[#This Row],[2019-Apr]:[2025-July]],0)+1),0)</f>
        <v>4</v>
      </c>
      <c r="I80" s="55">
        <f>IFERROR(MAX(Table1[[#This Row],[2019-Apr]:[2025-July]]),0)</f>
        <v>71.3</v>
      </c>
      <c r="J80" s="4" cm="1">
        <f t="array" ref="J8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27</v>
      </c>
      <c r="K80" s="4">
        <v>4.5</v>
      </c>
      <c r="L80" s="4">
        <f>IF(Table1[[#This Row],[Standard as per ISO]]&gt;=Table1[[#This Row],[Avg of best 6]],Table1[[#This Row],[Standard as per ISO]],Table1[[#This Row],[Avg of best 6]])</f>
        <v>27</v>
      </c>
      <c r="M80" s="4" cm="1">
        <f t="array" ref="M80">IFERROR(LOOKUP(2,1/(Table1[[#This Row],[2019-May]:[2025-July]]&lt;&gt;0),Table1[[#This Row],[2019-May]:[2025-July]]),0)</f>
        <v>4</v>
      </c>
      <c r="N80" s="4">
        <f>COUNTIF(Table1[[#This Row],[2019-Apr]:[2025-July]],"&gt;="&amp;Table1[[#This Row],[Target]])</f>
        <v>1</v>
      </c>
      <c r="O80" s="4">
        <f>IF(Table1[[#This Row],[Outliers 2Y]]=0,1,0)</f>
        <v>0</v>
      </c>
      <c r="P80" s="4">
        <f>IF(Table1[[#This Row],[Last value]]&gt;1.5*Table1[[#This Row],[Target]],1,0)</f>
        <v>0</v>
      </c>
      <c r="Q80" s="4">
        <f>IF(AND(1.5*Table1[[#This Row],[Target]]&gt;=Table1[[#This Row],[Last value]],Table1[[#This Row],[Last value]]&gt;Table1[[#This Row],[Target]]),1,0)</f>
        <v>0</v>
      </c>
      <c r="R80" s="4">
        <f>IF(Table1[[#This Row],[Target]]&gt;=Table1[[#This Row],[Last value]],1,0)</f>
        <v>1</v>
      </c>
      <c r="S80" s="4" t="str">
        <f t="shared" si="0"/>
        <v>Green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34">
        <v>0</v>
      </c>
      <c r="CK80" s="34">
        <v>71.3</v>
      </c>
      <c r="CL80" s="43">
        <v>0</v>
      </c>
      <c r="CM80" s="4">
        <v>0</v>
      </c>
      <c r="CN80" s="53">
        <v>0</v>
      </c>
      <c r="CO80" s="54">
        <v>0</v>
      </c>
      <c r="CP80" s="54">
        <v>5.7</v>
      </c>
      <c r="CQ80" s="4">
        <v>4</v>
      </c>
    </row>
    <row r="81" spans="1:95" s="55" customFormat="1" x14ac:dyDescent="0.35">
      <c r="A81" s="55">
        <v>80</v>
      </c>
      <c r="B81" s="55" t="s">
        <v>111</v>
      </c>
      <c r="C81" s="27" t="s">
        <v>1565</v>
      </c>
      <c r="D81" s="6" t="s">
        <v>88</v>
      </c>
      <c r="E81" s="33" t="s">
        <v>89</v>
      </c>
      <c r="F81" s="4">
        <f>IFERROR(AVERAGEIF(Table1[[#This Row],[2019-Apr]:[2025-July]],"&lt;&gt;0"),0)</f>
        <v>0</v>
      </c>
      <c r="G81" s="4">
        <f ca="1">IFERROR(AVERAGEIF(OFFSET(Table1[[#This Row],[Status]],0,COUNT(Table1[[#This Row],[2019-May]:[2025-July]]),1,-12),"&lt;&gt;0"),0)</f>
        <v>0</v>
      </c>
      <c r="H81" s="55">
        <f>IFERROR(SMALL(Table1[[#This Row],[2019-Apr]:[2025-July]],COUNTIF(Table1[[#This Row],[2019-Apr]:[2025-July]],0)+1),0)</f>
        <v>0</v>
      </c>
      <c r="I81" s="55">
        <f>IFERROR(MAX(Table1[[#This Row],[2019-Apr]:[2025-July]]),0)</f>
        <v>0</v>
      </c>
      <c r="J81" s="4" cm="1">
        <f t="array" ref="J8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81" s="4">
        <v>4.5</v>
      </c>
      <c r="L81" s="4">
        <f>IF(Table1[[#This Row],[Standard as per ISO]]&gt;=Table1[[#This Row],[Avg of best 6]],Table1[[#This Row],[Standard as per ISO]],Table1[[#This Row],[Avg of best 6]])</f>
        <v>4.5</v>
      </c>
      <c r="M81" s="4" cm="1">
        <f t="array" ref="M81">IFERROR(LOOKUP(2,1/(Table1[[#This Row],[2019-May]:[2025-July]]&lt;&gt;0),Table1[[#This Row],[2019-May]:[2025-July]]),0)</f>
        <v>0</v>
      </c>
      <c r="N81" s="4">
        <f>COUNTIF(Table1[[#This Row],[2019-Apr]:[2025-July]],"&gt;="&amp;Table1[[#This Row],[Target]])</f>
        <v>0</v>
      </c>
      <c r="O81" s="4">
        <f>IF(Table1[[#This Row],[Outliers 2Y]]=0,1,0)</f>
        <v>1</v>
      </c>
      <c r="P81" s="4">
        <f>IF(Table1[[#This Row],[Last value]]&gt;1.5*Table1[[#This Row],[Target]],1,0)</f>
        <v>0</v>
      </c>
      <c r="Q81" s="4">
        <f>IF(AND(1.5*Table1[[#This Row],[Target]]&gt;=Table1[[#This Row],[Last value]],Table1[[#This Row],[Last value]]&gt;Table1[[#This Row],[Target]]),1,0)</f>
        <v>0</v>
      </c>
      <c r="R81" s="4">
        <f>IF(Table1[[#This Row],[Target]]&gt;=Table1[[#This Row],[Last value]],1,0)</f>
        <v>1</v>
      </c>
      <c r="S81" s="4" t="str">
        <f t="shared" ref="S81:S91" si="1">IF(P81=1, "Red", IF(Q81=1, "Yellow", "Green"))</f>
        <v>Green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4">
        <v>0</v>
      </c>
    </row>
    <row r="82" spans="1:95" s="55" customFormat="1" x14ac:dyDescent="0.35">
      <c r="A82" s="55">
        <v>81</v>
      </c>
      <c r="B82" s="55" t="s">
        <v>111</v>
      </c>
      <c r="C82" s="27" t="s">
        <v>1566</v>
      </c>
      <c r="D82" s="6" t="s">
        <v>88</v>
      </c>
      <c r="E82" s="33" t="s">
        <v>89</v>
      </c>
      <c r="F82" s="4">
        <f>IFERROR(AVERAGEIF(Table1[[#This Row],[2019-Apr]:[2025-July]],"&lt;&gt;0"),0)</f>
        <v>0</v>
      </c>
      <c r="G82" s="4">
        <f ca="1">IFERROR(AVERAGEIF(OFFSET(Table1[[#This Row],[Status]],0,COUNT(Table1[[#This Row],[2019-May]:[2025-July]]),1,-12),"&lt;&gt;0"),0)</f>
        <v>0</v>
      </c>
      <c r="H82" s="55">
        <f>IFERROR(SMALL(Table1[[#This Row],[2019-Apr]:[2025-July]],COUNTIF(Table1[[#This Row],[2019-Apr]:[2025-July]],0)+1),0)</f>
        <v>0</v>
      </c>
      <c r="I82" s="55">
        <f>IFERROR(MAX(Table1[[#This Row],[2019-Apr]:[2025-July]]),0)</f>
        <v>0</v>
      </c>
      <c r="J82" s="4" cm="1">
        <f t="array" ref="J8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82" s="4">
        <v>4.5</v>
      </c>
      <c r="L82" s="4">
        <f>IF(Table1[[#This Row],[Standard as per ISO]]&gt;=Table1[[#This Row],[Avg of best 6]],Table1[[#This Row],[Standard as per ISO]],Table1[[#This Row],[Avg of best 6]])</f>
        <v>4.5</v>
      </c>
      <c r="M82" s="4" cm="1">
        <f t="array" ref="M82">IFERROR(LOOKUP(2,1/(Table1[[#This Row],[2019-May]:[2025-July]]&lt;&gt;0),Table1[[#This Row],[2019-May]:[2025-July]]),0)</f>
        <v>0</v>
      </c>
      <c r="N82" s="4">
        <f>COUNTIF(Table1[[#This Row],[2019-Apr]:[2025-July]],"&gt;="&amp;Table1[[#This Row],[Target]])</f>
        <v>0</v>
      </c>
      <c r="O82" s="4">
        <f>IF(Table1[[#This Row],[Outliers 2Y]]=0,1,0)</f>
        <v>1</v>
      </c>
      <c r="P82" s="4">
        <f>IF(Table1[[#This Row],[Last value]]&gt;1.5*Table1[[#This Row],[Target]],1,0)</f>
        <v>0</v>
      </c>
      <c r="Q82" s="4">
        <f>IF(AND(1.5*Table1[[#This Row],[Target]]&gt;=Table1[[#This Row],[Last value]],Table1[[#This Row],[Last value]]&gt;Table1[[#This Row],[Target]]),1,0)</f>
        <v>0</v>
      </c>
      <c r="R82" s="4">
        <f>IF(Table1[[#This Row],[Target]]&gt;=Table1[[#This Row],[Last value]],1,0)</f>
        <v>1</v>
      </c>
      <c r="S82" s="4" t="str">
        <f t="shared" si="1"/>
        <v>Green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4">
        <v>0</v>
      </c>
    </row>
    <row r="83" spans="1:95" s="55" customFormat="1" x14ac:dyDescent="0.35">
      <c r="A83" s="55">
        <v>82</v>
      </c>
      <c r="B83" s="55" t="s">
        <v>111</v>
      </c>
      <c r="C83" s="27" t="s">
        <v>1567</v>
      </c>
      <c r="D83" s="6" t="s">
        <v>88</v>
      </c>
      <c r="E83" s="33" t="s">
        <v>89</v>
      </c>
      <c r="F83" s="4">
        <f>IFERROR(AVERAGEIF(Table1[[#This Row],[2019-Apr]:[2025-July]],"&lt;&gt;0"),0)</f>
        <v>0</v>
      </c>
      <c r="G83" s="4">
        <f ca="1">IFERROR(AVERAGEIF(OFFSET(Table1[[#This Row],[Status]],0,COUNT(Table1[[#This Row],[2019-May]:[2025-July]]),1,-12),"&lt;&gt;0"),0)</f>
        <v>0</v>
      </c>
      <c r="H83" s="55">
        <f>IFERROR(SMALL(Table1[[#This Row],[2019-Apr]:[2025-July]],COUNTIF(Table1[[#This Row],[2019-Apr]:[2025-July]],0)+1),0)</f>
        <v>0</v>
      </c>
      <c r="I83" s="55">
        <f>IFERROR(MAX(Table1[[#This Row],[2019-Apr]:[2025-July]]),0)</f>
        <v>0</v>
      </c>
      <c r="J83" s="4" cm="1">
        <f t="array" ref="J8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83" s="4">
        <v>4.5</v>
      </c>
      <c r="L83" s="4">
        <f>IF(Table1[[#This Row],[Standard as per ISO]]&gt;=Table1[[#This Row],[Avg of best 6]],Table1[[#This Row],[Standard as per ISO]],Table1[[#This Row],[Avg of best 6]])</f>
        <v>4.5</v>
      </c>
      <c r="M83" s="4" cm="1">
        <f t="array" ref="M83">IFERROR(LOOKUP(2,1/(Table1[[#This Row],[2019-May]:[2025-July]]&lt;&gt;0),Table1[[#This Row],[2019-May]:[2025-July]]),0)</f>
        <v>0</v>
      </c>
      <c r="N83" s="4">
        <f>COUNTIF(Table1[[#This Row],[2019-Apr]:[2025-July]],"&gt;="&amp;Table1[[#This Row],[Target]])</f>
        <v>0</v>
      </c>
      <c r="O83" s="4">
        <f>IF(Table1[[#This Row],[Outliers 2Y]]=0,1,0)</f>
        <v>1</v>
      </c>
      <c r="P83" s="4">
        <f>IF(Table1[[#This Row],[Last value]]&gt;1.5*Table1[[#This Row],[Target]],1,0)</f>
        <v>0</v>
      </c>
      <c r="Q83" s="4">
        <f>IF(AND(1.5*Table1[[#This Row],[Target]]&gt;=Table1[[#This Row],[Last value]],Table1[[#This Row],[Last value]]&gt;Table1[[#This Row],[Target]]),1,0)</f>
        <v>0</v>
      </c>
      <c r="R83" s="4">
        <f>IF(Table1[[#This Row],[Target]]&gt;=Table1[[#This Row],[Last value]],1,0)</f>
        <v>1</v>
      </c>
      <c r="S83" s="4" t="str">
        <f t="shared" si="1"/>
        <v>Green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4">
        <v>0</v>
      </c>
    </row>
    <row r="84" spans="1:95" s="55" customFormat="1" x14ac:dyDescent="0.35">
      <c r="A84" s="55">
        <v>83</v>
      </c>
      <c r="B84" s="55" t="s">
        <v>111</v>
      </c>
      <c r="C84" s="27" t="s">
        <v>1568</v>
      </c>
      <c r="D84" s="6" t="s">
        <v>88</v>
      </c>
      <c r="E84" s="33" t="s">
        <v>89</v>
      </c>
      <c r="F84" s="4">
        <f>IFERROR(AVERAGEIF(Table1[[#This Row],[2019-Apr]:[2025-July]],"&lt;&gt;0"),0)</f>
        <v>0</v>
      </c>
      <c r="G84" s="4">
        <f ca="1">IFERROR(AVERAGEIF(OFFSET(Table1[[#This Row],[Status]],0,COUNT(Table1[[#This Row],[2019-May]:[2025-July]]),1,-12),"&lt;&gt;0"),0)</f>
        <v>0</v>
      </c>
      <c r="H84" s="55">
        <f>IFERROR(SMALL(Table1[[#This Row],[2019-Apr]:[2025-July]],COUNTIF(Table1[[#This Row],[2019-Apr]:[2025-July]],0)+1),0)</f>
        <v>0</v>
      </c>
      <c r="I84" s="55">
        <f>IFERROR(MAX(Table1[[#This Row],[2019-Apr]:[2025-July]]),0)</f>
        <v>0</v>
      </c>
      <c r="J84" s="4" cm="1">
        <f t="array" ref="J8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84" s="4">
        <v>4.5</v>
      </c>
      <c r="L84" s="4">
        <f>IF(Table1[[#This Row],[Standard as per ISO]]&gt;=Table1[[#This Row],[Avg of best 6]],Table1[[#This Row],[Standard as per ISO]],Table1[[#This Row],[Avg of best 6]])</f>
        <v>4.5</v>
      </c>
      <c r="M84" s="4" cm="1">
        <f t="array" ref="M84">IFERROR(LOOKUP(2,1/(Table1[[#This Row],[2019-May]:[2025-July]]&lt;&gt;0),Table1[[#This Row],[2019-May]:[2025-July]]),0)</f>
        <v>0</v>
      </c>
      <c r="N84" s="4">
        <f>COUNTIF(Table1[[#This Row],[2019-Apr]:[2025-July]],"&gt;="&amp;Table1[[#This Row],[Target]])</f>
        <v>0</v>
      </c>
      <c r="O84" s="4">
        <f>IF(Table1[[#This Row],[Outliers 2Y]]=0,1,0)</f>
        <v>1</v>
      </c>
      <c r="P84" s="4">
        <f>IF(Table1[[#This Row],[Last value]]&gt;1.5*Table1[[#This Row],[Target]],1,0)</f>
        <v>0</v>
      </c>
      <c r="Q84" s="4">
        <f>IF(AND(1.5*Table1[[#This Row],[Target]]&gt;=Table1[[#This Row],[Last value]],Table1[[#This Row],[Last value]]&gt;Table1[[#This Row],[Target]]),1,0)</f>
        <v>0</v>
      </c>
      <c r="R84" s="4">
        <f>IF(Table1[[#This Row],[Target]]&gt;=Table1[[#This Row],[Last value]],1,0)</f>
        <v>1</v>
      </c>
      <c r="S84" s="4" t="str">
        <f t="shared" si="1"/>
        <v>Green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4">
        <v>0</v>
      </c>
    </row>
    <row r="85" spans="1:95" s="55" customFormat="1" x14ac:dyDescent="0.35">
      <c r="A85" s="55">
        <v>84</v>
      </c>
      <c r="B85" s="55" t="s">
        <v>111</v>
      </c>
      <c r="C85" s="27" t="s">
        <v>1569</v>
      </c>
      <c r="D85" s="6" t="s">
        <v>88</v>
      </c>
      <c r="E85" s="33" t="s">
        <v>89</v>
      </c>
      <c r="F85" s="4">
        <f>IFERROR(AVERAGEIF(Table1[[#This Row],[2019-Apr]:[2025-July]],"&lt;&gt;0"),0)</f>
        <v>0</v>
      </c>
      <c r="G85" s="4">
        <f ca="1">IFERROR(AVERAGEIF(OFFSET(Table1[[#This Row],[Status]],0,COUNT(Table1[[#This Row],[2019-May]:[2025-July]]),1,-12),"&lt;&gt;0"),0)</f>
        <v>0</v>
      </c>
      <c r="H85" s="55">
        <f>IFERROR(SMALL(Table1[[#This Row],[2019-Apr]:[2025-July]],COUNTIF(Table1[[#This Row],[2019-Apr]:[2025-July]],0)+1),0)</f>
        <v>0</v>
      </c>
      <c r="I85" s="55">
        <f>IFERROR(MAX(Table1[[#This Row],[2019-Apr]:[2025-July]]),0)</f>
        <v>0</v>
      </c>
      <c r="J85" s="4" cm="1">
        <f t="array" ref="J8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85" s="4">
        <v>4.5</v>
      </c>
      <c r="L85" s="4">
        <f>IF(Table1[[#This Row],[Standard as per ISO]]&gt;=Table1[[#This Row],[Avg of best 6]],Table1[[#This Row],[Standard as per ISO]],Table1[[#This Row],[Avg of best 6]])</f>
        <v>4.5</v>
      </c>
      <c r="M85" s="4" cm="1">
        <f t="array" ref="M85">IFERROR(LOOKUP(2,1/(Table1[[#This Row],[2019-May]:[2025-July]]&lt;&gt;0),Table1[[#This Row],[2019-May]:[2025-July]]),0)</f>
        <v>0</v>
      </c>
      <c r="N85" s="4">
        <f>COUNTIF(Table1[[#This Row],[2019-Apr]:[2025-July]],"&gt;="&amp;Table1[[#This Row],[Target]])</f>
        <v>0</v>
      </c>
      <c r="O85" s="4">
        <f>IF(Table1[[#This Row],[Outliers 2Y]]=0,1,0)</f>
        <v>1</v>
      </c>
      <c r="P85" s="4">
        <f>IF(Table1[[#This Row],[Last value]]&gt;1.5*Table1[[#This Row],[Target]],1,0)</f>
        <v>0</v>
      </c>
      <c r="Q85" s="4">
        <f>IF(AND(1.5*Table1[[#This Row],[Target]]&gt;=Table1[[#This Row],[Last value]],Table1[[#This Row],[Last value]]&gt;Table1[[#This Row],[Target]]),1,0)</f>
        <v>0</v>
      </c>
      <c r="R85" s="4">
        <f>IF(Table1[[#This Row],[Target]]&gt;=Table1[[#This Row],[Last value]],1,0)</f>
        <v>1</v>
      </c>
      <c r="S85" s="4" t="str">
        <f t="shared" si="1"/>
        <v>Green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4">
        <v>0</v>
      </c>
    </row>
    <row r="86" spans="1:95" s="55" customFormat="1" x14ac:dyDescent="0.35">
      <c r="A86" s="55">
        <v>85</v>
      </c>
      <c r="B86" s="55" t="s">
        <v>111</v>
      </c>
      <c r="C86" s="27" t="s">
        <v>1570</v>
      </c>
      <c r="D86" s="6" t="s">
        <v>88</v>
      </c>
      <c r="E86" s="33" t="s">
        <v>89</v>
      </c>
      <c r="F86" s="4">
        <f>IFERROR(AVERAGEIF(Table1[[#This Row],[2019-Apr]:[2025-July]],"&lt;&gt;0"),0)</f>
        <v>0</v>
      </c>
      <c r="G86" s="4">
        <f ca="1">IFERROR(AVERAGEIF(OFFSET(Table1[[#This Row],[Status]],0,COUNT(Table1[[#This Row],[2019-May]:[2025-July]]),1,-12),"&lt;&gt;0"),0)</f>
        <v>0</v>
      </c>
      <c r="H86" s="55">
        <f>IFERROR(SMALL(Table1[[#This Row],[2019-Apr]:[2025-July]],COUNTIF(Table1[[#This Row],[2019-Apr]:[2025-July]],0)+1),0)</f>
        <v>0</v>
      </c>
      <c r="I86" s="55">
        <f>IFERROR(MAX(Table1[[#This Row],[2019-Apr]:[2025-July]]),0)</f>
        <v>0</v>
      </c>
      <c r="J86" s="4" cm="1">
        <f t="array" ref="J8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86" s="4">
        <v>4.5</v>
      </c>
      <c r="L86" s="4">
        <f>IF(Table1[[#This Row],[Standard as per ISO]]&gt;=Table1[[#This Row],[Avg of best 6]],Table1[[#This Row],[Standard as per ISO]],Table1[[#This Row],[Avg of best 6]])</f>
        <v>4.5</v>
      </c>
      <c r="M86" s="4" cm="1">
        <f t="array" ref="M86">IFERROR(LOOKUP(2,1/(Table1[[#This Row],[2019-May]:[2025-July]]&lt;&gt;0),Table1[[#This Row],[2019-May]:[2025-July]]),0)</f>
        <v>0</v>
      </c>
      <c r="N86" s="4">
        <f>COUNTIF(Table1[[#This Row],[2019-Apr]:[2025-July]],"&gt;="&amp;Table1[[#This Row],[Target]])</f>
        <v>0</v>
      </c>
      <c r="O86" s="4">
        <f>IF(Table1[[#This Row],[Outliers 2Y]]=0,1,0)</f>
        <v>1</v>
      </c>
      <c r="P86" s="4">
        <f>IF(Table1[[#This Row],[Last value]]&gt;1.5*Table1[[#This Row],[Target]],1,0)</f>
        <v>0</v>
      </c>
      <c r="Q86" s="4">
        <f>IF(AND(1.5*Table1[[#This Row],[Target]]&gt;=Table1[[#This Row],[Last value]],Table1[[#This Row],[Last value]]&gt;Table1[[#This Row],[Target]]),1,0)</f>
        <v>0</v>
      </c>
      <c r="R86" s="4">
        <f>IF(Table1[[#This Row],[Target]]&gt;=Table1[[#This Row],[Last value]],1,0)</f>
        <v>1</v>
      </c>
      <c r="S86" s="4" t="str">
        <f t="shared" si="1"/>
        <v>Green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4">
        <v>0</v>
      </c>
    </row>
    <row r="87" spans="1:95" s="55" customFormat="1" x14ac:dyDescent="0.35">
      <c r="A87" s="55">
        <v>86</v>
      </c>
      <c r="B87" s="55" t="s">
        <v>111</v>
      </c>
      <c r="C87" s="27" t="s">
        <v>1571</v>
      </c>
      <c r="D87" s="6" t="s">
        <v>88</v>
      </c>
      <c r="E87" s="33" t="s">
        <v>89</v>
      </c>
      <c r="F87" s="4">
        <f>IFERROR(AVERAGEIF(Table1[[#This Row],[2019-Apr]:[2025-July]],"&lt;&gt;0"),0)</f>
        <v>0</v>
      </c>
      <c r="G87" s="4">
        <f ca="1">IFERROR(AVERAGEIF(OFFSET(Table1[[#This Row],[Status]],0,COUNT(Table1[[#This Row],[2019-May]:[2025-July]]),1,-12),"&lt;&gt;0"),0)</f>
        <v>0</v>
      </c>
      <c r="H87" s="55">
        <f>IFERROR(SMALL(Table1[[#This Row],[2019-Apr]:[2025-July]],COUNTIF(Table1[[#This Row],[2019-Apr]:[2025-July]],0)+1),0)</f>
        <v>0</v>
      </c>
      <c r="I87" s="55">
        <f>IFERROR(MAX(Table1[[#This Row],[2019-Apr]:[2025-July]]),0)</f>
        <v>0</v>
      </c>
      <c r="J87" s="4" cm="1">
        <f t="array" ref="J8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87" s="4">
        <v>4.5</v>
      </c>
      <c r="L87" s="4">
        <f>IF(Table1[[#This Row],[Standard as per ISO]]&gt;=Table1[[#This Row],[Avg of best 6]],Table1[[#This Row],[Standard as per ISO]],Table1[[#This Row],[Avg of best 6]])</f>
        <v>4.5</v>
      </c>
      <c r="M87" s="4" cm="1">
        <f t="array" ref="M87">IFERROR(LOOKUP(2,1/(Table1[[#This Row],[2019-May]:[2025-July]]&lt;&gt;0),Table1[[#This Row],[2019-May]:[2025-July]]),0)</f>
        <v>0</v>
      </c>
      <c r="N87" s="4">
        <f>COUNTIF(Table1[[#This Row],[2019-Apr]:[2025-July]],"&gt;="&amp;Table1[[#This Row],[Target]])</f>
        <v>0</v>
      </c>
      <c r="O87" s="4">
        <f>IF(Table1[[#This Row],[Outliers 2Y]]=0,1,0)</f>
        <v>1</v>
      </c>
      <c r="P87" s="4">
        <f>IF(Table1[[#This Row],[Last value]]&gt;1.5*Table1[[#This Row],[Target]],1,0)</f>
        <v>0</v>
      </c>
      <c r="Q87" s="4">
        <f>IF(AND(1.5*Table1[[#This Row],[Target]]&gt;=Table1[[#This Row],[Last value]],Table1[[#This Row],[Last value]]&gt;Table1[[#This Row],[Target]]),1,0)</f>
        <v>0</v>
      </c>
      <c r="R87" s="4">
        <f>IF(Table1[[#This Row],[Target]]&gt;=Table1[[#This Row],[Last value]],1,0)</f>
        <v>1</v>
      </c>
      <c r="S87" s="4" t="str">
        <f t="shared" si="1"/>
        <v>Green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4">
        <v>0</v>
      </c>
    </row>
    <row r="88" spans="1:95" s="55" customFormat="1" x14ac:dyDescent="0.35">
      <c r="A88" s="55">
        <v>87</v>
      </c>
      <c r="B88" s="55" t="s">
        <v>111</v>
      </c>
      <c r="C88" s="27" t="s">
        <v>1572</v>
      </c>
      <c r="D88" s="6" t="s">
        <v>88</v>
      </c>
      <c r="E88" s="33" t="s">
        <v>89</v>
      </c>
      <c r="F88" s="4">
        <f>IFERROR(AVERAGEIF(Table1[[#This Row],[2019-Apr]:[2025-July]],"&lt;&gt;0"),0)</f>
        <v>0</v>
      </c>
      <c r="G88" s="4">
        <f ca="1">IFERROR(AVERAGEIF(OFFSET(Table1[[#This Row],[Status]],0,COUNT(Table1[[#This Row],[2019-May]:[2025-July]]),1,-12),"&lt;&gt;0"),0)</f>
        <v>0</v>
      </c>
      <c r="H88" s="55">
        <f>IFERROR(SMALL(Table1[[#This Row],[2019-Apr]:[2025-July]],COUNTIF(Table1[[#This Row],[2019-Apr]:[2025-July]],0)+1),0)</f>
        <v>0</v>
      </c>
      <c r="I88" s="55">
        <f>IFERROR(MAX(Table1[[#This Row],[2019-Apr]:[2025-July]]),0)</f>
        <v>0</v>
      </c>
      <c r="J88" s="4" cm="1">
        <f t="array" ref="J8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88" s="4">
        <v>4.5</v>
      </c>
      <c r="L88" s="4">
        <f>IF(Table1[[#This Row],[Standard as per ISO]]&gt;=Table1[[#This Row],[Avg of best 6]],Table1[[#This Row],[Standard as per ISO]],Table1[[#This Row],[Avg of best 6]])</f>
        <v>4.5</v>
      </c>
      <c r="M88" s="4" cm="1">
        <f t="array" ref="M88">IFERROR(LOOKUP(2,1/(Table1[[#This Row],[2019-May]:[2025-July]]&lt;&gt;0),Table1[[#This Row],[2019-May]:[2025-July]]),0)</f>
        <v>0</v>
      </c>
      <c r="N88" s="4">
        <f>COUNTIF(Table1[[#This Row],[2019-Apr]:[2025-July]],"&gt;="&amp;Table1[[#This Row],[Target]])</f>
        <v>0</v>
      </c>
      <c r="O88" s="4">
        <f>IF(Table1[[#This Row],[Outliers 2Y]]=0,1,0)</f>
        <v>1</v>
      </c>
      <c r="P88" s="4">
        <f>IF(Table1[[#This Row],[Last value]]&gt;1.5*Table1[[#This Row],[Target]],1,0)</f>
        <v>0</v>
      </c>
      <c r="Q88" s="4">
        <f>IF(AND(1.5*Table1[[#This Row],[Target]]&gt;=Table1[[#This Row],[Last value]],Table1[[#This Row],[Last value]]&gt;Table1[[#This Row],[Target]]),1,0)</f>
        <v>0</v>
      </c>
      <c r="R88" s="4">
        <f>IF(Table1[[#This Row],[Target]]&gt;=Table1[[#This Row],[Last value]],1,0)</f>
        <v>1</v>
      </c>
      <c r="S88" s="4" t="str">
        <f t="shared" si="1"/>
        <v>Green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4">
        <v>0</v>
      </c>
    </row>
    <row r="89" spans="1:95" s="55" customFormat="1" x14ac:dyDescent="0.35">
      <c r="A89" s="55">
        <v>88</v>
      </c>
      <c r="B89" s="55" t="s">
        <v>111</v>
      </c>
      <c r="C89" s="27" t="s">
        <v>1573</v>
      </c>
      <c r="D89" s="6" t="s">
        <v>88</v>
      </c>
      <c r="E89" s="33" t="s">
        <v>89</v>
      </c>
      <c r="F89" s="4">
        <f>IFERROR(AVERAGEIF(Table1[[#This Row],[2019-Apr]:[2025-July]],"&lt;&gt;0"),0)</f>
        <v>0</v>
      </c>
      <c r="G89" s="4">
        <f ca="1">IFERROR(AVERAGEIF(OFFSET(Table1[[#This Row],[Status]],0,COUNT(Table1[[#This Row],[2019-May]:[2025-July]]),1,-12),"&lt;&gt;0"),0)</f>
        <v>0</v>
      </c>
      <c r="H89" s="55">
        <f>IFERROR(SMALL(Table1[[#This Row],[2019-Apr]:[2025-July]],COUNTIF(Table1[[#This Row],[2019-Apr]:[2025-July]],0)+1),0)</f>
        <v>0</v>
      </c>
      <c r="I89" s="55">
        <f>IFERROR(MAX(Table1[[#This Row],[2019-Apr]:[2025-July]]),0)</f>
        <v>0</v>
      </c>
      <c r="J89" s="4" cm="1">
        <f t="array" ref="J8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89" s="4">
        <v>4.5</v>
      </c>
      <c r="L89" s="4">
        <f>IF(Table1[[#This Row],[Standard as per ISO]]&gt;=Table1[[#This Row],[Avg of best 6]],Table1[[#This Row],[Standard as per ISO]],Table1[[#This Row],[Avg of best 6]])</f>
        <v>4.5</v>
      </c>
      <c r="M89" s="4" cm="1">
        <f t="array" ref="M89">IFERROR(LOOKUP(2,1/(Table1[[#This Row],[2019-May]:[2025-July]]&lt;&gt;0),Table1[[#This Row],[2019-May]:[2025-July]]),0)</f>
        <v>0</v>
      </c>
      <c r="N89" s="4">
        <f>COUNTIF(Table1[[#This Row],[2019-Apr]:[2025-July]],"&gt;="&amp;Table1[[#This Row],[Target]])</f>
        <v>0</v>
      </c>
      <c r="O89" s="4">
        <f>IF(Table1[[#This Row],[Outliers 2Y]]=0,1,0)</f>
        <v>1</v>
      </c>
      <c r="P89" s="4">
        <f>IF(Table1[[#This Row],[Last value]]&gt;1.5*Table1[[#This Row],[Target]],1,0)</f>
        <v>0</v>
      </c>
      <c r="Q89" s="4">
        <f>IF(AND(1.5*Table1[[#This Row],[Target]]&gt;=Table1[[#This Row],[Last value]],Table1[[#This Row],[Last value]]&gt;Table1[[#This Row],[Target]]),1,0)</f>
        <v>0</v>
      </c>
      <c r="R89" s="4">
        <f>IF(Table1[[#This Row],[Target]]&gt;=Table1[[#This Row],[Last value]],1,0)</f>
        <v>1</v>
      </c>
      <c r="S89" s="4" t="str">
        <f t="shared" si="1"/>
        <v>Green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4">
        <v>0</v>
      </c>
    </row>
    <row r="90" spans="1:95" s="55" customFormat="1" x14ac:dyDescent="0.35">
      <c r="A90" s="55">
        <v>89</v>
      </c>
      <c r="B90" s="55" t="s">
        <v>111</v>
      </c>
      <c r="C90" s="27" t="s">
        <v>1574</v>
      </c>
      <c r="D90" s="6" t="s">
        <v>88</v>
      </c>
      <c r="E90" s="33" t="s">
        <v>89</v>
      </c>
      <c r="F90" s="4">
        <f>IFERROR(AVERAGEIF(Table1[[#This Row],[2019-Apr]:[2025-July]],"&lt;&gt;0"),0)</f>
        <v>0</v>
      </c>
      <c r="G90" s="4">
        <f ca="1">IFERROR(AVERAGEIF(OFFSET(Table1[[#This Row],[Status]],0,COUNT(Table1[[#This Row],[2019-May]:[2025-July]]),1,-12),"&lt;&gt;0"),0)</f>
        <v>0</v>
      </c>
      <c r="H90" s="55">
        <f>IFERROR(SMALL(Table1[[#This Row],[2019-Apr]:[2025-July]],COUNTIF(Table1[[#This Row],[2019-Apr]:[2025-July]],0)+1),0)</f>
        <v>0</v>
      </c>
      <c r="I90" s="55">
        <f>IFERROR(MAX(Table1[[#This Row],[2019-Apr]:[2025-July]]),0)</f>
        <v>0</v>
      </c>
      <c r="J90" s="4" cm="1">
        <f t="array" ref="J9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90" s="4">
        <v>4.5</v>
      </c>
      <c r="L90" s="4">
        <f>IF(Table1[[#This Row],[Standard as per ISO]]&gt;=Table1[[#This Row],[Avg of best 6]],Table1[[#This Row],[Standard as per ISO]],Table1[[#This Row],[Avg of best 6]])</f>
        <v>4.5</v>
      </c>
      <c r="M90" s="4" cm="1">
        <f t="array" ref="M90">IFERROR(LOOKUP(2,1/(Table1[[#This Row],[2019-May]:[2025-July]]&lt;&gt;0),Table1[[#This Row],[2019-May]:[2025-July]]),0)</f>
        <v>0</v>
      </c>
      <c r="N90" s="4">
        <f>COUNTIF(Table1[[#This Row],[2019-Apr]:[2025-July]],"&gt;="&amp;Table1[[#This Row],[Target]])</f>
        <v>0</v>
      </c>
      <c r="O90" s="4">
        <f>IF(Table1[[#This Row],[Outliers 2Y]]=0,1,0)</f>
        <v>1</v>
      </c>
      <c r="P90" s="4">
        <f>IF(Table1[[#This Row],[Last value]]&gt;1.5*Table1[[#This Row],[Target]],1,0)</f>
        <v>0</v>
      </c>
      <c r="Q90" s="4">
        <f>IF(AND(1.5*Table1[[#This Row],[Target]]&gt;=Table1[[#This Row],[Last value]],Table1[[#This Row],[Last value]]&gt;Table1[[#This Row],[Target]]),1,0)</f>
        <v>0</v>
      </c>
      <c r="R90" s="4">
        <f>IF(Table1[[#This Row],[Target]]&gt;=Table1[[#This Row],[Last value]],1,0)</f>
        <v>1</v>
      </c>
      <c r="S90" s="4" t="str">
        <f t="shared" si="1"/>
        <v>Green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4">
        <v>0</v>
      </c>
    </row>
    <row r="91" spans="1:95" s="55" customFormat="1" x14ac:dyDescent="0.35">
      <c r="A91" s="55">
        <v>90</v>
      </c>
      <c r="B91" s="55" t="s">
        <v>111</v>
      </c>
      <c r="C91" s="27" t="s">
        <v>1575</v>
      </c>
      <c r="D91" s="6" t="s">
        <v>88</v>
      </c>
      <c r="E91" s="33" t="s">
        <v>89</v>
      </c>
      <c r="F91" s="4">
        <f>IFERROR(AVERAGEIF(Table1[[#This Row],[2019-Apr]:[2025-July]],"&lt;&gt;0"),0)</f>
        <v>0</v>
      </c>
      <c r="G91" s="4">
        <f ca="1">IFERROR(AVERAGEIF(OFFSET(Table1[[#This Row],[Status]],0,COUNT(Table1[[#This Row],[2019-May]:[2025-July]]),1,-12),"&lt;&gt;0"),0)</f>
        <v>0</v>
      </c>
      <c r="H91" s="55">
        <f>IFERROR(SMALL(Table1[[#This Row],[2019-Apr]:[2025-July]],COUNTIF(Table1[[#This Row],[2019-Apr]:[2025-July]],0)+1),0)</f>
        <v>0</v>
      </c>
      <c r="I91" s="55">
        <f>IFERROR(MAX(Table1[[#This Row],[2019-Apr]:[2025-July]]),0)</f>
        <v>0</v>
      </c>
      <c r="J91" s="4" cm="1">
        <f t="array" ref="J9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91" s="4">
        <v>4.5</v>
      </c>
      <c r="L91" s="4">
        <f>IF(Table1[[#This Row],[Standard as per ISO]]&gt;=Table1[[#This Row],[Avg of best 6]],Table1[[#This Row],[Standard as per ISO]],Table1[[#This Row],[Avg of best 6]])</f>
        <v>4.5</v>
      </c>
      <c r="M91" s="4" cm="1">
        <f t="array" ref="M91">IFERROR(LOOKUP(2,1/(Table1[[#This Row],[2019-May]:[2025-July]]&lt;&gt;0),Table1[[#This Row],[2019-May]:[2025-July]]),0)</f>
        <v>0</v>
      </c>
      <c r="N91" s="4">
        <f>COUNTIF(Table1[[#This Row],[2019-Apr]:[2025-July]],"&gt;="&amp;Table1[[#This Row],[Target]])</f>
        <v>0</v>
      </c>
      <c r="O91" s="4">
        <f>IF(Table1[[#This Row],[Outliers 2Y]]=0,1,0)</f>
        <v>1</v>
      </c>
      <c r="P91" s="4">
        <f>IF(Table1[[#This Row],[Last value]]&gt;1.5*Table1[[#This Row],[Target]],1,0)</f>
        <v>0</v>
      </c>
      <c r="Q91" s="4">
        <f>IF(AND(1.5*Table1[[#This Row],[Target]]&gt;=Table1[[#This Row],[Last value]],Table1[[#This Row],[Last value]]&gt;Table1[[#This Row],[Target]]),1,0)</f>
        <v>0</v>
      </c>
      <c r="R91" s="4">
        <f>IF(Table1[[#This Row],[Target]]&gt;=Table1[[#This Row],[Last value]],1,0)</f>
        <v>1</v>
      </c>
      <c r="S91" s="4" t="str">
        <f t="shared" si="1"/>
        <v>Green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4">
        <v>0</v>
      </c>
    </row>
    <row r="92" spans="1:95" x14ac:dyDescent="0.35">
      <c r="A92" s="55">
        <v>91</v>
      </c>
      <c r="B92" t="s">
        <v>99</v>
      </c>
      <c r="C92" s="27" t="s">
        <v>295</v>
      </c>
      <c r="D92" s="3" t="s">
        <v>100</v>
      </c>
      <c r="E92" s="33" t="s">
        <v>90</v>
      </c>
      <c r="F92" s="4">
        <f>IFERROR(AVERAGEIF(Table1[[#This Row],[2019-Apr]:[2025-July]],"&lt;&gt;0"),0)</f>
        <v>3.421557692307692</v>
      </c>
      <c r="G92" s="4">
        <f ca="1">IFERROR(AVERAGEIF(OFFSET(Table1[[#This Row],[Status]],0,COUNT(Table1[[#This Row],[2019-May]:[2025-July]]),1,-12),"&lt;&gt;0"),0)</f>
        <v>2.0700000000000003</v>
      </c>
      <c r="H92" s="55">
        <f>IFERROR(SMALL(Table1[[#This Row],[2019-Apr]:[2025-July]],COUNTIF(Table1[[#This Row],[2019-Apr]:[2025-July]],0)+1),0)</f>
        <v>1.0209999999999999</v>
      </c>
      <c r="I92" s="55">
        <f>IFERROR(MAX(Table1[[#This Row],[2019-Apr]:[2025-July]]),0)</f>
        <v>5.8529999999999998</v>
      </c>
      <c r="J92" s="4" cm="1">
        <f t="array" ref="J9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1.4468333333333334</v>
      </c>
      <c r="K92" s="4">
        <v>4.5</v>
      </c>
      <c r="L92" s="4">
        <f>IF(Table1[[#This Row],[Standard as per ISO]]&gt;=Table1[[#This Row],[Avg of best 6]],Table1[[#This Row],[Standard as per ISO]],Table1[[#This Row],[Avg of best 6]])</f>
        <v>4.5</v>
      </c>
      <c r="M92" s="4" cm="1">
        <f t="array" ref="M92">IFERROR(LOOKUP(2,1/(Table1[[#This Row],[2019-May]:[2025-July]]&lt;&gt;0),Table1[[#This Row],[2019-May]:[2025-July]]),0)</f>
        <v>1.36</v>
      </c>
      <c r="N92" s="4">
        <f>COUNTIF(Table1[[#This Row],[2019-Apr]:[2025-July]],"&gt;="&amp;Table1[[#This Row],[Target]])</f>
        <v>14</v>
      </c>
      <c r="O92" s="4">
        <f>IF(Table1[[#This Row],[Outliers 2Y]]=0,1,0)</f>
        <v>0</v>
      </c>
      <c r="P92" s="4">
        <f>IF(Table1[[#This Row],[Last value]]&gt;1.5*Table1[[#This Row],[Target]],1,0)</f>
        <v>0</v>
      </c>
      <c r="Q92" s="4">
        <f>IF(AND(1.5*Table1[[#This Row],[Target]]&gt;=Table1[[#This Row],[Last value]],Table1[[#This Row],[Last value]]&gt;Table1[[#This Row],[Target]]),1,0)</f>
        <v>0</v>
      </c>
      <c r="R92" s="4">
        <f>IF(Table1[[#This Row],[Target]]&gt;=Table1[[#This Row],[Last value]],1,0)</f>
        <v>1</v>
      </c>
      <c r="S92" s="4" t="str">
        <f t="shared" ref="S92:S103" si="2">IF(P92=1, "Red", IF(Q92=1, "Yellow", "Green"))</f>
        <v>Green</v>
      </c>
      <c r="T92">
        <v>0</v>
      </c>
      <c r="U92">
        <v>0</v>
      </c>
      <c r="V92">
        <v>0</v>
      </c>
      <c r="W92">
        <v>0</v>
      </c>
      <c r="X92">
        <v>0</v>
      </c>
      <c r="Y92">
        <v>1.8</v>
      </c>
      <c r="Z92">
        <v>1.2</v>
      </c>
      <c r="AA92">
        <v>0</v>
      </c>
      <c r="AB92">
        <v>2.2999999999999998</v>
      </c>
      <c r="AC92">
        <v>3.13</v>
      </c>
      <c r="AD92">
        <v>0</v>
      </c>
      <c r="AE92">
        <v>1.9</v>
      </c>
      <c r="AF92">
        <v>3.1</v>
      </c>
      <c r="AG92">
        <v>1.91</v>
      </c>
      <c r="AH92">
        <v>4.0999999999999996</v>
      </c>
      <c r="AI92">
        <v>0</v>
      </c>
      <c r="AJ92">
        <v>2.87</v>
      </c>
      <c r="AK92">
        <v>2.94</v>
      </c>
      <c r="AL92">
        <v>2.38</v>
      </c>
      <c r="AM92">
        <v>0</v>
      </c>
      <c r="AN92">
        <v>2.77</v>
      </c>
      <c r="AO92">
        <v>0</v>
      </c>
      <c r="AP92">
        <v>2.99</v>
      </c>
      <c r="AQ92">
        <v>2.7</v>
      </c>
      <c r="AR92" s="8">
        <v>3.09</v>
      </c>
      <c r="AS92" s="8">
        <v>3.77</v>
      </c>
      <c r="AT92" s="8">
        <v>5</v>
      </c>
      <c r="AU92" s="3">
        <v>5.33</v>
      </c>
      <c r="AV92" s="3">
        <v>5.82</v>
      </c>
      <c r="AW92" s="3">
        <v>5.64</v>
      </c>
      <c r="AX92" s="3">
        <v>5.3</v>
      </c>
      <c r="AY92" s="3">
        <v>4.24</v>
      </c>
      <c r="AZ92" s="3">
        <v>5.6</v>
      </c>
      <c r="BA92" s="3">
        <v>0</v>
      </c>
      <c r="BB92" s="3">
        <v>3.9</v>
      </c>
      <c r="BC92">
        <v>4.2</v>
      </c>
      <c r="BD92">
        <v>4.0999999999999996</v>
      </c>
      <c r="BE92" s="11">
        <v>0</v>
      </c>
      <c r="BF92" s="4">
        <v>0</v>
      </c>
      <c r="BG92" s="4">
        <v>4.4000000000000004</v>
      </c>
      <c r="BH92" s="4">
        <v>4.8869999999999996</v>
      </c>
      <c r="BI92" s="4">
        <v>0</v>
      </c>
      <c r="BJ92" s="13">
        <v>4.327</v>
      </c>
      <c r="BK92" s="13">
        <v>0</v>
      </c>
      <c r="BL92" s="4">
        <v>4.9269999999999996</v>
      </c>
      <c r="BM92" s="16">
        <v>4.95</v>
      </c>
      <c r="BN92" s="4">
        <v>5.4050000000000002</v>
      </c>
      <c r="BO92" s="4">
        <v>5.8529999999999998</v>
      </c>
      <c r="BP92" s="4">
        <v>0</v>
      </c>
      <c r="BQ92" s="4">
        <v>5.2309999999999999</v>
      </c>
      <c r="BR92" s="4">
        <v>5.7320000000000002</v>
      </c>
      <c r="BS92" s="4">
        <v>0</v>
      </c>
      <c r="BT92" s="4">
        <v>0</v>
      </c>
      <c r="BU92" s="4">
        <v>0</v>
      </c>
      <c r="BV92" s="4">
        <v>0</v>
      </c>
      <c r="BW92" s="4">
        <v>5.8380000000000001</v>
      </c>
      <c r="BX92" s="4">
        <v>0</v>
      </c>
      <c r="BY92" s="4">
        <v>1.0209999999999999</v>
      </c>
      <c r="BZ92">
        <v>0</v>
      </c>
      <c r="CA92" s="18">
        <v>2.66</v>
      </c>
      <c r="CB92">
        <v>2.96</v>
      </c>
      <c r="CC92" s="18">
        <v>3.08</v>
      </c>
      <c r="CD92">
        <v>2.5099999999999998</v>
      </c>
      <c r="CE92" s="19">
        <v>0</v>
      </c>
      <c r="CF92" s="19">
        <v>1.9</v>
      </c>
      <c r="CG92" s="4">
        <v>1.75</v>
      </c>
      <c r="CH92" s="4">
        <v>2.4500000000000002</v>
      </c>
      <c r="CI92" s="4">
        <v>2.1</v>
      </c>
      <c r="CJ92" s="34">
        <v>2.1</v>
      </c>
      <c r="CK92" s="34">
        <v>2.85</v>
      </c>
      <c r="CL92" s="43">
        <v>1.8</v>
      </c>
      <c r="CM92" s="4">
        <v>2.1</v>
      </c>
      <c r="CN92" s="53">
        <v>0</v>
      </c>
      <c r="CO92" s="54">
        <v>2.1</v>
      </c>
      <c r="CP92" s="54">
        <v>1.55</v>
      </c>
      <c r="CQ92" s="4">
        <v>1.36</v>
      </c>
    </row>
    <row r="93" spans="1:95" x14ac:dyDescent="0.35">
      <c r="A93" s="55">
        <v>92</v>
      </c>
      <c r="B93" t="s">
        <v>99</v>
      </c>
      <c r="C93" s="27" t="s">
        <v>296</v>
      </c>
      <c r="D93" s="3" t="s">
        <v>100</v>
      </c>
      <c r="E93" s="33" t="s">
        <v>90</v>
      </c>
      <c r="F93" s="4">
        <f>IFERROR(AVERAGEIF(Table1[[#This Row],[2019-Apr]:[2025-July]],"&lt;&gt;0"),0)</f>
        <v>2.4760566037735847</v>
      </c>
      <c r="G93" s="4">
        <f ca="1">IFERROR(AVERAGEIF(OFFSET(Table1[[#This Row],[Status]],0,COUNT(Table1[[#This Row],[2019-May]:[2025-July]]),1,-12),"&lt;&gt;0"),0)</f>
        <v>2.0699999999999998</v>
      </c>
      <c r="H93" s="55">
        <f>IFERROR(SMALL(Table1[[#This Row],[2019-Apr]:[2025-July]],COUNTIF(Table1[[#This Row],[2019-Apr]:[2025-July]],0)+1),0)</f>
        <v>0.71</v>
      </c>
      <c r="I93" s="55">
        <f>IFERROR(MAX(Table1[[#This Row],[2019-Apr]:[2025-July]]),0)</f>
        <v>5.0199999999999996</v>
      </c>
      <c r="J93" s="4" cm="1">
        <f t="array" ref="J9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0.95166666666666666</v>
      </c>
      <c r="K93" s="4">
        <v>4.5</v>
      </c>
      <c r="L93" s="4">
        <f>IF(Table1[[#This Row],[Standard as per ISO]]&gt;=Table1[[#This Row],[Avg of best 6]],Table1[[#This Row],[Standard as per ISO]],Table1[[#This Row],[Avg of best 6]])</f>
        <v>4.5</v>
      </c>
      <c r="M93" s="4" cm="1">
        <f t="array" ref="M93">IFERROR(LOOKUP(2,1/(Table1[[#This Row],[2019-May]:[2025-July]]&lt;&gt;0),Table1[[#This Row],[2019-May]:[2025-July]]),0)</f>
        <v>1.63</v>
      </c>
      <c r="N93" s="4">
        <f>COUNTIF(Table1[[#This Row],[2019-Apr]:[2025-July]],"&gt;="&amp;Table1[[#This Row],[Target]])</f>
        <v>2</v>
      </c>
      <c r="O93" s="4">
        <f>IF(Table1[[#This Row],[Outliers 2Y]]=0,1,0)</f>
        <v>0</v>
      </c>
      <c r="P93" s="4">
        <f>IF(Table1[[#This Row],[Last value]]&gt;1.5*Table1[[#This Row],[Target]],1,0)</f>
        <v>0</v>
      </c>
      <c r="Q93" s="4">
        <f>IF(AND(1.5*Table1[[#This Row],[Target]]&gt;=Table1[[#This Row],[Last value]],Table1[[#This Row],[Last value]]&gt;Table1[[#This Row],[Target]]),1,0)</f>
        <v>0</v>
      </c>
      <c r="R93" s="4">
        <f>IF(Table1[[#This Row],[Target]]&gt;=Table1[[#This Row],[Last value]],1,0)</f>
        <v>1</v>
      </c>
      <c r="S93" s="4" t="str">
        <f t="shared" si="2"/>
        <v>Green</v>
      </c>
      <c r="T93">
        <v>0</v>
      </c>
      <c r="U93">
        <v>0</v>
      </c>
      <c r="V93">
        <v>0</v>
      </c>
      <c r="W93">
        <v>0</v>
      </c>
      <c r="X93">
        <v>0</v>
      </c>
      <c r="Y93">
        <v>1.79</v>
      </c>
      <c r="Z93">
        <v>2.57</v>
      </c>
      <c r="AA93">
        <v>2.1</v>
      </c>
      <c r="AB93">
        <v>0.71</v>
      </c>
      <c r="AC93">
        <v>0.74</v>
      </c>
      <c r="AD93">
        <v>2.7</v>
      </c>
      <c r="AE93">
        <v>1.9</v>
      </c>
      <c r="AF93">
        <v>0.9</v>
      </c>
      <c r="AG93">
        <v>2.2000000000000002</v>
      </c>
      <c r="AH93">
        <v>0</v>
      </c>
      <c r="AI93">
        <v>1.58</v>
      </c>
      <c r="AJ93">
        <v>1.2</v>
      </c>
      <c r="AK93">
        <v>0</v>
      </c>
      <c r="AL93">
        <v>1.06</v>
      </c>
      <c r="AM93">
        <v>1.1000000000000001</v>
      </c>
      <c r="AN93">
        <v>1.4</v>
      </c>
      <c r="AO93">
        <v>0</v>
      </c>
      <c r="AP93">
        <v>1.84</v>
      </c>
      <c r="AQ93">
        <v>2.4900000000000002</v>
      </c>
      <c r="AR93" s="8">
        <v>1.47</v>
      </c>
      <c r="AS93" s="8">
        <v>2.5499999999999998</v>
      </c>
      <c r="AT93" s="8">
        <v>2.6</v>
      </c>
      <c r="AU93" s="3">
        <v>0</v>
      </c>
      <c r="AV93" s="3">
        <v>2.0099999999999998</v>
      </c>
      <c r="AW93" s="3">
        <v>5.0199999999999996</v>
      </c>
      <c r="AX93" s="3">
        <v>0</v>
      </c>
      <c r="AY93" s="3">
        <v>0</v>
      </c>
      <c r="AZ93" s="3">
        <v>0</v>
      </c>
      <c r="BA93" s="3">
        <v>4.5</v>
      </c>
      <c r="BB93" s="3">
        <v>3.6</v>
      </c>
      <c r="BC93">
        <v>2.8</v>
      </c>
      <c r="BD93">
        <v>0</v>
      </c>
      <c r="BE93" s="11">
        <v>2.7730000000000001</v>
      </c>
      <c r="BF93" s="4">
        <v>3.7029999999999998</v>
      </c>
      <c r="BG93" s="4">
        <v>2.7</v>
      </c>
      <c r="BH93" s="4">
        <v>3.8210000000000002</v>
      </c>
      <c r="BI93" s="4">
        <v>3.415</v>
      </c>
      <c r="BJ93" s="14">
        <v>3.044</v>
      </c>
      <c r="BK93" s="14">
        <v>2.75</v>
      </c>
      <c r="BL93" s="4">
        <v>3.177</v>
      </c>
      <c r="BM93" s="17">
        <v>0</v>
      </c>
      <c r="BN93" s="4">
        <v>2.718</v>
      </c>
      <c r="BO93" s="4">
        <v>0</v>
      </c>
      <c r="BP93" s="4">
        <v>2.5590000000000002</v>
      </c>
      <c r="BQ93" s="4">
        <v>0</v>
      </c>
      <c r="BR93" s="4">
        <v>2.8639999999999999</v>
      </c>
      <c r="BS93" s="4">
        <v>2.944</v>
      </c>
      <c r="BT93" s="4">
        <v>2.9430000000000001</v>
      </c>
      <c r="BU93" s="4">
        <v>2.8170000000000002</v>
      </c>
      <c r="BV93" s="4">
        <v>3.4020000000000001</v>
      </c>
      <c r="BW93" s="4">
        <v>0</v>
      </c>
      <c r="BX93" s="4">
        <v>3.177</v>
      </c>
      <c r="BY93" s="4">
        <v>3.2440000000000002</v>
      </c>
      <c r="BZ93">
        <v>2.97</v>
      </c>
      <c r="CA93">
        <v>3.2</v>
      </c>
      <c r="CB93">
        <v>0</v>
      </c>
      <c r="CC93">
        <v>2.77</v>
      </c>
      <c r="CD93">
        <v>2.85</v>
      </c>
      <c r="CE93" s="19">
        <v>2.1</v>
      </c>
      <c r="CF93" s="19">
        <v>0</v>
      </c>
      <c r="CG93" s="4">
        <v>0</v>
      </c>
      <c r="CH93" s="4">
        <v>1.99</v>
      </c>
      <c r="CI93" s="4">
        <v>2.11</v>
      </c>
      <c r="CJ93" s="34">
        <v>0</v>
      </c>
      <c r="CK93" s="34">
        <v>3.7</v>
      </c>
      <c r="CL93" s="43">
        <v>0</v>
      </c>
      <c r="CM93" s="4">
        <v>2.4</v>
      </c>
      <c r="CN93" s="53">
        <v>1.24</v>
      </c>
      <c r="CO93" s="54">
        <v>1.39</v>
      </c>
      <c r="CP93" s="54">
        <v>1.63</v>
      </c>
      <c r="CQ93" s="4">
        <v>0</v>
      </c>
    </row>
    <row r="94" spans="1:95" x14ac:dyDescent="0.35">
      <c r="A94" s="55">
        <v>93</v>
      </c>
      <c r="B94" t="s">
        <v>99</v>
      </c>
      <c r="C94" s="27" t="s">
        <v>297</v>
      </c>
      <c r="D94" s="3" t="s">
        <v>100</v>
      </c>
      <c r="E94" s="33" t="s">
        <v>90</v>
      </c>
      <c r="F94" s="4">
        <f>IFERROR(AVERAGEIF(Table1[[#This Row],[2019-Apr]:[2025-July]],"&lt;&gt;0"),0)</f>
        <v>3.4564680851063825</v>
      </c>
      <c r="G94" s="4">
        <f ca="1">IFERROR(AVERAGEIF(OFFSET(Table1[[#This Row],[Status]],0,COUNT(Table1[[#This Row],[2019-May]:[2025-July]]),1,-12),"&lt;&gt;0"),0)</f>
        <v>5.9750000000000005</v>
      </c>
      <c r="H94" s="55">
        <f>IFERROR(SMALL(Table1[[#This Row],[2019-Apr]:[2025-July]],COUNTIF(Table1[[#This Row],[2019-Apr]:[2025-July]],0)+1),0)</f>
        <v>1.0900000000000001</v>
      </c>
      <c r="I94" s="55">
        <f>IFERROR(MAX(Table1[[#This Row],[2019-Apr]:[2025-July]]),0)</f>
        <v>8.2799999999999994</v>
      </c>
      <c r="J94" s="4" cm="1">
        <f t="array" ref="J9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1.5746666666666667</v>
      </c>
      <c r="K94" s="4">
        <v>4.5</v>
      </c>
      <c r="L94" s="4">
        <f>IF(Table1[[#This Row],[Standard as per ISO]]&gt;=Table1[[#This Row],[Avg of best 6]],Table1[[#This Row],[Standard as per ISO]],Table1[[#This Row],[Avg of best 6]])</f>
        <v>4.5</v>
      </c>
      <c r="M94" s="4" cm="1">
        <f t="array" ref="M94">IFERROR(LOOKUP(2,1/(Table1[[#This Row],[2019-May]:[2025-July]]&lt;&gt;0),Table1[[#This Row],[2019-May]:[2025-July]]),0)</f>
        <v>8.2799999999999994</v>
      </c>
      <c r="N94" s="4">
        <f>COUNTIF(Table1[[#This Row],[2019-Apr]:[2025-July]],"&gt;="&amp;Table1[[#This Row],[Target]])</f>
        <v>9</v>
      </c>
      <c r="O94" s="4">
        <f>IF(Table1[[#This Row],[Outliers 2Y]]=0,1,0)</f>
        <v>0</v>
      </c>
      <c r="P94" s="4">
        <f>IF(Table1[[#This Row],[Last value]]&gt;1.5*Table1[[#This Row],[Target]],1,0)</f>
        <v>1</v>
      </c>
      <c r="Q94" s="4">
        <f>IF(AND(1.5*Table1[[#This Row],[Target]]&gt;=Table1[[#This Row],[Last value]],Table1[[#This Row],[Last value]]&gt;Table1[[#This Row],[Target]]),1,0)</f>
        <v>0</v>
      </c>
      <c r="R94" s="4">
        <f>IF(Table1[[#This Row],[Target]]&gt;=Table1[[#This Row],[Last value]],1,0)</f>
        <v>0</v>
      </c>
      <c r="S94" s="4" t="str">
        <f t="shared" si="2"/>
        <v>Red</v>
      </c>
      <c r="T94">
        <v>0</v>
      </c>
      <c r="U94">
        <v>0</v>
      </c>
      <c r="V94">
        <v>0</v>
      </c>
      <c r="W94">
        <v>3.11</v>
      </c>
      <c r="X94">
        <v>2.2000000000000002</v>
      </c>
      <c r="Y94">
        <v>0</v>
      </c>
      <c r="Z94">
        <v>0</v>
      </c>
      <c r="AA94">
        <v>2.4</v>
      </c>
      <c r="AB94">
        <v>0</v>
      </c>
      <c r="AC94">
        <v>0</v>
      </c>
      <c r="AD94">
        <v>2.1</v>
      </c>
      <c r="AE94">
        <v>0</v>
      </c>
      <c r="AF94">
        <v>0</v>
      </c>
      <c r="AG94">
        <v>0</v>
      </c>
      <c r="AH94">
        <v>0</v>
      </c>
      <c r="AI94">
        <v>1.7</v>
      </c>
      <c r="AJ94">
        <v>1.35</v>
      </c>
      <c r="AK94">
        <v>3.05</v>
      </c>
      <c r="AL94">
        <v>3</v>
      </c>
      <c r="AM94">
        <v>3.04</v>
      </c>
      <c r="AN94">
        <v>2.7</v>
      </c>
      <c r="AO94">
        <v>0</v>
      </c>
      <c r="AP94">
        <v>1.4</v>
      </c>
      <c r="AQ94">
        <v>2.0699999999999998</v>
      </c>
      <c r="AR94" s="8">
        <v>1.0900000000000001</v>
      </c>
      <c r="AS94" s="8">
        <v>0</v>
      </c>
      <c r="AT94" s="8">
        <v>0</v>
      </c>
      <c r="AU94" s="3">
        <v>5.76</v>
      </c>
      <c r="AV94" s="3">
        <v>0</v>
      </c>
      <c r="AW94" s="3">
        <v>5.86</v>
      </c>
      <c r="AX94" s="3">
        <v>2.2599999999999998</v>
      </c>
      <c r="AY94" s="3">
        <v>2.34</v>
      </c>
      <c r="AZ94" s="3">
        <v>2.4</v>
      </c>
      <c r="BA94" s="3">
        <v>2.8</v>
      </c>
      <c r="BB94" s="3">
        <v>3.3</v>
      </c>
      <c r="BC94" s="3">
        <v>0</v>
      </c>
      <c r="BD94">
        <v>3.3</v>
      </c>
      <c r="BE94" s="11">
        <v>4.97</v>
      </c>
      <c r="BF94" s="4">
        <v>4.1509999999999998</v>
      </c>
      <c r="BG94" s="4">
        <v>4.1509999999999998</v>
      </c>
      <c r="BH94" s="4">
        <v>0</v>
      </c>
      <c r="BI94" s="4">
        <v>2.0870000000000002</v>
      </c>
      <c r="BJ94" s="13">
        <v>2.9489999999999998</v>
      </c>
      <c r="BK94" s="13">
        <v>1.988</v>
      </c>
      <c r="BL94" s="4">
        <v>0</v>
      </c>
      <c r="BM94" s="16">
        <v>1.92</v>
      </c>
      <c r="BN94" s="4">
        <v>0</v>
      </c>
      <c r="BO94" s="4">
        <v>2.3250000000000002</v>
      </c>
      <c r="BP94" s="4">
        <v>2.6890000000000001</v>
      </c>
      <c r="BQ94" s="4">
        <v>2.7040000000000002</v>
      </c>
      <c r="BR94" s="4">
        <v>0</v>
      </c>
      <c r="BS94" s="4">
        <v>3.1349999999999998</v>
      </c>
      <c r="BT94" s="4">
        <v>3.7149999999999999</v>
      </c>
      <c r="BU94" s="4">
        <v>3.5049999999999999</v>
      </c>
      <c r="BV94" s="4">
        <v>3.875</v>
      </c>
      <c r="BW94" s="4">
        <v>4.0880000000000001</v>
      </c>
      <c r="BX94" s="4">
        <v>4.1660000000000004</v>
      </c>
      <c r="BY94" s="4">
        <v>4.3659999999999997</v>
      </c>
      <c r="BZ94">
        <v>4.2300000000000004</v>
      </c>
      <c r="CA94">
        <v>4.0599999999999996</v>
      </c>
      <c r="CB94">
        <v>4.3</v>
      </c>
      <c r="CC94">
        <v>0</v>
      </c>
      <c r="CD94">
        <v>0</v>
      </c>
      <c r="CE94" s="19">
        <v>4.5999999999999996</v>
      </c>
      <c r="CF94" s="19">
        <v>4.7</v>
      </c>
      <c r="CG94" s="4">
        <v>5.47</v>
      </c>
      <c r="CH94" s="4">
        <v>0</v>
      </c>
      <c r="CI94" s="4">
        <v>0</v>
      </c>
      <c r="CJ94" s="34">
        <v>6.4</v>
      </c>
      <c r="CK94" s="34">
        <v>0</v>
      </c>
      <c r="CL94" s="43">
        <v>6.4</v>
      </c>
      <c r="CM94" s="4">
        <v>0</v>
      </c>
      <c r="CN94" s="53">
        <v>8.2799999999999994</v>
      </c>
      <c r="CO94" s="54">
        <v>0</v>
      </c>
      <c r="CP94" s="54">
        <v>0</v>
      </c>
      <c r="CQ94" s="4">
        <v>0</v>
      </c>
    </row>
    <row r="95" spans="1:95" x14ac:dyDescent="0.35">
      <c r="A95" s="55">
        <v>94</v>
      </c>
      <c r="B95" t="s">
        <v>99</v>
      </c>
      <c r="C95" s="27" t="s">
        <v>298</v>
      </c>
      <c r="D95" s="3" t="s">
        <v>94</v>
      </c>
      <c r="E95" s="33" t="s">
        <v>89</v>
      </c>
      <c r="F95" s="4">
        <f>IFERROR(AVERAGEIF(Table1[[#This Row],[2019-Apr]:[2025-July]],"&lt;&gt;0"),0)</f>
        <v>2.1563249999999998</v>
      </c>
      <c r="G95" s="4">
        <f ca="1">IFERROR(AVERAGEIF(OFFSET(Table1[[#This Row],[Status]],0,COUNT(Table1[[#This Row],[2019-May]:[2025-July]]),1,-12),"&lt;&gt;0"),0)</f>
        <v>1.5399999999999998</v>
      </c>
      <c r="H95" s="55">
        <f>IFERROR(SMALL(Table1[[#This Row],[2019-Apr]:[2025-July]],COUNTIF(Table1[[#This Row],[2019-Apr]:[2025-July]],0)+1),0)</f>
        <v>1.3</v>
      </c>
      <c r="I95" s="55">
        <f>IFERROR(MAX(Table1[[#This Row],[2019-Apr]:[2025-July]]),0)</f>
        <v>3.41</v>
      </c>
      <c r="J95" s="4" cm="1">
        <f t="array" ref="J9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1.3983333333333334</v>
      </c>
      <c r="K95" s="4">
        <v>4.5</v>
      </c>
      <c r="L95" s="4">
        <f>IF(Table1[[#This Row],[Standard as per ISO]]&gt;=Table1[[#This Row],[Avg of best 6]],Table1[[#This Row],[Standard as per ISO]],Table1[[#This Row],[Avg of best 6]])</f>
        <v>4.5</v>
      </c>
      <c r="M95" s="4" cm="1">
        <f t="array" ref="M95">IFERROR(LOOKUP(2,1/(Table1[[#This Row],[2019-May]:[2025-July]]&lt;&gt;0),Table1[[#This Row],[2019-May]:[2025-July]]),0)</f>
        <v>1.4</v>
      </c>
      <c r="N95" s="4">
        <f>COUNTIF(Table1[[#This Row],[2019-Apr]:[2025-July]],"&gt;="&amp;Table1[[#This Row],[Target]])</f>
        <v>0</v>
      </c>
      <c r="O95" s="4">
        <f>IF(Table1[[#This Row],[Outliers 2Y]]=0,1,0)</f>
        <v>1</v>
      </c>
      <c r="P95" s="4">
        <f>IF(Table1[[#This Row],[Last value]]&gt;1.5*Table1[[#This Row],[Target]],1,0)</f>
        <v>0</v>
      </c>
      <c r="Q95" s="4">
        <f>IF(AND(1.5*Table1[[#This Row],[Target]]&gt;=Table1[[#This Row],[Last value]],Table1[[#This Row],[Last value]]&gt;Table1[[#This Row],[Target]]),1,0)</f>
        <v>0</v>
      </c>
      <c r="R95" s="4">
        <f>IF(Table1[[#This Row],[Target]]&gt;=Table1[[#This Row],[Last value]],1,0)</f>
        <v>1</v>
      </c>
      <c r="S95" s="4" t="str">
        <f t="shared" si="2"/>
        <v>Green</v>
      </c>
      <c r="T95">
        <v>0</v>
      </c>
      <c r="U95">
        <v>0</v>
      </c>
      <c r="V95">
        <v>0</v>
      </c>
      <c r="W95">
        <v>0</v>
      </c>
      <c r="X95">
        <v>2.5299999999999998</v>
      </c>
      <c r="Y95">
        <v>0</v>
      </c>
      <c r="Z95">
        <v>2.7</v>
      </c>
      <c r="AA95">
        <v>2.6</v>
      </c>
      <c r="AB95">
        <v>3.41</v>
      </c>
      <c r="AC95">
        <v>3.31</v>
      </c>
      <c r="AD95">
        <v>3.2</v>
      </c>
      <c r="AE95">
        <v>0</v>
      </c>
      <c r="AF95">
        <v>0</v>
      </c>
      <c r="AG95">
        <v>2.1800000000000002</v>
      </c>
      <c r="AH95">
        <v>0</v>
      </c>
      <c r="AI95">
        <v>2.21</v>
      </c>
      <c r="AJ95">
        <v>3.16</v>
      </c>
      <c r="AK95">
        <v>3.24</v>
      </c>
      <c r="AL95">
        <v>2.5</v>
      </c>
      <c r="AM95">
        <v>2.39</v>
      </c>
      <c r="AN95">
        <v>2.2999999999999998</v>
      </c>
      <c r="AO95">
        <v>2.4</v>
      </c>
      <c r="AP95">
        <v>0</v>
      </c>
      <c r="AQ95">
        <v>0</v>
      </c>
      <c r="AR95" s="8">
        <v>2.0299999999999998</v>
      </c>
      <c r="AS95" s="8">
        <v>2.65</v>
      </c>
      <c r="AT95" s="8">
        <v>2.5</v>
      </c>
      <c r="AU95" s="3">
        <v>1.81</v>
      </c>
      <c r="AV95" s="3">
        <v>2.57</v>
      </c>
      <c r="AW95" s="3">
        <v>2.04</v>
      </c>
      <c r="AX95" s="3">
        <v>2.31</v>
      </c>
      <c r="AY95" s="3">
        <v>1.78</v>
      </c>
      <c r="AZ95" s="3">
        <v>1.4</v>
      </c>
      <c r="BA95" s="3">
        <v>1.9</v>
      </c>
      <c r="BB95" s="3">
        <v>0</v>
      </c>
      <c r="BC95" s="3">
        <v>0</v>
      </c>
      <c r="BD95">
        <v>0</v>
      </c>
      <c r="BE95" s="11">
        <v>2.6070000000000002</v>
      </c>
      <c r="BF95" s="4">
        <v>0</v>
      </c>
      <c r="BG95" s="4">
        <v>1.7</v>
      </c>
      <c r="BH95" s="4">
        <v>1.5720000000000001</v>
      </c>
      <c r="BI95" s="4">
        <v>0</v>
      </c>
      <c r="BJ95" s="14">
        <v>0</v>
      </c>
      <c r="BK95" s="14">
        <v>0</v>
      </c>
      <c r="BL95" s="4">
        <v>2.194</v>
      </c>
      <c r="BM95" s="17">
        <v>0</v>
      </c>
      <c r="BN95" s="4">
        <v>0</v>
      </c>
      <c r="BO95" s="4">
        <v>0</v>
      </c>
      <c r="BP95" s="4">
        <v>1.9350000000000001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1.6850000000000001</v>
      </c>
      <c r="BX95" s="4">
        <v>0</v>
      </c>
      <c r="BY95" s="4">
        <v>0</v>
      </c>
      <c r="BZ95">
        <v>0</v>
      </c>
      <c r="CA95">
        <v>0</v>
      </c>
      <c r="CB95">
        <v>0</v>
      </c>
      <c r="CC95">
        <v>0</v>
      </c>
      <c r="CD95">
        <v>1.72</v>
      </c>
      <c r="CE95" s="19">
        <v>0</v>
      </c>
      <c r="CF95" s="19">
        <v>0</v>
      </c>
      <c r="CG95" s="4">
        <v>1.39</v>
      </c>
      <c r="CH95" s="4">
        <v>1.61</v>
      </c>
      <c r="CI95" s="4">
        <v>0</v>
      </c>
      <c r="CJ95" s="34">
        <v>0</v>
      </c>
      <c r="CK95" s="34">
        <v>1.3</v>
      </c>
      <c r="CL95" s="43">
        <v>1.4</v>
      </c>
      <c r="CM95" s="4">
        <v>1.6</v>
      </c>
      <c r="CN95" s="53">
        <v>1.94</v>
      </c>
      <c r="CO95" s="54">
        <v>1.58</v>
      </c>
      <c r="CP95" s="54">
        <v>1.5</v>
      </c>
      <c r="CQ95" s="4">
        <v>1.4</v>
      </c>
    </row>
    <row r="96" spans="1:95" x14ac:dyDescent="0.35">
      <c r="A96" s="55">
        <v>95</v>
      </c>
      <c r="B96" t="s">
        <v>99</v>
      </c>
      <c r="C96" s="27" t="s">
        <v>299</v>
      </c>
      <c r="D96" s="3" t="s">
        <v>94</v>
      </c>
      <c r="E96" s="33" t="s">
        <v>89</v>
      </c>
      <c r="F96" s="4">
        <f>IFERROR(AVERAGEIF(Table1[[#This Row],[2019-Apr]:[2025-July]],"&lt;&gt;0"),0)</f>
        <v>2.2555517241379306</v>
      </c>
      <c r="G96" s="4">
        <f ca="1">IFERROR(AVERAGEIF(OFFSET(Table1[[#This Row],[Status]],0,COUNT(Table1[[#This Row],[2019-May]:[2025-July]]),1,-12),"&lt;&gt;0"),0)</f>
        <v>0</v>
      </c>
      <c r="H96" s="55">
        <f>IFERROR(SMALL(Table1[[#This Row],[2019-Apr]:[2025-July]],COUNTIF(Table1[[#This Row],[2019-Apr]:[2025-July]],0)+1),0)</f>
        <v>1.4670000000000001</v>
      </c>
      <c r="I96" s="55">
        <f>IFERROR(MAX(Table1[[#This Row],[2019-Apr]:[2025-July]]),0)</f>
        <v>3.4</v>
      </c>
      <c r="J96" s="4" cm="1">
        <f t="array" ref="J9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1.7511666666666665</v>
      </c>
      <c r="K96" s="4">
        <v>4.5</v>
      </c>
      <c r="L96" s="4">
        <f>IF(Table1[[#This Row],[Standard as per ISO]]&gt;=Table1[[#This Row],[Avg of best 6]],Table1[[#This Row],[Standard as per ISO]],Table1[[#This Row],[Avg of best 6]])</f>
        <v>4.5</v>
      </c>
      <c r="M96" s="4" cm="1">
        <f t="array" ref="M96">IFERROR(LOOKUP(2,1/(Table1[[#This Row],[2019-May]:[2025-July]]&lt;&gt;0),Table1[[#This Row],[2019-May]:[2025-July]]),0)</f>
        <v>2.2280000000000002</v>
      </c>
      <c r="N96" s="4">
        <f>COUNTIF(Table1[[#This Row],[2019-Apr]:[2025-July]],"&gt;="&amp;Table1[[#This Row],[Target]])</f>
        <v>0</v>
      </c>
      <c r="O96" s="4">
        <f>IF(Table1[[#This Row],[Outliers 2Y]]=0,1,0)</f>
        <v>1</v>
      </c>
      <c r="P96" s="4">
        <f>IF(Table1[[#This Row],[Last value]]&gt;1.5*Table1[[#This Row],[Target]],1,0)</f>
        <v>0</v>
      </c>
      <c r="Q96" s="4">
        <f>IF(AND(1.5*Table1[[#This Row],[Target]]&gt;=Table1[[#This Row],[Last value]],Table1[[#This Row],[Last value]]&gt;Table1[[#This Row],[Target]]),1,0)</f>
        <v>0</v>
      </c>
      <c r="R96" s="4">
        <f>IF(Table1[[#This Row],[Target]]&gt;=Table1[[#This Row],[Last value]],1,0)</f>
        <v>1</v>
      </c>
      <c r="S96" s="4" t="str">
        <f t="shared" si="2"/>
        <v>Green</v>
      </c>
      <c r="T96">
        <v>0</v>
      </c>
      <c r="U96">
        <v>0</v>
      </c>
      <c r="V96">
        <v>0</v>
      </c>
      <c r="W96">
        <v>0</v>
      </c>
      <c r="X96">
        <v>2.1</v>
      </c>
      <c r="Y96">
        <v>1.91</v>
      </c>
      <c r="Z96">
        <v>2.58</v>
      </c>
      <c r="AA96">
        <v>3.4</v>
      </c>
      <c r="AB96">
        <v>0</v>
      </c>
      <c r="AC96">
        <v>3.1</v>
      </c>
      <c r="AD96">
        <v>1.7</v>
      </c>
      <c r="AE96">
        <v>1.9</v>
      </c>
      <c r="AF96">
        <v>2</v>
      </c>
      <c r="AG96">
        <v>0</v>
      </c>
      <c r="AH96">
        <v>2.4</v>
      </c>
      <c r="AI96">
        <v>2.78</v>
      </c>
      <c r="AJ96">
        <v>0</v>
      </c>
      <c r="AK96">
        <v>0</v>
      </c>
      <c r="AL96">
        <v>1.92</v>
      </c>
      <c r="AM96">
        <v>1.74</v>
      </c>
      <c r="AN96">
        <v>2.2000000000000002</v>
      </c>
      <c r="AO96">
        <v>2</v>
      </c>
      <c r="AP96">
        <v>2.2000000000000002</v>
      </c>
      <c r="AQ96">
        <v>2.19</v>
      </c>
      <c r="AR96" s="8">
        <v>0</v>
      </c>
      <c r="AS96" s="8">
        <v>2.2000000000000002</v>
      </c>
      <c r="AT96" s="8">
        <v>1.9</v>
      </c>
      <c r="AU96" s="3">
        <v>3.23</v>
      </c>
      <c r="AV96" s="3">
        <v>0</v>
      </c>
      <c r="AW96" s="3">
        <v>0</v>
      </c>
      <c r="AX96" s="3">
        <v>0</v>
      </c>
      <c r="AY96" s="3">
        <v>2.25</v>
      </c>
      <c r="AZ96" s="3">
        <v>2.2999999999999998</v>
      </c>
      <c r="BA96" s="3">
        <v>2.2000000000000002</v>
      </c>
      <c r="BB96" s="3">
        <v>0</v>
      </c>
      <c r="BC96">
        <v>2.2999999999999998</v>
      </c>
      <c r="BD96">
        <v>0</v>
      </c>
      <c r="BE96" s="11">
        <v>0</v>
      </c>
      <c r="BF96" s="4">
        <v>2.9140000000000001</v>
      </c>
      <c r="BG96" s="4">
        <v>1.8</v>
      </c>
      <c r="BH96" s="4">
        <v>1.4670000000000001</v>
      </c>
      <c r="BI96" s="4">
        <v>2.573</v>
      </c>
      <c r="BJ96" s="13">
        <v>0</v>
      </c>
      <c r="BK96" s="13">
        <v>0</v>
      </c>
      <c r="BL96" s="4">
        <v>0</v>
      </c>
      <c r="BM96" s="16">
        <v>0</v>
      </c>
      <c r="BN96" s="4">
        <v>0</v>
      </c>
      <c r="BO96" s="4">
        <v>0</v>
      </c>
      <c r="BP96" s="4">
        <v>1.929</v>
      </c>
      <c r="BQ96" s="4">
        <v>0</v>
      </c>
      <c r="BR96" s="4">
        <v>0</v>
      </c>
      <c r="BS96" s="4">
        <v>2.2280000000000002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 s="19">
        <v>0</v>
      </c>
      <c r="CF96" s="19">
        <v>0</v>
      </c>
      <c r="CG96" s="4">
        <v>0</v>
      </c>
      <c r="CH96" s="4">
        <v>0</v>
      </c>
      <c r="CI96" s="4">
        <v>0</v>
      </c>
      <c r="CJ96" s="34">
        <v>0</v>
      </c>
      <c r="CK96" s="34">
        <v>0</v>
      </c>
      <c r="CL96" s="43">
        <v>0</v>
      </c>
      <c r="CM96" s="4">
        <v>0</v>
      </c>
      <c r="CN96" s="53">
        <v>0</v>
      </c>
      <c r="CO96" s="54">
        <v>0</v>
      </c>
      <c r="CP96" s="54">
        <v>0</v>
      </c>
      <c r="CQ96" s="4">
        <v>0</v>
      </c>
    </row>
    <row r="97" spans="1:95" x14ac:dyDescent="0.35">
      <c r="A97" s="55">
        <v>96</v>
      </c>
      <c r="B97" t="s">
        <v>99</v>
      </c>
      <c r="C97" s="27" t="s">
        <v>300</v>
      </c>
      <c r="D97" s="3" t="s">
        <v>94</v>
      </c>
      <c r="E97" s="33" t="s">
        <v>89</v>
      </c>
      <c r="F97" s="4">
        <f>IFERROR(AVERAGEIF(Table1[[#This Row],[2019-Apr]:[2025-July]],"&lt;&gt;0"),0)</f>
        <v>2.6897352941176469</v>
      </c>
      <c r="G97" s="4">
        <f ca="1">IFERROR(AVERAGEIF(OFFSET(Table1[[#This Row],[Status]],0,COUNT(Table1[[#This Row],[2019-May]:[2025-July]]),1,-12),"&lt;&gt;0"),0)</f>
        <v>3.0275000000000003</v>
      </c>
      <c r="H97" s="55">
        <f>IFERROR(SMALL(Table1[[#This Row],[2019-Apr]:[2025-July]],COUNTIF(Table1[[#This Row],[2019-Apr]:[2025-July]],0)+1),0)</f>
        <v>1.74</v>
      </c>
      <c r="I97" s="55">
        <f>IFERROR(MAX(Table1[[#This Row],[2019-Apr]:[2025-July]]),0)</f>
        <v>4.8</v>
      </c>
      <c r="J97" s="4" cm="1">
        <f t="array" ref="J9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1.9135000000000002</v>
      </c>
      <c r="K97" s="4">
        <v>4.5</v>
      </c>
      <c r="L97" s="4">
        <f>IF(Table1[[#This Row],[Standard as per ISO]]&gt;=Table1[[#This Row],[Avg of best 6]],Table1[[#This Row],[Standard as per ISO]],Table1[[#This Row],[Avg of best 6]])</f>
        <v>4.5</v>
      </c>
      <c r="M97" s="4" cm="1">
        <f t="array" ref="M97">IFERROR(LOOKUP(2,1/(Table1[[#This Row],[2019-May]:[2025-July]]&lt;&gt;0),Table1[[#This Row],[2019-May]:[2025-July]]),0)</f>
        <v>3.6</v>
      </c>
      <c r="N97" s="4">
        <f>COUNTIF(Table1[[#This Row],[2019-Apr]:[2025-July]],"&gt;="&amp;Table1[[#This Row],[Target]])</f>
        <v>1</v>
      </c>
      <c r="O97" s="4">
        <f>IF(Table1[[#This Row],[Outliers 2Y]]=0,1,0)</f>
        <v>0</v>
      </c>
      <c r="P97" s="4">
        <f>IF(Table1[[#This Row],[Last value]]&gt;1.5*Table1[[#This Row],[Target]],1,0)</f>
        <v>0</v>
      </c>
      <c r="Q97" s="4">
        <f>IF(AND(1.5*Table1[[#This Row],[Target]]&gt;=Table1[[#This Row],[Last value]],Table1[[#This Row],[Last value]]&gt;Table1[[#This Row],[Target]]),1,0)</f>
        <v>0</v>
      </c>
      <c r="R97" s="4">
        <f>IF(Table1[[#This Row],[Target]]&gt;=Table1[[#This Row],[Last value]],1,0)</f>
        <v>1</v>
      </c>
      <c r="S97" s="4" t="str">
        <f t="shared" si="2"/>
        <v>Green</v>
      </c>
      <c r="T97">
        <v>0</v>
      </c>
      <c r="U97">
        <v>0</v>
      </c>
      <c r="V97">
        <v>0</v>
      </c>
      <c r="W97">
        <v>0</v>
      </c>
      <c r="X97">
        <v>0</v>
      </c>
      <c r="Y97">
        <v>2.23</v>
      </c>
      <c r="Z97">
        <v>2.7</v>
      </c>
      <c r="AA97">
        <v>4.8</v>
      </c>
      <c r="AB97">
        <v>2.61</v>
      </c>
      <c r="AC97">
        <v>4.0999999999999996</v>
      </c>
      <c r="AD97">
        <v>0</v>
      </c>
      <c r="AE97">
        <v>2.73</v>
      </c>
      <c r="AF97">
        <v>2.1</v>
      </c>
      <c r="AG97">
        <v>2.8</v>
      </c>
      <c r="AH97">
        <v>2.6</v>
      </c>
      <c r="AI97">
        <v>0</v>
      </c>
      <c r="AJ97">
        <v>2.87</v>
      </c>
      <c r="AK97">
        <v>2.31</v>
      </c>
      <c r="AL97">
        <v>0</v>
      </c>
      <c r="AM97">
        <v>0</v>
      </c>
      <c r="AN97">
        <v>0</v>
      </c>
      <c r="AO97">
        <v>0</v>
      </c>
      <c r="AP97">
        <v>2</v>
      </c>
      <c r="AQ97">
        <v>1.74</v>
      </c>
      <c r="AR97" s="8">
        <v>1.95</v>
      </c>
      <c r="AS97" s="8">
        <v>0</v>
      </c>
      <c r="AT97" s="8">
        <v>0</v>
      </c>
      <c r="AU97" s="3">
        <v>0</v>
      </c>
      <c r="AV97" s="3">
        <v>1.81</v>
      </c>
      <c r="AW97" s="3">
        <v>1.89</v>
      </c>
      <c r="AX97" s="3">
        <v>2.98</v>
      </c>
      <c r="AY97" s="3">
        <v>0</v>
      </c>
      <c r="AZ97" s="3">
        <v>0</v>
      </c>
      <c r="BA97" s="3">
        <v>0</v>
      </c>
      <c r="BB97" s="3">
        <v>0</v>
      </c>
      <c r="BC97">
        <v>3.2</v>
      </c>
      <c r="BD97">
        <v>0</v>
      </c>
      <c r="BE97" s="11">
        <v>2.17</v>
      </c>
      <c r="BF97" s="4">
        <v>2.6589999999999998</v>
      </c>
      <c r="BG97" s="4">
        <v>0</v>
      </c>
      <c r="BH97" s="4">
        <v>0</v>
      </c>
      <c r="BI97" s="4">
        <v>2.0910000000000002</v>
      </c>
      <c r="BJ97" s="14">
        <v>0</v>
      </c>
      <c r="BK97" s="14">
        <v>0</v>
      </c>
      <c r="BL97" s="4">
        <v>2.0910000000000002</v>
      </c>
      <c r="BM97" s="17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2.468</v>
      </c>
      <c r="BT97" s="4">
        <v>0</v>
      </c>
      <c r="BU97" s="4">
        <v>0</v>
      </c>
      <c r="BV97" s="4">
        <v>0</v>
      </c>
      <c r="BW97" s="4">
        <v>2.4020000000000001</v>
      </c>
      <c r="BX97" s="4">
        <v>0</v>
      </c>
      <c r="BY97" s="4">
        <v>0</v>
      </c>
      <c r="BZ97">
        <v>0</v>
      </c>
      <c r="CA97">
        <v>0</v>
      </c>
      <c r="CB97">
        <v>0</v>
      </c>
      <c r="CC97">
        <v>0</v>
      </c>
      <c r="CD97">
        <v>2.33</v>
      </c>
      <c r="CE97" s="19">
        <v>0</v>
      </c>
      <c r="CF97" s="19">
        <v>0</v>
      </c>
      <c r="CG97" s="4">
        <v>2.35</v>
      </c>
      <c r="CH97" s="4">
        <v>2.87</v>
      </c>
      <c r="CI97" s="4">
        <v>0</v>
      </c>
      <c r="CJ97" s="34">
        <v>0</v>
      </c>
      <c r="CK97" s="34">
        <v>3.6</v>
      </c>
      <c r="CL97" s="43">
        <v>3.5</v>
      </c>
      <c r="CM97" s="4">
        <v>3.3</v>
      </c>
      <c r="CN97" s="53">
        <v>2.66</v>
      </c>
      <c r="CO97" s="54">
        <v>3.34</v>
      </c>
      <c r="CP97" s="54">
        <v>2.6</v>
      </c>
      <c r="CQ97" s="4">
        <v>3.6</v>
      </c>
    </row>
    <row r="98" spans="1:95" x14ac:dyDescent="0.35">
      <c r="A98" s="55">
        <v>97</v>
      </c>
      <c r="B98" t="s">
        <v>99</v>
      </c>
      <c r="C98" s="27" t="s">
        <v>301</v>
      </c>
      <c r="D98" s="3" t="s">
        <v>94</v>
      </c>
      <c r="E98" s="33" t="s">
        <v>89</v>
      </c>
      <c r="F98" s="4">
        <f>IFERROR(AVERAGEIF(Table1[[#This Row],[2019-Apr]:[2025-July]],"&lt;&gt;0"),0)</f>
        <v>1.8076888888888893</v>
      </c>
      <c r="G98" s="4">
        <f ca="1">IFERROR(AVERAGEIF(OFFSET(Table1[[#This Row],[Status]],0,COUNT(Table1[[#This Row],[2019-May]:[2025-July]]),1,-12),"&lt;&gt;0"),0)</f>
        <v>0.96875</v>
      </c>
      <c r="H98" s="55">
        <f>IFERROR(SMALL(Table1[[#This Row],[2019-Apr]:[2025-July]],COUNTIF(Table1[[#This Row],[2019-Apr]:[2025-July]],0)+1),0)</f>
        <v>0.8</v>
      </c>
      <c r="I98" s="55">
        <f>IFERROR(MAX(Table1[[#This Row],[2019-Apr]:[2025-July]]),0)</f>
        <v>3.95</v>
      </c>
      <c r="J98" s="4" cm="1">
        <f t="array" ref="J9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0.87666666666666682</v>
      </c>
      <c r="K98" s="4">
        <v>4.5</v>
      </c>
      <c r="L98" s="4">
        <f>IF(Table1[[#This Row],[Standard as per ISO]]&gt;=Table1[[#This Row],[Avg of best 6]],Table1[[#This Row],[Standard as per ISO]],Table1[[#This Row],[Avg of best 6]])</f>
        <v>4.5</v>
      </c>
      <c r="M98" s="4" cm="1">
        <f t="array" ref="M98">IFERROR(LOOKUP(2,1/(Table1[[#This Row],[2019-May]:[2025-July]]&lt;&gt;0),Table1[[#This Row],[2019-May]:[2025-July]]),0)</f>
        <v>0.9</v>
      </c>
      <c r="N98" s="4">
        <f>COUNTIF(Table1[[#This Row],[2019-Apr]:[2025-July]],"&gt;="&amp;Table1[[#This Row],[Target]])</f>
        <v>0</v>
      </c>
      <c r="O98" s="4">
        <f>IF(Table1[[#This Row],[Outliers 2Y]]=0,1,0)</f>
        <v>1</v>
      </c>
      <c r="P98" s="4">
        <f>IF(Table1[[#This Row],[Last value]]&gt;1.5*Table1[[#This Row],[Target]],1,0)</f>
        <v>0</v>
      </c>
      <c r="Q98" s="4">
        <f>IF(AND(1.5*Table1[[#This Row],[Target]]&gt;=Table1[[#This Row],[Last value]],Table1[[#This Row],[Last value]]&gt;Table1[[#This Row],[Target]]),1,0)</f>
        <v>0</v>
      </c>
      <c r="R98" s="4">
        <f>IF(Table1[[#This Row],[Target]]&gt;=Table1[[#This Row],[Last value]],1,0)</f>
        <v>1</v>
      </c>
      <c r="S98" s="4" t="str">
        <f t="shared" si="2"/>
        <v>Green</v>
      </c>
      <c r="T98">
        <v>0</v>
      </c>
      <c r="U98">
        <v>0</v>
      </c>
      <c r="V98">
        <v>0</v>
      </c>
      <c r="W98">
        <v>0</v>
      </c>
      <c r="X98">
        <v>0</v>
      </c>
      <c r="Y98">
        <v>1.78</v>
      </c>
      <c r="Z98">
        <v>1.4</v>
      </c>
      <c r="AA98">
        <v>1.55</v>
      </c>
      <c r="AB98">
        <v>1.17</v>
      </c>
      <c r="AC98">
        <v>2.0099999999999998</v>
      </c>
      <c r="AD98">
        <v>1.9</v>
      </c>
      <c r="AE98">
        <v>1.9</v>
      </c>
      <c r="AF98">
        <v>2</v>
      </c>
      <c r="AG98">
        <v>0</v>
      </c>
      <c r="AH98">
        <v>0</v>
      </c>
      <c r="AI98">
        <v>0</v>
      </c>
      <c r="AJ98">
        <v>0</v>
      </c>
      <c r="AK98">
        <v>2.27</v>
      </c>
      <c r="AL98">
        <v>0.95</v>
      </c>
      <c r="AM98">
        <v>1.82</v>
      </c>
      <c r="AN98">
        <v>2.2000000000000002</v>
      </c>
      <c r="AO98">
        <v>1</v>
      </c>
      <c r="AP98">
        <v>2.52</v>
      </c>
      <c r="AQ98">
        <v>1.52</v>
      </c>
      <c r="AR98" s="8">
        <v>3.95</v>
      </c>
      <c r="AS98" s="8">
        <v>2.67</v>
      </c>
      <c r="AT98" s="8">
        <v>2.5499999999999998</v>
      </c>
      <c r="AU98" s="3">
        <v>3.72</v>
      </c>
      <c r="AV98" s="3">
        <v>3.01</v>
      </c>
      <c r="AW98" s="3">
        <v>2.4300000000000002</v>
      </c>
      <c r="AX98" s="3">
        <v>2.33</v>
      </c>
      <c r="AY98" s="3">
        <v>2.38</v>
      </c>
      <c r="AZ98" s="3">
        <v>2.9</v>
      </c>
      <c r="BA98" s="3">
        <v>1.5</v>
      </c>
      <c r="BB98" s="3">
        <v>0</v>
      </c>
      <c r="BC98">
        <v>2.1</v>
      </c>
      <c r="BD98">
        <v>0</v>
      </c>
      <c r="BE98" s="11">
        <v>1.962</v>
      </c>
      <c r="BF98" s="4">
        <v>2.1190000000000002</v>
      </c>
      <c r="BG98" s="4">
        <v>1.6</v>
      </c>
      <c r="BH98" s="4">
        <v>1.5329999999999999</v>
      </c>
      <c r="BI98" s="4">
        <v>1.1819999999999999</v>
      </c>
      <c r="BJ98" s="13">
        <v>0</v>
      </c>
      <c r="BK98" s="13">
        <v>0</v>
      </c>
      <c r="BL98" s="4">
        <v>1.1819999999999999</v>
      </c>
      <c r="BM98" s="16">
        <v>0</v>
      </c>
      <c r="BN98" s="4">
        <v>0</v>
      </c>
      <c r="BO98" s="4">
        <v>0</v>
      </c>
      <c r="BP98" s="4">
        <v>2.7050000000000001</v>
      </c>
      <c r="BQ98" s="4">
        <v>0</v>
      </c>
      <c r="BR98" s="4">
        <v>0</v>
      </c>
      <c r="BS98" s="4">
        <v>2.9620000000000002</v>
      </c>
      <c r="BT98" s="4">
        <v>0</v>
      </c>
      <c r="BU98" s="4">
        <v>0</v>
      </c>
      <c r="BV98" s="4">
        <v>0</v>
      </c>
      <c r="BW98" s="4">
        <v>0.95099999999999996</v>
      </c>
      <c r="BX98" s="4">
        <v>0</v>
      </c>
      <c r="BY98" s="4">
        <v>0</v>
      </c>
      <c r="BZ98">
        <v>0</v>
      </c>
      <c r="CA98">
        <v>0</v>
      </c>
      <c r="CB98">
        <v>0</v>
      </c>
      <c r="CC98">
        <v>0</v>
      </c>
      <c r="CD98">
        <v>0.97</v>
      </c>
      <c r="CE98" s="19">
        <v>0</v>
      </c>
      <c r="CF98" s="19">
        <v>0</v>
      </c>
      <c r="CG98" s="4">
        <v>0.8</v>
      </c>
      <c r="CH98" s="4">
        <v>0.81</v>
      </c>
      <c r="CI98" s="4">
        <v>0</v>
      </c>
      <c r="CJ98" s="34">
        <v>0</v>
      </c>
      <c r="CK98" s="34">
        <v>1</v>
      </c>
      <c r="CL98" s="43">
        <v>0.9</v>
      </c>
      <c r="CM98" s="4">
        <v>0.9</v>
      </c>
      <c r="CN98" s="53">
        <v>0.95</v>
      </c>
      <c r="CO98" s="54">
        <v>1.4</v>
      </c>
      <c r="CP98" s="54">
        <v>0.99</v>
      </c>
      <c r="CQ98" s="4">
        <v>0.9</v>
      </c>
    </row>
    <row r="99" spans="1:95" x14ac:dyDescent="0.35">
      <c r="A99" s="55">
        <v>98</v>
      </c>
      <c r="B99" t="s">
        <v>99</v>
      </c>
      <c r="C99" s="27" t="s">
        <v>302</v>
      </c>
      <c r="D99" s="3" t="s">
        <v>94</v>
      </c>
      <c r="E99" s="33" t="s">
        <v>89</v>
      </c>
      <c r="F99" s="4">
        <f>IFERROR(AVERAGEIF(Table1[[#This Row],[2019-Apr]:[2025-July]],"&lt;&gt;0"),0)</f>
        <v>2.4252500000000001</v>
      </c>
      <c r="G99" s="4">
        <f ca="1">IFERROR(AVERAGEIF(OFFSET(Table1[[#This Row],[Status]],0,COUNT(Table1[[#This Row],[2019-May]:[2025-July]]),1,-12),"&lt;&gt;0"),0)</f>
        <v>1.4483333333333333</v>
      </c>
      <c r="H99" s="55">
        <f>IFERROR(SMALL(Table1[[#This Row],[2019-Apr]:[2025-July]],COUNTIF(Table1[[#This Row],[2019-Apr]:[2025-July]],0)+1),0)</f>
        <v>0.76</v>
      </c>
      <c r="I99" s="55">
        <f>IFERROR(MAX(Table1[[#This Row],[2019-Apr]:[2025-July]]),0)</f>
        <v>4.7</v>
      </c>
      <c r="J99" s="4" cm="1">
        <f t="array" ref="J9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1.1159999999999999</v>
      </c>
      <c r="K99" s="4">
        <v>4.5</v>
      </c>
      <c r="L99" s="4">
        <f>IF(Table1[[#This Row],[Standard as per ISO]]&gt;=Table1[[#This Row],[Avg of best 6]],Table1[[#This Row],[Standard as per ISO]],Table1[[#This Row],[Avg of best 6]])</f>
        <v>4.5</v>
      </c>
      <c r="M99" s="4" cm="1">
        <f t="array" ref="M99">IFERROR(LOOKUP(2,1/(Table1[[#This Row],[2019-May]:[2025-July]]&lt;&gt;0),Table1[[#This Row],[2019-May]:[2025-July]]),0)</f>
        <v>3.2</v>
      </c>
      <c r="N99" s="4">
        <f>COUNTIF(Table1[[#This Row],[2019-Apr]:[2025-July]],"&gt;="&amp;Table1[[#This Row],[Target]])</f>
        <v>2</v>
      </c>
      <c r="O99" s="4">
        <f>IF(Table1[[#This Row],[Outliers 2Y]]=0,1,0)</f>
        <v>0</v>
      </c>
      <c r="P99" s="4">
        <f>IF(Table1[[#This Row],[Last value]]&gt;1.5*Table1[[#This Row],[Target]],1,0)</f>
        <v>0</v>
      </c>
      <c r="Q99" s="4">
        <f>IF(AND(1.5*Table1[[#This Row],[Target]]&gt;=Table1[[#This Row],[Last value]],Table1[[#This Row],[Last value]]&gt;Table1[[#This Row],[Target]]),1,0)</f>
        <v>0</v>
      </c>
      <c r="R99" s="4">
        <f>IF(Table1[[#This Row],[Target]]&gt;=Table1[[#This Row],[Last value]],1,0)</f>
        <v>1</v>
      </c>
      <c r="S99" s="4" t="str">
        <f t="shared" si="2"/>
        <v>Green</v>
      </c>
      <c r="T99">
        <v>0</v>
      </c>
      <c r="U99">
        <v>0</v>
      </c>
      <c r="V99">
        <v>0</v>
      </c>
      <c r="W99">
        <v>0</v>
      </c>
      <c r="X99">
        <v>0</v>
      </c>
      <c r="Y99">
        <v>2.1</v>
      </c>
      <c r="Z99">
        <v>1.9</v>
      </c>
      <c r="AA99">
        <v>4.5999999999999996</v>
      </c>
      <c r="AB99">
        <v>1.9</v>
      </c>
      <c r="AC99">
        <v>3</v>
      </c>
      <c r="AD99">
        <v>2.4</v>
      </c>
      <c r="AE99">
        <v>2.1</v>
      </c>
      <c r="AF99">
        <v>2.8</v>
      </c>
      <c r="AG99">
        <v>0</v>
      </c>
      <c r="AH99">
        <v>0</v>
      </c>
      <c r="AI99">
        <v>0</v>
      </c>
      <c r="AJ99">
        <v>0</v>
      </c>
      <c r="AK99">
        <v>2.82</v>
      </c>
      <c r="AL99">
        <v>3.22</v>
      </c>
      <c r="AM99">
        <v>2.37</v>
      </c>
      <c r="AN99">
        <v>2.8</v>
      </c>
      <c r="AO99">
        <v>1.6</v>
      </c>
      <c r="AP99">
        <v>1.4</v>
      </c>
      <c r="AQ99">
        <v>3.82</v>
      </c>
      <c r="AR99" s="8">
        <v>1.82</v>
      </c>
      <c r="AS99" s="8">
        <v>3.76</v>
      </c>
      <c r="AT99" s="8">
        <v>4.0999999999999996</v>
      </c>
      <c r="AU99" s="3">
        <v>2.62</v>
      </c>
      <c r="AV99" s="3">
        <v>3.69</v>
      </c>
      <c r="AW99" s="3">
        <v>1.6</v>
      </c>
      <c r="AX99" s="3">
        <v>2.41</v>
      </c>
      <c r="AY99" s="3">
        <v>2.4300000000000002</v>
      </c>
      <c r="AZ99" s="3">
        <v>4.7</v>
      </c>
      <c r="BA99" s="3">
        <v>2.2999999999999998</v>
      </c>
      <c r="BB99" s="3">
        <v>0</v>
      </c>
      <c r="BC99">
        <v>2.5</v>
      </c>
      <c r="BD99">
        <v>0</v>
      </c>
      <c r="BE99" s="11">
        <v>2.5760000000000001</v>
      </c>
      <c r="BF99" s="4">
        <v>0</v>
      </c>
      <c r="BG99" s="4">
        <v>0</v>
      </c>
      <c r="BH99" s="4">
        <v>1.4359999999999999</v>
      </c>
      <c r="BI99" s="4">
        <v>1.5620000000000001</v>
      </c>
      <c r="BJ99" s="14">
        <v>0</v>
      </c>
      <c r="BK99" s="14">
        <v>0</v>
      </c>
      <c r="BL99" s="4">
        <v>1.5620000000000001</v>
      </c>
      <c r="BM99" s="17">
        <v>0</v>
      </c>
      <c r="BN99" s="4">
        <v>0</v>
      </c>
      <c r="BO99" s="4">
        <v>0</v>
      </c>
      <c r="BP99" s="4">
        <v>3.488</v>
      </c>
      <c r="BQ99" s="4">
        <v>0</v>
      </c>
      <c r="BR99" s="4">
        <v>0</v>
      </c>
      <c r="BS99" s="4">
        <v>1.6459999999999999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>
        <v>0</v>
      </c>
      <c r="CA99">
        <v>0</v>
      </c>
      <c r="CB99">
        <v>0</v>
      </c>
      <c r="CC99">
        <v>0</v>
      </c>
      <c r="CD99">
        <v>2.09</v>
      </c>
      <c r="CE99" s="19">
        <v>0</v>
      </c>
      <c r="CF99" s="19">
        <v>0</v>
      </c>
      <c r="CG99" s="4">
        <v>0</v>
      </c>
      <c r="CH99" s="4">
        <v>2.14</v>
      </c>
      <c r="CI99" s="4">
        <v>0</v>
      </c>
      <c r="CJ99" s="34">
        <v>0</v>
      </c>
      <c r="CK99" s="34">
        <v>0.9</v>
      </c>
      <c r="CL99" s="43">
        <v>0</v>
      </c>
      <c r="CM99" s="4">
        <v>0.9</v>
      </c>
      <c r="CN99" s="53">
        <v>0.76</v>
      </c>
      <c r="CO99" s="54">
        <v>1.3</v>
      </c>
      <c r="CP99" s="54">
        <v>2.69</v>
      </c>
      <c r="CQ99" s="4">
        <v>3.2</v>
      </c>
    </row>
    <row r="100" spans="1:95" x14ac:dyDescent="0.35">
      <c r="A100" s="55">
        <v>99</v>
      </c>
      <c r="B100" t="s">
        <v>99</v>
      </c>
      <c r="C100" s="27" t="s">
        <v>303</v>
      </c>
      <c r="D100" s="3" t="s">
        <v>94</v>
      </c>
      <c r="E100" s="33" t="s">
        <v>89</v>
      </c>
      <c r="F100" s="4">
        <f>IFERROR(AVERAGEIF(Table1[[#This Row],[2019-Apr]:[2025-July]],"&lt;&gt;0"),0)</f>
        <v>2.7086818181818182</v>
      </c>
      <c r="G100" s="4">
        <f ca="1">IFERROR(AVERAGEIF(OFFSET(Table1[[#This Row],[Status]],0,COUNT(Table1[[#This Row],[2019-May]:[2025-July]]),1,-12),"&lt;&gt;0"),0)</f>
        <v>1.5</v>
      </c>
      <c r="H100" s="55">
        <f>IFERROR(SMALL(Table1[[#This Row],[2019-Apr]:[2025-July]],COUNTIF(Table1[[#This Row],[2019-Apr]:[2025-July]],0)+1),0)</f>
        <v>1.22</v>
      </c>
      <c r="I100" s="55">
        <f>IFERROR(MAX(Table1[[#This Row],[2019-Apr]:[2025-July]]),0)</f>
        <v>12.6</v>
      </c>
      <c r="J100" s="4" cm="1">
        <f t="array" ref="J10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1.2838333333333332</v>
      </c>
      <c r="K100" s="4">
        <v>4.5</v>
      </c>
      <c r="L100" s="4">
        <f>IF(Table1[[#This Row],[Standard as per ISO]]&gt;=Table1[[#This Row],[Avg of best 6]],Table1[[#This Row],[Standard as per ISO]],Table1[[#This Row],[Avg of best 6]])</f>
        <v>4.5</v>
      </c>
      <c r="M100" s="4" cm="1">
        <f t="array" ref="M100">IFERROR(LOOKUP(2,1/(Table1[[#This Row],[2019-May]:[2025-July]]&lt;&gt;0),Table1[[#This Row],[2019-May]:[2025-July]]),0)</f>
        <v>1.22</v>
      </c>
      <c r="N100" s="4">
        <f>COUNTIF(Table1[[#This Row],[2019-Apr]:[2025-July]],"&gt;="&amp;Table1[[#This Row],[Target]])</f>
        <v>3</v>
      </c>
      <c r="O100" s="4">
        <f>IF(Table1[[#This Row],[Outliers 2Y]]=0,1,0)</f>
        <v>0</v>
      </c>
      <c r="P100" s="4">
        <f>IF(Table1[[#This Row],[Last value]]&gt;1.5*Table1[[#This Row],[Target]],1,0)</f>
        <v>0</v>
      </c>
      <c r="Q100" s="4">
        <f>IF(AND(1.5*Table1[[#This Row],[Target]]&gt;=Table1[[#This Row],[Last value]],Table1[[#This Row],[Last value]]&gt;Table1[[#This Row],[Target]]),1,0)</f>
        <v>0</v>
      </c>
      <c r="R100" s="4">
        <f>IF(Table1[[#This Row],[Target]]&gt;=Table1[[#This Row],[Last value]],1,0)</f>
        <v>1</v>
      </c>
      <c r="S100" s="4" t="str">
        <f t="shared" si="2"/>
        <v>Green</v>
      </c>
      <c r="T100">
        <v>0</v>
      </c>
      <c r="U100">
        <v>0</v>
      </c>
      <c r="V100">
        <v>0</v>
      </c>
      <c r="W100">
        <v>1.71</v>
      </c>
      <c r="X100">
        <v>3.85</v>
      </c>
      <c r="Y100">
        <v>1.27</v>
      </c>
      <c r="Z100">
        <v>0</v>
      </c>
      <c r="AA100">
        <v>0</v>
      </c>
      <c r="AB100">
        <v>0</v>
      </c>
      <c r="AC100">
        <v>1.27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1.35</v>
      </c>
      <c r="AJ100">
        <v>0</v>
      </c>
      <c r="AK100">
        <v>0</v>
      </c>
      <c r="AL100">
        <v>0</v>
      </c>
      <c r="AM100">
        <v>1.43</v>
      </c>
      <c r="AN100">
        <v>1.3</v>
      </c>
      <c r="AO100">
        <v>1.5</v>
      </c>
      <c r="AP100">
        <v>9.9600000000000009</v>
      </c>
      <c r="AQ100">
        <v>2.72</v>
      </c>
      <c r="AR100" s="8">
        <v>12.6</v>
      </c>
      <c r="AS100" s="8">
        <v>5.74</v>
      </c>
      <c r="AT100" s="8">
        <v>1.4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1.7</v>
      </c>
      <c r="BA100" s="3">
        <v>1.5</v>
      </c>
      <c r="BB100" s="3">
        <v>0</v>
      </c>
      <c r="BC100">
        <v>1.5</v>
      </c>
      <c r="BD100">
        <v>0</v>
      </c>
      <c r="BE100" s="11">
        <v>1.5960000000000001</v>
      </c>
      <c r="BF100" s="4">
        <v>1.2929999999999999</v>
      </c>
      <c r="BG100" s="4">
        <v>0</v>
      </c>
      <c r="BH100" s="4">
        <v>0</v>
      </c>
      <c r="BI100" s="4">
        <v>0</v>
      </c>
      <c r="BJ100" s="13">
        <v>0</v>
      </c>
      <c r="BK100" s="13">
        <v>0</v>
      </c>
      <c r="BL100" s="4">
        <v>0</v>
      </c>
      <c r="BM100" s="16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1.6220000000000001</v>
      </c>
      <c r="BX100" s="4">
        <v>0</v>
      </c>
      <c r="BY100" s="4">
        <v>0</v>
      </c>
      <c r="BZ100">
        <v>0</v>
      </c>
      <c r="CA100">
        <v>0</v>
      </c>
      <c r="CB100">
        <v>0</v>
      </c>
      <c r="CC100">
        <v>0</v>
      </c>
      <c r="CD100">
        <v>1.56</v>
      </c>
      <c r="CE100" s="19">
        <v>0</v>
      </c>
      <c r="CF100" s="19">
        <v>0</v>
      </c>
      <c r="CG100" s="4">
        <v>0</v>
      </c>
      <c r="CH100" s="4">
        <v>0</v>
      </c>
      <c r="CI100" s="4">
        <v>0</v>
      </c>
      <c r="CJ100" s="34">
        <v>0</v>
      </c>
      <c r="CK100" s="34">
        <v>0</v>
      </c>
      <c r="CL100" s="43">
        <v>0</v>
      </c>
      <c r="CM100" s="4">
        <v>0</v>
      </c>
      <c r="CN100" s="53">
        <v>0</v>
      </c>
      <c r="CO100" s="54">
        <v>0</v>
      </c>
      <c r="CP100" s="54">
        <v>1.5</v>
      </c>
      <c r="CQ100" s="4">
        <v>1.22</v>
      </c>
    </row>
    <row r="101" spans="1:95" x14ac:dyDescent="0.35">
      <c r="A101" s="55">
        <v>100</v>
      </c>
      <c r="B101" t="s">
        <v>99</v>
      </c>
      <c r="C101" s="27" t="s">
        <v>304</v>
      </c>
      <c r="D101" s="3" t="s">
        <v>94</v>
      </c>
      <c r="E101" s="33" t="s">
        <v>89</v>
      </c>
      <c r="F101" s="4">
        <f>IFERROR(AVERAGEIF(Table1[[#This Row],[2019-Apr]:[2025-July]],"&lt;&gt;0"),0)</f>
        <v>1.8270666666666666</v>
      </c>
      <c r="G101" s="4">
        <f ca="1">IFERROR(AVERAGEIF(OFFSET(Table1[[#This Row],[Status]],0,COUNT(Table1[[#This Row],[2019-May]:[2025-July]]),1,-12),"&lt;&gt;0"),0)</f>
        <v>1.54</v>
      </c>
      <c r="H101" s="55">
        <f>IFERROR(SMALL(Table1[[#This Row],[2019-Apr]:[2025-July]],COUNTIF(Table1[[#This Row],[2019-Apr]:[2025-July]],0)+1),0)</f>
        <v>0.7</v>
      </c>
      <c r="I101" s="55">
        <f>IFERROR(MAX(Table1[[#This Row],[2019-Apr]:[2025-July]]),0)</f>
        <v>2.988</v>
      </c>
      <c r="J101" s="4" cm="1">
        <f t="array" ref="J10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0.94833333333333336</v>
      </c>
      <c r="K101" s="4">
        <v>4.5</v>
      </c>
      <c r="L101" s="4">
        <f>IF(Table1[[#This Row],[Standard as per ISO]]&gt;=Table1[[#This Row],[Avg of best 6]],Table1[[#This Row],[Standard as per ISO]],Table1[[#This Row],[Avg of best 6]])</f>
        <v>4.5</v>
      </c>
      <c r="M101" s="4" cm="1">
        <f t="array" ref="M101">IFERROR(LOOKUP(2,1/(Table1[[#This Row],[2019-May]:[2025-July]]&lt;&gt;0),Table1[[#This Row],[2019-May]:[2025-July]]),0)</f>
        <v>2.2000000000000002</v>
      </c>
      <c r="N101" s="4">
        <f>COUNTIF(Table1[[#This Row],[2019-Apr]:[2025-July]],"&gt;="&amp;Table1[[#This Row],[Target]])</f>
        <v>0</v>
      </c>
      <c r="O101" s="4">
        <f>IF(Table1[[#This Row],[Outliers 2Y]]=0,1,0)</f>
        <v>1</v>
      </c>
      <c r="P101" s="4">
        <f>IF(Table1[[#This Row],[Last value]]&gt;1.5*Table1[[#This Row],[Target]],1,0)</f>
        <v>0</v>
      </c>
      <c r="Q101" s="4">
        <f>IF(AND(1.5*Table1[[#This Row],[Target]]&gt;=Table1[[#This Row],[Last value]],Table1[[#This Row],[Last value]]&gt;Table1[[#This Row],[Target]]),1,0)</f>
        <v>0</v>
      </c>
      <c r="R101" s="4">
        <f>IF(Table1[[#This Row],[Target]]&gt;=Table1[[#This Row],[Last value]],1,0)</f>
        <v>1</v>
      </c>
      <c r="S101" s="4" t="str">
        <f t="shared" si="2"/>
        <v>Green</v>
      </c>
      <c r="T101">
        <v>0</v>
      </c>
      <c r="U101">
        <v>0</v>
      </c>
      <c r="V101">
        <v>0</v>
      </c>
      <c r="W101">
        <v>0</v>
      </c>
      <c r="X101">
        <v>1.28</v>
      </c>
      <c r="Y101">
        <v>0</v>
      </c>
      <c r="Z101">
        <v>1.3</v>
      </c>
      <c r="AA101">
        <v>1.97</v>
      </c>
      <c r="AB101">
        <v>2</v>
      </c>
      <c r="AC101">
        <v>0</v>
      </c>
      <c r="AD101">
        <v>1.6</v>
      </c>
      <c r="AE101">
        <v>1.7</v>
      </c>
      <c r="AF101">
        <v>1.7</v>
      </c>
      <c r="AG101">
        <v>1.41</v>
      </c>
      <c r="AH101">
        <v>0</v>
      </c>
      <c r="AI101">
        <v>0</v>
      </c>
      <c r="AJ101">
        <v>1.6</v>
      </c>
      <c r="AK101">
        <v>1.73</v>
      </c>
      <c r="AL101">
        <v>2.31</v>
      </c>
      <c r="AM101">
        <v>0</v>
      </c>
      <c r="AN101">
        <v>0</v>
      </c>
      <c r="AO101">
        <v>0</v>
      </c>
      <c r="AP101">
        <v>0</v>
      </c>
      <c r="AQ101">
        <v>0</v>
      </c>
      <c r="AR101" s="8">
        <v>0</v>
      </c>
      <c r="AS101" s="8">
        <v>0</v>
      </c>
      <c r="AT101" s="8">
        <v>0</v>
      </c>
      <c r="AU101" s="3">
        <v>1.65</v>
      </c>
      <c r="AV101" s="3">
        <v>2.27</v>
      </c>
      <c r="AW101" s="3">
        <v>1.96</v>
      </c>
      <c r="AX101" s="3">
        <v>2.46</v>
      </c>
      <c r="AY101" s="3">
        <v>1.7</v>
      </c>
      <c r="AZ101" s="3">
        <v>0</v>
      </c>
      <c r="BA101" s="3">
        <v>0</v>
      </c>
      <c r="BB101" s="3">
        <v>0</v>
      </c>
      <c r="BC101" s="3">
        <v>0</v>
      </c>
      <c r="BD101">
        <v>0</v>
      </c>
      <c r="BE101" s="11">
        <v>0</v>
      </c>
      <c r="BF101" s="4">
        <v>0</v>
      </c>
      <c r="BG101" s="4">
        <v>1.89</v>
      </c>
      <c r="BH101" s="4">
        <v>2.7050000000000001</v>
      </c>
      <c r="BI101" s="4">
        <v>2.3690000000000002</v>
      </c>
      <c r="BJ101" s="14">
        <v>0</v>
      </c>
      <c r="BK101" s="14">
        <v>0</v>
      </c>
      <c r="BL101" s="4">
        <v>2.3690000000000002</v>
      </c>
      <c r="BM101" s="17">
        <v>0</v>
      </c>
      <c r="BN101" s="4">
        <v>0</v>
      </c>
      <c r="BO101" s="4">
        <v>0</v>
      </c>
      <c r="BP101" s="4">
        <v>2.988</v>
      </c>
      <c r="BQ101" s="4">
        <v>0</v>
      </c>
      <c r="BR101" s="4">
        <v>0</v>
      </c>
      <c r="BS101" s="4">
        <v>1.5309999999999999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 s="19">
        <v>0.8</v>
      </c>
      <c r="CF101" s="19">
        <v>0</v>
      </c>
      <c r="CG101" s="4">
        <v>2.0699999999999998</v>
      </c>
      <c r="CH101" s="4">
        <v>2.14</v>
      </c>
      <c r="CI101" s="4">
        <v>0</v>
      </c>
      <c r="CJ101" s="34">
        <v>0</v>
      </c>
      <c r="CK101" s="34">
        <v>0.7</v>
      </c>
      <c r="CL101" s="43">
        <v>2.8</v>
      </c>
      <c r="CM101" s="4">
        <v>0.7</v>
      </c>
      <c r="CN101" s="53">
        <v>0.91</v>
      </c>
      <c r="CO101" s="54">
        <v>2.2000000000000002</v>
      </c>
      <c r="CP101" s="54">
        <v>0</v>
      </c>
      <c r="CQ101" s="4">
        <v>0</v>
      </c>
    </row>
    <row r="102" spans="1:95" x14ac:dyDescent="0.35">
      <c r="A102" s="55">
        <v>101</v>
      </c>
      <c r="B102" t="s">
        <v>99</v>
      </c>
      <c r="C102" s="27" t="s">
        <v>305</v>
      </c>
      <c r="D102" s="3" t="s">
        <v>94</v>
      </c>
      <c r="E102" s="33" t="s">
        <v>89</v>
      </c>
      <c r="F102" s="4">
        <f>IFERROR(AVERAGEIF(Table1[[#This Row],[2019-Apr]:[2025-July]],"&lt;&gt;0"),0)</f>
        <v>2.1742857142857144</v>
      </c>
      <c r="G102" s="4">
        <f ca="1">IFERROR(AVERAGEIF(OFFSET(Table1[[#This Row],[Status]],0,COUNT(Table1[[#This Row],[2019-May]:[2025-July]]),1,-12),"&lt;&gt;0"),0)</f>
        <v>1.0214285714285716</v>
      </c>
      <c r="H102" s="55">
        <f>IFERROR(SMALL(Table1[[#This Row],[2019-Apr]:[2025-July]],COUNTIF(Table1[[#This Row],[2019-Apr]:[2025-July]],0)+1),0)</f>
        <v>0.7</v>
      </c>
      <c r="I102" s="55">
        <f>IFERROR(MAX(Table1[[#This Row],[2019-Apr]:[2025-July]]),0)</f>
        <v>7.8940000000000001</v>
      </c>
      <c r="J102" s="4" cm="1">
        <f t="array" ref="J10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0.97850000000000004</v>
      </c>
      <c r="K102" s="4">
        <v>4.5</v>
      </c>
      <c r="L102" s="4">
        <f>IF(Table1[[#This Row],[Standard as per ISO]]&gt;=Table1[[#This Row],[Avg of best 6]],Table1[[#This Row],[Standard as per ISO]],Table1[[#This Row],[Avg of best 6]])</f>
        <v>4.5</v>
      </c>
      <c r="M102" s="4" cm="1">
        <f t="array" ref="M102">IFERROR(LOOKUP(2,1/(Table1[[#This Row],[2019-May]:[2025-July]]&lt;&gt;0),Table1[[#This Row],[2019-May]:[2025-July]]),0)</f>
        <v>6.7</v>
      </c>
      <c r="N102" s="4">
        <f>COUNTIF(Table1[[#This Row],[2019-Apr]:[2025-July]],"&gt;="&amp;Table1[[#This Row],[Target]])</f>
        <v>3</v>
      </c>
      <c r="O102" s="4">
        <f>IF(Table1[[#This Row],[Outliers 2Y]]=0,1,0)</f>
        <v>0</v>
      </c>
      <c r="P102" s="4">
        <f>IF(Table1[[#This Row],[Last value]]&gt;1.5*Table1[[#This Row],[Target]],1,0)</f>
        <v>0</v>
      </c>
      <c r="Q102" s="4">
        <f>IF(AND(1.5*Table1[[#This Row],[Target]]&gt;=Table1[[#This Row],[Last value]],Table1[[#This Row],[Last value]]&gt;Table1[[#This Row],[Target]]),1,0)</f>
        <v>1</v>
      </c>
      <c r="R102" s="4">
        <f>IF(Table1[[#This Row],[Target]]&gt;=Table1[[#This Row],[Last value]],1,0)</f>
        <v>0</v>
      </c>
      <c r="S102" s="4" t="str">
        <f t="shared" si="2"/>
        <v>Yellow</v>
      </c>
      <c r="T102">
        <v>0</v>
      </c>
      <c r="U102">
        <v>0</v>
      </c>
      <c r="V102">
        <v>0</v>
      </c>
      <c r="W102">
        <v>1.3</v>
      </c>
      <c r="X102">
        <v>1.31</v>
      </c>
      <c r="Y102">
        <v>0</v>
      </c>
      <c r="Z102">
        <v>2.1</v>
      </c>
      <c r="AA102">
        <v>0</v>
      </c>
      <c r="AB102">
        <v>1.44</v>
      </c>
      <c r="AC102">
        <v>4.2</v>
      </c>
      <c r="AD102">
        <v>3.3</v>
      </c>
      <c r="AE102">
        <v>0</v>
      </c>
      <c r="AF102">
        <v>3.2</v>
      </c>
      <c r="AG102">
        <v>4.45</v>
      </c>
      <c r="AH102">
        <v>1.3</v>
      </c>
      <c r="AI102">
        <v>1.43</v>
      </c>
      <c r="AJ102">
        <v>4.3</v>
      </c>
      <c r="AK102">
        <v>1.27</v>
      </c>
      <c r="AL102">
        <v>1.29</v>
      </c>
      <c r="AM102">
        <v>1.36</v>
      </c>
      <c r="AN102">
        <v>0</v>
      </c>
      <c r="AO102">
        <v>0</v>
      </c>
      <c r="AP102">
        <v>6.5</v>
      </c>
      <c r="AQ102">
        <v>0</v>
      </c>
      <c r="AR102" s="8">
        <v>1.33</v>
      </c>
      <c r="AS102" s="8">
        <v>0</v>
      </c>
      <c r="AT102" s="8">
        <v>0</v>
      </c>
      <c r="AU102" s="3">
        <v>1.43</v>
      </c>
      <c r="AV102" s="3">
        <v>1.34</v>
      </c>
      <c r="AW102" s="3">
        <v>1.93</v>
      </c>
      <c r="AX102" s="3">
        <v>1.42</v>
      </c>
      <c r="AY102" s="3">
        <v>0</v>
      </c>
      <c r="AZ102" s="3">
        <v>1.4</v>
      </c>
      <c r="BA102" s="3">
        <v>1.8</v>
      </c>
      <c r="BB102" s="3">
        <v>0</v>
      </c>
      <c r="BC102" s="3">
        <v>0</v>
      </c>
      <c r="BD102">
        <v>0</v>
      </c>
      <c r="BE102" s="11">
        <v>1.49</v>
      </c>
      <c r="BF102" s="4">
        <v>1.2450000000000001</v>
      </c>
      <c r="BG102" s="4">
        <v>0</v>
      </c>
      <c r="BH102" s="4">
        <v>0</v>
      </c>
      <c r="BI102" s="4">
        <v>0</v>
      </c>
      <c r="BJ102" s="13">
        <v>0</v>
      </c>
      <c r="BK102" s="13">
        <v>0</v>
      </c>
      <c r="BL102" s="4">
        <v>0</v>
      </c>
      <c r="BM102" s="16">
        <v>0</v>
      </c>
      <c r="BN102" s="4">
        <v>0</v>
      </c>
      <c r="BO102" s="4">
        <v>0</v>
      </c>
      <c r="BP102" s="4">
        <v>1.101</v>
      </c>
      <c r="BQ102" s="4">
        <v>0</v>
      </c>
      <c r="BR102" s="4">
        <v>0</v>
      </c>
      <c r="BS102" s="4">
        <v>7.8940000000000001</v>
      </c>
      <c r="BT102" s="4">
        <v>0</v>
      </c>
      <c r="BU102" s="4">
        <v>0</v>
      </c>
      <c r="BV102" s="4">
        <v>0</v>
      </c>
      <c r="BW102" s="4">
        <v>1.1200000000000001</v>
      </c>
      <c r="BX102" s="4">
        <v>0</v>
      </c>
      <c r="BY102" s="4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 s="19">
        <v>0.7</v>
      </c>
      <c r="CF102" s="19">
        <v>0</v>
      </c>
      <c r="CG102" s="4">
        <v>1.07</v>
      </c>
      <c r="CH102" s="4">
        <v>1.18</v>
      </c>
      <c r="CI102" s="4">
        <v>0</v>
      </c>
      <c r="CJ102" s="34">
        <v>0</v>
      </c>
      <c r="CK102" s="34">
        <v>1</v>
      </c>
      <c r="CL102" s="43">
        <v>1</v>
      </c>
      <c r="CM102" s="4">
        <v>1</v>
      </c>
      <c r="CN102" s="53">
        <v>0</v>
      </c>
      <c r="CO102" s="54">
        <v>0</v>
      </c>
      <c r="CP102" s="54">
        <v>1.2</v>
      </c>
      <c r="CQ102" s="4">
        <v>6.7</v>
      </c>
    </row>
    <row r="103" spans="1:95" x14ac:dyDescent="0.35">
      <c r="A103" s="55">
        <v>102</v>
      </c>
      <c r="B103" t="s">
        <v>99</v>
      </c>
      <c r="C103" s="27" t="s">
        <v>306</v>
      </c>
      <c r="D103" s="3" t="s">
        <v>94</v>
      </c>
      <c r="E103" s="33" t="s">
        <v>89</v>
      </c>
      <c r="F103" s="4">
        <f>IFERROR(AVERAGEIF(Table1[[#This Row],[2019-Apr]:[2025-July]],"&lt;&gt;0"),0)</f>
        <v>1.5308235294117647</v>
      </c>
      <c r="G103" s="4">
        <f ca="1">IFERROR(AVERAGEIF(OFFSET(Table1[[#This Row],[Status]],0,COUNT(Table1[[#This Row],[2019-May]:[2025-July]]),1,-12),"&lt;&gt;0"),0)</f>
        <v>1.2150000000000001</v>
      </c>
      <c r="H103" s="55">
        <f>IFERROR(SMALL(Table1[[#This Row],[2019-Apr]:[2025-July]],COUNTIF(Table1[[#This Row],[2019-Apr]:[2025-July]],0)+1),0)</f>
        <v>0.9</v>
      </c>
      <c r="I103" s="55">
        <f>IFERROR(MAX(Table1[[#This Row],[2019-Apr]:[2025-July]]),0)</f>
        <v>3.16</v>
      </c>
      <c r="J103" s="4" cm="1">
        <f t="array" ref="J10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1.1468333333333334</v>
      </c>
      <c r="K103" s="4">
        <v>4.5</v>
      </c>
      <c r="L103" s="4">
        <f>IF(Table1[[#This Row],[Standard as per ISO]]&gt;=Table1[[#This Row],[Avg of best 6]],Table1[[#This Row],[Standard as per ISO]],Table1[[#This Row],[Avg of best 6]])</f>
        <v>4.5</v>
      </c>
      <c r="M103" s="4" cm="1">
        <f t="array" ref="M103">IFERROR(LOOKUP(2,1/(Table1[[#This Row],[2019-May]:[2025-July]]&lt;&gt;0),Table1[[#This Row],[2019-May]:[2025-July]]),0)</f>
        <v>0.9</v>
      </c>
      <c r="N103" s="4">
        <f>COUNTIF(Table1[[#This Row],[2019-Apr]:[2025-July]],"&gt;="&amp;Table1[[#This Row],[Target]])</f>
        <v>0</v>
      </c>
      <c r="O103" s="4">
        <f>IF(Table1[[#This Row],[Outliers 2Y]]=0,1,0)</f>
        <v>1</v>
      </c>
      <c r="P103" s="4">
        <f>IF(Table1[[#This Row],[Last value]]&gt;1.5*Table1[[#This Row],[Target]],1,0)</f>
        <v>0</v>
      </c>
      <c r="Q103" s="4">
        <f>IF(AND(1.5*Table1[[#This Row],[Target]]&gt;=Table1[[#This Row],[Last value]],Table1[[#This Row],[Last value]]&gt;Table1[[#This Row],[Target]]),1,0)</f>
        <v>0</v>
      </c>
      <c r="R103" s="4">
        <f>IF(Table1[[#This Row],[Target]]&gt;=Table1[[#This Row],[Last value]],1,0)</f>
        <v>1</v>
      </c>
      <c r="S103" s="4" t="str">
        <f t="shared" si="2"/>
        <v>Green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1.1000000000000001</v>
      </c>
      <c r="AJ103">
        <v>0</v>
      </c>
      <c r="AK103">
        <v>1.18</v>
      </c>
      <c r="AL103">
        <v>0</v>
      </c>
      <c r="AM103">
        <v>1.6</v>
      </c>
      <c r="AN103">
        <v>1.3</v>
      </c>
      <c r="AO103">
        <v>1.4</v>
      </c>
      <c r="AP103">
        <v>0</v>
      </c>
      <c r="AQ103">
        <v>0</v>
      </c>
      <c r="AR103" s="8">
        <v>0</v>
      </c>
      <c r="AS103" s="8">
        <v>1.25</v>
      </c>
      <c r="AT103" s="8">
        <v>1.1599999999999999</v>
      </c>
      <c r="AU103" s="3">
        <v>0</v>
      </c>
      <c r="AV103" s="3">
        <v>0</v>
      </c>
      <c r="AW103" s="3">
        <v>0</v>
      </c>
      <c r="AX103" s="3">
        <v>0</v>
      </c>
      <c r="AY103" s="3">
        <v>1.85</v>
      </c>
      <c r="AZ103" s="3">
        <v>0</v>
      </c>
      <c r="BA103" s="3">
        <v>0</v>
      </c>
      <c r="BB103" s="3">
        <v>0</v>
      </c>
      <c r="BC103">
        <v>1.8</v>
      </c>
      <c r="BD103">
        <v>0</v>
      </c>
      <c r="BE103" s="11">
        <v>0</v>
      </c>
      <c r="BF103" s="4">
        <v>0</v>
      </c>
      <c r="BG103" s="4">
        <v>1.8660000000000001</v>
      </c>
      <c r="BH103" s="4">
        <v>2.0289999999999999</v>
      </c>
      <c r="BI103" s="4">
        <v>1.2909999999999999</v>
      </c>
      <c r="BJ103" s="14">
        <v>0</v>
      </c>
      <c r="BK103" s="14">
        <v>0</v>
      </c>
      <c r="BL103" s="4">
        <v>1.2909999999999999</v>
      </c>
      <c r="BM103" s="17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1.3169999999999999</v>
      </c>
      <c r="BX103" s="4">
        <v>0</v>
      </c>
      <c r="BY103" s="4">
        <v>0</v>
      </c>
      <c r="BZ103">
        <v>0</v>
      </c>
      <c r="CA103">
        <v>0</v>
      </c>
      <c r="CB103">
        <v>0</v>
      </c>
      <c r="CC103">
        <v>0</v>
      </c>
      <c r="CD103">
        <v>3.16</v>
      </c>
      <c r="CE103" s="19">
        <v>0</v>
      </c>
      <c r="CF103" s="19">
        <v>0</v>
      </c>
      <c r="CG103" s="4">
        <v>0</v>
      </c>
      <c r="CH103" s="4">
        <v>0</v>
      </c>
      <c r="CI103" s="4">
        <v>0</v>
      </c>
      <c r="CJ103" s="34">
        <v>0</v>
      </c>
      <c r="CK103" s="34">
        <v>0</v>
      </c>
      <c r="CL103" s="43">
        <v>0</v>
      </c>
      <c r="CM103" s="4">
        <v>0</v>
      </c>
      <c r="CN103" s="53">
        <v>1.53</v>
      </c>
      <c r="CO103" s="54">
        <v>0.9</v>
      </c>
      <c r="CP103" s="54">
        <v>0</v>
      </c>
      <c r="CQ103" s="4">
        <v>0</v>
      </c>
    </row>
    <row r="104" spans="1:95" x14ac:dyDescent="0.35">
      <c r="A104" s="55">
        <v>103</v>
      </c>
      <c r="B104" t="s">
        <v>99</v>
      </c>
      <c r="C104" s="27" t="s">
        <v>307</v>
      </c>
      <c r="D104" s="3" t="s">
        <v>101</v>
      </c>
      <c r="E104" s="33" t="s">
        <v>91</v>
      </c>
      <c r="F104" s="4">
        <f>IFERROR(AVERAGEIF(Table1[[#This Row],[2019-Apr]:[2025-July]],"&lt;&gt;0"),0)</f>
        <v>13.790000000000001</v>
      </c>
      <c r="G104" s="4">
        <f ca="1">IFERROR(AVERAGEIF(OFFSET(Table1[[#This Row],[Status]],0,COUNT(Table1[[#This Row],[2019-May]:[2025-July]]),1,-12),"&lt;&gt;0"),0)</f>
        <v>14.49</v>
      </c>
      <c r="H104" s="55">
        <f>IFERROR(SMALL(Table1[[#This Row],[2019-Apr]:[2025-July]],COUNTIF(Table1[[#This Row],[2019-Apr]:[2025-July]],0)+1),0)</f>
        <v>2.65</v>
      </c>
      <c r="I104" s="55">
        <f>IFERROR(MAX(Table1[[#This Row],[2019-Apr]:[2025-July]]),0)</f>
        <v>22</v>
      </c>
      <c r="J104" s="4" cm="1">
        <f t="array" ref="J10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8.7866666666666671</v>
      </c>
      <c r="K104" s="4">
        <v>4.5</v>
      </c>
      <c r="L104" s="4">
        <f>IF(Table1[[#This Row],[Standard as per ISO]]&gt;=Table1[[#This Row],[Avg of best 6]],Table1[[#This Row],[Standard as per ISO]],Table1[[#This Row],[Avg of best 6]])</f>
        <v>8.7866666666666671</v>
      </c>
      <c r="M104" s="4" cm="1">
        <f t="array" ref="M104">IFERROR(LOOKUP(2,1/(Table1[[#This Row],[2019-May]:[2025-July]]&lt;&gt;0),Table1[[#This Row],[2019-May]:[2025-July]]),0)</f>
        <v>14.49</v>
      </c>
      <c r="N104" s="4">
        <f>COUNTIF(Table1[[#This Row],[2019-Apr]:[2025-July]],"&gt;="&amp;Table1[[#This Row],[Target]])</f>
        <v>22</v>
      </c>
      <c r="O104" s="4">
        <f>IF(Table1[[#This Row],[Outliers 2Y]]=0,1,0)</f>
        <v>0</v>
      </c>
      <c r="P104" s="4">
        <f>IF(Table1[[#This Row],[Last value]]&gt;1.5*Table1[[#This Row],[Target]],1,0)</f>
        <v>1</v>
      </c>
      <c r="Q104" s="4">
        <f>IF(AND(1.5*Table1[[#This Row],[Target]]&gt;=Table1[[#This Row],[Last value]],Table1[[#This Row],[Last value]]&gt;Table1[[#This Row],[Target]]),1,0)</f>
        <v>0</v>
      </c>
      <c r="R104" s="4">
        <f>IF(Table1[[#This Row],[Target]]&gt;=Table1[[#This Row],[Last value]],1,0)</f>
        <v>0</v>
      </c>
      <c r="S104" s="4" t="str">
        <f t="shared" ref="S104:S168" si="3">IF(P104=1, "Red", IF(Q104=1, "Yellow", "Green"))</f>
        <v>Red</v>
      </c>
      <c r="T104">
        <v>0</v>
      </c>
      <c r="U104">
        <v>0</v>
      </c>
      <c r="V104">
        <v>0</v>
      </c>
      <c r="W104">
        <v>14</v>
      </c>
      <c r="X104">
        <v>0</v>
      </c>
      <c r="Y104">
        <v>12.6</v>
      </c>
      <c r="Z104">
        <v>0</v>
      </c>
      <c r="AA104">
        <v>0</v>
      </c>
      <c r="AB104">
        <v>0</v>
      </c>
      <c r="AC104">
        <v>22</v>
      </c>
      <c r="AD104">
        <v>13</v>
      </c>
      <c r="AE104">
        <v>0</v>
      </c>
      <c r="AF104">
        <v>14.8</v>
      </c>
      <c r="AG104">
        <v>0</v>
      </c>
      <c r="AH104">
        <v>0</v>
      </c>
      <c r="AI104">
        <v>0</v>
      </c>
      <c r="AJ104">
        <v>0</v>
      </c>
      <c r="AK104">
        <v>15.9</v>
      </c>
      <c r="AL104">
        <v>15.5</v>
      </c>
      <c r="AM104">
        <v>0</v>
      </c>
      <c r="AN104">
        <v>9</v>
      </c>
      <c r="AO104">
        <v>0</v>
      </c>
      <c r="AP104">
        <v>17.8</v>
      </c>
      <c r="AQ104">
        <v>0</v>
      </c>
      <c r="AR104" s="8">
        <v>0</v>
      </c>
      <c r="AS104" s="8">
        <v>0</v>
      </c>
      <c r="AT104" s="8">
        <v>2.65</v>
      </c>
      <c r="AU104" s="3">
        <v>16.2</v>
      </c>
      <c r="AV104" s="3">
        <v>8.9700000000000006</v>
      </c>
      <c r="AW104" s="3">
        <v>0</v>
      </c>
      <c r="AX104" s="3">
        <v>10.3</v>
      </c>
      <c r="AY104" s="3">
        <v>13.6</v>
      </c>
      <c r="AZ104" s="3">
        <v>0</v>
      </c>
      <c r="BA104" s="3">
        <v>0</v>
      </c>
      <c r="BB104" s="3">
        <v>0</v>
      </c>
      <c r="BC104">
        <v>19.5</v>
      </c>
      <c r="BD104">
        <v>0</v>
      </c>
      <c r="BE104" s="11">
        <v>0</v>
      </c>
      <c r="BF104" s="4">
        <v>0</v>
      </c>
      <c r="BG104" s="4">
        <v>10.9</v>
      </c>
      <c r="BH104" s="4">
        <v>0</v>
      </c>
      <c r="BI104" s="4">
        <v>10.9</v>
      </c>
      <c r="BJ104" s="13">
        <v>0</v>
      </c>
      <c r="BK104" s="13">
        <v>11.38</v>
      </c>
      <c r="BL104" s="4">
        <v>13.77</v>
      </c>
      <c r="BM104" s="16">
        <v>0</v>
      </c>
      <c r="BN104" s="4">
        <v>13.4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17.420000000000002</v>
      </c>
      <c r="BW104" s="4">
        <v>0</v>
      </c>
      <c r="BX104" s="4">
        <v>0</v>
      </c>
      <c r="BY104" s="4">
        <v>19.09</v>
      </c>
      <c r="BZ104">
        <v>0</v>
      </c>
      <c r="CA104">
        <v>0</v>
      </c>
      <c r="CB104">
        <v>0</v>
      </c>
      <c r="CC104">
        <v>0</v>
      </c>
      <c r="CD104">
        <v>0</v>
      </c>
      <c r="CE104" s="19">
        <v>0</v>
      </c>
      <c r="CF104" s="19">
        <v>0</v>
      </c>
      <c r="CG104" s="4">
        <v>0</v>
      </c>
      <c r="CH104" s="4">
        <v>14.49</v>
      </c>
      <c r="CI104" s="4">
        <v>0</v>
      </c>
      <c r="CJ104" s="34">
        <v>0</v>
      </c>
      <c r="CK104" s="34">
        <v>0</v>
      </c>
      <c r="CL104" s="34">
        <v>0</v>
      </c>
      <c r="CM104" s="4">
        <v>0</v>
      </c>
      <c r="CN104" s="53">
        <v>0</v>
      </c>
      <c r="CO104" s="54">
        <v>0</v>
      </c>
      <c r="CP104" s="54">
        <v>0</v>
      </c>
      <c r="CQ104" s="4">
        <v>0</v>
      </c>
    </row>
    <row r="105" spans="1:95" x14ac:dyDescent="0.35">
      <c r="A105" s="55">
        <v>104</v>
      </c>
      <c r="B105" t="s">
        <v>99</v>
      </c>
      <c r="C105" s="27" t="s">
        <v>308</v>
      </c>
      <c r="D105" s="3" t="s">
        <v>101</v>
      </c>
      <c r="E105" s="33" t="s">
        <v>91</v>
      </c>
      <c r="F105" s="4">
        <f>IFERROR(AVERAGEIF(Table1[[#This Row],[2019-Apr]:[2025-July]],"&lt;&gt;0"),0)</f>
        <v>20.360799999999998</v>
      </c>
      <c r="G105" s="4">
        <f ca="1">IFERROR(AVERAGEIF(OFFSET(Table1[[#This Row],[Status]],0,COUNT(Table1[[#This Row],[2019-May]:[2025-July]]),1,-12),"&lt;&gt;0"),0)</f>
        <v>9.43</v>
      </c>
      <c r="H105" s="55">
        <f>IFERROR(SMALL(Table1[[#This Row],[2019-Apr]:[2025-July]],COUNTIF(Table1[[#This Row],[2019-Apr]:[2025-July]],0)+1),0)</f>
        <v>4.5330000000000004</v>
      </c>
      <c r="I105" s="55">
        <f>IFERROR(MAX(Table1[[#This Row],[2019-Apr]:[2025-July]]),0)</f>
        <v>98.3</v>
      </c>
      <c r="J105" s="4" cm="1">
        <f t="array" ref="J10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5.7488333333333337</v>
      </c>
      <c r="K105" s="4">
        <v>4.5</v>
      </c>
      <c r="L105" s="4">
        <f>IF(Table1[[#This Row],[Standard as per ISO]]&gt;=Table1[[#This Row],[Avg of best 6]],Table1[[#This Row],[Standard as per ISO]],Table1[[#This Row],[Avg of best 6]])</f>
        <v>5.7488333333333337</v>
      </c>
      <c r="M105" s="4" cm="1">
        <f t="array" ref="M105">IFERROR(LOOKUP(2,1/(Table1[[#This Row],[2019-May]:[2025-July]]&lt;&gt;0),Table1[[#This Row],[2019-May]:[2025-July]]),0)</f>
        <v>6.66</v>
      </c>
      <c r="N105" s="4">
        <f>COUNTIF(Table1[[#This Row],[2019-Apr]:[2025-July]],"&gt;="&amp;Table1[[#This Row],[Target]])</f>
        <v>27</v>
      </c>
      <c r="O105" s="4">
        <f>IF(Table1[[#This Row],[Outliers 2Y]]=0,1,0)</f>
        <v>0</v>
      </c>
      <c r="P105" s="4">
        <f>IF(Table1[[#This Row],[Last value]]&gt;1.5*Table1[[#This Row],[Target]],1,0)</f>
        <v>0</v>
      </c>
      <c r="Q105" s="4">
        <f>IF(AND(1.5*Table1[[#This Row],[Target]]&gt;=Table1[[#This Row],[Last value]],Table1[[#This Row],[Last value]]&gt;Table1[[#This Row],[Target]]),1,0)</f>
        <v>1</v>
      </c>
      <c r="R105" s="4">
        <f>IF(Table1[[#This Row],[Target]]&gt;=Table1[[#This Row],[Last value]],1,0)</f>
        <v>0</v>
      </c>
      <c r="S105" s="4" t="str">
        <f t="shared" si="3"/>
        <v>Yellow</v>
      </c>
      <c r="T105">
        <v>0</v>
      </c>
      <c r="U105">
        <v>0</v>
      </c>
      <c r="V105">
        <v>0</v>
      </c>
      <c r="W105">
        <v>0</v>
      </c>
      <c r="X105">
        <v>15.9</v>
      </c>
      <c r="Y105">
        <v>0</v>
      </c>
      <c r="Z105">
        <v>40</v>
      </c>
      <c r="AA105">
        <v>38.6</v>
      </c>
      <c r="AB105">
        <v>0</v>
      </c>
      <c r="AC105">
        <v>37.200000000000003</v>
      </c>
      <c r="AD105">
        <v>0</v>
      </c>
      <c r="AE105">
        <v>51.3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32</v>
      </c>
      <c r="AN105">
        <v>0</v>
      </c>
      <c r="AO105">
        <v>13.5</v>
      </c>
      <c r="AP105">
        <v>0</v>
      </c>
      <c r="AQ105">
        <v>19.100000000000001</v>
      </c>
      <c r="AR105" s="8">
        <v>33.9</v>
      </c>
      <c r="AS105" s="8">
        <v>64.099999999999994</v>
      </c>
      <c r="AT105" s="8">
        <v>0</v>
      </c>
      <c r="AU105" s="3">
        <v>98.3</v>
      </c>
      <c r="AV105" s="3">
        <v>15.1</v>
      </c>
      <c r="AW105" s="3">
        <v>15.5</v>
      </c>
      <c r="AX105" s="3">
        <v>0</v>
      </c>
      <c r="AY105" s="3">
        <v>0</v>
      </c>
      <c r="AZ105" s="3">
        <v>17.600000000000001</v>
      </c>
      <c r="BA105" s="3">
        <v>0</v>
      </c>
      <c r="BB105" s="3">
        <v>0</v>
      </c>
      <c r="BC105" s="3">
        <v>0</v>
      </c>
      <c r="BD105">
        <v>0</v>
      </c>
      <c r="BE105" s="11">
        <v>4.5330000000000004</v>
      </c>
      <c r="BF105" s="4">
        <v>5.0990000000000002</v>
      </c>
      <c r="BG105" s="4">
        <v>0</v>
      </c>
      <c r="BH105" s="4">
        <v>7.601</v>
      </c>
      <c r="BI105" s="4">
        <v>0</v>
      </c>
      <c r="BJ105" s="14">
        <v>7.9240000000000004</v>
      </c>
      <c r="BK105" s="14">
        <v>0</v>
      </c>
      <c r="BL105" s="4">
        <v>0</v>
      </c>
      <c r="BM105" s="17">
        <v>5.8129999999999997</v>
      </c>
      <c r="BN105" s="4">
        <v>0</v>
      </c>
      <c r="BO105" s="4">
        <v>6.7080000000000002</v>
      </c>
      <c r="BP105" s="4">
        <v>7.2919999999999998</v>
      </c>
      <c r="BQ105" s="4">
        <v>8.3350000000000009</v>
      </c>
      <c r="BR105" s="4">
        <v>7.1520000000000001</v>
      </c>
      <c r="BS105" s="4">
        <v>5.68</v>
      </c>
      <c r="BT105" s="4">
        <v>8.56</v>
      </c>
      <c r="BU105" s="4">
        <v>0</v>
      </c>
      <c r="BV105" s="4">
        <v>0</v>
      </c>
      <c r="BW105" s="4">
        <v>8.8569999999999993</v>
      </c>
      <c r="BX105" s="4">
        <v>0</v>
      </c>
      <c r="BY105" s="4">
        <v>0</v>
      </c>
      <c r="BZ105">
        <v>0</v>
      </c>
      <c r="CA105">
        <v>8.75</v>
      </c>
      <c r="CB105">
        <v>7.56</v>
      </c>
      <c r="CC105">
        <v>0</v>
      </c>
      <c r="CD105">
        <v>0</v>
      </c>
      <c r="CE105" s="19">
        <v>12.2</v>
      </c>
      <c r="CF105" s="19">
        <v>0</v>
      </c>
      <c r="CG105" s="4">
        <v>6.66</v>
      </c>
      <c r="CH105" s="4">
        <v>0</v>
      </c>
      <c r="CI105" s="4">
        <v>0</v>
      </c>
      <c r="CJ105" s="34">
        <v>0</v>
      </c>
      <c r="CK105" s="34">
        <v>0</v>
      </c>
      <c r="CL105" s="34">
        <v>0</v>
      </c>
      <c r="CM105" s="4">
        <v>0</v>
      </c>
      <c r="CN105" s="53">
        <v>0</v>
      </c>
      <c r="CO105" s="54">
        <v>0</v>
      </c>
      <c r="CP105" s="54">
        <v>0</v>
      </c>
      <c r="CQ105" s="4">
        <v>0</v>
      </c>
    </row>
    <row r="106" spans="1:95" x14ac:dyDescent="0.35">
      <c r="A106" s="55">
        <v>105</v>
      </c>
      <c r="B106" t="s">
        <v>99</v>
      </c>
      <c r="C106" s="27" t="s">
        <v>309</v>
      </c>
      <c r="D106" s="3" t="s">
        <v>94</v>
      </c>
      <c r="E106" s="33" t="s">
        <v>91</v>
      </c>
      <c r="F106" s="4">
        <f>IFERROR(AVERAGEIF(Table1[[#This Row],[2019-Apr]:[2025-July]],"&lt;&gt;0"),0)</f>
        <v>2.2464242424242427</v>
      </c>
      <c r="G106" s="4">
        <f ca="1">IFERROR(AVERAGEIF(OFFSET(Table1[[#This Row],[Status]],0,COUNT(Table1[[#This Row],[2019-May]:[2025-July]]),1,-12),"&lt;&gt;0"),0)</f>
        <v>1.6833333333333333</v>
      </c>
      <c r="H106" s="55">
        <f>IFERROR(SMALL(Table1[[#This Row],[2019-Apr]:[2025-July]],COUNTIF(Table1[[#This Row],[2019-Apr]:[2025-July]],0)+1),0)</f>
        <v>1</v>
      </c>
      <c r="I106" s="55">
        <f>IFERROR(MAX(Table1[[#This Row],[2019-Apr]:[2025-July]]),0)</f>
        <v>7.0510000000000002</v>
      </c>
      <c r="J106" s="4" cm="1">
        <f t="array" ref="J10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1.2226666666666668</v>
      </c>
      <c r="K106" s="4">
        <v>4.5</v>
      </c>
      <c r="L106" s="4">
        <f>IF(Table1[[#This Row],[Standard as per ISO]]&gt;=Table1[[#This Row],[Avg of best 6]],Table1[[#This Row],[Standard as per ISO]],Table1[[#This Row],[Avg of best 6]])</f>
        <v>4.5</v>
      </c>
      <c r="M106" s="4" cm="1">
        <f t="array" ref="M106">IFERROR(LOOKUP(2,1/(Table1[[#This Row],[2019-May]:[2025-July]]&lt;&gt;0),Table1[[#This Row],[2019-May]:[2025-July]]),0)</f>
        <v>1.25</v>
      </c>
      <c r="N106" s="4">
        <f>COUNTIF(Table1[[#This Row],[2019-Apr]:[2025-July]],"&gt;="&amp;Table1[[#This Row],[Target]])</f>
        <v>2</v>
      </c>
      <c r="O106" s="4">
        <f>IF(Table1[[#This Row],[Outliers 2Y]]=0,1,0)</f>
        <v>0</v>
      </c>
      <c r="P106" s="4">
        <f>IF(Table1[[#This Row],[Last value]]&gt;1.5*Table1[[#This Row],[Target]],1,0)</f>
        <v>0</v>
      </c>
      <c r="Q106" s="4">
        <f>IF(AND(1.5*Table1[[#This Row],[Target]]&gt;=Table1[[#This Row],[Last value]],Table1[[#This Row],[Last value]]&gt;Table1[[#This Row],[Target]]),1,0)</f>
        <v>0</v>
      </c>
      <c r="R106" s="4">
        <f>IF(Table1[[#This Row],[Target]]&gt;=Table1[[#This Row],[Last value]],1,0)</f>
        <v>1</v>
      </c>
      <c r="S106" s="4" t="str">
        <f t="shared" si="3"/>
        <v>Green</v>
      </c>
      <c r="T106">
        <v>0</v>
      </c>
      <c r="U106">
        <v>0</v>
      </c>
      <c r="V106">
        <v>0</v>
      </c>
      <c r="W106">
        <v>1.87</v>
      </c>
      <c r="X106">
        <v>0</v>
      </c>
      <c r="Y106">
        <v>0</v>
      </c>
      <c r="Z106">
        <v>0</v>
      </c>
      <c r="AA106">
        <v>1.5</v>
      </c>
      <c r="AB106">
        <v>2.52</v>
      </c>
      <c r="AC106">
        <v>2.14</v>
      </c>
      <c r="AD106">
        <v>2.4</v>
      </c>
      <c r="AE106">
        <v>2.4</v>
      </c>
      <c r="AF106">
        <v>0</v>
      </c>
      <c r="AG106">
        <v>1.8</v>
      </c>
      <c r="AH106">
        <v>1</v>
      </c>
      <c r="AI106">
        <v>0</v>
      </c>
      <c r="AJ106">
        <v>0</v>
      </c>
      <c r="AK106">
        <v>0</v>
      </c>
      <c r="AL106">
        <v>1.8</v>
      </c>
      <c r="AM106">
        <v>1.88</v>
      </c>
      <c r="AN106">
        <v>1.8</v>
      </c>
      <c r="AO106">
        <v>1.2</v>
      </c>
      <c r="AP106">
        <v>0</v>
      </c>
      <c r="AQ106">
        <v>0</v>
      </c>
      <c r="AR106" s="8">
        <v>1.39</v>
      </c>
      <c r="AS106" s="8">
        <v>1.6</v>
      </c>
      <c r="AT106" s="8">
        <v>0</v>
      </c>
      <c r="AU106" s="3">
        <v>0</v>
      </c>
      <c r="AV106" s="3">
        <v>2.42</v>
      </c>
      <c r="AW106" s="3">
        <v>0</v>
      </c>
      <c r="AX106" s="3">
        <v>2.52</v>
      </c>
      <c r="AY106" s="3">
        <v>3.15</v>
      </c>
      <c r="AZ106" s="3">
        <v>1.5</v>
      </c>
      <c r="BA106" s="3">
        <v>1.9</v>
      </c>
      <c r="BB106" s="3">
        <v>1.9</v>
      </c>
      <c r="BC106" s="3">
        <v>0</v>
      </c>
      <c r="BD106">
        <v>1.4</v>
      </c>
      <c r="BE106" s="11">
        <v>0</v>
      </c>
      <c r="BF106" s="4">
        <v>2.476</v>
      </c>
      <c r="BG106" s="4">
        <v>0</v>
      </c>
      <c r="BH106" s="4">
        <v>2.2109999999999999</v>
      </c>
      <c r="BI106" s="4">
        <v>2.5739999999999998</v>
      </c>
      <c r="BJ106" s="13">
        <v>0</v>
      </c>
      <c r="BK106" s="13">
        <v>0</v>
      </c>
      <c r="BL106" s="4">
        <v>2.794</v>
      </c>
      <c r="BM106" s="16">
        <v>0</v>
      </c>
      <c r="BN106" s="4">
        <v>0</v>
      </c>
      <c r="BO106" s="4">
        <v>0</v>
      </c>
      <c r="BP106" s="4">
        <v>1.296</v>
      </c>
      <c r="BQ106" s="4">
        <v>0</v>
      </c>
      <c r="BR106" s="4">
        <v>0</v>
      </c>
      <c r="BS106" s="4">
        <v>6.27</v>
      </c>
      <c r="BT106" s="4">
        <v>0</v>
      </c>
      <c r="BU106" s="4">
        <v>0</v>
      </c>
      <c r="BV106" s="4">
        <v>0</v>
      </c>
      <c r="BW106" s="4">
        <v>7.0510000000000002</v>
      </c>
      <c r="BX106" s="4">
        <v>0</v>
      </c>
      <c r="BY106" s="4">
        <v>2.93</v>
      </c>
      <c r="BZ106">
        <v>0</v>
      </c>
      <c r="CA106">
        <v>0</v>
      </c>
      <c r="CB106">
        <v>0</v>
      </c>
      <c r="CC106">
        <v>0</v>
      </c>
      <c r="CD106">
        <v>1.39</v>
      </c>
      <c r="CE106" s="19">
        <v>2.6</v>
      </c>
      <c r="CF106" s="19">
        <v>0</v>
      </c>
      <c r="CG106" s="4">
        <v>1.2</v>
      </c>
      <c r="CH106" s="4">
        <v>1.25</v>
      </c>
      <c r="CI106" s="4">
        <v>0</v>
      </c>
      <c r="CJ106" s="34">
        <v>0</v>
      </c>
      <c r="CK106" s="34">
        <v>0</v>
      </c>
      <c r="CL106" s="34">
        <v>0</v>
      </c>
      <c r="CM106" s="4">
        <v>0</v>
      </c>
      <c r="CN106" s="53">
        <v>0</v>
      </c>
      <c r="CO106" s="54">
        <v>0</v>
      </c>
      <c r="CP106" s="54">
        <v>0</v>
      </c>
      <c r="CQ106" s="4">
        <v>0</v>
      </c>
    </row>
    <row r="107" spans="1:95" x14ac:dyDescent="0.35">
      <c r="A107" s="55">
        <v>106</v>
      </c>
      <c r="B107" t="s">
        <v>99</v>
      </c>
      <c r="C107" s="27" t="s">
        <v>310</v>
      </c>
      <c r="D107" s="3" t="s">
        <v>94</v>
      </c>
      <c r="E107" s="33" t="s">
        <v>91</v>
      </c>
      <c r="F107" s="4">
        <f>IFERROR(AVERAGEIF(Table1[[#This Row],[2019-Apr]:[2025-July]],"&lt;&gt;0"),0)</f>
        <v>1.9176</v>
      </c>
      <c r="G107" s="4">
        <f ca="1">IFERROR(AVERAGEIF(OFFSET(Table1[[#This Row],[Status]],0,COUNT(Table1[[#This Row],[2019-May]:[2025-July]]),1,-12),"&lt;&gt;0"),0)</f>
        <v>0</v>
      </c>
      <c r="H107" s="55">
        <f>IFERROR(SMALL(Table1[[#This Row],[2019-Apr]:[2025-July]],COUNTIF(Table1[[#This Row],[2019-Apr]:[2025-July]],0)+1),0)</f>
        <v>1</v>
      </c>
      <c r="I107" s="55">
        <f>IFERROR(MAX(Table1[[#This Row],[2019-Apr]:[2025-July]]),0)</f>
        <v>2.7</v>
      </c>
      <c r="J107" s="4" cm="1">
        <f t="array" ref="J10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1.3216666666666665</v>
      </c>
      <c r="K107" s="4">
        <v>4.5</v>
      </c>
      <c r="L107" s="4">
        <f>IF(Table1[[#This Row],[Standard as per ISO]]&gt;=Table1[[#This Row],[Avg of best 6]],Table1[[#This Row],[Standard as per ISO]],Table1[[#This Row],[Avg of best 6]])</f>
        <v>4.5</v>
      </c>
      <c r="M107" s="4" cm="1">
        <f t="array" ref="M107">IFERROR(LOOKUP(2,1/(Table1[[#This Row],[2019-May]:[2025-July]]&lt;&gt;0),Table1[[#This Row],[2019-May]:[2025-July]]),0)</f>
        <v>1</v>
      </c>
      <c r="N107" s="4">
        <f>COUNTIF(Table1[[#This Row],[2019-Apr]:[2025-July]],"&gt;="&amp;Table1[[#This Row],[Target]])</f>
        <v>0</v>
      </c>
      <c r="O107" s="4">
        <f>IF(Table1[[#This Row],[Outliers 2Y]]=0,1,0)</f>
        <v>1</v>
      </c>
      <c r="P107" s="4">
        <f>IF(Table1[[#This Row],[Last value]]&gt;1.5*Table1[[#This Row],[Target]],1,0)</f>
        <v>0</v>
      </c>
      <c r="Q107" s="4">
        <f>IF(AND(1.5*Table1[[#This Row],[Target]]&gt;=Table1[[#This Row],[Last value]],Table1[[#This Row],[Last value]]&gt;Table1[[#This Row],[Target]]),1,0)</f>
        <v>0</v>
      </c>
      <c r="R107" s="4">
        <f>IF(Table1[[#This Row],[Target]]&gt;=Table1[[#This Row],[Last value]],1,0)</f>
        <v>1</v>
      </c>
      <c r="S107" s="4" t="str">
        <f t="shared" si="3"/>
        <v>Green</v>
      </c>
      <c r="T107">
        <v>0</v>
      </c>
      <c r="U107">
        <v>0</v>
      </c>
      <c r="V107">
        <v>0</v>
      </c>
      <c r="W107">
        <v>1.2</v>
      </c>
      <c r="X107">
        <v>2.7</v>
      </c>
      <c r="Y107">
        <v>1.38</v>
      </c>
      <c r="Z107">
        <v>1.3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2.1</v>
      </c>
      <c r="AG107">
        <v>0</v>
      </c>
      <c r="AH107">
        <v>0</v>
      </c>
      <c r="AI107">
        <v>1.55</v>
      </c>
      <c r="AJ107">
        <v>2.1</v>
      </c>
      <c r="AK107">
        <v>1.5</v>
      </c>
      <c r="AL107">
        <v>0</v>
      </c>
      <c r="AM107">
        <v>0</v>
      </c>
      <c r="AN107">
        <v>0</v>
      </c>
      <c r="AO107">
        <v>0</v>
      </c>
      <c r="AP107">
        <v>2.6</v>
      </c>
      <c r="AQ107">
        <v>2.6</v>
      </c>
      <c r="AR107" s="8">
        <v>0</v>
      </c>
      <c r="AS107" s="8">
        <v>0</v>
      </c>
      <c r="AT107" s="8">
        <v>2.68</v>
      </c>
      <c r="AU107" s="3">
        <v>2.08</v>
      </c>
      <c r="AV107" s="3">
        <v>0</v>
      </c>
      <c r="AW107" s="3">
        <v>1.96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>
        <v>0</v>
      </c>
      <c r="BE107" s="11">
        <v>2.0139999999999998</v>
      </c>
      <c r="BF107" s="4">
        <v>0</v>
      </c>
      <c r="BG107" s="4">
        <v>1</v>
      </c>
      <c r="BH107" s="4">
        <v>0</v>
      </c>
      <c r="BI107" s="4">
        <v>0</v>
      </c>
      <c r="BJ107" s="14">
        <v>0</v>
      </c>
      <c r="BK107" s="14">
        <v>0</v>
      </c>
      <c r="BL107" s="4">
        <v>0</v>
      </c>
      <c r="BM107" s="17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 s="19">
        <v>0</v>
      </c>
      <c r="CF107" s="19">
        <v>0</v>
      </c>
      <c r="CG107" s="4">
        <v>0</v>
      </c>
      <c r="CH107" s="4">
        <v>0</v>
      </c>
      <c r="CI107" s="4">
        <v>0</v>
      </c>
      <c r="CJ107" s="34">
        <v>0</v>
      </c>
      <c r="CK107" s="34">
        <v>0</v>
      </c>
      <c r="CL107" s="34">
        <v>0</v>
      </c>
      <c r="CM107" s="4">
        <v>0</v>
      </c>
      <c r="CN107" s="53">
        <v>0</v>
      </c>
      <c r="CO107" s="54">
        <v>0</v>
      </c>
      <c r="CP107" s="54">
        <v>0</v>
      </c>
      <c r="CQ107" s="4">
        <v>0</v>
      </c>
    </row>
    <row r="108" spans="1:95" x14ac:dyDescent="0.35">
      <c r="A108" s="55">
        <v>107</v>
      </c>
      <c r="B108" t="s">
        <v>99</v>
      </c>
      <c r="C108" s="27" t="s">
        <v>311</v>
      </c>
      <c r="D108" s="3" t="s">
        <v>94</v>
      </c>
      <c r="E108" s="33" t="s">
        <v>91</v>
      </c>
      <c r="F108" s="4">
        <f>IFERROR(AVERAGEIF(Table1[[#This Row],[2019-Apr]:[2025-July]],"&lt;&gt;0"),0)</f>
        <v>1.6822142857142857</v>
      </c>
      <c r="G108" s="4">
        <f ca="1">IFERROR(AVERAGEIF(OFFSET(Table1[[#This Row],[Status]],0,COUNT(Table1[[#This Row],[2019-May]:[2025-July]]),1,-12),"&lt;&gt;0"),0)</f>
        <v>1.6333333333333335</v>
      </c>
      <c r="H108" s="55">
        <f>IFERROR(SMALL(Table1[[#This Row],[2019-Apr]:[2025-July]],COUNTIF(Table1[[#This Row],[2019-Apr]:[2025-July]],0)+1),0)</f>
        <v>0.93799999999999994</v>
      </c>
      <c r="I108" s="55">
        <f>IFERROR(MAX(Table1[[#This Row],[2019-Apr]:[2025-July]]),0)</f>
        <v>3.34</v>
      </c>
      <c r="J108" s="4" cm="1">
        <f t="array" ref="J10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1.0546666666666666</v>
      </c>
      <c r="K108" s="4">
        <v>4.5</v>
      </c>
      <c r="L108" s="4">
        <f>IF(Table1[[#This Row],[Standard as per ISO]]&gt;=Table1[[#This Row],[Avg of best 6]],Table1[[#This Row],[Standard as per ISO]],Table1[[#This Row],[Avg of best 6]])</f>
        <v>4.5</v>
      </c>
      <c r="M108" s="4" cm="1">
        <f t="array" ref="M108">IFERROR(LOOKUP(2,1/(Table1[[#This Row],[2019-May]:[2025-July]]&lt;&gt;0),Table1[[#This Row],[2019-May]:[2025-July]]),0)</f>
        <v>2.2200000000000002</v>
      </c>
      <c r="N108" s="4">
        <f>COUNTIF(Table1[[#This Row],[2019-Apr]:[2025-July]],"&gt;="&amp;Table1[[#This Row],[Target]])</f>
        <v>0</v>
      </c>
      <c r="O108" s="4">
        <f>IF(Table1[[#This Row],[Outliers 2Y]]=0,1,0)</f>
        <v>1</v>
      </c>
      <c r="P108" s="4">
        <f>IF(Table1[[#This Row],[Last value]]&gt;1.5*Table1[[#This Row],[Target]],1,0)</f>
        <v>0</v>
      </c>
      <c r="Q108" s="4">
        <f>IF(AND(1.5*Table1[[#This Row],[Target]]&gt;=Table1[[#This Row],[Last value]],Table1[[#This Row],[Last value]]&gt;Table1[[#This Row],[Target]]),1,0)</f>
        <v>0</v>
      </c>
      <c r="R108" s="4">
        <f>IF(Table1[[#This Row],[Target]]&gt;=Table1[[#This Row],[Last value]],1,0)</f>
        <v>1</v>
      </c>
      <c r="S108" s="4" t="str">
        <f t="shared" si="3"/>
        <v>Green</v>
      </c>
      <c r="T108">
        <v>0</v>
      </c>
      <c r="U108">
        <v>0</v>
      </c>
      <c r="V108">
        <v>0</v>
      </c>
      <c r="W108">
        <v>1.2</v>
      </c>
      <c r="X108">
        <v>1.6</v>
      </c>
      <c r="Y108">
        <v>0</v>
      </c>
      <c r="Z108">
        <v>0</v>
      </c>
      <c r="AA108">
        <v>1.72</v>
      </c>
      <c r="AB108">
        <v>2.44</v>
      </c>
      <c r="AC108">
        <v>2.2200000000000002</v>
      </c>
      <c r="AD108">
        <v>2</v>
      </c>
      <c r="AE108">
        <v>0</v>
      </c>
      <c r="AF108">
        <v>0</v>
      </c>
      <c r="AG108">
        <v>1.2</v>
      </c>
      <c r="AH108">
        <v>1.1000000000000001</v>
      </c>
      <c r="AI108">
        <v>0</v>
      </c>
      <c r="AJ108">
        <v>0</v>
      </c>
      <c r="AK108">
        <v>2.2599999999999998</v>
      </c>
      <c r="AL108">
        <v>1.3</v>
      </c>
      <c r="AM108">
        <v>1</v>
      </c>
      <c r="AN108">
        <v>1.7</v>
      </c>
      <c r="AO108">
        <v>0</v>
      </c>
      <c r="AP108">
        <v>0</v>
      </c>
      <c r="AQ108">
        <v>0</v>
      </c>
      <c r="AR108" s="8">
        <v>3.22</v>
      </c>
      <c r="AS108" s="8">
        <v>0</v>
      </c>
      <c r="AT108" s="8">
        <v>0</v>
      </c>
      <c r="AU108" s="3">
        <v>0</v>
      </c>
      <c r="AV108" s="3">
        <v>3.34</v>
      </c>
      <c r="AW108" s="3">
        <v>2.2200000000000002</v>
      </c>
      <c r="AX108" s="3">
        <v>1.67</v>
      </c>
      <c r="AY108" s="3">
        <v>0</v>
      </c>
      <c r="AZ108" s="3">
        <v>1.4</v>
      </c>
      <c r="BA108" s="3">
        <v>0</v>
      </c>
      <c r="BB108" s="3">
        <v>1.3</v>
      </c>
      <c r="BC108">
        <v>1.8</v>
      </c>
      <c r="BD108">
        <v>0</v>
      </c>
      <c r="BE108" s="11">
        <v>0</v>
      </c>
      <c r="BF108" s="4">
        <v>0.93799999999999994</v>
      </c>
      <c r="BG108" s="4">
        <v>0</v>
      </c>
      <c r="BH108" s="4">
        <v>1.409</v>
      </c>
      <c r="BI108" s="4">
        <v>1.1000000000000001</v>
      </c>
      <c r="BJ108" s="13">
        <v>0</v>
      </c>
      <c r="BK108" s="13">
        <v>0</v>
      </c>
      <c r="BL108" s="4">
        <v>0</v>
      </c>
      <c r="BM108" s="16">
        <v>0</v>
      </c>
      <c r="BN108" s="4">
        <v>0</v>
      </c>
      <c r="BO108" s="4">
        <v>0</v>
      </c>
      <c r="BP108" s="4">
        <v>1.381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1.694</v>
      </c>
      <c r="BX108" s="4">
        <v>0</v>
      </c>
      <c r="BY108" s="4">
        <v>0</v>
      </c>
      <c r="BZ108">
        <v>0</v>
      </c>
      <c r="CA108">
        <v>0</v>
      </c>
      <c r="CB108">
        <v>0</v>
      </c>
      <c r="CC108">
        <v>0</v>
      </c>
      <c r="CD108">
        <v>0.99</v>
      </c>
      <c r="CE108" s="19">
        <v>1.3</v>
      </c>
      <c r="CF108" s="19">
        <v>0</v>
      </c>
      <c r="CG108" s="4">
        <v>1.38</v>
      </c>
      <c r="CH108" s="4">
        <v>2.2200000000000002</v>
      </c>
      <c r="CI108" s="4">
        <v>0</v>
      </c>
      <c r="CJ108" s="34">
        <v>0</v>
      </c>
      <c r="CK108" s="34">
        <v>0</v>
      </c>
      <c r="CL108" s="34">
        <v>0</v>
      </c>
      <c r="CM108" s="4">
        <v>0</v>
      </c>
      <c r="CN108" s="53">
        <v>0</v>
      </c>
      <c r="CO108" s="54">
        <v>0</v>
      </c>
      <c r="CP108" s="54">
        <v>0</v>
      </c>
      <c r="CQ108" s="4">
        <v>0</v>
      </c>
    </row>
    <row r="109" spans="1:95" x14ac:dyDescent="0.35">
      <c r="A109" s="55">
        <v>108</v>
      </c>
      <c r="B109" t="s">
        <v>99</v>
      </c>
      <c r="C109" s="27" t="s">
        <v>312</v>
      </c>
      <c r="D109" s="3" t="s">
        <v>94</v>
      </c>
      <c r="E109" s="33" t="s">
        <v>91</v>
      </c>
      <c r="F109" s="4">
        <f>IFERROR(AVERAGEIF(Table1[[#This Row],[2019-Apr]:[2025-July]],"&lt;&gt;0"),0)</f>
        <v>1.7122727272727269</v>
      </c>
      <c r="G109" s="4">
        <f ca="1">IFERROR(AVERAGEIF(OFFSET(Table1[[#This Row],[Status]],0,COUNT(Table1[[#This Row],[2019-May]:[2025-July]]),1,-12),"&lt;&gt;0"),0)</f>
        <v>0</v>
      </c>
      <c r="H109" s="55">
        <f>IFERROR(SMALL(Table1[[#This Row],[2019-Apr]:[2025-July]],COUNTIF(Table1[[#This Row],[2019-Apr]:[2025-July]],0)+1),0)</f>
        <v>0.8</v>
      </c>
      <c r="I109" s="55">
        <f>IFERROR(MAX(Table1[[#This Row],[2019-Apr]:[2025-July]]),0)</f>
        <v>3.6</v>
      </c>
      <c r="J109" s="4" cm="1">
        <f t="array" ref="J10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1.1499999999999999</v>
      </c>
      <c r="K109" s="4">
        <v>4.5</v>
      </c>
      <c r="L109" s="4">
        <f>IF(Table1[[#This Row],[Standard as per ISO]]&gt;=Table1[[#This Row],[Avg of best 6]],Table1[[#This Row],[Standard as per ISO]],Table1[[#This Row],[Avg of best 6]])</f>
        <v>4.5</v>
      </c>
      <c r="M109" s="4" cm="1">
        <f t="array" ref="M109">IFERROR(LOOKUP(2,1/(Table1[[#This Row],[2019-May]:[2025-July]]&lt;&gt;0),Table1[[#This Row],[2019-May]:[2025-July]]),0)</f>
        <v>1.6379999999999999</v>
      </c>
      <c r="N109" s="4">
        <f>COUNTIF(Table1[[#This Row],[2019-Apr]:[2025-July]],"&gt;="&amp;Table1[[#This Row],[Target]])</f>
        <v>0</v>
      </c>
      <c r="O109" s="4">
        <f>IF(Table1[[#This Row],[Outliers 2Y]]=0,1,0)</f>
        <v>1</v>
      </c>
      <c r="P109" s="4">
        <f>IF(Table1[[#This Row],[Last value]]&gt;1.5*Table1[[#This Row],[Target]],1,0)</f>
        <v>0</v>
      </c>
      <c r="Q109" s="4">
        <f>IF(AND(1.5*Table1[[#This Row],[Target]]&gt;=Table1[[#This Row],[Last value]],Table1[[#This Row],[Last value]]&gt;Table1[[#This Row],[Target]]),1,0)</f>
        <v>0</v>
      </c>
      <c r="R109" s="4">
        <f>IF(Table1[[#This Row],[Target]]&gt;=Table1[[#This Row],[Last value]],1,0)</f>
        <v>1</v>
      </c>
      <c r="S109" s="4" t="str">
        <f t="shared" si="3"/>
        <v>Green</v>
      </c>
      <c r="T109">
        <v>0</v>
      </c>
      <c r="U109">
        <v>0</v>
      </c>
      <c r="V109">
        <v>0</v>
      </c>
      <c r="W109">
        <v>1.77</v>
      </c>
      <c r="X109">
        <v>1.49</v>
      </c>
      <c r="Y109">
        <v>0.8</v>
      </c>
      <c r="Z109">
        <v>1.2</v>
      </c>
      <c r="AA109">
        <v>0</v>
      </c>
      <c r="AB109">
        <v>0</v>
      </c>
      <c r="AC109">
        <v>0</v>
      </c>
      <c r="AD109">
        <v>0</v>
      </c>
      <c r="AE109">
        <v>1.56</v>
      </c>
      <c r="AF109">
        <v>0</v>
      </c>
      <c r="AG109">
        <v>0</v>
      </c>
      <c r="AH109">
        <v>0</v>
      </c>
      <c r="AI109">
        <v>1.1299999999999999</v>
      </c>
      <c r="AJ109">
        <v>1.17</v>
      </c>
      <c r="AK109">
        <v>0</v>
      </c>
      <c r="AL109">
        <v>0</v>
      </c>
      <c r="AM109">
        <v>0</v>
      </c>
      <c r="AN109">
        <v>0</v>
      </c>
      <c r="AO109">
        <v>3.6</v>
      </c>
      <c r="AP109">
        <v>1.6</v>
      </c>
      <c r="AQ109">
        <v>1.39</v>
      </c>
      <c r="AR109" s="8">
        <v>0</v>
      </c>
      <c r="AS109" s="8">
        <v>2.37</v>
      </c>
      <c r="AT109" s="8">
        <v>1.38</v>
      </c>
      <c r="AU109" s="3">
        <v>1.3</v>
      </c>
      <c r="AV109" s="3">
        <v>3.18</v>
      </c>
      <c r="AW109" s="3">
        <v>3.3</v>
      </c>
      <c r="AX109" s="3">
        <v>0</v>
      </c>
      <c r="AY109" s="3">
        <v>1.72</v>
      </c>
      <c r="AZ109" s="3">
        <v>0</v>
      </c>
      <c r="BA109" s="3">
        <v>1.3</v>
      </c>
      <c r="BB109" s="3">
        <v>0</v>
      </c>
      <c r="BC109" s="3">
        <v>0</v>
      </c>
      <c r="BD109">
        <v>1.4</v>
      </c>
      <c r="BE109" s="11">
        <v>1.5740000000000001</v>
      </c>
      <c r="BF109" s="4">
        <v>0</v>
      </c>
      <c r="BG109" s="4">
        <v>1.3</v>
      </c>
      <c r="BH109" s="4">
        <v>0</v>
      </c>
      <c r="BI109" s="4">
        <v>0</v>
      </c>
      <c r="BJ109" s="14">
        <v>0</v>
      </c>
      <c r="BK109" s="14">
        <v>0</v>
      </c>
      <c r="BL109" s="4">
        <v>1.498</v>
      </c>
      <c r="BM109" s="17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1.6379999999999999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 s="19">
        <v>0</v>
      </c>
      <c r="CF109" s="19">
        <v>0</v>
      </c>
      <c r="CG109" s="4">
        <v>0</v>
      </c>
      <c r="CH109" s="4">
        <v>0</v>
      </c>
      <c r="CI109" s="4">
        <v>0</v>
      </c>
      <c r="CJ109" s="34">
        <v>0</v>
      </c>
      <c r="CK109" s="34">
        <v>0</v>
      </c>
      <c r="CL109" s="34">
        <v>0</v>
      </c>
      <c r="CM109" s="4">
        <v>0</v>
      </c>
      <c r="CN109" s="53">
        <v>0</v>
      </c>
      <c r="CO109" s="54">
        <v>0</v>
      </c>
      <c r="CP109" s="54">
        <v>0</v>
      </c>
      <c r="CQ109" s="4">
        <v>0</v>
      </c>
    </row>
    <row r="110" spans="1:95" x14ac:dyDescent="0.35">
      <c r="A110" s="55">
        <v>109</v>
      </c>
      <c r="B110" t="s">
        <v>99</v>
      </c>
      <c r="C110" s="27" t="s">
        <v>313</v>
      </c>
      <c r="D110" s="3" t="s">
        <v>94</v>
      </c>
      <c r="E110" s="33" t="s">
        <v>89</v>
      </c>
      <c r="F110" s="4">
        <f>IFERROR(AVERAGEIF(Table1[[#This Row],[2019-Apr]:[2025-July]],"&lt;&gt;0"),0)</f>
        <v>1.0219999999999998</v>
      </c>
      <c r="G110" s="4">
        <f ca="1">IFERROR(AVERAGEIF(OFFSET(Table1[[#This Row],[Status]],0,COUNT(Table1[[#This Row],[2019-May]:[2025-July]]),1,-12),"&lt;&gt;0"),0)</f>
        <v>0.93571428571428583</v>
      </c>
      <c r="H110" s="55">
        <f>IFERROR(SMALL(Table1[[#This Row],[2019-Apr]:[2025-July]],COUNTIF(Table1[[#This Row],[2019-Apr]:[2025-July]],0)+1),0)</f>
        <v>0.4</v>
      </c>
      <c r="I110" s="55">
        <f>IFERROR(MAX(Table1[[#This Row],[2019-Apr]:[2025-July]]),0)</f>
        <v>2</v>
      </c>
      <c r="J110" s="4" cm="1">
        <f t="array" ref="J11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0.53066666666666673</v>
      </c>
      <c r="K110" s="4">
        <v>4.5</v>
      </c>
      <c r="L110" s="4">
        <f>IF(Table1[[#This Row],[Standard as per ISO]]&gt;=Table1[[#This Row],[Avg of best 6]],Table1[[#This Row],[Standard as per ISO]],Table1[[#This Row],[Avg of best 6]])</f>
        <v>4.5</v>
      </c>
      <c r="M110" s="4" cm="1">
        <f t="array" ref="M110">IFERROR(LOOKUP(2,1/(Table1[[#This Row],[2019-May]:[2025-July]]&lt;&gt;0),Table1[[#This Row],[2019-May]:[2025-July]]),0)</f>
        <v>0.75</v>
      </c>
      <c r="N110" s="4">
        <f>COUNTIF(Table1[[#This Row],[2019-Apr]:[2025-July]],"&gt;="&amp;Table1[[#This Row],[Target]])</f>
        <v>0</v>
      </c>
      <c r="O110" s="4">
        <f>IF(Table1[[#This Row],[Outliers 2Y]]=0,1,0)</f>
        <v>1</v>
      </c>
      <c r="P110" s="4">
        <f>IF(Table1[[#This Row],[Last value]]&gt;1.5*Table1[[#This Row],[Target]],1,0)</f>
        <v>0</v>
      </c>
      <c r="Q110" s="4">
        <f>IF(AND(1.5*Table1[[#This Row],[Target]]&gt;=Table1[[#This Row],[Last value]],Table1[[#This Row],[Last value]]&gt;Table1[[#This Row],[Target]]),1,0)</f>
        <v>0</v>
      </c>
      <c r="R110" s="4">
        <f>IF(Table1[[#This Row],[Target]]&gt;=Table1[[#This Row],[Last value]],1,0)</f>
        <v>1</v>
      </c>
      <c r="S110" s="4" t="str">
        <f t="shared" si="3"/>
        <v>Green</v>
      </c>
      <c r="T110">
        <v>0</v>
      </c>
      <c r="U110">
        <v>0</v>
      </c>
      <c r="V110">
        <v>0</v>
      </c>
      <c r="W110">
        <v>0.9</v>
      </c>
      <c r="X110">
        <v>0.7</v>
      </c>
      <c r="Y110">
        <v>0</v>
      </c>
      <c r="Z110">
        <v>0</v>
      </c>
      <c r="AA110">
        <v>0.82</v>
      </c>
      <c r="AB110">
        <v>1.45</v>
      </c>
      <c r="AC110">
        <v>1.34</v>
      </c>
      <c r="AD110">
        <v>0.9</v>
      </c>
      <c r="AE110">
        <v>0.9</v>
      </c>
      <c r="AF110">
        <v>0</v>
      </c>
      <c r="AG110">
        <v>0.9</v>
      </c>
      <c r="AH110">
        <v>2</v>
      </c>
      <c r="AI110">
        <v>0</v>
      </c>
      <c r="AJ110">
        <v>0</v>
      </c>
      <c r="AK110">
        <v>0</v>
      </c>
      <c r="AL110">
        <v>0.71</v>
      </c>
      <c r="AM110">
        <v>0.99</v>
      </c>
      <c r="AN110">
        <v>1.5</v>
      </c>
      <c r="AO110">
        <v>0</v>
      </c>
      <c r="AP110">
        <v>0</v>
      </c>
      <c r="AQ110">
        <v>0</v>
      </c>
      <c r="AR110" s="8">
        <v>0.99</v>
      </c>
      <c r="AS110" s="8">
        <v>1.1499999999999999</v>
      </c>
      <c r="AT110" s="8">
        <v>0</v>
      </c>
      <c r="AU110" s="3">
        <v>0</v>
      </c>
      <c r="AV110" s="3">
        <v>0</v>
      </c>
      <c r="AW110" s="3">
        <v>0</v>
      </c>
      <c r="AX110" s="3">
        <v>1.28</v>
      </c>
      <c r="AY110" s="3">
        <v>0</v>
      </c>
      <c r="AZ110" s="3">
        <v>0.7</v>
      </c>
      <c r="BA110" s="3">
        <v>0</v>
      </c>
      <c r="BB110" s="3">
        <v>1.7</v>
      </c>
      <c r="BC110">
        <v>0.7</v>
      </c>
      <c r="BD110">
        <v>0</v>
      </c>
      <c r="BE110" s="11">
        <v>0</v>
      </c>
      <c r="BF110" s="4">
        <v>0</v>
      </c>
      <c r="BG110" s="4">
        <v>0</v>
      </c>
      <c r="BH110" s="4">
        <v>1.764</v>
      </c>
      <c r="BI110" s="4">
        <v>0</v>
      </c>
      <c r="BJ110" s="13">
        <v>0</v>
      </c>
      <c r="BK110" s="13">
        <v>0</v>
      </c>
      <c r="BL110" s="4">
        <v>0</v>
      </c>
      <c r="BM110" s="16">
        <v>0</v>
      </c>
      <c r="BN110" s="4">
        <v>0</v>
      </c>
      <c r="BO110" s="4">
        <v>0</v>
      </c>
      <c r="BP110" s="4">
        <v>0.64700000000000002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0.55700000000000005</v>
      </c>
      <c r="BX110" s="4">
        <v>0</v>
      </c>
      <c r="BY110" s="4">
        <v>0</v>
      </c>
      <c r="BZ110">
        <v>0</v>
      </c>
      <c r="CA110">
        <v>0</v>
      </c>
      <c r="CB110">
        <v>0</v>
      </c>
      <c r="CC110">
        <v>0</v>
      </c>
      <c r="CD110">
        <v>0.49</v>
      </c>
      <c r="CE110" s="19">
        <v>0.4</v>
      </c>
      <c r="CF110" s="19">
        <v>0</v>
      </c>
      <c r="CG110" s="4">
        <v>0.49</v>
      </c>
      <c r="CH110" s="4">
        <v>0.91</v>
      </c>
      <c r="CI110" s="4">
        <v>0</v>
      </c>
      <c r="CJ110" s="34">
        <v>0</v>
      </c>
      <c r="CK110" s="34">
        <v>1.8</v>
      </c>
      <c r="CL110" s="43">
        <v>0.6</v>
      </c>
      <c r="CM110" s="4">
        <v>1.6</v>
      </c>
      <c r="CN110" s="53">
        <v>0</v>
      </c>
      <c r="CO110" s="54">
        <v>0</v>
      </c>
      <c r="CP110" s="54">
        <v>0.75</v>
      </c>
      <c r="CQ110" s="4">
        <v>0</v>
      </c>
    </row>
    <row r="111" spans="1:95" x14ac:dyDescent="0.35">
      <c r="A111" s="55">
        <v>110</v>
      </c>
      <c r="B111" t="s">
        <v>99</v>
      </c>
      <c r="C111" s="27" t="s">
        <v>314</v>
      </c>
      <c r="D111" s="3" t="s">
        <v>94</v>
      </c>
      <c r="E111" s="33" t="s">
        <v>89</v>
      </c>
      <c r="F111" s="4">
        <f>IFERROR(AVERAGEIF(Table1[[#This Row],[2019-Apr]:[2025-July]],"&lt;&gt;0"),0)</f>
        <v>0.90647999999999973</v>
      </c>
      <c r="G111" s="4">
        <f ca="1">IFERROR(AVERAGEIF(OFFSET(Table1[[#This Row],[Status]],0,COUNT(Table1[[#This Row],[2019-May]:[2025-July]]),1,-12),"&lt;&gt;0"),0)</f>
        <v>0</v>
      </c>
      <c r="H111" s="55">
        <f>IFERROR(SMALL(Table1[[#This Row],[2019-Apr]:[2025-July]],COUNTIF(Table1[[#This Row],[2019-Apr]:[2025-July]],0)+1),0)</f>
        <v>0.3</v>
      </c>
      <c r="I111" s="55">
        <f>IFERROR(MAX(Table1[[#This Row],[2019-Apr]:[2025-July]]),0)</f>
        <v>2.0950000000000002</v>
      </c>
      <c r="J111" s="4" cm="1">
        <f t="array" ref="J11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0.61499999999999988</v>
      </c>
      <c r="K111" s="4">
        <v>4.5</v>
      </c>
      <c r="L111" s="4">
        <f>IF(Table1[[#This Row],[Standard as per ISO]]&gt;=Table1[[#This Row],[Avg of best 6]],Table1[[#This Row],[Standard as per ISO]],Table1[[#This Row],[Avg of best 6]])</f>
        <v>4.5</v>
      </c>
      <c r="M111" s="4" cm="1">
        <f t="array" ref="M111">IFERROR(LOOKUP(2,1/(Table1[[#This Row],[2019-May]:[2025-July]]&lt;&gt;0),Table1[[#This Row],[2019-May]:[2025-July]]),0)</f>
        <v>0.80100000000000005</v>
      </c>
      <c r="N111" s="4">
        <f>COUNTIF(Table1[[#This Row],[2019-Apr]:[2025-July]],"&gt;="&amp;Table1[[#This Row],[Target]])</f>
        <v>0</v>
      </c>
      <c r="O111" s="4">
        <f>IF(Table1[[#This Row],[Outliers 2Y]]=0,1,0)</f>
        <v>1</v>
      </c>
      <c r="P111" s="4">
        <f>IF(Table1[[#This Row],[Last value]]&gt;1.5*Table1[[#This Row],[Target]],1,0)</f>
        <v>0</v>
      </c>
      <c r="Q111" s="4">
        <f>IF(AND(1.5*Table1[[#This Row],[Target]]&gt;=Table1[[#This Row],[Last value]],Table1[[#This Row],[Last value]]&gt;Table1[[#This Row],[Target]]),1,0)</f>
        <v>0</v>
      </c>
      <c r="R111" s="4">
        <f>IF(Table1[[#This Row],[Target]]&gt;=Table1[[#This Row],[Last value]],1,0)</f>
        <v>1</v>
      </c>
      <c r="S111" s="4" t="str">
        <f t="shared" si="3"/>
        <v>Green</v>
      </c>
      <c r="T111">
        <v>0</v>
      </c>
      <c r="U111">
        <v>0</v>
      </c>
      <c r="V111">
        <v>0</v>
      </c>
      <c r="W111">
        <v>1.35</v>
      </c>
      <c r="X111">
        <v>0.6</v>
      </c>
      <c r="Y111">
        <v>0.82</v>
      </c>
      <c r="Z111">
        <v>0.8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0.8</v>
      </c>
      <c r="AG111">
        <v>0</v>
      </c>
      <c r="AH111">
        <v>0</v>
      </c>
      <c r="AI111">
        <v>0.62</v>
      </c>
      <c r="AJ111">
        <v>0.72</v>
      </c>
      <c r="AK111">
        <v>0.75</v>
      </c>
      <c r="AL111">
        <v>0</v>
      </c>
      <c r="AM111">
        <v>0</v>
      </c>
      <c r="AN111">
        <v>0</v>
      </c>
      <c r="AO111">
        <v>0.7</v>
      </c>
      <c r="AP111">
        <v>0.77</v>
      </c>
      <c r="AQ111">
        <v>0.87</v>
      </c>
      <c r="AR111" s="8">
        <v>0</v>
      </c>
      <c r="AS111" s="8">
        <v>0</v>
      </c>
      <c r="AT111" s="8">
        <v>1.37</v>
      </c>
      <c r="AU111" s="3">
        <v>1.0900000000000001</v>
      </c>
      <c r="AV111" s="3">
        <v>0.92</v>
      </c>
      <c r="AW111" s="3">
        <v>0.75</v>
      </c>
      <c r="AX111" s="3">
        <v>0.75</v>
      </c>
      <c r="AY111" s="3">
        <v>0.77</v>
      </c>
      <c r="AZ111" s="3">
        <v>0</v>
      </c>
      <c r="BA111" s="3">
        <v>0.3</v>
      </c>
      <c r="BB111" s="3">
        <v>0</v>
      </c>
      <c r="BC111" s="3">
        <v>0</v>
      </c>
      <c r="BD111">
        <v>0.9</v>
      </c>
      <c r="BE111" s="11">
        <v>1.0249999999999999</v>
      </c>
      <c r="BF111" s="4">
        <v>1.202</v>
      </c>
      <c r="BG111" s="4">
        <v>0.8</v>
      </c>
      <c r="BH111" s="4">
        <v>0</v>
      </c>
      <c r="BI111" s="4">
        <v>1.089</v>
      </c>
      <c r="BJ111" s="14">
        <v>0</v>
      </c>
      <c r="BK111" s="14">
        <v>0</v>
      </c>
      <c r="BL111" s="4">
        <v>2.0950000000000002</v>
      </c>
      <c r="BM111" s="17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0.80100000000000005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 s="19">
        <v>0</v>
      </c>
      <c r="CF111" s="19">
        <v>0</v>
      </c>
      <c r="CG111" s="4">
        <v>0</v>
      </c>
      <c r="CH111" s="4">
        <v>0</v>
      </c>
      <c r="CI111" s="4">
        <v>0</v>
      </c>
      <c r="CJ111" s="34">
        <v>0</v>
      </c>
      <c r="CK111" s="34">
        <v>0</v>
      </c>
      <c r="CL111" s="43">
        <v>0</v>
      </c>
      <c r="CM111" s="4">
        <v>0</v>
      </c>
      <c r="CN111" s="53">
        <v>0</v>
      </c>
      <c r="CO111" s="54">
        <v>0</v>
      </c>
      <c r="CP111" s="54">
        <v>0</v>
      </c>
      <c r="CQ111" s="4">
        <v>0</v>
      </c>
    </row>
    <row r="112" spans="1:95" x14ac:dyDescent="0.35">
      <c r="A112" s="55">
        <v>111</v>
      </c>
      <c r="B112" t="s">
        <v>99</v>
      </c>
      <c r="C112" s="27" t="s">
        <v>315</v>
      </c>
      <c r="D112" s="3" t="s">
        <v>102</v>
      </c>
      <c r="E112" s="33" t="s">
        <v>89</v>
      </c>
      <c r="F112" s="4">
        <f>IFERROR(AVERAGEIF(Table1[[#This Row],[2019-Apr]:[2025-July]],"&lt;&gt;0"),0)</f>
        <v>1.9185357142857138</v>
      </c>
      <c r="G112" s="4">
        <f ca="1">IFERROR(AVERAGEIF(OFFSET(Table1[[#This Row],[Status]],0,COUNT(Table1[[#This Row],[2019-May]:[2025-July]]),1,-12),"&lt;&gt;0"),0)</f>
        <v>1.2381818181818181</v>
      </c>
      <c r="H112" s="55">
        <f>IFERROR(SMALL(Table1[[#This Row],[2019-Apr]:[2025-July]],COUNTIF(Table1[[#This Row],[2019-Apr]:[2025-July]],0)+1),0)</f>
        <v>0.7</v>
      </c>
      <c r="I112" s="55">
        <f>IFERROR(MAX(Table1[[#This Row],[2019-Apr]:[2025-July]]),0)</f>
        <v>4.7300000000000004</v>
      </c>
      <c r="J112" s="4" cm="1">
        <f t="array" ref="J11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0.84700000000000009</v>
      </c>
      <c r="K112" s="4">
        <v>4.5</v>
      </c>
      <c r="L112" s="4">
        <f>IF(Table1[[#This Row],[Standard as per ISO]]&gt;=Table1[[#This Row],[Avg of best 6]],Table1[[#This Row],[Standard as per ISO]],Table1[[#This Row],[Avg of best 6]])</f>
        <v>4.5</v>
      </c>
      <c r="M112" s="4" cm="1">
        <f t="array" ref="M112">IFERROR(LOOKUP(2,1/(Table1[[#This Row],[2019-May]:[2025-July]]&lt;&gt;0),Table1[[#This Row],[2019-May]:[2025-July]]),0)</f>
        <v>2.7</v>
      </c>
      <c r="N112" s="4">
        <f>COUNTIF(Table1[[#This Row],[2019-Apr]:[2025-July]],"&gt;="&amp;Table1[[#This Row],[Target]])</f>
        <v>1</v>
      </c>
      <c r="O112" s="4">
        <f>IF(Table1[[#This Row],[Outliers 2Y]]=0,1,0)</f>
        <v>0</v>
      </c>
      <c r="P112" s="4">
        <f>IF(Table1[[#This Row],[Last value]]&gt;1.5*Table1[[#This Row],[Target]],1,0)</f>
        <v>0</v>
      </c>
      <c r="Q112" s="4">
        <f>IF(AND(1.5*Table1[[#This Row],[Target]]&gt;=Table1[[#This Row],[Last value]],Table1[[#This Row],[Last value]]&gt;Table1[[#This Row],[Target]]),1,0)</f>
        <v>0</v>
      </c>
      <c r="R112" s="4">
        <f>IF(Table1[[#This Row],[Target]]&gt;=Table1[[#This Row],[Last value]],1,0)</f>
        <v>1</v>
      </c>
      <c r="S112" s="4" t="str">
        <f t="shared" si="3"/>
        <v>Green</v>
      </c>
      <c r="T112">
        <v>0</v>
      </c>
      <c r="U112">
        <v>0</v>
      </c>
      <c r="V112">
        <v>0</v>
      </c>
      <c r="W112">
        <v>0</v>
      </c>
      <c r="X112">
        <v>2.6</v>
      </c>
      <c r="Y112">
        <v>2.58</v>
      </c>
      <c r="Z112">
        <v>2.9</v>
      </c>
      <c r="AA112">
        <v>2.2999999999999998</v>
      </c>
      <c r="AB112">
        <v>2.68</v>
      </c>
      <c r="AC112">
        <v>1.68</v>
      </c>
      <c r="AD112">
        <v>0</v>
      </c>
      <c r="AE112">
        <v>1.2</v>
      </c>
      <c r="AF112">
        <v>3.3</v>
      </c>
      <c r="AG112">
        <v>0</v>
      </c>
      <c r="AH112">
        <v>1.4</v>
      </c>
      <c r="AI112">
        <v>4.17</v>
      </c>
      <c r="AJ112">
        <v>2.2999999999999998</v>
      </c>
      <c r="AK112">
        <v>1.7</v>
      </c>
      <c r="AL112">
        <v>0.99</v>
      </c>
      <c r="AM112">
        <v>1.59</v>
      </c>
      <c r="AN112">
        <v>1.1000000000000001</v>
      </c>
      <c r="AO112">
        <v>0</v>
      </c>
      <c r="AP112">
        <v>1.1000000000000001</v>
      </c>
      <c r="AQ112">
        <v>4</v>
      </c>
      <c r="AR112" s="8">
        <v>2.63</v>
      </c>
      <c r="AS112" s="8">
        <v>0</v>
      </c>
      <c r="AT112" s="8">
        <v>4.08</v>
      </c>
      <c r="AU112" s="3">
        <v>1.91</v>
      </c>
      <c r="AV112" s="3">
        <v>4.7300000000000004</v>
      </c>
      <c r="AW112" s="3">
        <v>2.33</v>
      </c>
      <c r="AX112" s="3">
        <v>1.54</v>
      </c>
      <c r="AY112" s="3">
        <v>0</v>
      </c>
      <c r="AZ112" s="3">
        <v>2.4</v>
      </c>
      <c r="BA112" s="3">
        <v>0</v>
      </c>
      <c r="BB112" s="3">
        <v>2.1</v>
      </c>
      <c r="BC112">
        <v>2</v>
      </c>
      <c r="BD112">
        <v>0</v>
      </c>
      <c r="BE112" s="11">
        <v>0</v>
      </c>
      <c r="BF112" s="4">
        <v>1.659</v>
      </c>
      <c r="BG112" s="4">
        <v>1.1399999999999999</v>
      </c>
      <c r="BH112" s="4">
        <v>2.133</v>
      </c>
      <c r="BI112" s="4">
        <v>1.736</v>
      </c>
      <c r="BJ112" s="13">
        <v>1.3879999999999999</v>
      </c>
      <c r="BK112" s="13">
        <v>1.8979999999999999</v>
      </c>
      <c r="BL112" s="4">
        <v>0.97599999999999998</v>
      </c>
      <c r="BM112" s="16">
        <v>1.1779999999999999</v>
      </c>
      <c r="BN112" s="4">
        <v>1.216</v>
      </c>
      <c r="BO112" s="4">
        <v>1.5860000000000001</v>
      </c>
      <c r="BP112" s="4">
        <v>1.829</v>
      </c>
      <c r="BQ112" s="4">
        <v>1.6779999999999999</v>
      </c>
      <c r="BR112" s="4">
        <v>2.9340000000000002</v>
      </c>
      <c r="BS112" s="4">
        <v>1.992</v>
      </c>
      <c r="BT112" s="4">
        <v>0</v>
      </c>
      <c r="BU112" s="4">
        <v>1.845</v>
      </c>
      <c r="BV112" s="4">
        <v>1.827</v>
      </c>
      <c r="BW112" s="4">
        <v>2.0070000000000001</v>
      </c>
      <c r="BX112" s="4">
        <v>0.78600000000000003</v>
      </c>
      <c r="BY112" s="4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 s="19">
        <v>1</v>
      </c>
      <c r="CF112" s="19">
        <v>1.6</v>
      </c>
      <c r="CG112" s="4">
        <v>0</v>
      </c>
      <c r="CH112" s="4">
        <v>1.19</v>
      </c>
      <c r="CI112" s="4">
        <v>0.83</v>
      </c>
      <c r="CJ112" s="34">
        <v>1.4</v>
      </c>
      <c r="CK112" s="34">
        <v>1.2</v>
      </c>
      <c r="CL112" s="43">
        <v>1</v>
      </c>
      <c r="CM112" s="4">
        <v>1.6</v>
      </c>
      <c r="CN112" s="53">
        <v>2.2999999999999998</v>
      </c>
      <c r="CO112" s="54">
        <v>0.8</v>
      </c>
      <c r="CP112" s="54">
        <v>0.7</v>
      </c>
      <c r="CQ112" s="4">
        <v>2.7</v>
      </c>
    </row>
    <row r="113" spans="1:95" x14ac:dyDescent="0.35">
      <c r="A113" s="55">
        <v>112</v>
      </c>
      <c r="B113" t="s">
        <v>99</v>
      </c>
      <c r="C113" s="27" t="s">
        <v>316</v>
      </c>
      <c r="D113" s="3" t="s">
        <v>102</v>
      </c>
      <c r="E113" s="33" t="s">
        <v>89</v>
      </c>
      <c r="F113" s="4">
        <f>IFERROR(AVERAGEIF(Table1[[#This Row],[2019-Apr]:[2025-July]],"&lt;&gt;0"),0)</f>
        <v>2.7229999999999994</v>
      </c>
      <c r="G113" s="4">
        <f ca="1">IFERROR(AVERAGEIF(OFFSET(Table1[[#This Row],[Status]],0,COUNT(Table1[[#This Row],[2019-May]:[2025-July]]),1,-12),"&lt;&gt;0"),0)</f>
        <v>2.1727272727272728</v>
      </c>
      <c r="H113" s="55">
        <f>IFERROR(SMALL(Table1[[#This Row],[2019-Apr]:[2025-July]],COUNTIF(Table1[[#This Row],[2019-Apr]:[2025-July]],0)+1),0)</f>
        <v>0.7</v>
      </c>
      <c r="I113" s="55">
        <f>IFERROR(MAX(Table1[[#This Row],[2019-Apr]:[2025-July]]),0)</f>
        <v>4.53</v>
      </c>
      <c r="J113" s="4" cm="1">
        <f t="array" ref="J11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1.617</v>
      </c>
      <c r="K113" s="4">
        <v>4.5</v>
      </c>
      <c r="L113" s="4">
        <f>IF(Table1[[#This Row],[Standard as per ISO]]&gt;=Table1[[#This Row],[Avg of best 6]],Table1[[#This Row],[Standard as per ISO]],Table1[[#This Row],[Avg of best 6]])</f>
        <v>4.5</v>
      </c>
      <c r="M113" s="4" cm="1">
        <f t="array" ref="M113">IFERROR(LOOKUP(2,1/(Table1[[#This Row],[2019-May]:[2025-July]]&lt;&gt;0),Table1[[#This Row],[2019-May]:[2025-July]]),0)</f>
        <v>2.6</v>
      </c>
      <c r="N113" s="4">
        <f>COUNTIF(Table1[[#This Row],[2019-Apr]:[2025-July]],"&gt;="&amp;Table1[[#This Row],[Target]])</f>
        <v>1</v>
      </c>
      <c r="O113" s="4">
        <f>IF(Table1[[#This Row],[Outliers 2Y]]=0,1,0)</f>
        <v>0</v>
      </c>
      <c r="P113" s="4">
        <f>IF(Table1[[#This Row],[Last value]]&gt;1.5*Table1[[#This Row],[Target]],1,0)</f>
        <v>0</v>
      </c>
      <c r="Q113" s="4">
        <f>IF(AND(1.5*Table1[[#This Row],[Target]]&gt;=Table1[[#This Row],[Last value]],Table1[[#This Row],[Last value]]&gt;Table1[[#This Row],[Target]]),1,0)</f>
        <v>0</v>
      </c>
      <c r="R113" s="4">
        <f>IF(Table1[[#This Row],[Target]]&gt;=Table1[[#This Row],[Last value]],1,0)</f>
        <v>1</v>
      </c>
      <c r="S113" s="4" t="str">
        <f t="shared" si="3"/>
        <v>Green</v>
      </c>
      <c r="T113">
        <v>0</v>
      </c>
      <c r="U113">
        <v>0</v>
      </c>
      <c r="V113">
        <v>0</v>
      </c>
      <c r="W113">
        <v>4.46</v>
      </c>
      <c r="X113">
        <v>4.0999999999999996</v>
      </c>
      <c r="Y113">
        <v>3.61</v>
      </c>
      <c r="Z113">
        <v>0</v>
      </c>
      <c r="AA113">
        <v>2.2999999999999998</v>
      </c>
      <c r="AB113">
        <v>3.2</v>
      </c>
      <c r="AC113">
        <v>0</v>
      </c>
      <c r="AD113">
        <v>2.7</v>
      </c>
      <c r="AE113">
        <v>0</v>
      </c>
      <c r="AF113">
        <v>3.6</v>
      </c>
      <c r="AG113">
        <v>0</v>
      </c>
      <c r="AH113">
        <v>2.1</v>
      </c>
      <c r="AI113">
        <v>4.53</v>
      </c>
      <c r="AJ113">
        <v>0</v>
      </c>
      <c r="AK113">
        <v>0</v>
      </c>
      <c r="AL113">
        <v>0</v>
      </c>
      <c r="AM113">
        <v>0</v>
      </c>
      <c r="AN113">
        <v>3.48</v>
      </c>
      <c r="AO113">
        <v>2.4</v>
      </c>
      <c r="AP113">
        <v>0</v>
      </c>
      <c r="AQ113">
        <v>0</v>
      </c>
      <c r="AR113" s="8">
        <v>3.37</v>
      </c>
      <c r="AS113" s="8">
        <v>2.78</v>
      </c>
      <c r="AT113" s="8">
        <v>0</v>
      </c>
      <c r="AU113" s="3">
        <v>0</v>
      </c>
      <c r="AV113" s="3">
        <v>1.61</v>
      </c>
      <c r="AW113" s="3">
        <v>0</v>
      </c>
      <c r="AX113" s="3">
        <v>0</v>
      </c>
      <c r="AY113" s="3">
        <v>0</v>
      </c>
      <c r="AZ113" s="3">
        <v>3.5</v>
      </c>
      <c r="BA113" s="3">
        <v>1.6</v>
      </c>
      <c r="BB113" s="3">
        <v>3.6</v>
      </c>
      <c r="BC113" s="3">
        <v>0</v>
      </c>
      <c r="BD113">
        <v>0</v>
      </c>
      <c r="BE113" s="11">
        <v>3.6</v>
      </c>
      <c r="BF113" s="4">
        <v>2.5550000000000002</v>
      </c>
      <c r="BG113" s="4">
        <v>0</v>
      </c>
      <c r="BH113" s="4">
        <v>0</v>
      </c>
      <c r="BI113" s="4">
        <v>3.0110000000000001</v>
      </c>
      <c r="BJ113" s="14">
        <v>2.0619999999999998</v>
      </c>
      <c r="BK113" s="14">
        <v>2.7850000000000001</v>
      </c>
      <c r="BL113" s="4">
        <v>2.1659999999999999</v>
      </c>
      <c r="BM113" s="17">
        <v>2.3130000000000002</v>
      </c>
      <c r="BN113" s="4">
        <v>3.2280000000000002</v>
      </c>
      <c r="BO113" s="4">
        <v>2.2519999999999998</v>
      </c>
      <c r="BP113" s="4">
        <v>2.6920000000000002</v>
      </c>
      <c r="BQ113" s="4">
        <v>2.97</v>
      </c>
      <c r="BR113" s="4">
        <v>2.9340000000000002</v>
      </c>
      <c r="BS113" s="4">
        <v>2.83</v>
      </c>
      <c r="BT113" s="4">
        <v>2.4239999999999999</v>
      </c>
      <c r="BU113" s="4">
        <v>3.0179999999999998</v>
      </c>
      <c r="BV113" s="4">
        <v>0</v>
      </c>
      <c r="BW113" s="4">
        <v>2.3149999999999999</v>
      </c>
      <c r="BX113" s="4">
        <v>0</v>
      </c>
      <c r="BY113" s="4">
        <v>2.6629999999999998</v>
      </c>
      <c r="BZ113">
        <v>0</v>
      </c>
      <c r="CA113">
        <v>0</v>
      </c>
      <c r="CB113">
        <v>0</v>
      </c>
      <c r="CC113">
        <v>0</v>
      </c>
      <c r="CD113">
        <v>0</v>
      </c>
      <c r="CE113" s="19">
        <v>2.9</v>
      </c>
      <c r="CF113" s="19">
        <v>2</v>
      </c>
      <c r="CG113" s="4">
        <v>0</v>
      </c>
      <c r="CH113" s="4">
        <v>2.27</v>
      </c>
      <c r="CI113" s="4">
        <v>1.73</v>
      </c>
      <c r="CJ113" s="34">
        <v>2.8</v>
      </c>
      <c r="CK113" s="34">
        <v>2.1</v>
      </c>
      <c r="CL113" s="43">
        <v>2.7</v>
      </c>
      <c r="CM113" s="4">
        <v>2.1</v>
      </c>
      <c r="CN113" s="53">
        <v>2.1</v>
      </c>
      <c r="CO113" s="54">
        <v>2.5</v>
      </c>
      <c r="CP113" s="54">
        <v>0.7</v>
      </c>
      <c r="CQ113" s="4">
        <v>2.6</v>
      </c>
    </row>
    <row r="114" spans="1:95" x14ac:dyDescent="0.35">
      <c r="A114" s="55">
        <v>113</v>
      </c>
      <c r="B114" t="s">
        <v>99</v>
      </c>
      <c r="C114" s="27" t="s">
        <v>317</v>
      </c>
      <c r="D114" s="3" t="s">
        <v>102</v>
      </c>
      <c r="E114" s="33" t="s">
        <v>89</v>
      </c>
      <c r="F114" s="4">
        <f>IFERROR(AVERAGEIF(Table1[[#This Row],[2019-Apr]:[2025-July]],"&lt;&gt;0"),0)</f>
        <v>4.5419298245614037</v>
      </c>
      <c r="G114" s="4">
        <f ca="1">IFERROR(AVERAGEIF(OFFSET(Table1[[#This Row],[Status]],0,COUNT(Table1[[#This Row],[2019-May]:[2025-July]]),1,-12),"&lt;&gt;0"),0)</f>
        <v>3.9345454545454546</v>
      </c>
      <c r="H114" s="55">
        <f>IFERROR(SMALL(Table1[[#This Row],[2019-Apr]:[2025-July]],COUNTIF(Table1[[#This Row],[2019-Apr]:[2025-July]],0)+1),0)</f>
        <v>2.2999999999999998</v>
      </c>
      <c r="I114" s="55">
        <f>IFERROR(MAX(Table1[[#This Row],[2019-Apr]:[2025-July]]),0)</f>
        <v>7.8620000000000001</v>
      </c>
      <c r="J114" s="4" cm="1">
        <f t="array" ref="J11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2.6833333333333336</v>
      </c>
      <c r="K114" s="4">
        <v>4.5</v>
      </c>
      <c r="L114" s="4">
        <f>IF(Table1[[#This Row],[Standard as per ISO]]&gt;=Table1[[#This Row],[Avg of best 6]],Table1[[#This Row],[Standard as per ISO]],Table1[[#This Row],[Avg of best 6]])</f>
        <v>4.5</v>
      </c>
      <c r="M114" s="4" cm="1">
        <f t="array" ref="M114">IFERROR(LOOKUP(2,1/(Table1[[#This Row],[2019-May]:[2025-July]]&lt;&gt;0),Table1[[#This Row],[2019-May]:[2025-July]]),0)</f>
        <v>4.4000000000000004</v>
      </c>
      <c r="N114" s="4">
        <f>COUNTIF(Table1[[#This Row],[2019-Apr]:[2025-July]],"&gt;="&amp;Table1[[#This Row],[Target]])</f>
        <v>29</v>
      </c>
      <c r="O114" s="4">
        <f>IF(Table1[[#This Row],[Outliers 2Y]]=0,1,0)</f>
        <v>0</v>
      </c>
      <c r="P114" s="4">
        <f>IF(Table1[[#This Row],[Last value]]&gt;1.5*Table1[[#This Row],[Target]],1,0)</f>
        <v>0</v>
      </c>
      <c r="Q114" s="4">
        <f>IF(AND(1.5*Table1[[#This Row],[Target]]&gt;=Table1[[#This Row],[Last value]],Table1[[#This Row],[Last value]]&gt;Table1[[#This Row],[Target]]),1,0)</f>
        <v>0</v>
      </c>
      <c r="R114" s="4">
        <f>IF(Table1[[#This Row],[Target]]&gt;=Table1[[#This Row],[Last value]],1,0)</f>
        <v>1</v>
      </c>
      <c r="S114" s="4" t="str">
        <f t="shared" si="3"/>
        <v>Green</v>
      </c>
      <c r="T114">
        <v>0</v>
      </c>
      <c r="U114">
        <v>0</v>
      </c>
      <c r="V114">
        <v>0</v>
      </c>
      <c r="W114">
        <v>0</v>
      </c>
      <c r="X114">
        <v>4.2</v>
      </c>
      <c r="Y114">
        <v>0</v>
      </c>
      <c r="Z114">
        <v>4.3</v>
      </c>
      <c r="AA114">
        <v>0</v>
      </c>
      <c r="AB114">
        <v>0</v>
      </c>
      <c r="AC114">
        <v>4.32</v>
      </c>
      <c r="AD114">
        <v>2.5</v>
      </c>
      <c r="AE114">
        <v>3.2</v>
      </c>
      <c r="AF114">
        <v>0</v>
      </c>
      <c r="AG114">
        <v>0</v>
      </c>
      <c r="AH114">
        <v>3.9</v>
      </c>
      <c r="AI114">
        <v>0</v>
      </c>
      <c r="AJ114">
        <v>4</v>
      </c>
      <c r="AK114">
        <v>3.76</v>
      </c>
      <c r="AL114">
        <v>3.18</v>
      </c>
      <c r="AM114">
        <v>3.85</v>
      </c>
      <c r="AN114">
        <v>2.94</v>
      </c>
      <c r="AO114">
        <v>3.6</v>
      </c>
      <c r="AP114">
        <v>2.74</v>
      </c>
      <c r="AQ114">
        <v>3.26</v>
      </c>
      <c r="AR114" s="8">
        <v>0</v>
      </c>
      <c r="AS114" s="8">
        <v>3.19</v>
      </c>
      <c r="AT114" s="8">
        <v>4.66</v>
      </c>
      <c r="AU114" s="3">
        <v>4.59</v>
      </c>
      <c r="AV114" s="3">
        <v>0</v>
      </c>
      <c r="AW114" s="3">
        <v>4.8099999999999996</v>
      </c>
      <c r="AX114" s="3">
        <v>3.75</v>
      </c>
      <c r="AY114" s="3">
        <v>0</v>
      </c>
      <c r="AZ114" s="3">
        <v>0</v>
      </c>
      <c r="BA114" s="3">
        <v>2.9</v>
      </c>
      <c r="BB114" s="3">
        <v>2.2999999999999998</v>
      </c>
      <c r="BC114">
        <v>4.5</v>
      </c>
      <c r="BD114">
        <v>0</v>
      </c>
      <c r="BE114" s="11">
        <v>5.8879999999999999</v>
      </c>
      <c r="BF114" s="4">
        <v>4.55</v>
      </c>
      <c r="BG114" s="4">
        <v>5.79</v>
      </c>
      <c r="BH114" s="4">
        <v>7.4009999999999998</v>
      </c>
      <c r="BI114" s="4">
        <v>6.6109999999999998</v>
      </c>
      <c r="BJ114" s="13">
        <v>6.7350000000000003</v>
      </c>
      <c r="BK114" s="13">
        <v>6.9139999999999997</v>
      </c>
      <c r="BL114" s="4">
        <v>4.9180000000000001</v>
      </c>
      <c r="BM114" s="16">
        <v>4.694</v>
      </c>
      <c r="BN114" s="4">
        <v>6.6280000000000001</v>
      </c>
      <c r="BO114" s="4">
        <v>5.891</v>
      </c>
      <c r="BP114" s="4">
        <v>7.8620000000000001</v>
      </c>
      <c r="BQ114" s="4">
        <v>4.907</v>
      </c>
      <c r="BR114" s="4">
        <v>6.5369999999999999</v>
      </c>
      <c r="BS114" s="4">
        <v>6.0590000000000002</v>
      </c>
      <c r="BT114" s="4">
        <v>5.1790000000000003</v>
      </c>
      <c r="BU114" s="4">
        <v>4.806</v>
      </c>
      <c r="BV114" s="4">
        <v>5.4359999999999999</v>
      </c>
      <c r="BW114" s="4">
        <v>4.9409999999999998</v>
      </c>
      <c r="BX114" s="4">
        <v>3.6669999999999998</v>
      </c>
      <c r="BY114" s="4">
        <v>4.8659999999999997</v>
      </c>
      <c r="BZ114">
        <v>0</v>
      </c>
      <c r="CA114">
        <v>5.3</v>
      </c>
      <c r="CB114">
        <v>5.18</v>
      </c>
      <c r="CC114">
        <v>0</v>
      </c>
      <c r="CD114">
        <v>0</v>
      </c>
      <c r="CE114" s="19">
        <v>4.5999999999999996</v>
      </c>
      <c r="CF114" s="19">
        <v>4.2</v>
      </c>
      <c r="CG114" s="4">
        <v>0</v>
      </c>
      <c r="CH114" s="4">
        <v>4.42</v>
      </c>
      <c r="CI114" s="4">
        <v>2.76</v>
      </c>
      <c r="CJ114" s="34">
        <v>4.9000000000000004</v>
      </c>
      <c r="CK114" s="34">
        <v>3.6</v>
      </c>
      <c r="CL114" s="43">
        <v>4</v>
      </c>
      <c r="CM114" s="4">
        <v>4.5</v>
      </c>
      <c r="CN114" s="53">
        <v>3.8</v>
      </c>
      <c r="CO114" s="54">
        <v>3.6</v>
      </c>
      <c r="CP114" s="54">
        <v>2.9</v>
      </c>
      <c r="CQ114" s="4">
        <v>4.4000000000000004</v>
      </c>
    </row>
    <row r="115" spans="1:95" x14ac:dyDescent="0.35">
      <c r="A115" s="55">
        <v>114</v>
      </c>
      <c r="B115" t="s">
        <v>99</v>
      </c>
      <c r="C115" s="27" t="s">
        <v>318</v>
      </c>
      <c r="D115" s="3" t="s">
        <v>102</v>
      </c>
      <c r="E115" s="33" t="s">
        <v>89</v>
      </c>
      <c r="F115" s="4">
        <f>IFERROR(AVERAGEIF(Table1[[#This Row],[2019-Apr]:[2025-July]],"&lt;&gt;0"),0)</f>
        <v>3.295157894736843</v>
      </c>
      <c r="G115" s="4">
        <f ca="1">IFERROR(AVERAGEIF(OFFSET(Table1[[#This Row],[Status]],0,COUNT(Table1[[#This Row],[2019-May]:[2025-July]]),1,-12),"&lt;&gt;0"),0)</f>
        <v>4.004545454545454</v>
      </c>
      <c r="H115" s="55">
        <f>IFERROR(SMALL(Table1[[#This Row],[2019-Apr]:[2025-July]],COUNTIF(Table1[[#This Row],[2019-Apr]:[2025-July]],0)+1),0)</f>
        <v>0.6</v>
      </c>
      <c r="I115" s="55">
        <f>IFERROR(MAX(Table1[[#This Row],[2019-Apr]:[2025-July]]),0)</f>
        <v>8.8000000000000007</v>
      </c>
      <c r="J115" s="4" cm="1">
        <f t="array" ref="J11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0.74749999999999994</v>
      </c>
      <c r="K115" s="4">
        <v>4.5</v>
      </c>
      <c r="L115" s="4">
        <f>IF(Table1[[#This Row],[Standard as per ISO]]&gt;=Table1[[#This Row],[Avg of best 6]],Table1[[#This Row],[Standard as per ISO]],Table1[[#This Row],[Avg of best 6]])</f>
        <v>4.5</v>
      </c>
      <c r="M115" s="4" cm="1">
        <f t="array" ref="M115">IFERROR(LOOKUP(2,1/(Table1[[#This Row],[2019-May]:[2025-July]]&lt;&gt;0),Table1[[#This Row],[2019-May]:[2025-July]]),0)</f>
        <v>1.8</v>
      </c>
      <c r="N115" s="4">
        <f>COUNTIF(Table1[[#This Row],[2019-Apr]:[2025-July]],"&gt;="&amp;Table1[[#This Row],[Target]])</f>
        <v>15</v>
      </c>
      <c r="O115" s="4">
        <f>IF(Table1[[#This Row],[Outliers 2Y]]=0,1,0)</f>
        <v>0</v>
      </c>
      <c r="P115" s="4">
        <f>IF(Table1[[#This Row],[Last value]]&gt;1.5*Table1[[#This Row],[Target]],1,0)</f>
        <v>0</v>
      </c>
      <c r="Q115" s="4">
        <f>IF(AND(1.5*Table1[[#This Row],[Target]]&gt;=Table1[[#This Row],[Last value]],Table1[[#This Row],[Last value]]&gt;Table1[[#This Row],[Target]]),1,0)</f>
        <v>0</v>
      </c>
      <c r="R115" s="4">
        <f>IF(Table1[[#This Row],[Target]]&gt;=Table1[[#This Row],[Last value]],1,0)</f>
        <v>1</v>
      </c>
      <c r="S115" s="4" t="str">
        <f t="shared" si="3"/>
        <v>Green</v>
      </c>
      <c r="T115">
        <v>0</v>
      </c>
      <c r="U115">
        <v>0</v>
      </c>
      <c r="V115">
        <v>0</v>
      </c>
      <c r="W115">
        <v>0</v>
      </c>
      <c r="X115">
        <v>2.2000000000000002</v>
      </c>
      <c r="Y115">
        <v>2.4300000000000002</v>
      </c>
      <c r="Z115">
        <v>3.94</v>
      </c>
      <c r="AA115">
        <v>1.8</v>
      </c>
      <c r="AB115">
        <v>2.1</v>
      </c>
      <c r="AC115">
        <v>2.1800000000000002</v>
      </c>
      <c r="AD115">
        <v>4.3</v>
      </c>
      <c r="AE115">
        <v>0.7</v>
      </c>
      <c r="AF115">
        <v>0.7</v>
      </c>
      <c r="AG115">
        <v>3.32</v>
      </c>
      <c r="AH115">
        <v>1.6</v>
      </c>
      <c r="AI115">
        <v>4.42</v>
      </c>
      <c r="AJ115">
        <v>6.7</v>
      </c>
      <c r="AK115">
        <v>5.07</v>
      </c>
      <c r="AL115">
        <v>0</v>
      </c>
      <c r="AM115">
        <v>4.2</v>
      </c>
      <c r="AN115">
        <v>1.67</v>
      </c>
      <c r="AO115">
        <v>4.2</v>
      </c>
      <c r="AP115">
        <v>3.72</v>
      </c>
      <c r="AQ115">
        <v>3.94</v>
      </c>
      <c r="AR115" s="8">
        <v>0</v>
      </c>
      <c r="AS115" s="8">
        <v>0</v>
      </c>
      <c r="AT115" s="8">
        <v>1.92</v>
      </c>
      <c r="AU115" s="3">
        <v>0</v>
      </c>
      <c r="AV115" s="3">
        <v>0</v>
      </c>
      <c r="AW115" s="3">
        <v>4.09</v>
      </c>
      <c r="AX115" s="3">
        <v>1.18</v>
      </c>
      <c r="AY115" s="3">
        <v>0</v>
      </c>
      <c r="AZ115" s="3">
        <v>0.6</v>
      </c>
      <c r="BA115" s="3">
        <v>3.3</v>
      </c>
      <c r="BB115" s="3">
        <v>4.8</v>
      </c>
      <c r="BC115">
        <v>7.7</v>
      </c>
      <c r="BD115">
        <v>0</v>
      </c>
      <c r="BE115" s="11">
        <v>0</v>
      </c>
      <c r="BF115" s="4">
        <v>0</v>
      </c>
      <c r="BG115" s="4">
        <v>1.1000000000000001</v>
      </c>
      <c r="BH115" s="4">
        <v>6.8109999999999999</v>
      </c>
      <c r="BI115" s="4">
        <v>5.4980000000000002</v>
      </c>
      <c r="BJ115" s="14">
        <v>5.0330000000000004</v>
      </c>
      <c r="BK115" s="14">
        <v>3.351</v>
      </c>
      <c r="BL115" s="4">
        <v>4.6790000000000003</v>
      </c>
      <c r="BM115" s="17">
        <v>5.4420000000000002</v>
      </c>
      <c r="BN115" s="4">
        <v>3.327</v>
      </c>
      <c r="BO115" s="4">
        <v>5.0990000000000002</v>
      </c>
      <c r="BP115" s="4">
        <v>1.444</v>
      </c>
      <c r="BQ115" s="4">
        <v>1.232</v>
      </c>
      <c r="BR115" s="4">
        <v>0.98899999999999999</v>
      </c>
      <c r="BS115" s="4">
        <v>4.92</v>
      </c>
      <c r="BT115" s="4">
        <v>3.4969999999999999</v>
      </c>
      <c r="BU115" s="4">
        <v>1.73</v>
      </c>
      <c r="BV115" s="4">
        <v>2.157</v>
      </c>
      <c r="BW115" s="4">
        <v>1.2</v>
      </c>
      <c r="BX115" s="4">
        <v>0.85499999999999998</v>
      </c>
      <c r="BY115" s="4">
        <v>0.83</v>
      </c>
      <c r="BZ115">
        <v>0</v>
      </c>
      <c r="CA115">
        <v>0</v>
      </c>
      <c r="CB115">
        <v>0</v>
      </c>
      <c r="CC115">
        <v>0</v>
      </c>
      <c r="CD115">
        <v>0</v>
      </c>
      <c r="CE115" s="19">
        <v>1.9</v>
      </c>
      <c r="CF115" s="19">
        <v>2</v>
      </c>
      <c r="CG115" s="4">
        <v>0</v>
      </c>
      <c r="CH115" s="4">
        <v>4.2300000000000004</v>
      </c>
      <c r="CI115" s="4">
        <v>3.52</v>
      </c>
      <c r="CJ115" s="34">
        <v>5.6</v>
      </c>
      <c r="CK115" s="34">
        <v>5.3</v>
      </c>
      <c r="CL115" s="43">
        <v>8.8000000000000007</v>
      </c>
      <c r="CM115" s="4">
        <v>1.9</v>
      </c>
      <c r="CN115" s="53">
        <v>8.8000000000000007</v>
      </c>
      <c r="CO115" s="54">
        <v>0.8</v>
      </c>
      <c r="CP115" s="54">
        <v>1.2</v>
      </c>
      <c r="CQ115" s="4">
        <v>1.8</v>
      </c>
    </row>
    <row r="116" spans="1:95" x14ac:dyDescent="0.35">
      <c r="A116" s="55">
        <v>115</v>
      </c>
      <c r="B116" t="s">
        <v>99</v>
      </c>
      <c r="C116" s="27" t="s">
        <v>319</v>
      </c>
      <c r="D116" s="3" t="s">
        <v>102</v>
      </c>
      <c r="E116" s="33" t="s">
        <v>89</v>
      </c>
      <c r="F116" s="4">
        <f>IFERROR(AVERAGEIF(Table1[[#This Row],[2019-Apr]:[2025-July]],"&lt;&gt;0"),0)</f>
        <v>2.5480862068965515</v>
      </c>
      <c r="G116" s="4">
        <f ca="1">IFERROR(AVERAGEIF(OFFSET(Table1[[#This Row],[Status]],0,COUNT(Table1[[#This Row],[2019-May]:[2025-July]]),1,-12),"&lt;&gt;0"),0)</f>
        <v>2.27</v>
      </c>
      <c r="H116" s="55">
        <f>IFERROR(SMALL(Table1[[#This Row],[2019-Apr]:[2025-July]],COUNTIF(Table1[[#This Row],[2019-Apr]:[2025-July]],0)+1),0)</f>
        <v>0.5</v>
      </c>
      <c r="I116" s="55">
        <f>IFERROR(MAX(Table1[[#This Row],[2019-Apr]:[2025-July]]),0)</f>
        <v>9.34</v>
      </c>
      <c r="J116" s="4" cm="1">
        <f t="array" ref="J11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0.72016666666666662</v>
      </c>
      <c r="K116" s="4">
        <v>4.5</v>
      </c>
      <c r="L116" s="4">
        <f>IF(Table1[[#This Row],[Standard as per ISO]]&gt;=Table1[[#This Row],[Avg of best 6]],Table1[[#This Row],[Standard as per ISO]],Table1[[#This Row],[Avg of best 6]])</f>
        <v>4.5</v>
      </c>
      <c r="M116" s="4" cm="1">
        <f t="array" ref="M116">IFERROR(LOOKUP(2,1/(Table1[[#This Row],[2019-May]:[2025-July]]&lt;&gt;0),Table1[[#This Row],[2019-May]:[2025-July]]),0)</f>
        <v>4</v>
      </c>
      <c r="N116" s="4">
        <f>COUNTIF(Table1[[#This Row],[2019-Apr]:[2025-July]],"&gt;="&amp;Table1[[#This Row],[Target]])</f>
        <v>5</v>
      </c>
      <c r="O116" s="4">
        <f>IF(Table1[[#This Row],[Outliers 2Y]]=0,1,0)</f>
        <v>0</v>
      </c>
      <c r="P116" s="4">
        <f>IF(Table1[[#This Row],[Last value]]&gt;1.5*Table1[[#This Row],[Target]],1,0)</f>
        <v>0</v>
      </c>
      <c r="Q116" s="4">
        <f>IF(AND(1.5*Table1[[#This Row],[Target]]&gt;=Table1[[#This Row],[Last value]],Table1[[#This Row],[Last value]]&gt;Table1[[#This Row],[Target]]),1,0)</f>
        <v>0</v>
      </c>
      <c r="R116" s="4">
        <f>IF(Table1[[#This Row],[Target]]&gt;=Table1[[#This Row],[Last value]],1,0)</f>
        <v>1</v>
      </c>
      <c r="S116" s="4" t="str">
        <f t="shared" si="3"/>
        <v>Green</v>
      </c>
      <c r="T116">
        <v>0</v>
      </c>
      <c r="U116">
        <v>0</v>
      </c>
      <c r="V116">
        <v>0</v>
      </c>
      <c r="W116">
        <v>0</v>
      </c>
      <c r="X116">
        <v>2.5</v>
      </c>
      <c r="Y116">
        <v>3.73</v>
      </c>
      <c r="Z116">
        <v>2.9</v>
      </c>
      <c r="AA116">
        <v>1.6</v>
      </c>
      <c r="AB116">
        <v>0</v>
      </c>
      <c r="AC116">
        <v>1.73</v>
      </c>
      <c r="AD116">
        <v>0</v>
      </c>
      <c r="AE116">
        <v>2.7</v>
      </c>
      <c r="AF116">
        <v>2.2000000000000002</v>
      </c>
      <c r="AG116">
        <v>9.34</v>
      </c>
      <c r="AH116">
        <v>2.5</v>
      </c>
      <c r="AI116">
        <v>3.6</v>
      </c>
      <c r="AJ116">
        <v>2.5</v>
      </c>
      <c r="AK116">
        <v>5.17</v>
      </c>
      <c r="AL116">
        <v>5.65</v>
      </c>
      <c r="AM116">
        <v>0</v>
      </c>
      <c r="AN116">
        <v>2.5</v>
      </c>
      <c r="AO116">
        <v>0</v>
      </c>
      <c r="AP116">
        <v>1.34</v>
      </c>
      <c r="AQ116">
        <v>1.4</v>
      </c>
      <c r="AR116" s="8">
        <v>8.6</v>
      </c>
      <c r="AS116" s="8">
        <v>3.35</v>
      </c>
      <c r="AT116" s="8">
        <v>3.27</v>
      </c>
      <c r="AU116" s="3">
        <v>1.8</v>
      </c>
      <c r="AV116" s="3">
        <v>4.34</v>
      </c>
      <c r="AW116" s="3">
        <v>2.17</v>
      </c>
      <c r="AX116" s="3">
        <v>2.37</v>
      </c>
      <c r="AY116" s="3">
        <v>1.43</v>
      </c>
      <c r="AZ116" s="3">
        <v>2.1</v>
      </c>
      <c r="BA116" s="3">
        <v>1.7</v>
      </c>
      <c r="BB116" s="3">
        <v>0</v>
      </c>
      <c r="BC116">
        <v>2.2000000000000002</v>
      </c>
      <c r="BD116">
        <v>0</v>
      </c>
      <c r="BE116" s="11">
        <v>1.845</v>
      </c>
      <c r="BF116" s="4">
        <v>3.1669999999999998</v>
      </c>
      <c r="BG116" s="4">
        <v>0</v>
      </c>
      <c r="BH116" s="4">
        <v>3.0390000000000001</v>
      </c>
      <c r="BI116" s="4">
        <v>4.4790000000000001</v>
      </c>
      <c r="BJ116" s="13">
        <v>3.79</v>
      </c>
      <c r="BK116" s="13">
        <v>1.7410000000000001</v>
      </c>
      <c r="BL116" s="4">
        <v>0.98299999999999998</v>
      </c>
      <c r="BM116" s="16">
        <v>1.0529999999999999</v>
      </c>
      <c r="BN116" s="4">
        <v>0.66300000000000003</v>
      </c>
      <c r="BO116" s="4">
        <v>0.98199999999999998</v>
      </c>
      <c r="BP116" s="4">
        <v>1.458</v>
      </c>
      <c r="BQ116" s="4">
        <v>1.077</v>
      </c>
      <c r="BR116" s="4">
        <v>0</v>
      </c>
      <c r="BS116" s="4">
        <v>1.216</v>
      </c>
      <c r="BT116" s="4">
        <v>0.50600000000000001</v>
      </c>
      <c r="BU116" s="4">
        <v>1.8109999999999999</v>
      </c>
      <c r="BV116" s="4">
        <v>1.95</v>
      </c>
      <c r="BW116" s="4">
        <v>1.9490000000000001</v>
      </c>
      <c r="BX116" s="4">
        <v>1.0669999999999999</v>
      </c>
      <c r="BY116" s="4">
        <v>1.353</v>
      </c>
      <c r="BZ116">
        <v>0</v>
      </c>
      <c r="CA116">
        <v>0</v>
      </c>
      <c r="CB116">
        <v>0</v>
      </c>
      <c r="CC116">
        <v>0</v>
      </c>
      <c r="CD116">
        <v>0</v>
      </c>
      <c r="CE116" s="19">
        <v>0.5</v>
      </c>
      <c r="CF116" s="19">
        <v>2.8</v>
      </c>
      <c r="CG116" s="4">
        <v>0</v>
      </c>
      <c r="CH116" s="4">
        <v>0.77</v>
      </c>
      <c r="CI116" s="4">
        <v>2.8</v>
      </c>
      <c r="CJ116" s="34">
        <v>0.9</v>
      </c>
      <c r="CK116" s="34">
        <v>1</v>
      </c>
      <c r="CL116" s="43">
        <v>4.3</v>
      </c>
      <c r="CM116" s="4">
        <v>6.9</v>
      </c>
      <c r="CN116" s="53">
        <v>2.6</v>
      </c>
      <c r="CO116" s="54">
        <v>1.3</v>
      </c>
      <c r="CP116" s="54">
        <v>1.1000000000000001</v>
      </c>
      <c r="CQ116" s="4">
        <v>4</v>
      </c>
    </row>
    <row r="117" spans="1:95" x14ac:dyDescent="0.35">
      <c r="A117" s="55">
        <v>116</v>
      </c>
      <c r="B117" t="s">
        <v>99</v>
      </c>
      <c r="C117" s="27" t="s">
        <v>320</v>
      </c>
      <c r="D117" s="3" t="s">
        <v>102</v>
      </c>
      <c r="E117" s="33" t="s">
        <v>89</v>
      </c>
      <c r="F117" s="4">
        <f>IFERROR(AVERAGEIF(Table1[[#This Row],[2019-Apr]:[2025-July]],"&lt;&gt;0"),0)</f>
        <v>3.9917948717948719</v>
      </c>
      <c r="G117" s="4">
        <f ca="1">IFERROR(AVERAGEIF(OFFSET(Table1[[#This Row],[Status]],0,COUNT(Table1[[#This Row],[2019-May]:[2025-July]]),1,-12),"&lt;&gt;0"),0)</f>
        <v>2.6249999999999996</v>
      </c>
      <c r="H117" s="55">
        <f>IFERROR(SMALL(Table1[[#This Row],[2019-Apr]:[2025-July]],COUNTIF(Table1[[#This Row],[2019-Apr]:[2025-July]],0)+1),0)</f>
        <v>0.5</v>
      </c>
      <c r="I117" s="55">
        <f>IFERROR(MAX(Table1[[#This Row],[2019-Apr]:[2025-July]]),0)</f>
        <v>9.4489999999999998</v>
      </c>
      <c r="J117" s="4" cm="1">
        <f t="array" ref="J11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1.3268333333333333</v>
      </c>
      <c r="K117" s="4">
        <v>4.5</v>
      </c>
      <c r="L117" s="4">
        <f>IF(Table1[[#This Row],[Standard as per ISO]]&gt;=Table1[[#This Row],[Avg of best 6]],Table1[[#This Row],[Standard as per ISO]],Table1[[#This Row],[Avg of best 6]])</f>
        <v>4.5</v>
      </c>
      <c r="M117" s="4" cm="1">
        <f t="array" ref="M117">IFERROR(LOOKUP(2,1/(Table1[[#This Row],[2019-May]:[2025-July]]&lt;&gt;0),Table1[[#This Row],[2019-May]:[2025-July]]),0)</f>
        <v>3.5</v>
      </c>
      <c r="N117" s="4">
        <f>COUNTIF(Table1[[#This Row],[2019-Apr]:[2025-July]],"&gt;="&amp;Table1[[#This Row],[Target]])</f>
        <v>13</v>
      </c>
      <c r="O117" s="4">
        <f>IF(Table1[[#This Row],[Outliers 2Y]]=0,1,0)</f>
        <v>0</v>
      </c>
      <c r="P117" s="4">
        <f>IF(Table1[[#This Row],[Last value]]&gt;1.5*Table1[[#This Row],[Target]],1,0)</f>
        <v>0</v>
      </c>
      <c r="Q117" s="4">
        <f>IF(AND(1.5*Table1[[#This Row],[Target]]&gt;=Table1[[#This Row],[Last value]],Table1[[#This Row],[Last value]]&gt;Table1[[#This Row],[Target]]),1,0)</f>
        <v>0</v>
      </c>
      <c r="R117" s="4">
        <f>IF(Table1[[#This Row],[Target]]&gt;=Table1[[#This Row],[Last value]],1,0)</f>
        <v>1</v>
      </c>
      <c r="S117" s="4" t="str">
        <f>IF(P117=1, "Red", IF(Q117=1, "Yellow", "Green"))</f>
        <v>Green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3.24</v>
      </c>
      <c r="AM117">
        <v>4.07</v>
      </c>
      <c r="AN117">
        <v>0</v>
      </c>
      <c r="AO117">
        <v>6.01</v>
      </c>
      <c r="AP117">
        <v>0</v>
      </c>
      <c r="AQ117">
        <v>0</v>
      </c>
      <c r="AR117" s="8">
        <v>5.71</v>
      </c>
      <c r="AS117" s="8">
        <v>7</v>
      </c>
      <c r="AT117" s="8">
        <v>0</v>
      </c>
      <c r="AU117" s="3">
        <v>5.98</v>
      </c>
      <c r="AV117" s="3">
        <v>2.89</v>
      </c>
      <c r="AW117" s="3">
        <v>0</v>
      </c>
      <c r="AX117" s="3">
        <v>0</v>
      </c>
      <c r="AY117" s="3">
        <v>2.61</v>
      </c>
      <c r="AZ117" s="3">
        <v>0</v>
      </c>
      <c r="BA117" s="3">
        <v>0</v>
      </c>
      <c r="BB117" s="3">
        <v>3.5</v>
      </c>
      <c r="BC117" s="3">
        <v>0</v>
      </c>
      <c r="BD117">
        <v>0</v>
      </c>
      <c r="BE117" s="11">
        <v>2.0289999999999999</v>
      </c>
      <c r="BF117" s="4">
        <v>1.587</v>
      </c>
      <c r="BG117" s="4">
        <v>4.07</v>
      </c>
      <c r="BH117" s="4">
        <v>0</v>
      </c>
      <c r="BI117" s="4">
        <v>3.125</v>
      </c>
      <c r="BJ117" s="14">
        <v>0</v>
      </c>
      <c r="BK117" s="14">
        <v>5.0970000000000004</v>
      </c>
      <c r="BL117" s="4">
        <v>4.2270000000000003</v>
      </c>
      <c r="BM117" s="17">
        <v>4.718</v>
      </c>
      <c r="BN117" s="4">
        <v>5.9119999999999999</v>
      </c>
      <c r="BO117" s="4">
        <v>5.4969999999999999</v>
      </c>
      <c r="BP117" s="4">
        <v>3.9860000000000002</v>
      </c>
      <c r="BQ117" s="4">
        <v>7.0780000000000003</v>
      </c>
      <c r="BR117" s="4">
        <v>5.0549999999999997</v>
      </c>
      <c r="BS117" s="4">
        <v>6.508</v>
      </c>
      <c r="BT117" s="4">
        <v>3.492</v>
      </c>
      <c r="BU117" s="4">
        <v>4.8879999999999999</v>
      </c>
      <c r="BV117" s="4">
        <v>9.4489999999999998</v>
      </c>
      <c r="BW117" s="4">
        <v>3.29</v>
      </c>
      <c r="BX117" s="4">
        <v>4.1669999999999998</v>
      </c>
      <c r="BY117" s="4">
        <v>0.745</v>
      </c>
      <c r="BZ117">
        <v>0</v>
      </c>
      <c r="CA117">
        <v>0</v>
      </c>
      <c r="CB117">
        <v>0</v>
      </c>
      <c r="CC117">
        <v>0</v>
      </c>
      <c r="CD117">
        <v>0</v>
      </c>
      <c r="CE117" s="19">
        <v>0</v>
      </c>
      <c r="CF117">
        <v>0.5</v>
      </c>
      <c r="CG117" s="4">
        <v>0</v>
      </c>
      <c r="CH117" s="4">
        <v>3.83</v>
      </c>
      <c r="CI117" s="4">
        <v>3.32</v>
      </c>
      <c r="CJ117" s="34">
        <v>3</v>
      </c>
      <c r="CK117" s="34">
        <v>2.1</v>
      </c>
      <c r="CL117" s="43">
        <v>4.2</v>
      </c>
      <c r="CM117" s="4">
        <v>3.5</v>
      </c>
      <c r="CN117" s="53">
        <v>2.7</v>
      </c>
      <c r="CO117" s="54">
        <v>1.4</v>
      </c>
      <c r="CP117" s="54">
        <v>1.7</v>
      </c>
      <c r="CQ117" s="4">
        <v>3.5</v>
      </c>
    </row>
    <row r="118" spans="1:95" x14ac:dyDescent="0.35">
      <c r="A118" s="55">
        <v>117</v>
      </c>
      <c r="B118" t="s">
        <v>99</v>
      </c>
      <c r="C118" s="27" t="s">
        <v>321</v>
      </c>
      <c r="D118" s="3" t="s">
        <v>94</v>
      </c>
      <c r="E118" s="33" t="s">
        <v>91</v>
      </c>
      <c r="F118" s="4">
        <f>IFERROR(AVERAGEIF(Table1[[#This Row],[2019-Apr]:[2025-July]],"&lt;&gt;0"),0)</f>
        <v>3.8613333333333322</v>
      </c>
      <c r="G118" s="4">
        <f ca="1">IFERROR(AVERAGEIF(OFFSET(Table1[[#This Row],[Status]],0,COUNT(Table1[[#This Row],[2019-May]:[2025-July]]),1,-12),"&lt;&gt;0"),0)</f>
        <v>4.9399999999999995</v>
      </c>
      <c r="H118" s="55">
        <f>IFERROR(SMALL(Table1[[#This Row],[2019-Apr]:[2025-July]],COUNTIF(Table1[[#This Row],[2019-Apr]:[2025-July]],0)+1),0)</f>
        <v>1.6060000000000001</v>
      </c>
      <c r="I118" s="55">
        <f>IFERROR(MAX(Table1[[#This Row],[2019-Apr]:[2025-July]]),0)</f>
        <v>5.6</v>
      </c>
      <c r="J118" s="4" cm="1">
        <f t="array" ref="J11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2.7353333333333332</v>
      </c>
      <c r="K118" s="4">
        <v>4.5</v>
      </c>
      <c r="L118" s="4">
        <f>IF(Table1[[#This Row],[Standard as per ISO]]&gt;=Table1[[#This Row],[Avg of best 6]],Table1[[#This Row],[Standard as per ISO]],Table1[[#This Row],[Avg of best 6]])</f>
        <v>4.5</v>
      </c>
      <c r="M118" s="4" cm="1">
        <f t="array" ref="M118">IFERROR(LOOKUP(2,1/(Table1[[#This Row],[2019-May]:[2025-July]]&lt;&gt;0),Table1[[#This Row],[2019-May]:[2025-July]]),0)</f>
        <v>4.6100000000000003</v>
      </c>
      <c r="N118" s="4">
        <f>COUNTIF(Table1[[#This Row],[2019-Apr]:[2025-July]],"&gt;="&amp;Table1[[#This Row],[Target]])</f>
        <v>7</v>
      </c>
      <c r="O118" s="4">
        <f>IF(Table1[[#This Row],[Outliers 2Y]]=0,1,0)</f>
        <v>0</v>
      </c>
      <c r="P118" s="4">
        <f>IF(Table1[[#This Row],[Last value]]&gt;1.5*Table1[[#This Row],[Target]],1,0)</f>
        <v>0</v>
      </c>
      <c r="Q118" s="4">
        <f>IF(AND(1.5*Table1[[#This Row],[Target]]&gt;=Table1[[#This Row],[Last value]],Table1[[#This Row],[Last value]]&gt;Table1[[#This Row],[Target]]),1,0)</f>
        <v>1</v>
      </c>
      <c r="R118" s="4">
        <f>IF(Table1[[#This Row],[Target]]&gt;=Table1[[#This Row],[Last value]],1,0)</f>
        <v>0</v>
      </c>
      <c r="S118" s="4" t="str">
        <f t="shared" si="3"/>
        <v>Yellow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4.5199999999999996</v>
      </c>
      <c r="Z118">
        <v>0</v>
      </c>
      <c r="AA118">
        <v>3</v>
      </c>
      <c r="AB118">
        <v>2.76</v>
      </c>
      <c r="AC118">
        <v>2.99</v>
      </c>
      <c r="AD118">
        <v>4.55</v>
      </c>
      <c r="AE118">
        <v>0</v>
      </c>
      <c r="AF118">
        <v>3.3</v>
      </c>
      <c r="AG118">
        <v>0</v>
      </c>
      <c r="AH118">
        <v>0</v>
      </c>
      <c r="AI118">
        <v>0</v>
      </c>
      <c r="AJ118">
        <v>0</v>
      </c>
      <c r="AK118">
        <v>5.08</v>
      </c>
      <c r="AL118">
        <v>4.5199999999999996</v>
      </c>
      <c r="AM118">
        <v>4.46</v>
      </c>
      <c r="AN118">
        <v>0</v>
      </c>
      <c r="AO118">
        <v>5.6</v>
      </c>
      <c r="AP118">
        <v>4.3</v>
      </c>
      <c r="AQ118">
        <v>4.43</v>
      </c>
      <c r="AR118" s="8">
        <v>0</v>
      </c>
      <c r="AS118" s="8">
        <v>0</v>
      </c>
      <c r="AT118" s="8">
        <v>0</v>
      </c>
      <c r="AU118" s="3">
        <v>0</v>
      </c>
      <c r="AV118" s="3">
        <v>0</v>
      </c>
      <c r="AW118" s="3">
        <v>0</v>
      </c>
      <c r="AX118" s="3">
        <v>3.61</v>
      </c>
      <c r="AY118" s="3">
        <v>0</v>
      </c>
      <c r="AZ118" s="3">
        <v>3.5</v>
      </c>
      <c r="BA118" s="3">
        <v>3.25</v>
      </c>
      <c r="BB118" s="3">
        <v>3.6</v>
      </c>
      <c r="BC118">
        <v>4.0999999999999996</v>
      </c>
      <c r="BD118">
        <v>3.6</v>
      </c>
      <c r="BE118" s="11">
        <v>0</v>
      </c>
      <c r="BF118" s="4">
        <v>0</v>
      </c>
      <c r="BG118" s="4">
        <v>0</v>
      </c>
      <c r="BH118" s="4">
        <v>2.806</v>
      </c>
      <c r="BI118" s="4">
        <v>0</v>
      </c>
      <c r="BJ118" s="14">
        <v>0</v>
      </c>
      <c r="BK118" s="14">
        <v>0</v>
      </c>
      <c r="BL118" s="4">
        <v>0</v>
      </c>
      <c r="BM118" s="17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1.6060000000000001</v>
      </c>
      <c r="BT118" s="4">
        <v>0</v>
      </c>
      <c r="BU118" s="4">
        <v>0</v>
      </c>
      <c r="BV118" s="4">
        <v>0</v>
      </c>
      <c r="BW118" s="4">
        <v>3.6</v>
      </c>
      <c r="BX118" s="4">
        <v>0</v>
      </c>
      <c r="BY118" s="4">
        <v>0</v>
      </c>
      <c r="BZ118">
        <v>0</v>
      </c>
      <c r="CA118">
        <v>0</v>
      </c>
      <c r="CB118">
        <v>0</v>
      </c>
      <c r="CC118">
        <v>0</v>
      </c>
      <c r="CD118">
        <v>3.61</v>
      </c>
      <c r="CE118" s="19">
        <v>0</v>
      </c>
      <c r="CF118" s="19">
        <v>0</v>
      </c>
      <c r="CG118" s="4">
        <v>5.27</v>
      </c>
      <c r="CH118" s="4">
        <v>4.6100000000000003</v>
      </c>
      <c r="CI118" s="4">
        <v>0</v>
      </c>
      <c r="CJ118" s="34">
        <v>0</v>
      </c>
      <c r="CK118" s="34">
        <v>0</v>
      </c>
      <c r="CL118" s="34">
        <v>0</v>
      </c>
      <c r="CM118" s="4">
        <v>0</v>
      </c>
      <c r="CN118" s="53">
        <v>0</v>
      </c>
      <c r="CO118" s="54">
        <v>0</v>
      </c>
      <c r="CP118" s="54">
        <v>0</v>
      </c>
      <c r="CQ118" s="4">
        <v>0</v>
      </c>
    </row>
    <row r="119" spans="1:95" x14ac:dyDescent="0.35">
      <c r="A119" s="55">
        <v>118</v>
      </c>
      <c r="B119" t="s">
        <v>99</v>
      </c>
      <c r="C119" s="27" t="s">
        <v>322</v>
      </c>
      <c r="D119" s="3" t="s">
        <v>94</v>
      </c>
      <c r="E119" s="33" t="s">
        <v>91</v>
      </c>
      <c r="F119" s="4">
        <f>IFERROR(AVERAGEIF(Table1[[#This Row],[2019-Apr]:[2025-July]],"&lt;&gt;0"),0)</f>
        <v>3.4507222222222222</v>
      </c>
      <c r="G119" s="4">
        <f ca="1">IFERROR(AVERAGEIF(OFFSET(Table1[[#This Row],[Status]],0,COUNT(Table1[[#This Row],[2019-May]:[2025-July]]),1,-12),"&lt;&gt;0"),0)</f>
        <v>0</v>
      </c>
      <c r="H119" s="55">
        <f>IFERROR(SMALL(Table1[[#This Row],[2019-Apr]:[2025-July]],COUNTIF(Table1[[#This Row],[2019-Apr]:[2025-July]],0)+1),0)</f>
        <v>2.4700000000000002</v>
      </c>
      <c r="I119" s="55">
        <f>IFERROR(MAX(Table1[[#This Row],[2019-Apr]:[2025-July]]),0)</f>
        <v>5.26</v>
      </c>
      <c r="J119" s="4" cm="1">
        <f t="array" ref="J11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2.7991666666666668</v>
      </c>
      <c r="K119" s="4">
        <v>4.5</v>
      </c>
      <c r="L119" s="4">
        <f>IF(Table1[[#This Row],[Standard as per ISO]]&gt;=Table1[[#This Row],[Avg of best 6]],Table1[[#This Row],[Standard as per ISO]],Table1[[#This Row],[Avg of best 6]])</f>
        <v>4.5</v>
      </c>
      <c r="M119" s="4" cm="1">
        <f t="array" ref="M119">IFERROR(LOOKUP(2,1/(Table1[[#This Row],[2019-May]:[2025-July]]&lt;&gt;0),Table1[[#This Row],[2019-May]:[2025-July]]),0)</f>
        <v>3.1520000000000001</v>
      </c>
      <c r="N119" s="4">
        <f>COUNTIF(Table1[[#This Row],[2019-Apr]:[2025-July]],"&gt;="&amp;Table1[[#This Row],[Target]])</f>
        <v>3</v>
      </c>
      <c r="O119" s="4">
        <f>IF(Table1[[#This Row],[Outliers 2Y]]=0,1,0)</f>
        <v>0</v>
      </c>
      <c r="P119" s="4">
        <f>IF(Table1[[#This Row],[Last value]]&gt;1.5*Table1[[#This Row],[Target]],1,0)</f>
        <v>0</v>
      </c>
      <c r="Q119" s="4">
        <f>IF(AND(1.5*Table1[[#This Row],[Target]]&gt;=Table1[[#This Row],[Last value]],Table1[[#This Row],[Last value]]&gt;Table1[[#This Row],[Target]]),1,0)</f>
        <v>0</v>
      </c>
      <c r="R119" s="4">
        <f>IF(Table1[[#This Row],[Target]]&gt;=Table1[[#This Row],[Last value]],1,0)</f>
        <v>1</v>
      </c>
      <c r="S119" s="4" t="str">
        <f t="shared" si="3"/>
        <v>Green</v>
      </c>
      <c r="T119">
        <v>0</v>
      </c>
      <c r="U119">
        <v>0</v>
      </c>
      <c r="V119">
        <v>0</v>
      </c>
      <c r="W119">
        <v>3.32</v>
      </c>
      <c r="X119">
        <v>3.5</v>
      </c>
      <c r="Y119">
        <v>0</v>
      </c>
      <c r="Z119">
        <v>3.8</v>
      </c>
      <c r="AA119">
        <v>0</v>
      </c>
      <c r="AB119">
        <v>3.4</v>
      </c>
      <c r="AC119">
        <v>0</v>
      </c>
      <c r="AD119">
        <v>0</v>
      </c>
      <c r="AE119">
        <v>4.6500000000000004</v>
      </c>
      <c r="AF119">
        <v>0</v>
      </c>
      <c r="AG119">
        <v>4.59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2.6</v>
      </c>
      <c r="AO119">
        <v>0</v>
      </c>
      <c r="AP119">
        <v>0</v>
      </c>
      <c r="AQ119">
        <v>0</v>
      </c>
      <c r="AR119" s="8">
        <v>2.75</v>
      </c>
      <c r="AS119" s="8">
        <v>2.81</v>
      </c>
      <c r="AT119" s="8">
        <v>2.4700000000000002</v>
      </c>
      <c r="AU119" s="3">
        <v>3.032</v>
      </c>
      <c r="AV119" s="3">
        <v>3.22</v>
      </c>
      <c r="AW119" s="3">
        <v>3.49</v>
      </c>
      <c r="AX119" s="3">
        <v>0</v>
      </c>
      <c r="AY119" s="3">
        <v>5.26</v>
      </c>
      <c r="AZ119" s="3">
        <v>0</v>
      </c>
      <c r="BA119" s="3">
        <v>0</v>
      </c>
      <c r="BB119" s="3">
        <v>0</v>
      </c>
      <c r="BC119" s="3">
        <v>0</v>
      </c>
      <c r="BD119">
        <v>0</v>
      </c>
      <c r="BE119" s="11">
        <v>3.1549999999999998</v>
      </c>
      <c r="BF119" s="4">
        <v>0</v>
      </c>
      <c r="BG119" s="4">
        <v>0</v>
      </c>
      <c r="BH119" s="4">
        <v>0</v>
      </c>
      <c r="BI119" s="4">
        <v>3.133</v>
      </c>
      <c r="BJ119" s="13">
        <v>0</v>
      </c>
      <c r="BK119" s="13">
        <v>0</v>
      </c>
      <c r="BL119" s="4">
        <v>3.7810000000000001</v>
      </c>
      <c r="BM119" s="16">
        <v>0</v>
      </c>
      <c r="BN119" s="4">
        <v>0</v>
      </c>
      <c r="BO119" s="4">
        <v>0</v>
      </c>
      <c r="BP119" s="4">
        <v>3.1520000000000001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 s="19">
        <v>0</v>
      </c>
      <c r="CF119" s="19">
        <v>0</v>
      </c>
      <c r="CG119" s="4">
        <v>0</v>
      </c>
      <c r="CH119" s="4">
        <v>0</v>
      </c>
      <c r="CI119" s="4">
        <v>0</v>
      </c>
      <c r="CJ119" s="34">
        <v>0</v>
      </c>
      <c r="CK119" s="34">
        <v>0</v>
      </c>
      <c r="CL119" s="34">
        <v>0</v>
      </c>
      <c r="CM119" s="4">
        <v>0</v>
      </c>
      <c r="CN119" s="53">
        <v>0</v>
      </c>
      <c r="CO119" s="54">
        <v>0</v>
      </c>
      <c r="CP119" s="54">
        <v>0</v>
      </c>
      <c r="CQ119" s="4">
        <v>0</v>
      </c>
    </row>
    <row r="120" spans="1:95" x14ac:dyDescent="0.35">
      <c r="A120" s="55">
        <v>119</v>
      </c>
      <c r="B120" t="s">
        <v>99</v>
      </c>
      <c r="C120" s="27" t="s">
        <v>323</v>
      </c>
      <c r="D120" s="3" t="s">
        <v>94</v>
      </c>
      <c r="E120" s="33" t="s">
        <v>89</v>
      </c>
      <c r="F120" s="4">
        <f>IFERROR(AVERAGEIF(Table1[[#This Row],[2019-Apr]:[2025-July]],"&lt;&gt;0"),0)</f>
        <v>5.5958809523809538</v>
      </c>
      <c r="G120" s="4">
        <f ca="1">IFERROR(AVERAGEIF(OFFSET(Table1[[#This Row],[Status]],0,COUNT(Table1[[#This Row],[2019-May]:[2025-July]]),1,-12),"&lt;&gt;0"),0)</f>
        <v>6.8437499999999991</v>
      </c>
      <c r="H120" s="55">
        <f>IFERROR(SMALL(Table1[[#This Row],[2019-Apr]:[2025-July]],COUNTIF(Table1[[#This Row],[2019-Apr]:[2025-July]],0)+1),0)</f>
        <v>4.0999999999999996</v>
      </c>
      <c r="I120" s="55">
        <f>IFERROR(MAX(Table1[[#This Row],[2019-Apr]:[2025-July]]),0)</f>
        <v>9.0500000000000007</v>
      </c>
      <c r="J120" s="4" cm="1">
        <f t="array" ref="J12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4.5061666666666662</v>
      </c>
      <c r="K120" s="4">
        <v>4.5</v>
      </c>
      <c r="L120" s="4">
        <f>IF(Table1[[#This Row],[Standard as per ISO]]&gt;=Table1[[#This Row],[Avg of best 6]],Table1[[#This Row],[Standard as per ISO]],Table1[[#This Row],[Avg of best 6]])</f>
        <v>4.5061666666666662</v>
      </c>
      <c r="M120" s="4" cm="1">
        <f t="array" ref="M120">IFERROR(LOOKUP(2,1/(Table1[[#This Row],[2019-May]:[2025-July]]&lt;&gt;0),Table1[[#This Row],[2019-May]:[2025-July]]),0)</f>
        <v>5.5</v>
      </c>
      <c r="N120" s="4">
        <f>COUNTIF(Table1[[#This Row],[2019-Apr]:[2025-July]],"&gt;="&amp;Table1[[#This Row],[Target]])</f>
        <v>39</v>
      </c>
      <c r="O120" s="4">
        <f>IF(Table1[[#This Row],[Outliers 2Y]]=0,1,0)</f>
        <v>0</v>
      </c>
      <c r="P120" s="4">
        <f>IF(Table1[[#This Row],[Last value]]&gt;1.5*Table1[[#This Row],[Target]],1,0)</f>
        <v>0</v>
      </c>
      <c r="Q120" s="4">
        <f>IF(AND(1.5*Table1[[#This Row],[Target]]&gt;=Table1[[#This Row],[Last value]],Table1[[#This Row],[Last value]]&gt;Table1[[#This Row],[Target]]),1,0)</f>
        <v>1</v>
      </c>
      <c r="R120" s="4">
        <f>IF(Table1[[#This Row],[Target]]&gt;=Table1[[#This Row],[Last value]],1,0)</f>
        <v>0</v>
      </c>
      <c r="S120" s="4" t="str">
        <f t="shared" si="3"/>
        <v>Yellow</v>
      </c>
      <c r="T120">
        <v>0</v>
      </c>
      <c r="U120">
        <v>0</v>
      </c>
      <c r="V120">
        <v>0</v>
      </c>
      <c r="W120">
        <v>5.32</v>
      </c>
      <c r="X120">
        <v>5.6</v>
      </c>
      <c r="Y120">
        <v>6.38</v>
      </c>
      <c r="Z120">
        <v>5.0999999999999996</v>
      </c>
      <c r="AA120">
        <v>0</v>
      </c>
      <c r="AB120">
        <v>5.49</v>
      </c>
      <c r="AC120">
        <v>5.45</v>
      </c>
      <c r="AD120">
        <v>5.14</v>
      </c>
      <c r="AE120">
        <v>5.95</v>
      </c>
      <c r="AF120">
        <v>4.0999999999999996</v>
      </c>
      <c r="AG120">
        <v>6.1</v>
      </c>
      <c r="AH120">
        <v>0</v>
      </c>
      <c r="AI120">
        <v>5.42</v>
      </c>
      <c r="AJ120">
        <v>6.1</v>
      </c>
      <c r="AK120">
        <v>5</v>
      </c>
      <c r="AL120">
        <v>4.9800000000000004</v>
      </c>
      <c r="AM120">
        <v>0</v>
      </c>
      <c r="AN120">
        <v>5.3</v>
      </c>
      <c r="AO120">
        <v>4.5</v>
      </c>
      <c r="AP120">
        <v>5.16</v>
      </c>
      <c r="AQ120">
        <v>7.83</v>
      </c>
      <c r="AR120" s="8">
        <v>0</v>
      </c>
      <c r="AS120" s="8">
        <v>0</v>
      </c>
      <c r="AT120" s="8">
        <v>5.0599999999999996</v>
      </c>
      <c r="AU120" s="3">
        <v>0</v>
      </c>
      <c r="AV120" s="3">
        <v>4.5599999999999996</v>
      </c>
      <c r="AW120" s="3">
        <v>5.28</v>
      </c>
      <c r="AX120" s="3">
        <v>4.84</v>
      </c>
      <c r="AY120" s="3">
        <v>5.03</v>
      </c>
      <c r="AZ120" s="3">
        <v>4.8</v>
      </c>
      <c r="BA120" s="3">
        <v>0</v>
      </c>
      <c r="BB120" s="3">
        <v>5.2</v>
      </c>
      <c r="BC120">
        <v>5.3</v>
      </c>
      <c r="BD120">
        <v>4.7</v>
      </c>
      <c r="BE120" s="11">
        <v>0</v>
      </c>
      <c r="BF120" s="4">
        <v>4.9989999999999997</v>
      </c>
      <c r="BG120" s="4">
        <v>5.7210000000000001</v>
      </c>
      <c r="BH120" s="4">
        <v>0</v>
      </c>
      <c r="BI120" s="4">
        <v>0</v>
      </c>
      <c r="BJ120" s="14">
        <v>0</v>
      </c>
      <c r="BK120" s="14">
        <v>0</v>
      </c>
      <c r="BL120" s="4">
        <v>5.48</v>
      </c>
      <c r="BM120" s="17">
        <v>0</v>
      </c>
      <c r="BN120" s="4">
        <v>0</v>
      </c>
      <c r="BO120" s="4">
        <v>0</v>
      </c>
      <c r="BP120" s="4">
        <v>4.6989999999999998</v>
      </c>
      <c r="BQ120" s="4">
        <v>0</v>
      </c>
      <c r="BR120" s="4">
        <v>4.4779999999999998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>
        <v>0</v>
      </c>
      <c r="CA120">
        <v>0</v>
      </c>
      <c r="CB120">
        <v>0</v>
      </c>
      <c r="CC120">
        <v>0</v>
      </c>
      <c r="CD120">
        <v>5.71</v>
      </c>
      <c r="CE120" s="19">
        <v>0</v>
      </c>
      <c r="CF120" s="19">
        <v>8</v>
      </c>
      <c r="CG120" s="4">
        <v>9.0500000000000007</v>
      </c>
      <c r="CH120" s="4">
        <v>0</v>
      </c>
      <c r="CI120" s="4">
        <v>0</v>
      </c>
      <c r="CJ120" s="36">
        <v>6.3</v>
      </c>
      <c r="CK120" s="34">
        <v>6.2</v>
      </c>
      <c r="CL120" s="43">
        <v>6.1</v>
      </c>
      <c r="CM120" s="4">
        <v>0</v>
      </c>
      <c r="CN120" s="53">
        <v>8</v>
      </c>
      <c r="CO120" s="54">
        <v>5.3</v>
      </c>
      <c r="CP120" s="54">
        <v>5.8</v>
      </c>
      <c r="CQ120" s="4">
        <v>5.5</v>
      </c>
    </row>
    <row r="121" spans="1:95" x14ac:dyDescent="0.35">
      <c r="A121" s="55">
        <v>120</v>
      </c>
      <c r="B121" t="s">
        <v>99</v>
      </c>
      <c r="C121" s="27" t="s">
        <v>324</v>
      </c>
      <c r="D121" s="3" t="s">
        <v>94</v>
      </c>
      <c r="E121" s="33" t="s">
        <v>89</v>
      </c>
      <c r="F121" s="4">
        <f>IFERROR(AVERAGEIF(Table1[[#This Row],[2019-Apr]:[2025-July]],"&lt;&gt;0"),0)</f>
        <v>5.8128571428571432</v>
      </c>
      <c r="G121" s="4">
        <f ca="1">IFERROR(AVERAGEIF(OFFSET(Table1[[#This Row],[Status]],0,COUNT(Table1[[#This Row],[2019-May]:[2025-July]]),1,-12),"&lt;&gt;0"),0)</f>
        <v>4.7439999999999998</v>
      </c>
      <c r="H121" s="55">
        <f>IFERROR(SMALL(Table1[[#This Row],[2019-Apr]:[2025-July]],COUNTIF(Table1[[#This Row],[2019-Apr]:[2025-July]],0)+1),0)</f>
        <v>4</v>
      </c>
      <c r="I121" s="55">
        <f>IFERROR(MAX(Table1[[#This Row],[2019-Apr]:[2025-July]]),0)</f>
        <v>10.199999999999999</v>
      </c>
      <c r="J121" s="4" cm="1">
        <f t="array" ref="J12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4.4581666666666671</v>
      </c>
      <c r="K121" s="4">
        <v>4.5</v>
      </c>
      <c r="L121" s="4">
        <f>IF(Table1[[#This Row],[Standard as per ISO]]&gt;=Table1[[#This Row],[Avg of best 6]],Table1[[#This Row],[Standard as per ISO]],Table1[[#This Row],[Avg of best 6]])</f>
        <v>4.5</v>
      </c>
      <c r="M121" s="4" cm="1">
        <f t="array" ref="M121">IFERROR(LOOKUP(2,1/(Table1[[#This Row],[2019-May]:[2025-July]]&lt;&gt;0),Table1[[#This Row],[2019-May]:[2025-July]]),0)</f>
        <v>5.5</v>
      </c>
      <c r="N121" s="4">
        <f>COUNTIF(Table1[[#This Row],[2019-Apr]:[2025-July]],"&gt;="&amp;Table1[[#This Row],[Target]])</f>
        <v>32</v>
      </c>
      <c r="O121" s="4">
        <f>IF(Table1[[#This Row],[Outliers 2Y]]=0,1,0)</f>
        <v>0</v>
      </c>
      <c r="P121" s="4">
        <f>IF(Table1[[#This Row],[Last value]]&gt;1.5*Table1[[#This Row],[Target]],1,0)</f>
        <v>0</v>
      </c>
      <c r="Q121" s="4">
        <f>IF(AND(1.5*Table1[[#This Row],[Target]]&gt;=Table1[[#This Row],[Last value]],Table1[[#This Row],[Last value]]&gt;Table1[[#This Row],[Target]]),1,0)</f>
        <v>1</v>
      </c>
      <c r="R121" s="4">
        <f>IF(Table1[[#This Row],[Target]]&gt;=Table1[[#This Row],[Last value]],1,0)</f>
        <v>0</v>
      </c>
      <c r="S121" s="4" t="str">
        <f t="shared" si="3"/>
        <v>Yellow</v>
      </c>
      <c r="T121">
        <v>0</v>
      </c>
      <c r="U121">
        <v>0</v>
      </c>
      <c r="V121">
        <v>0</v>
      </c>
      <c r="W121">
        <v>0</v>
      </c>
      <c r="X121">
        <v>8.52</v>
      </c>
      <c r="Y121">
        <v>6.74</v>
      </c>
      <c r="Z121">
        <v>5.6</v>
      </c>
      <c r="AA121">
        <v>5.9</v>
      </c>
      <c r="AB121">
        <v>5.2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6.3</v>
      </c>
      <c r="AK121">
        <v>5.7</v>
      </c>
      <c r="AL121">
        <v>0</v>
      </c>
      <c r="AM121">
        <v>8.8800000000000008</v>
      </c>
      <c r="AN121">
        <v>9.3699999999999992</v>
      </c>
      <c r="AO121">
        <v>10.199999999999999</v>
      </c>
      <c r="AP121">
        <v>0</v>
      </c>
      <c r="AQ121">
        <v>5.35</v>
      </c>
      <c r="AR121" s="8">
        <v>5.86</v>
      </c>
      <c r="AS121" s="8">
        <v>5.79</v>
      </c>
      <c r="AT121" s="8">
        <v>5.1100000000000003</v>
      </c>
      <c r="AU121" s="3">
        <v>5.36</v>
      </c>
      <c r="AV121" s="3">
        <v>5.79</v>
      </c>
      <c r="AW121" s="3">
        <v>5.84</v>
      </c>
      <c r="AX121" s="3">
        <v>0</v>
      </c>
      <c r="AY121" s="3">
        <v>5.51</v>
      </c>
      <c r="AZ121" s="3">
        <v>0</v>
      </c>
      <c r="BA121" s="3">
        <v>0</v>
      </c>
      <c r="BB121" s="3">
        <v>0</v>
      </c>
      <c r="BC121">
        <v>5.8</v>
      </c>
      <c r="BD121">
        <v>5</v>
      </c>
      <c r="BE121" s="11">
        <v>4.7069999999999999</v>
      </c>
      <c r="BF121" s="4">
        <v>0</v>
      </c>
      <c r="BG121" s="4">
        <v>4.468</v>
      </c>
      <c r="BH121" s="4">
        <v>5.2469999999999999</v>
      </c>
      <c r="BI121" s="4">
        <v>5.7240000000000002</v>
      </c>
      <c r="BJ121" s="13">
        <v>0</v>
      </c>
      <c r="BK121" s="13">
        <v>0</v>
      </c>
      <c r="BL121" s="4">
        <v>6.26</v>
      </c>
      <c r="BM121" s="16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4.8230000000000004</v>
      </c>
      <c r="BS121" s="4">
        <v>5.3159999999999998</v>
      </c>
      <c r="BT121" s="4">
        <v>0</v>
      </c>
      <c r="BU121" s="4">
        <v>4.5439999999999996</v>
      </c>
      <c r="BV121" s="4">
        <v>0</v>
      </c>
      <c r="BW121" s="4">
        <v>5.3710000000000004</v>
      </c>
      <c r="BX121" s="4">
        <v>0</v>
      </c>
      <c r="BY121" s="4">
        <v>0</v>
      </c>
      <c r="BZ121">
        <v>0</v>
      </c>
      <c r="CA121">
        <v>0</v>
      </c>
      <c r="CB121">
        <v>0</v>
      </c>
      <c r="CC121">
        <v>0</v>
      </c>
      <c r="CD121">
        <v>5.45</v>
      </c>
      <c r="CE121" s="19">
        <v>0</v>
      </c>
      <c r="CF121" s="19">
        <v>0</v>
      </c>
      <c r="CG121" s="4">
        <v>5.19</v>
      </c>
      <c r="CH121" s="4">
        <v>4.62</v>
      </c>
      <c r="CI121" s="4">
        <v>0</v>
      </c>
      <c r="CJ121" s="34">
        <v>0</v>
      </c>
      <c r="CK121" s="34">
        <v>0</v>
      </c>
      <c r="CL121" s="43">
        <v>0</v>
      </c>
      <c r="CM121" s="4">
        <v>4</v>
      </c>
      <c r="CN121" s="53">
        <v>4.41</v>
      </c>
      <c r="CO121" s="54">
        <v>5.5</v>
      </c>
      <c r="CP121" s="54">
        <v>0</v>
      </c>
      <c r="CQ121" s="4">
        <v>0</v>
      </c>
    </row>
    <row r="122" spans="1:95" x14ac:dyDescent="0.35">
      <c r="A122" s="55">
        <v>121</v>
      </c>
      <c r="B122" t="s">
        <v>99</v>
      </c>
      <c r="C122" s="27" t="s">
        <v>325</v>
      </c>
      <c r="D122" s="3" t="s">
        <v>94</v>
      </c>
      <c r="E122" s="33" t="s">
        <v>89</v>
      </c>
      <c r="F122" s="4">
        <f>IFERROR(AVERAGEIF(Table1[[#This Row],[2019-Apr]:[2025-July]],"&lt;&gt;0"),0)</f>
        <v>6.1021276595744682</v>
      </c>
      <c r="G122" s="4">
        <f ca="1">IFERROR(AVERAGEIF(OFFSET(Table1[[#This Row],[Status]],0,COUNT(Table1[[#This Row],[2019-May]:[2025-July]]),1,-12),"&lt;&gt;0"),0)</f>
        <v>7.0890909090909098</v>
      </c>
      <c r="H122" s="55">
        <f>IFERROR(SMALL(Table1[[#This Row],[2019-Apr]:[2025-July]],COUNTIF(Table1[[#This Row],[2019-Apr]:[2025-July]],0)+1),0)</f>
        <v>4.5</v>
      </c>
      <c r="I122" s="55">
        <f>IFERROR(MAX(Table1[[#This Row],[2019-Apr]:[2025-July]]),0)</f>
        <v>8.65</v>
      </c>
      <c r="J122" s="4" cm="1">
        <f t="array" ref="J12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4.8228333333333326</v>
      </c>
      <c r="K122" s="4">
        <v>4.5</v>
      </c>
      <c r="L122" s="4">
        <f>IF(Table1[[#This Row],[Standard as per ISO]]&gt;=Table1[[#This Row],[Avg of best 6]],Table1[[#This Row],[Standard as per ISO]],Table1[[#This Row],[Avg of best 6]])</f>
        <v>4.8228333333333326</v>
      </c>
      <c r="M122" s="4" cm="1">
        <f t="array" ref="M122">IFERROR(LOOKUP(2,1/(Table1[[#This Row],[2019-May]:[2025-July]]&lt;&gt;0),Table1[[#This Row],[2019-May]:[2025-July]]),0)</f>
        <v>5.8</v>
      </c>
      <c r="N122" s="4">
        <f>COUNTIF(Table1[[#This Row],[2019-Apr]:[2025-July]],"&gt;="&amp;Table1[[#This Row],[Target]])</f>
        <v>45</v>
      </c>
      <c r="O122" s="4">
        <f>IF(Table1[[#This Row],[Outliers 2Y]]=0,1,0)</f>
        <v>0</v>
      </c>
      <c r="P122" s="4">
        <f>IF(Table1[[#This Row],[Last value]]&gt;1.5*Table1[[#This Row],[Target]],1,0)</f>
        <v>0</v>
      </c>
      <c r="Q122" s="4">
        <f>IF(AND(1.5*Table1[[#This Row],[Target]]&gt;=Table1[[#This Row],[Last value]],Table1[[#This Row],[Last value]]&gt;Table1[[#This Row],[Target]]),1,0)</f>
        <v>1</v>
      </c>
      <c r="R122" s="4">
        <f>IF(Table1[[#This Row],[Target]]&gt;=Table1[[#This Row],[Last value]],1,0)</f>
        <v>0</v>
      </c>
      <c r="S122" s="4" t="str">
        <f t="shared" si="3"/>
        <v>Yellow</v>
      </c>
      <c r="T122">
        <v>0</v>
      </c>
      <c r="U122">
        <v>0</v>
      </c>
      <c r="V122">
        <v>0</v>
      </c>
      <c r="W122">
        <v>6.43</v>
      </c>
      <c r="X122">
        <v>0</v>
      </c>
      <c r="Y122">
        <v>0</v>
      </c>
      <c r="Z122">
        <v>6.2</v>
      </c>
      <c r="AA122">
        <v>5.8</v>
      </c>
      <c r="AB122">
        <v>0</v>
      </c>
      <c r="AC122">
        <v>5.96</v>
      </c>
      <c r="AD122">
        <v>5.54</v>
      </c>
      <c r="AE122">
        <v>6.3</v>
      </c>
      <c r="AF122">
        <v>5.9</v>
      </c>
      <c r="AG122">
        <v>6.95</v>
      </c>
      <c r="AH122">
        <v>5.4</v>
      </c>
      <c r="AI122">
        <v>4.96</v>
      </c>
      <c r="AJ122">
        <v>0</v>
      </c>
      <c r="AK122">
        <v>0</v>
      </c>
      <c r="AL122">
        <v>5.55</v>
      </c>
      <c r="AM122">
        <v>0</v>
      </c>
      <c r="AN122">
        <v>5.6</v>
      </c>
      <c r="AO122">
        <v>6.26</v>
      </c>
      <c r="AP122">
        <v>6.37</v>
      </c>
      <c r="AQ122">
        <v>6.24</v>
      </c>
      <c r="AR122" s="8">
        <v>6.36</v>
      </c>
      <c r="AS122" s="8">
        <v>5.85</v>
      </c>
      <c r="AT122" s="8">
        <v>5.9</v>
      </c>
      <c r="AU122" s="3">
        <v>5.8</v>
      </c>
      <c r="AV122" s="3">
        <v>5.82</v>
      </c>
      <c r="AW122" s="3">
        <v>6.14</v>
      </c>
      <c r="AX122" s="3">
        <v>6.11</v>
      </c>
      <c r="AY122" s="3">
        <v>0</v>
      </c>
      <c r="AZ122" s="3">
        <v>5.01</v>
      </c>
      <c r="BA122" s="3">
        <v>0</v>
      </c>
      <c r="BB122" s="3">
        <v>4.5</v>
      </c>
      <c r="BC122">
        <v>6.7</v>
      </c>
      <c r="BD122">
        <v>4.9000000000000004</v>
      </c>
      <c r="BE122" s="11">
        <v>4.5880000000000001</v>
      </c>
      <c r="BF122" s="4">
        <v>4.9790000000000001</v>
      </c>
      <c r="BG122" s="4">
        <v>0</v>
      </c>
      <c r="BH122" s="4">
        <v>5.782</v>
      </c>
      <c r="BI122" s="4">
        <v>5.17</v>
      </c>
      <c r="BJ122" s="14">
        <v>0</v>
      </c>
      <c r="BK122" s="14">
        <v>0</v>
      </c>
      <c r="BL122" s="4">
        <v>5.2770000000000001</v>
      </c>
      <c r="BM122" s="17">
        <v>0</v>
      </c>
      <c r="BN122" s="4">
        <v>0</v>
      </c>
      <c r="BO122" s="4">
        <v>0</v>
      </c>
      <c r="BP122" s="4">
        <v>5.976</v>
      </c>
      <c r="BQ122" s="4">
        <v>0</v>
      </c>
      <c r="BR122" s="4">
        <v>0</v>
      </c>
      <c r="BS122" s="4">
        <v>5.4649999999999999</v>
      </c>
      <c r="BT122" s="4">
        <v>0</v>
      </c>
      <c r="BU122" s="4">
        <v>5.4770000000000003</v>
      </c>
      <c r="BV122" s="4">
        <v>0</v>
      </c>
      <c r="BW122" s="4">
        <v>6.4560000000000004</v>
      </c>
      <c r="BX122" s="4">
        <v>0</v>
      </c>
      <c r="BY122" s="4">
        <v>0</v>
      </c>
      <c r="BZ122">
        <v>0</v>
      </c>
      <c r="CA122">
        <v>0</v>
      </c>
      <c r="CB122">
        <v>0</v>
      </c>
      <c r="CC122">
        <v>0</v>
      </c>
      <c r="CD122">
        <v>7.1</v>
      </c>
      <c r="CE122" s="19">
        <v>7.7</v>
      </c>
      <c r="CF122" s="19">
        <v>7.8</v>
      </c>
      <c r="CG122" s="4">
        <v>8.65</v>
      </c>
      <c r="CH122" s="4">
        <v>6.71</v>
      </c>
      <c r="CI122" s="4">
        <v>0</v>
      </c>
      <c r="CJ122" s="36">
        <v>5.7</v>
      </c>
      <c r="CK122" s="34">
        <v>6.6</v>
      </c>
      <c r="CL122" s="43">
        <v>6.6</v>
      </c>
      <c r="CM122" s="4">
        <v>6.8</v>
      </c>
      <c r="CN122" s="53">
        <v>7.42</v>
      </c>
      <c r="CO122" s="54">
        <v>8.1999999999999993</v>
      </c>
      <c r="CP122" s="54">
        <v>5.8</v>
      </c>
      <c r="CQ122" s="4">
        <v>0</v>
      </c>
    </row>
    <row r="123" spans="1:95" x14ac:dyDescent="0.35">
      <c r="A123" s="55">
        <v>122</v>
      </c>
      <c r="B123" t="s">
        <v>99</v>
      </c>
      <c r="C123" s="27" t="s">
        <v>326</v>
      </c>
      <c r="D123" s="3" t="s">
        <v>94</v>
      </c>
      <c r="E123" s="33" t="s">
        <v>89</v>
      </c>
      <c r="F123" s="4">
        <f>IFERROR(AVERAGEIF(Table1[[#This Row],[2019-Apr]:[2025-July]],"&lt;&gt;0"),0)</f>
        <v>5.5021914893617039</v>
      </c>
      <c r="G123" s="4">
        <f ca="1">IFERROR(AVERAGEIF(OFFSET(Table1[[#This Row],[Status]],0,COUNT(Table1[[#This Row],[2019-May]:[2025-July]]),1,-12),"&lt;&gt;0"),0)</f>
        <v>5.468</v>
      </c>
      <c r="H123" s="55">
        <f>IFERROR(SMALL(Table1[[#This Row],[2019-Apr]:[2025-July]],COUNTIF(Table1[[#This Row],[2019-Apr]:[2025-July]],0)+1),0)</f>
        <v>3.9750000000000001</v>
      </c>
      <c r="I123" s="55">
        <f>IFERROR(MAX(Table1[[#This Row],[2019-Apr]:[2025-July]]),0)</f>
        <v>7.19</v>
      </c>
      <c r="J123" s="4" cm="1">
        <f t="array" ref="J12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4.3223333333333338</v>
      </c>
      <c r="K123" s="4">
        <v>4.5</v>
      </c>
      <c r="L123" s="4">
        <f>IF(Table1[[#This Row],[Standard as per ISO]]&gt;=Table1[[#This Row],[Avg of best 6]],Table1[[#This Row],[Standard as per ISO]],Table1[[#This Row],[Avg of best 6]])</f>
        <v>4.5</v>
      </c>
      <c r="M123" s="4" cm="1">
        <f t="array" ref="M123">IFERROR(LOOKUP(2,1/(Table1[[#This Row],[2019-May]:[2025-July]]&lt;&gt;0),Table1[[#This Row],[2019-May]:[2025-July]]),0)</f>
        <v>5.5</v>
      </c>
      <c r="N123" s="4">
        <f>COUNTIF(Table1[[#This Row],[2019-Apr]:[2025-July]],"&gt;="&amp;Table1[[#This Row],[Target]])</f>
        <v>43</v>
      </c>
      <c r="O123" s="4">
        <f>IF(Table1[[#This Row],[Outliers 2Y]]=0,1,0)</f>
        <v>0</v>
      </c>
      <c r="P123" s="4">
        <f>IF(Table1[[#This Row],[Last value]]&gt;1.5*Table1[[#This Row],[Target]],1,0)</f>
        <v>0</v>
      </c>
      <c r="Q123" s="4">
        <f>IF(AND(1.5*Table1[[#This Row],[Target]]&gt;=Table1[[#This Row],[Last value]],Table1[[#This Row],[Last value]]&gt;Table1[[#This Row],[Target]]),1,0)</f>
        <v>1</v>
      </c>
      <c r="R123" s="4">
        <f>IF(Table1[[#This Row],[Target]]&gt;=Table1[[#This Row],[Last value]],1,0)</f>
        <v>0</v>
      </c>
      <c r="S123" s="4" t="str">
        <f t="shared" si="3"/>
        <v>Yellow</v>
      </c>
      <c r="T123">
        <v>0</v>
      </c>
      <c r="U123">
        <v>0</v>
      </c>
      <c r="V123">
        <v>0</v>
      </c>
      <c r="W123">
        <v>0</v>
      </c>
      <c r="X123">
        <v>5.4</v>
      </c>
      <c r="Y123">
        <v>6.03</v>
      </c>
      <c r="Z123">
        <v>0</v>
      </c>
      <c r="AA123">
        <v>5.9</v>
      </c>
      <c r="AB123">
        <v>5.27</v>
      </c>
      <c r="AC123">
        <v>6.11</v>
      </c>
      <c r="AD123">
        <v>6</v>
      </c>
      <c r="AE123">
        <v>5.93</v>
      </c>
      <c r="AF123">
        <v>5.57</v>
      </c>
      <c r="AG123">
        <v>4.87</v>
      </c>
      <c r="AH123">
        <v>5.7</v>
      </c>
      <c r="AI123">
        <v>5.99</v>
      </c>
      <c r="AJ123">
        <v>6.7</v>
      </c>
      <c r="AK123">
        <v>5.73</v>
      </c>
      <c r="AL123">
        <v>5.28</v>
      </c>
      <c r="AM123">
        <v>0</v>
      </c>
      <c r="AN123">
        <v>5.5</v>
      </c>
      <c r="AO123">
        <v>5</v>
      </c>
      <c r="AP123">
        <v>5.6</v>
      </c>
      <c r="AQ123">
        <v>6.48</v>
      </c>
      <c r="AR123" s="8">
        <v>5.78</v>
      </c>
      <c r="AS123" s="8">
        <v>5.4</v>
      </c>
      <c r="AT123" s="8">
        <v>0</v>
      </c>
      <c r="AU123" s="3">
        <v>5.36</v>
      </c>
      <c r="AV123" s="3">
        <v>0</v>
      </c>
      <c r="AW123" s="3">
        <v>0</v>
      </c>
      <c r="AX123" s="3">
        <v>6.75</v>
      </c>
      <c r="AY123" s="3">
        <v>7.19</v>
      </c>
      <c r="AZ123" s="3">
        <v>5.81</v>
      </c>
      <c r="BA123" s="3">
        <v>0</v>
      </c>
      <c r="BB123" s="3">
        <v>4.2</v>
      </c>
      <c r="BC123">
        <v>4.8</v>
      </c>
      <c r="BD123">
        <v>0</v>
      </c>
      <c r="BE123" s="11">
        <v>4.7679999999999998</v>
      </c>
      <c r="BF123" s="4">
        <v>5.3339999999999996</v>
      </c>
      <c r="BG123" s="4">
        <v>4.1909999999999998</v>
      </c>
      <c r="BH123" s="4">
        <v>5.1980000000000004</v>
      </c>
      <c r="BI123" s="4">
        <v>5.4960000000000004</v>
      </c>
      <c r="BJ123" s="13">
        <v>0</v>
      </c>
      <c r="BK123" s="13">
        <v>0</v>
      </c>
      <c r="BL123" s="4">
        <v>0</v>
      </c>
      <c r="BM123" s="16">
        <v>0</v>
      </c>
      <c r="BN123" s="4">
        <v>0</v>
      </c>
      <c r="BO123" s="4">
        <v>0</v>
      </c>
      <c r="BP123" s="4">
        <v>3.9750000000000001</v>
      </c>
      <c r="BQ123" s="4">
        <v>0</v>
      </c>
      <c r="BR123" s="4">
        <v>5.0780000000000003</v>
      </c>
      <c r="BS123" s="4">
        <v>5.1449999999999996</v>
      </c>
      <c r="BT123" s="4">
        <v>0</v>
      </c>
      <c r="BU123" s="4">
        <v>5.8019999999999996</v>
      </c>
      <c r="BV123" s="4">
        <v>0</v>
      </c>
      <c r="BW123" s="4">
        <v>5.0860000000000003</v>
      </c>
      <c r="BX123" s="4">
        <v>0</v>
      </c>
      <c r="BY123" s="4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 s="19">
        <v>0</v>
      </c>
      <c r="CF123" s="19">
        <v>4.9000000000000004</v>
      </c>
      <c r="CG123" s="4">
        <v>0</v>
      </c>
      <c r="CH123" s="4">
        <v>6.45</v>
      </c>
      <c r="CI123" s="4">
        <v>6.17</v>
      </c>
      <c r="CJ123" s="36">
        <v>6.2</v>
      </c>
      <c r="CK123" s="34">
        <v>5.7</v>
      </c>
      <c r="CL123" s="43">
        <v>4.8</v>
      </c>
      <c r="CM123" s="4">
        <v>6.1</v>
      </c>
      <c r="CN123" s="53">
        <v>5.56</v>
      </c>
      <c r="CO123" s="54">
        <v>4</v>
      </c>
      <c r="CP123" s="54">
        <v>4.8</v>
      </c>
      <c r="CQ123" s="4">
        <v>5.5</v>
      </c>
    </row>
    <row r="124" spans="1:95" x14ac:dyDescent="0.35">
      <c r="A124" s="55">
        <v>123</v>
      </c>
      <c r="B124" t="s">
        <v>99</v>
      </c>
      <c r="C124" s="27" t="s">
        <v>327</v>
      </c>
      <c r="D124" s="3" t="s">
        <v>94</v>
      </c>
      <c r="E124" s="33" t="s">
        <v>89</v>
      </c>
      <c r="F124" s="4">
        <f>IFERROR(AVERAGEIF(Table1[[#This Row],[2019-Apr]:[2025-July]],"&lt;&gt;0"),0)</f>
        <v>4.6755428571428572</v>
      </c>
      <c r="G124" s="4">
        <f ca="1">IFERROR(AVERAGEIF(OFFSET(Table1[[#This Row],[Status]],0,COUNT(Table1[[#This Row],[2019-May]:[2025-July]]),1,-12),"&lt;&gt;0"),0)</f>
        <v>3.8699999999999997</v>
      </c>
      <c r="H124" s="55">
        <f>IFERROR(SMALL(Table1[[#This Row],[2019-Apr]:[2025-July]],COUNTIF(Table1[[#This Row],[2019-Apr]:[2025-July]],0)+1),0)</f>
        <v>3.1</v>
      </c>
      <c r="I124" s="55">
        <f>IFERROR(MAX(Table1[[#This Row],[2019-Apr]:[2025-July]]),0)</f>
        <v>7.117</v>
      </c>
      <c r="J124" s="4" cm="1">
        <f t="array" ref="J12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3.484833333333333</v>
      </c>
      <c r="K124" s="4">
        <v>4.5</v>
      </c>
      <c r="L124" s="4">
        <f>IF(Table1[[#This Row],[Standard as per ISO]]&gt;=Table1[[#This Row],[Avg of best 6]],Table1[[#This Row],[Standard as per ISO]],Table1[[#This Row],[Avg of best 6]])</f>
        <v>4.5</v>
      </c>
      <c r="M124" s="4" cm="1">
        <f t="array" ref="M124">IFERROR(LOOKUP(2,1/(Table1[[#This Row],[2019-May]:[2025-July]]&lt;&gt;0),Table1[[#This Row],[2019-May]:[2025-July]]),0)</f>
        <v>4.4800000000000004</v>
      </c>
      <c r="N124" s="4">
        <f>COUNTIF(Table1[[#This Row],[2019-Apr]:[2025-July]],"&gt;="&amp;Table1[[#This Row],[Target]])</f>
        <v>19</v>
      </c>
      <c r="O124" s="4">
        <f>IF(Table1[[#This Row],[Outliers 2Y]]=0,1,0)</f>
        <v>0</v>
      </c>
      <c r="P124" s="4">
        <f>IF(Table1[[#This Row],[Last value]]&gt;1.5*Table1[[#This Row],[Target]],1,0)</f>
        <v>0</v>
      </c>
      <c r="Q124" s="4">
        <f>IF(AND(1.5*Table1[[#This Row],[Target]]&gt;=Table1[[#This Row],[Last value]],Table1[[#This Row],[Last value]]&gt;Table1[[#This Row],[Target]]),1,0)</f>
        <v>0</v>
      </c>
      <c r="R124" s="4">
        <f>IF(Table1[[#This Row],[Target]]&gt;=Table1[[#This Row],[Last value]],1,0)</f>
        <v>1</v>
      </c>
      <c r="S124" s="4" t="str">
        <f t="shared" si="3"/>
        <v>Green</v>
      </c>
      <c r="T124">
        <v>0</v>
      </c>
      <c r="U124">
        <v>0</v>
      </c>
      <c r="V124">
        <v>0</v>
      </c>
      <c r="W124">
        <v>5</v>
      </c>
      <c r="X124">
        <v>0</v>
      </c>
      <c r="Y124">
        <v>4.5</v>
      </c>
      <c r="Z124">
        <v>4.7</v>
      </c>
      <c r="AA124">
        <v>6.4</v>
      </c>
      <c r="AB124">
        <v>5.3</v>
      </c>
      <c r="AC124">
        <v>0</v>
      </c>
      <c r="AD124">
        <v>4.55</v>
      </c>
      <c r="AE124">
        <v>5</v>
      </c>
      <c r="AF124">
        <v>5.5</v>
      </c>
      <c r="AG124">
        <v>5.13</v>
      </c>
      <c r="AH124">
        <v>4</v>
      </c>
      <c r="AI124">
        <v>0</v>
      </c>
      <c r="AJ124">
        <v>6.85</v>
      </c>
      <c r="AK124">
        <v>0</v>
      </c>
      <c r="AL124">
        <v>0</v>
      </c>
      <c r="AM124">
        <v>4.26</v>
      </c>
      <c r="AN124">
        <v>5</v>
      </c>
      <c r="AO124">
        <v>0</v>
      </c>
      <c r="AP124">
        <v>5.4</v>
      </c>
      <c r="AQ124">
        <v>0</v>
      </c>
      <c r="AR124" s="8">
        <v>3.69</v>
      </c>
      <c r="AS124" s="8">
        <v>0</v>
      </c>
      <c r="AT124" s="8">
        <v>4.8600000000000003</v>
      </c>
      <c r="AU124" s="3">
        <v>0</v>
      </c>
      <c r="AV124" s="3">
        <v>3.98</v>
      </c>
      <c r="AW124" s="3">
        <v>3.51</v>
      </c>
      <c r="AX124" s="3">
        <v>0</v>
      </c>
      <c r="AY124" s="3">
        <v>5.8</v>
      </c>
      <c r="AZ124" s="3">
        <v>5.76</v>
      </c>
      <c r="BA124" s="3">
        <v>0</v>
      </c>
      <c r="BB124" s="3">
        <v>0</v>
      </c>
      <c r="BC124" s="3">
        <v>0</v>
      </c>
      <c r="BD124">
        <v>4.0999999999999996</v>
      </c>
      <c r="BE124" s="11">
        <v>5.1509999999999998</v>
      </c>
      <c r="BF124" s="4">
        <v>5.3840000000000003</v>
      </c>
      <c r="BG124" s="4">
        <v>3.7349999999999999</v>
      </c>
      <c r="BH124" s="4">
        <v>3.8159999999999998</v>
      </c>
      <c r="BI124" s="4">
        <v>0</v>
      </c>
      <c r="BJ124" s="14">
        <v>0</v>
      </c>
      <c r="BK124" s="14">
        <v>0</v>
      </c>
      <c r="BL124" s="4">
        <v>0</v>
      </c>
      <c r="BM124" s="17">
        <v>0</v>
      </c>
      <c r="BN124" s="4">
        <v>0</v>
      </c>
      <c r="BO124" s="4">
        <v>0</v>
      </c>
      <c r="BP124" s="4">
        <v>3.8969999999999998</v>
      </c>
      <c r="BQ124" s="4">
        <v>0</v>
      </c>
      <c r="BR124" s="4">
        <v>0</v>
      </c>
      <c r="BS124" s="4">
        <v>7.117</v>
      </c>
      <c r="BT124" s="4">
        <v>0</v>
      </c>
      <c r="BU124" s="4">
        <v>0</v>
      </c>
      <c r="BV124" s="4">
        <v>0</v>
      </c>
      <c r="BW124" s="4">
        <v>3.5539999999999998</v>
      </c>
      <c r="BX124" s="4">
        <v>0</v>
      </c>
      <c r="BY124" s="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 s="19">
        <v>0</v>
      </c>
      <c r="CF124" s="19">
        <v>0</v>
      </c>
      <c r="CG124" s="4">
        <v>0</v>
      </c>
      <c r="CH124" s="4">
        <v>3.32</v>
      </c>
      <c r="CI124" s="4">
        <v>0</v>
      </c>
      <c r="CJ124" s="34">
        <v>0</v>
      </c>
      <c r="CK124" s="34">
        <v>4.4000000000000004</v>
      </c>
      <c r="CL124" s="43">
        <v>3.1</v>
      </c>
      <c r="CM124" s="4">
        <v>3.9</v>
      </c>
      <c r="CN124" s="53">
        <v>0</v>
      </c>
      <c r="CO124" s="54">
        <v>3.9</v>
      </c>
      <c r="CP124" s="54">
        <v>4.5999999999999996</v>
      </c>
      <c r="CQ124" s="4">
        <v>4.4800000000000004</v>
      </c>
    </row>
    <row r="125" spans="1:95" x14ac:dyDescent="0.35">
      <c r="A125" s="55">
        <v>124</v>
      </c>
      <c r="B125" t="s">
        <v>99</v>
      </c>
      <c r="C125" s="27" t="s">
        <v>328</v>
      </c>
      <c r="D125" s="3" t="s">
        <v>94</v>
      </c>
      <c r="E125" s="33" t="s">
        <v>89</v>
      </c>
      <c r="F125" s="4">
        <f>IFERROR(AVERAGEIF(Table1[[#This Row],[2019-Apr]:[2025-July]],"&lt;&gt;0"),0)</f>
        <v>4.7038285714285708</v>
      </c>
      <c r="G125" s="4">
        <f ca="1">IFERROR(AVERAGEIF(OFFSET(Table1[[#This Row],[Status]],0,COUNT(Table1[[#This Row],[2019-May]:[2025-July]]),1,-12),"&lt;&gt;0"),0)</f>
        <v>5.4249999999999998</v>
      </c>
      <c r="H125" s="55">
        <f>IFERROR(SMALL(Table1[[#This Row],[2019-Apr]:[2025-July]],COUNTIF(Table1[[#This Row],[2019-Apr]:[2025-July]],0)+1),0)</f>
        <v>2.5150000000000001</v>
      </c>
      <c r="I125" s="55">
        <f>IFERROR(MAX(Table1[[#This Row],[2019-Apr]:[2025-July]]),0)</f>
        <v>9.2200000000000006</v>
      </c>
      <c r="J125" s="4" cm="1">
        <f t="array" ref="J12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3.0825</v>
      </c>
      <c r="K125" s="4">
        <v>4.5</v>
      </c>
      <c r="L125" s="4">
        <f>IF(Table1[[#This Row],[Standard as per ISO]]&gt;=Table1[[#This Row],[Avg of best 6]],Table1[[#This Row],[Standard as per ISO]],Table1[[#This Row],[Avg of best 6]])</f>
        <v>4.5</v>
      </c>
      <c r="M125" s="4" cm="1">
        <f t="array" ref="M125">IFERROR(LOOKUP(2,1/(Table1[[#This Row],[2019-May]:[2025-July]]&lt;&gt;0),Table1[[#This Row],[2019-May]:[2025-July]]),0)</f>
        <v>4.5999999999999996</v>
      </c>
      <c r="N125" s="4">
        <f>COUNTIF(Table1[[#This Row],[2019-Apr]:[2025-July]],"&gt;="&amp;Table1[[#This Row],[Target]])</f>
        <v>16</v>
      </c>
      <c r="O125" s="4">
        <f>IF(Table1[[#This Row],[Outliers 2Y]]=0,1,0)</f>
        <v>0</v>
      </c>
      <c r="P125" s="4">
        <f>IF(Table1[[#This Row],[Last value]]&gt;1.5*Table1[[#This Row],[Target]],1,0)</f>
        <v>0</v>
      </c>
      <c r="Q125" s="4">
        <f>IF(AND(1.5*Table1[[#This Row],[Target]]&gt;=Table1[[#This Row],[Last value]],Table1[[#This Row],[Last value]]&gt;Table1[[#This Row],[Target]]),1,0)</f>
        <v>1</v>
      </c>
      <c r="R125" s="4">
        <f>IF(Table1[[#This Row],[Target]]&gt;=Table1[[#This Row],[Last value]],1,0)</f>
        <v>0</v>
      </c>
      <c r="S125" s="4" t="str">
        <f t="shared" si="3"/>
        <v>Yellow</v>
      </c>
      <c r="T125">
        <v>0</v>
      </c>
      <c r="U125">
        <v>0</v>
      </c>
      <c r="V125">
        <v>0</v>
      </c>
      <c r="W125">
        <v>0</v>
      </c>
      <c r="X125">
        <v>9.2200000000000006</v>
      </c>
      <c r="Y125">
        <v>4.53</v>
      </c>
      <c r="Z125">
        <v>4.4000000000000004</v>
      </c>
      <c r="AA125">
        <v>3.2</v>
      </c>
      <c r="AB125">
        <v>4.59</v>
      </c>
      <c r="AC125">
        <v>3.9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4.3499999999999996</v>
      </c>
      <c r="AJ125">
        <v>0</v>
      </c>
      <c r="AK125">
        <v>6.17</v>
      </c>
      <c r="AL125">
        <v>6.96</v>
      </c>
      <c r="AM125">
        <v>6.96</v>
      </c>
      <c r="AN125">
        <v>0</v>
      </c>
      <c r="AO125">
        <v>3.8</v>
      </c>
      <c r="AP125">
        <v>0</v>
      </c>
      <c r="AQ125">
        <v>5.42</v>
      </c>
      <c r="AR125" s="8">
        <v>4.4800000000000004</v>
      </c>
      <c r="AS125" s="8">
        <v>4.7300000000000004</v>
      </c>
      <c r="AT125" s="8">
        <v>3.61</v>
      </c>
      <c r="AU125" s="3">
        <v>3.74</v>
      </c>
      <c r="AV125" s="3">
        <v>0</v>
      </c>
      <c r="AW125" s="3">
        <v>0</v>
      </c>
      <c r="AX125" s="3">
        <v>3.07</v>
      </c>
      <c r="AY125" s="3">
        <v>4.05</v>
      </c>
      <c r="AZ125" s="3">
        <v>4.21</v>
      </c>
      <c r="BA125" s="3">
        <v>0</v>
      </c>
      <c r="BB125" s="3">
        <v>2.8</v>
      </c>
      <c r="BC125">
        <v>3.9</v>
      </c>
      <c r="BD125">
        <v>3.3</v>
      </c>
      <c r="BE125" s="11">
        <v>0</v>
      </c>
      <c r="BF125" s="4">
        <v>3.9180000000000001</v>
      </c>
      <c r="BG125" s="4">
        <v>0</v>
      </c>
      <c r="BH125" s="4">
        <v>4.3689999999999998</v>
      </c>
      <c r="BI125" s="4">
        <v>5.57</v>
      </c>
      <c r="BJ125" s="13">
        <v>0</v>
      </c>
      <c r="BK125" s="13">
        <v>0</v>
      </c>
      <c r="BL125" s="4">
        <v>2.5150000000000001</v>
      </c>
      <c r="BM125" s="16">
        <v>4.2220000000000004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>
        <v>0</v>
      </c>
      <c r="CA125">
        <v>0</v>
      </c>
      <c r="CB125">
        <v>0</v>
      </c>
      <c r="CC125">
        <v>0</v>
      </c>
      <c r="CD125">
        <v>5.5</v>
      </c>
      <c r="CE125" s="19">
        <v>0</v>
      </c>
      <c r="CF125" s="19">
        <v>0</v>
      </c>
      <c r="CG125" s="4">
        <v>6.08</v>
      </c>
      <c r="CH125" s="4">
        <v>5.16</v>
      </c>
      <c r="CI125" s="4">
        <v>0</v>
      </c>
      <c r="CJ125" s="34">
        <v>0</v>
      </c>
      <c r="CK125" s="34">
        <v>0</v>
      </c>
      <c r="CL125" s="43">
        <v>5.3</v>
      </c>
      <c r="CM125" s="4">
        <v>4.5</v>
      </c>
      <c r="CN125" s="53">
        <v>3.81</v>
      </c>
      <c r="CO125" s="54">
        <v>7.7</v>
      </c>
      <c r="CP125" s="54">
        <v>0</v>
      </c>
      <c r="CQ125" s="4">
        <v>4.5999999999999996</v>
      </c>
    </row>
    <row r="126" spans="1:95" x14ac:dyDescent="0.35">
      <c r="A126" s="55">
        <v>125</v>
      </c>
      <c r="B126" t="s">
        <v>99</v>
      </c>
      <c r="C126" s="27" t="s">
        <v>329</v>
      </c>
      <c r="D126" s="3" t="s">
        <v>94</v>
      </c>
      <c r="E126" s="33" t="s">
        <v>89</v>
      </c>
      <c r="F126" s="4">
        <f>IFERROR(AVERAGEIF(Table1[[#This Row],[2019-Apr]:[2025-July]],"&lt;&gt;0"),0)</f>
        <v>3.9326486486486498</v>
      </c>
      <c r="G126" s="4">
        <f ca="1">IFERROR(AVERAGEIF(OFFSET(Table1[[#This Row],[Status]],0,COUNT(Table1[[#This Row],[2019-May]:[2025-July]]),1,-12),"&lt;&gt;0"),0)</f>
        <v>5.6275000000000004</v>
      </c>
      <c r="H126" s="55">
        <f>IFERROR(SMALL(Table1[[#This Row],[2019-Apr]:[2025-July]],COUNTIF(Table1[[#This Row],[2019-Apr]:[2025-July]],0)+1),0)</f>
        <v>1.915</v>
      </c>
      <c r="I126" s="55">
        <f>IFERROR(MAX(Table1[[#This Row],[2019-Apr]:[2025-July]]),0)</f>
        <v>7.27</v>
      </c>
      <c r="J126" s="4" cm="1">
        <f t="array" ref="J12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2.5941666666666667</v>
      </c>
      <c r="K126" s="4">
        <v>4.5</v>
      </c>
      <c r="L126" s="4">
        <f>IF(Table1[[#This Row],[Standard as per ISO]]&gt;=Table1[[#This Row],[Avg of best 6]],Table1[[#This Row],[Standard as per ISO]],Table1[[#This Row],[Avg of best 6]])</f>
        <v>4.5</v>
      </c>
      <c r="M126" s="4" cm="1">
        <f t="array" ref="M126">IFERROR(LOOKUP(2,1/(Table1[[#This Row],[2019-May]:[2025-July]]&lt;&gt;0),Table1[[#This Row],[2019-May]:[2025-July]]),0)</f>
        <v>4.8</v>
      </c>
      <c r="N126" s="4">
        <f>COUNTIF(Table1[[#This Row],[2019-Apr]:[2025-July]],"&gt;="&amp;Table1[[#This Row],[Target]])</f>
        <v>8</v>
      </c>
      <c r="O126" s="4">
        <f>IF(Table1[[#This Row],[Outliers 2Y]]=0,1,0)</f>
        <v>0</v>
      </c>
      <c r="P126" s="4">
        <f>IF(Table1[[#This Row],[Last value]]&gt;1.5*Table1[[#This Row],[Target]],1,0)</f>
        <v>0</v>
      </c>
      <c r="Q126" s="4">
        <f>IF(AND(1.5*Table1[[#This Row],[Target]]&gt;=Table1[[#This Row],[Last value]],Table1[[#This Row],[Last value]]&gt;Table1[[#This Row],[Target]]),1,0)</f>
        <v>1</v>
      </c>
      <c r="R126" s="4">
        <f>IF(Table1[[#This Row],[Target]]&gt;=Table1[[#This Row],[Last value]],1,0)</f>
        <v>0</v>
      </c>
      <c r="S126" s="4" t="str">
        <f t="shared" si="3"/>
        <v>Yellow</v>
      </c>
      <c r="T126">
        <v>0</v>
      </c>
      <c r="U126">
        <v>0</v>
      </c>
      <c r="V126">
        <v>0</v>
      </c>
      <c r="W126">
        <v>4.87</v>
      </c>
      <c r="X126">
        <v>5.93</v>
      </c>
      <c r="Y126">
        <v>0</v>
      </c>
      <c r="Z126">
        <v>0</v>
      </c>
      <c r="AA126">
        <v>0</v>
      </c>
      <c r="AB126">
        <v>2.8</v>
      </c>
      <c r="AC126">
        <v>4.12</v>
      </c>
      <c r="AD126">
        <v>2.98</v>
      </c>
      <c r="AE126">
        <v>3.68</v>
      </c>
      <c r="AF126">
        <v>3.1</v>
      </c>
      <c r="AG126">
        <v>2.33</v>
      </c>
      <c r="AH126">
        <v>3.7</v>
      </c>
      <c r="AI126">
        <v>3.92</v>
      </c>
      <c r="AJ126">
        <v>3.6</v>
      </c>
      <c r="AK126">
        <v>4.3</v>
      </c>
      <c r="AL126">
        <v>2.78</v>
      </c>
      <c r="AM126">
        <v>0</v>
      </c>
      <c r="AN126">
        <v>3.09</v>
      </c>
      <c r="AO126">
        <v>3.8</v>
      </c>
      <c r="AP126">
        <v>4.0199999999999996</v>
      </c>
      <c r="AQ126">
        <v>2.91</v>
      </c>
      <c r="AR126" s="8">
        <v>0</v>
      </c>
      <c r="AS126" s="8">
        <v>4.22</v>
      </c>
      <c r="AT126" s="8">
        <v>0</v>
      </c>
      <c r="AU126" s="3">
        <v>3.71</v>
      </c>
      <c r="AV126" s="3">
        <v>3</v>
      </c>
      <c r="AW126" s="3">
        <v>3.26</v>
      </c>
      <c r="AX126" s="3">
        <v>3.39</v>
      </c>
      <c r="AY126" s="3">
        <v>0</v>
      </c>
      <c r="AZ126" s="3">
        <v>3.3</v>
      </c>
      <c r="BA126" s="3">
        <v>0</v>
      </c>
      <c r="BB126" s="3">
        <v>5.0999999999999996</v>
      </c>
      <c r="BC126">
        <v>7</v>
      </c>
      <c r="BD126">
        <v>0</v>
      </c>
      <c r="BE126" s="11">
        <v>3.5579999999999998</v>
      </c>
      <c r="BF126" s="4">
        <v>0</v>
      </c>
      <c r="BG126" s="4">
        <v>1.915</v>
      </c>
      <c r="BH126" s="4">
        <v>0</v>
      </c>
      <c r="BI126" s="4">
        <v>3.5459999999999998</v>
      </c>
      <c r="BJ126" s="14">
        <v>0</v>
      </c>
      <c r="BK126" s="14">
        <v>0</v>
      </c>
      <c r="BL126" s="4">
        <v>2.9159999999999999</v>
      </c>
      <c r="BM126" s="17">
        <v>0</v>
      </c>
      <c r="BN126" s="4">
        <v>0</v>
      </c>
      <c r="BO126" s="4">
        <v>0</v>
      </c>
      <c r="BP126" s="4">
        <v>3.7160000000000002</v>
      </c>
      <c r="BQ126" s="4">
        <v>0</v>
      </c>
      <c r="BR126" s="4">
        <v>0</v>
      </c>
      <c r="BS126" s="4">
        <v>2.83</v>
      </c>
      <c r="BT126" s="4">
        <v>0</v>
      </c>
      <c r="BU126" s="4">
        <v>0</v>
      </c>
      <c r="BV126" s="4">
        <v>0</v>
      </c>
      <c r="BW126" s="4">
        <v>6.5670000000000002</v>
      </c>
      <c r="BX126" s="4">
        <v>0</v>
      </c>
      <c r="BY126" s="4">
        <v>0</v>
      </c>
      <c r="BZ126">
        <v>0</v>
      </c>
      <c r="CA126">
        <v>0</v>
      </c>
      <c r="CB126">
        <v>0</v>
      </c>
      <c r="CC126">
        <v>0</v>
      </c>
      <c r="CD126">
        <v>3.04</v>
      </c>
      <c r="CE126" s="19">
        <v>0</v>
      </c>
      <c r="CF126" s="19">
        <v>0</v>
      </c>
      <c r="CG126" s="4">
        <v>3.84</v>
      </c>
      <c r="CH126" s="4">
        <v>0</v>
      </c>
      <c r="CI126" s="4">
        <v>0</v>
      </c>
      <c r="CJ126" s="34">
        <v>0</v>
      </c>
      <c r="CK126" s="34">
        <v>6.6</v>
      </c>
      <c r="CL126" s="43">
        <v>0</v>
      </c>
      <c r="CM126" s="4">
        <v>0</v>
      </c>
      <c r="CN126" s="53">
        <v>7.27</v>
      </c>
      <c r="CO126" s="54">
        <v>0</v>
      </c>
      <c r="CP126" s="54">
        <v>4.8</v>
      </c>
      <c r="CQ126" s="4">
        <v>0</v>
      </c>
    </row>
    <row r="127" spans="1:95" x14ac:dyDescent="0.35">
      <c r="A127" s="55">
        <v>126</v>
      </c>
      <c r="B127" t="s">
        <v>99</v>
      </c>
      <c r="C127" s="27" t="s">
        <v>330</v>
      </c>
      <c r="D127" s="3" t="s">
        <v>94</v>
      </c>
      <c r="E127" s="33" t="s">
        <v>89</v>
      </c>
      <c r="F127" s="4">
        <f>IFERROR(AVERAGEIF(Table1[[#This Row],[2019-Apr]:[2025-July]],"&lt;&gt;0"),0)</f>
        <v>3.3677567567567577</v>
      </c>
      <c r="G127" s="4">
        <f ca="1">IFERROR(AVERAGEIF(OFFSET(Table1[[#This Row],[Status]],0,COUNT(Table1[[#This Row],[2019-May]:[2025-July]]),1,-12),"&lt;&gt;0"),0)</f>
        <v>3.1128571428571434</v>
      </c>
      <c r="H127" s="55">
        <f>IFERROR(SMALL(Table1[[#This Row],[2019-Apr]:[2025-July]],COUNTIF(Table1[[#This Row],[2019-Apr]:[2025-July]],0)+1),0)</f>
        <v>1.986</v>
      </c>
      <c r="I127" s="55">
        <f>IFERROR(MAX(Table1[[#This Row],[2019-Apr]:[2025-July]]),0)</f>
        <v>5.17</v>
      </c>
      <c r="J127" s="4" cm="1">
        <f t="array" ref="J12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2.2425000000000002</v>
      </c>
      <c r="K127" s="4">
        <v>4.5</v>
      </c>
      <c r="L127" s="4">
        <f>IF(Table1[[#This Row],[Standard as per ISO]]&gt;=Table1[[#This Row],[Avg of best 6]],Table1[[#This Row],[Standard as per ISO]],Table1[[#This Row],[Avg of best 6]])</f>
        <v>4.5</v>
      </c>
      <c r="M127" s="4" cm="1">
        <f t="array" ref="M127">IFERROR(LOOKUP(2,1/(Table1[[#This Row],[2019-May]:[2025-July]]&lt;&gt;0),Table1[[#This Row],[2019-May]:[2025-July]]),0)</f>
        <v>3.7</v>
      </c>
      <c r="N127" s="4">
        <f>COUNTIF(Table1[[#This Row],[2019-Apr]:[2025-July]],"&gt;="&amp;Table1[[#This Row],[Target]])</f>
        <v>5</v>
      </c>
      <c r="O127" s="4">
        <f>IF(Table1[[#This Row],[Outliers 2Y]]=0,1,0)</f>
        <v>0</v>
      </c>
      <c r="P127" s="4">
        <f>IF(Table1[[#This Row],[Last value]]&gt;1.5*Table1[[#This Row],[Target]],1,0)</f>
        <v>0</v>
      </c>
      <c r="Q127" s="4">
        <f>IF(AND(1.5*Table1[[#This Row],[Target]]&gt;=Table1[[#This Row],[Last value]],Table1[[#This Row],[Last value]]&gt;Table1[[#This Row],[Target]]),1,0)</f>
        <v>0</v>
      </c>
      <c r="R127" s="4">
        <f>IF(Table1[[#This Row],[Target]]&gt;=Table1[[#This Row],[Last value]],1,0)</f>
        <v>1</v>
      </c>
      <c r="S127" s="4" t="str">
        <f t="shared" si="3"/>
        <v>Green</v>
      </c>
      <c r="T127">
        <v>0</v>
      </c>
      <c r="U127">
        <v>0</v>
      </c>
      <c r="V127">
        <v>0</v>
      </c>
      <c r="W127">
        <v>3.29</v>
      </c>
      <c r="X127">
        <v>3.17</v>
      </c>
      <c r="Y127">
        <v>0</v>
      </c>
      <c r="Z127">
        <v>4.0999999999999996</v>
      </c>
      <c r="AA127">
        <v>0</v>
      </c>
      <c r="AB127">
        <v>4.17</v>
      </c>
      <c r="AC127">
        <v>5.0599999999999996</v>
      </c>
      <c r="AD127">
        <v>0</v>
      </c>
      <c r="AE127">
        <v>2.2999999999999998</v>
      </c>
      <c r="AF127">
        <v>2.6</v>
      </c>
      <c r="AG127">
        <v>0</v>
      </c>
      <c r="AH127">
        <v>2.9</v>
      </c>
      <c r="AI127">
        <v>0</v>
      </c>
      <c r="AJ127">
        <v>5.17</v>
      </c>
      <c r="AK127">
        <v>3.63</v>
      </c>
      <c r="AL127">
        <v>4.9000000000000004</v>
      </c>
      <c r="AM127">
        <v>4.8499999999999996</v>
      </c>
      <c r="AN127">
        <v>4</v>
      </c>
      <c r="AO127">
        <v>0</v>
      </c>
      <c r="AP127">
        <v>3.3</v>
      </c>
      <c r="AQ127">
        <v>3.15</v>
      </c>
      <c r="AR127" s="8">
        <v>0</v>
      </c>
      <c r="AS127" s="8">
        <v>3.16</v>
      </c>
      <c r="AT127" s="8">
        <v>2.76</v>
      </c>
      <c r="AU127" s="3">
        <v>0</v>
      </c>
      <c r="AV127" s="3">
        <v>3.08</v>
      </c>
      <c r="AW127" s="3">
        <v>4.3499999999999996</v>
      </c>
      <c r="AX127" s="3">
        <v>0</v>
      </c>
      <c r="AY127" s="3">
        <v>3.75</v>
      </c>
      <c r="AZ127" s="3">
        <v>3.7</v>
      </c>
      <c r="BA127" s="3">
        <v>3.4</v>
      </c>
      <c r="BB127" s="3">
        <v>0</v>
      </c>
      <c r="BC127">
        <v>3.6</v>
      </c>
      <c r="BD127">
        <v>4.5</v>
      </c>
      <c r="BE127" s="11">
        <v>1.986</v>
      </c>
      <c r="BF127" s="4">
        <v>2.379</v>
      </c>
      <c r="BG127" s="4">
        <v>2.1680000000000001</v>
      </c>
      <c r="BH127" s="4">
        <v>2.7719999999999998</v>
      </c>
      <c r="BI127" s="4">
        <v>0</v>
      </c>
      <c r="BJ127" s="13">
        <v>0</v>
      </c>
      <c r="BK127" s="13">
        <v>0</v>
      </c>
      <c r="BL127" s="4">
        <v>0</v>
      </c>
      <c r="BM127" s="16">
        <v>0</v>
      </c>
      <c r="BN127" s="4">
        <v>0</v>
      </c>
      <c r="BO127" s="4">
        <v>0</v>
      </c>
      <c r="BP127" s="4">
        <v>2.3109999999999999</v>
      </c>
      <c r="BQ127" s="4">
        <v>0</v>
      </c>
      <c r="BR127" s="4">
        <v>0</v>
      </c>
      <c r="BS127" s="4">
        <v>2.3109999999999999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 s="19">
        <v>3.1</v>
      </c>
      <c r="CF127" s="19">
        <v>0</v>
      </c>
      <c r="CG127" s="4">
        <v>0</v>
      </c>
      <c r="CH127" s="4">
        <v>2.88</v>
      </c>
      <c r="CI127" s="4">
        <v>0</v>
      </c>
      <c r="CJ127" s="34">
        <v>0</v>
      </c>
      <c r="CK127" s="34">
        <v>3.3</v>
      </c>
      <c r="CL127" s="43">
        <v>2.5</v>
      </c>
      <c r="CM127" s="4">
        <v>3.3</v>
      </c>
      <c r="CN127" s="53">
        <v>0</v>
      </c>
      <c r="CO127" s="54">
        <v>3.01</v>
      </c>
      <c r="CP127" s="54">
        <v>3.7</v>
      </c>
      <c r="CQ127" s="4">
        <v>0</v>
      </c>
    </row>
    <row r="128" spans="1:95" x14ac:dyDescent="0.35">
      <c r="A128" s="55">
        <v>127</v>
      </c>
      <c r="B128" t="s">
        <v>99</v>
      </c>
      <c r="C128" s="27" t="s">
        <v>331</v>
      </c>
      <c r="D128" s="3" t="s">
        <v>94</v>
      </c>
      <c r="E128" s="33" t="s">
        <v>89</v>
      </c>
      <c r="F128" s="4">
        <f>IFERROR(AVERAGEIF(Table1[[#This Row],[2019-Apr]:[2025-July]],"&lt;&gt;0"),0)</f>
        <v>4.2869354838709679</v>
      </c>
      <c r="G128" s="4">
        <f ca="1">IFERROR(AVERAGEIF(OFFSET(Table1[[#This Row],[Status]],0,COUNT(Table1[[#This Row],[2019-May]:[2025-July]]),1,-12),"&lt;&gt;0"),0)</f>
        <v>3.3675000000000002</v>
      </c>
      <c r="H128" s="55">
        <f>IFERROR(SMALL(Table1[[#This Row],[2019-Apr]:[2025-July]],COUNTIF(Table1[[#This Row],[2019-Apr]:[2025-July]],0)+1),0)</f>
        <v>2.39</v>
      </c>
      <c r="I128" s="55">
        <f>IFERROR(MAX(Table1[[#This Row],[2019-Apr]:[2025-July]]),0)</f>
        <v>5.75</v>
      </c>
      <c r="J128" s="4" cm="1">
        <f t="array" ref="J12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3.1935000000000002</v>
      </c>
      <c r="K128" s="4">
        <v>4.5</v>
      </c>
      <c r="L128" s="4">
        <f>IF(Table1[[#This Row],[Standard as per ISO]]&gt;=Table1[[#This Row],[Avg of best 6]],Table1[[#This Row],[Standard as per ISO]],Table1[[#This Row],[Avg of best 6]])</f>
        <v>4.5</v>
      </c>
      <c r="M128" s="4" cm="1">
        <f t="array" ref="M128">IFERROR(LOOKUP(2,1/(Table1[[#This Row],[2019-May]:[2025-July]]&lt;&gt;0),Table1[[#This Row],[2019-May]:[2025-July]]),0)</f>
        <v>4.9000000000000004</v>
      </c>
      <c r="N128" s="4">
        <f>COUNTIF(Table1[[#This Row],[2019-Apr]:[2025-July]],"&gt;="&amp;Table1[[#This Row],[Target]])</f>
        <v>12</v>
      </c>
      <c r="O128" s="4">
        <f>IF(Table1[[#This Row],[Outliers 2Y]]=0,1,0)</f>
        <v>0</v>
      </c>
      <c r="P128" s="4">
        <f>IF(Table1[[#This Row],[Last value]]&gt;1.5*Table1[[#This Row],[Target]],1,0)</f>
        <v>0</v>
      </c>
      <c r="Q128" s="4">
        <f>IF(AND(1.5*Table1[[#This Row],[Target]]&gt;=Table1[[#This Row],[Last value]],Table1[[#This Row],[Last value]]&gt;Table1[[#This Row],[Target]]),1,0)</f>
        <v>1</v>
      </c>
      <c r="R128" s="4">
        <f>IF(Table1[[#This Row],[Target]]&gt;=Table1[[#This Row],[Last value]],1,0)</f>
        <v>0</v>
      </c>
      <c r="S128" s="4" t="str">
        <f t="shared" si="3"/>
        <v>Yellow</v>
      </c>
      <c r="T128">
        <v>0</v>
      </c>
      <c r="U128">
        <v>0</v>
      </c>
      <c r="V128">
        <v>0</v>
      </c>
      <c r="W128">
        <v>0</v>
      </c>
      <c r="X128">
        <v>5.6</v>
      </c>
      <c r="Y128">
        <v>5.75</v>
      </c>
      <c r="Z128">
        <v>5.3</v>
      </c>
      <c r="AA128">
        <v>0</v>
      </c>
      <c r="AB128">
        <v>0</v>
      </c>
      <c r="AC128">
        <v>4.7</v>
      </c>
      <c r="AD128">
        <v>0</v>
      </c>
      <c r="AE128">
        <v>0</v>
      </c>
      <c r="AF128">
        <v>0</v>
      </c>
      <c r="AG128">
        <v>0</v>
      </c>
      <c r="AH128">
        <v>4.2</v>
      </c>
      <c r="AI128">
        <v>4.97</v>
      </c>
      <c r="AJ128">
        <v>5.25</v>
      </c>
      <c r="AK128">
        <v>0</v>
      </c>
      <c r="AL128">
        <v>4.5199999999999996</v>
      </c>
      <c r="AM128">
        <v>4.82</v>
      </c>
      <c r="AN128">
        <v>0</v>
      </c>
      <c r="AO128">
        <v>4.4000000000000004</v>
      </c>
      <c r="AP128">
        <v>0</v>
      </c>
      <c r="AQ128">
        <v>0</v>
      </c>
      <c r="AR128" s="8">
        <v>3.86</v>
      </c>
      <c r="AS128" s="8">
        <v>3.63</v>
      </c>
      <c r="AT128" s="8">
        <v>0</v>
      </c>
      <c r="AU128" s="3">
        <v>3.98</v>
      </c>
      <c r="AV128" s="3">
        <v>4.43</v>
      </c>
      <c r="AW128" s="3">
        <v>0</v>
      </c>
      <c r="AX128" s="3">
        <v>3.71</v>
      </c>
      <c r="AY128" s="3">
        <v>5.08</v>
      </c>
      <c r="AZ128" s="3">
        <v>0</v>
      </c>
      <c r="BA128" s="3">
        <v>4.5</v>
      </c>
      <c r="BB128" s="3">
        <v>4.4000000000000004</v>
      </c>
      <c r="BC128" s="3">
        <v>0</v>
      </c>
      <c r="BD128">
        <v>4.4000000000000004</v>
      </c>
      <c r="BE128" s="11">
        <v>0</v>
      </c>
      <c r="BF128" s="4">
        <v>3.84</v>
      </c>
      <c r="BG128" s="4">
        <v>0</v>
      </c>
      <c r="BH128" s="4">
        <v>4.12</v>
      </c>
      <c r="BI128" s="4">
        <v>4.4989999999999997</v>
      </c>
      <c r="BJ128" s="14">
        <v>0</v>
      </c>
      <c r="BK128" s="14">
        <v>0</v>
      </c>
      <c r="BL128" s="4">
        <v>4.8150000000000004</v>
      </c>
      <c r="BM128" s="17">
        <v>0</v>
      </c>
      <c r="BN128" s="4">
        <v>0</v>
      </c>
      <c r="BO128" s="4">
        <v>0</v>
      </c>
      <c r="BP128" s="4">
        <v>3.69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3.6709999999999998</v>
      </c>
      <c r="BX128" s="4">
        <v>0</v>
      </c>
      <c r="BY128" s="4">
        <v>0</v>
      </c>
      <c r="BZ128">
        <v>0</v>
      </c>
      <c r="CA128">
        <v>0</v>
      </c>
      <c r="CB128">
        <v>0</v>
      </c>
      <c r="CC128">
        <v>0</v>
      </c>
      <c r="CD128">
        <v>2.39</v>
      </c>
      <c r="CE128" s="19">
        <v>0</v>
      </c>
      <c r="CF128" s="19">
        <v>0</v>
      </c>
      <c r="CG128" s="4">
        <v>4</v>
      </c>
      <c r="CH128" s="4">
        <v>3.67</v>
      </c>
      <c r="CI128" s="4">
        <v>0</v>
      </c>
      <c r="CJ128" s="34">
        <v>0</v>
      </c>
      <c r="CK128" s="34">
        <v>0</v>
      </c>
      <c r="CL128" s="43">
        <v>3.4</v>
      </c>
      <c r="CM128" s="4">
        <v>2.4</v>
      </c>
      <c r="CN128" s="53">
        <v>0</v>
      </c>
      <c r="CO128" s="54">
        <v>0</v>
      </c>
      <c r="CP128" s="54">
        <v>0</v>
      </c>
      <c r="CQ128" s="4">
        <v>4.9000000000000004</v>
      </c>
    </row>
    <row r="129" spans="1:95" x14ac:dyDescent="0.35">
      <c r="A129" s="55">
        <v>128</v>
      </c>
      <c r="B129" t="s">
        <v>99</v>
      </c>
      <c r="C129" s="27" t="s">
        <v>332</v>
      </c>
      <c r="D129" s="3" t="s">
        <v>94</v>
      </c>
      <c r="E129" s="33" t="s">
        <v>89</v>
      </c>
      <c r="F129" s="4">
        <f>IFERROR(AVERAGEIF(Table1[[#This Row],[2019-Apr]:[2025-July]],"&lt;&gt;0"),0)</f>
        <v>2.9641176470588237</v>
      </c>
      <c r="G129" s="4">
        <f ca="1">IFERROR(AVERAGEIF(OFFSET(Table1[[#This Row],[Status]],0,COUNT(Table1[[#This Row],[2019-May]:[2025-July]]),1,-12),"&lt;&gt;0"),0)</f>
        <v>2.7749999999999999</v>
      </c>
      <c r="H129" s="55">
        <f>IFERROR(SMALL(Table1[[#This Row],[2019-Apr]:[2025-July]],COUNTIF(Table1[[#This Row],[2019-Apr]:[2025-July]],0)+1),0)</f>
        <v>2.1269999999999998</v>
      </c>
      <c r="I129" s="55">
        <f>IFERROR(MAX(Table1[[#This Row],[2019-Apr]:[2025-July]]),0)</f>
        <v>4.45</v>
      </c>
      <c r="J129" s="4" cm="1">
        <f t="array" ref="J12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2.3766666666666665</v>
      </c>
      <c r="K129" s="4">
        <v>4.5</v>
      </c>
      <c r="L129" s="4">
        <f>IF(Table1[[#This Row],[Standard as per ISO]]&gt;=Table1[[#This Row],[Avg of best 6]],Table1[[#This Row],[Standard as per ISO]],Table1[[#This Row],[Avg of best 6]])</f>
        <v>4.5</v>
      </c>
      <c r="M129" s="4" cm="1">
        <f t="array" ref="M129">IFERROR(LOOKUP(2,1/(Table1[[#This Row],[2019-May]:[2025-July]]&lt;&gt;0),Table1[[#This Row],[2019-May]:[2025-July]]),0)</f>
        <v>3.9</v>
      </c>
      <c r="N129" s="4">
        <f>COUNTIF(Table1[[#This Row],[2019-Apr]:[2025-July]],"&gt;="&amp;Table1[[#This Row],[Target]])</f>
        <v>0</v>
      </c>
      <c r="O129" s="4">
        <f>IF(Table1[[#This Row],[Outliers 2Y]]=0,1,0)</f>
        <v>1</v>
      </c>
      <c r="P129" s="4">
        <f>IF(Table1[[#This Row],[Last value]]&gt;1.5*Table1[[#This Row],[Target]],1,0)</f>
        <v>0</v>
      </c>
      <c r="Q129" s="4">
        <f>IF(AND(1.5*Table1[[#This Row],[Target]]&gt;=Table1[[#This Row],[Last value]],Table1[[#This Row],[Last value]]&gt;Table1[[#This Row],[Target]]),1,0)</f>
        <v>0</v>
      </c>
      <c r="R129" s="4">
        <f>IF(Table1[[#This Row],[Target]]&gt;=Table1[[#This Row],[Last value]],1,0)</f>
        <v>1</v>
      </c>
      <c r="S129" s="4" t="str">
        <f t="shared" si="3"/>
        <v>Green</v>
      </c>
      <c r="T129">
        <v>0</v>
      </c>
      <c r="U129">
        <v>0</v>
      </c>
      <c r="V129">
        <v>0</v>
      </c>
      <c r="W129">
        <v>2.5299999999999998</v>
      </c>
      <c r="X129">
        <v>0</v>
      </c>
      <c r="Y129">
        <v>0</v>
      </c>
      <c r="Z129">
        <v>0</v>
      </c>
      <c r="AA129">
        <v>2.77</v>
      </c>
      <c r="AB129">
        <v>3.66</v>
      </c>
      <c r="AC129">
        <v>0</v>
      </c>
      <c r="AD129">
        <v>3.21</v>
      </c>
      <c r="AE129">
        <v>4.3899999999999997</v>
      </c>
      <c r="AF129">
        <v>2.2000000000000002</v>
      </c>
      <c r="AG129">
        <v>2.9</v>
      </c>
      <c r="AH129">
        <v>0</v>
      </c>
      <c r="AI129">
        <v>3.14</v>
      </c>
      <c r="AJ129">
        <v>2.96</v>
      </c>
      <c r="AK129">
        <v>2.48</v>
      </c>
      <c r="AL129">
        <v>0</v>
      </c>
      <c r="AM129">
        <v>0</v>
      </c>
      <c r="AN129">
        <v>4.45</v>
      </c>
      <c r="AO129">
        <v>4.0999999999999996</v>
      </c>
      <c r="AP129">
        <v>3.4</v>
      </c>
      <c r="AQ129">
        <v>2.95</v>
      </c>
      <c r="AR129" s="8">
        <v>2.82</v>
      </c>
      <c r="AS129" s="8">
        <v>0</v>
      </c>
      <c r="AT129" s="8">
        <v>2.5499999999999998</v>
      </c>
      <c r="AU129" s="3">
        <v>3.32</v>
      </c>
      <c r="AV129" s="3">
        <v>0</v>
      </c>
      <c r="AW129" s="3">
        <v>2.56</v>
      </c>
      <c r="AX129" s="3">
        <v>2.87</v>
      </c>
      <c r="AY129" s="3">
        <v>0</v>
      </c>
      <c r="AZ129" s="3">
        <v>2.5</v>
      </c>
      <c r="BA129" s="3">
        <v>0</v>
      </c>
      <c r="BB129" s="3">
        <v>2.6</v>
      </c>
      <c r="BC129">
        <v>2.7</v>
      </c>
      <c r="BD129">
        <v>0</v>
      </c>
      <c r="BE129" s="11">
        <v>2.1269999999999998</v>
      </c>
      <c r="BF129" s="4">
        <v>0</v>
      </c>
      <c r="BG129" s="4">
        <v>2.4529999999999998</v>
      </c>
      <c r="BH129" s="4">
        <v>0</v>
      </c>
      <c r="BI129" s="4">
        <v>3.14</v>
      </c>
      <c r="BJ129" s="13">
        <v>0</v>
      </c>
      <c r="BK129" s="13">
        <v>0</v>
      </c>
      <c r="BL129" s="4">
        <v>2.6059999999999999</v>
      </c>
      <c r="BM129" s="16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3.077</v>
      </c>
      <c r="BT129" s="4">
        <v>0</v>
      </c>
      <c r="BU129" s="4">
        <v>0</v>
      </c>
      <c r="BV129" s="4">
        <v>0</v>
      </c>
      <c r="BW129" s="4">
        <v>2.7869999999999999</v>
      </c>
      <c r="BX129" s="4">
        <v>0</v>
      </c>
      <c r="BY129" s="4">
        <v>0</v>
      </c>
      <c r="BZ129">
        <v>0</v>
      </c>
      <c r="CA129">
        <v>0</v>
      </c>
      <c r="CB129">
        <v>0</v>
      </c>
      <c r="CC129">
        <v>0</v>
      </c>
      <c r="CD129">
        <v>2.5299999999999998</v>
      </c>
      <c r="CE129" s="19">
        <v>0</v>
      </c>
      <c r="CF129" s="19">
        <v>0</v>
      </c>
      <c r="CG129" s="4">
        <v>2.63</v>
      </c>
      <c r="CH129" s="4">
        <v>0</v>
      </c>
      <c r="CI129" s="4">
        <v>0</v>
      </c>
      <c r="CJ129" s="34">
        <v>0</v>
      </c>
      <c r="CK129" s="34">
        <v>3</v>
      </c>
      <c r="CL129" s="43">
        <v>0</v>
      </c>
      <c r="CM129" s="4">
        <v>0</v>
      </c>
      <c r="CN129" s="53">
        <v>0</v>
      </c>
      <c r="CO129" s="54">
        <v>2.97</v>
      </c>
      <c r="CP129" s="54">
        <v>2.5</v>
      </c>
      <c r="CQ129" s="4">
        <v>3.9</v>
      </c>
    </row>
    <row r="130" spans="1:95" x14ac:dyDescent="0.35">
      <c r="A130" s="55">
        <v>129</v>
      </c>
      <c r="B130" t="s">
        <v>99</v>
      </c>
      <c r="C130" s="27" t="s">
        <v>333</v>
      </c>
      <c r="D130" s="3" t="s">
        <v>93</v>
      </c>
      <c r="E130" s="33" t="s">
        <v>89</v>
      </c>
      <c r="F130" s="4">
        <f>IFERROR(AVERAGEIF(Table1[[#This Row],[2019-Apr]:[2025-July]],"&lt;&gt;0"),0)</f>
        <v>1.3581153846153844</v>
      </c>
      <c r="G130" s="4">
        <f ca="1">IFERROR(AVERAGEIF(OFFSET(Table1[[#This Row],[Status]],0,COUNT(Table1[[#This Row],[2019-May]:[2025-July]]),1,-12),"&lt;&gt;0"),0)</f>
        <v>0.68599999999999994</v>
      </c>
      <c r="H130" s="55">
        <f>IFERROR(SMALL(Table1[[#This Row],[2019-Apr]:[2025-July]],COUNTIF(Table1[[#This Row],[2019-Apr]:[2025-July]],0)+1),0)</f>
        <v>0.5</v>
      </c>
      <c r="I130" s="55">
        <f>IFERROR(MAX(Table1[[#This Row],[2019-Apr]:[2025-July]]),0)</f>
        <v>3.6</v>
      </c>
      <c r="J130" s="4" cm="1">
        <f t="array" ref="J13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0.53649999999999998</v>
      </c>
      <c r="K130" s="4">
        <v>4.5</v>
      </c>
      <c r="L130" s="4">
        <f>IF(Table1[[#This Row],[Standard as per ISO]]&gt;=Table1[[#This Row],[Avg of best 6]],Table1[[#This Row],[Standard as per ISO]],Table1[[#This Row],[Avg of best 6]])</f>
        <v>4.5</v>
      </c>
      <c r="M130" s="4" cm="1">
        <f t="array" ref="M130">IFERROR(LOOKUP(2,1/(Table1[[#This Row],[2019-May]:[2025-July]]&lt;&gt;0),Table1[[#This Row],[2019-May]:[2025-July]]),0)</f>
        <v>0.6</v>
      </c>
      <c r="N130" s="4">
        <f>COUNTIF(Table1[[#This Row],[2019-Apr]:[2025-July]],"&gt;="&amp;Table1[[#This Row],[Target]])</f>
        <v>0</v>
      </c>
      <c r="O130" s="4">
        <f>IF(Table1[[#This Row],[Outliers 2Y]]=0,1,0)</f>
        <v>1</v>
      </c>
      <c r="P130" s="4">
        <f>IF(Table1[[#This Row],[Last value]]&gt;1.5*Table1[[#This Row],[Target]],1,0)</f>
        <v>0</v>
      </c>
      <c r="Q130" s="4">
        <f>IF(AND(1.5*Table1[[#This Row],[Target]]&gt;=Table1[[#This Row],[Last value]],Table1[[#This Row],[Last value]]&gt;Table1[[#This Row],[Target]]),1,0)</f>
        <v>0</v>
      </c>
      <c r="R130" s="4">
        <f>IF(Table1[[#This Row],[Target]]&gt;=Table1[[#This Row],[Last value]],1,0)</f>
        <v>1</v>
      </c>
      <c r="S130" s="4" t="str">
        <f t="shared" si="3"/>
        <v>Green</v>
      </c>
      <c r="T130">
        <v>0</v>
      </c>
      <c r="U130">
        <v>0</v>
      </c>
      <c r="V130">
        <v>0</v>
      </c>
      <c r="W130">
        <v>0</v>
      </c>
      <c r="X130">
        <v>1.7</v>
      </c>
      <c r="Y130">
        <v>1.42</v>
      </c>
      <c r="Z130">
        <v>0</v>
      </c>
      <c r="AA130">
        <v>1.8</v>
      </c>
      <c r="AB130">
        <v>2</v>
      </c>
      <c r="AC130">
        <v>1.81</v>
      </c>
      <c r="AD130">
        <v>0</v>
      </c>
      <c r="AE130">
        <v>2.04</v>
      </c>
      <c r="AF130">
        <v>0</v>
      </c>
      <c r="AG130">
        <v>1.33</v>
      </c>
      <c r="AH130">
        <v>3.6</v>
      </c>
      <c r="AI130">
        <v>0.5</v>
      </c>
      <c r="AJ130">
        <v>1.9</v>
      </c>
      <c r="AK130">
        <v>1.86</v>
      </c>
      <c r="AL130">
        <v>0.76</v>
      </c>
      <c r="AM130">
        <v>2.86</v>
      </c>
      <c r="AN130">
        <v>2.19</v>
      </c>
      <c r="AO130">
        <v>0</v>
      </c>
      <c r="AP130">
        <v>0</v>
      </c>
      <c r="AQ130">
        <v>1.71</v>
      </c>
      <c r="AR130" s="8">
        <v>0</v>
      </c>
      <c r="AS130" s="8">
        <v>0</v>
      </c>
      <c r="AT130" s="8">
        <v>1.92</v>
      </c>
      <c r="AU130" s="3">
        <v>0</v>
      </c>
      <c r="AV130" s="3">
        <v>1.92</v>
      </c>
      <c r="AW130" s="3">
        <v>2.38</v>
      </c>
      <c r="AX130" s="3">
        <v>1.48</v>
      </c>
      <c r="AY130" s="3">
        <v>0</v>
      </c>
      <c r="AZ130" s="3">
        <v>2</v>
      </c>
      <c r="BA130" s="3">
        <v>0</v>
      </c>
      <c r="BB130" s="3">
        <v>2</v>
      </c>
      <c r="BC130">
        <v>2</v>
      </c>
      <c r="BD130">
        <v>1.5</v>
      </c>
      <c r="BE130" s="11">
        <v>2.66</v>
      </c>
      <c r="BF130" s="4">
        <v>2.484</v>
      </c>
      <c r="BG130" s="4">
        <v>0</v>
      </c>
      <c r="BH130" s="4">
        <v>1.06</v>
      </c>
      <c r="BI130" s="4">
        <v>0.76400000000000001</v>
      </c>
      <c r="BJ130" s="14">
        <v>0.92200000000000004</v>
      </c>
      <c r="BK130" s="14">
        <v>1.0880000000000001</v>
      </c>
      <c r="BL130" s="4">
        <v>1.014</v>
      </c>
      <c r="BM130" s="17">
        <v>0.74199999999999999</v>
      </c>
      <c r="BN130" s="4">
        <v>0.7</v>
      </c>
      <c r="BO130" s="4">
        <v>0.63700000000000001</v>
      </c>
      <c r="BP130" s="4">
        <v>1</v>
      </c>
      <c r="BQ130" s="4">
        <v>0</v>
      </c>
      <c r="BR130" s="4">
        <v>1.038</v>
      </c>
      <c r="BS130" s="4">
        <v>1.02</v>
      </c>
      <c r="BT130" s="4">
        <v>0.94899999999999995</v>
      </c>
      <c r="BU130" s="4">
        <v>0.70199999999999996</v>
      </c>
      <c r="BV130" s="4">
        <v>0</v>
      </c>
      <c r="BW130" s="4">
        <v>0.54900000000000004</v>
      </c>
      <c r="BX130" s="4">
        <v>1.7030000000000001</v>
      </c>
      <c r="BY130" s="4">
        <v>0.82</v>
      </c>
      <c r="BZ130">
        <v>1.23</v>
      </c>
      <c r="CA130">
        <v>0</v>
      </c>
      <c r="CB130">
        <v>0</v>
      </c>
      <c r="CC130">
        <v>0</v>
      </c>
      <c r="CD130">
        <v>0</v>
      </c>
      <c r="CE130" s="19">
        <v>0.5</v>
      </c>
      <c r="CF130" s="19">
        <v>0</v>
      </c>
      <c r="CG130" s="4">
        <v>0.79</v>
      </c>
      <c r="CH130" s="4">
        <v>0.6</v>
      </c>
      <c r="CI130" s="4">
        <v>0.56999999999999995</v>
      </c>
      <c r="CJ130" s="36">
        <v>1</v>
      </c>
      <c r="CK130" s="34">
        <v>0.6</v>
      </c>
      <c r="CL130" s="43">
        <v>0</v>
      </c>
      <c r="CM130" s="4">
        <v>0.5</v>
      </c>
      <c r="CN130" s="53">
        <v>0.7</v>
      </c>
      <c r="CO130" s="54">
        <v>1</v>
      </c>
      <c r="CP130" s="54">
        <v>0.6</v>
      </c>
      <c r="CQ130" s="4">
        <v>0</v>
      </c>
    </row>
    <row r="131" spans="1:95" x14ac:dyDescent="0.35">
      <c r="A131" s="55">
        <v>130</v>
      </c>
      <c r="B131" t="s">
        <v>99</v>
      </c>
      <c r="C131" s="27" t="s">
        <v>334</v>
      </c>
      <c r="D131" s="3" t="s">
        <v>93</v>
      </c>
      <c r="E131" s="33" t="s">
        <v>89</v>
      </c>
      <c r="F131" s="4">
        <f>IFERROR(AVERAGEIF(Table1[[#This Row],[2019-Apr]:[2025-July]],"&lt;&gt;0"),0)</f>
        <v>1.3285423728813561</v>
      </c>
      <c r="G131" s="4">
        <f ca="1">IFERROR(AVERAGEIF(OFFSET(Table1[[#This Row],[Status]],0,COUNT(Table1[[#This Row],[2019-May]:[2025-July]]),1,-12),"&lt;&gt;0"),0)</f>
        <v>1.9512499999999997</v>
      </c>
      <c r="H131" s="55">
        <f>IFERROR(SMALL(Table1[[#This Row],[2019-Apr]:[2025-July]],COUNTIF(Table1[[#This Row],[2019-Apr]:[2025-July]],0)+1),0)</f>
        <v>0.432</v>
      </c>
      <c r="I131" s="55">
        <f>IFERROR(MAX(Table1[[#This Row],[2019-Apr]:[2025-July]]),0)</f>
        <v>3.71</v>
      </c>
      <c r="J131" s="4" cm="1">
        <f t="array" ref="J13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0.53533333333333333</v>
      </c>
      <c r="K131" s="4">
        <v>4.5</v>
      </c>
      <c r="L131" s="4">
        <f>IF(Table1[[#This Row],[Standard as per ISO]]&gt;=Table1[[#This Row],[Avg of best 6]],Table1[[#This Row],[Standard as per ISO]],Table1[[#This Row],[Avg of best 6]])</f>
        <v>4.5</v>
      </c>
      <c r="M131" s="4" cm="1">
        <f t="array" ref="M131">IFERROR(LOOKUP(2,1/(Table1[[#This Row],[2019-May]:[2025-July]]&lt;&gt;0),Table1[[#This Row],[2019-May]:[2025-July]]),0)</f>
        <v>1.7</v>
      </c>
      <c r="N131" s="4">
        <f>COUNTIF(Table1[[#This Row],[2019-Apr]:[2025-July]],"&gt;="&amp;Table1[[#This Row],[Target]])</f>
        <v>0</v>
      </c>
      <c r="O131" s="4">
        <f>IF(Table1[[#This Row],[Outliers 2Y]]=0,1,0)</f>
        <v>1</v>
      </c>
      <c r="P131" s="4">
        <f>IF(Table1[[#This Row],[Last value]]&gt;1.5*Table1[[#This Row],[Target]],1,0)</f>
        <v>0</v>
      </c>
      <c r="Q131" s="4">
        <f>IF(AND(1.5*Table1[[#This Row],[Target]]&gt;=Table1[[#This Row],[Last value]],Table1[[#This Row],[Last value]]&gt;Table1[[#This Row],[Target]]),1,0)</f>
        <v>0</v>
      </c>
      <c r="R131" s="4">
        <f>IF(Table1[[#This Row],[Target]]&gt;=Table1[[#This Row],[Last value]],1,0)</f>
        <v>1</v>
      </c>
      <c r="S131" s="4" t="str">
        <f t="shared" si="3"/>
        <v>Green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0.9</v>
      </c>
      <c r="Z131">
        <v>1.4</v>
      </c>
      <c r="AA131">
        <v>1.8</v>
      </c>
      <c r="AB131">
        <v>0.83</v>
      </c>
      <c r="AC131">
        <v>0.63</v>
      </c>
      <c r="AD131">
        <v>1.5</v>
      </c>
      <c r="AE131">
        <v>0.53</v>
      </c>
      <c r="AF131">
        <v>0.6</v>
      </c>
      <c r="AG131">
        <v>0.94</v>
      </c>
      <c r="AH131">
        <v>0.5</v>
      </c>
      <c r="AI131">
        <v>0.77</v>
      </c>
      <c r="AJ131">
        <v>0.6</v>
      </c>
      <c r="AK131">
        <v>0.72</v>
      </c>
      <c r="AL131">
        <v>0.7</v>
      </c>
      <c r="AM131">
        <v>0.9</v>
      </c>
      <c r="AN131">
        <v>0.6</v>
      </c>
      <c r="AO131">
        <v>0.9</v>
      </c>
      <c r="AP131">
        <v>1.1000000000000001</v>
      </c>
      <c r="AQ131">
        <v>1.93</v>
      </c>
      <c r="AR131" s="8">
        <v>0.92</v>
      </c>
      <c r="AS131" s="8">
        <v>1.06</v>
      </c>
      <c r="AT131" s="8">
        <v>0</v>
      </c>
      <c r="AU131" s="3">
        <v>0.8</v>
      </c>
      <c r="AV131" s="3">
        <v>0.66</v>
      </c>
      <c r="AW131" s="3">
        <v>0.55000000000000004</v>
      </c>
      <c r="AX131" s="3">
        <v>1.03</v>
      </c>
      <c r="AY131" s="3">
        <v>0.72</v>
      </c>
      <c r="AZ131" s="3">
        <v>0.6</v>
      </c>
      <c r="BA131" s="3">
        <v>0</v>
      </c>
      <c r="BB131" s="3">
        <v>0.8</v>
      </c>
      <c r="BC131" s="3">
        <v>0</v>
      </c>
      <c r="BD131">
        <v>1.3</v>
      </c>
      <c r="BE131" s="11">
        <v>1.478</v>
      </c>
      <c r="BF131" s="4">
        <v>0.91400000000000003</v>
      </c>
      <c r="BG131" s="4">
        <v>0.432</v>
      </c>
      <c r="BH131" s="4">
        <v>1.06</v>
      </c>
      <c r="BI131" s="4">
        <v>0.99</v>
      </c>
      <c r="BJ131" s="13">
        <v>0.96499999999999997</v>
      </c>
      <c r="BK131" s="13">
        <v>0</v>
      </c>
      <c r="BL131" s="4">
        <v>0.96499999999999997</v>
      </c>
      <c r="BM131" s="16">
        <v>1.3640000000000001</v>
      </c>
      <c r="BN131" s="4">
        <v>0</v>
      </c>
      <c r="BO131" s="4">
        <v>0</v>
      </c>
      <c r="BP131" s="4">
        <v>1.167</v>
      </c>
      <c r="BQ131" s="4">
        <v>2.165</v>
      </c>
      <c r="BR131" s="4">
        <v>1.7130000000000001</v>
      </c>
      <c r="BS131" s="4">
        <v>1.52</v>
      </c>
      <c r="BT131" s="4">
        <v>3.5139999999999998</v>
      </c>
      <c r="BU131" s="4">
        <v>3.1379999999999999</v>
      </c>
      <c r="BV131" s="4">
        <v>1.591</v>
      </c>
      <c r="BW131" s="4">
        <v>1.861</v>
      </c>
      <c r="BX131" s="4">
        <v>1.7030000000000001</v>
      </c>
      <c r="BY131" s="4">
        <v>1.1539999999999999</v>
      </c>
      <c r="BZ131">
        <v>1.1000000000000001</v>
      </c>
      <c r="CA131">
        <v>2.2200000000000002</v>
      </c>
      <c r="CB131">
        <v>3.01</v>
      </c>
      <c r="CC131">
        <v>2.46</v>
      </c>
      <c r="CD131">
        <v>0</v>
      </c>
      <c r="CE131" s="19">
        <v>0</v>
      </c>
      <c r="CF131" s="19">
        <v>0</v>
      </c>
      <c r="CG131" s="4">
        <v>2.38</v>
      </c>
      <c r="CH131" s="4">
        <v>3.71</v>
      </c>
      <c r="CI131" s="4">
        <v>1.42</v>
      </c>
      <c r="CJ131" s="36">
        <v>1.6</v>
      </c>
      <c r="CK131" s="34">
        <v>0</v>
      </c>
      <c r="CL131" s="43">
        <v>1.4</v>
      </c>
      <c r="CM131" s="4">
        <v>0</v>
      </c>
      <c r="CN131" s="53">
        <v>1.7</v>
      </c>
      <c r="CO131" s="54">
        <v>1.7</v>
      </c>
      <c r="CP131" s="54">
        <v>1.7</v>
      </c>
      <c r="CQ131" s="4">
        <v>0</v>
      </c>
    </row>
    <row r="132" spans="1:95" x14ac:dyDescent="0.35">
      <c r="A132" s="55">
        <v>131</v>
      </c>
      <c r="B132" t="s">
        <v>99</v>
      </c>
      <c r="C132" s="27" t="s">
        <v>335</v>
      </c>
      <c r="D132" s="3" t="s">
        <v>93</v>
      </c>
      <c r="E132" s="33" t="s">
        <v>89</v>
      </c>
      <c r="F132" s="4">
        <f>IFERROR(AVERAGEIF(Table1[[#This Row],[2019-Apr]:[2025-July]],"&lt;&gt;0"),0)</f>
        <v>0.7593000000000002</v>
      </c>
      <c r="G132" s="4">
        <f ca="1">IFERROR(AVERAGEIF(OFFSET(Table1[[#This Row],[Status]],0,COUNT(Table1[[#This Row],[2019-May]:[2025-July]]),1,-12),"&lt;&gt;0"),0)</f>
        <v>0.73899999999999988</v>
      </c>
      <c r="H132" s="55">
        <f>IFERROR(SMALL(Table1[[#This Row],[2019-Apr]:[2025-July]],COUNTIF(Table1[[#This Row],[2019-Apr]:[2025-July]],0)+1),0)</f>
        <v>0.25900000000000001</v>
      </c>
      <c r="I132" s="55">
        <f>IFERROR(MAX(Table1[[#This Row],[2019-Apr]:[2025-July]]),0)</f>
        <v>1.31</v>
      </c>
      <c r="J132" s="4" cm="1">
        <f t="array" ref="J13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0.41533333333333333</v>
      </c>
      <c r="K132" s="4">
        <v>4.5</v>
      </c>
      <c r="L132" s="4">
        <f>IF(Table1[[#This Row],[Standard as per ISO]]&gt;=Table1[[#This Row],[Avg of best 6]],Table1[[#This Row],[Standard as per ISO]],Table1[[#This Row],[Avg of best 6]])</f>
        <v>4.5</v>
      </c>
      <c r="M132" s="4" cm="1">
        <f t="array" ref="M132">IFERROR(LOOKUP(2,1/(Table1[[#This Row],[2019-May]:[2025-July]]&lt;&gt;0),Table1[[#This Row],[2019-May]:[2025-July]]),0)</f>
        <v>0.7</v>
      </c>
      <c r="N132" s="4">
        <f>COUNTIF(Table1[[#This Row],[2019-Apr]:[2025-July]],"&gt;="&amp;Table1[[#This Row],[Target]])</f>
        <v>0</v>
      </c>
      <c r="O132" s="4">
        <f>IF(Table1[[#This Row],[Outliers 2Y]]=0,1,0)</f>
        <v>1</v>
      </c>
      <c r="P132" s="4">
        <f>IF(Table1[[#This Row],[Last value]]&gt;1.5*Table1[[#This Row],[Target]],1,0)</f>
        <v>0</v>
      </c>
      <c r="Q132" s="4">
        <f>IF(AND(1.5*Table1[[#This Row],[Target]]&gt;=Table1[[#This Row],[Last value]],Table1[[#This Row],[Last value]]&gt;Table1[[#This Row],[Target]]),1,0)</f>
        <v>0</v>
      </c>
      <c r="R132" s="4">
        <f>IF(Table1[[#This Row],[Target]]&gt;=Table1[[#This Row],[Last value]],1,0)</f>
        <v>1</v>
      </c>
      <c r="S132" s="4" t="str">
        <f t="shared" si="3"/>
        <v>Green</v>
      </c>
      <c r="T132">
        <v>0</v>
      </c>
      <c r="U132">
        <v>0</v>
      </c>
      <c r="V132">
        <v>0</v>
      </c>
      <c r="W132">
        <v>1.0900000000000001</v>
      </c>
      <c r="X132">
        <v>1.1000000000000001</v>
      </c>
      <c r="Y132">
        <v>1</v>
      </c>
      <c r="Z132">
        <v>0.9</v>
      </c>
      <c r="AA132">
        <v>0</v>
      </c>
      <c r="AB132">
        <v>0.88</v>
      </c>
      <c r="AC132">
        <v>0.46</v>
      </c>
      <c r="AD132">
        <v>0.84</v>
      </c>
      <c r="AE132">
        <v>0.9</v>
      </c>
      <c r="AF132">
        <v>1.1000000000000001</v>
      </c>
      <c r="AG132">
        <v>0.92</v>
      </c>
      <c r="AH132">
        <v>0.7</v>
      </c>
      <c r="AI132">
        <v>0</v>
      </c>
      <c r="AJ132">
        <v>0</v>
      </c>
      <c r="AK132">
        <v>0.69</v>
      </c>
      <c r="AL132">
        <v>0.66</v>
      </c>
      <c r="AM132">
        <v>0</v>
      </c>
      <c r="AN132">
        <v>0.63</v>
      </c>
      <c r="AO132">
        <v>0.5</v>
      </c>
      <c r="AP132">
        <v>0.5</v>
      </c>
      <c r="AQ132">
        <v>0.81</v>
      </c>
      <c r="AR132" s="8">
        <v>0.71</v>
      </c>
      <c r="AS132" s="8">
        <v>0.6</v>
      </c>
      <c r="AT132" s="8">
        <v>0.8</v>
      </c>
      <c r="AU132" s="3">
        <v>0.7</v>
      </c>
      <c r="AV132" s="3">
        <v>1.25</v>
      </c>
      <c r="AW132" s="3">
        <v>1.3</v>
      </c>
      <c r="AX132" s="3">
        <v>1.1599999999999999</v>
      </c>
      <c r="AY132" s="3">
        <v>0.7</v>
      </c>
      <c r="AZ132" s="3">
        <v>0.7</v>
      </c>
      <c r="BA132" s="3">
        <v>0.8</v>
      </c>
      <c r="BB132" s="3">
        <v>0.7</v>
      </c>
      <c r="BC132">
        <v>0.6</v>
      </c>
      <c r="BD132">
        <v>0.8</v>
      </c>
      <c r="BE132" s="11">
        <v>1.0369999999999999</v>
      </c>
      <c r="BF132" s="4">
        <v>0.45500000000000002</v>
      </c>
      <c r="BG132" s="4">
        <v>0.25900000000000001</v>
      </c>
      <c r="BH132" s="4">
        <v>0.56399999999999995</v>
      </c>
      <c r="BI132" s="4">
        <v>0.76700000000000002</v>
      </c>
      <c r="BJ132" s="14">
        <v>0.76900000000000002</v>
      </c>
      <c r="BK132" s="14">
        <v>0.36599999999999999</v>
      </c>
      <c r="BL132" s="4">
        <v>0</v>
      </c>
      <c r="BM132" s="17">
        <v>0</v>
      </c>
      <c r="BN132" s="4">
        <v>0.45200000000000001</v>
      </c>
      <c r="BO132" s="4">
        <v>0.78300000000000003</v>
      </c>
      <c r="BP132" s="4">
        <v>0.54700000000000004</v>
      </c>
      <c r="BQ132" s="4">
        <v>0.67200000000000004</v>
      </c>
      <c r="BR132" s="4">
        <v>0.56000000000000005</v>
      </c>
      <c r="BS132" s="4">
        <v>0.56799999999999995</v>
      </c>
      <c r="BT132" s="4">
        <v>0</v>
      </c>
      <c r="BU132" s="4">
        <v>0.99199999999999999</v>
      </c>
      <c r="BV132" s="4">
        <v>0.80500000000000005</v>
      </c>
      <c r="BW132" s="4">
        <v>0.88100000000000001</v>
      </c>
      <c r="BX132" s="4">
        <v>0.76100000000000001</v>
      </c>
      <c r="BY132" s="4">
        <v>0</v>
      </c>
      <c r="BZ132">
        <v>0</v>
      </c>
      <c r="CA132">
        <v>0.81</v>
      </c>
      <c r="CB132">
        <v>0.8</v>
      </c>
      <c r="CC132">
        <v>0.82</v>
      </c>
      <c r="CD132">
        <v>0</v>
      </c>
      <c r="CE132" s="19">
        <v>0</v>
      </c>
      <c r="CF132" s="19">
        <v>0</v>
      </c>
      <c r="CG132" s="4">
        <v>1.31</v>
      </c>
      <c r="CH132" s="4">
        <v>0.84</v>
      </c>
      <c r="CI132" s="4">
        <v>0.84</v>
      </c>
      <c r="CJ132" s="36">
        <v>0.6</v>
      </c>
      <c r="CK132" s="34">
        <v>0.6</v>
      </c>
      <c r="CL132" s="43">
        <v>0.8</v>
      </c>
      <c r="CM132" s="4">
        <v>0.6</v>
      </c>
      <c r="CN132" s="53">
        <v>0.5</v>
      </c>
      <c r="CO132" s="54">
        <v>0.6</v>
      </c>
      <c r="CP132" s="54">
        <v>0.7</v>
      </c>
      <c r="CQ132" s="4">
        <v>0</v>
      </c>
    </row>
    <row r="133" spans="1:95" x14ac:dyDescent="0.35">
      <c r="A133" s="55">
        <v>132</v>
      </c>
      <c r="B133" t="s">
        <v>99</v>
      </c>
      <c r="C133" s="27" t="s">
        <v>336</v>
      </c>
      <c r="D133" s="3" t="s">
        <v>93</v>
      </c>
      <c r="E133" s="33" t="s">
        <v>89</v>
      </c>
      <c r="F133" s="4">
        <f>IFERROR(AVERAGEIF(Table1[[#This Row],[2019-Apr]:[2025-July]],"&lt;&gt;0"),0)</f>
        <v>1.1900793650793653</v>
      </c>
      <c r="G133" s="4">
        <f ca="1">IFERROR(AVERAGEIF(OFFSET(Table1[[#This Row],[Status]],0,COUNT(Table1[[#This Row],[2019-May]:[2025-July]]),1,-12),"&lt;&gt;0"),0)</f>
        <v>0.79500000000000004</v>
      </c>
      <c r="H133" s="55">
        <f>IFERROR(SMALL(Table1[[#This Row],[2019-Apr]:[2025-July]],COUNTIF(Table1[[#This Row],[2019-Apr]:[2025-July]],0)+1),0)</f>
        <v>0.313</v>
      </c>
      <c r="I133" s="55">
        <f>IFERROR(MAX(Table1[[#This Row],[2019-Apr]:[2025-July]]),0)</f>
        <v>4.9000000000000004</v>
      </c>
      <c r="J133" s="4" cm="1">
        <f t="array" ref="J13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0.35983333333333328</v>
      </c>
      <c r="K133" s="4">
        <v>4.5</v>
      </c>
      <c r="L133" s="4">
        <f>IF(Table1[[#This Row],[Standard as per ISO]]&gt;=Table1[[#This Row],[Avg of best 6]],Table1[[#This Row],[Standard as per ISO]],Table1[[#This Row],[Avg of best 6]])</f>
        <v>4.5</v>
      </c>
      <c r="M133" s="4" cm="1">
        <f t="array" ref="M133">IFERROR(LOOKUP(2,1/(Table1[[#This Row],[2019-May]:[2025-July]]&lt;&gt;0),Table1[[#This Row],[2019-May]:[2025-July]]),0)</f>
        <v>0.5</v>
      </c>
      <c r="N133" s="4">
        <f>COUNTIF(Table1[[#This Row],[2019-Apr]:[2025-July]],"&gt;="&amp;Table1[[#This Row],[Target]])</f>
        <v>3</v>
      </c>
      <c r="O133" s="4">
        <f>IF(Table1[[#This Row],[Outliers 2Y]]=0,1,0)</f>
        <v>0</v>
      </c>
      <c r="P133" s="4">
        <f>IF(Table1[[#This Row],[Last value]]&gt;1.5*Table1[[#This Row],[Target]],1,0)</f>
        <v>0</v>
      </c>
      <c r="Q133" s="4">
        <f>IF(AND(1.5*Table1[[#This Row],[Target]]&gt;=Table1[[#This Row],[Last value]],Table1[[#This Row],[Last value]]&gt;Table1[[#This Row],[Target]]),1,0)</f>
        <v>0</v>
      </c>
      <c r="R133" s="4">
        <f>IF(Table1[[#This Row],[Target]]&gt;=Table1[[#This Row],[Last value]],1,0)</f>
        <v>1</v>
      </c>
      <c r="S133" s="4" t="str">
        <f t="shared" si="3"/>
        <v>Green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4.6100000000000003</v>
      </c>
      <c r="Z133">
        <v>4.9000000000000004</v>
      </c>
      <c r="AA133">
        <v>4.8</v>
      </c>
      <c r="AB133">
        <v>3.17</v>
      </c>
      <c r="AC133">
        <v>1.18</v>
      </c>
      <c r="AD133">
        <v>3.42</v>
      </c>
      <c r="AE133">
        <v>0</v>
      </c>
      <c r="AF133">
        <v>0.5</v>
      </c>
      <c r="AG133">
        <v>0.82</v>
      </c>
      <c r="AH133">
        <v>0.8</v>
      </c>
      <c r="AI133">
        <v>1.64</v>
      </c>
      <c r="AJ133">
        <v>0.53</v>
      </c>
      <c r="AK133">
        <v>0.56000000000000005</v>
      </c>
      <c r="AL133">
        <v>1.62</v>
      </c>
      <c r="AM133">
        <v>0.63</v>
      </c>
      <c r="AN133">
        <v>0.81</v>
      </c>
      <c r="AO133">
        <v>0.8</v>
      </c>
      <c r="AP133">
        <v>0.44</v>
      </c>
      <c r="AQ133">
        <v>0</v>
      </c>
      <c r="AR133" s="8">
        <v>0.94</v>
      </c>
      <c r="AS133" s="8">
        <v>0.81</v>
      </c>
      <c r="AT133" s="8">
        <v>0.91</v>
      </c>
      <c r="AU133" s="3">
        <v>0.75</v>
      </c>
      <c r="AV133" s="3">
        <v>0.8</v>
      </c>
      <c r="AW133" s="3">
        <v>0.9</v>
      </c>
      <c r="AX133" s="3">
        <v>0.81</v>
      </c>
      <c r="AY133" s="3">
        <v>0.86</v>
      </c>
      <c r="AZ133" s="3">
        <v>0.95</v>
      </c>
      <c r="BA133" s="3">
        <v>1</v>
      </c>
      <c r="BB133" s="3">
        <v>0</v>
      </c>
      <c r="BC133">
        <v>0.7</v>
      </c>
      <c r="BD133">
        <v>0.9</v>
      </c>
      <c r="BE133" s="11">
        <v>0.97099999999999997</v>
      </c>
      <c r="BF133" s="4">
        <v>0.89600000000000002</v>
      </c>
      <c r="BG133" s="4">
        <v>0.313</v>
      </c>
      <c r="BH133" s="4">
        <v>0.95399999999999996</v>
      </c>
      <c r="BI133" s="4">
        <v>1.0469999999999999</v>
      </c>
      <c r="BJ133" s="13">
        <v>1.042</v>
      </c>
      <c r="BK133" s="13">
        <v>0.36599999999999999</v>
      </c>
      <c r="BL133" s="4">
        <v>0.49199999999999999</v>
      </c>
      <c r="BM133" s="16">
        <v>1.387</v>
      </c>
      <c r="BN133" s="4">
        <v>0.48899999999999999</v>
      </c>
      <c r="BO133" s="4">
        <v>1.554</v>
      </c>
      <c r="BP133" s="4">
        <v>1.4179999999999999</v>
      </c>
      <c r="BQ133" s="4">
        <v>1.802</v>
      </c>
      <c r="BR133" s="4">
        <v>2.3069999999999999</v>
      </c>
      <c r="BS133" s="4">
        <v>2.21</v>
      </c>
      <c r="BT133" s="4">
        <v>2.093</v>
      </c>
      <c r="BU133" s="4">
        <v>1.7709999999999999</v>
      </c>
      <c r="BV133" s="4">
        <v>1.679</v>
      </c>
      <c r="BW133" s="4">
        <v>0</v>
      </c>
      <c r="BX133" s="4">
        <v>0.54300000000000004</v>
      </c>
      <c r="BY133" s="4">
        <v>0.48099999999999998</v>
      </c>
      <c r="BZ133">
        <v>0.38</v>
      </c>
      <c r="CA133">
        <v>0.45</v>
      </c>
      <c r="CB133">
        <v>0.35</v>
      </c>
      <c r="CC133">
        <v>0.47</v>
      </c>
      <c r="CD133">
        <v>0</v>
      </c>
      <c r="CE133" s="19">
        <v>0</v>
      </c>
      <c r="CF133" s="19">
        <v>0</v>
      </c>
      <c r="CG133" s="4">
        <v>0.4</v>
      </c>
      <c r="CH133" s="4">
        <v>0.4</v>
      </c>
      <c r="CI133" s="4">
        <v>0.35</v>
      </c>
      <c r="CJ133" s="36">
        <v>3.1</v>
      </c>
      <c r="CK133" s="34">
        <v>0.9</v>
      </c>
      <c r="CL133" s="43">
        <v>0.6</v>
      </c>
      <c r="CM133" s="4">
        <v>0.5</v>
      </c>
      <c r="CN133" s="53">
        <v>0.7</v>
      </c>
      <c r="CO133" s="54">
        <v>0.5</v>
      </c>
      <c r="CP133" s="54">
        <v>0.5</v>
      </c>
      <c r="CQ133" s="4">
        <v>0</v>
      </c>
    </row>
    <row r="134" spans="1:95" x14ac:dyDescent="0.35">
      <c r="A134" s="55">
        <v>133</v>
      </c>
      <c r="B134" t="s">
        <v>99</v>
      </c>
      <c r="C134" s="27" t="s">
        <v>337</v>
      </c>
      <c r="D134" s="3" t="s">
        <v>93</v>
      </c>
      <c r="E134" s="33" t="s">
        <v>89</v>
      </c>
      <c r="F134" s="4">
        <f>IFERROR(AVERAGEIF(Table1[[#This Row],[2019-Apr]:[2025-July]],"&lt;&gt;0"),0)</f>
        <v>1.8369090909090906</v>
      </c>
      <c r="G134" s="4">
        <f ca="1">IFERROR(AVERAGEIF(OFFSET(Table1[[#This Row],[Status]],0,COUNT(Table1[[#This Row],[2019-May]:[2025-July]]),1,-12),"&lt;&gt;0"),0)</f>
        <v>1.5189999999999999</v>
      </c>
      <c r="H134" s="55">
        <f>IFERROR(SMALL(Table1[[#This Row],[2019-Apr]:[2025-July]],COUNTIF(Table1[[#This Row],[2019-Apr]:[2025-July]],0)+1),0)</f>
        <v>0.5</v>
      </c>
      <c r="I134" s="55">
        <f>IFERROR(MAX(Table1[[#This Row],[2019-Apr]:[2025-July]]),0)</f>
        <v>4.3</v>
      </c>
      <c r="J134" s="4" cm="1">
        <f t="array" ref="J13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0.84633333333333338</v>
      </c>
      <c r="K134" s="4">
        <v>4.5</v>
      </c>
      <c r="L134" s="4">
        <f>IF(Table1[[#This Row],[Standard as per ISO]]&gt;=Table1[[#This Row],[Avg of best 6]],Table1[[#This Row],[Standard as per ISO]],Table1[[#This Row],[Avg of best 6]])</f>
        <v>4.5</v>
      </c>
      <c r="M134" s="4" cm="1">
        <f t="array" ref="M134">IFERROR(LOOKUP(2,1/(Table1[[#This Row],[2019-May]:[2025-July]]&lt;&gt;0),Table1[[#This Row],[2019-May]:[2025-July]]),0)</f>
        <v>2</v>
      </c>
      <c r="N134" s="4">
        <f>COUNTIF(Table1[[#This Row],[2019-Apr]:[2025-July]],"&gt;="&amp;Table1[[#This Row],[Target]])</f>
        <v>0</v>
      </c>
      <c r="O134" s="4">
        <f>IF(Table1[[#This Row],[Outliers 2Y]]=0,1,0)</f>
        <v>1</v>
      </c>
      <c r="P134" s="4">
        <f>IF(Table1[[#This Row],[Last value]]&gt;1.5*Table1[[#This Row],[Target]],1,0)</f>
        <v>0</v>
      </c>
      <c r="Q134" s="4">
        <f>IF(AND(1.5*Table1[[#This Row],[Target]]&gt;=Table1[[#This Row],[Last value]],Table1[[#This Row],[Last value]]&gt;Table1[[#This Row],[Target]]),1,0)</f>
        <v>0</v>
      </c>
      <c r="R134" s="4">
        <f>IF(Table1[[#This Row],[Target]]&gt;=Table1[[#This Row],[Last value]],1,0)</f>
        <v>1</v>
      </c>
      <c r="S134" s="4" t="str">
        <f t="shared" si="3"/>
        <v>Green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1.65</v>
      </c>
      <c r="Z134">
        <v>1.2</v>
      </c>
      <c r="AA134">
        <v>2</v>
      </c>
      <c r="AB134">
        <v>2.2000000000000002</v>
      </c>
      <c r="AC134">
        <v>1.45</v>
      </c>
      <c r="AD134">
        <v>2.23</v>
      </c>
      <c r="AE134">
        <v>1.71</v>
      </c>
      <c r="AF134">
        <v>1.6</v>
      </c>
      <c r="AG134">
        <v>1.85</v>
      </c>
      <c r="AH134">
        <v>2.6</v>
      </c>
      <c r="AI134">
        <v>1.18</v>
      </c>
      <c r="AJ134">
        <v>4.3</v>
      </c>
      <c r="AK134">
        <v>1.86</v>
      </c>
      <c r="AL134">
        <v>1.67</v>
      </c>
      <c r="AM134">
        <v>1.65</v>
      </c>
      <c r="AN134">
        <v>1.7</v>
      </c>
      <c r="AO134">
        <v>1.6</v>
      </c>
      <c r="AP134">
        <v>1.1200000000000001</v>
      </c>
      <c r="AQ134">
        <v>0</v>
      </c>
      <c r="AR134" s="8">
        <v>1.83</v>
      </c>
      <c r="AS134" s="8">
        <v>2.29</v>
      </c>
      <c r="AT134" s="8">
        <v>0</v>
      </c>
      <c r="AU134" s="3">
        <v>2.41</v>
      </c>
      <c r="AV134" s="3">
        <v>3.07</v>
      </c>
      <c r="AW134" s="3">
        <v>2.52</v>
      </c>
      <c r="AX134" s="3">
        <v>2.02</v>
      </c>
      <c r="AY134" s="3">
        <v>1.41</v>
      </c>
      <c r="AZ134" s="3">
        <v>1.3</v>
      </c>
      <c r="BA134" s="3">
        <v>0</v>
      </c>
      <c r="BB134" s="3">
        <v>0</v>
      </c>
      <c r="BC134">
        <v>2</v>
      </c>
      <c r="BD134">
        <v>1.8</v>
      </c>
      <c r="BE134" s="11">
        <v>1.986</v>
      </c>
      <c r="BF134" s="4">
        <v>2.1840000000000002</v>
      </c>
      <c r="BG134" s="4">
        <v>1.5</v>
      </c>
      <c r="BH134" s="4">
        <v>1.863</v>
      </c>
      <c r="BI134" s="4">
        <v>2.0680000000000001</v>
      </c>
      <c r="BJ134" s="14">
        <v>1.925</v>
      </c>
      <c r="BK134" s="14">
        <v>1.4630000000000001</v>
      </c>
      <c r="BL134" s="4">
        <v>1.5649999999999999</v>
      </c>
      <c r="BM134" s="17">
        <v>0</v>
      </c>
      <c r="BN134" s="4">
        <v>1.653</v>
      </c>
      <c r="BO134" s="4">
        <v>0</v>
      </c>
      <c r="BP134" s="4">
        <v>2.1789999999999998</v>
      </c>
      <c r="BQ134" s="4">
        <v>2.2690000000000001</v>
      </c>
      <c r="BR134" s="4">
        <v>0</v>
      </c>
      <c r="BS134" s="4">
        <v>0</v>
      </c>
      <c r="BT134" s="4">
        <v>2.5190000000000001</v>
      </c>
      <c r="BU134" s="4">
        <v>2.7530000000000001</v>
      </c>
      <c r="BV134" s="4">
        <v>1.5289999999999999</v>
      </c>
      <c r="BW134" s="4">
        <v>0</v>
      </c>
      <c r="BX134" s="4">
        <v>1.986</v>
      </c>
      <c r="BY134" s="4">
        <v>1.0780000000000001</v>
      </c>
      <c r="BZ134">
        <v>1.1000000000000001</v>
      </c>
      <c r="CA134">
        <v>0</v>
      </c>
      <c r="CB134">
        <v>0</v>
      </c>
      <c r="CC134">
        <v>0</v>
      </c>
      <c r="CD134">
        <v>0</v>
      </c>
      <c r="CE134" s="19">
        <v>0.6</v>
      </c>
      <c r="CF134" s="19">
        <v>0</v>
      </c>
      <c r="CG134" s="4">
        <v>2.3199999999999998</v>
      </c>
      <c r="CH134" s="4">
        <v>0</v>
      </c>
      <c r="CI134" s="4">
        <v>2.17</v>
      </c>
      <c r="CJ134" s="34">
        <v>2.2000000000000002</v>
      </c>
      <c r="CK134" s="34">
        <v>0.7</v>
      </c>
      <c r="CL134" s="43">
        <v>1.1000000000000001</v>
      </c>
      <c r="CM134" s="4">
        <v>0.5</v>
      </c>
      <c r="CN134" s="53">
        <v>1.7</v>
      </c>
      <c r="CO134" s="54">
        <v>1.9</v>
      </c>
      <c r="CP134" s="54">
        <v>2</v>
      </c>
      <c r="CQ134" s="4">
        <v>0</v>
      </c>
    </row>
    <row r="135" spans="1:95" x14ac:dyDescent="0.35">
      <c r="A135" s="55">
        <v>134</v>
      </c>
      <c r="B135" t="s">
        <v>99</v>
      </c>
      <c r="C135" s="27" t="s">
        <v>338</v>
      </c>
      <c r="D135" s="3" t="s">
        <v>93</v>
      </c>
      <c r="E135" s="33" t="s">
        <v>89</v>
      </c>
      <c r="F135" s="4">
        <f>IFERROR(AVERAGEIF(Table1[[#This Row],[2019-Apr]:[2025-July]],"&lt;&gt;0"),0)</f>
        <v>1.6116229508196722</v>
      </c>
      <c r="G135" s="4">
        <f ca="1">IFERROR(AVERAGEIF(OFFSET(Table1[[#This Row],[Status]],0,COUNT(Table1[[#This Row],[2019-May]:[2025-July]]),1,-12),"&lt;&gt;0"),0)</f>
        <v>1.0870000000000002</v>
      </c>
      <c r="H135" s="55">
        <f>IFERROR(SMALL(Table1[[#This Row],[2019-Apr]:[2025-July]],COUNTIF(Table1[[#This Row],[2019-Apr]:[2025-July]],0)+1),0)</f>
        <v>0.1</v>
      </c>
      <c r="I135" s="55">
        <f>IFERROR(MAX(Table1[[#This Row],[2019-Apr]:[2025-July]]),0)</f>
        <v>3.6</v>
      </c>
      <c r="J135" s="4" cm="1">
        <f t="array" ref="J13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0.66333333333333322</v>
      </c>
      <c r="K135" s="4">
        <v>4.5</v>
      </c>
      <c r="L135" s="4">
        <f>IF(Table1[[#This Row],[Standard as per ISO]]&gt;=Table1[[#This Row],[Avg of best 6]],Table1[[#This Row],[Standard as per ISO]],Table1[[#This Row],[Avg of best 6]])</f>
        <v>4.5</v>
      </c>
      <c r="M135" s="4" cm="1">
        <f t="array" ref="M135">IFERROR(LOOKUP(2,1/(Table1[[#This Row],[2019-May]:[2025-July]]&lt;&gt;0),Table1[[#This Row],[2019-May]:[2025-July]]),0)</f>
        <v>1</v>
      </c>
      <c r="N135" s="4">
        <f>COUNTIF(Table1[[#This Row],[2019-Apr]:[2025-July]],"&gt;="&amp;Table1[[#This Row],[Target]])</f>
        <v>0</v>
      </c>
      <c r="O135" s="4">
        <f>IF(Table1[[#This Row],[Outliers 2Y]]=0,1,0)</f>
        <v>1</v>
      </c>
      <c r="P135" s="4">
        <f>IF(Table1[[#This Row],[Last value]]&gt;1.5*Table1[[#This Row],[Target]],1,0)</f>
        <v>0</v>
      </c>
      <c r="Q135" s="4">
        <f>IF(AND(1.5*Table1[[#This Row],[Target]]&gt;=Table1[[#This Row],[Last value]],Table1[[#This Row],[Last value]]&gt;Table1[[#This Row],[Target]]),1,0)</f>
        <v>0</v>
      </c>
      <c r="R135" s="4">
        <f>IF(Table1[[#This Row],[Target]]&gt;=Table1[[#This Row],[Last value]],1,0)</f>
        <v>1</v>
      </c>
      <c r="S135" s="4" t="str">
        <f t="shared" si="3"/>
        <v>Green</v>
      </c>
      <c r="T135">
        <v>0</v>
      </c>
      <c r="U135">
        <v>0</v>
      </c>
      <c r="V135">
        <v>0</v>
      </c>
      <c r="W135">
        <v>0</v>
      </c>
      <c r="X135">
        <v>3.5</v>
      </c>
      <c r="Y135">
        <v>2.36</v>
      </c>
      <c r="Z135">
        <v>1.7</v>
      </c>
      <c r="AA135">
        <v>2.5499999999999998</v>
      </c>
      <c r="AB135">
        <v>0</v>
      </c>
      <c r="AC135">
        <v>2.4700000000000002</v>
      </c>
      <c r="AD135">
        <v>0</v>
      </c>
      <c r="AE135">
        <v>2.74</v>
      </c>
      <c r="AF135">
        <v>2.6</v>
      </c>
      <c r="AG135">
        <v>3.43</v>
      </c>
      <c r="AH135">
        <v>2.9</v>
      </c>
      <c r="AI135">
        <v>1.07</v>
      </c>
      <c r="AJ135">
        <v>3.6</v>
      </c>
      <c r="AK135">
        <v>2.93</v>
      </c>
      <c r="AL135">
        <v>2.08</v>
      </c>
      <c r="AM135">
        <v>3.09</v>
      </c>
      <c r="AN135">
        <v>2.5</v>
      </c>
      <c r="AO135">
        <v>1.8</v>
      </c>
      <c r="AP135">
        <v>1.4</v>
      </c>
      <c r="AQ135">
        <v>2.29</v>
      </c>
      <c r="AR135" s="8">
        <v>1.28</v>
      </c>
      <c r="AS135" s="8">
        <v>3.07</v>
      </c>
      <c r="AT135" s="8">
        <v>1.97</v>
      </c>
      <c r="AU135" s="3">
        <v>2.0499999999999998</v>
      </c>
      <c r="AV135" s="3">
        <v>1.89</v>
      </c>
      <c r="AW135" s="3">
        <v>1.91</v>
      </c>
      <c r="AX135" s="3">
        <v>1.87</v>
      </c>
      <c r="AY135" s="3">
        <v>0</v>
      </c>
      <c r="AZ135" s="3">
        <v>1.58</v>
      </c>
      <c r="BA135" s="3">
        <v>0</v>
      </c>
      <c r="BB135" s="3">
        <v>0.1</v>
      </c>
      <c r="BC135">
        <v>1.1000000000000001</v>
      </c>
      <c r="BD135">
        <v>0.8</v>
      </c>
      <c r="BE135" s="11">
        <v>0.94399999999999995</v>
      </c>
      <c r="BF135" s="4">
        <v>0.92500000000000004</v>
      </c>
      <c r="BG135" s="4">
        <v>0.92500000000000004</v>
      </c>
      <c r="BH135" s="4">
        <v>0.76600000000000001</v>
      </c>
      <c r="BI135" s="4">
        <v>0.80600000000000005</v>
      </c>
      <c r="BJ135" s="13">
        <v>0.80800000000000005</v>
      </c>
      <c r="BK135" s="13">
        <v>1.335</v>
      </c>
      <c r="BL135" s="4">
        <v>1.357</v>
      </c>
      <c r="BM135" s="16">
        <v>0.93799999999999994</v>
      </c>
      <c r="BN135" s="4">
        <v>1.421</v>
      </c>
      <c r="BO135" s="4">
        <v>1.9</v>
      </c>
      <c r="BP135" s="4">
        <v>0</v>
      </c>
      <c r="BQ135" s="4">
        <v>0</v>
      </c>
      <c r="BR135" s="4">
        <v>1.0109999999999999</v>
      </c>
      <c r="BS135" s="4">
        <v>1.357</v>
      </c>
      <c r="BT135" s="4">
        <v>1</v>
      </c>
      <c r="BU135" s="4">
        <v>1.2310000000000001</v>
      </c>
      <c r="BV135" s="4">
        <v>1.32</v>
      </c>
      <c r="BW135" s="4">
        <v>1.25</v>
      </c>
      <c r="BX135" s="4">
        <v>0</v>
      </c>
      <c r="BY135" s="4">
        <v>1.1850000000000001</v>
      </c>
      <c r="BZ135">
        <v>1.22</v>
      </c>
      <c r="CA135">
        <v>1.03</v>
      </c>
      <c r="CB135">
        <v>1.03</v>
      </c>
      <c r="CC135">
        <v>1.05</v>
      </c>
      <c r="CD135">
        <v>0</v>
      </c>
      <c r="CE135" s="19">
        <v>0</v>
      </c>
      <c r="CF135" s="19">
        <v>1.2</v>
      </c>
      <c r="CG135" s="4">
        <v>1.18</v>
      </c>
      <c r="CH135" s="4">
        <v>0.9</v>
      </c>
      <c r="CI135" s="4">
        <v>0.89</v>
      </c>
      <c r="CJ135" s="34">
        <v>2.2000000000000002</v>
      </c>
      <c r="CK135" s="34">
        <v>0.9</v>
      </c>
      <c r="CL135" s="43">
        <v>0.7</v>
      </c>
      <c r="CM135" s="4">
        <v>0</v>
      </c>
      <c r="CN135" s="53">
        <v>1</v>
      </c>
      <c r="CO135" s="54">
        <v>0.9</v>
      </c>
      <c r="CP135" s="54">
        <v>1</v>
      </c>
      <c r="CQ135" s="4">
        <v>0</v>
      </c>
    </row>
    <row r="136" spans="1:95" x14ac:dyDescent="0.35">
      <c r="A136" s="55">
        <v>135</v>
      </c>
      <c r="B136" t="s">
        <v>99</v>
      </c>
      <c r="C136" s="27" t="s">
        <v>339</v>
      </c>
      <c r="D136" s="3" t="s">
        <v>93</v>
      </c>
      <c r="E136" s="33" t="s">
        <v>89</v>
      </c>
      <c r="F136" s="4">
        <f>IFERROR(AVERAGEIF(Table1[[#This Row],[2019-Apr]:[2025-July]],"&lt;&gt;0"),0)</f>
        <v>1.9087818181818179</v>
      </c>
      <c r="G136" s="4">
        <f ca="1">IFERROR(AVERAGEIF(OFFSET(Table1[[#This Row],[Status]],0,COUNT(Table1[[#This Row],[2019-May]:[2025-July]]),1,-12),"&lt;&gt;0"),0)</f>
        <v>2.4055555555555559</v>
      </c>
      <c r="H136" s="55">
        <f>IFERROR(SMALL(Table1[[#This Row],[2019-Apr]:[2025-July]],COUNTIF(Table1[[#This Row],[2019-Apr]:[2025-July]],0)+1),0)</f>
        <v>0.1</v>
      </c>
      <c r="I136" s="55">
        <f>IFERROR(MAX(Table1[[#This Row],[2019-Apr]:[2025-July]]),0)</f>
        <v>3.34</v>
      </c>
      <c r="J136" s="4" cm="1">
        <f t="array" ref="J13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1.0588333333333333</v>
      </c>
      <c r="K136" s="4">
        <v>4.5</v>
      </c>
      <c r="L136" s="4">
        <f>IF(Table1[[#This Row],[Standard as per ISO]]&gt;=Table1[[#This Row],[Avg of best 6]],Table1[[#This Row],[Standard as per ISO]],Table1[[#This Row],[Avg of best 6]])</f>
        <v>4.5</v>
      </c>
      <c r="M136" s="4" cm="1">
        <f t="array" ref="M136">IFERROR(LOOKUP(2,1/(Table1[[#This Row],[2019-May]:[2025-July]]&lt;&gt;0),Table1[[#This Row],[2019-May]:[2025-July]]),0)</f>
        <v>2.1</v>
      </c>
      <c r="N136" s="4">
        <f>COUNTIF(Table1[[#This Row],[2019-Apr]:[2025-July]],"&gt;="&amp;Table1[[#This Row],[Target]])</f>
        <v>0</v>
      </c>
      <c r="O136" s="4">
        <f>IF(Table1[[#This Row],[Outliers 2Y]]=0,1,0)</f>
        <v>1</v>
      </c>
      <c r="P136" s="4">
        <f>IF(Table1[[#This Row],[Last value]]&gt;1.5*Table1[[#This Row],[Target]],1,0)</f>
        <v>0</v>
      </c>
      <c r="Q136" s="4">
        <f>IF(AND(1.5*Table1[[#This Row],[Target]]&gt;=Table1[[#This Row],[Last value]],Table1[[#This Row],[Last value]]&gt;Table1[[#This Row],[Target]]),1,0)</f>
        <v>0</v>
      </c>
      <c r="R136" s="4">
        <f>IF(Table1[[#This Row],[Target]]&gt;=Table1[[#This Row],[Last value]],1,0)</f>
        <v>1</v>
      </c>
      <c r="S136" s="4" t="str">
        <f t="shared" si="3"/>
        <v>Green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1.28</v>
      </c>
      <c r="Z136">
        <v>1.1000000000000001</v>
      </c>
      <c r="AA136">
        <v>1.5</v>
      </c>
      <c r="AB136">
        <v>1.9</v>
      </c>
      <c r="AC136">
        <v>1.65</v>
      </c>
      <c r="AD136">
        <v>1.86</v>
      </c>
      <c r="AE136">
        <v>0</v>
      </c>
      <c r="AF136">
        <v>2.5</v>
      </c>
      <c r="AG136">
        <v>2.3199999999999998</v>
      </c>
      <c r="AH136">
        <v>1.9</v>
      </c>
      <c r="AI136">
        <v>1.71</v>
      </c>
      <c r="AJ136">
        <v>1.75</v>
      </c>
      <c r="AK136">
        <v>2.86</v>
      </c>
      <c r="AL136">
        <v>1.71</v>
      </c>
      <c r="AM136">
        <v>2.56</v>
      </c>
      <c r="AN136">
        <v>0</v>
      </c>
      <c r="AO136">
        <v>0</v>
      </c>
      <c r="AP136">
        <v>0</v>
      </c>
      <c r="AQ136">
        <v>2.0470000000000002</v>
      </c>
      <c r="AR136" s="8">
        <v>0</v>
      </c>
      <c r="AS136" s="8">
        <v>0</v>
      </c>
      <c r="AT136" s="8">
        <v>1.37</v>
      </c>
      <c r="AU136" s="3">
        <v>1.64</v>
      </c>
      <c r="AV136" s="3">
        <v>1.75</v>
      </c>
      <c r="AW136" s="3">
        <v>1.55</v>
      </c>
      <c r="AX136" s="3">
        <v>1.41</v>
      </c>
      <c r="AY136" s="3">
        <v>1.77</v>
      </c>
      <c r="AZ136" s="3">
        <v>0</v>
      </c>
      <c r="BA136" s="3">
        <v>1.73</v>
      </c>
      <c r="BB136" s="3">
        <v>0.1</v>
      </c>
      <c r="BC136">
        <v>2</v>
      </c>
      <c r="BD136">
        <v>1.3</v>
      </c>
      <c r="BE136" s="11">
        <v>1.514</v>
      </c>
      <c r="BF136" s="4">
        <v>1.3180000000000001</v>
      </c>
      <c r="BG136" s="4">
        <v>1.56</v>
      </c>
      <c r="BH136" s="4">
        <v>1.32</v>
      </c>
      <c r="BI136" s="4">
        <v>1.8779999999999999</v>
      </c>
      <c r="BJ136" s="14">
        <v>1.629</v>
      </c>
      <c r="BK136" s="14">
        <v>2.0710000000000002</v>
      </c>
      <c r="BL136" s="4">
        <v>2.1760000000000002</v>
      </c>
      <c r="BM136" s="17">
        <v>2.165</v>
      </c>
      <c r="BN136" s="4">
        <v>0</v>
      </c>
      <c r="BO136" s="4">
        <v>1.956</v>
      </c>
      <c r="BP136" s="4">
        <v>2.1389999999999998</v>
      </c>
      <c r="BQ136" s="4">
        <v>1.53</v>
      </c>
      <c r="BR136" s="4">
        <v>1.2549999999999999</v>
      </c>
      <c r="BS136" s="4">
        <v>1.85</v>
      </c>
      <c r="BT136" s="4">
        <v>1.4710000000000001</v>
      </c>
      <c r="BU136" s="4">
        <v>2.371</v>
      </c>
      <c r="BV136" s="4">
        <v>0</v>
      </c>
      <c r="BW136" s="4">
        <v>2.4620000000000002</v>
      </c>
      <c r="BX136" s="4">
        <v>2.2410000000000001</v>
      </c>
      <c r="BY136" s="4">
        <v>0</v>
      </c>
      <c r="BZ136">
        <v>0</v>
      </c>
      <c r="CA136">
        <v>2.4300000000000002</v>
      </c>
      <c r="CB136">
        <v>1.93</v>
      </c>
      <c r="CC136">
        <v>2.8</v>
      </c>
      <c r="CD136">
        <v>0</v>
      </c>
      <c r="CE136" s="19">
        <v>0</v>
      </c>
      <c r="CF136" s="19">
        <v>2.2999999999999998</v>
      </c>
      <c r="CG136" s="4">
        <v>2.77</v>
      </c>
      <c r="CH136" s="4">
        <v>2.64</v>
      </c>
      <c r="CI136" s="4">
        <v>3.34</v>
      </c>
      <c r="CJ136" s="34">
        <v>2.2000000000000002</v>
      </c>
      <c r="CK136" s="34">
        <v>0</v>
      </c>
      <c r="CL136" s="43">
        <v>0</v>
      </c>
      <c r="CM136" s="4">
        <v>1.9</v>
      </c>
      <c r="CN136" s="53">
        <v>2.1</v>
      </c>
      <c r="CO136" s="54">
        <v>2.2999999999999998</v>
      </c>
      <c r="CP136" s="54">
        <v>2.1</v>
      </c>
      <c r="CQ136" s="4">
        <v>0</v>
      </c>
    </row>
    <row r="137" spans="1:95" x14ac:dyDescent="0.35">
      <c r="A137" s="55">
        <v>136</v>
      </c>
      <c r="B137" t="s">
        <v>99</v>
      </c>
      <c r="C137" s="27" t="s">
        <v>340</v>
      </c>
      <c r="D137" s="3" t="s">
        <v>103</v>
      </c>
      <c r="E137" s="33" t="s">
        <v>89</v>
      </c>
      <c r="F137" s="4">
        <f>IFERROR(AVERAGEIF(Table1[[#This Row],[2019-Apr]:[2025-July]],"&lt;&gt;0"),0)</f>
        <v>4.5766086956521743</v>
      </c>
      <c r="G137" s="4">
        <f ca="1">IFERROR(AVERAGEIF(OFFSET(Table1[[#This Row],[Status]],0,COUNT(Table1[[#This Row],[2019-May]:[2025-July]]),1,-12),"&lt;&gt;0"),0)</f>
        <v>3.44</v>
      </c>
      <c r="H137" s="55">
        <f>IFERROR(SMALL(Table1[[#This Row],[2019-Apr]:[2025-July]],COUNTIF(Table1[[#This Row],[2019-Apr]:[2025-July]],0)+1),0)</f>
        <v>1</v>
      </c>
      <c r="I137" s="55">
        <f>IFERROR(MAX(Table1[[#This Row],[2019-Apr]:[2025-July]]),0)</f>
        <v>10.6</v>
      </c>
      <c r="J137" s="4" cm="1">
        <f t="array" ref="J13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2.3583333333333338</v>
      </c>
      <c r="K137" s="4">
        <v>4.5</v>
      </c>
      <c r="L137" s="4">
        <f>IF(Table1[[#This Row],[Standard as per ISO]]&gt;=Table1[[#This Row],[Avg of best 6]],Table1[[#This Row],[Standard as per ISO]],Table1[[#This Row],[Avg of best 6]])</f>
        <v>4.5</v>
      </c>
      <c r="M137" s="4" cm="1">
        <f t="array" ref="M137">IFERROR(LOOKUP(2,1/(Table1[[#This Row],[2019-May]:[2025-July]]&lt;&gt;0),Table1[[#This Row],[2019-May]:[2025-July]]),0)</f>
        <v>4</v>
      </c>
      <c r="N137" s="4">
        <f>COUNTIF(Table1[[#This Row],[2019-Apr]:[2025-July]],"&gt;="&amp;Table1[[#This Row],[Target]])</f>
        <v>20</v>
      </c>
      <c r="O137" s="4">
        <f>IF(Table1[[#This Row],[Outliers 2Y]]=0,1,0)</f>
        <v>0</v>
      </c>
      <c r="P137" s="4">
        <f>IF(Table1[[#This Row],[Last value]]&gt;1.5*Table1[[#This Row],[Target]],1,0)</f>
        <v>0</v>
      </c>
      <c r="Q137" s="4">
        <f>IF(AND(1.5*Table1[[#This Row],[Target]]&gt;=Table1[[#This Row],[Last value]],Table1[[#This Row],[Last value]]&gt;Table1[[#This Row],[Target]]),1,0)</f>
        <v>0</v>
      </c>
      <c r="R137" s="4">
        <f>IF(Table1[[#This Row],[Target]]&gt;=Table1[[#This Row],[Last value]],1,0)</f>
        <v>1</v>
      </c>
      <c r="S137" s="4" t="str">
        <f t="shared" si="3"/>
        <v>Green</v>
      </c>
      <c r="T137">
        <v>0</v>
      </c>
      <c r="U137">
        <v>0</v>
      </c>
      <c r="V137">
        <v>0</v>
      </c>
      <c r="W137">
        <v>6.11</v>
      </c>
      <c r="X137">
        <v>4.5999999999999996</v>
      </c>
      <c r="Y137">
        <v>4.8</v>
      </c>
      <c r="Z137">
        <v>3.1</v>
      </c>
      <c r="AA137">
        <v>0</v>
      </c>
      <c r="AB137">
        <v>0</v>
      </c>
      <c r="AC137">
        <v>5.72</v>
      </c>
      <c r="AD137">
        <v>0</v>
      </c>
      <c r="AE137">
        <v>5.74</v>
      </c>
      <c r="AF137">
        <v>4.4000000000000004</v>
      </c>
      <c r="AG137">
        <v>4.9000000000000004</v>
      </c>
      <c r="AH137">
        <v>6.1</v>
      </c>
      <c r="AI137">
        <v>3.71</v>
      </c>
      <c r="AJ137">
        <v>4.38</v>
      </c>
      <c r="AK137">
        <v>2.63</v>
      </c>
      <c r="AL137">
        <v>0</v>
      </c>
      <c r="AM137">
        <v>0</v>
      </c>
      <c r="AN137">
        <v>0</v>
      </c>
      <c r="AO137">
        <v>5.7</v>
      </c>
      <c r="AP137">
        <v>8.9</v>
      </c>
      <c r="AQ137">
        <v>0</v>
      </c>
      <c r="AR137" s="8">
        <v>10.6</v>
      </c>
      <c r="AS137" s="8">
        <v>0</v>
      </c>
      <c r="AT137" s="8">
        <v>5.72</v>
      </c>
      <c r="AU137" s="3">
        <v>7.35</v>
      </c>
      <c r="AV137" s="3">
        <v>5.63</v>
      </c>
      <c r="AW137" s="3">
        <v>8.0399999999999991</v>
      </c>
      <c r="AX137" s="3">
        <v>8.33</v>
      </c>
      <c r="AY137" s="3">
        <v>0</v>
      </c>
      <c r="AZ137" s="3">
        <v>1</v>
      </c>
      <c r="BA137" s="3">
        <v>0</v>
      </c>
      <c r="BB137" s="3">
        <v>4.3</v>
      </c>
      <c r="BC137">
        <v>4.5</v>
      </c>
      <c r="BD137">
        <v>4.7</v>
      </c>
      <c r="BE137" s="11">
        <v>0</v>
      </c>
      <c r="BF137" s="4">
        <v>4.1859999999999999</v>
      </c>
      <c r="BG137" s="4">
        <v>0</v>
      </c>
      <c r="BH137" s="4">
        <v>4.0629999999999997</v>
      </c>
      <c r="BI137" s="4">
        <v>3.99</v>
      </c>
      <c r="BJ137" s="13">
        <v>3.843</v>
      </c>
      <c r="BK137" s="13">
        <v>3.827</v>
      </c>
      <c r="BL137" s="4">
        <v>0</v>
      </c>
      <c r="BM137" s="16">
        <v>3.4489999999999998</v>
      </c>
      <c r="BN137" s="4">
        <v>4.5670000000000002</v>
      </c>
      <c r="BO137" s="4">
        <v>3.6139999999999999</v>
      </c>
      <c r="BP137" s="4">
        <v>3.3180000000000001</v>
      </c>
      <c r="BQ137" s="4">
        <v>3.8439999999999999</v>
      </c>
      <c r="BR137" s="4">
        <v>0</v>
      </c>
      <c r="BS137" s="4">
        <v>0</v>
      </c>
      <c r="BT137" s="4">
        <v>0</v>
      </c>
      <c r="BU137" s="4">
        <v>0</v>
      </c>
      <c r="BV137" s="4">
        <v>4.6779999999999999</v>
      </c>
      <c r="BW137" s="4">
        <v>3.9249999999999998</v>
      </c>
      <c r="BX137" s="4">
        <v>0</v>
      </c>
      <c r="BY137" s="4">
        <v>2.13</v>
      </c>
      <c r="BZ137">
        <v>3.24</v>
      </c>
      <c r="CA137">
        <v>2.89</v>
      </c>
      <c r="CB137">
        <v>2.8</v>
      </c>
      <c r="CC137">
        <v>0</v>
      </c>
      <c r="CD137">
        <v>0</v>
      </c>
      <c r="CE137" s="19">
        <v>0</v>
      </c>
      <c r="CF137" s="19">
        <v>3.8</v>
      </c>
      <c r="CG137" s="4">
        <v>0</v>
      </c>
      <c r="CH137" s="4">
        <v>0</v>
      </c>
      <c r="CI137" s="4">
        <v>0</v>
      </c>
      <c r="CJ137" s="34">
        <v>4.5999999999999996</v>
      </c>
      <c r="CK137" s="34">
        <v>3.1</v>
      </c>
      <c r="CL137" s="43">
        <v>2.7</v>
      </c>
      <c r="CM137" s="4">
        <v>3</v>
      </c>
      <c r="CN137" s="53">
        <v>0</v>
      </c>
      <c r="CO137" s="54">
        <v>0</v>
      </c>
      <c r="CP137" s="54">
        <v>0</v>
      </c>
      <c r="CQ137" s="4">
        <v>4</v>
      </c>
    </row>
    <row r="138" spans="1:95" x14ac:dyDescent="0.35">
      <c r="A138" s="55">
        <v>137</v>
      </c>
      <c r="B138" t="s">
        <v>99</v>
      </c>
      <c r="C138" s="27" t="s">
        <v>341</v>
      </c>
      <c r="D138" s="3" t="s">
        <v>103</v>
      </c>
      <c r="E138" s="33" t="s">
        <v>89</v>
      </c>
      <c r="F138" s="4">
        <f>IFERROR(AVERAGEIF(Table1[[#This Row],[2019-Apr]:[2025-July]],"&lt;&gt;0"),0)</f>
        <v>5.8430000000000009</v>
      </c>
      <c r="G138" s="4">
        <f ca="1">IFERROR(AVERAGEIF(OFFSET(Table1[[#This Row],[Status]],0,COUNT(Table1[[#This Row],[2019-May]:[2025-July]]),1,-12),"&lt;&gt;0"),0)</f>
        <v>3.6516666666666668</v>
      </c>
      <c r="H138" s="55">
        <f>IFERROR(SMALL(Table1[[#This Row],[2019-Apr]:[2025-July]],COUNTIF(Table1[[#This Row],[2019-Apr]:[2025-July]],0)+1),0)</f>
        <v>2.94</v>
      </c>
      <c r="I138" s="55">
        <f>IFERROR(MAX(Table1[[#This Row],[2019-Apr]:[2025-July]]),0)</f>
        <v>14.1</v>
      </c>
      <c r="J138" s="4" cm="1">
        <f t="array" ref="J13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3.3381666666666661</v>
      </c>
      <c r="K138" s="4">
        <v>4.5</v>
      </c>
      <c r="L138" s="4">
        <f>IF(Table1[[#This Row],[Standard as per ISO]]&gt;=Table1[[#This Row],[Avg of best 6]],Table1[[#This Row],[Standard as per ISO]],Table1[[#This Row],[Avg of best 6]])</f>
        <v>4.5</v>
      </c>
      <c r="M138" s="4" cm="1">
        <f t="array" ref="M138">IFERROR(LOOKUP(2,1/(Table1[[#This Row],[2019-May]:[2025-July]]&lt;&gt;0),Table1[[#This Row],[2019-May]:[2025-July]]),0)</f>
        <v>3.5</v>
      </c>
      <c r="N138" s="4">
        <f>COUNTIF(Table1[[#This Row],[2019-Apr]:[2025-July]],"&gt;="&amp;Table1[[#This Row],[Target]])</f>
        <v>23</v>
      </c>
      <c r="O138" s="4">
        <f>IF(Table1[[#This Row],[Outliers 2Y]]=0,1,0)</f>
        <v>0</v>
      </c>
      <c r="P138" s="4">
        <f>IF(Table1[[#This Row],[Last value]]&gt;1.5*Table1[[#This Row],[Target]],1,0)</f>
        <v>0</v>
      </c>
      <c r="Q138" s="4">
        <f>IF(AND(1.5*Table1[[#This Row],[Target]]&gt;=Table1[[#This Row],[Last value]],Table1[[#This Row],[Last value]]&gt;Table1[[#This Row],[Target]]),1,0)</f>
        <v>0</v>
      </c>
      <c r="R138" s="4">
        <f>IF(Table1[[#This Row],[Target]]&gt;=Table1[[#This Row],[Last value]],1,0)</f>
        <v>1</v>
      </c>
      <c r="S138" s="4" t="str">
        <f t="shared" si="3"/>
        <v>Green</v>
      </c>
      <c r="T138">
        <v>0</v>
      </c>
      <c r="U138">
        <v>0</v>
      </c>
      <c r="V138">
        <v>0</v>
      </c>
      <c r="W138">
        <v>3.58</v>
      </c>
      <c r="X138">
        <v>0</v>
      </c>
      <c r="Y138">
        <v>0</v>
      </c>
      <c r="Z138">
        <v>0</v>
      </c>
      <c r="AA138">
        <v>3.8</v>
      </c>
      <c r="AB138">
        <v>5.55</v>
      </c>
      <c r="AC138">
        <v>0</v>
      </c>
      <c r="AD138">
        <v>5.8</v>
      </c>
      <c r="AE138">
        <v>5.52</v>
      </c>
      <c r="AF138">
        <v>0</v>
      </c>
      <c r="AG138">
        <v>6.31</v>
      </c>
      <c r="AH138">
        <v>10.4</v>
      </c>
      <c r="AI138">
        <v>4.38</v>
      </c>
      <c r="AJ138">
        <v>0</v>
      </c>
      <c r="AK138">
        <v>0</v>
      </c>
      <c r="AL138">
        <v>10.1</v>
      </c>
      <c r="AM138">
        <v>10.6</v>
      </c>
      <c r="AN138">
        <v>5.4</v>
      </c>
      <c r="AO138">
        <v>0</v>
      </c>
      <c r="AP138">
        <v>10.1</v>
      </c>
      <c r="AQ138">
        <v>8.01</v>
      </c>
      <c r="AR138" s="8">
        <v>12.7</v>
      </c>
      <c r="AS138" s="8">
        <v>3.95</v>
      </c>
      <c r="AT138" s="8">
        <v>11</v>
      </c>
      <c r="AU138" s="3">
        <v>0</v>
      </c>
      <c r="AV138" s="3">
        <v>7.18</v>
      </c>
      <c r="AW138" s="3">
        <v>14.1</v>
      </c>
      <c r="AX138" s="3">
        <v>0</v>
      </c>
      <c r="AY138" s="3">
        <v>7.76</v>
      </c>
      <c r="AZ138" s="3">
        <v>0</v>
      </c>
      <c r="BA138" s="3">
        <v>6.2</v>
      </c>
      <c r="BB138" s="3">
        <v>6.3</v>
      </c>
      <c r="BC138" s="3">
        <v>0</v>
      </c>
      <c r="BD138">
        <v>4.7</v>
      </c>
      <c r="BE138" s="11">
        <v>4.7030000000000003</v>
      </c>
      <c r="BF138" s="4">
        <v>0</v>
      </c>
      <c r="BG138" s="4">
        <v>5.7</v>
      </c>
      <c r="BH138" s="4">
        <v>4.1079999999999997</v>
      </c>
      <c r="BI138" s="4">
        <v>0</v>
      </c>
      <c r="BJ138" s="14">
        <v>4.0860000000000003</v>
      </c>
      <c r="BK138" s="14">
        <v>3.601</v>
      </c>
      <c r="BL138" s="4">
        <v>4.4420000000000002</v>
      </c>
      <c r="BM138" s="17">
        <v>4.0869999999999997</v>
      </c>
      <c r="BN138" s="4">
        <v>0</v>
      </c>
      <c r="BO138" s="4">
        <v>0</v>
      </c>
      <c r="BP138" s="4">
        <v>4.3849999999999998</v>
      </c>
      <c r="BQ138" s="4">
        <v>0</v>
      </c>
      <c r="BR138" s="4">
        <v>3.6360000000000001</v>
      </c>
      <c r="BS138" s="4">
        <v>3.58</v>
      </c>
      <c r="BT138" s="4">
        <v>4.758</v>
      </c>
      <c r="BU138" s="4">
        <v>5.9409999999999998</v>
      </c>
      <c r="BV138" s="4">
        <v>0</v>
      </c>
      <c r="BW138" s="4">
        <v>0</v>
      </c>
      <c r="BX138" s="4">
        <v>3.3090000000000002</v>
      </c>
      <c r="BY138" s="4">
        <v>0</v>
      </c>
      <c r="BZ138">
        <v>0</v>
      </c>
      <c r="CA138">
        <v>0</v>
      </c>
      <c r="CB138">
        <v>3.72</v>
      </c>
      <c r="CC138">
        <v>0</v>
      </c>
      <c r="CD138">
        <v>0</v>
      </c>
      <c r="CE138" s="19">
        <v>0</v>
      </c>
      <c r="CF138" s="19">
        <v>0</v>
      </c>
      <c r="CG138" s="4">
        <v>2.94</v>
      </c>
      <c r="CH138" s="4">
        <v>4.87</v>
      </c>
      <c r="CI138" s="4">
        <v>0</v>
      </c>
      <c r="CJ138" s="34">
        <v>0</v>
      </c>
      <c r="CK138" s="34">
        <v>0</v>
      </c>
      <c r="CL138" s="43">
        <v>0</v>
      </c>
      <c r="CM138" s="4">
        <v>3.3</v>
      </c>
      <c r="CN138" s="53">
        <v>3.4</v>
      </c>
      <c r="CO138" s="54">
        <v>3.9</v>
      </c>
      <c r="CP138" s="54">
        <v>3.5</v>
      </c>
      <c r="CQ138" s="4">
        <v>0</v>
      </c>
    </row>
    <row r="139" spans="1:95" x14ac:dyDescent="0.35">
      <c r="A139" s="55">
        <v>138</v>
      </c>
      <c r="B139" t="s">
        <v>99</v>
      </c>
      <c r="C139" s="27" t="s">
        <v>342</v>
      </c>
      <c r="D139" s="3" t="s">
        <v>103</v>
      </c>
      <c r="E139" s="33" t="s">
        <v>89</v>
      </c>
      <c r="F139" s="4">
        <f>IFERROR(AVERAGEIF(Table1[[#This Row],[2019-Apr]:[2025-July]],"&lt;&gt;0"),0)</f>
        <v>3.9322291666666671</v>
      </c>
      <c r="G139" s="4">
        <f ca="1">IFERROR(AVERAGEIF(OFFSET(Table1[[#This Row],[Status]],0,COUNT(Table1[[#This Row],[2019-May]:[2025-July]]),1,-12),"&lt;&gt;0"),0)</f>
        <v>2.8137500000000002</v>
      </c>
      <c r="H139" s="55">
        <f>IFERROR(SMALL(Table1[[#This Row],[2019-Apr]:[2025-July]],COUNTIF(Table1[[#This Row],[2019-Apr]:[2025-July]],0)+1),0)</f>
        <v>1.5</v>
      </c>
      <c r="I139" s="55">
        <f>IFERROR(MAX(Table1[[#This Row],[2019-Apr]:[2025-July]]),0)</f>
        <v>9.41</v>
      </c>
      <c r="J139" s="4" cm="1">
        <f t="array" ref="J13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2.1266666666666665</v>
      </c>
      <c r="K139" s="4">
        <v>4.5</v>
      </c>
      <c r="L139" s="4">
        <f>IF(Table1[[#This Row],[Standard as per ISO]]&gt;=Table1[[#This Row],[Avg of best 6]],Table1[[#This Row],[Standard as per ISO]],Table1[[#This Row],[Avg of best 6]])</f>
        <v>4.5</v>
      </c>
      <c r="M139" s="4" cm="1">
        <f t="array" ref="M139">IFERROR(LOOKUP(2,1/(Table1[[#This Row],[2019-May]:[2025-July]]&lt;&gt;0),Table1[[#This Row],[2019-May]:[2025-July]]),0)</f>
        <v>2.7</v>
      </c>
      <c r="N139" s="4">
        <f>COUNTIF(Table1[[#This Row],[2019-Apr]:[2025-July]],"&gt;="&amp;Table1[[#This Row],[Target]])</f>
        <v>12</v>
      </c>
      <c r="O139" s="4">
        <f>IF(Table1[[#This Row],[Outliers 2Y]]=0,1,0)</f>
        <v>0</v>
      </c>
      <c r="P139" s="4">
        <f>IF(Table1[[#This Row],[Last value]]&gt;1.5*Table1[[#This Row],[Target]],1,0)</f>
        <v>0</v>
      </c>
      <c r="Q139" s="4">
        <f>IF(AND(1.5*Table1[[#This Row],[Target]]&gt;=Table1[[#This Row],[Last value]],Table1[[#This Row],[Last value]]&gt;Table1[[#This Row],[Target]]),1,0)</f>
        <v>0</v>
      </c>
      <c r="R139" s="4">
        <f>IF(Table1[[#This Row],[Target]]&gt;=Table1[[#This Row],[Last value]],1,0)</f>
        <v>1</v>
      </c>
      <c r="S139" s="4" t="str">
        <f t="shared" si="3"/>
        <v>Green</v>
      </c>
      <c r="T139">
        <v>0</v>
      </c>
      <c r="U139">
        <v>0</v>
      </c>
      <c r="V139">
        <v>0</v>
      </c>
      <c r="W139">
        <v>0</v>
      </c>
      <c r="X139">
        <v>4.8</v>
      </c>
      <c r="Y139">
        <v>1.5</v>
      </c>
      <c r="Z139">
        <v>3.7</v>
      </c>
      <c r="AA139">
        <v>0</v>
      </c>
      <c r="AB139">
        <v>7.24</v>
      </c>
      <c r="AC139">
        <v>1.96</v>
      </c>
      <c r="AD139">
        <v>1.7</v>
      </c>
      <c r="AE139">
        <v>0</v>
      </c>
      <c r="AF139">
        <v>4.2</v>
      </c>
      <c r="AG139">
        <v>0</v>
      </c>
      <c r="AH139">
        <v>0</v>
      </c>
      <c r="AI139">
        <v>0</v>
      </c>
      <c r="AJ139">
        <v>4.87</v>
      </c>
      <c r="AK139">
        <v>5.13</v>
      </c>
      <c r="AL139">
        <v>4.87</v>
      </c>
      <c r="AM139">
        <v>5.54</v>
      </c>
      <c r="AN139">
        <v>5.6</v>
      </c>
      <c r="AO139">
        <v>3.7</v>
      </c>
      <c r="AP139">
        <v>0</v>
      </c>
      <c r="AQ139">
        <v>5.75</v>
      </c>
      <c r="AR139" s="8">
        <v>0</v>
      </c>
      <c r="AS139" s="8">
        <v>6.61</v>
      </c>
      <c r="AT139" s="8">
        <v>0</v>
      </c>
      <c r="AU139" s="3">
        <v>4.71</v>
      </c>
      <c r="AV139" s="3">
        <v>0</v>
      </c>
      <c r="AW139" s="3">
        <v>0</v>
      </c>
      <c r="AX139" s="3">
        <v>9.41</v>
      </c>
      <c r="AY139" s="3">
        <v>8.44</v>
      </c>
      <c r="AZ139" s="3">
        <v>4.2</v>
      </c>
      <c r="BA139" s="3">
        <v>4.3</v>
      </c>
      <c r="BB139" s="3">
        <v>0</v>
      </c>
      <c r="BC139">
        <v>3.2</v>
      </c>
      <c r="BD139">
        <v>0</v>
      </c>
      <c r="BE139" s="11">
        <v>3.4049999999999998</v>
      </c>
      <c r="BF139" s="4">
        <v>3.7930000000000001</v>
      </c>
      <c r="BG139" s="4">
        <v>4</v>
      </c>
      <c r="BH139" s="4">
        <v>0</v>
      </c>
      <c r="BI139" s="4">
        <v>2.7530000000000001</v>
      </c>
      <c r="BJ139" s="13">
        <v>0</v>
      </c>
      <c r="BK139" s="13">
        <v>0</v>
      </c>
      <c r="BL139" s="4">
        <v>2.7530000000000001</v>
      </c>
      <c r="BM139" s="16">
        <v>0</v>
      </c>
      <c r="BN139" s="4">
        <v>3.3849999999999998</v>
      </c>
      <c r="BO139" s="4">
        <v>4.319</v>
      </c>
      <c r="BP139" s="4">
        <v>0</v>
      </c>
      <c r="BQ139" s="4">
        <v>4.4649999999999999</v>
      </c>
      <c r="BR139" s="4">
        <v>3.1150000000000002</v>
      </c>
      <c r="BS139" s="4">
        <v>3.65</v>
      </c>
      <c r="BT139" s="4">
        <v>3.258</v>
      </c>
      <c r="BU139" s="4">
        <v>2.7570000000000001</v>
      </c>
      <c r="BV139" s="4">
        <v>3.2669999999999999</v>
      </c>
      <c r="BW139" s="4">
        <v>2.827</v>
      </c>
      <c r="BX139" s="4">
        <v>3.18</v>
      </c>
      <c r="BY139" s="4">
        <v>3.36</v>
      </c>
      <c r="BZ139">
        <v>3.43</v>
      </c>
      <c r="CA139">
        <v>4.3899999999999997</v>
      </c>
      <c r="CB139">
        <v>0</v>
      </c>
      <c r="CC139">
        <v>0</v>
      </c>
      <c r="CD139">
        <v>0</v>
      </c>
      <c r="CE139" s="19">
        <v>3.7</v>
      </c>
      <c r="CF139" s="19">
        <v>0</v>
      </c>
      <c r="CG139" s="4">
        <v>0</v>
      </c>
      <c r="CH139" s="4">
        <v>2.91</v>
      </c>
      <c r="CI139" s="4">
        <v>0</v>
      </c>
      <c r="CJ139" s="34">
        <v>2.6</v>
      </c>
      <c r="CK139" s="34">
        <v>2.9</v>
      </c>
      <c r="CL139" s="43">
        <v>2.5</v>
      </c>
      <c r="CM139" s="4">
        <v>0</v>
      </c>
      <c r="CN139" s="53">
        <v>2.8</v>
      </c>
      <c r="CO139" s="54">
        <v>2.6</v>
      </c>
      <c r="CP139" s="54">
        <v>2.5</v>
      </c>
      <c r="CQ139" s="4">
        <v>2.7</v>
      </c>
    </row>
    <row r="140" spans="1:95" x14ac:dyDescent="0.35">
      <c r="A140" s="55">
        <v>139</v>
      </c>
      <c r="B140" t="s">
        <v>99</v>
      </c>
      <c r="C140" s="27" t="s">
        <v>343</v>
      </c>
      <c r="D140" s="3" t="s">
        <v>102</v>
      </c>
      <c r="E140" s="33" t="s">
        <v>91</v>
      </c>
      <c r="F140" s="4">
        <f>IFERROR(AVERAGEIF(Table1[[#This Row],[2019-Apr]:[2025-July]],"&lt;&gt;0"),0)</f>
        <v>5.2691891891891887</v>
      </c>
      <c r="G140" s="4">
        <f ca="1">IFERROR(AVERAGEIF(OFFSET(Table1[[#This Row],[Status]],0,COUNT(Table1[[#This Row],[2019-May]:[2025-July]]),1,-12),"&lt;&gt;0"),0)</f>
        <v>5</v>
      </c>
      <c r="H140" s="55">
        <f>IFERROR(SMALL(Table1[[#This Row],[2019-Apr]:[2025-July]],COUNTIF(Table1[[#This Row],[2019-Apr]:[2025-July]],0)+1),0)</f>
        <v>1.42</v>
      </c>
      <c r="I140" s="55">
        <f>IFERROR(MAX(Table1[[#This Row],[2019-Apr]:[2025-July]]),0)</f>
        <v>9.6999999999999993</v>
      </c>
      <c r="J140" s="4" cm="1">
        <f t="array" ref="J14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3.1613333333333333</v>
      </c>
      <c r="K140" s="4">
        <v>4.5</v>
      </c>
      <c r="L140" s="4">
        <f>IF(Table1[[#This Row],[Standard as per ISO]]&gt;=Table1[[#This Row],[Avg of best 6]],Table1[[#This Row],[Standard as per ISO]],Table1[[#This Row],[Avg of best 6]])</f>
        <v>4.5</v>
      </c>
      <c r="M140" s="4" cm="1">
        <f t="array" ref="M140">IFERROR(LOOKUP(2,1/(Table1[[#This Row],[2019-May]:[2025-July]]&lt;&gt;0),Table1[[#This Row],[2019-May]:[2025-July]]),0)</f>
        <v>5.5</v>
      </c>
      <c r="N140" s="4">
        <f>COUNTIF(Table1[[#This Row],[2019-Apr]:[2025-July]],"&gt;="&amp;Table1[[#This Row],[Target]])</f>
        <v>27</v>
      </c>
      <c r="O140" s="4">
        <f>IF(Table1[[#This Row],[Outliers 2Y]]=0,1,0)</f>
        <v>0</v>
      </c>
      <c r="P140" s="4">
        <f>IF(Table1[[#This Row],[Last value]]&gt;1.5*Table1[[#This Row],[Target]],1,0)</f>
        <v>0</v>
      </c>
      <c r="Q140" s="4">
        <f>IF(AND(1.5*Table1[[#This Row],[Target]]&gt;=Table1[[#This Row],[Last value]],Table1[[#This Row],[Last value]]&gt;Table1[[#This Row],[Target]]),1,0)</f>
        <v>1</v>
      </c>
      <c r="R140" s="4">
        <f>IF(Table1[[#This Row],[Target]]&gt;=Table1[[#This Row],[Last value]],1,0)</f>
        <v>0</v>
      </c>
      <c r="S140" s="4" t="str">
        <f t="shared" si="3"/>
        <v>Yellow</v>
      </c>
      <c r="T140">
        <v>0</v>
      </c>
      <c r="U140">
        <v>0</v>
      </c>
      <c r="V140">
        <v>0</v>
      </c>
      <c r="W140">
        <v>9.6999999999999993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1.42</v>
      </c>
      <c r="AD140">
        <v>4.5999999999999996</v>
      </c>
      <c r="AE140">
        <v>4.7</v>
      </c>
      <c r="AF140">
        <v>0</v>
      </c>
      <c r="AG140">
        <v>5.25</v>
      </c>
      <c r="AH140">
        <v>0</v>
      </c>
      <c r="AI140">
        <v>0</v>
      </c>
      <c r="AJ140">
        <v>3.89</v>
      </c>
      <c r="AK140">
        <v>7.96</v>
      </c>
      <c r="AL140">
        <v>8.18</v>
      </c>
      <c r="AM140">
        <v>6.56</v>
      </c>
      <c r="AN140">
        <v>0</v>
      </c>
      <c r="AO140">
        <v>6.7</v>
      </c>
      <c r="AP140">
        <v>8.9</v>
      </c>
      <c r="AQ140">
        <v>5.6</v>
      </c>
      <c r="AR140" s="8">
        <v>5.63</v>
      </c>
      <c r="AS140" s="8">
        <v>5.77</v>
      </c>
      <c r="AT140" s="8">
        <v>0</v>
      </c>
      <c r="AU140" s="3">
        <v>4.93</v>
      </c>
      <c r="AV140" s="3">
        <v>5.2</v>
      </c>
      <c r="AW140" s="3">
        <v>0</v>
      </c>
      <c r="AX140" s="3">
        <v>0</v>
      </c>
      <c r="AY140" s="3">
        <v>0</v>
      </c>
      <c r="AZ140" s="3">
        <v>5.3</v>
      </c>
      <c r="BA140" s="3">
        <v>0</v>
      </c>
      <c r="BB140" s="3">
        <v>4.5999999999999996</v>
      </c>
      <c r="BC140">
        <v>3.9</v>
      </c>
      <c r="BD140">
        <v>0</v>
      </c>
      <c r="BE140" s="11">
        <v>4.7080000000000002</v>
      </c>
      <c r="BF140" s="4">
        <v>5.2709999999999999</v>
      </c>
      <c r="BG140" s="4">
        <v>0</v>
      </c>
      <c r="BH140" s="4">
        <v>0</v>
      </c>
      <c r="BI140" s="4">
        <v>3.8</v>
      </c>
      <c r="BJ140" s="14">
        <v>3.6549999999999998</v>
      </c>
      <c r="BK140" s="14">
        <v>0</v>
      </c>
      <c r="BL140" s="4">
        <v>0</v>
      </c>
      <c r="BM140" s="17">
        <v>3.4129999999999998</v>
      </c>
      <c r="BN140" s="4">
        <v>4.3899999999999997</v>
      </c>
      <c r="BO140" s="4">
        <v>3.496</v>
      </c>
      <c r="BP140" s="4">
        <v>5.1959999999999997</v>
      </c>
      <c r="BQ140" s="4">
        <v>3.1840000000000002</v>
      </c>
      <c r="BR140" s="4">
        <v>0</v>
      </c>
      <c r="BS140" s="4">
        <v>0</v>
      </c>
      <c r="BT140" s="4">
        <v>0</v>
      </c>
      <c r="BU140" s="4">
        <v>5.3460000000000001</v>
      </c>
      <c r="BV140" s="4">
        <v>5.9980000000000002</v>
      </c>
      <c r="BW140" s="4">
        <v>4.3380000000000001</v>
      </c>
      <c r="BX140" s="4">
        <v>5.649</v>
      </c>
      <c r="BY140" s="4">
        <v>5.976</v>
      </c>
      <c r="BZ140">
        <v>5.35</v>
      </c>
      <c r="CA140">
        <v>6.4</v>
      </c>
      <c r="CB140">
        <v>0</v>
      </c>
      <c r="CC140">
        <v>0</v>
      </c>
      <c r="CD140">
        <v>0</v>
      </c>
      <c r="CE140" s="19">
        <v>4.5</v>
      </c>
      <c r="CF140" s="19">
        <v>0</v>
      </c>
      <c r="CG140" s="4">
        <v>0</v>
      </c>
      <c r="CH140" s="4">
        <v>0</v>
      </c>
      <c r="CI140" s="4">
        <v>0</v>
      </c>
      <c r="CJ140" s="34">
        <v>5.5</v>
      </c>
      <c r="CK140" s="34">
        <v>0</v>
      </c>
      <c r="CL140" s="34">
        <v>0</v>
      </c>
      <c r="CM140" s="4">
        <v>0</v>
      </c>
      <c r="CN140" s="53">
        <v>0</v>
      </c>
      <c r="CO140" s="54">
        <v>0</v>
      </c>
      <c r="CP140" s="54">
        <v>0</v>
      </c>
      <c r="CQ140" s="4">
        <v>0</v>
      </c>
    </row>
    <row r="141" spans="1:95" x14ac:dyDescent="0.35">
      <c r="A141" s="55">
        <v>140</v>
      </c>
      <c r="B141" t="s">
        <v>99</v>
      </c>
      <c r="C141" s="27" t="s">
        <v>344</v>
      </c>
      <c r="D141" s="3" t="s">
        <v>102</v>
      </c>
      <c r="E141" s="33" t="s">
        <v>91</v>
      </c>
      <c r="F141" s="4">
        <f>IFERROR(AVERAGEIF(Table1[[#This Row],[2019-Apr]:[2025-July]],"&lt;&gt;0"),0)</f>
        <v>6.3445</v>
      </c>
      <c r="G141" s="4">
        <f ca="1">IFERROR(AVERAGEIF(OFFSET(Table1[[#This Row],[Status]],0,COUNT(Table1[[#This Row],[2019-May]:[2025-July]]),1,-12),"&lt;&gt;0"),0)</f>
        <v>5.4024999999999999</v>
      </c>
      <c r="H141" s="55">
        <f>IFERROR(SMALL(Table1[[#This Row],[2019-Apr]:[2025-July]],COUNTIF(Table1[[#This Row],[2019-Apr]:[2025-July]],0)+1),0)</f>
        <v>3.8</v>
      </c>
      <c r="I141" s="55">
        <f>IFERROR(MAX(Table1[[#This Row],[2019-Apr]:[2025-July]]),0)</f>
        <v>10.4</v>
      </c>
      <c r="J141" s="4" cm="1">
        <f t="array" ref="J14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4.6071666666666671</v>
      </c>
      <c r="K141" s="4">
        <v>4.5</v>
      </c>
      <c r="L141" s="4">
        <f>IF(Table1[[#This Row],[Standard as per ISO]]&gt;=Table1[[#This Row],[Avg of best 6]],Table1[[#This Row],[Standard as per ISO]],Table1[[#This Row],[Avg of best 6]])</f>
        <v>4.6071666666666671</v>
      </c>
      <c r="M141" s="4" cm="1">
        <f t="array" ref="M141">IFERROR(LOOKUP(2,1/(Table1[[#This Row],[2019-May]:[2025-July]]&lt;&gt;0),Table1[[#This Row],[2019-May]:[2025-July]]),0)</f>
        <v>5.3</v>
      </c>
      <c r="N141" s="4">
        <f>COUNTIF(Table1[[#This Row],[2019-Apr]:[2025-July]],"&gt;="&amp;Table1[[#This Row],[Target]])</f>
        <v>30</v>
      </c>
      <c r="O141" s="4">
        <f>IF(Table1[[#This Row],[Outliers 2Y]]=0,1,0)</f>
        <v>0</v>
      </c>
      <c r="P141" s="4">
        <f>IF(Table1[[#This Row],[Last value]]&gt;1.5*Table1[[#This Row],[Target]],1,0)</f>
        <v>0</v>
      </c>
      <c r="Q141" s="4">
        <f>IF(AND(1.5*Table1[[#This Row],[Target]]&gt;=Table1[[#This Row],[Last value]],Table1[[#This Row],[Last value]]&gt;Table1[[#This Row],[Target]]),1,0)</f>
        <v>1</v>
      </c>
      <c r="R141" s="4">
        <f>IF(Table1[[#This Row],[Target]]&gt;=Table1[[#This Row],[Last value]],1,0)</f>
        <v>0</v>
      </c>
      <c r="S141" s="4" t="str">
        <f t="shared" si="3"/>
        <v>Yellow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6.15</v>
      </c>
      <c r="Z141">
        <v>10.3</v>
      </c>
      <c r="AA141">
        <v>9.9</v>
      </c>
      <c r="AB141">
        <v>6.2</v>
      </c>
      <c r="AC141">
        <v>0</v>
      </c>
      <c r="AD141">
        <v>0</v>
      </c>
      <c r="AE141">
        <v>9.5</v>
      </c>
      <c r="AF141">
        <v>0</v>
      </c>
      <c r="AG141">
        <v>0</v>
      </c>
      <c r="AH141">
        <v>6.6</v>
      </c>
      <c r="AI141">
        <v>10.4</v>
      </c>
      <c r="AJ141">
        <v>0</v>
      </c>
      <c r="AK141">
        <v>0</v>
      </c>
      <c r="AL141">
        <v>9.82</v>
      </c>
      <c r="AM141">
        <v>0</v>
      </c>
      <c r="AN141">
        <v>5.2</v>
      </c>
      <c r="AO141">
        <v>0</v>
      </c>
      <c r="AP141">
        <v>0</v>
      </c>
      <c r="AQ141">
        <v>0</v>
      </c>
      <c r="AR141" s="8">
        <v>0</v>
      </c>
      <c r="AS141" s="8">
        <v>0</v>
      </c>
      <c r="AT141" s="8">
        <v>5.64</v>
      </c>
      <c r="AU141" s="3">
        <v>0</v>
      </c>
      <c r="AV141" s="3">
        <v>0</v>
      </c>
      <c r="AW141" s="3">
        <v>7</v>
      </c>
      <c r="AX141" s="3">
        <v>4.9000000000000004</v>
      </c>
      <c r="AY141" s="3">
        <v>6.49</v>
      </c>
      <c r="AZ141" s="3">
        <v>6</v>
      </c>
      <c r="BA141" s="3">
        <v>5.31</v>
      </c>
      <c r="BB141" s="3">
        <v>6.2</v>
      </c>
      <c r="BC141" s="3">
        <v>0</v>
      </c>
      <c r="BD141">
        <v>5.4</v>
      </c>
      <c r="BE141" s="11">
        <v>0</v>
      </c>
      <c r="BF141" s="4">
        <v>0</v>
      </c>
      <c r="BG141" s="4">
        <v>3.8</v>
      </c>
      <c r="BH141" s="4">
        <v>5.54</v>
      </c>
      <c r="BI141" s="4">
        <v>7.0389999999999997</v>
      </c>
      <c r="BJ141" s="13">
        <v>0</v>
      </c>
      <c r="BK141" s="13">
        <v>5.8559999999999999</v>
      </c>
      <c r="BL141" s="4">
        <v>5.2380000000000004</v>
      </c>
      <c r="BM141" s="16">
        <v>6.3179999999999996</v>
      </c>
      <c r="BN141" s="4">
        <v>0</v>
      </c>
      <c r="BO141" s="4">
        <v>0</v>
      </c>
      <c r="BP141" s="4">
        <v>0</v>
      </c>
      <c r="BQ141" s="4">
        <v>0</v>
      </c>
      <c r="BR141" s="4">
        <v>4.7850000000000001</v>
      </c>
      <c r="BS141" s="4">
        <v>4.7830000000000004</v>
      </c>
      <c r="BT141" s="4">
        <v>4.8849999999999998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>
        <v>6.29</v>
      </c>
      <c r="CA141">
        <v>0</v>
      </c>
      <c r="CB141">
        <v>5.87</v>
      </c>
      <c r="CC141">
        <v>0</v>
      </c>
      <c r="CD141">
        <v>0</v>
      </c>
      <c r="CE141" s="19">
        <v>0</v>
      </c>
      <c r="CF141" s="19">
        <v>4.8</v>
      </c>
      <c r="CG141" s="4">
        <v>0</v>
      </c>
      <c r="CH141" s="4">
        <v>6.92</v>
      </c>
      <c r="CI141" s="4">
        <v>4.59</v>
      </c>
      <c r="CJ141" s="34">
        <v>5.3</v>
      </c>
      <c r="CK141" s="34">
        <v>0</v>
      </c>
      <c r="CL141" s="34">
        <v>0</v>
      </c>
      <c r="CM141" s="4">
        <v>0</v>
      </c>
      <c r="CN141" s="53">
        <v>0</v>
      </c>
      <c r="CO141" s="54">
        <v>0</v>
      </c>
      <c r="CP141" s="54">
        <v>0</v>
      </c>
      <c r="CQ141" s="4">
        <v>0</v>
      </c>
    </row>
    <row r="142" spans="1:95" x14ac:dyDescent="0.35">
      <c r="A142" s="55">
        <v>141</v>
      </c>
      <c r="B142" t="s">
        <v>99</v>
      </c>
      <c r="C142" s="27" t="s">
        <v>345</v>
      </c>
      <c r="D142" s="3" t="s">
        <v>94</v>
      </c>
      <c r="E142" s="33" t="s">
        <v>91</v>
      </c>
      <c r="F142" s="4">
        <f>IFERROR(AVERAGEIF(Table1[[#This Row],[2019-Apr]:[2025-July]],"&lt;&gt;0"),0)</f>
        <v>1.5644827586206893</v>
      </c>
      <c r="G142" s="4">
        <f ca="1">IFERROR(AVERAGEIF(OFFSET(Table1[[#This Row],[Status]],0,COUNT(Table1[[#This Row],[2019-May]:[2025-July]]),1,-12),"&lt;&gt;0"),0)</f>
        <v>2.1949999999999998</v>
      </c>
      <c r="H142" s="55">
        <f>IFERROR(SMALL(Table1[[#This Row],[2019-Apr]:[2025-July]],COUNTIF(Table1[[#This Row],[2019-Apr]:[2025-July]],0)+1),0)</f>
        <v>0.7</v>
      </c>
      <c r="I142" s="55">
        <f>IFERROR(MAX(Table1[[#This Row],[2019-Apr]:[2025-July]]),0)</f>
        <v>3.79</v>
      </c>
      <c r="J142" s="4" cm="1">
        <f t="array" ref="J14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0.98000000000000009</v>
      </c>
      <c r="K142" s="4">
        <v>4.5</v>
      </c>
      <c r="L142" s="4">
        <f>IF(Table1[[#This Row],[Standard as per ISO]]&gt;=Table1[[#This Row],[Avg of best 6]],Table1[[#This Row],[Standard as per ISO]],Table1[[#This Row],[Avg of best 6]])</f>
        <v>4.5</v>
      </c>
      <c r="M142" s="4" cm="1">
        <f t="array" ref="M142">IFERROR(LOOKUP(2,1/(Table1[[#This Row],[2019-May]:[2025-July]]&lt;&gt;0),Table1[[#This Row],[2019-May]:[2025-July]]),0)</f>
        <v>1.64</v>
      </c>
      <c r="N142" s="4">
        <f>COUNTIF(Table1[[#This Row],[2019-Apr]:[2025-July]],"&gt;="&amp;Table1[[#This Row],[Target]])</f>
        <v>0</v>
      </c>
      <c r="O142" s="4">
        <f>IF(Table1[[#This Row],[Outliers 2Y]]=0,1,0)</f>
        <v>1</v>
      </c>
      <c r="P142" s="4">
        <f>IF(Table1[[#This Row],[Last value]]&gt;1.5*Table1[[#This Row],[Target]],1,0)</f>
        <v>0</v>
      </c>
      <c r="Q142" s="4">
        <f>IF(AND(1.5*Table1[[#This Row],[Target]]&gt;=Table1[[#This Row],[Last value]],Table1[[#This Row],[Last value]]&gt;Table1[[#This Row],[Target]]),1,0)</f>
        <v>0</v>
      </c>
      <c r="R142" s="4">
        <f>IF(Table1[[#This Row],[Target]]&gt;=Table1[[#This Row],[Last value]],1,0)</f>
        <v>1</v>
      </c>
      <c r="S142" s="4" t="str">
        <f t="shared" si="3"/>
        <v>Green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3.1</v>
      </c>
      <c r="AA142">
        <v>1.05</v>
      </c>
      <c r="AB142">
        <v>1.3</v>
      </c>
      <c r="AC142">
        <v>1.3</v>
      </c>
      <c r="AD142">
        <v>0.7</v>
      </c>
      <c r="AE142">
        <v>1.26</v>
      </c>
      <c r="AF142">
        <v>0</v>
      </c>
      <c r="AG142">
        <v>1.03</v>
      </c>
      <c r="AH142">
        <v>1.1000000000000001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1.4</v>
      </c>
      <c r="AP142">
        <v>2</v>
      </c>
      <c r="AQ142">
        <v>3.79</v>
      </c>
      <c r="AR142" s="8">
        <v>1.75</v>
      </c>
      <c r="AS142" s="8">
        <v>1.3</v>
      </c>
      <c r="AT142" s="8">
        <v>1.56</v>
      </c>
      <c r="AU142" s="3">
        <v>1.8</v>
      </c>
      <c r="AV142" s="3">
        <v>1.79</v>
      </c>
      <c r="AW142" s="3">
        <v>2.4500000000000002</v>
      </c>
      <c r="AX142" s="3">
        <v>1.1399999999999999</v>
      </c>
      <c r="AY142" s="3">
        <v>1.1399999999999999</v>
      </c>
      <c r="AZ142" s="3">
        <v>0</v>
      </c>
      <c r="BA142" s="3">
        <v>0</v>
      </c>
      <c r="BB142" s="3">
        <v>1</v>
      </c>
      <c r="BC142" s="3">
        <v>0</v>
      </c>
      <c r="BD142">
        <v>0</v>
      </c>
      <c r="BE142" s="11">
        <v>0</v>
      </c>
      <c r="BF142" s="4">
        <v>1.4279999999999999</v>
      </c>
      <c r="BG142" s="4">
        <v>0</v>
      </c>
      <c r="BH142" s="4">
        <v>0</v>
      </c>
      <c r="BI142" s="4">
        <v>0</v>
      </c>
      <c r="BJ142" s="14">
        <v>0</v>
      </c>
      <c r="BK142" s="14">
        <v>0</v>
      </c>
      <c r="BL142" s="4">
        <v>1.1879999999999999</v>
      </c>
      <c r="BM142" s="17">
        <v>0</v>
      </c>
      <c r="BN142" s="4">
        <v>0</v>
      </c>
      <c r="BO142" s="4">
        <v>0</v>
      </c>
      <c r="BP142" s="4">
        <v>1.407</v>
      </c>
      <c r="BQ142" s="4">
        <v>0</v>
      </c>
      <c r="BR142" s="4">
        <v>0</v>
      </c>
      <c r="BS142" s="4">
        <v>1.357</v>
      </c>
      <c r="BT142" s="4">
        <v>0</v>
      </c>
      <c r="BU142" s="4">
        <v>0</v>
      </c>
      <c r="BV142" s="4">
        <v>0</v>
      </c>
      <c r="BW142" s="4">
        <v>1.32</v>
      </c>
      <c r="BX142" s="4">
        <v>0</v>
      </c>
      <c r="BY142" s="4">
        <v>0</v>
      </c>
      <c r="BZ142">
        <v>0</v>
      </c>
      <c r="CA142">
        <v>0</v>
      </c>
      <c r="CB142">
        <v>0</v>
      </c>
      <c r="CC142">
        <v>0</v>
      </c>
      <c r="CD142">
        <v>1.32</v>
      </c>
      <c r="CE142" s="19">
        <v>0</v>
      </c>
      <c r="CF142" s="19">
        <v>0</v>
      </c>
      <c r="CG142" s="4">
        <v>2.75</v>
      </c>
      <c r="CH142" s="4">
        <v>1.64</v>
      </c>
      <c r="CI142" s="4">
        <v>0</v>
      </c>
      <c r="CJ142" s="34">
        <v>0</v>
      </c>
      <c r="CK142" s="34">
        <v>0</v>
      </c>
      <c r="CL142" s="34">
        <v>0</v>
      </c>
      <c r="CM142" s="4">
        <v>0</v>
      </c>
      <c r="CN142" s="53">
        <v>0</v>
      </c>
      <c r="CO142" s="54">
        <v>0</v>
      </c>
      <c r="CP142" s="54">
        <v>0</v>
      </c>
      <c r="CQ142" s="4">
        <v>0</v>
      </c>
    </row>
    <row r="143" spans="1:95" x14ac:dyDescent="0.35">
      <c r="A143" s="55">
        <v>142</v>
      </c>
      <c r="B143" t="s">
        <v>99</v>
      </c>
      <c r="C143" s="27" t="s">
        <v>346</v>
      </c>
      <c r="D143" s="3" t="s">
        <v>94</v>
      </c>
      <c r="E143" s="33" t="s">
        <v>91</v>
      </c>
      <c r="F143" s="4">
        <f>IFERROR(AVERAGEIF(Table1[[#This Row],[2019-Apr]:[2025-July]],"&lt;&gt;0"),0)</f>
        <v>1.7594333333333338</v>
      </c>
      <c r="G143" s="4">
        <f ca="1">IFERROR(AVERAGEIF(OFFSET(Table1[[#This Row],[Status]],0,COUNT(Table1[[#This Row],[2019-May]:[2025-July]]),1,-12),"&lt;&gt;0"),0)</f>
        <v>5.52</v>
      </c>
      <c r="H143" s="55">
        <f>IFERROR(SMALL(Table1[[#This Row],[2019-Apr]:[2025-July]],COUNTIF(Table1[[#This Row],[2019-Apr]:[2025-July]],0)+1),0)</f>
        <v>0.77</v>
      </c>
      <c r="I143" s="55">
        <f>IFERROR(MAX(Table1[[#This Row],[2019-Apr]:[2025-July]]),0)</f>
        <v>5.52</v>
      </c>
      <c r="J143" s="4" cm="1">
        <f t="array" ref="J14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0.92416666666666669</v>
      </c>
      <c r="K143" s="4">
        <v>4.5</v>
      </c>
      <c r="L143" s="4">
        <f>IF(Table1[[#This Row],[Standard as per ISO]]&gt;=Table1[[#This Row],[Avg of best 6]],Table1[[#This Row],[Standard as per ISO]],Table1[[#This Row],[Avg of best 6]])</f>
        <v>4.5</v>
      </c>
      <c r="M143" s="4" cm="1">
        <f t="array" ref="M143">IFERROR(LOOKUP(2,1/(Table1[[#This Row],[2019-May]:[2025-July]]&lt;&gt;0),Table1[[#This Row],[2019-May]:[2025-July]]),0)</f>
        <v>5.52</v>
      </c>
      <c r="N143" s="4">
        <f>COUNTIF(Table1[[#This Row],[2019-Apr]:[2025-July]],"&gt;="&amp;Table1[[#This Row],[Target]])</f>
        <v>2</v>
      </c>
      <c r="O143" s="4">
        <f>IF(Table1[[#This Row],[Outliers 2Y]]=0,1,0)</f>
        <v>0</v>
      </c>
      <c r="P143" s="4">
        <f>IF(Table1[[#This Row],[Last value]]&gt;1.5*Table1[[#This Row],[Target]],1,0)</f>
        <v>0</v>
      </c>
      <c r="Q143" s="4">
        <f>IF(AND(1.5*Table1[[#This Row],[Target]]&gt;=Table1[[#This Row],[Last value]],Table1[[#This Row],[Last value]]&gt;Table1[[#This Row],[Target]]),1,0)</f>
        <v>1</v>
      </c>
      <c r="R143" s="4">
        <f>IF(Table1[[#This Row],[Target]]&gt;=Table1[[#This Row],[Last value]],1,0)</f>
        <v>0</v>
      </c>
      <c r="S143" s="4" t="str">
        <f t="shared" si="3"/>
        <v>Yellow</v>
      </c>
      <c r="T143">
        <v>0</v>
      </c>
      <c r="U143">
        <v>0</v>
      </c>
      <c r="V143">
        <v>0</v>
      </c>
      <c r="W143">
        <v>0</v>
      </c>
      <c r="X143">
        <v>1.28</v>
      </c>
      <c r="Y143">
        <v>1.39</v>
      </c>
      <c r="Z143">
        <v>1.7</v>
      </c>
      <c r="AA143">
        <v>0</v>
      </c>
      <c r="AB143">
        <v>3.9</v>
      </c>
      <c r="AC143">
        <v>2.61</v>
      </c>
      <c r="AD143">
        <v>0.77</v>
      </c>
      <c r="AE143">
        <v>0.91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2.29</v>
      </c>
      <c r="AL143">
        <v>2.36</v>
      </c>
      <c r="AM143">
        <v>5.46</v>
      </c>
      <c r="AN143">
        <v>1.3</v>
      </c>
      <c r="AO143">
        <v>0</v>
      </c>
      <c r="AP143">
        <v>1.1200000000000001</v>
      </c>
      <c r="AQ143">
        <v>1.1200000000000001</v>
      </c>
      <c r="AR143" s="8">
        <v>1.34</v>
      </c>
      <c r="AS143" s="8">
        <v>0</v>
      </c>
      <c r="AT143" s="8">
        <v>1.1299999999999999</v>
      </c>
      <c r="AU143" s="3">
        <v>1.26</v>
      </c>
      <c r="AV143" s="3">
        <v>0</v>
      </c>
      <c r="AW143" s="3">
        <v>0</v>
      </c>
      <c r="AX143" s="3">
        <v>1.21</v>
      </c>
      <c r="AY143" s="3">
        <v>0</v>
      </c>
      <c r="AZ143" s="3">
        <v>1.3</v>
      </c>
      <c r="BA143" s="3">
        <v>0.9</v>
      </c>
      <c r="BB143" s="3">
        <v>0</v>
      </c>
      <c r="BC143">
        <v>1.3</v>
      </c>
      <c r="BD143">
        <v>1.1000000000000001</v>
      </c>
      <c r="BE143" s="11">
        <v>1.718</v>
      </c>
      <c r="BF143" s="4">
        <v>0</v>
      </c>
      <c r="BG143" s="4">
        <v>1.7</v>
      </c>
      <c r="BH143" s="4">
        <v>1.754</v>
      </c>
      <c r="BI143" s="4">
        <v>0.871</v>
      </c>
      <c r="BJ143" s="13">
        <v>0</v>
      </c>
      <c r="BK143" s="13">
        <v>0</v>
      </c>
      <c r="BL143" s="4">
        <v>0.99399999999999999</v>
      </c>
      <c r="BM143" s="16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1.3959999999999999</v>
      </c>
      <c r="BT143" s="4">
        <v>0</v>
      </c>
      <c r="BU143" s="4">
        <v>0</v>
      </c>
      <c r="BV143" s="4">
        <v>0</v>
      </c>
      <c r="BW143" s="4">
        <v>1.74</v>
      </c>
      <c r="BX143" s="4">
        <v>0</v>
      </c>
      <c r="BY143" s="4">
        <v>0</v>
      </c>
      <c r="BZ143">
        <v>0</v>
      </c>
      <c r="CA143">
        <v>0</v>
      </c>
      <c r="CB143">
        <v>0</v>
      </c>
      <c r="CC143">
        <v>0</v>
      </c>
      <c r="CD143">
        <v>1.34</v>
      </c>
      <c r="CE143" s="19">
        <v>0</v>
      </c>
      <c r="CF143" s="19">
        <v>0</v>
      </c>
      <c r="CG143" s="4">
        <v>5.52</v>
      </c>
      <c r="CH143" s="4">
        <v>0</v>
      </c>
      <c r="CI143" s="4">
        <v>0</v>
      </c>
      <c r="CJ143" s="34">
        <v>0</v>
      </c>
      <c r="CK143" s="34">
        <v>0</v>
      </c>
      <c r="CL143" s="34">
        <v>0</v>
      </c>
      <c r="CM143" s="4">
        <v>0</v>
      </c>
      <c r="CN143" s="53">
        <v>0</v>
      </c>
      <c r="CO143" s="54">
        <v>0</v>
      </c>
      <c r="CP143" s="54">
        <v>0</v>
      </c>
      <c r="CQ143" s="4">
        <v>0</v>
      </c>
    </row>
    <row r="144" spans="1:95" x14ac:dyDescent="0.35">
      <c r="A144" s="55">
        <v>143</v>
      </c>
      <c r="B144" t="s">
        <v>99</v>
      </c>
      <c r="C144" s="27" t="s">
        <v>347</v>
      </c>
      <c r="D144" s="3" t="s">
        <v>94</v>
      </c>
      <c r="E144" s="33" t="s">
        <v>91</v>
      </c>
      <c r="F144" s="4">
        <f>IFERROR(AVERAGEIF(Table1[[#This Row],[2019-Apr]:[2025-July]],"&lt;&gt;0"),0)</f>
        <v>1.29</v>
      </c>
      <c r="G144" s="4">
        <f ca="1">IFERROR(AVERAGEIF(OFFSET(Table1[[#This Row],[Status]],0,COUNT(Table1[[#This Row],[2019-May]:[2025-July]]),1,-12),"&lt;&gt;0"),0)</f>
        <v>1.33</v>
      </c>
      <c r="H144" s="55">
        <f>IFERROR(SMALL(Table1[[#This Row],[2019-Apr]:[2025-July]],COUNTIF(Table1[[#This Row],[2019-Apr]:[2025-July]],0)+1),0)</f>
        <v>0.9</v>
      </c>
      <c r="I144" s="55">
        <f>IFERROR(MAX(Table1[[#This Row],[2019-Apr]:[2025-July]]),0)</f>
        <v>1.69</v>
      </c>
      <c r="J144" s="4" cm="1">
        <f t="array" ref="J14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1.29</v>
      </c>
      <c r="K144" s="4">
        <v>4.5</v>
      </c>
      <c r="L144" s="4">
        <f>IF(Table1[[#This Row],[Standard as per ISO]]&gt;=Table1[[#This Row],[Avg of best 6]],Table1[[#This Row],[Standard as per ISO]],Table1[[#This Row],[Avg of best 6]])</f>
        <v>4.5</v>
      </c>
      <c r="M144" s="4" cm="1">
        <f t="array" ref="M144">IFERROR(LOOKUP(2,1/(Table1[[#This Row],[2019-May]:[2025-July]]&lt;&gt;0),Table1[[#This Row],[2019-May]:[2025-July]]),0)</f>
        <v>1.36</v>
      </c>
      <c r="N144" s="4">
        <f>COUNTIF(Table1[[#This Row],[2019-Apr]:[2025-July]],"&gt;="&amp;Table1[[#This Row],[Target]])</f>
        <v>0</v>
      </c>
      <c r="O144" s="4">
        <f>IF(Table1[[#This Row],[Outliers 2Y]]=0,1,0)</f>
        <v>1</v>
      </c>
      <c r="P144" s="4">
        <f>IF(Table1[[#This Row],[Last value]]&gt;1.5*Table1[[#This Row],[Target]],1,0)</f>
        <v>0</v>
      </c>
      <c r="Q144" s="4">
        <f>IF(AND(1.5*Table1[[#This Row],[Target]]&gt;=Table1[[#This Row],[Last value]],Table1[[#This Row],[Last value]]&gt;Table1[[#This Row],[Target]]),1,0)</f>
        <v>0</v>
      </c>
      <c r="R144" s="4">
        <f>IF(Table1[[#This Row],[Target]]&gt;=Table1[[#This Row],[Last value]],1,0)</f>
        <v>1</v>
      </c>
      <c r="S144" s="4" t="str">
        <f t="shared" si="3"/>
        <v>Green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0.9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8">
        <v>0</v>
      </c>
      <c r="AS144" s="8">
        <v>0</v>
      </c>
      <c r="AT144" s="8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1.69</v>
      </c>
      <c r="BB144" s="3">
        <v>0</v>
      </c>
      <c r="BC144">
        <v>1.2</v>
      </c>
      <c r="BD144">
        <v>0</v>
      </c>
      <c r="BE144" s="11">
        <v>0</v>
      </c>
      <c r="BF144" s="4">
        <v>0</v>
      </c>
      <c r="BG144" s="4">
        <v>0</v>
      </c>
      <c r="BH144" s="4">
        <v>0</v>
      </c>
      <c r="BI144" s="4">
        <v>0</v>
      </c>
      <c r="BJ144" s="14">
        <v>0</v>
      </c>
      <c r="BK144" s="14">
        <v>0</v>
      </c>
      <c r="BL144" s="4">
        <v>0</v>
      </c>
      <c r="BM144" s="17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 s="19">
        <v>1.3</v>
      </c>
      <c r="CF144" s="19">
        <v>0</v>
      </c>
      <c r="CG144" s="4">
        <v>0</v>
      </c>
      <c r="CH144" s="4">
        <v>1.36</v>
      </c>
      <c r="CI144" s="4">
        <v>0</v>
      </c>
      <c r="CJ144" s="34">
        <v>0</v>
      </c>
      <c r="CK144" s="34">
        <v>0</v>
      </c>
      <c r="CL144" s="34">
        <v>0</v>
      </c>
      <c r="CM144" s="4">
        <v>0</v>
      </c>
      <c r="CN144" s="53">
        <v>0</v>
      </c>
      <c r="CO144" s="54">
        <v>0</v>
      </c>
      <c r="CP144" s="54">
        <v>0</v>
      </c>
      <c r="CQ144" s="4">
        <v>0</v>
      </c>
    </row>
    <row r="145" spans="1:95" x14ac:dyDescent="0.35">
      <c r="A145" s="55">
        <v>144</v>
      </c>
      <c r="B145" t="s">
        <v>99</v>
      </c>
      <c r="C145" s="27" t="s">
        <v>348</v>
      </c>
      <c r="D145" s="3" t="s">
        <v>102</v>
      </c>
      <c r="E145" s="33" t="s">
        <v>91</v>
      </c>
      <c r="F145" s="4">
        <f>IFERROR(AVERAGEIF(Table1[[#This Row],[2019-Apr]:[2025-July]],"&lt;&gt;0"),0)</f>
        <v>6.9952653061224499</v>
      </c>
      <c r="G145" s="4">
        <f ca="1">IFERROR(AVERAGEIF(OFFSET(Table1[[#This Row],[Status]],0,COUNT(Table1[[#This Row],[2019-May]:[2025-July]]),1,-12),"&lt;&gt;0"),0)</f>
        <v>5.7066666666666661</v>
      </c>
      <c r="H145" s="55">
        <f>IFERROR(SMALL(Table1[[#This Row],[2019-Apr]:[2025-July]],COUNTIF(Table1[[#This Row],[2019-Apr]:[2025-July]],0)+1),0)</f>
        <v>4.4400000000000004</v>
      </c>
      <c r="I145" s="55">
        <f>IFERROR(MAX(Table1[[#This Row],[2019-Apr]:[2025-July]]),0)</f>
        <v>10.8</v>
      </c>
      <c r="J145" s="4" cm="1">
        <f t="array" ref="J14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4.7456666666666667</v>
      </c>
      <c r="K145" s="4">
        <v>4.5</v>
      </c>
      <c r="L145" s="4">
        <f>IF(Table1[[#This Row],[Standard as per ISO]]&gt;=Table1[[#This Row],[Avg of best 6]],Table1[[#This Row],[Standard as per ISO]],Table1[[#This Row],[Avg of best 6]])</f>
        <v>4.7456666666666667</v>
      </c>
      <c r="M145" s="4" cm="1">
        <f t="array" ref="M145">IFERROR(LOOKUP(2,1/(Table1[[#This Row],[2019-May]:[2025-July]]&lt;&gt;0),Table1[[#This Row],[2019-May]:[2025-July]]),0)</f>
        <v>5.35</v>
      </c>
      <c r="N145" s="4">
        <f>COUNTIF(Table1[[#This Row],[2019-Apr]:[2025-July]],"&gt;="&amp;Table1[[#This Row],[Target]])</f>
        <v>46</v>
      </c>
      <c r="O145" s="4">
        <f>IF(Table1[[#This Row],[Outliers 2Y]]=0,1,0)</f>
        <v>0</v>
      </c>
      <c r="P145" s="4">
        <f>IF(Table1[[#This Row],[Last value]]&gt;1.5*Table1[[#This Row],[Target]],1,0)</f>
        <v>0</v>
      </c>
      <c r="Q145" s="4">
        <f>IF(AND(1.5*Table1[[#This Row],[Target]]&gt;=Table1[[#This Row],[Last value]],Table1[[#This Row],[Last value]]&gt;Table1[[#This Row],[Target]]),1,0)</f>
        <v>1</v>
      </c>
      <c r="R145" s="4">
        <f>IF(Table1[[#This Row],[Target]]&gt;=Table1[[#This Row],[Last value]],1,0)</f>
        <v>0</v>
      </c>
      <c r="S145" s="4" t="str">
        <f t="shared" si="3"/>
        <v>Yellow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7.15</v>
      </c>
      <c r="Z145">
        <v>9.6</v>
      </c>
      <c r="AA145">
        <v>7.5</v>
      </c>
      <c r="AB145">
        <v>6.1</v>
      </c>
      <c r="AC145">
        <v>6.84</v>
      </c>
      <c r="AD145">
        <v>7.38</v>
      </c>
      <c r="AE145">
        <v>7.27</v>
      </c>
      <c r="AF145">
        <v>10.8</v>
      </c>
      <c r="AG145">
        <v>9.39</v>
      </c>
      <c r="AH145">
        <v>9.6</v>
      </c>
      <c r="AI145">
        <v>0</v>
      </c>
      <c r="AJ145">
        <v>4.8</v>
      </c>
      <c r="AK145">
        <v>6.67</v>
      </c>
      <c r="AL145">
        <v>0</v>
      </c>
      <c r="AM145">
        <v>7.1</v>
      </c>
      <c r="AN145">
        <v>5.25</v>
      </c>
      <c r="AO145">
        <v>4.5</v>
      </c>
      <c r="AP145">
        <v>6.06</v>
      </c>
      <c r="AQ145">
        <v>7.69</v>
      </c>
      <c r="AR145" s="8">
        <v>6.13</v>
      </c>
      <c r="AS145" s="8">
        <v>5.65</v>
      </c>
      <c r="AT145" s="8">
        <v>0</v>
      </c>
      <c r="AU145" s="3">
        <v>4.4400000000000004</v>
      </c>
      <c r="AV145" s="3">
        <v>7.84</v>
      </c>
      <c r="AW145" s="3">
        <v>0</v>
      </c>
      <c r="AX145" s="3">
        <v>6.75</v>
      </c>
      <c r="AY145" s="3">
        <v>0</v>
      </c>
      <c r="AZ145" s="3">
        <v>0</v>
      </c>
      <c r="BA145" s="3">
        <v>0</v>
      </c>
      <c r="BB145" s="3">
        <v>5.4</v>
      </c>
      <c r="BC145">
        <v>7</v>
      </c>
      <c r="BD145">
        <v>0</v>
      </c>
      <c r="BE145" s="11">
        <v>5.9909999999999997</v>
      </c>
      <c r="BF145" s="4">
        <v>8.4320000000000004</v>
      </c>
      <c r="BG145" s="4">
        <v>0</v>
      </c>
      <c r="BH145" s="4">
        <v>6.1820000000000004</v>
      </c>
      <c r="BI145" s="4">
        <v>7.181</v>
      </c>
      <c r="BJ145" s="13">
        <v>5.7069999999999999</v>
      </c>
      <c r="BK145" s="13">
        <v>6.4489999999999998</v>
      </c>
      <c r="BL145" s="4">
        <v>5.2119999999999997</v>
      </c>
      <c r="BM145" s="16">
        <v>0</v>
      </c>
      <c r="BN145" s="4">
        <v>8.7370000000000001</v>
      </c>
      <c r="BO145" s="4">
        <v>9.6999999999999993</v>
      </c>
      <c r="BP145" s="4">
        <v>8.59</v>
      </c>
      <c r="BQ145" s="4">
        <v>8.5619999999999994</v>
      </c>
      <c r="BR145" s="4">
        <v>8.9570000000000007</v>
      </c>
      <c r="BS145" s="4">
        <v>7.673</v>
      </c>
      <c r="BT145" s="4">
        <v>9.9649999999999999</v>
      </c>
      <c r="BU145" s="4">
        <v>7.827</v>
      </c>
      <c r="BV145" s="4">
        <v>9.3829999999999991</v>
      </c>
      <c r="BW145" s="4">
        <v>4.9219999999999997</v>
      </c>
      <c r="BX145" s="4">
        <v>6.4050000000000002</v>
      </c>
      <c r="BY145" s="4">
        <v>5.9930000000000003</v>
      </c>
      <c r="BZ145">
        <v>0</v>
      </c>
      <c r="CA145">
        <v>5.59</v>
      </c>
      <c r="CB145">
        <v>5.41</v>
      </c>
      <c r="CC145">
        <v>0</v>
      </c>
      <c r="CD145">
        <v>5.87</v>
      </c>
      <c r="CE145" s="19">
        <v>0</v>
      </c>
      <c r="CF145" s="19">
        <v>0</v>
      </c>
      <c r="CG145" s="4">
        <v>4.5999999999999996</v>
      </c>
      <c r="CH145" s="4">
        <v>7.17</v>
      </c>
      <c r="CI145" s="4">
        <v>5.35</v>
      </c>
      <c r="CJ145" s="34">
        <v>0</v>
      </c>
      <c r="CK145" s="34">
        <v>0</v>
      </c>
      <c r="CL145" s="34">
        <v>0</v>
      </c>
      <c r="CM145" s="4">
        <v>0</v>
      </c>
      <c r="CN145" s="53">
        <v>0</v>
      </c>
      <c r="CO145" s="54">
        <v>0</v>
      </c>
      <c r="CP145" s="54">
        <v>0</v>
      </c>
      <c r="CQ145" s="4">
        <v>0</v>
      </c>
    </row>
    <row r="146" spans="1:95" x14ac:dyDescent="0.35">
      <c r="A146" s="55">
        <v>145</v>
      </c>
      <c r="B146" t="s">
        <v>99</v>
      </c>
      <c r="C146" s="27" t="s">
        <v>349</v>
      </c>
      <c r="D146" s="3" t="s">
        <v>93</v>
      </c>
      <c r="E146" s="33" t="s">
        <v>91</v>
      </c>
      <c r="F146" s="4">
        <f>IFERROR(AVERAGEIF(Table1[[#This Row],[2019-Apr]:[2025-July]],"&lt;&gt;0"),0)</f>
        <v>6.0471363636363611</v>
      </c>
      <c r="G146" s="4">
        <f ca="1">IFERROR(AVERAGEIF(OFFSET(Table1[[#This Row],[Status]],0,COUNT(Table1[[#This Row],[2019-May]:[2025-July]]),1,-12),"&lt;&gt;0"),0)</f>
        <v>0</v>
      </c>
      <c r="H146" s="55">
        <f>IFERROR(SMALL(Table1[[#This Row],[2019-Apr]:[2025-July]],COUNTIF(Table1[[#This Row],[2019-Apr]:[2025-July]],0)+1),0)</f>
        <v>2.2949999999999999</v>
      </c>
      <c r="I146" s="55">
        <f>IFERROR(MAX(Table1[[#This Row],[2019-Apr]:[2025-July]]),0)</f>
        <v>19</v>
      </c>
      <c r="J146" s="4" cm="1">
        <f t="array" ref="J14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3.2505000000000002</v>
      </c>
      <c r="K146" s="4">
        <v>4.5</v>
      </c>
      <c r="L146" s="4">
        <f>IF(Table1[[#This Row],[Standard as per ISO]]&gt;=Table1[[#This Row],[Avg of best 6]],Table1[[#This Row],[Standard as per ISO]],Table1[[#This Row],[Avg of best 6]])</f>
        <v>4.5</v>
      </c>
      <c r="M146" s="4" cm="1">
        <f t="array" ref="M146">IFERROR(LOOKUP(2,1/(Table1[[#This Row],[2019-May]:[2025-July]]&lt;&gt;0),Table1[[#This Row],[2019-May]:[2025-July]]),0)</f>
        <v>3.7919999999999998</v>
      </c>
      <c r="N146" s="4">
        <f>COUNTIF(Table1[[#This Row],[2019-Apr]:[2025-July]],"&gt;="&amp;Table1[[#This Row],[Target]])</f>
        <v>28</v>
      </c>
      <c r="O146" s="4">
        <f>IF(Table1[[#This Row],[Outliers 2Y]]=0,1,0)</f>
        <v>0</v>
      </c>
      <c r="P146" s="4">
        <f>IF(Table1[[#This Row],[Last value]]&gt;1.5*Table1[[#This Row],[Target]],1,0)</f>
        <v>0</v>
      </c>
      <c r="Q146" s="4">
        <f>IF(AND(1.5*Table1[[#This Row],[Target]]&gt;=Table1[[#This Row],[Last value]],Table1[[#This Row],[Last value]]&gt;Table1[[#This Row],[Target]]),1,0)</f>
        <v>0</v>
      </c>
      <c r="R146" s="4">
        <f>IF(Table1[[#This Row],[Target]]&gt;=Table1[[#This Row],[Last value]],1,0)</f>
        <v>1</v>
      </c>
      <c r="S146" s="4" t="str">
        <f t="shared" si="3"/>
        <v>Green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9.09</v>
      </c>
      <c r="Z146">
        <v>8.9</v>
      </c>
      <c r="AA146">
        <v>7.6</v>
      </c>
      <c r="AB146">
        <v>10.5</v>
      </c>
      <c r="AC146">
        <v>9.93</v>
      </c>
      <c r="AD146">
        <v>8.5</v>
      </c>
      <c r="AE146">
        <v>6.89</v>
      </c>
      <c r="AF146">
        <v>0</v>
      </c>
      <c r="AG146">
        <v>6.65</v>
      </c>
      <c r="AH146">
        <v>5.2</v>
      </c>
      <c r="AI146">
        <v>6.42</v>
      </c>
      <c r="AJ146">
        <v>5.6</v>
      </c>
      <c r="AK146">
        <v>5.57</v>
      </c>
      <c r="AL146">
        <v>5.35</v>
      </c>
      <c r="AM146">
        <v>5.38</v>
      </c>
      <c r="AN146">
        <v>6.8</v>
      </c>
      <c r="AO146">
        <v>9.41</v>
      </c>
      <c r="AP146">
        <v>10.9</v>
      </c>
      <c r="AQ146">
        <v>19</v>
      </c>
      <c r="AR146" s="8">
        <v>3.92</v>
      </c>
      <c r="AS146" s="8">
        <v>4.2699999999999996</v>
      </c>
      <c r="AT146" s="8">
        <v>3.67</v>
      </c>
      <c r="AU146" s="3">
        <v>3.46</v>
      </c>
      <c r="AV146" s="3">
        <v>4.8899999999999997</v>
      </c>
      <c r="AW146" s="3">
        <v>4.01</v>
      </c>
      <c r="AX146" s="3">
        <v>3.88</v>
      </c>
      <c r="AY146" s="3">
        <v>4.13</v>
      </c>
      <c r="AZ146" s="3">
        <v>0</v>
      </c>
      <c r="BA146" s="3">
        <v>6.71</v>
      </c>
      <c r="BB146" s="3">
        <v>5.9</v>
      </c>
      <c r="BC146">
        <v>5.7</v>
      </c>
      <c r="BD146">
        <v>4.7</v>
      </c>
      <c r="BE146" s="11">
        <v>5.4450000000000003</v>
      </c>
      <c r="BF146" s="4">
        <v>6.0860000000000003</v>
      </c>
      <c r="BG146" s="4">
        <v>5.6</v>
      </c>
      <c r="BH146" s="4">
        <v>4.6239999999999997</v>
      </c>
      <c r="BI146" s="4">
        <v>4.1820000000000004</v>
      </c>
      <c r="BJ146" s="14">
        <v>3.8730000000000002</v>
      </c>
      <c r="BK146" s="14">
        <v>4.4349999999999996</v>
      </c>
      <c r="BL146" s="4">
        <v>4.4610000000000003</v>
      </c>
      <c r="BM146" s="17">
        <v>4.0549999999999997</v>
      </c>
      <c r="BN146" s="4">
        <v>2.6930000000000001</v>
      </c>
      <c r="BO146" s="4">
        <v>3.593</v>
      </c>
      <c r="BP146" s="4">
        <v>8.01</v>
      </c>
      <c r="BQ146" s="4">
        <v>0</v>
      </c>
      <c r="BR146" s="4">
        <v>2.2949999999999999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3.7919999999999998</v>
      </c>
      <c r="BZ146">
        <v>0</v>
      </c>
      <c r="CA146">
        <v>0</v>
      </c>
      <c r="CB146">
        <v>0</v>
      </c>
      <c r="CC146">
        <v>0</v>
      </c>
      <c r="CD146">
        <v>0</v>
      </c>
      <c r="CE146" s="19">
        <v>0</v>
      </c>
      <c r="CF146" s="19">
        <v>0</v>
      </c>
      <c r="CG146" s="4">
        <v>0</v>
      </c>
      <c r="CH146" s="4">
        <v>0</v>
      </c>
      <c r="CI146" s="4">
        <v>0</v>
      </c>
      <c r="CJ146" s="34">
        <v>0</v>
      </c>
      <c r="CK146" s="34">
        <v>0</v>
      </c>
      <c r="CL146" s="34">
        <v>0</v>
      </c>
      <c r="CM146" s="4">
        <v>0</v>
      </c>
      <c r="CN146" s="53">
        <v>0</v>
      </c>
      <c r="CO146" s="54">
        <v>0</v>
      </c>
      <c r="CP146" s="54">
        <v>0</v>
      </c>
      <c r="CQ146" s="4">
        <v>0</v>
      </c>
    </row>
    <row r="147" spans="1:95" x14ac:dyDescent="0.35">
      <c r="A147" s="55">
        <v>146</v>
      </c>
      <c r="B147" t="s">
        <v>99</v>
      </c>
      <c r="C147" s="27" t="s">
        <v>350</v>
      </c>
      <c r="D147" s="3" t="s">
        <v>102</v>
      </c>
      <c r="E147" s="33" t="s">
        <v>89</v>
      </c>
      <c r="F147" s="4">
        <f>IFERROR(AVERAGEIF(Table1[[#This Row],[2019-Apr]:[2025-July]],"&lt;&gt;0"),0)</f>
        <v>7.5059166666666659</v>
      </c>
      <c r="G147" s="4">
        <f ca="1">IFERROR(AVERAGEIF(OFFSET(Table1[[#This Row],[Status]],0,COUNT(Table1[[#This Row],[2019-May]:[2025-July]]),1,-12),"&lt;&gt;0"),0)</f>
        <v>6.7737499999999997</v>
      </c>
      <c r="H147" s="55">
        <f>IFERROR(SMALL(Table1[[#This Row],[2019-Apr]:[2025-July]],COUNTIF(Table1[[#This Row],[2019-Apr]:[2025-July]],0)+1),0)</f>
        <v>5</v>
      </c>
      <c r="I147" s="55">
        <f>IFERROR(MAX(Table1[[#This Row],[2019-Apr]:[2025-July]]),0)</f>
        <v>14</v>
      </c>
      <c r="J147" s="4" cm="1">
        <f t="array" ref="J14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5.2021666666666659</v>
      </c>
      <c r="K147" s="4">
        <v>4.5</v>
      </c>
      <c r="L147" s="4">
        <f>IF(Table1[[#This Row],[Standard as per ISO]]&gt;=Table1[[#This Row],[Avg of best 6]],Table1[[#This Row],[Standard as per ISO]],Table1[[#This Row],[Avg of best 6]])</f>
        <v>5.2021666666666659</v>
      </c>
      <c r="M147" s="4" cm="1">
        <f t="array" ref="M147">IFERROR(LOOKUP(2,1/(Table1[[#This Row],[2019-May]:[2025-July]]&lt;&gt;0),Table1[[#This Row],[2019-May]:[2025-July]]),0)</f>
        <v>7</v>
      </c>
      <c r="N147" s="4">
        <f>COUNTIF(Table1[[#This Row],[2019-Apr]:[2025-July]],"&gt;="&amp;Table1[[#This Row],[Target]])</f>
        <v>32</v>
      </c>
      <c r="O147" s="4">
        <f>IF(Table1[[#This Row],[Outliers 2Y]]=0,1,0)</f>
        <v>0</v>
      </c>
      <c r="P147" s="4">
        <f>IF(Table1[[#This Row],[Last value]]&gt;1.5*Table1[[#This Row],[Target]],1,0)</f>
        <v>0</v>
      </c>
      <c r="Q147" s="4">
        <f>IF(AND(1.5*Table1[[#This Row],[Target]]&gt;=Table1[[#This Row],[Last value]],Table1[[#This Row],[Last value]]&gt;Table1[[#This Row],[Target]]),1,0)</f>
        <v>1</v>
      </c>
      <c r="R147" s="4">
        <f>IF(Table1[[#This Row],[Target]]&gt;=Table1[[#This Row],[Last value]],1,0)</f>
        <v>0</v>
      </c>
      <c r="S147" s="4" t="str">
        <f t="shared" si="3"/>
        <v>Yellow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7.7</v>
      </c>
      <c r="AA147">
        <v>12.7</v>
      </c>
      <c r="AB147">
        <v>0</v>
      </c>
      <c r="AC147">
        <v>0</v>
      </c>
      <c r="AD147">
        <v>0</v>
      </c>
      <c r="AE147">
        <v>11.8</v>
      </c>
      <c r="AF147">
        <v>0</v>
      </c>
      <c r="AG147">
        <v>12.3</v>
      </c>
      <c r="AH147">
        <v>11</v>
      </c>
      <c r="AI147">
        <v>10.5</v>
      </c>
      <c r="AJ147">
        <v>0</v>
      </c>
      <c r="AK147">
        <v>14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8">
        <v>0</v>
      </c>
      <c r="AS147" s="8">
        <v>0</v>
      </c>
      <c r="AT147" s="8">
        <v>0</v>
      </c>
      <c r="AU147" s="3">
        <v>11.2</v>
      </c>
      <c r="AV147" s="3">
        <v>0</v>
      </c>
      <c r="AW147" s="3">
        <v>13.3</v>
      </c>
      <c r="AX147" s="3">
        <v>0</v>
      </c>
      <c r="AY147" s="3">
        <v>0</v>
      </c>
      <c r="AZ147" s="3">
        <v>5</v>
      </c>
      <c r="BA147" s="3">
        <v>5</v>
      </c>
      <c r="BB147" s="3">
        <v>6.4</v>
      </c>
      <c r="BC147">
        <v>6</v>
      </c>
      <c r="BD147">
        <v>0</v>
      </c>
      <c r="BE147" s="11">
        <v>5.7919999999999998</v>
      </c>
      <c r="BF147" s="4">
        <v>5.8819999999999997</v>
      </c>
      <c r="BG147" s="4">
        <v>5.2</v>
      </c>
      <c r="BH147" s="4">
        <v>5.4269999999999996</v>
      </c>
      <c r="BI147" s="4">
        <v>5.4189999999999996</v>
      </c>
      <c r="BJ147" s="13">
        <v>0</v>
      </c>
      <c r="BK147" s="13">
        <v>5.1970000000000001</v>
      </c>
      <c r="BL147" s="4">
        <v>0</v>
      </c>
      <c r="BM147" s="16">
        <v>7.391</v>
      </c>
      <c r="BN147" s="4">
        <v>6.1769999999999996</v>
      </c>
      <c r="BO147" s="4">
        <v>7.0010000000000003</v>
      </c>
      <c r="BP147" s="4">
        <v>7.0270000000000001</v>
      </c>
      <c r="BQ147" s="4">
        <v>5.9749999999999996</v>
      </c>
      <c r="BR147" s="4">
        <v>0</v>
      </c>
      <c r="BS147" s="4">
        <v>5.3970000000000002</v>
      </c>
      <c r="BT147" s="4">
        <v>5.8540000000000001</v>
      </c>
      <c r="BU147" s="4">
        <v>0</v>
      </c>
      <c r="BV147" s="4">
        <v>0</v>
      </c>
      <c r="BW147" s="4">
        <v>5.9640000000000004</v>
      </c>
      <c r="BX147" s="4">
        <v>0</v>
      </c>
      <c r="BY147" s="4">
        <v>0</v>
      </c>
      <c r="BZ147">
        <v>0</v>
      </c>
      <c r="CA147">
        <v>0</v>
      </c>
      <c r="CB147">
        <v>5.42</v>
      </c>
      <c r="CC147">
        <v>0</v>
      </c>
      <c r="CD147">
        <v>0</v>
      </c>
      <c r="CE147" s="19">
        <v>0</v>
      </c>
      <c r="CF147" s="19">
        <v>0</v>
      </c>
      <c r="CG147" s="4">
        <v>0</v>
      </c>
      <c r="CH147" s="4">
        <v>9.2899999999999991</v>
      </c>
      <c r="CI147" s="4">
        <v>6.8</v>
      </c>
      <c r="CJ147" s="34">
        <v>6.6</v>
      </c>
      <c r="CK147" s="34">
        <v>5.5</v>
      </c>
      <c r="CL147" s="43">
        <v>5.9</v>
      </c>
      <c r="CM147" s="4">
        <v>0</v>
      </c>
      <c r="CN147" s="53">
        <v>6.9</v>
      </c>
      <c r="CO147" s="54">
        <v>6.2</v>
      </c>
      <c r="CP147" s="54">
        <v>7</v>
      </c>
      <c r="CQ147" s="4">
        <v>0</v>
      </c>
    </row>
    <row r="148" spans="1:95" x14ac:dyDescent="0.35">
      <c r="A148" s="55">
        <v>147</v>
      </c>
      <c r="B148" t="s">
        <v>99</v>
      </c>
      <c r="C148" s="27" t="s">
        <v>351</v>
      </c>
      <c r="D148" s="3" t="s">
        <v>102</v>
      </c>
      <c r="E148" s="33" t="s">
        <v>89</v>
      </c>
      <c r="F148" s="4">
        <f>IFERROR(AVERAGEIF(Table1[[#This Row],[2019-Apr]:[2025-July]],"&lt;&gt;0"),0)</f>
        <v>8.2399583333333322</v>
      </c>
      <c r="G148" s="4">
        <f ca="1">IFERROR(AVERAGEIF(OFFSET(Table1[[#This Row],[Status]],0,COUNT(Table1[[#This Row],[2019-May]:[2025-July]]),1,-12),"&lt;&gt;0"),0)</f>
        <v>6.4460000000000006</v>
      </c>
      <c r="H148" s="55">
        <f>IFERROR(SMALL(Table1[[#This Row],[2019-Apr]:[2025-July]],COUNTIF(Table1[[#This Row],[2019-Apr]:[2025-July]],0)+1),0)</f>
        <v>1.4</v>
      </c>
      <c r="I148" s="55">
        <f>IFERROR(MAX(Table1[[#This Row],[2019-Apr]:[2025-July]]),0)</f>
        <v>13.5</v>
      </c>
      <c r="J148" s="4" cm="1">
        <f t="array" ref="J14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5.0040000000000004</v>
      </c>
      <c r="K148" s="4">
        <v>4.5</v>
      </c>
      <c r="L148" s="4">
        <f>IF(Table1[[#This Row],[Standard as per ISO]]&gt;=Table1[[#This Row],[Avg of best 6]],Table1[[#This Row],[Standard as per ISO]],Table1[[#This Row],[Avg of best 6]])</f>
        <v>5.0040000000000004</v>
      </c>
      <c r="M148" s="4" cm="1">
        <f t="array" ref="M148">IFERROR(LOOKUP(2,1/(Table1[[#This Row],[2019-May]:[2025-July]]&lt;&gt;0),Table1[[#This Row],[2019-May]:[2025-July]]),0)</f>
        <v>5.9</v>
      </c>
      <c r="N148" s="4">
        <f>COUNTIF(Table1[[#This Row],[2019-Apr]:[2025-July]],"&gt;="&amp;Table1[[#This Row],[Target]])</f>
        <v>47</v>
      </c>
      <c r="O148" s="4">
        <f>IF(Table1[[#This Row],[Outliers 2Y]]=0,1,0)</f>
        <v>0</v>
      </c>
      <c r="P148" s="4">
        <f>IF(Table1[[#This Row],[Last value]]&gt;1.5*Table1[[#This Row],[Target]],1,0)</f>
        <v>0</v>
      </c>
      <c r="Q148" s="4">
        <f>IF(AND(1.5*Table1[[#This Row],[Target]]&gt;=Table1[[#This Row],[Last value]],Table1[[#This Row],[Last value]]&gt;Table1[[#This Row],[Target]]),1,0)</f>
        <v>1</v>
      </c>
      <c r="R148" s="4">
        <f>IF(Table1[[#This Row],[Target]]&gt;=Table1[[#This Row],[Last value]],1,0)</f>
        <v>0</v>
      </c>
      <c r="S148" s="4" t="str">
        <f t="shared" si="3"/>
        <v>Yellow</v>
      </c>
      <c r="T148">
        <v>0</v>
      </c>
      <c r="U148">
        <v>0</v>
      </c>
      <c r="V148">
        <v>0</v>
      </c>
      <c r="W148">
        <v>10.199999999999999</v>
      </c>
      <c r="X148">
        <v>13.5</v>
      </c>
      <c r="Y148">
        <v>0</v>
      </c>
      <c r="Z148">
        <v>0</v>
      </c>
      <c r="AA148">
        <v>0</v>
      </c>
      <c r="AB148">
        <v>9.8000000000000007</v>
      </c>
      <c r="AC148">
        <v>9.89</v>
      </c>
      <c r="AD148">
        <v>10.5</v>
      </c>
      <c r="AE148">
        <v>11.9</v>
      </c>
      <c r="AF148">
        <v>0</v>
      </c>
      <c r="AG148">
        <v>0</v>
      </c>
      <c r="AH148">
        <v>0</v>
      </c>
      <c r="AI148">
        <v>0</v>
      </c>
      <c r="AJ148">
        <v>9.9</v>
      </c>
      <c r="AK148">
        <v>9.57</v>
      </c>
      <c r="AL148">
        <v>11</v>
      </c>
      <c r="AM148">
        <v>9.6</v>
      </c>
      <c r="AN148">
        <v>7.8</v>
      </c>
      <c r="AO148">
        <v>7.6</v>
      </c>
      <c r="AP148">
        <v>9</v>
      </c>
      <c r="AQ148">
        <v>8.83</v>
      </c>
      <c r="AR148" s="8">
        <v>0</v>
      </c>
      <c r="AS148" s="8">
        <v>9.68</v>
      </c>
      <c r="AT148" s="8">
        <v>11.4</v>
      </c>
      <c r="AU148" s="3">
        <v>8.7100000000000009</v>
      </c>
      <c r="AV148" s="3">
        <v>8.58</v>
      </c>
      <c r="AW148" s="3">
        <v>11.9</v>
      </c>
      <c r="AX148" s="3">
        <v>0</v>
      </c>
      <c r="AY148" s="3">
        <v>0</v>
      </c>
      <c r="AZ148" s="3">
        <v>9.3000000000000007</v>
      </c>
      <c r="BA148" s="3">
        <v>1.4</v>
      </c>
      <c r="BB148" s="3">
        <v>7.7</v>
      </c>
      <c r="BC148" s="3">
        <v>0</v>
      </c>
      <c r="BD148">
        <v>6.6</v>
      </c>
      <c r="BE148" s="11">
        <v>7.6539999999999999</v>
      </c>
      <c r="BF148" s="4">
        <v>0</v>
      </c>
      <c r="BG148" s="4">
        <v>8.6</v>
      </c>
      <c r="BH148" s="4">
        <v>0</v>
      </c>
      <c r="BI148" s="4">
        <v>10.25</v>
      </c>
      <c r="BJ148" s="14">
        <v>9.2249999999999996</v>
      </c>
      <c r="BK148" s="14">
        <v>8.7799999999999994</v>
      </c>
      <c r="BL148" s="4">
        <v>7.806</v>
      </c>
      <c r="BM148" s="17">
        <v>7.5979999999999999</v>
      </c>
      <c r="BN148" s="4">
        <v>7.0090000000000003</v>
      </c>
      <c r="BO148" s="4">
        <v>0</v>
      </c>
      <c r="BP148" s="4">
        <v>7.609</v>
      </c>
      <c r="BQ148" s="4">
        <v>7.79</v>
      </c>
      <c r="BR148" s="4">
        <v>6.3259999999999996</v>
      </c>
      <c r="BS148" s="4">
        <v>7.05</v>
      </c>
      <c r="BT148" s="4">
        <v>0</v>
      </c>
      <c r="BU148" s="4">
        <v>9.4570000000000007</v>
      </c>
      <c r="BV148" s="4">
        <v>6.63</v>
      </c>
      <c r="BW148" s="4">
        <v>5.8559999999999999</v>
      </c>
      <c r="BX148" s="4">
        <v>5.7119999999999997</v>
      </c>
      <c r="BY148" s="4">
        <v>5.6559999999999997</v>
      </c>
      <c r="BZ148">
        <v>6.34</v>
      </c>
      <c r="CA148">
        <v>0</v>
      </c>
      <c r="CB148">
        <v>7.68</v>
      </c>
      <c r="CC148">
        <v>0</v>
      </c>
      <c r="CD148">
        <v>0</v>
      </c>
      <c r="CE148" s="19">
        <v>0</v>
      </c>
      <c r="CF148" s="19">
        <v>0</v>
      </c>
      <c r="CG148" s="4">
        <v>7.03</v>
      </c>
      <c r="CH148" s="4">
        <v>0</v>
      </c>
      <c r="CI148" s="4">
        <v>0</v>
      </c>
      <c r="CJ148" s="34">
        <v>6.4</v>
      </c>
      <c r="CK148" s="34">
        <v>0</v>
      </c>
      <c r="CL148" s="43">
        <v>0</v>
      </c>
      <c r="CM148" s="4">
        <v>6.6</v>
      </c>
      <c r="CN148" s="53">
        <v>0</v>
      </c>
      <c r="CO148" s="54">
        <v>6.7</v>
      </c>
      <c r="CP148" s="54">
        <v>5.5</v>
      </c>
      <c r="CQ148" s="4">
        <v>5.9</v>
      </c>
    </row>
    <row r="149" spans="1:95" x14ac:dyDescent="0.35">
      <c r="A149" s="55">
        <v>148</v>
      </c>
      <c r="B149" t="s">
        <v>99</v>
      </c>
      <c r="C149" s="27" t="s">
        <v>352</v>
      </c>
      <c r="D149" s="3" t="s">
        <v>102</v>
      </c>
      <c r="E149" s="33" t="s">
        <v>89</v>
      </c>
      <c r="F149" s="4">
        <f>IFERROR(AVERAGEIF(Table1[[#This Row],[2019-Apr]:[2025-July]],"&lt;&gt;0"),0)</f>
        <v>10.029738095238095</v>
      </c>
      <c r="G149" s="4">
        <f ca="1">IFERROR(AVERAGEIF(OFFSET(Table1[[#This Row],[Status]],0,COUNT(Table1[[#This Row],[2019-May]:[2025-July]]),1,-12),"&lt;&gt;0"),0)</f>
        <v>8.2025000000000006</v>
      </c>
      <c r="H149" s="55">
        <f>IFERROR(SMALL(Table1[[#This Row],[2019-Apr]:[2025-July]],COUNTIF(Table1[[#This Row],[2019-Apr]:[2025-July]],0)+1),0)</f>
        <v>6.98</v>
      </c>
      <c r="I149" s="55">
        <f>IFERROR(MAX(Table1[[#This Row],[2019-Apr]:[2025-July]]),0)</f>
        <v>14.2</v>
      </c>
      <c r="J149" s="4" cm="1">
        <f t="array" ref="J14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7.3520000000000003</v>
      </c>
      <c r="K149" s="4">
        <v>4.5</v>
      </c>
      <c r="L149" s="4">
        <f>IF(Table1[[#This Row],[Standard as per ISO]]&gt;=Table1[[#This Row],[Avg of best 6]],Table1[[#This Row],[Standard as per ISO]],Table1[[#This Row],[Avg of best 6]])</f>
        <v>7.3520000000000003</v>
      </c>
      <c r="M149" s="4" cm="1">
        <f t="array" ref="M149">IFERROR(LOOKUP(2,1/(Table1[[#This Row],[2019-May]:[2025-July]]&lt;&gt;0),Table1[[#This Row],[2019-May]:[2025-July]]),0)</f>
        <v>7.6</v>
      </c>
      <c r="N149" s="4">
        <f>COUNTIF(Table1[[#This Row],[2019-Apr]:[2025-July]],"&gt;="&amp;Table1[[#This Row],[Target]])</f>
        <v>40</v>
      </c>
      <c r="O149" s="4">
        <f>IF(Table1[[#This Row],[Outliers 2Y]]=0,1,0)</f>
        <v>0</v>
      </c>
      <c r="P149" s="4">
        <f>IF(Table1[[#This Row],[Last value]]&gt;1.5*Table1[[#This Row],[Target]],1,0)</f>
        <v>0</v>
      </c>
      <c r="Q149" s="4">
        <f>IF(AND(1.5*Table1[[#This Row],[Target]]&gt;=Table1[[#This Row],[Last value]],Table1[[#This Row],[Last value]]&gt;Table1[[#This Row],[Target]]),1,0)</f>
        <v>1</v>
      </c>
      <c r="R149" s="4">
        <f>IF(Table1[[#This Row],[Target]]&gt;=Table1[[#This Row],[Last value]],1,0)</f>
        <v>0</v>
      </c>
      <c r="S149" s="4" t="str">
        <f t="shared" si="3"/>
        <v>Yellow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11.7</v>
      </c>
      <c r="Z149">
        <v>7.9</v>
      </c>
      <c r="AA149">
        <v>0</v>
      </c>
      <c r="AB149">
        <v>8.9</v>
      </c>
      <c r="AC149">
        <v>9.1300000000000008</v>
      </c>
      <c r="AD149">
        <v>9.5</v>
      </c>
      <c r="AE149">
        <v>0</v>
      </c>
      <c r="AF149">
        <v>9.1999999999999993</v>
      </c>
      <c r="AG149">
        <v>9.49</v>
      </c>
      <c r="AH149">
        <v>8.3000000000000007</v>
      </c>
      <c r="AI149">
        <v>9.02</v>
      </c>
      <c r="AJ149">
        <v>9.8000000000000007</v>
      </c>
      <c r="AK149">
        <v>0</v>
      </c>
      <c r="AL149">
        <v>11</v>
      </c>
      <c r="AM149">
        <v>9.6300000000000008</v>
      </c>
      <c r="AN149">
        <v>9.99</v>
      </c>
      <c r="AO149">
        <v>11.2</v>
      </c>
      <c r="AP149">
        <v>0</v>
      </c>
      <c r="AQ149">
        <v>10.8</v>
      </c>
      <c r="AR149" s="8">
        <v>13.3</v>
      </c>
      <c r="AS149" s="8">
        <v>12.3</v>
      </c>
      <c r="AT149" s="8">
        <v>12.5</v>
      </c>
      <c r="AU149" s="3">
        <v>0</v>
      </c>
      <c r="AV149" s="3">
        <v>0</v>
      </c>
      <c r="AW149" s="3">
        <v>12.1</v>
      </c>
      <c r="AX149" s="3">
        <v>14</v>
      </c>
      <c r="AY149" s="3">
        <v>12.9</v>
      </c>
      <c r="AZ149" s="3">
        <v>0</v>
      </c>
      <c r="BA149" s="3">
        <v>11.7</v>
      </c>
      <c r="BB149" s="3">
        <v>11</v>
      </c>
      <c r="BC149">
        <v>14.2</v>
      </c>
      <c r="BD149">
        <v>12.4</v>
      </c>
      <c r="BE149" s="11">
        <v>0</v>
      </c>
      <c r="BF149" s="4">
        <v>0</v>
      </c>
      <c r="BG149" s="4">
        <v>0</v>
      </c>
      <c r="BH149" s="4">
        <v>0</v>
      </c>
      <c r="BI149" s="4">
        <v>10.73</v>
      </c>
      <c r="BJ149" s="13">
        <v>10.25</v>
      </c>
      <c r="BK149" s="13">
        <v>0</v>
      </c>
      <c r="BL149" s="4">
        <v>10.25</v>
      </c>
      <c r="BM149" s="16">
        <v>0</v>
      </c>
      <c r="BN149" s="4">
        <v>12.42</v>
      </c>
      <c r="BO149" s="4">
        <v>9.6280000000000001</v>
      </c>
      <c r="BP149" s="4">
        <v>0</v>
      </c>
      <c r="BQ149" s="4">
        <v>0</v>
      </c>
      <c r="BR149" s="4">
        <v>8.9120000000000008</v>
      </c>
      <c r="BS149" s="4">
        <v>0</v>
      </c>
      <c r="BT149" s="4">
        <v>7.9180000000000001</v>
      </c>
      <c r="BU149" s="4">
        <v>7.1619999999999999</v>
      </c>
      <c r="BV149" s="4">
        <v>0</v>
      </c>
      <c r="BW149" s="4">
        <v>0</v>
      </c>
      <c r="BX149" s="4">
        <v>0</v>
      </c>
      <c r="BY149" s="4">
        <v>9.7089999999999996</v>
      </c>
      <c r="BZ149">
        <v>7.43</v>
      </c>
      <c r="CA149">
        <v>7.49</v>
      </c>
      <c r="CB149">
        <v>6.98</v>
      </c>
      <c r="CC149">
        <v>0</v>
      </c>
      <c r="CD149">
        <v>0</v>
      </c>
      <c r="CE149" s="19">
        <v>0</v>
      </c>
      <c r="CF149" s="19">
        <v>0</v>
      </c>
      <c r="CG149" s="4">
        <v>8.65</v>
      </c>
      <c r="CH149" s="4">
        <v>8.31</v>
      </c>
      <c r="CI149" s="4">
        <v>7.45</v>
      </c>
      <c r="CJ149" s="34">
        <v>0</v>
      </c>
      <c r="CK149" s="34">
        <v>8.4</v>
      </c>
      <c r="CL149" s="43">
        <v>0</v>
      </c>
      <c r="CM149" s="4">
        <v>0</v>
      </c>
      <c r="CN149" s="53">
        <v>0</v>
      </c>
      <c r="CO149" s="54">
        <v>0</v>
      </c>
      <c r="CP149" s="54">
        <v>0</v>
      </c>
      <c r="CQ149" s="4">
        <v>7.6</v>
      </c>
    </row>
    <row r="150" spans="1:95" x14ac:dyDescent="0.35">
      <c r="A150" s="55">
        <v>149</v>
      </c>
      <c r="B150" t="s">
        <v>99</v>
      </c>
      <c r="C150" s="27" t="s">
        <v>353</v>
      </c>
      <c r="D150" s="3" t="s">
        <v>102</v>
      </c>
      <c r="E150" s="33" t="s">
        <v>89</v>
      </c>
      <c r="F150" s="4">
        <f>IFERROR(AVERAGEIF(Table1[[#This Row],[2019-Apr]:[2025-July]],"&lt;&gt;0"),0)</f>
        <v>6.7355227272727296</v>
      </c>
      <c r="G150" s="4">
        <f ca="1">IFERROR(AVERAGEIF(OFFSET(Table1[[#This Row],[Status]],0,COUNT(Table1[[#This Row],[2019-May]:[2025-July]]),1,-12),"&lt;&gt;0"),0)</f>
        <v>4.9119999999999999</v>
      </c>
      <c r="H150" s="55">
        <f>IFERROR(SMALL(Table1[[#This Row],[2019-Apr]:[2025-July]],COUNTIF(Table1[[#This Row],[2019-Apr]:[2025-July]],0)+1),0)</f>
        <v>2.4060000000000001</v>
      </c>
      <c r="I150" s="55">
        <f>IFERROR(MAX(Table1[[#This Row],[2019-Apr]:[2025-July]]),0)</f>
        <v>13.43</v>
      </c>
      <c r="J150" s="4" cm="1">
        <f t="array" ref="J15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2.6736666666666662</v>
      </c>
      <c r="K150" s="4">
        <v>4.5</v>
      </c>
      <c r="L150" s="4">
        <f>IF(Table1[[#This Row],[Standard as per ISO]]&gt;=Table1[[#This Row],[Avg of best 6]],Table1[[#This Row],[Standard as per ISO]],Table1[[#This Row],[Avg of best 6]])</f>
        <v>4.5</v>
      </c>
      <c r="M150" s="4" cm="1">
        <f t="array" ref="M150">IFERROR(LOOKUP(2,1/(Table1[[#This Row],[2019-May]:[2025-July]]&lt;&gt;0),Table1[[#This Row],[2019-May]:[2025-July]]),0)</f>
        <v>5.8</v>
      </c>
      <c r="N150" s="4">
        <f>COUNTIF(Table1[[#This Row],[2019-Apr]:[2025-July]],"&gt;="&amp;Table1[[#This Row],[Target]])</f>
        <v>29</v>
      </c>
      <c r="O150" s="4">
        <f>IF(Table1[[#This Row],[Outliers 2Y]]=0,1,0)</f>
        <v>0</v>
      </c>
      <c r="P150" s="4">
        <f>IF(Table1[[#This Row],[Last value]]&gt;1.5*Table1[[#This Row],[Target]],1,0)</f>
        <v>0</v>
      </c>
      <c r="Q150" s="4">
        <f>IF(AND(1.5*Table1[[#This Row],[Target]]&gt;=Table1[[#This Row],[Last value]],Table1[[#This Row],[Last value]]&gt;Table1[[#This Row],[Target]]),1,0)</f>
        <v>1</v>
      </c>
      <c r="R150" s="4">
        <f>IF(Table1[[#This Row],[Target]]&gt;=Table1[[#This Row],[Last value]],1,0)</f>
        <v>0</v>
      </c>
      <c r="S150" s="4" t="str">
        <f t="shared" si="3"/>
        <v>Yellow</v>
      </c>
      <c r="T150">
        <v>0</v>
      </c>
      <c r="U150">
        <v>0</v>
      </c>
      <c r="V150">
        <v>0</v>
      </c>
      <c r="W150">
        <v>0</v>
      </c>
      <c r="X150">
        <v>13</v>
      </c>
      <c r="Y150">
        <v>9.92</v>
      </c>
      <c r="Z150">
        <v>0</v>
      </c>
      <c r="AA150">
        <v>8.6</v>
      </c>
      <c r="AB150">
        <v>8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8.98</v>
      </c>
      <c r="AQ150">
        <v>0</v>
      </c>
      <c r="AR150" s="8">
        <v>10.1</v>
      </c>
      <c r="AS150" s="8">
        <v>0</v>
      </c>
      <c r="AT150" s="8">
        <v>0</v>
      </c>
      <c r="AU150" s="3">
        <v>0</v>
      </c>
      <c r="AV150" s="3">
        <v>10.5</v>
      </c>
      <c r="AW150" s="3">
        <v>0</v>
      </c>
      <c r="AX150" s="3">
        <v>13.2</v>
      </c>
      <c r="AY150" s="3">
        <v>12.9</v>
      </c>
      <c r="AZ150" s="3">
        <v>10.5</v>
      </c>
      <c r="BA150" s="3">
        <v>12.3</v>
      </c>
      <c r="BB150" s="3">
        <v>0</v>
      </c>
      <c r="BC150" s="3">
        <v>0</v>
      </c>
      <c r="BD150">
        <v>9.8000000000000007</v>
      </c>
      <c r="BE150" s="11">
        <v>10.76</v>
      </c>
      <c r="BF150" s="4">
        <v>10.76</v>
      </c>
      <c r="BG150" s="4">
        <v>11.1</v>
      </c>
      <c r="BH150" s="4">
        <v>13.43</v>
      </c>
      <c r="BI150" s="4">
        <v>0</v>
      </c>
      <c r="BJ150" s="14">
        <v>4.8289999999999997</v>
      </c>
      <c r="BK150" s="14">
        <v>2.4060000000000001</v>
      </c>
      <c r="BL150" s="4">
        <v>2.9830000000000001</v>
      </c>
      <c r="BM150" s="17">
        <v>2.7349999999999999</v>
      </c>
      <c r="BN150" s="4">
        <v>0</v>
      </c>
      <c r="BO150" s="4">
        <v>4.5289999999999999</v>
      </c>
      <c r="BP150" s="4">
        <v>2.5179999999999998</v>
      </c>
      <c r="BQ150" s="4">
        <v>4.3099999999999996</v>
      </c>
      <c r="BR150" s="4">
        <v>4.2480000000000002</v>
      </c>
      <c r="BS150" s="4">
        <v>3.4409999999999998</v>
      </c>
      <c r="BT150" s="4">
        <v>3.0739999999999998</v>
      </c>
      <c r="BU150" s="4">
        <v>3.024</v>
      </c>
      <c r="BV150" s="4">
        <v>5.0129999999999999</v>
      </c>
      <c r="BW150" s="4">
        <v>3.7069999999999999</v>
      </c>
      <c r="BX150" s="4">
        <v>4.0979999999999999</v>
      </c>
      <c r="BY150" s="4">
        <v>5.3979999999999997</v>
      </c>
      <c r="BZ150">
        <v>0</v>
      </c>
      <c r="CA150">
        <v>4.55</v>
      </c>
      <c r="CB150">
        <v>6.73</v>
      </c>
      <c r="CC150">
        <v>0</v>
      </c>
      <c r="CD150">
        <v>0</v>
      </c>
      <c r="CE150" s="19">
        <v>0</v>
      </c>
      <c r="CF150" s="19">
        <v>0</v>
      </c>
      <c r="CG150" s="4">
        <v>6.57</v>
      </c>
      <c r="CH150" s="4">
        <v>3.07</v>
      </c>
      <c r="CI150" s="4">
        <v>4.68</v>
      </c>
      <c r="CJ150" s="34">
        <v>7.4</v>
      </c>
      <c r="CK150" s="34">
        <v>4</v>
      </c>
      <c r="CL150" s="43">
        <v>4.5999999999999996</v>
      </c>
      <c r="CM150" s="4">
        <v>2.6</v>
      </c>
      <c r="CN150" s="53">
        <v>7.3</v>
      </c>
      <c r="CO150" s="54">
        <v>2.8</v>
      </c>
      <c r="CP150" s="54">
        <v>6.1</v>
      </c>
      <c r="CQ150" s="4">
        <v>5.8</v>
      </c>
    </row>
    <row r="151" spans="1:95" x14ac:dyDescent="0.35">
      <c r="A151" s="55">
        <v>150</v>
      </c>
      <c r="B151" t="s">
        <v>99</v>
      </c>
      <c r="C151" s="27" t="s">
        <v>354</v>
      </c>
      <c r="D151" s="3" t="s">
        <v>94</v>
      </c>
      <c r="E151" s="33" t="s">
        <v>89</v>
      </c>
      <c r="F151" s="4">
        <f>IFERROR(AVERAGEIF(Table1[[#This Row],[2019-Apr]:[2025-July]],"&lt;&gt;0"),0)</f>
        <v>2.0306190476190471</v>
      </c>
      <c r="G151" s="4">
        <f ca="1">IFERROR(AVERAGEIF(OFFSET(Table1[[#This Row],[Status]],0,COUNT(Table1[[#This Row],[2019-May]:[2025-July]]),1,-12),"&lt;&gt;0"),0)</f>
        <v>0.90249999999999997</v>
      </c>
      <c r="H151" s="55">
        <f>IFERROR(SMALL(Table1[[#This Row],[2019-Apr]:[2025-July]],COUNTIF(Table1[[#This Row],[2019-Apr]:[2025-July]],0)+1),0)</f>
        <v>0.41</v>
      </c>
      <c r="I151" s="55">
        <f>IFERROR(MAX(Table1[[#This Row],[2019-Apr]:[2025-July]]),0)</f>
        <v>5.87</v>
      </c>
      <c r="J151" s="4" cm="1">
        <f t="array" ref="J15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0.53333333333333333</v>
      </c>
      <c r="K151" s="4">
        <v>4.5</v>
      </c>
      <c r="L151" s="4">
        <f>IF(Table1[[#This Row],[Standard as per ISO]]&gt;=Table1[[#This Row],[Avg of best 6]],Table1[[#This Row],[Standard as per ISO]],Table1[[#This Row],[Avg of best 6]])</f>
        <v>4.5</v>
      </c>
      <c r="M151" s="4" cm="1">
        <f t="array" ref="M151">IFERROR(LOOKUP(2,1/(Table1[[#This Row],[2019-May]:[2025-July]]&lt;&gt;0),Table1[[#This Row],[2019-May]:[2025-July]]),0)</f>
        <v>2.2999999999999998</v>
      </c>
      <c r="N151" s="4">
        <f>COUNTIF(Table1[[#This Row],[2019-Apr]:[2025-July]],"&gt;="&amp;Table1[[#This Row],[Target]])</f>
        <v>2</v>
      </c>
      <c r="O151" s="4">
        <f>IF(Table1[[#This Row],[Outliers 2Y]]=0,1,0)</f>
        <v>0</v>
      </c>
      <c r="P151" s="4">
        <f>IF(Table1[[#This Row],[Last value]]&gt;1.5*Table1[[#This Row],[Target]],1,0)</f>
        <v>0</v>
      </c>
      <c r="Q151" s="4">
        <f>IF(AND(1.5*Table1[[#This Row],[Target]]&gt;=Table1[[#This Row],[Last value]],Table1[[#This Row],[Last value]]&gt;Table1[[#This Row],[Target]]),1,0)</f>
        <v>0</v>
      </c>
      <c r="R151" s="4">
        <f>IF(Table1[[#This Row],[Target]]&gt;=Table1[[#This Row],[Last value]],1,0)</f>
        <v>1</v>
      </c>
      <c r="S151" s="4" t="str">
        <f t="shared" si="3"/>
        <v>Green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1.63</v>
      </c>
      <c r="Z151">
        <v>2</v>
      </c>
      <c r="AA151">
        <v>1.5</v>
      </c>
      <c r="AB151">
        <v>0</v>
      </c>
      <c r="AC151">
        <v>0</v>
      </c>
      <c r="AD151">
        <v>2.4</v>
      </c>
      <c r="AE151">
        <v>5.87</v>
      </c>
      <c r="AF151">
        <v>0</v>
      </c>
      <c r="AG151">
        <v>0</v>
      </c>
      <c r="AH151">
        <v>0</v>
      </c>
      <c r="AI151">
        <v>0</v>
      </c>
      <c r="AJ151">
        <v>4.4000000000000004</v>
      </c>
      <c r="AK151">
        <v>2.68</v>
      </c>
      <c r="AL151">
        <v>0</v>
      </c>
      <c r="AM151">
        <v>0</v>
      </c>
      <c r="AN151">
        <v>0</v>
      </c>
      <c r="AO151">
        <v>0</v>
      </c>
      <c r="AP151">
        <v>0.59</v>
      </c>
      <c r="AQ151">
        <v>0.96</v>
      </c>
      <c r="AR151" s="8">
        <v>0</v>
      </c>
      <c r="AS151" s="8">
        <v>0</v>
      </c>
      <c r="AT151" s="8">
        <v>3.53</v>
      </c>
      <c r="AU151" s="3">
        <v>0</v>
      </c>
      <c r="AV151" s="3">
        <v>0</v>
      </c>
      <c r="AW151" s="3">
        <v>0</v>
      </c>
      <c r="AX151" s="3">
        <v>0</v>
      </c>
      <c r="AY151" s="3">
        <v>1.02</v>
      </c>
      <c r="AZ151" s="3">
        <v>0</v>
      </c>
      <c r="BA151" s="3">
        <v>0</v>
      </c>
      <c r="BB151" s="3">
        <v>0</v>
      </c>
      <c r="BC151" s="3">
        <v>0</v>
      </c>
      <c r="BD151">
        <v>0</v>
      </c>
      <c r="BE151" s="11">
        <v>0</v>
      </c>
      <c r="BF151" s="4">
        <v>0</v>
      </c>
      <c r="BG151" s="4">
        <v>0</v>
      </c>
      <c r="BH151" s="4">
        <v>0</v>
      </c>
      <c r="BI151" s="4">
        <v>0.65</v>
      </c>
      <c r="BJ151" s="13">
        <v>0</v>
      </c>
      <c r="BK151" s="13">
        <v>0</v>
      </c>
      <c r="BL151" s="4">
        <v>0.65</v>
      </c>
      <c r="BM151" s="16">
        <v>0</v>
      </c>
      <c r="BN151" s="4">
        <v>0</v>
      </c>
      <c r="BO151" s="4">
        <v>0</v>
      </c>
      <c r="BP151" s="4">
        <v>0</v>
      </c>
      <c r="BQ151" s="4">
        <v>5.2309999999999999</v>
      </c>
      <c r="BR151" s="4">
        <v>0</v>
      </c>
      <c r="BS151" s="4">
        <v>1.1599999999999999</v>
      </c>
      <c r="BT151" s="4">
        <v>0</v>
      </c>
      <c r="BU151" s="4">
        <v>0</v>
      </c>
      <c r="BV151" s="4">
        <v>0</v>
      </c>
      <c r="BW151" s="4">
        <v>1.6919999999999999</v>
      </c>
      <c r="BX151" s="4">
        <v>0</v>
      </c>
      <c r="BY151" s="4">
        <v>0</v>
      </c>
      <c r="BZ151">
        <v>0</v>
      </c>
      <c r="CA151">
        <v>0</v>
      </c>
      <c r="CB151">
        <v>0</v>
      </c>
      <c r="CC151">
        <v>0</v>
      </c>
      <c r="CD151">
        <v>3.07</v>
      </c>
      <c r="CE151" s="19">
        <v>0</v>
      </c>
      <c r="CF151" s="19">
        <v>0</v>
      </c>
      <c r="CG151" s="4">
        <v>0.45</v>
      </c>
      <c r="CH151" s="4">
        <v>0.41</v>
      </c>
      <c r="CI151" s="4">
        <v>0</v>
      </c>
      <c r="CJ151" s="34">
        <v>0</v>
      </c>
      <c r="CK151" s="34">
        <v>0.45</v>
      </c>
      <c r="CL151" s="43">
        <v>0</v>
      </c>
      <c r="CM151" s="4">
        <v>2.2999999999999998</v>
      </c>
      <c r="CN151" s="53">
        <v>0</v>
      </c>
      <c r="CO151" s="54">
        <v>0</v>
      </c>
      <c r="CP151" s="54">
        <v>0</v>
      </c>
      <c r="CQ151" s="4">
        <v>0</v>
      </c>
    </row>
    <row r="152" spans="1:95" x14ac:dyDescent="0.35">
      <c r="A152" s="55">
        <v>151</v>
      </c>
      <c r="B152" t="s">
        <v>99</v>
      </c>
      <c r="C152" s="27" t="s">
        <v>355</v>
      </c>
      <c r="D152" s="3" t="s">
        <v>94</v>
      </c>
      <c r="E152" s="33" t="s">
        <v>89</v>
      </c>
      <c r="F152" s="4">
        <f>IFERROR(AVERAGEIF(Table1[[#This Row],[2019-Apr]:[2025-July]],"&lt;&gt;0"),0)</f>
        <v>1.6476551724137927</v>
      </c>
      <c r="G152" s="4">
        <f ca="1">IFERROR(AVERAGEIF(OFFSET(Table1[[#This Row],[Status]],0,COUNT(Table1[[#This Row],[2019-May]:[2025-July]]),1,-12),"&lt;&gt;0"),0)</f>
        <v>2.2000000000000002</v>
      </c>
      <c r="H152" s="55">
        <f>IFERROR(SMALL(Table1[[#This Row],[2019-Apr]:[2025-July]],COUNTIF(Table1[[#This Row],[2019-Apr]:[2025-July]],0)+1),0)</f>
        <v>0.93</v>
      </c>
      <c r="I152" s="55">
        <f>IFERROR(MAX(Table1[[#This Row],[2019-Apr]:[2025-July]]),0)</f>
        <v>3.9</v>
      </c>
      <c r="J152" s="4" cm="1">
        <f t="array" ref="J15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1.0716666666666665</v>
      </c>
      <c r="K152" s="4">
        <v>4.5</v>
      </c>
      <c r="L152" s="4">
        <f>IF(Table1[[#This Row],[Standard as per ISO]]&gt;=Table1[[#This Row],[Avg of best 6]],Table1[[#This Row],[Standard as per ISO]],Table1[[#This Row],[Avg of best 6]])</f>
        <v>4.5</v>
      </c>
      <c r="M152" s="4" cm="1">
        <f t="array" ref="M152">IFERROR(LOOKUP(2,1/(Table1[[#This Row],[2019-May]:[2025-July]]&lt;&gt;0),Table1[[#This Row],[2019-May]:[2025-July]]),0)</f>
        <v>2.2000000000000002</v>
      </c>
      <c r="N152" s="4">
        <f>COUNTIF(Table1[[#This Row],[2019-Apr]:[2025-July]],"&gt;="&amp;Table1[[#This Row],[Target]])</f>
        <v>0</v>
      </c>
      <c r="O152" s="4">
        <f>IF(Table1[[#This Row],[Outliers 2Y]]=0,1,0)</f>
        <v>1</v>
      </c>
      <c r="P152" s="4">
        <f>IF(Table1[[#This Row],[Last value]]&gt;1.5*Table1[[#This Row],[Target]],1,0)</f>
        <v>0</v>
      </c>
      <c r="Q152" s="4">
        <f>IF(AND(1.5*Table1[[#This Row],[Target]]&gt;=Table1[[#This Row],[Last value]],Table1[[#This Row],[Last value]]&gt;Table1[[#This Row],[Target]]),1,0)</f>
        <v>0</v>
      </c>
      <c r="R152" s="4">
        <f>IF(Table1[[#This Row],[Target]]&gt;=Table1[[#This Row],[Last value]],1,0)</f>
        <v>1</v>
      </c>
      <c r="S152" s="4" t="str">
        <f t="shared" si="3"/>
        <v>Green</v>
      </c>
      <c r="T152">
        <v>0</v>
      </c>
      <c r="U152">
        <v>0</v>
      </c>
      <c r="V152">
        <v>0</v>
      </c>
      <c r="W152">
        <v>1.39</v>
      </c>
      <c r="X152">
        <v>1.06</v>
      </c>
      <c r="Y152">
        <v>0</v>
      </c>
      <c r="Z152">
        <v>1.1000000000000001</v>
      </c>
      <c r="AA152">
        <v>0</v>
      </c>
      <c r="AB152">
        <v>1.4</v>
      </c>
      <c r="AC152">
        <v>1.43</v>
      </c>
      <c r="AD152">
        <v>0</v>
      </c>
      <c r="AE152">
        <v>0</v>
      </c>
      <c r="AF152">
        <v>0</v>
      </c>
      <c r="AG152">
        <v>0.93</v>
      </c>
      <c r="AH152">
        <v>1.4</v>
      </c>
      <c r="AI152">
        <v>1.03</v>
      </c>
      <c r="AJ152">
        <v>0</v>
      </c>
      <c r="AK152">
        <v>0</v>
      </c>
      <c r="AL152">
        <v>1.31</v>
      </c>
      <c r="AM152">
        <v>1.37</v>
      </c>
      <c r="AN152">
        <v>1.6</v>
      </c>
      <c r="AO152">
        <v>1.4</v>
      </c>
      <c r="AP152">
        <v>0</v>
      </c>
      <c r="AQ152">
        <v>0</v>
      </c>
      <c r="AR152" s="8">
        <v>1.82</v>
      </c>
      <c r="AS152" s="8">
        <v>1.71</v>
      </c>
      <c r="AT152" s="8">
        <v>0</v>
      </c>
      <c r="AU152" s="3">
        <v>1.35</v>
      </c>
      <c r="AV152" s="3">
        <v>2.14</v>
      </c>
      <c r="AW152" s="3">
        <v>1.58</v>
      </c>
      <c r="AX152" s="3">
        <v>1.81</v>
      </c>
      <c r="AY152" s="3">
        <v>0</v>
      </c>
      <c r="AZ152" s="3">
        <v>1.7</v>
      </c>
      <c r="BA152" s="3">
        <v>0</v>
      </c>
      <c r="BB152" s="3">
        <v>3.9</v>
      </c>
      <c r="BC152">
        <v>1.4</v>
      </c>
      <c r="BD152">
        <v>0</v>
      </c>
      <c r="BE152" s="11">
        <v>1.6259999999999999</v>
      </c>
      <c r="BF152" s="4">
        <v>1.6259999999999999</v>
      </c>
      <c r="BG152" s="4">
        <v>1</v>
      </c>
      <c r="BH152" s="4">
        <v>1.6259999999999999</v>
      </c>
      <c r="BI152" s="4">
        <v>0</v>
      </c>
      <c r="BJ152" s="14">
        <v>0</v>
      </c>
      <c r="BK152" s="14">
        <v>0</v>
      </c>
      <c r="BL152" s="4">
        <v>0</v>
      </c>
      <c r="BM152" s="17">
        <v>0</v>
      </c>
      <c r="BN152" s="4">
        <v>0</v>
      </c>
      <c r="BO152" s="4">
        <v>0</v>
      </c>
      <c r="BP152" s="4">
        <v>0</v>
      </c>
      <c r="BQ152" s="4">
        <v>2.4740000000000002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 s="19">
        <v>1.6</v>
      </c>
      <c r="CF152" s="19">
        <v>0</v>
      </c>
      <c r="CG152" s="4">
        <v>0</v>
      </c>
      <c r="CH152" s="4">
        <v>0</v>
      </c>
      <c r="CI152" s="4">
        <v>0</v>
      </c>
      <c r="CJ152" s="34">
        <v>0</v>
      </c>
      <c r="CK152" s="34">
        <v>0</v>
      </c>
      <c r="CL152" s="43">
        <v>2.8</v>
      </c>
      <c r="CM152" s="4">
        <v>0</v>
      </c>
      <c r="CN152" s="53">
        <v>0</v>
      </c>
      <c r="CO152" s="54">
        <v>0</v>
      </c>
      <c r="CP152" s="54">
        <v>2.2000000000000002</v>
      </c>
      <c r="CQ152" s="4">
        <v>0</v>
      </c>
    </row>
    <row r="153" spans="1:95" x14ac:dyDescent="0.35">
      <c r="A153" s="55">
        <v>152</v>
      </c>
      <c r="B153" t="s">
        <v>99</v>
      </c>
      <c r="C153" s="27" t="s">
        <v>356</v>
      </c>
      <c r="D153" s="3" t="s">
        <v>93</v>
      </c>
      <c r="E153" s="33" t="s">
        <v>91</v>
      </c>
      <c r="F153" s="4">
        <f>IFERROR(AVERAGEIF(Table1[[#This Row],[2019-Apr]:[2025-July]],"&lt;&gt;0"),0)</f>
        <v>3.6424999999999996</v>
      </c>
      <c r="G153" s="4">
        <f ca="1">IFERROR(AVERAGEIF(OFFSET(Table1[[#This Row],[Status]],0,COUNT(Table1[[#This Row],[2019-May]:[2025-July]]),1,-12),"&lt;&gt;0"),0)</f>
        <v>1.9775</v>
      </c>
      <c r="H153" s="55">
        <f>IFERROR(SMALL(Table1[[#This Row],[2019-Apr]:[2025-July]],COUNTIF(Table1[[#This Row],[2019-Apr]:[2025-July]],0)+1),0)</f>
        <v>0.44900000000000001</v>
      </c>
      <c r="I153" s="55">
        <f>IFERROR(MAX(Table1[[#This Row],[2019-Apr]:[2025-July]]),0)</f>
        <v>23.1</v>
      </c>
      <c r="J153" s="4" cm="1">
        <f t="array" ref="J15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1.0680000000000003</v>
      </c>
      <c r="K153" s="4">
        <v>4.5</v>
      </c>
      <c r="L153" s="4">
        <f>IF(Table1[[#This Row],[Standard as per ISO]]&gt;=Table1[[#This Row],[Avg of best 6]],Table1[[#This Row],[Standard as per ISO]],Table1[[#This Row],[Avg of best 6]])</f>
        <v>4.5</v>
      </c>
      <c r="M153" s="4" cm="1">
        <f t="array" ref="M153">IFERROR(LOOKUP(2,1/(Table1[[#This Row],[2019-May]:[2025-July]]&lt;&gt;0),Table1[[#This Row],[2019-May]:[2025-July]]),0)</f>
        <v>1.1000000000000001</v>
      </c>
      <c r="N153" s="4">
        <f>COUNTIF(Table1[[#This Row],[2019-Apr]:[2025-July]],"&gt;="&amp;Table1[[#This Row],[Target]])</f>
        <v>11</v>
      </c>
      <c r="O153" s="4">
        <f>IF(Table1[[#This Row],[Outliers 2Y]]=0,1,0)</f>
        <v>0</v>
      </c>
      <c r="P153" s="4">
        <f>IF(Table1[[#This Row],[Last value]]&gt;1.5*Table1[[#This Row],[Target]],1,0)</f>
        <v>0</v>
      </c>
      <c r="Q153" s="4">
        <f>IF(AND(1.5*Table1[[#This Row],[Target]]&gt;=Table1[[#This Row],[Last value]],Table1[[#This Row],[Last value]]&gt;Table1[[#This Row],[Target]]),1,0)</f>
        <v>0</v>
      </c>
      <c r="R153" s="4">
        <f>IF(Table1[[#This Row],[Target]]&gt;=Table1[[#This Row],[Last value]],1,0)</f>
        <v>1</v>
      </c>
      <c r="S153" s="4" t="str">
        <f t="shared" si="3"/>
        <v>Green</v>
      </c>
      <c r="T153">
        <v>0</v>
      </c>
      <c r="U153">
        <v>0</v>
      </c>
      <c r="V153">
        <v>0</v>
      </c>
      <c r="W153">
        <v>0</v>
      </c>
      <c r="X153">
        <v>7.1</v>
      </c>
      <c r="Y153">
        <v>5.26</v>
      </c>
      <c r="Z153">
        <v>5.8</v>
      </c>
      <c r="AA153">
        <v>7.44</v>
      </c>
      <c r="AB153">
        <v>9.1999999999999993</v>
      </c>
      <c r="AC153">
        <v>5.94</v>
      </c>
      <c r="AD153">
        <v>23.1</v>
      </c>
      <c r="AE153">
        <v>15</v>
      </c>
      <c r="AF153">
        <v>0</v>
      </c>
      <c r="AG153">
        <v>0</v>
      </c>
      <c r="AH153">
        <v>6.3</v>
      </c>
      <c r="AI153">
        <v>2.81</v>
      </c>
      <c r="AJ153">
        <v>2.5</v>
      </c>
      <c r="AK153">
        <v>5.41</v>
      </c>
      <c r="AL153">
        <v>6.93</v>
      </c>
      <c r="AM153">
        <v>2.9</v>
      </c>
      <c r="AN153">
        <v>3</v>
      </c>
      <c r="AO153">
        <v>0</v>
      </c>
      <c r="AP153">
        <v>2.3199999999999998</v>
      </c>
      <c r="AQ153">
        <v>4.1100000000000003</v>
      </c>
      <c r="AR153" s="8">
        <v>2.15</v>
      </c>
      <c r="AS153" s="8">
        <v>2.92</v>
      </c>
      <c r="AT153" s="8">
        <v>3.78</v>
      </c>
      <c r="AU153" s="3">
        <v>3.73</v>
      </c>
      <c r="AV153" s="3">
        <v>3.89</v>
      </c>
      <c r="AW153" s="3">
        <v>1.83</v>
      </c>
      <c r="AX153" s="3">
        <v>2.93</v>
      </c>
      <c r="AY153" s="3">
        <v>3.83</v>
      </c>
      <c r="AZ153" s="3">
        <v>3.7</v>
      </c>
      <c r="BA153" s="3">
        <v>3.2</v>
      </c>
      <c r="BB153" s="3">
        <v>0</v>
      </c>
      <c r="BC153">
        <v>3.6</v>
      </c>
      <c r="BD153">
        <v>3.5</v>
      </c>
      <c r="BE153" s="11">
        <v>1.706</v>
      </c>
      <c r="BF153" s="4">
        <v>1.4530000000000001</v>
      </c>
      <c r="BG153" s="4">
        <v>1.6</v>
      </c>
      <c r="BH153" s="4">
        <v>2.6179999999999999</v>
      </c>
      <c r="BI153" s="4">
        <v>2.6179999999999999</v>
      </c>
      <c r="BJ153" s="13">
        <v>2.0150000000000001</v>
      </c>
      <c r="BK153" s="13">
        <v>1.4330000000000001</v>
      </c>
      <c r="BL153" s="4">
        <v>2.645</v>
      </c>
      <c r="BM153" s="16">
        <v>2.536</v>
      </c>
      <c r="BN153" s="4">
        <v>1.8180000000000001</v>
      </c>
      <c r="BO153" s="4">
        <v>1.9219999999999999</v>
      </c>
      <c r="BP153" s="4">
        <v>2.9359999999999999</v>
      </c>
      <c r="BQ153" s="4">
        <v>0</v>
      </c>
      <c r="BR153" s="4">
        <v>1.278</v>
      </c>
      <c r="BS153" s="4">
        <v>1.22</v>
      </c>
      <c r="BT153" s="4">
        <v>1.63</v>
      </c>
      <c r="BU153" s="4">
        <v>1.6919999999999999</v>
      </c>
      <c r="BV153" s="4">
        <v>1.419</v>
      </c>
      <c r="BW153" s="4">
        <v>2.4</v>
      </c>
      <c r="BX153" s="4">
        <v>0.44900000000000001</v>
      </c>
      <c r="BY153" s="4">
        <v>0.94199999999999995</v>
      </c>
      <c r="BZ153">
        <v>0</v>
      </c>
      <c r="CA153">
        <v>2.04</v>
      </c>
      <c r="CB153">
        <v>1.96</v>
      </c>
      <c r="CC153">
        <v>1.56</v>
      </c>
      <c r="CD153">
        <v>0</v>
      </c>
      <c r="CE153" s="19">
        <v>0</v>
      </c>
      <c r="CF153" s="19">
        <v>0</v>
      </c>
      <c r="CG153" s="4">
        <v>2.3199999999999998</v>
      </c>
      <c r="CH153" s="4">
        <v>2.29</v>
      </c>
      <c r="CI153" s="4">
        <v>2.2000000000000002</v>
      </c>
      <c r="CJ153" s="34">
        <v>1.1000000000000001</v>
      </c>
      <c r="CK153" s="34">
        <v>0</v>
      </c>
      <c r="CL153" s="34">
        <v>0</v>
      </c>
      <c r="CM153" s="4">
        <v>0</v>
      </c>
      <c r="CN153" s="53">
        <v>0</v>
      </c>
      <c r="CO153" s="54">
        <v>0</v>
      </c>
      <c r="CP153" s="54">
        <v>0</v>
      </c>
      <c r="CQ153" s="4">
        <v>0</v>
      </c>
    </row>
    <row r="154" spans="1:95" x14ac:dyDescent="0.35">
      <c r="A154" s="55">
        <v>153</v>
      </c>
      <c r="B154" t="s">
        <v>99</v>
      </c>
      <c r="C154" s="27" t="s">
        <v>357</v>
      </c>
      <c r="D154" s="3" t="s">
        <v>93</v>
      </c>
      <c r="E154" s="33" t="s">
        <v>91</v>
      </c>
      <c r="F154" s="4">
        <f>IFERROR(AVERAGEIF(Table1[[#This Row],[2019-Apr]:[2025-July]],"&lt;&gt;0"),0)</f>
        <v>3.5288035714285706</v>
      </c>
      <c r="G154" s="4">
        <f ca="1">IFERROR(AVERAGEIF(OFFSET(Table1[[#This Row],[Status]],0,COUNT(Table1[[#This Row],[2019-May]:[2025-July]]),1,-12),"&lt;&gt;0"),0)</f>
        <v>1.3374999999999999</v>
      </c>
      <c r="H154" s="55">
        <f>IFERROR(SMALL(Table1[[#This Row],[2019-Apr]:[2025-July]],COUNTIF(Table1[[#This Row],[2019-Apr]:[2025-July]],0)+1),0)</f>
        <v>1.0369999999999999</v>
      </c>
      <c r="I154" s="55">
        <f>IFERROR(MAX(Table1[[#This Row],[2019-Apr]:[2025-July]]),0)</f>
        <v>12.5</v>
      </c>
      <c r="J154" s="4" cm="1">
        <f t="array" ref="J15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1.1860000000000002</v>
      </c>
      <c r="K154" s="4">
        <v>4.5</v>
      </c>
      <c r="L154" s="4">
        <f>IF(Table1[[#This Row],[Standard as per ISO]]&gt;=Table1[[#This Row],[Avg of best 6]],Table1[[#This Row],[Standard as per ISO]],Table1[[#This Row],[Avg of best 6]])</f>
        <v>4.5</v>
      </c>
      <c r="M154" s="4" cm="1">
        <f t="array" ref="M154">IFERROR(LOOKUP(2,1/(Table1[[#This Row],[2019-May]:[2025-July]]&lt;&gt;0),Table1[[#This Row],[2019-May]:[2025-July]]),0)</f>
        <v>1.9</v>
      </c>
      <c r="N154" s="4">
        <f>COUNTIF(Table1[[#This Row],[2019-Apr]:[2025-July]],"&gt;="&amp;Table1[[#This Row],[Target]])</f>
        <v>10</v>
      </c>
      <c r="O154" s="4">
        <f>IF(Table1[[#This Row],[Outliers 2Y]]=0,1,0)</f>
        <v>0</v>
      </c>
      <c r="P154" s="4">
        <f>IF(Table1[[#This Row],[Last value]]&gt;1.5*Table1[[#This Row],[Target]],1,0)</f>
        <v>0</v>
      </c>
      <c r="Q154" s="4">
        <f>IF(AND(1.5*Table1[[#This Row],[Target]]&gt;=Table1[[#This Row],[Last value]],Table1[[#This Row],[Last value]]&gt;Table1[[#This Row],[Target]]),1,0)</f>
        <v>0</v>
      </c>
      <c r="R154" s="4">
        <f>IF(Table1[[#This Row],[Target]]&gt;=Table1[[#This Row],[Last value]],1,0)</f>
        <v>1</v>
      </c>
      <c r="S154" s="4" t="str">
        <f t="shared" si="3"/>
        <v>Green</v>
      </c>
      <c r="T154">
        <v>0</v>
      </c>
      <c r="U154">
        <v>0</v>
      </c>
      <c r="V154">
        <v>0</v>
      </c>
      <c r="W154">
        <v>0</v>
      </c>
      <c r="X154">
        <v>12.5</v>
      </c>
      <c r="Y154">
        <v>5.77</v>
      </c>
      <c r="Z154">
        <v>10.8</v>
      </c>
      <c r="AA154">
        <v>8.6999999999999993</v>
      </c>
      <c r="AB154">
        <v>11.8</v>
      </c>
      <c r="AC154">
        <v>5.55</v>
      </c>
      <c r="AD154">
        <v>2.7</v>
      </c>
      <c r="AE154">
        <v>4.2</v>
      </c>
      <c r="AF154">
        <v>0</v>
      </c>
      <c r="AG154">
        <v>3.8</v>
      </c>
      <c r="AH154">
        <v>3</v>
      </c>
      <c r="AI154">
        <v>4.1500000000000004</v>
      </c>
      <c r="AJ154">
        <v>4</v>
      </c>
      <c r="AK154">
        <v>4.25</v>
      </c>
      <c r="AL154">
        <v>0</v>
      </c>
      <c r="AM154">
        <v>4.7300000000000004</v>
      </c>
      <c r="AN154">
        <v>4.3</v>
      </c>
      <c r="AO154">
        <v>3.4</v>
      </c>
      <c r="AP154">
        <v>4.6100000000000003</v>
      </c>
      <c r="AQ154">
        <v>2.11</v>
      </c>
      <c r="AR154" s="8">
        <v>3</v>
      </c>
      <c r="AS154" s="8">
        <v>3.62</v>
      </c>
      <c r="AT154" s="8">
        <v>4.1900000000000004</v>
      </c>
      <c r="AU154" s="3">
        <v>2.95</v>
      </c>
      <c r="AV154" s="3">
        <v>4.2699999999999996</v>
      </c>
      <c r="AW154" s="3">
        <v>3.08</v>
      </c>
      <c r="AX154" s="3">
        <v>5.24</v>
      </c>
      <c r="AY154" s="3">
        <v>4.5</v>
      </c>
      <c r="AZ154" s="3">
        <v>0</v>
      </c>
      <c r="BA154" s="3">
        <v>2.21</v>
      </c>
      <c r="BB154" s="3">
        <v>0</v>
      </c>
      <c r="BC154">
        <v>1.5</v>
      </c>
      <c r="BD154">
        <v>1.7</v>
      </c>
      <c r="BE154" s="11">
        <v>3.3759999999999999</v>
      </c>
      <c r="BF154" s="4">
        <v>3.536</v>
      </c>
      <c r="BG154" s="4">
        <v>3.5</v>
      </c>
      <c r="BH154" s="4">
        <v>3.5760000000000001</v>
      </c>
      <c r="BI154" s="4">
        <v>3.5760000000000001</v>
      </c>
      <c r="BJ154" s="14">
        <v>2.899</v>
      </c>
      <c r="BK154" s="14">
        <v>2.6320000000000001</v>
      </c>
      <c r="BL154" s="4">
        <v>2.2010000000000001</v>
      </c>
      <c r="BM154" s="17">
        <v>2.2599999999999998</v>
      </c>
      <c r="BN154" s="4">
        <v>2.3359999999999999</v>
      </c>
      <c r="BO154" s="4">
        <v>2.2469999999999999</v>
      </c>
      <c r="BP154" s="4">
        <v>1.4019999999999999</v>
      </c>
      <c r="BQ154" s="4">
        <v>0</v>
      </c>
      <c r="BR154" s="4">
        <v>2.2320000000000002</v>
      </c>
      <c r="BS154" s="4">
        <v>2.4689999999999999</v>
      </c>
      <c r="BT154" s="4">
        <v>2.3130000000000002</v>
      </c>
      <c r="BU154" s="4">
        <v>2.516</v>
      </c>
      <c r="BV154" s="4">
        <v>2.331</v>
      </c>
      <c r="BW154" s="4">
        <v>1.5369999999999999</v>
      </c>
      <c r="BX154" s="4">
        <v>1.2270000000000001</v>
      </c>
      <c r="BY154" s="4">
        <v>1.0369999999999999</v>
      </c>
      <c r="BZ154">
        <v>0</v>
      </c>
      <c r="CA154">
        <v>2.29</v>
      </c>
      <c r="CB154">
        <v>2.13</v>
      </c>
      <c r="CC154">
        <v>2.0099999999999998</v>
      </c>
      <c r="CD154">
        <v>0</v>
      </c>
      <c r="CE154" s="19">
        <v>0</v>
      </c>
      <c r="CF154" s="19">
        <v>0</v>
      </c>
      <c r="CG154" s="4">
        <v>1.06</v>
      </c>
      <c r="CH154" s="4">
        <v>1.1399999999999999</v>
      </c>
      <c r="CI154" s="4">
        <v>1.25</v>
      </c>
      <c r="CJ154" s="34">
        <v>1.9</v>
      </c>
      <c r="CK154" s="34">
        <v>0</v>
      </c>
      <c r="CL154" s="34">
        <v>0</v>
      </c>
      <c r="CM154" s="4">
        <v>0</v>
      </c>
      <c r="CN154" s="53">
        <v>0</v>
      </c>
      <c r="CO154" s="54">
        <v>0</v>
      </c>
      <c r="CP154" s="54">
        <v>0</v>
      </c>
      <c r="CQ154" s="4">
        <v>0</v>
      </c>
    </row>
    <row r="155" spans="1:95" x14ac:dyDescent="0.35">
      <c r="A155" s="55">
        <v>154</v>
      </c>
      <c r="B155" t="s">
        <v>99</v>
      </c>
      <c r="C155" s="27" t="s">
        <v>358</v>
      </c>
      <c r="D155" s="3" t="s">
        <v>88</v>
      </c>
      <c r="E155" s="33" t="s">
        <v>91</v>
      </c>
      <c r="F155" s="4">
        <f>IFERROR(AVERAGEIF(Table1[[#This Row],[2019-Apr]:[2025-July]],"&lt;&gt;0"),0)</f>
        <v>2.658736842105264</v>
      </c>
      <c r="G155" s="4">
        <f ca="1">IFERROR(AVERAGEIF(OFFSET(Table1[[#This Row],[Status]],0,COUNT(Table1[[#This Row],[2019-May]:[2025-July]]),1,-12),"&lt;&gt;0"),0)</f>
        <v>2.1850000000000001</v>
      </c>
      <c r="H155" s="55">
        <f>IFERROR(SMALL(Table1[[#This Row],[2019-Apr]:[2025-July]],COUNTIF(Table1[[#This Row],[2019-Apr]:[2025-July]],0)+1),0)</f>
        <v>1.25</v>
      </c>
      <c r="I155" s="55">
        <f>IFERROR(MAX(Table1[[#This Row],[2019-Apr]:[2025-July]]),0)</f>
        <v>4.3</v>
      </c>
      <c r="J155" s="4" cm="1">
        <f t="array" ref="J15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1.3168333333333333</v>
      </c>
      <c r="K155" s="4">
        <v>4.5</v>
      </c>
      <c r="L155" s="4">
        <f>IF(Table1[[#This Row],[Standard as per ISO]]&gt;=Table1[[#This Row],[Avg of best 6]],Table1[[#This Row],[Standard as per ISO]],Table1[[#This Row],[Avg of best 6]])</f>
        <v>4.5</v>
      </c>
      <c r="M155" s="4" cm="1">
        <f t="array" ref="M155">IFERROR(LOOKUP(2,1/(Table1[[#This Row],[2019-May]:[2025-July]]&lt;&gt;0),Table1[[#This Row],[2019-May]:[2025-July]]),0)</f>
        <v>2.27</v>
      </c>
      <c r="N155" s="4">
        <f>COUNTIF(Table1[[#This Row],[2019-Apr]:[2025-July]],"&gt;="&amp;Table1[[#This Row],[Target]])</f>
        <v>0</v>
      </c>
      <c r="O155" s="4">
        <f>IF(Table1[[#This Row],[Outliers 2Y]]=0,1,0)</f>
        <v>1</v>
      </c>
      <c r="P155" s="4">
        <f>IF(Table1[[#This Row],[Last value]]&gt;1.5*Table1[[#This Row],[Target]],1,0)</f>
        <v>0</v>
      </c>
      <c r="Q155" s="4">
        <f>IF(AND(1.5*Table1[[#This Row],[Target]]&gt;=Table1[[#This Row],[Last value]],Table1[[#This Row],[Last value]]&gt;Table1[[#This Row],[Target]]),1,0)</f>
        <v>0</v>
      </c>
      <c r="R155" s="4">
        <f>IF(Table1[[#This Row],[Target]]&gt;=Table1[[#This Row],[Last value]],1,0)</f>
        <v>1</v>
      </c>
      <c r="S155" s="4" t="str">
        <f t="shared" si="3"/>
        <v>Green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4</v>
      </c>
      <c r="Z155">
        <v>4.3</v>
      </c>
      <c r="AA155">
        <v>4.08</v>
      </c>
      <c r="AB155">
        <v>3.16</v>
      </c>
      <c r="AC155">
        <v>3.69</v>
      </c>
      <c r="AD155">
        <v>3.45</v>
      </c>
      <c r="AE155">
        <v>3.4</v>
      </c>
      <c r="AF155">
        <v>2.8</v>
      </c>
      <c r="AG155">
        <v>3.3</v>
      </c>
      <c r="AH155">
        <v>3.2</v>
      </c>
      <c r="AI155">
        <v>0</v>
      </c>
      <c r="AJ155">
        <v>3.32</v>
      </c>
      <c r="AK155">
        <v>3.32</v>
      </c>
      <c r="AL155">
        <v>0</v>
      </c>
      <c r="AM155">
        <v>3.25</v>
      </c>
      <c r="AN155">
        <v>3.67</v>
      </c>
      <c r="AO155">
        <v>3.42</v>
      </c>
      <c r="AP155">
        <v>3.43</v>
      </c>
      <c r="AQ155">
        <v>2.27</v>
      </c>
      <c r="AR155" s="8">
        <v>0</v>
      </c>
      <c r="AS155" s="8">
        <v>0</v>
      </c>
      <c r="AT155" s="8">
        <v>0</v>
      </c>
      <c r="AU155" s="3">
        <v>0</v>
      </c>
      <c r="AV155" s="3">
        <v>3.35</v>
      </c>
      <c r="AW155" s="3">
        <v>2.7</v>
      </c>
      <c r="AX155" s="3">
        <v>0</v>
      </c>
      <c r="AY155" s="3">
        <v>3.25</v>
      </c>
      <c r="AZ155" s="3">
        <v>3.2</v>
      </c>
      <c r="BA155" s="3">
        <v>2.7</v>
      </c>
      <c r="BB155" s="3">
        <v>0</v>
      </c>
      <c r="BC155" s="3">
        <v>0</v>
      </c>
      <c r="BD155">
        <v>0</v>
      </c>
      <c r="BE155" s="11">
        <v>0</v>
      </c>
      <c r="BF155" s="4">
        <v>0</v>
      </c>
      <c r="BG155" s="4">
        <v>0</v>
      </c>
      <c r="BH155" s="4">
        <v>2.7</v>
      </c>
      <c r="BI155" s="4">
        <v>1.462</v>
      </c>
      <c r="BJ155" s="13">
        <v>1.9370000000000001</v>
      </c>
      <c r="BK155" s="13">
        <v>1.738</v>
      </c>
      <c r="BL155" s="4">
        <v>0</v>
      </c>
      <c r="BM155" s="16">
        <v>1.2769999999999999</v>
      </c>
      <c r="BN155" s="4">
        <v>1.2509999999999999</v>
      </c>
      <c r="BO155" s="4">
        <v>1.681</v>
      </c>
      <c r="BP155" s="4">
        <v>0</v>
      </c>
      <c r="BQ155" s="4">
        <v>1.302</v>
      </c>
      <c r="BR155" s="4">
        <v>0</v>
      </c>
      <c r="BS155" s="4">
        <v>1.4650000000000001</v>
      </c>
      <c r="BT155" s="4">
        <v>1.778</v>
      </c>
      <c r="BU155" s="4">
        <v>1.992</v>
      </c>
      <c r="BV155" s="4">
        <v>0</v>
      </c>
      <c r="BW155" s="4">
        <v>1.25</v>
      </c>
      <c r="BX155" s="4">
        <v>0</v>
      </c>
      <c r="BY155" s="4">
        <v>1.359</v>
      </c>
      <c r="BZ155">
        <v>0</v>
      </c>
      <c r="CA155">
        <v>0</v>
      </c>
      <c r="CB155">
        <v>0</v>
      </c>
      <c r="CC155">
        <v>2.21</v>
      </c>
      <c r="CD155">
        <v>0</v>
      </c>
      <c r="CE155" s="19">
        <v>0</v>
      </c>
      <c r="CF155" s="19">
        <v>2.1</v>
      </c>
      <c r="CG155" s="4">
        <v>0</v>
      </c>
      <c r="CH155" s="4">
        <v>2.27</v>
      </c>
      <c r="CI155" s="4">
        <v>0</v>
      </c>
      <c r="CJ155" s="34">
        <v>0</v>
      </c>
      <c r="CK155" s="34">
        <v>0</v>
      </c>
      <c r="CL155" s="34">
        <v>0</v>
      </c>
      <c r="CM155" s="4">
        <v>0</v>
      </c>
      <c r="CN155" s="53">
        <v>0</v>
      </c>
      <c r="CO155" s="54">
        <v>0</v>
      </c>
      <c r="CP155" s="54">
        <v>0</v>
      </c>
      <c r="CQ155" s="4">
        <v>0</v>
      </c>
    </row>
    <row r="156" spans="1:95" x14ac:dyDescent="0.35">
      <c r="A156" s="55">
        <v>155</v>
      </c>
      <c r="B156" t="s">
        <v>99</v>
      </c>
      <c r="C156" s="27" t="s">
        <v>359</v>
      </c>
      <c r="D156" s="3" t="s">
        <v>88</v>
      </c>
      <c r="E156" s="33" t="s">
        <v>91</v>
      </c>
      <c r="F156" s="4">
        <f>IFERROR(AVERAGEIF(Table1[[#This Row],[2019-Apr]:[2025-July]],"&lt;&gt;0"),0)</f>
        <v>3.6867755102040816</v>
      </c>
      <c r="G156" s="4">
        <f ca="1">IFERROR(AVERAGEIF(OFFSET(Table1[[#This Row],[Status]],0,COUNT(Table1[[#This Row],[2019-May]:[2025-July]]),1,-12),"&lt;&gt;0"),0)</f>
        <v>2.0549999999999997</v>
      </c>
      <c r="H156" s="55">
        <f>IFERROR(SMALL(Table1[[#This Row],[2019-Apr]:[2025-July]],COUNTIF(Table1[[#This Row],[2019-Apr]:[2025-July]],0)+1),0)</f>
        <v>1.4830000000000001</v>
      </c>
      <c r="I156" s="55">
        <f>IFERROR(MAX(Table1[[#This Row],[2019-Apr]:[2025-July]]),0)</f>
        <v>9.8000000000000007</v>
      </c>
      <c r="J156" s="4" cm="1">
        <f t="array" ref="J15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1.5741666666666667</v>
      </c>
      <c r="K156" s="4">
        <v>4.5</v>
      </c>
      <c r="L156" s="4">
        <f>IF(Table1[[#This Row],[Standard as per ISO]]&gt;=Table1[[#This Row],[Avg of best 6]],Table1[[#This Row],[Standard as per ISO]],Table1[[#This Row],[Avg of best 6]])</f>
        <v>4.5</v>
      </c>
      <c r="M156" s="4" cm="1">
        <f t="array" ref="M156">IFERROR(LOOKUP(2,1/(Table1[[#This Row],[2019-May]:[2025-July]]&lt;&gt;0),Table1[[#This Row],[2019-May]:[2025-July]]),0)</f>
        <v>2.0099999999999998</v>
      </c>
      <c r="N156" s="4">
        <f>COUNTIF(Table1[[#This Row],[2019-Apr]:[2025-July]],"&gt;="&amp;Table1[[#This Row],[Target]])</f>
        <v>12</v>
      </c>
      <c r="O156" s="4">
        <f>IF(Table1[[#This Row],[Outliers 2Y]]=0,1,0)</f>
        <v>0</v>
      </c>
      <c r="P156" s="4">
        <f>IF(Table1[[#This Row],[Last value]]&gt;1.5*Table1[[#This Row],[Target]],1,0)</f>
        <v>0</v>
      </c>
      <c r="Q156" s="4">
        <f>IF(AND(1.5*Table1[[#This Row],[Target]]&gt;=Table1[[#This Row],[Last value]],Table1[[#This Row],[Last value]]&gt;Table1[[#This Row],[Target]]),1,0)</f>
        <v>0</v>
      </c>
      <c r="R156" s="4">
        <f>IF(Table1[[#This Row],[Target]]&gt;=Table1[[#This Row],[Last value]],1,0)</f>
        <v>1</v>
      </c>
      <c r="S156" s="4" t="str">
        <f t="shared" si="3"/>
        <v>Green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4.0999999999999996</v>
      </c>
      <c r="Z156">
        <v>4.5999999999999996</v>
      </c>
      <c r="AA156">
        <v>4.71</v>
      </c>
      <c r="AB156">
        <v>5.05</v>
      </c>
      <c r="AC156">
        <v>5.25</v>
      </c>
      <c r="AD156">
        <v>4.0999999999999996</v>
      </c>
      <c r="AE156">
        <v>3.8</v>
      </c>
      <c r="AF156">
        <v>4.0999999999999996</v>
      </c>
      <c r="AG156">
        <v>4.2</v>
      </c>
      <c r="AH156">
        <v>3.8</v>
      </c>
      <c r="AI156">
        <v>0</v>
      </c>
      <c r="AJ156">
        <v>3.48</v>
      </c>
      <c r="AK156">
        <v>3.23</v>
      </c>
      <c r="AL156">
        <v>2.15</v>
      </c>
      <c r="AM156">
        <v>1.68</v>
      </c>
      <c r="AN156">
        <v>2</v>
      </c>
      <c r="AO156">
        <v>2.5</v>
      </c>
      <c r="AP156">
        <v>3.92</v>
      </c>
      <c r="AQ156">
        <v>2.29</v>
      </c>
      <c r="AR156" s="8">
        <v>0</v>
      </c>
      <c r="AS156" s="8">
        <v>0</v>
      </c>
      <c r="AT156" s="8">
        <v>4.1500000000000004</v>
      </c>
      <c r="AU156" s="3">
        <v>0</v>
      </c>
      <c r="AV156" s="3">
        <v>4.4000000000000004</v>
      </c>
      <c r="AW156" s="3">
        <v>5.31</v>
      </c>
      <c r="AX156" s="3">
        <v>8.24</v>
      </c>
      <c r="AY156" s="3">
        <v>8.67</v>
      </c>
      <c r="AZ156" s="3">
        <v>8.9</v>
      </c>
      <c r="BA156" s="3">
        <v>9.8000000000000007</v>
      </c>
      <c r="BB156" s="3">
        <v>8.3000000000000007</v>
      </c>
      <c r="BC156">
        <v>8.1999999999999993</v>
      </c>
      <c r="BD156">
        <v>0</v>
      </c>
      <c r="BE156" s="11">
        <v>7.3460000000000001</v>
      </c>
      <c r="BF156" s="4">
        <v>2.44</v>
      </c>
      <c r="BG156" s="4">
        <v>0</v>
      </c>
      <c r="BH156" s="4">
        <v>3.0640000000000001</v>
      </c>
      <c r="BI156" s="4">
        <v>2.8919999999999999</v>
      </c>
      <c r="BJ156" s="14">
        <v>2.6419999999999999</v>
      </c>
      <c r="BK156" s="14">
        <v>2.5249999999999999</v>
      </c>
      <c r="BL156" s="4">
        <v>1.91</v>
      </c>
      <c r="BM156" s="17">
        <v>1.617</v>
      </c>
      <c r="BN156" s="4">
        <v>1.514</v>
      </c>
      <c r="BO156" s="4">
        <v>1.6479999999999999</v>
      </c>
      <c r="BP156" s="4">
        <v>1.91</v>
      </c>
      <c r="BQ156" s="4">
        <v>1.669</v>
      </c>
      <c r="BR156" s="4">
        <v>0</v>
      </c>
      <c r="BS156" s="4">
        <v>1.4830000000000001</v>
      </c>
      <c r="BT156" s="4">
        <v>2.0979999999999999</v>
      </c>
      <c r="BU156" s="4">
        <v>1.5569999999999999</v>
      </c>
      <c r="BV156" s="4">
        <v>1.8129999999999999</v>
      </c>
      <c r="BW156" s="4">
        <v>1.6259999999999999</v>
      </c>
      <c r="BX156" s="4">
        <v>1.714</v>
      </c>
      <c r="BY156" s="4">
        <v>2.2440000000000002</v>
      </c>
      <c r="BZ156">
        <v>0</v>
      </c>
      <c r="CA156">
        <v>0</v>
      </c>
      <c r="CB156">
        <v>0</v>
      </c>
      <c r="CC156">
        <v>1.9</v>
      </c>
      <c r="CD156">
        <v>0</v>
      </c>
      <c r="CE156" s="19">
        <v>0</v>
      </c>
      <c r="CF156" s="19">
        <v>2.1</v>
      </c>
      <c r="CG156" s="4">
        <v>0</v>
      </c>
      <c r="CH156" s="4">
        <v>2.0099999999999998</v>
      </c>
      <c r="CI156" s="4">
        <v>0</v>
      </c>
      <c r="CJ156" s="34">
        <v>0</v>
      </c>
      <c r="CK156" s="34">
        <v>0</v>
      </c>
      <c r="CL156" s="34">
        <v>0</v>
      </c>
      <c r="CM156" s="4">
        <v>0</v>
      </c>
      <c r="CN156" s="53">
        <v>0</v>
      </c>
      <c r="CO156" s="54">
        <v>0</v>
      </c>
      <c r="CP156" s="54">
        <v>0</v>
      </c>
      <c r="CQ156" s="4">
        <v>0</v>
      </c>
    </row>
    <row r="157" spans="1:95" x14ac:dyDescent="0.35">
      <c r="A157" s="55">
        <v>156</v>
      </c>
      <c r="B157" t="s">
        <v>99</v>
      </c>
      <c r="C157" s="27" t="s">
        <v>360</v>
      </c>
      <c r="D157" s="3" t="s">
        <v>88</v>
      </c>
      <c r="E157" s="33" t="s">
        <v>91</v>
      </c>
      <c r="F157" s="4">
        <f>IFERROR(AVERAGEIF(Table1[[#This Row],[2019-Apr]:[2025-July]],"&lt;&gt;0"),0)</f>
        <v>3.8914000000000004</v>
      </c>
      <c r="G157" s="4">
        <f ca="1">IFERROR(AVERAGEIF(OFFSET(Table1[[#This Row],[Status]],0,COUNT(Table1[[#This Row],[2019-May]:[2025-July]]),1,-12),"&lt;&gt;0"),0)</f>
        <v>2.0150000000000001</v>
      </c>
      <c r="H157" s="55">
        <f>IFERROR(SMALL(Table1[[#This Row],[2019-Apr]:[2025-July]],COUNTIF(Table1[[#This Row],[2019-Apr]:[2025-July]],0)+1),0)</f>
        <v>1.419</v>
      </c>
      <c r="I157" s="55">
        <f>IFERROR(MAX(Table1[[#This Row],[2019-Apr]:[2025-July]]),0)</f>
        <v>6.3</v>
      </c>
      <c r="J157" s="4" cm="1">
        <f t="array" ref="J15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1.8588333333333333</v>
      </c>
      <c r="K157" s="4">
        <v>4.5</v>
      </c>
      <c r="L157" s="4">
        <f>IF(Table1[[#This Row],[Standard as per ISO]]&gt;=Table1[[#This Row],[Avg of best 6]],Table1[[#This Row],[Standard as per ISO]],Table1[[#This Row],[Avg of best 6]])</f>
        <v>4.5</v>
      </c>
      <c r="M157" s="4" cm="1">
        <f t="array" ref="M157">IFERROR(LOOKUP(2,1/(Table1[[#This Row],[2019-May]:[2025-July]]&lt;&gt;0),Table1[[#This Row],[2019-May]:[2025-July]]),0)</f>
        <v>2.23</v>
      </c>
      <c r="N157" s="4">
        <f>COUNTIF(Table1[[#This Row],[2019-Apr]:[2025-July]],"&gt;="&amp;Table1[[#This Row],[Target]])</f>
        <v>18</v>
      </c>
      <c r="O157" s="4">
        <f>IF(Table1[[#This Row],[Outliers 2Y]]=0,1,0)</f>
        <v>0</v>
      </c>
      <c r="P157" s="4">
        <f>IF(Table1[[#This Row],[Last value]]&gt;1.5*Table1[[#This Row],[Target]],1,0)</f>
        <v>0</v>
      </c>
      <c r="Q157" s="4">
        <f>IF(AND(1.5*Table1[[#This Row],[Target]]&gt;=Table1[[#This Row],[Last value]],Table1[[#This Row],[Last value]]&gt;Table1[[#This Row],[Target]]),1,0)</f>
        <v>0</v>
      </c>
      <c r="R157" s="4">
        <f>IF(Table1[[#This Row],[Target]]&gt;=Table1[[#This Row],[Last value]],1,0)</f>
        <v>1</v>
      </c>
      <c r="S157" s="4" t="str">
        <f t="shared" si="3"/>
        <v>Green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3.6</v>
      </c>
      <c r="Z157">
        <v>4.03</v>
      </c>
      <c r="AA157">
        <v>4.09</v>
      </c>
      <c r="AB157">
        <v>3.86</v>
      </c>
      <c r="AC157">
        <v>4.68</v>
      </c>
      <c r="AD157">
        <v>4.9000000000000004</v>
      </c>
      <c r="AE157">
        <v>4.7</v>
      </c>
      <c r="AF157">
        <v>4.4000000000000004</v>
      </c>
      <c r="AG157">
        <v>5.6</v>
      </c>
      <c r="AH157">
        <v>4.95</v>
      </c>
      <c r="AI157">
        <v>0</v>
      </c>
      <c r="AJ157">
        <v>4.88</v>
      </c>
      <c r="AK157">
        <v>4.49</v>
      </c>
      <c r="AL157">
        <v>0</v>
      </c>
      <c r="AM157">
        <v>4.7</v>
      </c>
      <c r="AN157">
        <v>4.7</v>
      </c>
      <c r="AO157">
        <v>4.8</v>
      </c>
      <c r="AP157">
        <v>3.81</v>
      </c>
      <c r="AQ157">
        <v>5.75</v>
      </c>
      <c r="AR157" s="8">
        <v>3.58</v>
      </c>
      <c r="AS157" s="8">
        <v>0</v>
      </c>
      <c r="AT157" s="8">
        <v>2.2999999999999998</v>
      </c>
      <c r="AU157" s="3">
        <v>2.42</v>
      </c>
      <c r="AV157" s="3">
        <v>5.46</v>
      </c>
      <c r="AW157" s="3">
        <v>0</v>
      </c>
      <c r="AX157" s="3">
        <v>0</v>
      </c>
      <c r="AY157" s="3">
        <v>5.62</v>
      </c>
      <c r="AZ157" s="3">
        <v>6.3</v>
      </c>
      <c r="BA157" s="3">
        <v>4.7</v>
      </c>
      <c r="BB157" s="3">
        <v>5.2</v>
      </c>
      <c r="BC157">
        <v>3.2</v>
      </c>
      <c r="BD157">
        <v>0</v>
      </c>
      <c r="BE157" s="11">
        <v>4.8</v>
      </c>
      <c r="BF157" s="4">
        <v>0</v>
      </c>
      <c r="BG157" s="4">
        <v>0</v>
      </c>
      <c r="BH157" s="4">
        <v>3.3809999999999998</v>
      </c>
      <c r="BI157" s="4">
        <v>2.2210000000000001</v>
      </c>
      <c r="BJ157" s="13">
        <v>4.3819999999999997</v>
      </c>
      <c r="BK157" s="13">
        <v>2.2759999999999998</v>
      </c>
      <c r="BL157" s="4">
        <v>4.5780000000000003</v>
      </c>
      <c r="BM157" s="16">
        <v>4.149</v>
      </c>
      <c r="BN157" s="4">
        <v>5.7530000000000001</v>
      </c>
      <c r="BO157" s="4">
        <v>1.8680000000000001</v>
      </c>
      <c r="BP157" s="4">
        <v>0</v>
      </c>
      <c r="BQ157" s="4">
        <v>0</v>
      </c>
      <c r="BR157" s="4">
        <v>1.726</v>
      </c>
      <c r="BS157" s="4">
        <v>1.419</v>
      </c>
      <c r="BT157" s="4">
        <v>2.3439999999999999</v>
      </c>
      <c r="BU157" s="4">
        <v>2.1190000000000002</v>
      </c>
      <c r="BV157" s="4">
        <v>0</v>
      </c>
      <c r="BW157" s="4">
        <v>2.9620000000000002</v>
      </c>
      <c r="BX157" s="4">
        <v>3.6819999999999999</v>
      </c>
      <c r="BY157" s="4">
        <v>4.3230000000000004</v>
      </c>
      <c r="BZ157">
        <v>0</v>
      </c>
      <c r="CA157">
        <v>0</v>
      </c>
      <c r="CB157">
        <v>0</v>
      </c>
      <c r="CC157">
        <v>2.38</v>
      </c>
      <c r="CD157">
        <v>0</v>
      </c>
      <c r="CE157" s="19">
        <v>0</v>
      </c>
      <c r="CF157" s="19">
        <v>1.8</v>
      </c>
      <c r="CG157" s="4">
        <v>0</v>
      </c>
      <c r="CH157" s="4">
        <v>2.23</v>
      </c>
      <c r="CI157" s="4">
        <v>0</v>
      </c>
      <c r="CJ157" s="34">
        <v>0</v>
      </c>
      <c r="CK157" s="34">
        <v>0</v>
      </c>
      <c r="CL157" s="34">
        <v>0</v>
      </c>
      <c r="CM157" s="4">
        <v>0</v>
      </c>
      <c r="CN157" s="53">
        <v>0</v>
      </c>
      <c r="CO157" s="54">
        <v>0</v>
      </c>
      <c r="CP157" s="54">
        <v>0</v>
      </c>
      <c r="CQ157" s="4">
        <v>0</v>
      </c>
    </row>
    <row r="158" spans="1:95" x14ac:dyDescent="0.35">
      <c r="A158" s="55">
        <v>157</v>
      </c>
      <c r="B158" t="s">
        <v>99</v>
      </c>
      <c r="C158" s="27" t="s">
        <v>361</v>
      </c>
      <c r="D158" s="3" t="s">
        <v>88</v>
      </c>
      <c r="E158" s="33" t="s">
        <v>91</v>
      </c>
      <c r="F158" s="4">
        <f>IFERROR(AVERAGEIF(Table1[[#This Row],[2019-Apr]:[2025-July]],"&lt;&gt;0"),0)</f>
        <v>2.5643399999999996</v>
      </c>
      <c r="G158" s="4">
        <f ca="1">IFERROR(AVERAGEIF(OFFSET(Table1[[#This Row],[Status]],0,COUNT(Table1[[#This Row],[2019-May]:[2025-July]]),1,-12),"&lt;&gt;0"),0)</f>
        <v>2.4750000000000001</v>
      </c>
      <c r="H158" s="55">
        <f>IFERROR(SMALL(Table1[[#This Row],[2019-Apr]:[2025-July]],COUNTIF(Table1[[#This Row],[2019-Apr]:[2025-July]],0)+1),0)</f>
        <v>1.48</v>
      </c>
      <c r="I158" s="55">
        <f>IFERROR(MAX(Table1[[#This Row],[2019-Apr]:[2025-July]]),0)</f>
        <v>4.92</v>
      </c>
      <c r="J158" s="4" cm="1">
        <f t="array" ref="J15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1.5525</v>
      </c>
      <c r="K158" s="4">
        <v>4.5</v>
      </c>
      <c r="L158" s="4">
        <f>IF(Table1[[#This Row],[Standard as per ISO]]&gt;=Table1[[#This Row],[Avg of best 6]],Table1[[#This Row],[Standard as per ISO]],Table1[[#This Row],[Avg of best 6]])</f>
        <v>4.5</v>
      </c>
      <c r="M158" s="4" cm="1">
        <f t="array" ref="M158">IFERROR(LOOKUP(2,1/(Table1[[#This Row],[2019-May]:[2025-July]]&lt;&gt;0),Table1[[#This Row],[2019-May]:[2025-July]]),0)</f>
        <v>3.09</v>
      </c>
      <c r="N158" s="4">
        <f>COUNTIF(Table1[[#This Row],[2019-Apr]:[2025-July]],"&gt;="&amp;Table1[[#This Row],[Target]])</f>
        <v>3</v>
      </c>
      <c r="O158" s="4">
        <f>IF(Table1[[#This Row],[Outliers 2Y]]=0,1,0)</f>
        <v>0</v>
      </c>
      <c r="P158" s="4">
        <f>IF(Table1[[#This Row],[Last value]]&gt;1.5*Table1[[#This Row],[Target]],1,0)</f>
        <v>0</v>
      </c>
      <c r="Q158" s="4">
        <f>IF(AND(1.5*Table1[[#This Row],[Target]]&gt;=Table1[[#This Row],[Last value]],Table1[[#This Row],[Last value]]&gt;Table1[[#This Row],[Target]]),1,0)</f>
        <v>0</v>
      </c>
      <c r="R158" s="4">
        <f>IF(Table1[[#This Row],[Target]]&gt;=Table1[[#This Row],[Last value]],1,0)</f>
        <v>1</v>
      </c>
      <c r="S158" s="4" t="str">
        <f t="shared" si="3"/>
        <v>Green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3.2</v>
      </c>
      <c r="Z158">
        <v>2.9</v>
      </c>
      <c r="AA158">
        <v>4.63</v>
      </c>
      <c r="AB158">
        <v>1.53</v>
      </c>
      <c r="AC158">
        <v>4.92</v>
      </c>
      <c r="AD158">
        <v>4.9000000000000004</v>
      </c>
      <c r="AE158">
        <v>2.9</v>
      </c>
      <c r="AF158">
        <v>1.6</v>
      </c>
      <c r="AG158">
        <v>2.2000000000000002</v>
      </c>
      <c r="AH158">
        <v>1.6</v>
      </c>
      <c r="AI158">
        <v>0</v>
      </c>
      <c r="AJ158">
        <v>1.56</v>
      </c>
      <c r="AK158">
        <v>1.48</v>
      </c>
      <c r="AL158">
        <v>1.75</v>
      </c>
      <c r="AM158">
        <v>1.86</v>
      </c>
      <c r="AN158">
        <v>0</v>
      </c>
      <c r="AO158">
        <v>1.86</v>
      </c>
      <c r="AP158">
        <v>2.1</v>
      </c>
      <c r="AQ158">
        <v>2.1</v>
      </c>
      <c r="AR158" s="8">
        <v>0</v>
      </c>
      <c r="AS158" s="8">
        <v>2.4</v>
      </c>
      <c r="AT158" s="8">
        <v>3</v>
      </c>
      <c r="AU158" s="3">
        <v>3.1</v>
      </c>
      <c r="AV158" s="3">
        <v>1.83</v>
      </c>
      <c r="AW158" s="3">
        <v>2.7</v>
      </c>
      <c r="AX158" s="3">
        <v>2.4</v>
      </c>
      <c r="AY158" s="3">
        <v>2.5299999999999998</v>
      </c>
      <c r="AZ158" s="3">
        <v>2.1</v>
      </c>
      <c r="BA158" s="3">
        <v>0</v>
      </c>
      <c r="BB158" s="3">
        <v>2.2999999999999998</v>
      </c>
      <c r="BC158">
        <v>2.7</v>
      </c>
      <c r="BD158">
        <v>0</v>
      </c>
      <c r="BE158" s="11">
        <v>2.5379999999999998</v>
      </c>
      <c r="BF158" s="4">
        <v>0</v>
      </c>
      <c r="BG158" s="4">
        <v>2.7389999999999999</v>
      </c>
      <c r="BH158" s="4">
        <v>1.988</v>
      </c>
      <c r="BI158" s="4">
        <v>3.113</v>
      </c>
      <c r="BJ158" s="14">
        <v>2.96</v>
      </c>
      <c r="BK158" s="14">
        <v>3.3889999999999998</v>
      </c>
      <c r="BL158" s="4">
        <v>1.5449999999999999</v>
      </c>
      <c r="BM158" s="17">
        <v>3.089</v>
      </c>
      <c r="BN158" s="4">
        <v>3.117</v>
      </c>
      <c r="BO158" s="4">
        <v>3.117</v>
      </c>
      <c r="BP158" s="4">
        <v>2.8620000000000001</v>
      </c>
      <c r="BQ158" s="4">
        <v>2.2090000000000001</v>
      </c>
      <c r="BR158" s="4">
        <v>2.6779999999999999</v>
      </c>
      <c r="BS158" s="4">
        <v>2.4649999999999999</v>
      </c>
      <c r="BT158" s="4">
        <v>2.1539999999999999</v>
      </c>
      <c r="BU158" s="4">
        <v>3.1080000000000001</v>
      </c>
      <c r="BV158" s="4">
        <v>2.56</v>
      </c>
      <c r="BW158" s="4">
        <v>1.7170000000000001</v>
      </c>
      <c r="BX158" s="4">
        <v>2.669</v>
      </c>
      <c r="BY158" s="4">
        <v>2.71</v>
      </c>
      <c r="BZ158">
        <v>0</v>
      </c>
      <c r="CA158">
        <v>0</v>
      </c>
      <c r="CB158">
        <v>0</v>
      </c>
      <c r="CC158">
        <v>0</v>
      </c>
      <c r="CD158">
        <v>2.39</v>
      </c>
      <c r="CE158" s="19">
        <v>0</v>
      </c>
      <c r="CF158" s="19">
        <v>0</v>
      </c>
      <c r="CG158" s="4">
        <v>1.86</v>
      </c>
      <c r="CH158" s="4">
        <v>3.09</v>
      </c>
      <c r="CI158" s="4">
        <v>0</v>
      </c>
      <c r="CJ158" s="34">
        <v>0</v>
      </c>
      <c r="CK158" s="34">
        <v>0</v>
      </c>
      <c r="CL158" s="34">
        <v>0</v>
      </c>
      <c r="CM158" s="4">
        <v>0</v>
      </c>
      <c r="CN158" s="53">
        <v>0</v>
      </c>
      <c r="CO158" s="54">
        <v>0</v>
      </c>
      <c r="CP158" s="54">
        <v>0</v>
      </c>
      <c r="CQ158" s="4">
        <v>0</v>
      </c>
    </row>
    <row r="159" spans="1:95" x14ac:dyDescent="0.35">
      <c r="A159" s="55">
        <v>158</v>
      </c>
      <c r="B159" t="s">
        <v>99</v>
      </c>
      <c r="C159" s="27" t="s">
        <v>362</v>
      </c>
      <c r="D159" s="3" t="s">
        <v>88</v>
      </c>
      <c r="E159" s="33" t="s">
        <v>91</v>
      </c>
      <c r="F159" s="4">
        <f>IFERROR(AVERAGEIF(Table1[[#This Row],[2019-Apr]:[2025-July]],"&lt;&gt;0"),0)</f>
        <v>2.2797399999999999</v>
      </c>
      <c r="G159" s="4">
        <f ca="1">IFERROR(AVERAGEIF(OFFSET(Table1[[#This Row],[Status]],0,COUNT(Table1[[#This Row],[2019-May]:[2025-July]]),1,-12),"&lt;&gt;0"),0)</f>
        <v>2.2349999999999999</v>
      </c>
      <c r="H159" s="55">
        <f>IFERROR(SMALL(Table1[[#This Row],[2019-Apr]:[2025-July]],COUNTIF(Table1[[#This Row],[2019-Apr]:[2025-July]],0)+1),0)</f>
        <v>1.4</v>
      </c>
      <c r="I159" s="55">
        <f>IFERROR(MAX(Table1[[#This Row],[2019-Apr]:[2025-July]]),0)</f>
        <v>3.8</v>
      </c>
      <c r="J159" s="4" cm="1">
        <f t="array" ref="J15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1.6700000000000002</v>
      </c>
      <c r="K159" s="4">
        <v>4.5</v>
      </c>
      <c r="L159" s="4">
        <f>IF(Table1[[#This Row],[Standard as per ISO]]&gt;=Table1[[#This Row],[Avg of best 6]],Table1[[#This Row],[Standard as per ISO]],Table1[[#This Row],[Avg of best 6]])</f>
        <v>4.5</v>
      </c>
      <c r="M159" s="4" cm="1">
        <f t="array" ref="M159">IFERROR(LOOKUP(2,1/(Table1[[#This Row],[2019-May]:[2025-July]]&lt;&gt;0),Table1[[#This Row],[2019-May]:[2025-July]]),0)</f>
        <v>2.0499999999999998</v>
      </c>
      <c r="N159" s="4">
        <f>COUNTIF(Table1[[#This Row],[2019-Apr]:[2025-July]],"&gt;="&amp;Table1[[#This Row],[Target]])</f>
        <v>0</v>
      </c>
      <c r="O159" s="4">
        <f>IF(Table1[[#This Row],[Outliers 2Y]]=0,1,0)</f>
        <v>1</v>
      </c>
      <c r="P159" s="4">
        <f>IF(Table1[[#This Row],[Last value]]&gt;1.5*Table1[[#This Row],[Target]],1,0)</f>
        <v>0</v>
      </c>
      <c r="Q159" s="4">
        <f>IF(AND(1.5*Table1[[#This Row],[Target]]&gt;=Table1[[#This Row],[Last value]],Table1[[#This Row],[Last value]]&gt;Table1[[#This Row],[Target]]),1,0)</f>
        <v>0</v>
      </c>
      <c r="R159" s="4">
        <f>IF(Table1[[#This Row],[Target]]&gt;=Table1[[#This Row],[Last value]],1,0)</f>
        <v>1</v>
      </c>
      <c r="S159" s="4" t="str">
        <f t="shared" si="3"/>
        <v>Green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1.8</v>
      </c>
      <c r="Z159">
        <v>1.4</v>
      </c>
      <c r="AA159">
        <v>2.5</v>
      </c>
      <c r="AB159">
        <v>1.97</v>
      </c>
      <c r="AC159">
        <v>1.8</v>
      </c>
      <c r="AD159">
        <v>1.7</v>
      </c>
      <c r="AE159">
        <v>1.7</v>
      </c>
      <c r="AF159">
        <v>3.1</v>
      </c>
      <c r="AG159">
        <v>1.9</v>
      </c>
      <c r="AH159">
        <v>1.8</v>
      </c>
      <c r="AI159">
        <v>0</v>
      </c>
      <c r="AJ159">
        <v>1.83</v>
      </c>
      <c r="AK159">
        <v>1.89</v>
      </c>
      <c r="AL159">
        <v>1.8</v>
      </c>
      <c r="AM159">
        <v>1.62</v>
      </c>
      <c r="AN159">
        <v>2.4</v>
      </c>
      <c r="AO159">
        <v>2.5</v>
      </c>
      <c r="AP159">
        <v>1.91</v>
      </c>
      <c r="AQ159">
        <v>1.92</v>
      </c>
      <c r="AR159" s="8">
        <v>2.74</v>
      </c>
      <c r="AS159" s="8">
        <v>0</v>
      </c>
      <c r="AT159" s="8">
        <v>2.9</v>
      </c>
      <c r="AU159" s="3">
        <v>3.8</v>
      </c>
      <c r="AV159" s="3">
        <v>2.39</v>
      </c>
      <c r="AW159" s="3">
        <v>2.57</v>
      </c>
      <c r="AX159" s="3">
        <v>2.5299999999999998</v>
      </c>
      <c r="AY159" s="3">
        <v>1.91</v>
      </c>
      <c r="AZ159" s="3">
        <v>1.9</v>
      </c>
      <c r="BA159" s="3">
        <v>2.2999999999999998</v>
      </c>
      <c r="BB159" s="3">
        <v>2</v>
      </c>
      <c r="BC159">
        <v>3</v>
      </c>
      <c r="BD159">
        <v>0</v>
      </c>
      <c r="BE159" s="11">
        <v>0</v>
      </c>
      <c r="BF159" s="4">
        <v>2.8639999999999999</v>
      </c>
      <c r="BG159" s="4">
        <v>0</v>
      </c>
      <c r="BH159" s="4">
        <v>2.3130000000000002</v>
      </c>
      <c r="BI159" s="4">
        <v>2.5419999999999998</v>
      </c>
      <c r="BJ159" s="13">
        <v>2.0350000000000001</v>
      </c>
      <c r="BK159" s="13">
        <v>2.3290000000000002</v>
      </c>
      <c r="BL159" s="4">
        <v>2.3519999999999999</v>
      </c>
      <c r="BM159" s="16">
        <v>2.3639999999999999</v>
      </c>
      <c r="BN159" s="4">
        <v>2.0419999999999998</v>
      </c>
      <c r="BO159" s="4">
        <v>2.1850000000000001</v>
      </c>
      <c r="BP159" s="4">
        <v>2.8180000000000001</v>
      </c>
      <c r="BQ159" s="4">
        <v>2.1800000000000002</v>
      </c>
      <c r="BR159" s="4">
        <v>2.6930000000000001</v>
      </c>
      <c r="BS159" s="4">
        <v>2.6779999999999999</v>
      </c>
      <c r="BT159" s="4">
        <v>2.4980000000000002</v>
      </c>
      <c r="BU159" s="4">
        <v>2.085</v>
      </c>
      <c r="BV159" s="4">
        <v>0</v>
      </c>
      <c r="BW159" s="4">
        <v>2.7469999999999999</v>
      </c>
      <c r="BX159" s="4">
        <v>2.5009999999999999</v>
      </c>
      <c r="BY159" s="4">
        <v>2.5510000000000002</v>
      </c>
      <c r="BZ159">
        <v>0</v>
      </c>
      <c r="CA159">
        <v>0</v>
      </c>
      <c r="CB159">
        <v>0</v>
      </c>
      <c r="CC159">
        <v>0</v>
      </c>
      <c r="CD159">
        <v>2.16</v>
      </c>
      <c r="CE159" s="19">
        <v>0</v>
      </c>
      <c r="CF159" s="19">
        <v>0</v>
      </c>
      <c r="CG159" s="4">
        <v>2.42</v>
      </c>
      <c r="CH159" s="4">
        <v>2.0499999999999998</v>
      </c>
      <c r="CI159" s="4">
        <v>0</v>
      </c>
      <c r="CJ159" s="34">
        <v>0</v>
      </c>
      <c r="CK159" s="34">
        <v>0</v>
      </c>
      <c r="CL159" s="34">
        <v>0</v>
      </c>
      <c r="CM159" s="4">
        <v>0</v>
      </c>
      <c r="CN159" s="53">
        <v>0</v>
      </c>
      <c r="CO159" s="54">
        <v>0</v>
      </c>
      <c r="CP159" s="54">
        <v>0</v>
      </c>
      <c r="CQ159" s="4">
        <v>0</v>
      </c>
    </row>
    <row r="160" spans="1:95" x14ac:dyDescent="0.35">
      <c r="A160" s="55">
        <v>159</v>
      </c>
      <c r="B160" t="s">
        <v>99</v>
      </c>
      <c r="C160" s="27" t="s">
        <v>363</v>
      </c>
      <c r="D160" s="3" t="s">
        <v>88</v>
      </c>
      <c r="E160" s="33" t="s">
        <v>91</v>
      </c>
      <c r="F160" s="4">
        <f>IFERROR(AVERAGEIF(Table1[[#This Row],[2019-Apr]:[2025-July]],"&lt;&gt;0"),0)</f>
        <v>5.6428823529411787</v>
      </c>
      <c r="G160" s="4">
        <f ca="1">IFERROR(AVERAGEIF(OFFSET(Table1[[#This Row],[Status]],0,COUNT(Table1[[#This Row],[2019-May]:[2025-July]]),1,-12),"&lt;&gt;0"),0)</f>
        <v>4.2949999999999999</v>
      </c>
      <c r="H160" s="55">
        <f>IFERROR(SMALL(Table1[[#This Row],[2019-Apr]:[2025-July]],COUNTIF(Table1[[#This Row],[2019-Apr]:[2025-July]],0)+1),0)</f>
        <v>3.3</v>
      </c>
      <c r="I160" s="55">
        <f>IFERROR(MAX(Table1[[#This Row],[2019-Apr]:[2025-July]]),0)</f>
        <v>11.2</v>
      </c>
      <c r="J160" s="4" cm="1">
        <f t="array" ref="J16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3.8696666666666668</v>
      </c>
      <c r="K160" s="4">
        <v>4.5</v>
      </c>
      <c r="L160" s="4">
        <f>IF(Table1[[#This Row],[Standard as per ISO]]&gt;=Table1[[#This Row],[Avg of best 6]],Table1[[#This Row],[Standard as per ISO]],Table1[[#This Row],[Avg of best 6]])</f>
        <v>4.5</v>
      </c>
      <c r="M160" s="4" cm="1">
        <f t="array" ref="M160">IFERROR(LOOKUP(2,1/(Table1[[#This Row],[2019-May]:[2025-July]]&lt;&gt;0),Table1[[#This Row],[2019-May]:[2025-July]]),0)</f>
        <v>4.49</v>
      </c>
      <c r="N160" s="4">
        <f>COUNTIF(Table1[[#This Row],[2019-Apr]:[2025-July]],"&gt;="&amp;Table1[[#This Row],[Target]])</f>
        <v>38</v>
      </c>
      <c r="O160" s="4">
        <f>IF(Table1[[#This Row],[Outliers 2Y]]=0,1,0)</f>
        <v>0</v>
      </c>
      <c r="P160" s="4">
        <f>IF(Table1[[#This Row],[Last value]]&gt;1.5*Table1[[#This Row],[Target]],1,0)</f>
        <v>0</v>
      </c>
      <c r="Q160" s="4">
        <f>IF(AND(1.5*Table1[[#This Row],[Target]]&gt;=Table1[[#This Row],[Last value]],Table1[[#This Row],[Last value]]&gt;Table1[[#This Row],[Target]]),1,0)</f>
        <v>0</v>
      </c>
      <c r="R160" s="4">
        <f>IF(Table1[[#This Row],[Target]]&gt;=Table1[[#This Row],[Last value]],1,0)</f>
        <v>1</v>
      </c>
      <c r="S160" s="4" t="str">
        <f t="shared" si="3"/>
        <v>Green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5.3</v>
      </c>
      <c r="Z160">
        <v>5.4</v>
      </c>
      <c r="AA160">
        <v>6.87</v>
      </c>
      <c r="AB160">
        <v>9.83</v>
      </c>
      <c r="AC160">
        <v>5.48</v>
      </c>
      <c r="AD160">
        <v>4.8</v>
      </c>
      <c r="AE160">
        <v>10.199999999999999</v>
      </c>
      <c r="AF160">
        <v>9.5</v>
      </c>
      <c r="AG160">
        <v>11.2</v>
      </c>
      <c r="AH160">
        <v>9.6999999999999993</v>
      </c>
      <c r="AI160">
        <v>7.77</v>
      </c>
      <c r="AJ160">
        <v>8.23</v>
      </c>
      <c r="AK160">
        <v>8.7899999999999991</v>
      </c>
      <c r="AL160">
        <v>7.26</v>
      </c>
      <c r="AM160">
        <v>5.07</v>
      </c>
      <c r="AN160">
        <v>5</v>
      </c>
      <c r="AO160">
        <v>4.5</v>
      </c>
      <c r="AP160">
        <v>4.66</v>
      </c>
      <c r="AQ160">
        <v>6</v>
      </c>
      <c r="AR160" s="8">
        <v>0</v>
      </c>
      <c r="AS160" s="8">
        <v>4.41</v>
      </c>
      <c r="AT160" s="8">
        <v>4.5</v>
      </c>
      <c r="AU160" s="3">
        <v>5.59</v>
      </c>
      <c r="AV160" s="3">
        <v>6.26</v>
      </c>
      <c r="AW160" s="3">
        <v>5.61</v>
      </c>
      <c r="AX160" s="3">
        <v>5.2</v>
      </c>
      <c r="AY160" s="3">
        <v>6.4</v>
      </c>
      <c r="AZ160" s="3">
        <v>5</v>
      </c>
      <c r="BA160" s="3">
        <v>0</v>
      </c>
      <c r="BB160" s="3">
        <v>4</v>
      </c>
      <c r="BC160">
        <v>3.3</v>
      </c>
      <c r="BD160">
        <v>0</v>
      </c>
      <c r="BE160" s="11">
        <v>4.3220000000000001</v>
      </c>
      <c r="BF160" s="4">
        <v>0</v>
      </c>
      <c r="BG160" s="4">
        <v>4.9489999999999998</v>
      </c>
      <c r="BH160" s="4">
        <v>4.694</v>
      </c>
      <c r="BI160" s="4">
        <v>5.0940000000000003</v>
      </c>
      <c r="BJ160" s="14">
        <v>4.6139999999999999</v>
      </c>
      <c r="BK160" s="14">
        <v>5.3369999999999997</v>
      </c>
      <c r="BL160" s="4">
        <v>4.3650000000000002</v>
      </c>
      <c r="BM160" s="17">
        <v>4.8440000000000003</v>
      </c>
      <c r="BN160" s="4">
        <v>5.1669999999999998</v>
      </c>
      <c r="BO160" s="4">
        <v>5.4909999999999997</v>
      </c>
      <c r="BP160" s="4">
        <v>4.9180000000000001</v>
      </c>
      <c r="BQ160" s="4">
        <v>4.0789999999999997</v>
      </c>
      <c r="BR160" s="4">
        <v>4.3970000000000002</v>
      </c>
      <c r="BS160" s="4">
        <v>4.0469999999999997</v>
      </c>
      <c r="BT160" s="4">
        <v>5.2030000000000003</v>
      </c>
      <c r="BU160" s="4">
        <v>4.7160000000000002</v>
      </c>
      <c r="BV160" s="4">
        <v>5.2590000000000003</v>
      </c>
      <c r="BW160" s="4">
        <v>3.843</v>
      </c>
      <c r="BX160" s="4">
        <v>0</v>
      </c>
      <c r="BY160" s="4">
        <v>4.0279999999999996</v>
      </c>
      <c r="BZ160">
        <v>0</v>
      </c>
      <c r="CA160">
        <v>0</v>
      </c>
      <c r="CB160">
        <v>0</v>
      </c>
      <c r="CC160">
        <v>0</v>
      </c>
      <c r="CD160">
        <v>4</v>
      </c>
      <c r="CE160" s="19">
        <v>0</v>
      </c>
      <c r="CF160" s="19">
        <v>4.0999999999999996</v>
      </c>
      <c r="CG160" s="4">
        <v>0</v>
      </c>
      <c r="CH160" s="4">
        <v>4.49</v>
      </c>
      <c r="CI160" s="4">
        <v>0</v>
      </c>
      <c r="CJ160" s="34">
        <v>0</v>
      </c>
      <c r="CK160" s="34">
        <v>0</v>
      </c>
      <c r="CL160" s="34">
        <v>0</v>
      </c>
      <c r="CM160" s="4">
        <v>0</v>
      </c>
      <c r="CN160" s="53">
        <v>0</v>
      </c>
      <c r="CO160" s="54">
        <v>0</v>
      </c>
      <c r="CP160" s="54">
        <v>0</v>
      </c>
      <c r="CQ160" s="4">
        <v>0</v>
      </c>
    </row>
    <row r="161" spans="1:95" x14ac:dyDescent="0.35">
      <c r="A161" s="55">
        <v>160</v>
      </c>
      <c r="B161" t="s">
        <v>99</v>
      </c>
      <c r="C161" s="27" t="s">
        <v>364</v>
      </c>
      <c r="D161" s="3" t="s">
        <v>88</v>
      </c>
      <c r="E161" s="33" t="s">
        <v>91</v>
      </c>
      <c r="F161" s="4">
        <f>IFERROR(AVERAGEIF(Table1[[#This Row],[2019-Apr]:[2025-July]],"&lt;&gt;0"),0)</f>
        <v>4.5854150943396217</v>
      </c>
      <c r="G161" s="4">
        <f ca="1">IFERROR(AVERAGEIF(OFFSET(Table1[[#This Row],[Status]],0,COUNT(Table1[[#This Row],[2019-May]:[2025-July]]),1,-12),"&lt;&gt;0"),0)</f>
        <v>4.6133333333333333</v>
      </c>
      <c r="H161" s="55">
        <f>IFERROR(SMALL(Table1[[#This Row],[2019-Apr]:[2025-July]],COUNTIF(Table1[[#This Row],[2019-Apr]:[2025-July]],0)+1),0)</f>
        <v>2.21</v>
      </c>
      <c r="I161" s="55">
        <f>IFERROR(MAX(Table1[[#This Row],[2019-Apr]:[2025-July]]),0)</f>
        <v>8.19</v>
      </c>
      <c r="J161" s="4" cm="1">
        <f t="array" ref="J16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2.57</v>
      </c>
      <c r="K161" s="4">
        <v>4.5</v>
      </c>
      <c r="L161" s="4">
        <f>IF(Table1[[#This Row],[Standard as per ISO]]&gt;=Table1[[#This Row],[Avg of best 6]],Table1[[#This Row],[Standard as per ISO]],Table1[[#This Row],[Avg of best 6]])</f>
        <v>4.5</v>
      </c>
      <c r="M161" s="4" cm="1">
        <f t="array" ref="M161">IFERROR(LOOKUP(2,1/(Table1[[#This Row],[2019-May]:[2025-July]]&lt;&gt;0),Table1[[#This Row],[2019-May]:[2025-July]]),0)</f>
        <v>3.84</v>
      </c>
      <c r="N161" s="4">
        <f>COUNTIF(Table1[[#This Row],[2019-Apr]:[2025-July]],"&gt;="&amp;Table1[[#This Row],[Target]])</f>
        <v>28</v>
      </c>
      <c r="O161" s="4">
        <f>IF(Table1[[#This Row],[Outliers 2Y]]=0,1,0)</f>
        <v>0</v>
      </c>
      <c r="P161" s="4">
        <f>IF(Table1[[#This Row],[Last value]]&gt;1.5*Table1[[#This Row],[Target]],1,0)</f>
        <v>0</v>
      </c>
      <c r="Q161" s="4">
        <f>IF(AND(1.5*Table1[[#This Row],[Target]]&gt;=Table1[[#This Row],[Last value]],Table1[[#This Row],[Last value]]&gt;Table1[[#This Row],[Target]]),1,0)</f>
        <v>0</v>
      </c>
      <c r="R161" s="4">
        <f>IF(Table1[[#This Row],[Target]]&gt;=Table1[[#This Row],[Last value]],1,0)</f>
        <v>1</v>
      </c>
      <c r="S161" s="4" t="str">
        <f t="shared" si="3"/>
        <v>Green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2.7</v>
      </c>
      <c r="Z161">
        <v>2.9</v>
      </c>
      <c r="AA161">
        <v>7.7</v>
      </c>
      <c r="AB161">
        <v>8.19</v>
      </c>
      <c r="AC161">
        <v>4.25</v>
      </c>
      <c r="AD161">
        <v>7.7</v>
      </c>
      <c r="AE161">
        <v>2.9</v>
      </c>
      <c r="AF161">
        <v>4.2</v>
      </c>
      <c r="AG161">
        <v>5.4</v>
      </c>
      <c r="AH161">
        <v>4.3</v>
      </c>
      <c r="AI161">
        <v>0</v>
      </c>
      <c r="AJ161">
        <v>3.61</v>
      </c>
      <c r="AK161">
        <v>5.09</v>
      </c>
      <c r="AL161">
        <v>5.9</v>
      </c>
      <c r="AM161">
        <v>4.63</v>
      </c>
      <c r="AN161">
        <v>3.7</v>
      </c>
      <c r="AO161">
        <v>4.5999999999999996</v>
      </c>
      <c r="AP161">
        <v>4.08</v>
      </c>
      <c r="AQ161">
        <v>4.51</v>
      </c>
      <c r="AR161" s="8">
        <v>2.54</v>
      </c>
      <c r="AS161" s="8">
        <v>0</v>
      </c>
      <c r="AT161" s="8">
        <v>2.57</v>
      </c>
      <c r="AU161" s="3">
        <v>4.79</v>
      </c>
      <c r="AV161" s="3">
        <v>2.21</v>
      </c>
      <c r="AW161" s="3">
        <v>3.35</v>
      </c>
      <c r="AX161" s="3">
        <v>2.94</v>
      </c>
      <c r="AY161" s="3">
        <v>3.76</v>
      </c>
      <c r="AZ161" s="3">
        <v>3.8</v>
      </c>
      <c r="BA161" s="3">
        <v>3.7</v>
      </c>
      <c r="BB161" s="3">
        <v>2.5</v>
      </c>
      <c r="BC161">
        <v>3</v>
      </c>
      <c r="BD161">
        <v>0</v>
      </c>
      <c r="BE161" s="11">
        <v>0</v>
      </c>
      <c r="BF161" s="4">
        <v>3.6059999999999999</v>
      </c>
      <c r="BG161" s="4">
        <v>0</v>
      </c>
      <c r="BH161" s="4">
        <v>5.61</v>
      </c>
      <c r="BI161" s="4">
        <v>6.3620000000000001</v>
      </c>
      <c r="BJ161" s="13">
        <v>6.4850000000000003</v>
      </c>
      <c r="BK161" s="13">
        <v>4.6959999999999997</v>
      </c>
      <c r="BL161" s="4">
        <v>4.484</v>
      </c>
      <c r="BM161" s="16">
        <v>4.2590000000000003</v>
      </c>
      <c r="BN161" s="4">
        <v>5.4969999999999999</v>
      </c>
      <c r="BO161" s="4">
        <v>5.0529999999999999</v>
      </c>
      <c r="BP161" s="4">
        <v>4.8929999999999998</v>
      </c>
      <c r="BQ161" s="4">
        <v>4.2370000000000001</v>
      </c>
      <c r="BR161" s="4">
        <v>3.9929999999999999</v>
      </c>
      <c r="BS161" s="4">
        <v>4.6660000000000004</v>
      </c>
      <c r="BT161" s="4">
        <v>5.0149999999999997</v>
      </c>
      <c r="BU161" s="4">
        <v>4.569</v>
      </c>
      <c r="BV161" s="4">
        <v>0</v>
      </c>
      <c r="BW161" s="4">
        <v>6.1340000000000003</v>
      </c>
      <c r="BX161" s="4">
        <v>5.3360000000000003</v>
      </c>
      <c r="BY161" s="4">
        <v>5.6120000000000001</v>
      </c>
      <c r="BZ161">
        <v>0</v>
      </c>
      <c r="CA161">
        <v>5.7</v>
      </c>
      <c r="CB161">
        <v>6.18</v>
      </c>
      <c r="CC161">
        <v>5.28</v>
      </c>
      <c r="CD161">
        <v>0</v>
      </c>
      <c r="CE161" s="19">
        <v>0</v>
      </c>
      <c r="CF161" s="19">
        <v>4.7</v>
      </c>
      <c r="CG161" s="4">
        <v>5.3</v>
      </c>
      <c r="CH161" s="4">
        <v>3.84</v>
      </c>
      <c r="CI161" s="4">
        <v>0</v>
      </c>
      <c r="CJ161" s="34">
        <v>0</v>
      </c>
      <c r="CK161" s="34">
        <v>0</v>
      </c>
      <c r="CL161" s="34">
        <v>0</v>
      </c>
      <c r="CM161" s="4">
        <v>0</v>
      </c>
      <c r="CN161" s="53">
        <v>0</v>
      </c>
      <c r="CO161" s="54">
        <v>0</v>
      </c>
      <c r="CP161" s="54">
        <v>0</v>
      </c>
      <c r="CQ161" s="4">
        <v>0</v>
      </c>
    </row>
    <row r="162" spans="1:95" x14ac:dyDescent="0.35">
      <c r="A162" s="55">
        <v>161</v>
      </c>
      <c r="B162" t="s">
        <v>99</v>
      </c>
      <c r="C162" s="27" t="s">
        <v>365</v>
      </c>
      <c r="D162" s="3" t="s">
        <v>88</v>
      </c>
      <c r="E162" s="33" t="s">
        <v>89</v>
      </c>
      <c r="F162" s="4">
        <f>IFERROR(AVERAGEIF(Table1[[#This Row],[2019-Apr]:[2025-July]],"&lt;&gt;0"),0)</f>
        <v>4.6889846153846158</v>
      </c>
      <c r="G162" s="4">
        <f ca="1">IFERROR(AVERAGEIF(OFFSET(Table1[[#This Row],[Status]],0,COUNT(Table1[[#This Row],[2019-May]:[2025-July]]),1,-12),"&lt;&gt;0"),0)</f>
        <v>4.0666666666666664</v>
      </c>
      <c r="H162" s="55">
        <f>IFERROR(SMALL(Table1[[#This Row],[2019-Apr]:[2025-July]],COUNTIF(Table1[[#This Row],[2019-Apr]:[2025-July]],0)+1),0)</f>
        <v>2.5</v>
      </c>
      <c r="I162" s="55">
        <f>IFERROR(MAX(Table1[[#This Row],[2019-Apr]:[2025-July]]),0)</f>
        <v>11.6</v>
      </c>
      <c r="J162" s="4" cm="1">
        <f t="array" ref="J16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2.7075</v>
      </c>
      <c r="K162" s="4">
        <v>4.5</v>
      </c>
      <c r="L162" s="4">
        <f>IF(Table1[[#This Row],[Standard as per ISO]]&gt;=Table1[[#This Row],[Avg of best 6]],Table1[[#This Row],[Standard as per ISO]],Table1[[#This Row],[Avg of best 6]])</f>
        <v>4.5</v>
      </c>
      <c r="M162" s="4" cm="1">
        <f t="array" ref="M162">IFERROR(LOOKUP(2,1/(Table1[[#This Row],[2019-May]:[2025-July]]&lt;&gt;0),Table1[[#This Row],[2019-May]:[2025-July]]),0)</f>
        <v>4.0999999999999996</v>
      </c>
      <c r="N162" s="4">
        <f>COUNTIF(Table1[[#This Row],[2019-Apr]:[2025-July]],"&gt;="&amp;Table1[[#This Row],[Target]])</f>
        <v>21</v>
      </c>
      <c r="O162" s="4">
        <f>IF(Table1[[#This Row],[Outliers 2Y]]=0,1,0)</f>
        <v>0</v>
      </c>
      <c r="P162" s="4">
        <f>IF(Table1[[#This Row],[Last value]]&gt;1.5*Table1[[#This Row],[Target]],1,0)</f>
        <v>0</v>
      </c>
      <c r="Q162" s="4">
        <f>IF(AND(1.5*Table1[[#This Row],[Target]]&gt;=Table1[[#This Row],[Last value]],Table1[[#This Row],[Last value]]&gt;Table1[[#This Row],[Target]]),1,0)</f>
        <v>0</v>
      </c>
      <c r="R162" s="4">
        <f>IF(Table1[[#This Row],[Target]]&gt;=Table1[[#This Row],[Last value]],1,0)</f>
        <v>1</v>
      </c>
      <c r="S162" s="4" t="str">
        <f t="shared" si="3"/>
        <v>Green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3.23</v>
      </c>
      <c r="Z162">
        <v>5.41</v>
      </c>
      <c r="AA162">
        <v>8.1999999999999993</v>
      </c>
      <c r="AB162">
        <v>5.2</v>
      </c>
      <c r="AC162">
        <v>4.3</v>
      </c>
      <c r="AD162">
        <v>3.92</v>
      </c>
      <c r="AE162">
        <v>2.5</v>
      </c>
      <c r="AF162">
        <v>3.5</v>
      </c>
      <c r="AG162">
        <v>3.9630000000000001</v>
      </c>
      <c r="AH162">
        <v>6.4</v>
      </c>
      <c r="AI162">
        <v>3.84</v>
      </c>
      <c r="AJ162">
        <v>4.8099999999999996</v>
      </c>
      <c r="AK162">
        <v>4.78</v>
      </c>
      <c r="AL162">
        <v>4.12</v>
      </c>
      <c r="AM162">
        <v>9.3699999999999992</v>
      </c>
      <c r="AN162">
        <v>8.8000000000000007</v>
      </c>
      <c r="AO162">
        <v>11.6</v>
      </c>
      <c r="AP162">
        <v>10.9</v>
      </c>
      <c r="AQ162">
        <v>8.61</v>
      </c>
      <c r="AR162" s="8">
        <v>5.49</v>
      </c>
      <c r="AS162" s="8">
        <v>7.2</v>
      </c>
      <c r="AT162" s="8">
        <v>9.31</v>
      </c>
      <c r="AU162" s="3">
        <v>7.4</v>
      </c>
      <c r="AV162" s="3">
        <v>5.44</v>
      </c>
      <c r="AW162" s="3">
        <v>7.45</v>
      </c>
      <c r="AX162" s="3">
        <v>7.27</v>
      </c>
      <c r="AY162" s="3">
        <v>7.48</v>
      </c>
      <c r="AZ162" s="3">
        <v>4.2</v>
      </c>
      <c r="BA162" s="3">
        <v>4.3</v>
      </c>
      <c r="BB162" s="3">
        <v>3.6</v>
      </c>
      <c r="BC162">
        <v>5.4</v>
      </c>
      <c r="BD162">
        <v>0</v>
      </c>
      <c r="BE162" s="11">
        <v>2.8919999999999999</v>
      </c>
      <c r="BF162" s="4">
        <v>0</v>
      </c>
      <c r="BG162" s="4">
        <v>3.5019999999999998</v>
      </c>
      <c r="BH162" s="4">
        <v>3.738</v>
      </c>
      <c r="BI162" s="4">
        <v>0</v>
      </c>
      <c r="BJ162" s="14">
        <v>2.66</v>
      </c>
      <c r="BK162" s="14">
        <v>2.5950000000000002</v>
      </c>
      <c r="BL162" s="4">
        <v>3.3079999999999998</v>
      </c>
      <c r="BM162" s="17">
        <v>3.2309999999999999</v>
      </c>
      <c r="BN162" s="4">
        <v>2.7829999999999999</v>
      </c>
      <c r="BO162" s="4">
        <v>3.4319999999999999</v>
      </c>
      <c r="BP162" s="4">
        <v>3.226</v>
      </c>
      <c r="BQ162" s="4">
        <v>3.3719999999999999</v>
      </c>
      <c r="BR162" s="4">
        <v>4.1609999999999996</v>
      </c>
      <c r="BS162" s="4">
        <v>2.99</v>
      </c>
      <c r="BT162" s="4">
        <v>3.3170000000000002</v>
      </c>
      <c r="BU162" s="4">
        <v>2.8740000000000001</v>
      </c>
      <c r="BV162" s="4">
        <v>2.8330000000000002</v>
      </c>
      <c r="BW162" s="4">
        <v>3.2570000000000001</v>
      </c>
      <c r="BX162" s="4">
        <v>2.9740000000000002</v>
      </c>
      <c r="BY162" s="4">
        <v>2.9060000000000001</v>
      </c>
      <c r="BZ162">
        <v>3.62</v>
      </c>
      <c r="CA162">
        <v>2.93</v>
      </c>
      <c r="CB162">
        <v>3.03</v>
      </c>
      <c r="CC162">
        <v>3.35</v>
      </c>
      <c r="CD162">
        <v>3.11</v>
      </c>
      <c r="CE162" s="19">
        <v>0</v>
      </c>
      <c r="CF162" s="19">
        <v>0</v>
      </c>
      <c r="CG162" s="4">
        <v>3.55</v>
      </c>
      <c r="CH162" s="4">
        <v>3.75</v>
      </c>
      <c r="CI162" s="4">
        <v>0</v>
      </c>
      <c r="CJ162" s="34">
        <v>4.0999999999999996</v>
      </c>
      <c r="CK162" s="34">
        <v>4.0999999999999996</v>
      </c>
      <c r="CL162" s="43">
        <v>5.0999999999999996</v>
      </c>
      <c r="CM162" s="4">
        <v>4.4000000000000004</v>
      </c>
      <c r="CN162" s="53">
        <v>4</v>
      </c>
      <c r="CO162" s="54">
        <v>3.9</v>
      </c>
      <c r="CP162" s="54">
        <v>3.7</v>
      </c>
      <c r="CQ162" s="4">
        <v>4.0999999999999996</v>
      </c>
    </row>
    <row r="163" spans="1:95" x14ac:dyDescent="0.35">
      <c r="A163" s="55">
        <v>162</v>
      </c>
      <c r="B163" t="s">
        <v>99</v>
      </c>
      <c r="C163" s="27" t="s">
        <v>366</v>
      </c>
      <c r="D163" s="3" t="s">
        <v>88</v>
      </c>
      <c r="E163" s="33" t="s">
        <v>89</v>
      </c>
      <c r="F163" s="4">
        <f>IFERROR(AVERAGEIF(Table1[[#This Row],[2019-Apr]:[2025-July]],"&lt;&gt;0"),0)</f>
        <v>4.0868333333333311</v>
      </c>
      <c r="G163" s="4">
        <f ca="1">IFERROR(AVERAGEIF(OFFSET(Table1[[#This Row],[Status]],0,COUNT(Table1[[#This Row],[2019-May]:[2025-July]]),1,-12),"&lt;&gt;0"),0)</f>
        <v>2.6040000000000001</v>
      </c>
      <c r="H163" s="55">
        <f>IFERROR(SMALL(Table1[[#This Row],[2019-Apr]:[2025-July]],COUNTIF(Table1[[#This Row],[2019-Apr]:[2025-July]],0)+1),0)</f>
        <v>0.96899999999999997</v>
      </c>
      <c r="I163" s="55">
        <f>IFERROR(MAX(Table1[[#This Row],[2019-Apr]:[2025-July]]),0)</f>
        <v>12.1</v>
      </c>
      <c r="J163" s="4" cm="1">
        <f t="array" ref="J16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1.9411666666666665</v>
      </c>
      <c r="K163" s="4">
        <v>4.5</v>
      </c>
      <c r="L163" s="4">
        <f>IF(Table1[[#This Row],[Standard as per ISO]]&gt;=Table1[[#This Row],[Avg of best 6]],Table1[[#This Row],[Standard as per ISO]],Table1[[#This Row],[Avg of best 6]])</f>
        <v>4.5</v>
      </c>
      <c r="M163" s="4" cm="1">
        <f t="array" ref="M163">IFERROR(LOOKUP(2,1/(Table1[[#This Row],[2019-May]:[2025-July]]&lt;&gt;0),Table1[[#This Row],[2019-May]:[2025-July]]),0)</f>
        <v>3.1</v>
      </c>
      <c r="N163" s="4">
        <f>COUNTIF(Table1[[#This Row],[2019-Apr]:[2025-July]],"&gt;="&amp;Table1[[#This Row],[Target]])</f>
        <v>28</v>
      </c>
      <c r="O163" s="4">
        <f>IF(Table1[[#This Row],[Outliers 2Y]]=0,1,0)</f>
        <v>0</v>
      </c>
      <c r="P163" s="4">
        <f>IF(Table1[[#This Row],[Last value]]&gt;1.5*Table1[[#This Row],[Target]],1,0)</f>
        <v>0</v>
      </c>
      <c r="Q163" s="4">
        <f>IF(AND(1.5*Table1[[#This Row],[Target]]&gt;=Table1[[#This Row],[Last value]],Table1[[#This Row],[Last value]]&gt;Table1[[#This Row],[Target]]),1,0)</f>
        <v>0</v>
      </c>
      <c r="R163" s="4">
        <f>IF(Table1[[#This Row],[Target]]&gt;=Table1[[#This Row],[Last value]],1,0)</f>
        <v>1</v>
      </c>
      <c r="S163" s="4" t="str">
        <f t="shared" si="3"/>
        <v>Green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5.17</v>
      </c>
      <c r="Z163">
        <v>4.9000000000000004</v>
      </c>
      <c r="AA163">
        <v>5.43</v>
      </c>
      <c r="AB163">
        <v>5.54</v>
      </c>
      <c r="AC163">
        <v>5.61</v>
      </c>
      <c r="AD163">
        <v>4.5</v>
      </c>
      <c r="AE163">
        <v>7.1</v>
      </c>
      <c r="AF163">
        <v>7.8</v>
      </c>
      <c r="AG163">
        <v>7.38</v>
      </c>
      <c r="AH163">
        <v>4.8</v>
      </c>
      <c r="AI163">
        <v>4.4000000000000004</v>
      </c>
      <c r="AJ163">
        <v>4.74</v>
      </c>
      <c r="AK163">
        <v>5.36</v>
      </c>
      <c r="AL163">
        <v>4.5</v>
      </c>
      <c r="AM163">
        <v>4.9800000000000004</v>
      </c>
      <c r="AN163">
        <v>4.8</v>
      </c>
      <c r="AO163">
        <v>4.8099999999999996</v>
      </c>
      <c r="AP163">
        <v>7.51</v>
      </c>
      <c r="AQ163">
        <v>6.54</v>
      </c>
      <c r="AR163" s="8">
        <v>12.1</v>
      </c>
      <c r="AS163" s="8">
        <v>6.05</v>
      </c>
      <c r="AT163" s="8">
        <v>4.63</v>
      </c>
      <c r="AU163" s="3">
        <v>6.1</v>
      </c>
      <c r="AV163" s="3">
        <v>6.37</v>
      </c>
      <c r="AW163" s="3">
        <v>5.56</v>
      </c>
      <c r="AX163" s="3">
        <v>5.59</v>
      </c>
      <c r="AY163" s="3">
        <v>2.42</v>
      </c>
      <c r="AZ163" s="3">
        <v>2.4</v>
      </c>
      <c r="BA163" s="3">
        <v>2</v>
      </c>
      <c r="BB163" s="3">
        <v>2.2999999999999998</v>
      </c>
      <c r="BC163">
        <v>2.5</v>
      </c>
      <c r="BD163">
        <v>2.1</v>
      </c>
      <c r="BE163" s="11">
        <v>4.1070000000000002</v>
      </c>
      <c r="BF163" s="4">
        <v>0</v>
      </c>
      <c r="BG163" s="4">
        <v>5.7119999999999997</v>
      </c>
      <c r="BH163" s="4">
        <v>5.0730000000000004</v>
      </c>
      <c r="BI163" s="4">
        <v>5.7320000000000002</v>
      </c>
      <c r="BJ163" s="13">
        <v>3.6349999999999998</v>
      </c>
      <c r="BK163" s="13">
        <v>2.8090000000000002</v>
      </c>
      <c r="BL163" s="4">
        <v>3.335</v>
      </c>
      <c r="BM163" s="16">
        <v>2.5089999999999999</v>
      </c>
      <c r="BN163" s="4">
        <v>2.9209999999999998</v>
      </c>
      <c r="BO163" s="4">
        <v>2.782</v>
      </c>
      <c r="BP163" s="4">
        <v>2.3969999999999998</v>
      </c>
      <c r="BQ163" s="4">
        <v>3.5030000000000001</v>
      </c>
      <c r="BR163" s="4">
        <v>3.6880000000000002</v>
      </c>
      <c r="BS163" s="4">
        <v>3.5649999999999999</v>
      </c>
      <c r="BT163" s="4">
        <v>3.39</v>
      </c>
      <c r="BU163" s="4">
        <v>2.4820000000000002</v>
      </c>
      <c r="BV163" s="4">
        <v>2.5329999999999999</v>
      </c>
      <c r="BW163" s="4">
        <v>0.96899999999999997</v>
      </c>
      <c r="BX163" s="4">
        <v>2.6709999999999998</v>
      </c>
      <c r="BY163" s="4">
        <v>2.278</v>
      </c>
      <c r="BZ163">
        <v>0</v>
      </c>
      <c r="CA163">
        <v>2.82</v>
      </c>
      <c r="CB163">
        <v>2.71</v>
      </c>
      <c r="CC163">
        <v>0</v>
      </c>
      <c r="CD163">
        <v>2.98</v>
      </c>
      <c r="CE163" s="19">
        <v>3.2</v>
      </c>
      <c r="CF163" s="19">
        <v>2.5</v>
      </c>
      <c r="CG163" s="4">
        <v>0</v>
      </c>
      <c r="CH163" s="4">
        <v>2.64</v>
      </c>
      <c r="CI163" s="4">
        <v>0</v>
      </c>
      <c r="CJ163" s="34">
        <v>3.3</v>
      </c>
      <c r="CK163" s="34">
        <v>2.7</v>
      </c>
      <c r="CL163" s="43">
        <v>2.2999999999999998</v>
      </c>
      <c r="CM163" s="4">
        <v>2</v>
      </c>
      <c r="CN163" s="53">
        <v>2.4</v>
      </c>
      <c r="CO163" s="54">
        <v>2.6</v>
      </c>
      <c r="CP163" s="54">
        <v>2.4</v>
      </c>
      <c r="CQ163" s="4">
        <v>3.1</v>
      </c>
    </row>
    <row r="164" spans="1:95" x14ac:dyDescent="0.35">
      <c r="A164" s="55">
        <v>163</v>
      </c>
      <c r="B164" t="s">
        <v>99</v>
      </c>
      <c r="C164" s="27" t="s">
        <v>367</v>
      </c>
      <c r="D164" s="3" t="s">
        <v>88</v>
      </c>
      <c r="E164" s="33" t="s">
        <v>89</v>
      </c>
      <c r="F164" s="4">
        <f>IFERROR(AVERAGEIF(Table1[[#This Row],[2019-Apr]:[2025-July]],"&lt;&gt;0"),0)</f>
        <v>1.5919687500000004</v>
      </c>
      <c r="G164" s="4">
        <f ca="1">IFERROR(AVERAGEIF(OFFSET(Table1[[#This Row],[Status]],0,COUNT(Table1[[#This Row],[2019-May]:[2025-July]]),1,-12),"&lt;&gt;0"),0)</f>
        <v>1.0200000000000002</v>
      </c>
      <c r="H164" s="55">
        <f>IFERROR(SMALL(Table1[[#This Row],[2019-Apr]:[2025-July]],COUNTIF(Table1[[#This Row],[2019-Apr]:[2025-July]],0)+1),0)</f>
        <v>0.6</v>
      </c>
      <c r="I164" s="55">
        <f>IFERROR(MAX(Table1[[#This Row],[2019-Apr]:[2025-July]]),0)</f>
        <v>5.5</v>
      </c>
      <c r="J164" s="4" cm="1">
        <f t="array" ref="J16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0.66833333333333333</v>
      </c>
      <c r="K164" s="4">
        <v>4.5</v>
      </c>
      <c r="L164" s="4">
        <f>IF(Table1[[#This Row],[Standard as per ISO]]&gt;=Table1[[#This Row],[Avg of best 6]],Table1[[#This Row],[Standard as per ISO]],Table1[[#This Row],[Avg of best 6]])</f>
        <v>4.5</v>
      </c>
      <c r="M164" s="4" cm="1">
        <f t="array" ref="M164">IFERROR(LOOKUP(2,1/(Table1[[#This Row],[2019-May]:[2025-July]]&lt;&gt;0),Table1[[#This Row],[2019-May]:[2025-July]]),0)</f>
        <v>1</v>
      </c>
      <c r="N164" s="4">
        <f>COUNTIF(Table1[[#This Row],[2019-Apr]:[2025-July]],"&gt;="&amp;Table1[[#This Row],[Target]])</f>
        <v>2</v>
      </c>
      <c r="O164" s="4">
        <f>IF(Table1[[#This Row],[Outliers 2Y]]=0,1,0)</f>
        <v>0</v>
      </c>
      <c r="P164" s="4">
        <f>IF(Table1[[#This Row],[Last value]]&gt;1.5*Table1[[#This Row],[Target]],1,0)</f>
        <v>0</v>
      </c>
      <c r="Q164" s="4">
        <f>IF(AND(1.5*Table1[[#This Row],[Target]]&gt;=Table1[[#This Row],[Last value]],Table1[[#This Row],[Last value]]&gt;Table1[[#This Row],[Target]]),1,0)</f>
        <v>0</v>
      </c>
      <c r="R164" s="4">
        <f>IF(Table1[[#This Row],[Target]]&gt;=Table1[[#This Row],[Last value]],1,0)</f>
        <v>1</v>
      </c>
      <c r="S164" s="4" t="str">
        <f t="shared" si="3"/>
        <v>Green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3.91</v>
      </c>
      <c r="Z164">
        <v>4.7</v>
      </c>
      <c r="AA164">
        <v>3.57</v>
      </c>
      <c r="AB164">
        <v>3.29</v>
      </c>
      <c r="AC164">
        <v>2.36</v>
      </c>
      <c r="AD164">
        <v>2.2999999999999998</v>
      </c>
      <c r="AE164">
        <v>4</v>
      </c>
      <c r="AF164">
        <v>5.5</v>
      </c>
      <c r="AG164">
        <v>3.7</v>
      </c>
      <c r="AH164">
        <v>1.6</v>
      </c>
      <c r="AI164">
        <v>0</v>
      </c>
      <c r="AJ164">
        <v>4.17</v>
      </c>
      <c r="AK164">
        <v>4.13</v>
      </c>
      <c r="AL164">
        <v>3.68</v>
      </c>
      <c r="AM164">
        <v>3.55</v>
      </c>
      <c r="AN164">
        <v>0.9</v>
      </c>
      <c r="AO164">
        <v>0.7</v>
      </c>
      <c r="AP164">
        <v>0.71</v>
      </c>
      <c r="AQ164">
        <v>1.49</v>
      </c>
      <c r="AR164" s="8">
        <v>0.97</v>
      </c>
      <c r="AS164" s="8">
        <v>0.98</v>
      </c>
      <c r="AT164" s="8">
        <v>1.29</v>
      </c>
      <c r="AU164" s="3">
        <v>0.95</v>
      </c>
      <c r="AV164" s="3">
        <v>0.91</v>
      </c>
      <c r="AW164" s="3">
        <v>0.89</v>
      </c>
      <c r="AX164" s="3">
        <v>1.2</v>
      </c>
      <c r="AY164" s="3">
        <v>1.0900000000000001</v>
      </c>
      <c r="AZ164" s="3">
        <v>1.1000000000000001</v>
      </c>
      <c r="BA164" s="3">
        <v>0.6</v>
      </c>
      <c r="BB164" s="3">
        <v>0.7</v>
      </c>
      <c r="BC164">
        <v>0.6</v>
      </c>
      <c r="BD164">
        <v>1.2</v>
      </c>
      <c r="BE164" s="11">
        <v>1.319</v>
      </c>
      <c r="BF164" s="4">
        <v>0</v>
      </c>
      <c r="BG164" s="4">
        <v>0.90400000000000003</v>
      </c>
      <c r="BH164" s="4">
        <v>0.78800000000000003</v>
      </c>
      <c r="BI164" s="4">
        <v>1.079</v>
      </c>
      <c r="BJ164" s="14">
        <v>0.9</v>
      </c>
      <c r="BK164" s="14">
        <v>1.3819999999999999</v>
      </c>
      <c r="BL164" s="4">
        <v>1.131</v>
      </c>
      <c r="BM164" s="17">
        <v>1.012</v>
      </c>
      <c r="BN164" s="4">
        <v>0.92400000000000004</v>
      </c>
      <c r="BO164" s="4">
        <v>1.0409999999999999</v>
      </c>
      <c r="BP164" s="4">
        <v>1.2529999999999999</v>
      </c>
      <c r="BQ164" s="4">
        <v>1.421</v>
      </c>
      <c r="BR164" s="4">
        <v>0.97099999999999997</v>
      </c>
      <c r="BS164" s="4">
        <v>1.0069999999999999</v>
      </c>
      <c r="BT164" s="4">
        <v>1.6719999999999999</v>
      </c>
      <c r="BU164" s="4">
        <v>0.90800000000000003</v>
      </c>
      <c r="BV164" s="4">
        <v>0.997</v>
      </c>
      <c r="BW164" s="4">
        <v>1.0620000000000001</v>
      </c>
      <c r="BX164" s="4">
        <v>0.98699999999999999</v>
      </c>
      <c r="BY164" s="4">
        <v>1.0880000000000001</v>
      </c>
      <c r="BZ164">
        <v>0</v>
      </c>
      <c r="CA164">
        <v>0.99</v>
      </c>
      <c r="CB164">
        <v>1.23</v>
      </c>
      <c r="CC164">
        <v>0</v>
      </c>
      <c r="CD164">
        <v>0.9</v>
      </c>
      <c r="CE164" s="19">
        <v>0.8</v>
      </c>
      <c r="CF164" s="19">
        <v>0</v>
      </c>
      <c r="CG164" s="4">
        <v>0</v>
      </c>
      <c r="CH164" s="4">
        <v>0.98</v>
      </c>
      <c r="CI164" s="4">
        <v>0</v>
      </c>
      <c r="CJ164" s="34">
        <v>1.2</v>
      </c>
      <c r="CK164" s="34">
        <v>1.6</v>
      </c>
      <c r="CL164" s="43">
        <v>1.2</v>
      </c>
      <c r="CM164" s="4">
        <v>0.7</v>
      </c>
      <c r="CN164" s="53">
        <v>0.8</v>
      </c>
      <c r="CO164" s="54">
        <v>1</v>
      </c>
      <c r="CP164" s="54">
        <v>0.9</v>
      </c>
      <c r="CQ164" s="4">
        <v>1</v>
      </c>
    </row>
    <row r="165" spans="1:95" x14ac:dyDescent="0.35">
      <c r="A165" s="55">
        <v>164</v>
      </c>
      <c r="B165" t="s">
        <v>99</v>
      </c>
      <c r="C165" s="27" t="s">
        <v>368</v>
      </c>
      <c r="D165" s="3" t="s">
        <v>88</v>
      </c>
      <c r="E165" s="33" t="s">
        <v>91</v>
      </c>
      <c r="F165" s="4">
        <f>IFERROR(AVERAGEIF(Table1[[#This Row],[2019-Apr]:[2025-July]],"&lt;&gt;0"),0)</f>
        <v>2.7056470588235295</v>
      </c>
      <c r="G165" s="4">
        <f ca="1">IFERROR(AVERAGEIF(OFFSET(Table1[[#This Row],[Status]],0,COUNT(Table1[[#This Row],[2019-May]:[2025-July]]),1,-12),"&lt;&gt;0"),0)</f>
        <v>1.0899999999999999</v>
      </c>
      <c r="H165" s="55">
        <f>IFERROR(SMALL(Table1[[#This Row],[2019-Apr]:[2025-July]],COUNTIF(Table1[[#This Row],[2019-Apr]:[2025-July]],0)+1),0)</f>
        <v>0.93500000000000005</v>
      </c>
      <c r="I165" s="55">
        <f>IFERROR(MAX(Table1[[#This Row],[2019-Apr]:[2025-July]]),0)</f>
        <v>8.8000000000000007</v>
      </c>
      <c r="J165" s="4" cm="1">
        <f t="array" ref="J16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0.97633333333333328</v>
      </c>
      <c r="K165" s="4">
        <v>4.5</v>
      </c>
      <c r="L165" s="4">
        <f>IF(Table1[[#This Row],[Standard as per ISO]]&gt;=Table1[[#This Row],[Avg of best 6]],Table1[[#This Row],[Standard as per ISO]],Table1[[#This Row],[Avg of best 6]])</f>
        <v>4.5</v>
      </c>
      <c r="M165" s="4" cm="1">
        <f t="array" ref="M165">IFERROR(LOOKUP(2,1/(Table1[[#This Row],[2019-May]:[2025-July]]&lt;&gt;0),Table1[[#This Row],[2019-May]:[2025-July]]),0)</f>
        <v>1.18</v>
      </c>
      <c r="N165" s="4">
        <f>COUNTIF(Table1[[#This Row],[2019-Apr]:[2025-July]],"&gt;="&amp;Table1[[#This Row],[Target]])</f>
        <v>8</v>
      </c>
      <c r="O165" s="4">
        <f>IF(Table1[[#This Row],[Outliers 2Y]]=0,1,0)</f>
        <v>0</v>
      </c>
      <c r="P165" s="4">
        <f>IF(Table1[[#This Row],[Last value]]&gt;1.5*Table1[[#This Row],[Target]],1,0)</f>
        <v>0</v>
      </c>
      <c r="Q165" s="4">
        <f>IF(AND(1.5*Table1[[#This Row],[Target]]&gt;=Table1[[#This Row],[Last value]],Table1[[#This Row],[Last value]]&gt;Table1[[#This Row],[Target]]),1,0)</f>
        <v>0</v>
      </c>
      <c r="R165" s="4">
        <f>IF(Table1[[#This Row],[Target]]&gt;=Table1[[#This Row],[Last value]],1,0)</f>
        <v>1</v>
      </c>
      <c r="S165" s="4" t="str">
        <f t="shared" si="3"/>
        <v>Green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3.7</v>
      </c>
      <c r="Z165">
        <v>3</v>
      </c>
      <c r="AA165">
        <v>2.82</v>
      </c>
      <c r="AB165">
        <v>4.6100000000000003</v>
      </c>
      <c r="AC165">
        <v>4.24</v>
      </c>
      <c r="AD165">
        <v>3</v>
      </c>
      <c r="AE165">
        <v>3.5</v>
      </c>
      <c r="AF165">
        <v>2.9</v>
      </c>
      <c r="AG165">
        <v>0</v>
      </c>
      <c r="AH165">
        <v>0</v>
      </c>
      <c r="AI165">
        <v>0</v>
      </c>
      <c r="AJ165">
        <v>0</v>
      </c>
      <c r="AK165">
        <v>2.39</v>
      </c>
      <c r="AL165">
        <v>3.84</v>
      </c>
      <c r="AM165">
        <v>2.12</v>
      </c>
      <c r="AN165">
        <v>3.57</v>
      </c>
      <c r="AO165">
        <v>2.2999999999999998</v>
      </c>
      <c r="AP165">
        <v>3.1</v>
      </c>
      <c r="AQ165">
        <v>3.18</v>
      </c>
      <c r="AR165" s="8">
        <v>3.67</v>
      </c>
      <c r="AS165" s="8">
        <v>0</v>
      </c>
      <c r="AT165" s="8">
        <v>7.4</v>
      </c>
      <c r="AU165" s="3">
        <v>5.35</v>
      </c>
      <c r="AV165" s="3">
        <v>6.42</v>
      </c>
      <c r="AW165" s="3">
        <v>6.71</v>
      </c>
      <c r="AX165" s="3">
        <v>4.26</v>
      </c>
      <c r="AY165" s="3">
        <v>3.95</v>
      </c>
      <c r="AZ165" s="3">
        <v>8.8000000000000007</v>
      </c>
      <c r="BA165" s="3">
        <v>4.9000000000000004</v>
      </c>
      <c r="BB165" s="3">
        <v>7.1</v>
      </c>
      <c r="BC165">
        <v>1.3</v>
      </c>
      <c r="BD165">
        <v>0</v>
      </c>
      <c r="BE165" s="11">
        <v>1.96</v>
      </c>
      <c r="BF165" s="4">
        <v>1.581</v>
      </c>
      <c r="BG165" s="4">
        <v>1.044</v>
      </c>
      <c r="BH165" s="4">
        <v>1.103</v>
      </c>
      <c r="BI165" s="4">
        <v>1.2549999999999999</v>
      </c>
      <c r="BJ165" s="13">
        <v>1</v>
      </c>
      <c r="BK165" s="13">
        <v>1.0760000000000001</v>
      </c>
      <c r="BL165" s="4">
        <v>1.5149999999999999</v>
      </c>
      <c r="BM165" s="16">
        <v>1.0640000000000001</v>
      </c>
      <c r="BN165" s="4">
        <v>1.151</v>
      </c>
      <c r="BO165" s="4">
        <v>0.95899999999999996</v>
      </c>
      <c r="BP165" s="4">
        <v>1.1200000000000001</v>
      </c>
      <c r="BQ165" s="4">
        <v>1.2270000000000001</v>
      </c>
      <c r="BR165" s="4">
        <v>0.93500000000000005</v>
      </c>
      <c r="BS165" s="4">
        <v>1.0229999999999999</v>
      </c>
      <c r="BT165" s="4">
        <v>0.94099999999999995</v>
      </c>
      <c r="BU165" s="4">
        <v>1.1220000000000001</v>
      </c>
      <c r="BV165" s="4">
        <v>1.2589999999999999</v>
      </c>
      <c r="BW165" s="4">
        <v>1.4179999999999999</v>
      </c>
      <c r="BX165" s="4">
        <v>1.103</v>
      </c>
      <c r="BY165" s="4">
        <v>1.1020000000000001</v>
      </c>
      <c r="BZ165">
        <v>0</v>
      </c>
      <c r="CA165">
        <v>1.1599999999999999</v>
      </c>
      <c r="CB165">
        <v>1.56</v>
      </c>
      <c r="CC165">
        <v>0</v>
      </c>
      <c r="CD165">
        <v>0</v>
      </c>
      <c r="CE165" s="19">
        <v>0</v>
      </c>
      <c r="CF165" s="19">
        <v>1</v>
      </c>
      <c r="CG165" s="4">
        <v>0</v>
      </c>
      <c r="CH165" s="4">
        <v>1.18</v>
      </c>
      <c r="CI165" s="4">
        <v>0</v>
      </c>
      <c r="CJ165" s="34">
        <v>0</v>
      </c>
      <c r="CK165" s="34">
        <v>0</v>
      </c>
      <c r="CL165" s="34">
        <v>0</v>
      </c>
      <c r="CM165" s="4">
        <v>0</v>
      </c>
      <c r="CN165" s="53">
        <v>0</v>
      </c>
      <c r="CO165" s="54">
        <v>0</v>
      </c>
      <c r="CP165" s="54">
        <v>0</v>
      </c>
      <c r="CQ165" s="4">
        <v>0</v>
      </c>
    </row>
    <row r="166" spans="1:95" x14ac:dyDescent="0.35">
      <c r="A166" s="55">
        <v>165</v>
      </c>
      <c r="B166" t="s">
        <v>99</v>
      </c>
      <c r="C166" s="27" t="s">
        <v>369</v>
      </c>
      <c r="D166" s="3" t="s">
        <v>88</v>
      </c>
      <c r="E166" s="33" t="s">
        <v>91</v>
      </c>
      <c r="F166" s="4">
        <f>IFERROR(AVERAGEIF(Table1[[#This Row],[2019-Apr]:[2025-July]],"&lt;&gt;0"),0)</f>
        <v>1.2370799999999997</v>
      </c>
      <c r="G166" s="4">
        <f ca="1">IFERROR(AVERAGEIF(OFFSET(Table1[[#This Row],[Status]],0,COUNT(Table1[[#This Row],[2019-May]:[2025-July]]),1,-12),"&lt;&gt;0"),0)</f>
        <v>0.91500000000000004</v>
      </c>
      <c r="H166" s="55">
        <f>IFERROR(SMALL(Table1[[#This Row],[2019-Apr]:[2025-July]],COUNTIF(Table1[[#This Row],[2019-Apr]:[2025-July]],0)+1),0)</f>
        <v>0.8</v>
      </c>
      <c r="I166" s="55">
        <f>IFERROR(MAX(Table1[[#This Row],[2019-Apr]:[2025-July]]),0)</f>
        <v>2.6</v>
      </c>
      <c r="J166" s="4" cm="1">
        <f t="array" ref="J16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0.89266666666666661</v>
      </c>
      <c r="K166" s="4">
        <v>4.5</v>
      </c>
      <c r="L166" s="4">
        <f>IF(Table1[[#This Row],[Standard as per ISO]]&gt;=Table1[[#This Row],[Avg of best 6]],Table1[[#This Row],[Standard as per ISO]],Table1[[#This Row],[Avg of best 6]])</f>
        <v>4.5</v>
      </c>
      <c r="M166" s="4" cm="1">
        <f t="array" ref="M166">IFERROR(LOOKUP(2,1/(Table1[[#This Row],[2019-May]:[2025-July]]&lt;&gt;0),Table1[[#This Row],[2019-May]:[2025-July]]),0)</f>
        <v>1.03</v>
      </c>
      <c r="N166" s="4">
        <f>COUNTIF(Table1[[#This Row],[2019-Apr]:[2025-July]],"&gt;="&amp;Table1[[#This Row],[Target]])</f>
        <v>0</v>
      </c>
      <c r="O166" s="4">
        <f>IF(Table1[[#This Row],[Outliers 2Y]]=0,1,0)</f>
        <v>1</v>
      </c>
      <c r="P166" s="4">
        <f>IF(Table1[[#This Row],[Last value]]&gt;1.5*Table1[[#This Row],[Target]],1,0)</f>
        <v>0</v>
      </c>
      <c r="Q166" s="4">
        <f>IF(AND(1.5*Table1[[#This Row],[Target]]&gt;=Table1[[#This Row],[Last value]],Table1[[#This Row],[Last value]]&gt;Table1[[#This Row],[Target]]),1,0)</f>
        <v>0</v>
      </c>
      <c r="R166" s="4">
        <f>IF(Table1[[#This Row],[Target]]&gt;=Table1[[#This Row],[Last value]],1,0)</f>
        <v>1</v>
      </c>
      <c r="S166" s="4" t="str">
        <f t="shared" si="3"/>
        <v>Green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1.8</v>
      </c>
      <c r="Z166">
        <v>0.86</v>
      </c>
      <c r="AA166">
        <v>1.86</v>
      </c>
      <c r="AB166">
        <v>0.94</v>
      </c>
      <c r="AC166">
        <v>1.07</v>
      </c>
      <c r="AD166">
        <v>1.38</v>
      </c>
      <c r="AE166">
        <v>1</v>
      </c>
      <c r="AF166">
        <v>1.1000000000000001</v>
      </c>
      <c r="AG166">
        <v>0</v>
      </c>
      <c r="AH166">
        <v>0</v>
      </c>
      <c r="AI166">
        <v>0</v>
      </c>
      <c r="AJ166">
        <v>0</v>
      </c>
      <c r="AK166">
        <v>1.06</v>
      </c>
      <c r="AL166">
        <v>1.24</v>
      </c>
      <c r="AM166">
        <v>1.21</v>
      </c>
      <c r="AN166">
        <v>1.24</v>
      </c>
      <c r="AO166">
        <v>1.57</v>
      </c>
      <c r="AP166">
        <v>1.47</v>
      </c>
      <c r="AQ166">
        <v>1.68</v>
      </c>
      <c r="AR166" s="8">
        <v>1.42</v>
      </c>
      <c r="AS166" s="8">
        <v>0</v>
      </c>
      <c r="AT166" s="8">
        <v>1.45</v>
      </c>
      <c r="AU166" s="3">
        <v>1.95</v>
      </c>
      <c r="AV166" s="3">
        <v>1.79</v>
      </c>
      <c r="AW166" s="3">
        <v>1.22</v>
      </c>
      <c r="AX166" s="3">
        <v>0.96</v>
      </c>
      <c r="AY166" s="3">
        <v>1.31</v>
      </c>
      <c r="AZ166" s="3">
        <v>1</v>
      </c>
      <c r="BA166" s="3">
        <v>1.1000000000000001</v>
      </c>
      <c r="BB166" s="3">
        <v>2.6</v>
      </c>
      <c r="BC166">
        <v>1</v>
      </c>
      <c r="BD166">
        <v>0</v>
      </c>
      <c r="BE166" s="11">
        <v>1.089</v>
      </c>
      <c r="BF166" s="4">
        <v>1.5</v>
      </c>
      <c r="BG166" s="4">
        <v>1.069</v>
      </c>
      <c r="BH166" s="4">
        <v>1.359</v>
      </c>
      <c r="BI166" s="4">
        <v>1.012</v>
      </c>
      <c r="BJ166" s="14">
        <v>0.87</v>
      </c>
      <c r="BK166" s="14">
        <v>1.0469999999999999</v>
      </c>
      <c r="BL166" s="4">
        <v>1.1339999999999999</v>
      </c>
      <c r="BM166" s="17">
        <v>0.93500000000000005</v>
      </c>
      <c r="BN166" s="4">
        <v>0</v>
      </c>
      <c r="BO166" s="4">
        <v>1.06</v>
      </c>
      <c r="BP166" s="4">
        <v>1.395</v>
      </c>
      <c r="BQ166" s="4">
        <v>0.95099999999999996</v>
      </c>
      <c r="BR166" s="4">
        <v>1.127</v>
      </c>
      <c r="BS166" s="4">
        <v>1.5469999999999999</v>
      </c>
      <c r="BT166" s="4">
        <v>1.171</v>
      </c>
      <c r="BU166" s="4">
        <v>1.01</v>
      </c>
      <c r="BV166" s="4">
        <v>0.98799999999999999</v>
      </c>
      <c r="BW166" s="4">
        <v>1.022</v>
      </c>
      <c r="BX166" s="4">
        <v>1.0129999999999999</v>
      </c>
      <c r="BY166" s="4">
        <v>1.0149999999999999</v>
      </c>
      <c r="BZ166">
        <v>0</v>
      </c>
      <c r="CA166">
        <v>1.26</v>
      </c>
      <c r="CB166">
        <v>1.17</v>
      </c>
      <c r="CC166">
        <v>0</v>
      </c>
      <c r="CD166">
        <v>0</v>
      </c>
      <c r="CE166" s="19">
        <v>0</v>
      </c>
      <c r="CF166" s="19">
        <v>0.8</v>
      </c>
      <c r="CG166" s="4">
        <v>0</v>
      </c>
      <c r="CH166" s="4">
        <v>1.03</v>
      </c>
      <c r="CI166" s="4">
        <v>0</v>
      </c>
      <c r="CJ166" s="34">
        <v>0</v>
      </c>
      <c r="CK166" s="34">
        <v>0</v>
      </c>
      <c r="CL166" s="34">
        <v>0</v>
      </c>
      <c r="CM166" s="4">
        <v>0</v>
      </c>
      <c r="CN166" s="53">
        <v>0</v>
      </c>
      <c r="CO166" s="54">
        <v>0</v>
      </c>
      <c r="CP166" s="54">
        <v>0</v>
      </c>
      <c r="CQ166" s="4">
        <v>0</v>
      </c>
    </row>
    <row r="167" spans="1:95" x14ac:dyDescent="0.35">
      <c r="A167" s="55">
        <v>166</v>
      </c>
      <c r="B167" t="s">
        <v>99</v>
      </c>
      <c r="C167" s="27" t="s">
        <v>370</v>
      </c>
      <c r="D167" s="3" t="s">
        <v>88</v>
      </c>
      <c r="E167" s="33" t="s">
        <v>89</v>
      </c>
      <c r="F167" s="4">
        <f>IFERROR(AVERAGEIF(Table1[[#This Row],[2019-Apr]:[2025-July]],"&lt;&gt;0"),0)</f>
        <v>3.4088769230769245</v>
      </c>
      <c r="G167" s="4">
        <f ca="1">IFERROR(AVERAGEIF(OFFSET(Table1[[#This Row],[Status]],0,COUNT(Table1[[#This Row],[2019-May]:[2025-July]]),1,-12),"&lt;&gt;0"),0)</f>
        <v>3.0866666666666669</v>
      </c>
      <c r="H167" s="55">
        <f>IFERROR(SMALL(Table1[[#This Row],[2019-Apr]:[2025-July]],COUNTIF(Table1[[#This Row],[2019-Apr]:[2025-July]],0)+1),0)</f>
        <v>1.075</v>
      </c>
      <c r="I167" s="55">
        <f>IFERROR(MAX(Table1[[#This Row],[2019-Apr]:[2025-July]]),0)</f>
        <v>5.6</v>
      </c>
      <c r="J167" s="4" cm="1">
        <f t="array" ref="J16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1.843333333333333</v>
      </c>
      <c r="K167" s="4">
        <v>4.5</v>
      </c>
      <c r="L167" s="4">
        <f>IF(Table1[[#This Row],[Standard as per ISO]]&gt;=Table1[[#This Row],[Avg of best 6]],Table1[[#This Row],[Standard as per ISO]],Table1[[#This Row],[Avg of best 6]])</f>
        <v>4.5</v>
      </c>
      <c r="M167" s="4" cm="1">
        <f t="array" ref="M167">IFERROR(LOOKUP(2,1/(Table1[[#This Row],[2019-May]:[2025-July]]&lt;&gt;0),Table1[[#This Row],[2019-May]:[2025-July]]),0)</f>
        <v>3.4</v>
      </c>
      <c r="N167" s="4">
        <f>COUNTIF(Table1[[#This Row],[2019-Apr]:[2025-July]],"&gt;="&amp;Table1[[#This Row],[Target]])</f>
        <v>7</v>
      </c>
      <c r="O167" s="4">
        <f>IF(Table1[[#This Row],[Outliers 2Y]]=0,1,0)</f>
        <v>0</v>
      </c>
      <c r="P167" s="4">
        <f>IF(Table1[[#This Row],[Last value]]&gt;1.5*Table1[[#This Row],[Target]],1,0)</f>
        <v>0</v>
      </c>
      <c r="Q167" s="4">
        <f>IF(AND(1.5*Table1[[#This Row],[Target]]&gt;=Table1[[#This Row],[Last value]],Table1[[#This Row],[Last value]]&gt;Table1[[#This Row],[Target]]),1,0)</f>
        <v>0</v>
      </c>
      <c r="R167" s="4">
        <f>IF(Table1[[#This Row],[Target]]&gt;=Table1[[#This Row],[Last value]],1,0)</f>
        <v>1</v>
      </c>
      <c r="S167" s="4" t="str">
        <f t="shared" si="3"/>
        <v>Green</v>
      </c>
      <c r="T167">
        <v>0</v>
      </c>
      <c r="U167">
        <v>0</v>
      </c>
      <c r="V167">
        <v>0</v>
      </c>
      <c r="W167">
        <v>0</v>
      </c>
      <c r="X167">
        <v>5.3</v>
      </c>
      <c r="Y167">
        <v>4.8899999999999997</v>
      </c>
      <c r="Z167">
        <v>0</v>
      </c>
      <c r="AA167">
        <v>4.4000000000000004</v>
      </c>
      <c r="AB167">
        <v>3.9</v>
      </c>
      <c r="AC167">
        <v>4.05</v>
      </c>
      <c r="AD167">
        <v>5.6</v>
      </c>
      <c r="AE167">
        <v>4.4000000000000004</v>
      </c>
      <c r="AF167">
        <v>4.3</v>
      </c>
      <c r="AG167">
        <v>4.4000000000000004</v>
      </c>
      <c r="AH167">
        <v>4.25</v>
      </c>
      <c r="AI167">
        <v>3.71</v>
      </c>
      <c r="AJ167">
        <v>3.33</v>
      </c>
      <c r="AK167">
        <v>4.5</v>
      </c>
      <c r="AL167">
        <v>4.32</v>
      </c>
      <c r="AM167">
        <v>4.9000000000000004</v>
      </c>
      <c r="AN167">
        <v>4.6500000000000004</v>
      </c>
      <c r="AO167">
        <v>4.4000000000000004</v>
      </c>
      <c r="AP167">
        <v>4.3</v>
      </c>
      <c r="AQ167">
        <v>4.4400000000000004</v>
      </c>
      <c r="AR167" s="8">
        <v>3.98</v>
      </c>
      <c r="AS167" s="8">
        <v>4.42</v>
      </c>
      <c r="AT167" s="8">
        <v>4.2699999999999996</v>
      </c>
      <c r="AU167" s="3">
        <v>4.01</v>
      </c>
      <c r="AV167" s="3">
        <v>3.81</v>
      </c>
      <c r="AW167" s="3">
        <v>3.92</v>
      </c>
      <c r="AX167" s="3">
        <v>3.76</v>
      </c>
      <c r="AY167" s="3">
        <v>5.01</v>
      </c>
      <c r="AZ167" s="3">
        <v>2.4</v>
      </c>
      <c r="BA167" s="3">
        <v>2.9</v>
      </c>
      <c r="BB167" s="3">
        <v>2.2999999999999998</v>
      </c>
      <c r="BC167">
        <v>2.1</v>
      </c>
      <c r="BD167">
        <v>2.2999999999999998</v>
      </c>
      <c r="BE167" s="11">
        <v>2.573</v>
      </c>
      <c r="BF167" s="4">
        <v>3.0710000000000002</v>
      </c>
      <c r="BG167" s="4">
        <v>2.0720000000000001</v>
      </c>
      <c r="BH167" s="4">
        <v>1.075</v>
      </c>
      <c r="BI167" s="4">
        <v>2.1469999999999998</v>
      </c>
      <c r="BJ167" s="13">
        <v>2.1429999999999998</v>
      </c>
      <c r="BK167" s="13">
        <v>1.8839999999999999</v>
      </c>
      <c r="BL167" s="4">
        <v>1.786</v>
      </c>
      <c r="BM167" s="16">
        <v>2.222</v>
      </c>
      <c r="BN167" s="4">
        <v>2.363</v>
      </c>
      <c r="BO167" s="4">
        <v>2.7959999999999998</v>
      </c>
      <c r="BP167" s="4">
        <v>3.0550000000000002</v>
      </c>
      <c r="BQ167" s="4">
        <v>2.5110000000000001</v>
      </c>
      <c r="BR167" s="4">
        <v>3.0049999999999999</v>
      </c>
      <c r="BS167" s="4">
        <v>2.835</v>
      </c>
      <c r="BT167" s="4">
        <v>3.415</v>
      </c>
      <c r="BU167" s="4">
        <v>3.3180000000000001</v>
      </c>
      <c r="BV167" s="4">
        <v>3.61</v>
      </c>
      <c r="BW167" s="4">
        <v>3.4329999999999998</v>
      </c>
      <c r="BX167" s="4">
        <v>2.9470000000000001</v>
      </c>
      <c r="BY167" s="4">
        <v>3.306</v>
      </c>
      <c r="BZ167">
        <v>2.68</v>
      </c>
      <c r="CA167">
        <v>0</v>
      </c>
      <c r="CB167">
        <v>0</v>
      </c>
      <c r="CC167">
        <v>0</v>
      </c>
      <c r="CD167">
        <v>2.93</v>
      </c>
      <c r="CE167" s="19">
        <v>0</v>
      </c>
      <c r="CF167" s="19">
        <v>0</v>
      </c>
      <c r="CG167" s="4">
        <v>3.69</v>
      </c>
      <c r="CH167" s="4">
        <v>3.19</v>
      </c>
      <c r="CI167" s="4">
        <v>0</v>
      </c>
      <c r="CJ167" s="34">
        <v>3.5</v>
      </c>
      <c r="CK167" s="34">
        <v>3.4</v>
      </c>
      <c r="CL167" s="43">
        <v>3.3</v>
      </c>
      <c r="CM167" s="4">
        <v>2.8</v>
      </c>
      <c r="CN167" s="53">
        <v>2.5</v>
      </c>
      <c r="CO167" s="54">
        <v>2.8</v>
      </c>
      <c r="CP167" s="54">
        <v>2.6</v>
      </c>
      <c r="CQ167" s="4">
        <v>3.4</v>
      </c>
    </row>
    <row r="168" spans="1:95" x14ac:dyDescent="0.35">
      <c r="A168" s="55">
        <v>167</v>
      </c>
      <c r="B168" t="s">
        <v>99</v>
      </c>
      <c r="C168" s="27" t="s">
        <v>371</v>
      </c>
      <c r="D168" s="3" t="s">
        <v>88</v>
      </c>
      <c r="E168" s="33" t="s">
        <v>89</v>
      </c>
      <c r="F168" s="4">
        <f>IFERROR(AVERAGEIF(Table1[[#This Row],[2019-Apr]:[2025-July]],"&lt;&gt;0"),0)</f>
        <v>1.5640615384615384</v>
      </c>
      <c r="G168" s="4">
        <f ca="1">IFERROR(AVERAGEIF(OFFSET(Table1[[#This Row],[Status]],0,COUNT(Table1[[#This Row],[2019-May]:[2025-July]]),1,-12),"&lt;&gt;0"),0)</f>
        <v>2.1344444444444446</v>
      </c>
      <c r="H168" s="55">
        <f>IFERROR(SMALL(Table1[[#This Row],[2019-Apr]:[2025-July]],COUNTIF(Table1[[#This Row],[2019-Apr]:[2025-July]],0)+1),0)</f>
        <v>0.72699999999999998</v>
      </c>
      <c r="I168" s="55">
        <f>IFERROR(MAX(Table1[[#This Row],[2019-Apr]:[2025-July]]),0)</f>
        <v>3.2</v>
      </c>
      <c r="J168" s="4" cm="1">
        <f t="array" ref="J16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0.88416666666666666</v>
      </c>
      <c r="K168" s="4">
        <v>4.5</v>
      </c>
      <c r="L168" s="4">
        <f>IF(Table1[[#This Row],[Standard as per ISO]]&gt;=Table1[[#This Row],[Avg of best 6]],Table1[[#This Row],[Standard as per ISO]],Table1[[#This Row],[Avg of best 6]])</f>
        <v>4.5</v>
      </c>
      <c r="M168" s="4" cm="1">
        <f t="array" ref="M168">IFERROR(LOOKUP(2,1/(Table1[[#This Row],[2019-May]:[2025-July]]&lt;&gt;0),Table1[[#This Row],[2019-May]:[2025-July]]),0)</f>
        <v>1.4</v>
      </c>
      <c r="N168" s="4">
        <f>COUNTIF(Table1[[#This Row],[2019-Apr]:[2025-July]],"&gt;="&amp;Table1[[#This Row],[Target]])</f>
        <v>0</v>
      </c>
      <c r="O168" s="4">
        <f>IF(Table1[[#This Row],[Outliers 2Y]]=0,1,0)</f>
        <v>1</v>
      </c>
      <c r="P168" s="4">
        <f>IF(Table1[[#This Row],[Last value]]&gt;1.5*Table1[[#This Row],[Target]],1,0)</f>
        <v>0</v>
      </c>
      <c r="Q168" s="4">
        <f>IF(AND(1.5*Table1[[#This Row],[Target]]&gt;=Table1[[#This Row],[Last value]],Table1[[#This Row],[Last value]]&gt;Table1[[#This Row],[Target]]),1,0)</f>
        <v>0</v>
      </c>
      <c r="R168" s="4">
        <f>IF(Table1[[#This Row],[Target]]&gt;=Table1[[#This Row],[Last value]],1,0)</f>
        <v>1</v>
      </c>
      <c r="S168" s="4" t="str">
        <f t="shared" si="3"/>
        <v>Green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1.1399999999999999</v>
      </c>
      <c r="Z168">
        <v>1</v>
      </c>
      <c r="AA168">
        <v>1.2</v>
      </c>
      <c r="AB168">
        <v>1</v>
      </c>
      <c r="AC168">
        <v>1.78</v>
      </c>
      <c r="AD168">
        <v>1.1000000000000001</v>
      </c>
      <c r="AE168">
        <v>1</v>
      </c>
      <c r="AF168">
        <v>1</v>
      </c>
      <c r="AG168">
        <v>1.4</v>
      </c>
      <c r="AH168">
        <v>1.33</v>
      </c>
      <c r="AI168">
        <v>1.03</v>
      </c>
      <c r="AJ168">
        <v>1.1000000000000001</v>
      </c>
      <c r="AK168">
        <v>1.08</v>
      </c>
      <c r="AL168">
        <v>1.07</v>
      </c>
      <c r="AM168">
        <v>1.2</v>
      </c>
      <c r="AN168">
        <v>1.19</v>
      </c>
      <c r="AO168">
        <v>1.79</v>
      </c>
      <c r="AP168">
        <v>1.3</v>
      </c>
      <c r="AQ168">
        <v>1.6</v>
      </c>
      <c r="AR168" s="8">
        <v>1.24</v>
      </c>
      <c r="AS168" s="8">
        <v>0.79</v>
      </c>
      <c r="AT168" s="8">
        <v>1.1399999999999999</v>
      </c>
      <c r="AU168" s="3">
        <v>1.56</v>
      </c>
      <c r="AV168" s="3">
        <v>0.97</v>
      </c>
      <c r="AW168" s="3">
        <v>1.76</v>
      </c>
      <c r="AX168" s="3">
        <v>1.32</v>
      </c>
      <c r="AY168" s="3">
        <v>1.26</v>
      </c>
      <c r="AZ168" s="3">
        <v>1</v>
      </c>
      <c r="BA168" s="3">
        <v>1.3</v>
      </c>
      <c r="BB168" s="3">
        <v>1.8</v>
      </c>
      <c r="BC168">
        <v>1.5</v>
      </c>
      <c r="BD168">
        <v>1.3</v>
      </c>
      <c r="BE168" s="11">
        <v>1.397</v>
      </c>
      <c r="BF168" s="4">
        <v>0.72699999999999998</v>
      </c>
      <c r="BG168" s="4">
        <v>0.81799999999999995</v>
      </c>
      <c r="BH168" s="4">
        <v>1.369</v>
      </c>
      <c r="BI168" s="4">
        <v>1.5680000000000001</v>
      </c>
      <c r="BJ168" s="14">
        <v>1.238</v>
      </c>
      <c r="BK168" s="14">
        <v>1.58</v>
      </c>
      <c r="BL168" s="4">
        <v>2.9060000000000001</v>
      </c>
      <c r="BM168" s="17">
        <v>1.704</v>
      </c>
      <c r="BN168" s="4">
        <v>2.069</v>
      </c>
      <c r="BO168" s="4">
        <v>1.5169999999999999</v>
      </c>
      <c r="BP168" s="4">
        <v>1.9550000000000001</v>
      </c>
      <c r="BQ168" s="4">
        <v>1.849</v>
      </c>
      <c r="BR168" s="4">
        <v>1.706</v>
      </c>
      <c r="BS168" s="4">
        <v>2.6680000000000001</v>
      </c>
      <c r="BT168" s="4">
        <v>1.73</v>
      </c>
      <c r="BU168" s="4">
        <v>1.774</v>
      </c>
      <c r="BV168" s="4">
        <v>2.0550000000000002</v>
      </c>
      <c r="BW168" s="4">
        <v>2.1269999999999998</v>
      </c>
      <c r="BX168" s="4">
        <v>2.0489999999999999</v>
      </c>
      <c r="BY168" s="4">
        <v>1.978</v>
      </c>
      <c r="BZ168">
        <v>1.96</v>
      </c>
      <c r="CA168">
        <v>0</v>
      </c>
      <c r="CB168">
        <v>0</v>
      </c>
      <c r="CC168">
        <v>0</v>
      </c>
      <c r="CD168">
        <v>2.06</v>
      </c>
      <c r="CE168" s="19">
        <v>0</v>
      </c>
      <c r="CF168" s="19">
        <v>0</v>
      </c>
      <c r="CG168" s="4">
        <v>1.65</v>
      </c>
      <c r="CH168" s="4">
        <v>1.76</v>
      </c>
      <c r="CI168" s="4">
        <v>0</v>
      </c>
      <c r="CJ168" s="34">
        <v>2.6</v>
      </c>
      <c r="CK168" s="34">
        <v>1.9</v>
      </c>
      <c r="CL168" s="43">
        <v>1.8</v>
      </c>
      <c r="CM168" s="4">
        <v>3.2</v>
      </c>
      <c r="CN168" s="53">
        <v>2.5</v>
      </c>
      <c r="CO168" s="54">
        <v>2</v>
      </c>
      <c r="CP168" s="54">
        <v>1.8</v>
      </c>
      <c r="CQ168" s="4">
        <v>1.4</v>
      </c>
    </row>
    <row r="169" spans="1:95" x14ac:dyDescent="0.35">
      <c r="A169" s="55">
        <v>168</v>
      </c>
      <c r="B169" t="s">
        <v>99</v>
      </c>
      <c r="C169" s="27" t="s">
        <v>372</v>
      </c>
      <c r="D169" s="3" t="s">
        <v>88</v>
      </c>
      <c r="E169" s="33" t="s">
        <v>89</v>
      </c>
      <c r="F169" s="4">
        <f>IFERROR(AVERAGEIF(Table1[[#This Row],[2019-Apr]:[2025-July]],"&lt;&gt;0"),0)</f>
        <v>3.1595468750000002</v>
      </c>
      <c r="G169" s="4">
        <f ca="1">IFERROR(AVERAGEIF(OFFSET(Table1[[#This Row],[Status]],0,COUNT(Table1[[#This Row],[2019-May]:[2025-July]]),1,-12),"&lt;&gt;0"),0)</f>
        <v>3.43</v>
      </c>
      <c r="H169" s="55">
        <f>IFERROR(SMALL(Table1[[#This Row],[2019-Apr]:[2025-July]],COUNTIF(Table1[[#This Row],[2019-Apr]:[2025-July]],0)+1),0)</f>
        <v>1.542</v>
      </c>
      <c r="I169" s="55">
        <f>IFERROR(MAX(Table1[[#This Row],[2019-Apr]:[2025-July]]),0)</f>
        <v>4.9000000000000004</v>
      </c>
      <c r="J169" s="4" cm="1">
        <f t="array" ref="J16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1.6619999999999999</v>
      </c>
      <c r="K169" s="4">
        <v>4.5</v>
      </c>
      <c r="L169" s="4">
        <f>IF(Table1[[#This Row],[Standard as per ISO]]&gt;=Table1[[#This Row],[Avg of best 6]],Table1[[#This Row],[Standard as per ISO]],Table1[[#This Row],[Avg of best 6]])</f>
        <v>4.5</v>
      </c>
      <c r="M169" s="4" cm="1">
        <f t="array" ref="M169">IFERROR(LOOKUP(2,1/(Table1[[#This Row],[2019-May]:[2025-July]]&lt;&gt;0),Table1[[#This Row],[2019-May]:[2025-July]]),0)</f>
        <v>3.4</v>
      </c>
      <c r="N169" s="4">
        <f>COUNTIF(Table1[[#This Row],[2019-Apr]:[2025-July]],"&gt;="&amp;Table1[[#This Row],[Target]])</f>
        <v>1</v>
      </c>
      <c r="O169" s="4">
        <f>IF(Table1[[#This Row],[Outliers 2Y]]=0,1,0)</f>
        <v>0</v>
      </c>
      <c r="P169" s="4">
        <f>IF(Table1[[#This Row],[Last value]]&gt;1.5*Table1[[#This Row],[Target]],1,0)</f>
        <v>0</v>
      </c>
      <c r="Q169" s="4">
        <f>IF(AND(1.5*Table1[[#This Row],[Target]]&gt;=Table1[[#This Row],[Last value]],Table1[[#This Row],[Last value]]&gt;Table1[[#This Row],[Target]]),1,0)</f>
        <v>0</v>
      </c>
      <c r="R169" s="4">
        <f>IF(Table1[[#This Row],[Target]]&gt;=Table1[[#This Row],[Last value]],1,0)</f>
        <v>1</v>
      </c>
      <c r="S169" s="4" t="str">
        <f t="shared" ref="S169:S232" si="4">IF(P169=1, "Red", IF(Q169=1, "Yellow", "Green"))</f>
        <v>Green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4.1500000000000004</v>
      </c>
      <c r="Z169">
        <v>4.4400000000000004</v>
      </c>
      <c r="AA169">
        <v>4.2</v>
      </c>
      <c r="AB169">
        <v>3.3</v>
      </c>
      <c r="AC169">
        <v>3.61</v>
      </c>
      <c r="AD169">
        <v>3.8</v>
      </c>
      <c r="AE169">
        <v>4.4000000000000004</v>
      </c>
      <c r="AF169">
        <v>3.8</v>
      </c>
      <c r="AG169">
        <v>4.3</v>
      </c>
      <c r="AH169">
        <v>3.68</v>
      </c>
      <c r="AI169">
        <v>3.61</v>
      </c>
      <c r="AJ169">
        <v>3.8</v>
      </c>
      <c r="AK169">
        <v>3.69</v>
      </c>
      <c r="AL169">
        <v>3.83</v>
      </c>
      <c r="AM169">
        <v>3.7</v>
      </c>
      <c r="AN169">
        <v>3.67</v>
      </c>
      <c r="AO169">
        <v>3.87</v>
      </c>
      <c r="AP169">
        <v>3.45</v>
      </c>
      <c r="AQ169">
        <v>3.71</v>
      </c>
      <c r="AR169" s="8">
        <v>3.88</v>
      </c>
      <c r="AS169" s="8">
        <v>3.76</v>
      </c>
      <c r="AT169" s="8">
        <v>3.63</v>
      </c>
      <c r="AU169" s="3">
        <v>3.77</v>
      </c>
      <c r="AV169" s="3">
        <v>3.6</v>
      </c>
      <c r="AW169" s="3">
        <v>3.39</v>
      </c>
      <c r="AX169" s="3">
        <v>3.5</v>
      </c>
      <c r="AY169" s="3">
        <v>4.1399999999999997</v>
      </c>
      <c r="AZ169" s="3">
        <v>4</v>
      </c>
      <c r="BA169" s="3">
        <v>4.9000000000000004</v>
      </c>
      <c r="BB169" s="3">
        <v>3.4</v>
      </c>
      <c r="BC169">
        <v>3.1</v>
      </c>
      <c r="BD169">
        <v>2.6</v>
      </c>
      <c r="BE169" s="11">
        <v>3.8839999999999999</v>
      </c>
      <c r="BF169" s="4">
        <v>4.117</v>
      </c>
      <c r="BG169" s="4">
        <v>0</v>
      </c>
      <c r="BH169" s="4">
        <v>1.8879999999999999</v>
      </c>
      <c r="BI169" s="4">
        <v>2.371</v>
      </c>
      <c r="BJ169" s="13">
        <v>2.4020000000000001</v>
      </c>
      <c r="BK169" s="13">
        <v>2.2509999999999999</v>
      </c>
      <c r="BL169" s="4">
        <v>1.869</v>
      </c>
      <c r="BM169" s="16">
        <v>2.1469999999999998</v>
      </c>
      <c r="BN169" s="4">
        <v>1.9339999999999999</v>
      </c>
      <c r="BO169" s="4">
        <v>2.363</v>
      </c>
      <c r="BP169" s="4">
        <v>2.319</v>
      </c>
      <c r="BQ169" s="4">
        <v>1.6439999999999999</v>
      </c>
      <c r="BR169" s="4">
        <v>1.764</v>
      </c>
      <c r="BS169" s="4">
        <v>1.774</v>
      </c>
      <c r="BT169" s="4">
        <v>2.0590000000000002</v>
      </c>
      <c r="BU169" s="4">
        <v>2.0590000000000002</v>
      </c>
      <c r="BV169" s="4">
        <v>1.542</v>
      </c>
      <c r="BW169" s="4">
        <v>1.7869999999999999</v>
      </c>
      <c r="BX169" s="4">
        <v>2.0649999999999999</v>
      </c>
      <c r="BY169" s="4">
        <v>1.6919999999999999</v>
      </c>
      <c r="BZ169">
        <v>1.76</v>
      </c>
      <c r="CA169">
        <v>0</v>
      </c>
      <c r="CB169">
        <v>0</v>
      </c>
      <c r="CC169">
        <v>0</v>
      </c>
      <c r="CD169">
        <v>1.57</v>
      </c>
      <c r="CE169" s="19">
        <v>0</v>
      </c>
      <c r="CF169" s="19">
        <v>0</v>
      </c>
      <c r="CG169" s="4">
        <v>3.56</v>
      </c>
      <c r="CH169" s="4">
        <v>4.1100000000000003</v>
      </c>
      <c r="CI169" s="4">
        <v>0</v>
      </c>
      <c r="CJ169" s="34">
        <v>3.8</v>
      </c>
      <c r="CK169" s="34">
        <v>2.2999999999999998</v>
      </c>
      <c r="CL169" s="43">
        <v>3.7</v>
      </c>
      <c r="CM169" s="4">
        <v>3.5</v>
      </c>
      <c r="CN169" s="53">
        <v>3.1</v>
      </c>
      <c r="CO169" s="54">
        <v>3.5</v>
      </c>
      <c r="CP169" s="54">
        <v>3.3</v>
      </c>
      <c r="CQ169" s="4">
        <v>3.4</v>
      </c>
    </row>
    <row r="170" spans="1:95" x14ac:dyDescent="0.35">
      <c r="A170" s="55">
        <v>169</v>
      </c>
      <c r="B170" t="s">
        <v>99</v>
      </c>
      <c r="C170" s="27" t="s">
        <v>373</v>
      </c>
      <c r="D170" s="3" t="s">
        <v>88</v>
      </c>
      <c r="E170" s="33" t="s">
        <v>89</v>
      </c>
      <c r="F170" s="4">
        <f>IFERROR(AVERAGEIF(Table1[[#This Row],[2019-Apr]:[2025-July]],"&lt;&gt;0"),0)</f>
        <v>1.3387656249999995</v>
      </c>
      <c r="G170" s="4">
        <f ca="1">IFERROR(AVERAGEIF(OFFSET(Table1[[#This Row],[Status]],0,COUNT(Table1[[#This Row],[2019-May]:[2025-July]]),1,-12),"&lt;&gt;0"),0)</f>
        <v>0.73</v>
      </c>
      <c r="H170" s="55">
        <f>IFERROR(SMALL(Table1[[#This Row],[2019-Apr]:[2025-July]],COUNTIF(Table1[[#This Row],[2019-Apr]:[2025-July]],0)+1),0)</f>
        <v>0.5</v>
      </c>
      <c r="I170" s="55">
        <f>IFERROR(MAX(Table1[[#This Row],[2019-Apr]:[2025-July]]),0)</f>
        <v>3.101</v>
      </c>
      <c r="J170" s="4" cm="1">
        <f t="array" ref="J17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0.57783333333333342</v>
      </c>
      <c r="K170" s="4">
        <v>4.5</v>
      </c>
      <c r="L170" s="4">
        <f>IF(Table1[[#This Row],[Standard as per ISO]]&gt;=Table1[[#This Row],[Avg of best 6]],Table1[[#This Row],[Standard as per ISO]],Table1[[#This Row],[Avg of best 6]])</f>
        <v>4.5</v>
      </c>
      <c r="M170" s="4" cm="1">
        <f t="array" ref="M170">IFERROR(LOOKUP(2,1/(Table1[[#This Row],[2019-May]:[2025-July]]&lt;&gt;0),Table1[[#This Row],[2019-May]:[2025-July]]),0)</f>
        <v>0.6</v>
      </c>
      <c r="N170" s="4">
        <f>COUNTIF(Table1[[#This Row],[2019-Apr]:[2025-July]],"&gt;="&amp;Table1[[#This Row],[Target]])</f>
        <v>0</v>
      </c>
      <c r="O170" s="4">
        <f>IF(Table1[[#This Row],[Outliers 2Y]]=0,1,0)</f>
        <v>1</v>
      </c>
      <c r="P170" s="4">
        <f>IF(Table1[[#This Row],[Last value]]&gt;1.5*Table1[[#This Row],[Target]],1,0)</f>
        <v>0</v>
      </c>
      <c r="Q170" s="4">
        <f>IF(AND(1.5*Table1[[#This Row],[Target]]&gt;=Table1[[#This Row],[Last value]],Table1[[#This Row],[Last value]]&gt;Table1[[#This Row],[Target]]),1,0)</f>
        <v>0</v>
      </c>
      <c r="R170" s="4">
        <f>IF(Table1[[#This Row],[Target]]&gt;=Table1[[#This Row],[Last value]],1,0)</f>
        <v>1</v>
      </c>
      <c r="S170" s="4" t="str">
        <f t="shared" si="4"/>
        <v>Green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1.6</v>
      </c>
      <c r="Z170">
        <v>1.97</v>
      </c>
      <c r="AA170">
        <v>1.5</v>
      </c>
      <c r="AB170">
        <v>1.2</v>
      </c>
      <c r="AC170">
        <v>1.78</v>
      </c>
      <c r="AD170">
        <v>1.1000000000000001</v>
      </c>
      <c r="AE170">
        <v>0.99</v>
      </c>
      <c r="AF170">
        <v>1</v>
      </c>
      <c r="AG170">
        <v>1.5</v>
      </c>
      <c r="AH170">
        <v>1.33</v>
      </c>
      <c r="AI170">
        <v>1.26</v>
      </c>
      <c r="AJ170">
        <v>1.6</v>
      </c>
      <c r="AK170">
        <v>1.22</v>
      </c>
      <c r="AL170">
        <v>1.54</v>
      </c>
      <c r="AM170">
        <v>1.74</v>
      </c>
      <c r="AN170">
        <v>1.62</v>
      </c>
      <c r="AO170">
        <v>1.27</v>
      </c>
      <c r="AP170">
        <v>1.32</v>
      </c>
      <c r="AQ170">
        <v>1.4</v>
      </c>
      <c r="AR170" s="8">
        <v>1.62</v>
      </c>
      <c r="AS170" s="8">
        <v>1.55</v>
      </c>
      <c r="AT170" s="8">
        <v>1.23</v>
      </c>
      <c r="AU170" s="3">
        <v>2.4700000000000002</v>
      </c>
      <c r="AV170" s="3">
        <v>1.24</v>
      </c>
      <c r="AW170" s="3">
        <v>1.83</v>
      </c>
      <c r="AX170" s="3">
        <v>1.54</v>
      </c>
      <c r="AY170" s="3">
        <v>2.4900000000000002</v>
      </c>
      <c r="AZ170" s="3">
        <v>1.3</v>
      </c>
      <c r="BA170" s="3">
        <v>1.5</v>
      </c>
      <c r="BB170" s="3">
        <v>1.8</v>
      </c>
      <c r="BC170">
        <v>1.8</v>
      </c>
      <c r="BD170">
        <v>2.7</v>
      </c>
      <c r="BE170" s="11">
        <v>2.4540000000000002</v>
      </c>
      <c r="BF170" s="4">
        <v>2.859</v>
      </c>
      <c r="BG170" s="4">
        <v>0</v>
      </c>
      <c r="BH170" s="4">
        <v>2.4849999999999999</v>
      </c>
      <c r="BI170" s="4">
        <v>3.101</v>
      </c>
      <c r="BJ170" s="14">
        <v>1.72</v>
      </c>
      <c r="BK170" s="14">
        <v>1.6779999999999999</v>
      </c>
      <c r="BL170" s="4">
        <v>1.446</v>
      </c>
      <c r="BM170" s="17">
        <v>0.85</v>
      </c>
      <c r="BN170" s="4">
        <v>0.76100000000000001</v>
      </c>
      <c r="BO170" s="4">
        <v>0.73</v>
      </c>
      <c r="BP170" s="4">
        <v>1.1559999999999999</v>
      </c>
      <c r="BQ170" s="4">
        <v>0.63600000000000001</v>
      </c>
      <c r="BR170" s="4">
        <v>0.63100000000000001</v>
      </c>
      <c r="BS170" s="4">
        <v>0.69299999999999995</v>
      </c>
      <c r="BT170" s="4">
        <v>0.84499999999999997</v>
      </c>
      <c r="BU170" s="4">
        <v>0.78</v>
      </c>
      <c r="BV170" s="4">
        <v>1.081</v>
      </c>
      <c r="BW170" s="4">
        <v>1.0640000000000001</v>
      </c>
      <c r="BX170" s="4">
        <v>1.038</v>
      </c>
      <c r="BY170" s="4">
        <v>1.0129999999999999</v>
      </c>
      <c r="BZ170">
        <v>0.74</v>
      </c>
      <c r="CA170">
        <v>0</v>
      </c>
      <c r="CB170">
        <v>0</v>
      </c>
      <c r="CC170">
        <v>0</v>
      </c>
      <c r="CD170">
        <v>0.74</v>
      </c>
      <c r="CE170" s="19">
        <v>0</v>
      </c>
      <c r="CF170" s="19">
        <v>0</v>
      </c>
      <c r="CG170" s="4">
        <v>0.6</v>
      </c>
      <c r="CH170" s="4">
        <v>0.77</v>
      </c>
      <c r="CI170" s="4">
        <v>0</v>
      </c>
      <c r="CJ170" s="34">
        <v>0.8</v>
      </c>
      <c r="CK170" s="34">
        <v>0.7</v>
      </c>
      <c r="CL170" s="43">
        <v>0.9</v>
      </c>
      <c r="CM170" s="4">
        <v>0.8</v>
      </c>
      <c r="CN170" s="53">
        <v>1</v>
      </c>
      <c r="CO170" s="54">
        <v>0.5</v>
      </c>
      <c r="CP170" s="54">
        <v>0.5</v>
      </c>
      <c r="CQ170" s="4">
        <v>0.6</v>
      </c>
    </row>
    <row r="171" spans="1:95" x14ac:dyDescent="0.35">
      <c r="A171" s="55">
        <v>170</v>
      </c>
      <c r="B171" t="s">
        <v>99</v>
      </c>
      <c r="C171" s="27" t="s">
        <v>374</v>
      </c>
      <c r="D171" s="3" t="s">
        <v>88</v>
      </c>
      <c r="E171" s="33" t="s">
        <v>89</v>
      </c>
      <c r="F171" s="4">
        <f>IFERROR(AVERAGEIF(Table1[[#This Row],[2019-Apr]:[2025-July]],"&lt;&gt;0"),0)</f>
        <v>1.6415384615384614</v>
      </c>
      <c r="G171" s="4">
        <f ca="1">IFERROR(AVERAGEIF(OFFSET(Table1[[#This Row],[Status]],0,COUNT(Table1[[#This Row],[2019-May]:[2025-July]]),1,-12),"&lt;&gt;0"),0)</f>
        <v>0.97666666666666679</v>
      </c>
      <c r="H171" s="55">
        <f>IFERROR(SMALL(Table1[[#This Row],[2019-Apr]:[2025-July]],COUNTIF(Table1[[#This Row],[2019-Apr]:[2025-July]],0)+1),0)</f>
        <v>0.4</v>
      </c>
      <c r="I171" s="55">
        <f>IFERROR(MAX(Table1[[#This Row],[2019-Apr]:[2025-July]]),0)</f>
        <v>3.3</v>
      </c>
      <c r="J171" s="4" cm="1">
        <f t="array" ref="J17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0.67666666666666675</v>
      </c>
      <c r="K171" s="4">
        <v>4.5</v>
      </c>
      <c r="L171" s="4">
        <f>IF(Table1[[#This Row],[Standard as per ISO]]&gt;=Table1[[#This Row],[Avg of best 6]],Table1[[#This Row],[Standard as per ISO]],Table1[[#This Row],[Avg of best 6]])</f>
        <v>4.5</v>
      </c>
      <c r="M171" s="4" cm="1">
        <f t="array" ref="M171">IFERROR(LOOKUP(2,1/(Table1[[#This Row],[2019-May]:[2025-July]]&lt;&gt;0),Table1[[#This Row],[2019-May]:[2025-July]]),0)</f>
        <v>0.6</v>
      </c>
      <c r="N171" s="4">
        <f>COUNTIF(Table1[[#This Row],[2019-Apr]:[2025-July]],"&gt;="&amp;Table1[[#This Row],[Target]])</f>
        <v>0</v>
      </c>
      <c r="O171" s="4">
        <f>IF(Table1[[#This Row],[Outliers 2Y]]=0,1,0)</f>
        <v>1</v>
      </c>
      <c r="P171" s="4">
        <f>IF(Table1[[#This Row],[Last value]]&gt;1.5*Table1[[#This Row],[Target]],1,0)</f>
        <v>0</v>
      </c>
      <c r="Q171" s="4">
        <f>IF(AND(1.5*Table1[[#This Row],[Target]]&gt;=Table1[[#This Row],[Last value]],Table1[[#This Row],[Last value]]&gt;Table1[[#This Row],[Target]]),1,0)</f>
        <v>0</v>
      </c>
      <c r="R171" s="4">
        <f>IF(Table1[[#This Row],[Target]]&gt;=Table1[[#This Row],[Last value]],1,0)</f>
        <v>1</v>
      </c>
      <c r="S171" s="4" t="str">
        <f t="shared" si="4"/>
        <v>Green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1.93</v>
      </c>
      <c r="Z171">
        <v>2.1</v>
      </c>
      <c r="AA171">
        <v>1.3</v>
      </c>
      <c r="AB171">
        <v>2.1</v>
      </c>
      <c r="AC171">
        <v>1.05</v>
      </c>
      <c r="AD171">
        <v>2.1</v>
      </c>
      <c r="AE171">
        <v>2.2000000000000002</v>
      </c>
      <c r="AF171">
        <v>2.1</v>
      </c>
      <c r="AG171">
        <v>1.3</v>
      </c>
      <c r="AH171">
        <v>1.1399999999999999</v>
      </c>
      <c r="AI171">
        <v>1.88</v>
      </c>
      <c r="AJ171">
        <v>3.3</v>
      </c>
      <c r="AK171">
        <v>2.1</v>
      </c>
      <c r="AL171">
        <v>2.52</v>
      </c>
      <c r="AM171">
        <v>2.0299999999999998</v>
      </c>
      <c r="AN171">
        <v>1.98</v>
      </c>
      <c r="AO171">
        <v>1.7</v>
      </c>
      <c r="AP171">
        <v>1.84</v>
      </c>
      <c r="AQ171">
        <v>2.78</v>
      </c>
      <c r="AR171" s="8">
        <v>1.1299999999999999</v>
      </c>
      <c r="AS171" s="8">
        <v>1.22</v>
      </c>
      <c r="AT171" s="8">
        <v>2.16</v>
      </c>
      <c r="AU171" s="3">
        <v>1.61</v>
      </c>
      <c r="AV171" s="3">
        <v>1.6</v>
      </c>
      <c r="AW171" s="3">
        <v>1.19</v>
      </c>
      <c r="AX171" s="3">
        <v>1.17</v>
      </c>
      <c r="AY171" s="3">
        <v>3.19</v>
      </c>
      <c r="AZ171" s="3">
        <v>1.7</v>
      </c>
      <c r="BA171" s="3">
        <v>1.2</v>
      </c>
      <c r="BB171" s="3">
        <v>1.8</v>
      </c>
      <c r="BC171">
        <v>1.1000000000000001</v>
      </c>
      <c r="BD171">
        <v>1.6</v>
      </c>
      <c r="BE171" s="11">
        <v>1.484</v>
      </c>
      <c r="BF171" s="4">
        <v>1.486</v>
      </c>
      <c r="BG171" s="4">
        <v>0</v>
      </c>
      <c r="BH171" s="4">
        <v>1.762</v>
      </c>
      <c r="BI171" s="4">
        <v>1.1240000000000001</v>
      </c>
      <c r="BJ171" s="13">
        <v>1.242</v>
      </c>
      <c r="BK171" s="13">
        <v>1.4750000000000001</v>
      </c>
      <c r="BL171" s="4">
        <v>1.42</v>
      </c>
      <c r="BM171" s="16">
        <v>1.554</v>
      </c>
      <c r="BN171" s="4">
        <v>2.1269999999999998</v>
      </c>
      <c r="BO171" s="4">
        <v>1.9770000000000001</v>
      </c>
      <c r="BP171" s="4">
        <v>1.6970000000000001</v>
      </c>
      <c r="BQ171" s="4">
        <v>1.722</v>
      </c>
      <c r="BR171" s="4">
        <v>1.4950000000000001</v>
      </c>
      <c r="BS171" s="4">
        <v>3.129</v>
      </c>
      <c r="BT171" s="4">
        <v>3.1869999999999998</v>
      </c>
      <c r="BU171" s="4">
        <v>2.2010000000000001</v>
      </c>
      <c r="BV171" s="4">
        <v>2.698</v>
      </c>
      <c r="BW171" s="4">
        <v>2.5939999999999999</v>
      </c>
      <c r="BX171" s="4">
        <v>0.94099999999999995</v>
      </c>
      <c r="BY171" s="4">
        <v>0.95499999999999996</v>
      </c>
      <c r="BZ171">
        <v>1.36</v>
      </c>
      <c r="CA171">
        <v>0</v>
      </c>
      <c r="CB171">
        <v>0</v>
      </c>
      <c r="CC171">
        <v>0.82</v>
      </c>
      <c r="CD171">
        <v>0.74</v>
      </c>
      <c r="CE171" s="19">
        <v>0</v>
      </c>
      <c r="CF171" s="19">
        <v>0</v>
      </c>
      <c r="CG171" s="4">
        <v>0.9</v>
      </c>
      <c r="CH171" s="4">
        <v>1.19</v>
      </c>
      <c r="CI171" s="4">
        <v>0</v>
      </c>
      <c r="CJ171" s="34">
        <v>1.7</v>
      </c>
      <c r="CK171" s="34">
        <v>0.7</v>
      </c>
      <c r="CL171" s="43">
        <v>1</v>
      </c>
      <c r="CM171" s="4">
        <v>1.1000000000000001</v>
      </c>
      <c r="CN171" s="53">
        <v>1</v>
      </c>
      <c r="CO171" s="54">
        <v>0.8</v>
      </c>
      <c r="CP171" s="54">
        <v>0.4</v>
      </c>
      <c r="CQ171" s="4">
        <v>0.6</v>
      </c>
    </row>
    <row r="172" spans="1:95" x14ac:dyDescent="0.35">
      <c r="A172" s="55">
        <v>171</v>
      </c>
      <c r="B172" t="s">
        <v>99</v>
      </c>
      <c r="C172" s="27" t="s">
        <v>375</v>
      </c>
      <c r="D172" s="3" t="s">
        <v>88</v>
      </c>
      <c r="E172" s="33" t="s">
        <v>89</v>
      </c>
      <c r="F172" s="4">
        <f>IFERROR(AVERAGEIF(Table1[[#This Row],[2019-Apr]:[2025-July]],"&lt;&gt;0"),0)</f>
        <v>1.5264687499999996</v>
      </c>
      <c r="G172" s="4">
        <f ca="1">IFERROR(AVERAGEIF(OFFSET(Table1[[#This Row],[Status]],0,COUNT(Table1[[#This Row],[2019-May]:[2025-July]]),1,-12),"&lt;&gt;0"),0)</f>
        <v>1.5122222222222224</v>
      </c>
      <c r="H172" s="55">
        <f>IFERROR(SMALL(Table1[[#This Row],[2019-Apr]:[2025-July]],COUNTIF(Table1[[#This Row],[2019-Apr]:[2025-July]],0)+1),0)</f>
        <v>0.9</v>
      </c>
      <c r="I172" s="55">
        <f>IFERROR(MAX(Table1[[#This Row],[2019-Apr]:[2025-July]]),0)</f>
        <v>4.8</v>
      </c>
      <c r="J172" s="4" cm="1">
        <f t="array" ref="J17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0.99216666666666653</v>
      </c>
      <c r="K172" s="4">
        <v>4.5</v>
      </c>
      <c r="L172" s="4">
        <f>IF(Table1[[#This Row],[Standard as per ISO]]&gt;=Table1[[#This Row],[Avg of best 6]],Table1[[#This Row],[Standard as per ISO]],Table1[[#This Row],[Avg of best 6]])</f>
        <v>4.5</v>
      </c>
      <c r="M172" s="4" cm="1">
        <f t="array" ref="M172">IFERROR(LOOKUP(2,1/(Table1[[#This Row],[2019-May]:[2025-July]]&lt;&gt;0),Table1[[#This Row],[2019-May]:[2025-July]]),0)</f>
        <v>1.1000000000000001</v>
      </c>
      <c r="N172" s="4">
        <f>COUNTIF(Table1[[#This Row],[2019-Apr]:[2025-July]],"&gt;="&amp;Table1[[#This Row],[Target]])</f>
        <v>1</v>
      </c>
      <c r="O172" s="4">
        <f>IF(Table1[[#This Row],[Outliers 2Y]]=0,1,0)</f>
        <v>0</v>
      </c>
      <c r="P172" s="4">
        <f>IF(Table1[[#This Row],[Last value]]&gt;1.5*Table1[[#This Row],[Target]],1,0)</f>
        <v>0</v>
      </c>
      <c r="Q172" s="4">
        <f>IF(AND(1.5*Table1[[#This Row],[Target]]&gt;=Table1[[#This Row],[Last value]],Table1[[#This Row],[Last value]]&gt;Table1[[#This Row],[Target]]),1,0)</f>
        <v>0</v>
      </c>
      <c r="R172" s="4">
        <f>IF(Table1[[#This Row],[Target]]&gt;=Table1[[#This Row],[Last value]],1,0)</f>
        <v>1</v>
      </c>
      <c r="S172" s="4" t="str">
        <f t="shared" si="4"/>
        <v>Green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1.5</v>
      </c>
      <c r="Z172">
        <v>1.4</v>
      </c>
      <c r="AA172">
        <v>1.5</v>
      </c>
      <c r="AB172">
        <v>1.2</v>
      </c>
      <c r="AC172">
        <v>1.22</v>
      </c>
      <c r="AD172">
        <v>0.9</v>
      </c>
      <c r="AE172">
        <v>1.1000000000000001</v>
      </c>
      <c r="AF172">
        <v>0.9</v>
      </c>
      <c r="AG172">
        <v>1</v>
      </c>
      <c r="AH172">
        <v>1.2</v>
      </c>
      <c r="AI172">
        <v>1.38</v>
      </c>
      <c r="AJ172">
        <v>1.67</v>
      </c>
      <c r="AK172">
        <v>2.29</v>
      </c>
      <c r="AL172">
        <v>1.67</v>
      </c>
      <c r="AM172">
        <v>1.46</v>
      </c>
      <c r="AN172">
        <v>1.5</v>
      </c>
      <c r="AO172">
        <v>1.7</v>
      </c>
      <c r="AP172">
        <v>1.81</v>
      </c>
      <c r="AQ172">
        <v>1.42</v>
      </c>
      <c r="AR172" s="8">
        <v>1.1399999999999999</v>
      </c>
      <c r="AS172" s="8">
        <v>1.19</v>
      </c>
      <c r="AT172" s="8">
        <v>2.02</v>
      </c>
      <c r="AU172" s="3">
        <v>1.25</v>
      </c>
      <c r="AV172" s="3">
        <v>1.42</v>
      </c>
      <c r="AW172" s="3">
        <v>2.61</v>
      </c>
      <c r="AX172" s="3">
        <v>1.66</v>
      </c>
      <c r="AY172" s="3">
        <v>1.05</v>
      </c>
      <c r="AZ172" s="3">
        <v>1.6</v>
      </c>
      <c r="BA172" s="3">
        <v>1.2</v>
      </c>
      <c r="BB172" s="3">
        <v>3.1</v>
      </c>
      <c r="BC172">
        <v>1.6</v>
      </c>
      <c r="BD172">
        <v>4.8</v>
      </c>
      <c r="BE172" s="11">
        <v>1.6259999999999999</v>
      </c>
      <c r="BF172" s="4">
        <v>1.46</v>
      </c>
      <c r="BG172" s="4">
        <v>1.863</v>
      </c>
      <c r="BH172" s="4">
        <v>1.49</v>
      </c>
      <c r="BI172" s="4">
        <v>2.0249999999999999</v>
      </c>
      <c r="BJ172" s="14">
        <v>1.1160000000000001</v>
      </c>
      <c r="BK172" s="14">
        <v>1.8140000000000001</v>
      </c>
      <c r="BL172" s="4">
        <v>1.413</v>
      </c>
      <c r="BM172" s="17">
        <v>1.268</v>
      </c>
      <c r="BN172" s="4">
        <v>1.7729999999999999</v>
      </c>
      <c r="BO172" s="4">
        <v>1.1830000000000001</v>
      </c>
      <c r="BP172" s="4">
        <v>1.734</v>
      </c>
      <c r="BQ172" s="4">
        <v>1.0820000000000001</v>
      </c>
      <c r="BR172" s="4">
        <v>1.242</v>
      </c>
      <c r="BS172" s="4">
        <v>1.837</v>
      </c>
      <c r="BT172" s="4">
        <v>1.2010000000000001</v>
      </c>
      <c r="BU172" s="4">
        <v>1.155</v>
      </c>
      <c r="BV172" s="4">
        <v>1.151</v>
      </c>
      <c r="BW172" s="4">
        <v>1.512</v>
      </c>
      <c r="BX172" s="4">
        <v>1.0209999999999999</v>
      </c>
      <c r="BY172" s="4">
        <v>1.208</v>
      </c>
      <c r="BZ172">
        <v>1.35</v>
      </c>
      <c r="CA172">
        <v>0</v>
      </c>
      <c r="CB172">
        <v>0</v>
      </c>
      <c r="CC172">
        <v>0</v>
      </c>
      <c r="CD172">
        <v>0</v>
      </c>
      <c r="CE172" s="19">
        <v>2</v>
      </c>
      <c r="CF172" s="19">
        <v>0</v>
      </c>
      <c r="CG172" s="4">
        <v>0</v>
      </c>
      <c r="CH172" s="4">
        <v>1.31</v>
      </c>
      <c r="CI172" s="4">
        <v>0</v>
      </c>
      <c r="CJ172" s="34">
        <v>1.8</v>
      </c>
      <c r="CK172" s="34">
        <v>1.3</v>
      </c>
      <c r="CL172" s="43">
        <v>1.5</v>
      </c>
      <c r="CM172" s="4">
        <v>1.3</v>
      </c>
      <c r="CN172" s="53">
        <v>1.2</v>
      </c>
      <c r="CO172" s="54">
        <v>1.9</v>
      </c>
      <c r="CP172" s="54">
        <v>1.3</v>
      </c>
      <c r="CQ172" s="4">
        <v>1.1000000000000001</v>
      </c>
    </row>
    <row r="173" spans="1:95" x14ac:dyDescent="0.35">
      <c r="A173" s="55">
        <v>172</v>
      </c>
      <c r="B173" t="s">
        <v>99</v>
      </c>
      <c r="C173" s="27" t="s">
        <v>376</v>
      </c>
      <c r="D173" s="3" t="s">
        <v>88</v>
      </c>
      <c r="E173" s="33" t="s">
        <v>91</v>
      </c>
      <c r="F173" s="4">
        <f>IFERROR(AVERAGEIF(Table1[[#This Row],[2019-Apr]:[2025-July]],"&lt;&gt;0"),0)</f>
        <v>1.5633333333333328</v>
      </c>
      <c r="G173" s="4">
        <f ca="1">IFERROR(AVERAGEIF(OFFSET(Table1[[#This Row],[Status]],0,COUNT(Table1[[#This Row],[2019-May]:[2025-July]]),1,-12),"&lt;&gt;0"),0)</f>
        <v>1.0133333333333334</v>
      </c>
      <c r="H173" s="55">
        <f>IFERROR(SMALL(Table1[[#This Row],[2019-Apr]:[2025-July]],COUNTIF(Table1[[#This Row],[2019-Apr]:[2025-July]],0)+1),0)</f>
        <v>0.71599999999999997</v>
      </c>
      <c r="I173" s="55">
        <f>IFERROR(MAX(Table1[[#This Row],[2019-Apr]:[2025-July]]),0)</f>
        <v>2.99</v>
      </c>
      <c r="J173" s="4" cm="1">
        <f t="array" ref="J17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0.81166666666666654</v>
      </c>
      <c r="K173" s="4">
        <v>4.5</v>
      </c>
      <c r="L173" s="4">
        <f>IF(Table1[[#This Row],[Standard as per ISO]]&gt;=Table1[[#This Row],[Avg of best 6]],Table1[[#This Row],[Standard as per ISO]],Table1[[#This Row],[Avg of best 6]])</f>
        <v>4.5</v>
      </c>
      <c r="M173" s="4" cm="1">
        <f t="array" ref="M173">IFERROR(LOOKUP(2,1/(Table1[[#This Row],[2019-May]:[2025-July]]&lt;&gt;0),Table1[[#This Row],[2019-May]:[2025-July]]),0)</f>
        <v>1.3</v>
      </c>
      <c r="N173" s="4">
        <f>COUNTIF(Table1[[#This Row],[2019-Apr]:[2025-July]],"&gt;="&amp;Table1[[#This Row],[Target]])</f>
        <v>0</v>
      </c>
      <c r="O173" s="4">
        <f>IF(Table1[[#This Row],[Outliers 2Y]]=0,1,0)</f>
        <v>1</v>
      </c>
      <c r="P173" s="4">
        <f>IF(Table1[[#This Row],[Last value]]&gt;1.5*Table1[[#This Row],[Target]],1,0)</f>
        <v>0</v>
      </c>
      <c r="Q173" s="4">
        <f>IF(AND(1.5*Table1[[#This Row],[Target]]&gt;=Table1[[#This Row],[Last value]],Table1[[#This Row],[Last value]]&gt;Table1[[#This Row],[Target]]),1,0)</f>
        <v>0</v>
      </c>
      <c r="R173" s="4">
        <f>IF(Table1[[#This Row],[Target]]&gt;=Table1[[#This Row],[Last value]],1,0)</f>
        <v>1</v>
      </c>
      <c r="S173" s="4" t="str">
        <f t="shared" si="4"/>
        <v>Green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1.9</v>
      </c>
      <c r="Z173">
        <v>1.5</v>
      </c>
      <c r="AA173">
        <v>2.4</v>
      </c>
      <c r="AB173">
        <v>2.2799999999999998</v>
      </c>
      <c r="AC173">
        <v>2.83</v>
      </c>
      <c r="AD173">
        <v>1.5</v>
      </c>
      <c r="AE173">
        <v>1.3</v>
      </c>
      <c r="AF173">
        <v>1.4</v>
      </c>
      <c r="AG173">
        <v>2.7</v>
      </c>
      <c r="AH173">
        <v>1.66</v>
      </c>
      <c r="AI173">
        <v>1.35</v>
      </c>
      <c r="AJ173">
        <v>1.02</v>
      </c>
      <c r="AK173">
        <v>0.96</v>
      </c>
      <c r="AL173">
        <v>1.62</v>
      </c>
      <c r="AM173">
        <v>1.04</v>
      </c>
      <c r="AN173">
        <v>2.99</v>
      </c>
      <c r="AO173">
        <v>2.6</v>
      </c>
      <c r="AP173">
        <v>2.46</v>
      </c>
      <c r="AQ173">
        <v>1.82</v>
      </c>
      <c r="AR173" s="8">
        <v>1.82</v>
      </c>
      <c r="AS173" s="8">
        <v>1.79</v>
      </c>
      <c r="AT173" s="8">
        <v>1.35</v>
      </c>
      <c r="AU173" s="3">
        <v>1.85</v>
      </c>
      <c r="AV173" s="3">
        <v>1.25</v>
      </c>
      <c r="AW173" s="3">
        <v>1.52</v>
      </c>
      <c r="AX173" s="3">
        <v>1.4</v>
      </c>
      <c r="AY173" s="3">
        <v>0.82</v>
      </c>
      <c r="AZ173" s="3">
        <v>0.8</v>
      </c>
      <c r="BA173" s="3">
        <v>1.6</v>
      </c>
      <c r="BB173" s="3">
        <v>1.9</v>
      </c>
      <c r="BC173">
        <v>2</v>
      </c>
      <c r="BD173">
        <v>1.5</v>
      </c>
      <c r="BE173" s="11">
        <v>2.2999999999999998</v>
      </c>
      <c r="BF173" s="4">
        <v>1.7709999999999999</v>
      </c>
      <c r="BG173" s="4">
        <v>0.94399999999999995</v>
      </c>
      <c r="BH173" s="4">
        <v>1.091</v>
      </c>
      <c r="BI173" s="4">
        <v>1.091</v>
      </c>
      <c r="BJ173" s="13">
        <v>1.9870000000000001</v>
      </c>
      <c r="BK173" s="13">
        <v>1.9019999999999999</v>
      </c>
      <c r="BL173" s="4">
        <v>2.3130000000000002</v>
      </c>
      <c r="BM173" s="16">
        <v>1.1879999999999999</v>
      </c>
      <c r="BN173" s="4">
        <v>1.107</v>
      </c>
      <c r="BO173" s="4">
        <v>1.0629999999999999</v>
      </c>
      <c r="BP173" s="4">
        <v>2.1669999999999998</v>
      </c>
      <c r="BQ173" s="4">
        <v>1.3009999999999999</v>
      </c>
      <c r="BR173" s="4">
        <v>1.845</v>
      </c>
      <c r="BS173" s="4">
        <v>0.99</v>
      </c>
      <c r="BT173" s="4">
        <v>0.85899999999999999</v>
      </c>
      <c r="BU173" s="4">
        <v>0.875</v>
      </c>
      <c r="BV173" s="4">
        <v>1.1299999999999999</v>
      </c>
      <c r="BW173" s="4">
        <v>1.49</v>
      </c>
      <c r="BX173" s="4">
        <v>1.85</v>
      </c>
      <c r="BY173" s="4">
        <v>0.71599999999999997</v>
      </c>
      <c r="BZ173">
        <v>1.1599999999999999</v>
      </c>
      <c r="CA173">
        <v>0</v>
      </c>
      <c r="CB173">
        <v>0</v>
      </c>
      <c r="CC173">
        <v>0</v>
      </c>
      <c r="CD173">
        <v>0</v>
      </c>
      <c r="CE173" s="19">
        <v>0.8</v>
      </c>
      <c r="CF173" s="19">
        <v>0</v>
      </c>
      <c r="CG173" s="4">
        <v>0</v>
      </c>
      <c r="CH173" s="4">
        <v>0.94</v>
      </c>
      <c r="CI173" s="4">
        <v>0</v>
      </c>
      <c r="CJ173" s="34">
        <v>1.3</v>
      </c>
      <c r="CK173" s="34">
        <v>0</v>
      </c>
      <c r="CL173" s="34">
        <v>0</v>
      </c>
      <c r="CM173" s="4">
        <v>0</v>
      </c>
      <c r="CN173" s="53">
        <v>0</v>
      </c>
      <c r="CO173" s="54">
        <v>0</v>
      </c>
      <c r="CP173" s="54">
        <v>0</v>
      </c>
      <c r="CQ173" s="4">
        <v>0</v>
      </c>
    </row>
    <row r="174" spans="1:95" x14ac:dyDescent="0.35">
      <c r="A174" s="55">
        <v>173</v>
      </c>
      <c r="B174" t="s">
        <v>99</v>
      </c>
      <c r="C174" s="27" t="s">
        <v>377</v>
      </c>
      <c r="D174" s="3" t="s">
        <v>88</v>
      </c>
      <c r="E174" s="33" t="s">
        <v>91</v>
      </c>
      <c r="F174" s="4">
        <f>IFERROR(AVERAGEIF(Table1[[#This Row],[2019-Apr]:[2025-July]],"&lt;&gt;0"),0)</f>
        <v>1.5706249999999995</v>
      </c>
      <c r="G174" s="4">
        <f ca="1">IFERROR(AVERAGEIF(OFFSET(Table1[[#This Row],[Status]],0,COUNT(Table1[[#This Row],[2019-May]:[2025-July]]),1,-12),"&lt;&gt;0"),0)</f>
        <v>1.6633333333333333</v>
      </c>
      <c r="H174" s="55">
        <f>IFERROR(SMALL(Table1[[#This Row],[2019-Apr]:[2025-July]],COUNTIF(Table1[[#This Row],[2019-Apr]:[2025-July]],0)+1),0)</f>
        <v>0.7</v>
      </c>
      <c r="I174" s="55">
        <f>IFERROR(MAX(Table1[[#This Row],[2019-Apr]:[2025-July]]),0)</f>
        <v>4.93</v>
      </c>
      <c r="J174" s="4" cm="1">
        <f t="array" ref="J17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0.77833333333333332</v>
      </c>
      <c r="K174" s="4">
        <v>4.5</v>
      </c>
      <c r="L174" s="4">
        <f>IF(Table1[[#This Row],[Standard as per ISO]]&gt;=Table1[[#This Row],[Avg of best 6]],Table1[[#This Row],[Standard as per ISO]],Table1[[#This Row],[Avg of best 6]])</f>
        <v>4.5</v>
      </c>
      <c r="M174" s="4" cm="1">
        <f t="array" ref="M174">IFERROR(LOOKUP(2,1/(Table1[[#This Row],[2019-May]:[2025-July]]&lt;&gt;0),Table1[[#This Row],[2019-May]:[2025-July]]),0)</f>
        <v>2</v>
      </c>
      <c r="N174" s="4">
        <f>COUNTIF(Table1[[#This Row],[2019-Apr]:[2025-July]],"&gt;="&amp;Table1[[#This Row],[Target]])</f>
        <v>1</v>
      </c>
      <c r="O174" s="4">
        <f>IF(Table1[[#This Row],[Outliers 2Y]]=0,1,0)</f>
        <v>0</v>
      </c>
      <c r="P174" s="4">
        <f>IF(Table1[[#This Row],[Last value]]&gt;1.5*Table1[[#This Row],[Target]],1,0)</f>
        <v>0</v>
      </c>
      <c r="Q174" s="4">
        <f>IF(AND(1.5*Table1[[#This Row],[Target]]&gt;=Table1[[#This Row],[Last value]],Table1[[#This Row],[Last value]]&gt;Table1[[#This Row],[Target]]),1,0)</f>
        <v>0</v>
      </c>
      <c r="R174" s="4">
        <f>IF(Table1[[#This Row],[Target]]&gt;=Table1[[#This Row],[Last value]],1,0)</f>
        <v>1</v>
      </c>
      <c r="S174" s="4" t="str">
        <f t="shared" si="4"/>
        <v>Green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1.75</v>
      </c>
      <c r="Z174">
        <v>1.7</v>
      </c>
      <c r="AA174">
        <v>2.6</v>
      </c>
      <c r="AB174">
        <v>1.35</v>
      </c>
      <c r="AC174">
        <v>1.29</v>
      </c>
      <c r="AD174">
        <v>1.1000000000000001</v>
      </c>
      <c r="AE174">
        <v>0.7</v>
      </c>
      <c r="AF174">
        <v>0.7</v>
      </c>
      <c r="AG174">
        <v>0.8</v>
      </c>
      <c r="AH174">
        <v>0.86</v>
      </c>
      <c r="AI174">
        <v>0.85</v>
      </c>
      <c r="AJ174">
        <v>1.27</v>
      </c>
      <c r="AK174">
        <v>1.21</v>
      </c>
      <c r="AL174">
        <v>2.52</v>
      </c>
      <c r="AM174">
        <v>2.4900000000000002</v>
      </c>
      <c r="AN174">
        <v>2.35</v>
      </c>
      <c r="AO174">
        <v>1.8</v>
      </c>
      <c r="AP174">
        <v>1.44</v>
      </c>
      <c r="AQ174">
        <v>1.42</v>
      </c>
      <c r="AR174" s="8">
        <v>2.17</v>
      </c>
      <c r="AS174" s="8">
        <v>2.58</v>
      </c>
      <c r="AT174" s="8">
        <v>2.17</v>
      </c>
      <c r="AU174" s="3">
        <v>2.39</v>
      </c>
      <c r="AV174" s="3">
        <v>4.93</v>
      </c>
      <c r="AW174" s="3">
        <v>1.42</v>
      </c>
      <c r="AX174" s="3">
        <v>1.93</v>
      </c>
      <c r="AY174" s="3">
        <v>2.06</v>
      </c>
      <c r="AZ174" s="3">
        <v>1.4</v>
      </c>
      <c r="BA174" s="3">
        <v>1.2</v>
      </c>
      <c r="BB174" s="3">
        <v>1.5</v>
      </c>
      <c r="BC174">
        <v>2.5</v>
      </c>
      <c r="BD174">
        <v>0</v>
      </c>
      <c r="BE174" s="11">
        <v>1.123</v>
      </c>
      <c r="BF174" s="4">
        <v>1.4870000000000001</v>
      </c>
      <c r="BG174" s="4">
        <v>1.6439999999999999</v>
      </c>
      <c r="BH174" s="4">
        <v>1.583</v>
      </c>
      <c r="BI174" s="4">
        <v>0.91100000000000003</v>
      </c>
      <c r="BJ174" s="14">
        <v>0.76</v>
      </c>
      <c r="BK174" s="14">
        <v>1.2969999999999999</v>
      </c>
      <c r="BL174" s="4">
        <v>1.8049999999999999</v>
      </c>
      <c r="BM174" s="17">
        <v>0.875</v>
      </c>
      <c r="BN174" s="4">
        <v>1.107</v>
      </c>
      <c r="BO174" s="4">
        <v>1.3140000000000001</v>
      </c>
      <c r="BP174" s="4">
        <v>1.056</v>
      </c>
      <c r="BQ174" s="4">
        <v>1.5589999999999999</v>
      </c>
      <c r="BR174" s="4">
        <v>1.794</v>
      </c>
      <c r="BS174" s="4">
        <v>1.129</v>
      </c>
      <c r="BT174" s="4">
        <v>1.006</v>
      </c>
      <c r="BU174" s="4">
        <v>1.0980000000000001</v>
      </c>
      <c r="BV174" s="4">
        <v>1.351</v>
      </c>
      <c r="BW174" s="4">
        <v>1.8380000000000001</v>
      </c>
      <c r="BX174" s="4">
        <v>1.64</v>
      </c>
      <c r="BY174" s="4">
        <v>1.0880000000000001</v>
      </c>
      <c r="BZ174">
        <v>1.05</v>
      </c>
      <c r="CA174">
        <v>0</v>
      </c>
      <c r="CB174">
        <v>0</v>
      </c>
      <c r="CC174">
        <v>0</v>
      </c>
      <c r="CD174">
        <v>0</v>
      </c>
      <c r="CE174" s="19">
        <v>1</v>
      </c>
      <c r="CF174" s="19">
        <v>0</v>
      </c>
      <c r="CG174" s="4">
        <v>0</v>
      </c>
      <c r="CH174" s="4">
        <v>1.99</v>
      </c>
      <c r="CI174" s="4">
        <v>0</v>
      </c>
      <c r="CJ174" s="34">
        <v>2</v>
      </c>
      <c r="CK174" s="34">
        <v>0</v>
      </c>
      <c r="CL174" s="34">
        <v>0</v>
      </c>
      <c r="CM174" s="4">
        <v>0</v>
      </c>
      <c r="CN174" s="53">
        <v>0</v>
      </c>
      <c r="CO174" s="54">
        <v>0</v>
      </c>
      <c r="CP174" s="54">
        <v>0</v>
      </c>
      <c r="CQ174" s="4">
        <v>0</v>
      </c>
    </row>
    <row r="175" spans="1:95" x14ac:dyDescent="0.35">
      <c r="A175" s="55">
        <v>174</v>
      </c>
      <c r="B175" t="s">
        <v>99</v>
      </c>
      <c r="C175" s="27" t="s">
        <v>378</v>
      </c>
      <c r="D175" s="3" t="s">
        <v>88</v>
      </c>
      <c r="E175" s="33" t="s">
        <v>91</v>
      </c>
      <c r="F175" s="4">
        <f>IFERROR(AVERAGEIF(Table1[[#This Row],[2019-Apr]:[2025-July]],"&lt;&gt;0"),0)</f>
        <v>1.8310943396226418</v>
      </c>
      <c r="G175" s="4">
        <f ca="1">IFERROR(AVERAGEIF(OFFSET(Table1[[#This Row],[Status]],0,COUNT(Table1[[#This Row],[2019-May]:[2025-July]]),1,-12),"&lt;&gt;0"),0)</f>
        <v>1.0433333333333332</v>
      </c>
      <c r="H175" s="55">
        <f>IFERROR(SMALL(Table1[[#This Row],[2019-Apr]:[2025-July]],COUNTIF(Table1[[#This Row],[2019-Apr]:[2025-July]],0)+1),0)</f>
        <v>0.8</v>
      </c>
      <c r="I175" s="55">
        <f>IFERROR(MAX(Table1[[#This Row],[2019-Apr]:[2025-July]]),0)</f>
        <v>3.47</v>
      </c>
      <c r="J175" s="4" cm="1">
        <f t="array" ref="J17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0.92183333333333328</v>
      </c>
      <c r="K175" s="4">
        <v>4.5</v>
      </c>
      <c r="L175" s="4">
        <f>IF(Table1[[#This Row],[Standard as per ISO]]&gt;=Table1[[#This Row],[Avg of best 6]],Table1[[#This Row],[Standard as per ISO]],Table1[[#This Row],[Avg of best 6]])</f>
        <v>4.5</v>
      </c>
      <c r="M175" s="4" cm="1">
        <f t="array" ref="M175">IFERROR(LOOKUP(2,1/(Table1[[#This Row],[2019-May]:[2025-July]]&lt;&gt;0),Table1[[#This Row],[2019-May]:[2025-July]]),0)</f>
        <v>0.8</v>
      </c>
      <c r="N175" s="4">
        <f>COUNTIF(Table1[[#This Row],[2019-Apr]:[2025-July]],"&gt;="&amp;Table1[[#This Row],[Target]])</f>
        <v>0</v>
      </c>
      <c r="O175" s="4">
        <f>IF(Table1[[#This Row],[Outliers 2Y]]=0,1,0)</f>
        <v>1</v>
      </c>
      <c r="P175" s="4">
        <f>IF(Table1[[#This Row],[Last value]]&gt;1.5*Table1[[#This Row],[Target]],1,0)</f>
        <v>0</v>
      </c>
      <c r="Q175" s="4">
        <f>IF(AND(1.5*Table1[[#This Row],[Target]]&gt;=Table1[[#This Row],[Last value]],Table1[[#This Row],[Last value]]&gt;Table1[[#This Row],[Target]]),1,0)</f>
        <v>0</v>
      </c>
      <c r="R175" s="4">
        <f>IF(Table1[[#This Row],[Target]]&gt;=Table1[[#This Row],[Last value]],1,0)</f>
        <v>1</v>
      </c>
      <c r="S175" s="4" t="str">
        <f t="shared" si="4"/>
        <v>Green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3.47</v>
      </c>
      <c r="Z175">
        <v>2.2000000000000002</v>
      </c>
      <c r="AA175">
        <v>1.3</v>
      </c>
      <c r="AB175">
        <v>2.7</v>
      </c>
      <c r="AC175">
        <v>2.93</v>
      </c>
      <c r="AD175">
        <v>2.2000000000000002</v>
      </c>
      <c r="AE175">
        <v>2.7</v>
      </c>
      <c r="AF175">
        <v>1.4</v>
      </c>
      <c r="AG175">
        <v>0</v>
      </c>
      <c r="AH175">
        <v>0</v>
      </c>
      <c r="AI175">
        <v>0</v>
      </c>
      <c r="AJ175">
        <v>2.66</v>
      </c>
      <c r="AK175">
        <v>2.92</v>
      </c>
      <c r="AL175">
        <v>1.57</v>
      </c>
      <c r="AM175">
        <v>2.5299999999999998</v>
      </c>
      <c r="AN175">
        <v>2.17</v>
      </c>
      <c r="AO175">
        <v>3.3</v>
      </c>
      <c r="AP175">
        <v>0.8</v>
      </c>
      <c r="AQ175">
        <v>1.89</v>
      </c>
      <c r="AR175" s="8">
        <v>1.87</v>
      </c>
      <c r="AS175" s="8">
        <v>3.15</v>
      </c>
      <c r="AT175" s="8">
        <v>2.5099999999999998</v>
      </c>
      <c r="AU175" s="3">
        <v>2.77</v>
      </c>
      <c r="AV175" s="3">
        <v>1.75</v>
      </c>
      <c r="AW175" s="3">
        <v>1.08</v>
      </c>
      <c r="AX175" s="3">
        <v>1.1299999999999999</v>
      </c>
      <c r="AY175" s="3">
        <v>1.43</v>
      </c>
      <c r="AZ175" s="3">
        <v>1.66</v>
      </c>
      <c r="BA175" s="3">
        <v>1.2</v>
      </c>
      <c r="BB175" s="3">
        <v>1.9</v>
      </c>
      <c r="BC175">
        <v>1.5</v>
      </c>
      <c r="BD175">
        <v>1.7</v>
      </c>
      <c r="BE175" s="11">
        <v>1.6</v>
      </c>
      <c r="BF175" s="4">
        <v>0</v>
      </c>
      <c r="BG175" s="4">
        <v>1.4470000000000001</v>
      </c>
      <c r="BH175" s="4">
        <v>1.502</v>
      </c>
      <c r="BI175" s="4">
        <v>1.849</v>
      </c>
      <c r="BJ175" s="13">
        <v>1.643</v>
      </c>
      <c r="BK175" s="13">
        <v>2.2229999999999999</v>
      </c>
      <c r="BL175" s="4">
        <v>2.2410000000000001</v>
      </c>
      <c r="BM175" s="16">
        <v>1.194</v>
      </c>
      <c r="BN175" s="4">
        <v>1.2130000000000001</v>
      </c>
      <c r="BO175" s="4">
        <v>1.8759999999999999</v>
      </c>
      <c r="BP175" s="4">
        <v>2.6579999999999999</v>
      </c>
      <c r="BQ175" s="4">
        <v>1.7210000000000001</v>
      </c>
      <c r="BR175" s="4">
        <v>1.125</v>
      </c>
      <c r="BS175" s="4">
        <v>0.91200000000000003</v>
      </c>
      <c r="BT175" s="4">
        <v>1.58</v>
      </c>
      <c r="BU175" s="4">
        <v>1.8149999999999999</v>
      </c>
      <c r="BV175" s="4">
        <v>1.379</v>
      </c>
      <c r="BW175" s="4">
        <v>1.0389999999999999</v>
      </c>
      <c r="BX175" s="4">
        <v>1.8180000000000001</v>
      </c>
      <c r="BY175" s="4">
        <v>1.413</v>
      </c>
      <c r="BZ175">
        <v>1.28</v>
      </c>
      <c r="CA175">
        <v>0</v>
      </c>
      <c r="CB175">
        <v>0</v>
      </c>
      <c r="CC175">
        <v>0</v>
      </c>
      <c r="CD175">
        <v>0</v>
      </c>
      <c r="CE175" s="19">
        <v>0.9</v>
      </c>
      <c r="CF175" s="19">
        <v>0</v>
      </c>
      <c r="CG175" s="4">
        <v>0</v>
      </c>
      <c r="CH175" s="4">
        <v>1.43</v>
      </c>
      <c r="CI175" s="4">
        <v>0</v>
      </c>
      <c r="CJ175" s="34">
        <v>0.8</v>
      </c>
      <c r="CK175" s="34">
        <v>0</v>
      </c>
      <c r="CL175" s="34">
        <v>0</v>
      </c>
      <c r="CM175" s="4">
        <v>0</v>
      </c>
      <c r="CN175" s="53">
        <v>0</v>
      </c>
      <c r="CO175" s="54">
        <v>0</v>
      </c>
      <c r="CP175" s="54">
        <v>0</v>
      </c>
      <c r="CQ175" s="4">
        <v>0</v>
      </c>
    </row>
    <row r="176" spans="1:95" x14ac:dyDescent="0.35">
      <c r="A176" s="55">
        <v>175</v>
      </c>
      <c r="B176" t="s">
        <v>99</v>
      </c>
      <c r="C176" s="27" t="s">
        <v>379</v>
      </c>
      <c r="D176" s="3" t="s">
        <v>88</v>
      </c>
      <c r="E176" s="33" t="s">
        <v>91</v>
      </c>
      <c r="F176" s="4">
        <f>IFERROR(AVERAGEIF(Table1[[#This Row],[2019-Apr]:[2025-July]],"&lt;&gt;0"),0)</f>
        <v>1.3010892857142853</v>
      </c>
      <c r="G176" s="4">
        <f ca="1">IFERROR(AVERAGEIF(OFFSET(Table1[[#This Row],[Status]],0,COUNT(Table1[[#This Row],[2019-May]:[2025-July]]),1,-12),"&lt;&gt;0"),0)</f>
        <v>1.26</v>
      </c>
      <c r="H176" s="55">
        <f>IFERROR(SMALL(Table1[[#This Row],[2019-Apr]:[2025-July]],COUNTIF(Table1[[#This Row],[2019-Apr]:[2025-July]],0)+1),0)</f>
        <v>0.63100000000000001</v>
      </c>
      <c r="I176" s="55">
        <f>IFERROR(MAX(Table1[[#This Row],[2019-Apr]:[2025-July]]),0)</f>
        <v>2.7</v>
      </c>
      <c r="J176" s="4" cm="1">
        <f t="array" ref="J17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0.70366666666666655</v>
      </c>
      <c r="K176" s="4">
        <v>4.5</v>
      </c>
      <c r="L176" s="4">
        <f>IF(Table1[[#This Row],[Standard as per ISO]]&gt;=Table1[[#This Row],[Avg of best 6]],Table1[[#This Row],[Standard as per ISO]],Table1[[#This Row],[Avg of best 6]])</f>
        <v>4.5</v>
      </c>
      <c r="M176" s="4" cm="1">
        <f t="array" ref="M176">IFERROR(LOOKUP(2,1/(Table1[[#This Row],[2019-May]:[2025-July]]&lt;&gt;0),Table1[[#This Row],[2019-May]:[2025-July]]),0)</f>
        <v>0.7</v>
      </c>
      <c r="N176" s="4">
        <f>COUNTIF(Table1[[#This Row],[2019-Apr]:[2025-July]],"&gt;="&amp;Table1[[#This Row],[Target]])</f>
        <v>0</v>
      </c>
      <c r="O176" s="4">
        <f>IF(Table1[[#This Row],[Outliers 2Y]]=0,1,0)</f>
        <v>1</v>
      </c>
      <c r="P176" s="4">
        <f>IF(Table1[[#This Row],[Last value]]&gt;1.5*Table1[[#This Row],[Target]],1,0)</f>
        <v>0</v>
      </c>
      <c r="Q176" s="4">
        <f>IF(AND(1.5*Table1[[#This Row],[Target]]&gt;=Table1[[#This Row],[Last value]],Table1[[#This Row],[Last value]]&gt;Table1[[#This Row],[Target]]),1,0)</f>
        <v>0</v>
      </c>
      <c r="R176" s="4">
        <f>IF(Table1[[#This Row],[Target]]&gt;=Table1[[#This Row],[Last value]],1,0)</f>
        <v>1</v>
      </c>
      <c r="S176" s="4" t="str">
        <f t="shared" si="4"/>
        <v>Green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1.03</v>
      </c>
      <c r="Z176">
        <v>1.1000000000000001</v>
      </c>
      <c r="AA176">
        <v>2</v>
      </c>
      <c r="AB176">
        <v>1.1599999999999999</v>
      </c>
      <c r="AC176">
        <v>1.1499999999999999</v>
      </c>
      <c r="AD176">
        <v>1</v>
      </c>
      <c r="AE176">
        <v>0.8</v>
      </c>
      <c r="AF176">
        <v>0.7</v>
      </c>
      <c r="AG176">
        <v>1.5</v>
      </c>
      <c r="AH176">
        <v>0.88</v>
      </c>
      <c r="AI176">
        <v>0.73</v>
      </c>
      <c r="AJ176">
        <v>0.76</v>
      </c>
      <c r="AK176">
        <v>1.48</v>
      </c>
      <c r="AL176">
        <v>0.89</v>
      </c>
      <c r="AM176">
        <v>0.76</v>
      </c>
      <c r="AN176">
        <v>1.88</v>
      </c>
      <c r="AO176">
        <v>1.1000000000000001</v>
      </c>
      <c r="AP176">
        <v>1.06</v>
      </c>
      <c r="AQ176">
        <v>2.4900000000000002</v>
      </c>
      <c r="AR176" s="8">
        <v>1.72</v>
      </c>
      <c r="AS176" s="8">
        <v>2.12</v>
      </c>
      <c r="AT176" s="8">
        <v>2.54</v>
      </c>
      <c r="AU176" s="3">
        <v>2.7</v>
      </c>
      <c r="AV176" s="3">
        <v>1.1200000000000001</v>
      </c>
      <c r="AW176" s="3">
        <v>1.73</v>
      </c>
      <c r="AX176" s="3">
        <v>1.37</v>
      </c>
      <c r="AY176" s="3">
        <v>2.2599999999999998</v>
      </c>
      <c r="AZ176" s="3">
        <v>1.1000000000000001</v>
      </c>
      <c r="BA176" s="3">
        <v>1</v>
      </c>
      <c r="BB176" s="3">
        <v>2.4</v>
      </c>
      <c r="BC176">
        <v>1.3</v>
      </c>
      <c r="BD176">
        <v>1</v>
      </c>
      <c r="BE176" s="11">
        <v>1.17</v>
      </c>
      <c r="BF176" s="4">
        <v>1.095</v>
      </c>
      <c r="BG176" s="4">
        <v>0</v>
      </c>
      <c r="BH176" s="4">
        <v>0.79100000000000004</v>
      </c>
      <c r="BI176" s="4">
        <v>1.1679999999999999</v>
      </c>
      <c r="BJ176" s="14">
        <v>0.879</v>
      </c>
      <c r="BK176" s="14">
        <v>0.83499999999999996</v>
      </c>
      <c r="BL176" s="4">
        <v>1.341</v>
      </c>
      <c r="BM176" s="17">
        <v>1.663</v>
      </c>
      <c r="BN176" s="4">
        <v>0.96799999999999997</v>
      </c>
      <c r="BO176" s="4">
        <v>1.7050000000000001</v>
      </c>
      <c r="BP176" s="4">
        <v>0.92300000000000004</v>
      </c>
      <c r="BQ176" s="4">
        <v>1.5629999999999999</v>
      </c>
      <c r="BR176" s="4">
        <v>1.462</v>
      </c>
      <c r="BS176" s="4">
        <v>0.80900000000000005</v>
      </c>
      <c r="BT176" s="4">
        <v>0.70099999999999996</v>
      </c>
      <c r="BU176" s="4">
        <v>1.224</v>
      </c>
      <c r="BV176" s="4">
        <v>1.53</v>
      </c>
      <c r="BW176" s="4">
        <v>1.591</v>
      </c>
      <c r="BX176" s="4">
        <v>0.97199999999999998</v>
      </c>
      <c r="BY176" s="4">
        <v>0.63100000000000001</v>
      </c>
      <c r="BZ176">
        <v>1.23</v>
      </c>
      <c r="CA176">
        <v>0</v>
      </c>
      <c r="CB176">
        <v>0</v>
      </c>
      <c r="CC176">
        <v>0</v>
      </c>
      <c r="CD176">
        <v>0</v>
      </c>
      <c r="CE176" s="19">
        <v>1.3</v>
      </c>
      <c r="CF176" s="19">
        <v>0</v>
      </c>
      <c r="CG176" s="4">
        <v>0</v>
      </c>
      <c r="CH176" s="4">
        <v>1.78</v>
      </c>
      <c r="CI176" s="4">
        <v>0</v>
      </c>
      <c r="CJ176" s="34">
        <v>0.7</v>
      </c>
      <c r="CK176" s="34">
        <v>0</v>
      </c>
      <c r="CL176" s="34">
        <v>0</v>
      </c>
      <c r="CM176" s="4">
        <v>0</v>
      </c>
      <c r="CN176" s="53">
        <v>0</v>
      </c>
      <c r="CO176" s="54">
        <v>0</v>
      </c>
      <c r="CP176" s="54">
        <v>0</v>
      </c>
      <c r="CQ176" s="4">
        <v>0</v>
      </c>
    </row>
    <row r="177" spans="1:95" x14ac:dyDescent="0.35">
      <c r="A177" s="55">
        <v>176</v>
      </c>
      <c r="B177" t="s">
        <v>99</v>
      </c>
      <c r="C177" s="27" t="s">
        <v>380</v>
      </c>
      <c r="D177" s="3" t="s">
        <v>88</v>
      </c>
      <c r="E177" s="33" t="s">
        <v>91</v>
      </c>
      <c r="F177" s="4">
        <f>IFERROR(AVERAGEIF(Table1[[#This Row],[2019-Apr]:[2025-July]],"&lt;&gt;0"),0)</f>
        <v>2.2899444444444446</v>
      </c>
      <c r="G177" s="4">
        <f ca="1">IFERROR(AVERAGEIF(OFFSET(Table1[[#This Row],[Status]],0,COUNT(Table1[[#This Row],[2019-May]:[2025-July]]),1,-12),"&lt;&gt;0"),0)</f>
        <v>2.29</v>
      </c>
      <c r="H177" s="55">
        <f>IFERROR(SMALL(Table1[[#This Row],[2019-Apr]:[2025-July]],COUNTIF(Table1[[#This Row],[2019-Apr]:[2025-July]],0)+1),0)</f>
        <v>0.7</v>
      </c>
      <c r="I177" s="55">
        <f>IFERROR(MAX(Table1[[#This Row],[2019-Apr]:[2025-July]]),0)</f>
        <v>4.8499999999999996</v>
      </c>
      <c r="J177" s="4" cm="1">
        <f t="array" ref="J17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0.9730000000000002</v>
      </c>
      <c r="K177" s="4">
        <v>4.5</v>
      </c>
      <c r="L177" s="4">
        <f>IF(Table1[[#This Row],[Standard as per ISO]]&gt;=Table1[[#This Row],[Avg of best 6]],Table1[[#This Row],[Standard as per ISO]],Table1[[#This Row],[Avg of best 6]])</f>
        <v>4.5</v>
      </c>
      <c r="M177" s="4" cm="1">
        <f t="array" ref="M177">IFERROR(LOOKUP(2,1/(Table1[[#This Row],[2019-May]:[2025-July]]&lt;&gt;0),Table1[[#This Row],[2019-May]:[2025-July]]),0)</f>
        <v>1.98</v>
      </c>
      <c r="N177" s="4">
        <f>COUNTIF(Table1[[#This Row],[2019-Apr]:[2025-July]],"&gt;="&amp;Table1[[#This Row],[Target]])</f>
        <v>3</v>
      </c>
      <c r="O177" s="4">
        <f>IF(Table1[[#This Row],[Outliers 2Y]]=0,1,0)</f>
        <v>0</v>
      </c>
      <c r="P177" s="4">
        <f>IF(Table1[[#This Row],[Last value]]&gt;1.5*Table1[[#This Row],[Target]],1,0)</f>
        <v>0</v>
      </c>
      <c r="Q177" s="4">
        <f>IF(AND(1.5*Table1[[#This Row],[Target]]&gt;=Table1[[#This Row],[Last value]],Table1[[#This Row],[Last value]]&gt;Table1[[#This Row],[Target]]),1,0)</f>
        <v>0</v>
      </c>
      <c r="R177" s="4">
        <f>IF(Table1[[#This Row],[Target]]&gt;=Table1[[#This Row],[Last value]],1,0)</f>
        <v>1</v>
      </c>
      <c r="S177" s="4" t="str">
        <f t="shared" si="4"/>
        <v>Green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4.8499999999999996</v>
      </c>
      <c r="Z177">
        <v>2.63</v>
      </c>
      <c r="AA177">
        <v>2.38</v>
      </c>
      <c r="AB177">
        <v>2.65</v>
      </c>
      <c r="AC177">
        <v>1.78</v>
      </c>
      <c r="AD177">
        <v>1.9</v>
      </c>
      <c r="AE177">
        <v>1.5</v>
      </c>
      <c r="AF177">
        <v>0.7</v>
      </c>
      <c r="AG177">
        <v>1.5</v>
      </c>
      <c r="AH177">
        <v>2.2000000000000002</v>
      </c>
      <c r="AI177">
        <v>0</v>
      </c>
      <c r="AJ177">
        <v>1.86</v>
      </c>
      <c r="AK177">
        <v>1.76</v>
      </c>
      <c r="AL177">
        <v>2.2000000000000002</v>
      </c>
      <c r="AM177">
        <v>1.04</v>
      </c>
      <c r="AN177">
        <v>1.1599999999999999</v>
      </c>
      <c r="AO177">
        <v>1.1000000000000001</v>
      </c>
      <c r="AP177">
        <v>0.89</v>
      </c>
      <c r="AQ177">
        <v>2.5499999999999998</v>
      </c>
      <c r="AR177" s="8">
        <v>1.27</v>
      </c>
      <c r="AS177" s="8">
        <v>1.03</v>
      </c>
      <c r="AT177" s="8">
        <v>2.19</v>
      </c>
      <c r="AU177" s="3">
        <v>1.98</v>
      </c>
      <c r="AV177" s="3">
        <v>1.91</v>
      </c>
      <c r="AW177" s="3">
        <v>2.76</v>
      </c>
      <c r="AX177" s="3">
        <v>2.39</v>
      </c>
      <c r="AY177" s="3">
        <v>2.64</v>
      </c>
      <c r="AZ177" s="3">
        <v>1.7</v>
      </c>
      <c r="BA177" s="3">
        <v>1.8</v>
      </c>
      <c r="BB177" s="3">
        <v>4.5999999999999996</v>
      </c>
      <c r="BC177">
        <v>3.3</v>
      </c>
      <c r="BD177">
        <v>4.5999999999999996</v>
      </c>
      <c r="BE177" s="11">
        <v>2.6970000000000001</v>
      </c>
      <c r="BF177" s="4">
        <v>2.8010000000000002</v>
      </c>
      <c r="BG177" s="4">
        <v>3.0030000000000001</v>
      </c>
      <c r="BH177" s="4">
        <v>3.8069999999999999</v>
      </c>
      <c r="BI177" s="4">
        <v>2.7120000000000002</v>
      </c>
      <c r="BJ177" s="13">
        <v>1.6639999999999999</v>
      </c>
      <c r="BK177" s="13">
        <v>1.3919999999999999</v>
      </c>
      <c r="BL177" s="4">
        <v>3.0369999999999999</v>
      </c>
      <c r="BM177" s="16">
        <v>2.8570000000000002</v>
      </c>
      <c r="BN177" s="4">
        <v>3.2549999999999999</v>
      </c>
      <c r="BO177" s="4">
        <v>2.8029999999999999</v>
      </c>
      <c r="BP177" s="4">
        <v>2.0249999999999999</v>
      </c>
      <c r="BQ177" s="4">
        <v>2.59</v>
      </c>
      <c r="BR177" s="4">
        <v>2.7389999999999999</v>
      </c>
      <c r="BS177" s="4">
        <v>2.6070000000000002</v>
      </c>
      <c r="BT177" s="4">
        <v>2.9510000000000001</v>
      </c>
      <c r="BU177" s="4">
        <v>2.6219999999999999</v>
      </c>
      <c r="BV177" s="4">
        <v>3.0339999999999998</v>
      </c>
      <c r="BW177" s="4">
        <v>1.1759999999999999</v>
      </c>
      <c r="BX177" s="4">
        <v>1.407</v>
      </c>
      <c r="BY177" s="4">
        <v>1.0780000000000001</v>
      </c>
      <c r="BZ177">
        <v>0</v>
      </c>
      <c r="CA177">
        <v>0</v>
      </c>
      <c r="CB177">
        <v>0</v>
      </c>
      <c r="CC177">
        <v>0</v>
      </c>
      <c r="CD177">
        <v>0</v>
      </c>
      <c r="CE177" s="19">
        <v>2.6</v>
      </c>
      <c r="CF177" s="19">
        <v>0</v>
      </c>
      <c r="CG177" s="4">
        <v>0</v>
      </c>
      <c r="CH177" s="4">
        <v>1.98</v>
      </c>
      <c r="CI177" s="4">
        <v>0</v>
      </c>
      <c r="CJ177" s="34">
        <v>0</v>
      </c>
      <c r="CK177" s="34">
        <v>0</v>
      </c>
      <c r="CL177" s="34">
        <v>0</v>
      </c>
      <c r="CM177" s="4">
        <v>0</v>
      </c>
      <c r="CN177" s="53">
        <v>0</v>
      </c>
      <c r="CO177" s="54">
        <v>0</v>
      </c>
      <c r="CP177" s="54">
        <v>0</v>
      </c>
      <c r="CQ177" s="4">
        <v>0</v>
      </c>
    </row>
    <row r="178" spans="1:95" x14ac:dyDescent="0.35">
      <c r="A178" s="55">
        <v>177</v>
      </c>
      <c r="B178" t="s">
        <v>99</v>
      </c>
      <c r="C178" s="27" t="s">
        <v>381</v>
      </c>
      <c r="D178" s="3" t="s">
        <v>88</v>
      </c>
      <c r="E178" s="33" t="s">
        <v>91</v>
      </c>
      <c r="F178" s="4">
        <f>IFERROR(AVERAGEIF(Table1[[#This Row],[2019-Apr]:[2025-July]],"&lt;&gt;0"),0)</f>
        <v>1.3035094339622642</v>
      </c>
      <c r="G178" s="4">
        <f ca="1">IFERROR(AVERAGEIF(OFFSET(Table1[[#This Row],[Status]],0,COUNT(Table1[[#This Row],[2019-May]:[2025-July]]),1,-12),"&lt;&gt;0"),0)</f>
        <v>1.72</v>
      </c>
      <c r="H178" s="55">
        <f>IFERROR(SMALL(Table1[[#This Row],[2019-Apr]:[2025-July]],COUNTIF(Table1[[#This Row],[2019-Apr]:[2025-July]],0)+1),0)</f>
        <v>0.74</v>
      </c>
      <c r="I178" s="55">
        <f>IFERROR(MAX(Table1[[#This Row],[2019-Apr]:[2025-July]]),0)</f>
        <v>2.5299999999999998</v>
      </c>
      <c r="J178" s="4" cm="1">
        <f t="array" ref="J17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0.85216666666666674</v>
      </c>
      <c r="K178" s="4">
        <v>4.5</v>
      </c>
      <c r="L178" s="4">
        <f>IF(Table1[[#This Row],[Standard as per ISO]]&gt;=Table1[[#This Row],[Avg of best 6]],Table1[[#This Row],[Standard as per ISO]],Table1[[#This Row],[Avg of best 6]])</f>
        <v>4.5</v>
      </c>
      <c r="M178" s="4" cm="1">
        <f t="array" ref="M178">IFERROR(LOOKUP(2,1/(Table1[[#This Row],[2019-May]:[2025-July]]&lt;&gt;0),Table1[[#This Row],[2019-May]:[2025-July]]),0)</f>
        <v>1.44</v>
      </c>
      <c r="N178" s="4">
        <f>COUNTIF(Table1[[#This Row],[2019-Apr]:[2025-July]],"&gt;="&amp;Table1[[#This Row],[Target]])</f>
        <v>0</v>
      </c>
      <c r="O178" s="4">
        <f>IF(Table1[[#This Row],[Outliers 2Y]]=0,1,0)</f>
        <v>1</v>
      </c>
      <c r="P178" s="4">
        <f>IF(Table1[[#This Row],[Last value]]&gt;1.5*Table1[[#This Row],[Target]],1,0)</f>
        <v>0</v>
      </c>
      <c r="Q178" s="4">
        <f>IF(AND(1.5*Table1[[#This Row],[Target]]&gt;=Table1[[#This Row],[Last value]],Table1[[#This Row],[Last value]]&gt;Table1[[#This Row],[Target]]),1,0)</f>
        <v>0</v>
      </c>
      <c r="R178" s="4">
        <f>IF(Table1[[#This Row],[Target]]&gt;=Table1[[#This Row],[Last value]],1,0)</f>
        <v>1</v>
      </c>
      <c r="S178" s="4" t="str">
        <f t="shared" si="4"/>
        <v>Green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1.24</v>
      </c>
      <c r="Z178">
        <v>1.06</v>
      </c>
      <c r="AA178">
        <v>1.2</v>
      </c>
      <c r="AB178">
        <v>1.02</v>
      </c>
      <c r="AC178">
        <v>1.38</v>
      </c>
      <c r="AD178">
        <v>1.1000000000000001</v>
      </c>
      <c r="AE178">
        <v>0.8</v>
      </c>
      <c r="AF178">
        <v>1.6</v>
      </c>
      <c r="AG178">
        <v>1.1000000000000001</v>
      </c>
      <c r="AH178">
        <v>1.6</v>
      </c>
      <c r="AI178">
        <v>0</v>
      </c>
      <c r="AJ178">
        <v>1.01</v>
      </c>
      <c r="AK178">
        <v>0.74</v>
      </c>
      <c r="AL178">
        <v>0.88</v>
      </c>
      <c r="AM178">
        <v>1.19</v>
      </c>
      <c r="AN178">
        <v>0</v>
      </c>
      <c r="AO178">
        <v>1.35</v>
      </c>
      <c r="AP178">
        <v>1.65</v>
      </c>
      <c r="AQ178">
        <v>1.24</v>
      </c>
      <c r="AR178" s="8">
        <v>1.24</v>
      </c>
      <c r="AS178" s="8">
        <v>1.53</v>
      </c>
      <c r="AT178" s="8">
        <v>1.28</v>
      </c>
      <c r="AU178" s="3">
        <v>2.5299999999999998</v>
      </c>
      <c r="AV178" s="3">
        <v>1.61</v>
      </c>
      <c r="AW178" s="3">
        <v>1.18</v>
      </c>
      <c r="AX178" s="3">
        <v>1.08</v>
      </c>
      <c r="AY178" s="3">
        <v>1.28</v>
      </c>
      <c r="AZ178" s="3">
        <v>1.9</v>
      </c>
      <c r="BA178" s="3">
        <v>1.2</v>
      </c>
      <c r="BB178" s="3">
        <v>1.3</v>
      </c>
      <c r="BC178">
        <v>1.8</v>
      </c>
      <c r="BD178">
        <v>1.5</v>
      </c>
      <c r="BE178" s="11">
        <v>1.4810000000000001</v>
      </c>
      <c r="BF178" s="4">
        <v>1.083</v>
      </c>
      <c r="BG178" s="4">
        <v>1.5620000000000001</v>
      </c>
      <c r="BH178" s="4">
        <v>1.637</v>
      </c>
      <c r="BI178" s="4">
        <v>0.91300000000000003</v>
      </c>
      <c r="BJ178" s="14">
        <v>2.0230000000000001</v>
      </c>
      <c r="BK178" s="14">
        <v>0.81100000000000005</v>
      </c>
      <c r="BL178" s="4">
        <v>1.0509999999999999</v>
      </c>
      <c r="BM178" s="17">
        <v>0.97599999999999998</v>
      </c>
      <c r="BN178" s="4">
        <v>1.0760000000000001</v>
      </c>
      <c r="BO178" s="4">
        <v>0.97</v>
      </c>
      <c r="BP178" s="4">
        <v>1.978</v>
      </c>
      <c r="BQ178" s="4">
        <v>0.96899999999999997</v>
      </c>
      <c r="BR178" s="4">
        <v>1.288</v>
      </c>
      <c r="BS178" s="4">
        <v>1.002</v>
      </c>
      <c r="BT178" s="4">
        <v>1.0940000000000001</v>
      </c>
      <c r="BU178" s="4">
        <v>1.1539999999999999</v>
      </c>
      <c r="BV178" s="4">
        <v>1.0029999999999999</v>
      </c>
      <c r="BW178" s="4">
        <v>1.1779999999999999</v>
      </c>
      <c r="BX178" s="4">
        <v>1.244</v>
      </c>
      <c r="BY178" s="4">
        <v>1.5629999999999999</v>
      </c>
      <c r="BZ178">
        <v>0</v>
      </c>
      <c r="CA178">
        <v>0</v>
      </c>
      <c r="CB178">
        <v>0</v>
      </c>
      <c r="CC178">
        <v>0</v>
      </c>
      <c r="CD178">
        <v>0</v>
      </c>
      <c r="CE178" s="19">
        <v>2</v>
      </c>
      <c r="CF178" s="19">
        <v>0</v>
      </c>
      <c r="CG178" s="4">
        <v>0</v>
      </c>
      <c r="CH178" s="4">
        <v>1.44</v>
      </c>
      <c r="CI178" s="4">
        <v>0</v>
      </c>
      <c r="CJ178" s="34">
        <v>0</v>
      </c>
      <c r="CK178" s="34">
        <v>0</v>
      </c>
      <c r="CL178" s="34">
        <v>0</v>
      </c>
      <c r="CM178" s="4">
        <v>0</v>
      </c>
      <c r="CN178" s="53">
        <v>0</v>
      </c>
      <c r="CO178" s="54">
        <v>0</v>
      </c>
      <c r="CP178" s="54">
        <v>0</v>
      </c>
      <c r="CQ178" s="4">
        <v>0</v>
      </c>
    </row>
    <row r="179" spans="1:95" x14ac:dyDescent="0.35">
      <c r="A179" s="55">
        <v>178</v>
      </c>
      <c r="B179" t="s">
        <v>99</v>
      </c>
      <c r="C179" s="27" t="s">
        <v>382</v>
      </c>
      <c r="D179" s="3" t="s">
        <v>88</v>
      </c>
      <c r="E179" s="33" t="s">
        <v>91</v>
      </c>
      <c r="F179" s="4">
        <f>IFERROR(AVERAGEIF(Table1[[#This Row],[2019-Apr]:[2025-July]],"&lt;&gt;0"),0)</f>
        <v>1.3157962962962959</v>
      </c>
      <c r="G179" s="4">
        <f ca="1">IFERROR(AVERAGEIF(OFFSET(Table1[[#This Row],[Status]],0,COUNT(Table1[[#This Row],[2019-May]:[2025-July]]),1,-12),"&lt;&gt;0"),0)</f>
        <v>1.385</v>
      </c>
      <c r="H179" s="55">
        <f>IFERROR(SMALL(Table1[[#This Row],[2019-Apr]:[2025-July]],COUNTIF(Table1[[#This Row],[2019-Apr]:[2025-July]],0)+1),0)</f>
        <v>0.7</v>
      </c>
      <c r="I179" s="55">
        <f>IFERROR(MAX(Table1[[#This Row],[2019-Apr]:[2025-July]]),0)</f>
        <v>2.4049999999999998</v>
      </c>
      <c r="J179" s="4" cm="1">
        <f t="array" ref="J17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0.82833333333333348</v>
      </c>
      <c r="K179" s="4">
        <v>4.5</v>
      </c>
      <c r="L179" s="4">
        <f>IF(Table1[[#This Row],[Standard as per ISO]]&gt;=Table1[[#This Row],[Avg of best 6]],Table1[[#This Row],[Standard as per ISO]],Table1[[#This Row],[Avg of best 6]])</f>
        <v>4.5</v>
      </c>
      <c r="M179" s="4" cm="1">
        <f t="array" ref="M179">IFERROR(LOOKUP(2,1/(Table1[[#This Row],[2019-May]:[2025-July]]&lt;&gt;0),Table1[[#This Row],[2019-May]:[2025-July]]),0)</f>
        <v>1.47</v>
      </c>
      <c r="N179" s="4">
        <f>COUNTIF(Table1[[#This Row],[2019-Apr]:[2025-July]],"&gt;="&amp;Table1[[#This Row],[Target]])</f>
        <v>0</v>
      </c>
      <c r="O179" s="4">
        <f>IF(Table1[[#This Row],[Outliers 2Y]]=0,1,0)</f>
        <v>1</v>
      </c>
      <c r="P179" s="4">
        <f>IF(Table1[[#This Row],[Last value]]&gt;1.5*Table1[[#This Row],[Target]],1,0)</f>
        <v>0</v>
      </c>
      <c r="Q179" s="4">
        <f>IF(AND(1.5*Table1[[#This Row],[Target]]&gt;=Table1[[#This Row],[Last value]],Table1[[#This Row],[Last value]]&gt;Table1[[#This Row],[Target]]),1,0)</f>
        <v>0</v>
      </c>
      <c r="R179" s="4">
        <f>IF(Table1[[#This Row],[Target]]&gt;=Table1[[#This Row],[Last value]],1,0)</f>
        <v>1</v>
      </c>
      <c r="S179" s="4" t="str">
        <f t="shared" si="4"/>
        <v>Green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1.94</v>
      </c>
      <c r="Z179">
        <v>1.33</v>
      </c>
      <c r="AA179">
        <v>1.81</v>
      </c>
      <c r="AB179">
        <v>0.98</v>
      </c>
      <c r="AC179">
        <v>0.82</v>
      </c>
      <c r="AD179">
        <v>1</v>
      </c>
      <c r="AE179">
        <v>0.83</v>
      </c>
      <c r="AF179">
        <v>1.7</v>
      </c>
      <c r="AG179">
        <v>1.1000000000000001</v>
      </c>
      <c r="AH179">
        <v>1.8</v>
      </c>
      <c r="AI179">
        <v>0</v>
      </c>
      <c r="AJ179">
        <v>1.27</v>
      </c>
      <c r="AK179">
        <v>1.07</v>
      </c>
      <c r="AL179">
        <v>0.88</v>
      </c>
      <c r="AM179">
        <v>1.65</v>
      </c>
      <c r="AN179">
        <v>0.97</v>
      </c>
      <c r="AO179">
        <v>1</v>
      </c>
      <c r="AP179">
        <v>0.7</v>
      </c>
      <c r="AQ179">
        <v>0.93</v>
      </c>
      <c r="AR179" s="8">
        <v>0.97</v>
      </c>
      <c r="AS179" s="8">
        <v>1.2</v>
      </c>
      <c r="AT179" s="8">
        <v>1</v>
      </c>
      <c r="AU179" s="3">
        <v>2.09</v>
      </c>
      <c r="AV179" s="3">
        <v>0.84</v>
      </c>
      <c r="AW179" s="3">
        <v>1.08</v>
      </c>
      <c r="AX179" s="3">
        <v>1.02</v>
      </c>
      <c r="AY179" s="3">
        <v>0.9</v>
      </c>
      <c r="AZ179" s="3">
        <v>0.95</v>
      </c>
      <c r="BA179" s="3">
        <v>0.9</v>
      </c>
      <c r="BB179" s="3">
        <v>1.6</v>
      </c>
      <c r="BC179">
        <v>1.8</v>
      </c>
      <c r="BD179">
        <v>1.4</v>
      </c>
      <c r="BE179" s="11">
        <v>1.98</v>
      </c>
      <c r="BF179" s="4">
        <v>1.145</v>
      </c>
      <c r="BG179" s="4">
        <v>1.69</v>
      </c>
      <c r="BH179" s="4">
        <v>1.1759999999999999</v>
      </c>
      <c r="BI179" s="4">
        <v>1.1759999999999999</v>
      </c>
      <c r="BJ179" s="13">
        <v>1.1120000000000001</v>
      </c>
      <c r="BK179" s="13">
        <v>1.417</v>
      </c>
      <c r="BL179" s="4">
        <v>2.4049999999999998</v>
      </c>
      <c r="BM179" s="16">
        <v>1.288</v>
      </c>
      <c r="BN179" s="4">
        <v>1.278</v>
      </c>
      <c r="BO179" s="4">
        <v>1.4990000000000001</v>
      </c>
      <c r="BP179" s="4">
        <v>1.698</v>
      </c>
      <c r="BQ179" s="4">
        <v>0.996</v>
      </c>
      <c r="BR179" s="4">
        <v>1.5269999999999999</v>
      </c>
      <c r="BS179" s="4">
        <v>1.3660000000000001</v>
      </c>
      <c r="BT179" s="4">
        <v>1.37</v>
      </c>
      <c r="BU179" s="4">
        <v>1.53</v>
      </c>
      <c r="BV179" s="4">
        <v>1.4279999999999999</v>
      </c>
      <c r="BW179" s="4">
        <v>1.6639999999999999</v>
      </c>
      <c r="BX179" s="4">
        <v>1.1399999999999999</v>
      </c>
      <c r="BY179" s="4">
        <v>1.8680000000000001</v>
      </c>
      <c r="BZ179">
        <v>0</v>
      </c>
      <c r="CA179">
        <v>0</v>
      </c>
      <c r="CB179">
        <v>0</v>
      </c>
      <c r="CC179">
        <v>0</v>
      </c>
      <c r="CD179">
        <v>0</v>
      </c>
      <c r="CE179" s="19">
        <v>1.3</v>
      </c>
      <c r="CF179" s="19">
        <v>0</v>
      </c>
      <c r="CG179" s="4">
        <v>0</v>
      </c>
      <c r="CH179" s="4">
        <v>1.47</v>
      </c>
      <c r="CI179" s="4">
        <v>0</v>
      </c>
      <c r="CJ179" s="34">
        <v>0</v>
      </c>
      <c r="CK179" s="34">
        <v>0</v>
      </c>
      <c r="CL179" s="34">
        <v>0</v>
      </c>
      <c r="CM179" s="4">
        <v>0</v>
      </c>
      <c r="CN179" s="53">
        <v>0</v>
      </c>
      <c r="CO179" s="54">
        <v>0</v>
      </c>
      <c r="CP179" s="54">
        <v>0</v>
      </c>
      <c r="CQ179" s="4">
        <v>0</v>
      </c>
    </row>
    <row r="180" spans="1:95" x14ac:dyDescent="0.35">
      <c r="A180" s="55">
        <v>179</v>
      </c>
      <c r="B180" t="s">
        <v>99</v>
      </c>
      <c r="C180" s="27" t="s">
        <v>383</v>
      </c>
      <c r="D180" s="3" t="s">
        <v>88</v>
      </c>
      <c r="E180" s="33" t="s">
        <v>91</v>
      </c>
      <c r="F180" s="4">
        <f>IFERROR(AVERAGEIF(Table1[[#This Row],[2019-Apr]:[2025-July]],"&lt;&gt;0"),0)</f>
        <v>1.3950370370370369</v>
      </c>
      <c r="G180" s="4">
        <f ca="1">IFERROR(AVERAGEIF(OFFSET(Table1[[#This Row],[Status]],0,COUNT(Table1[[#This Row],[2019-May]:[2025-July]]),1,-12),"&lt;&gt;0"),0)</f>
        <v>1.1000000000000001</v>
      </c>
      <c r="H180" s="55">
        <f>IFERROR(SMALL(Table1[[#This Row],[2019-Apr]:[2025-July]],COUNTIF(Table1[[#This Row],[2019-Apr]:[2025-July]],0)+1),0)</f>
        <v>0.7</v>
      </c>
      <c r="I180" s="55">
        <f>IFERROR(MAX(Table1[[#This Row],[2019-Apr]:[2025-July]]),0)</f>
        <v>2.8140000000000001</v>
      </c>
      <c r="J180" s="4" cm="1">
        <f t="array" ref="J18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0.82666666666666677</v>
      </c>
      <c r="K180" s="4">
        <v>4.5</v>
      </c>
      <c r="L180" s="4">
        <f>IF(Table1[[#This Row],[Standard as per ISO]]&gt;=Table1[[#This Row],[Avg of best 6]],Table1[[#This Row],[Standard as per ISO]],Table1[[#This Row],[Avg of best 6]])</f>
        <v>4.5</v>
      </c>
      <c r="M180" s="4" cm="1">
        <f t="array" ref="M180">IFERROR(LOOKUP(2,1/(Table1[[#This Row],[2019-May]:[2025-July]]&lt;&gt;0),Table1[[#This Row],[2019-May]:[2025-July]]),0)</f>
        <v>1.1000000000000001</v>
      </c>
      <c r="N180" s="4">
        <f>COUNTIF(Table1[[#This Row],[2019-Apr]:[2025-July]],"&gt;="&amp;Table1[[#This Row],[Target]])</f>
        <v>0</v>
      </c>
      <c r="O180" s="4">
        <f>IF(Table1[[#This Row],[Outliers 2Y]]=0,1,0)</f>
        <v>1</v>
      </c>
      <c r="P180" s="4">
        <f>IF(Table1[[#This Row],[Last value]]&gt;1.5*Table1[[#This Row],[Target]],1,0)</f>
        <v>0</v>
      </c>
      <c r="Q180" s="4">
        <f>IF(AND(1.5*Table1[[#This Row],[Target]]&gt;=Table1[[#This Row],[Last value]],Table1[[#This Row],[Last value]]&gt;Table1[[#This Row],[Target]]),1,0)</f>
        <v>0</v>
      </c>
      <c r="R180" s="4">
        <f>IF(Table1[[#This Row],[Target]]&gt;=Table1[[#This Row],[Last value]],1,0)</f>
        <v>1</v>
      </c>
      <c r="S180" s="4" t="str">
        <f t="shared" si="4"/>
        <v>Green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1.47</v>
      </c>
      <c r="Z180">
        <v>1.2</v>
      </c>
      <c r="AA180">
        <v>1.19</v>
      </c>
      <c r="AB180">
        <v>1.32</v>
      </c>
      <c r="AC180">
        <v>1.2</v>
      </c>
      <c r="AD180">
        <v>0.9</v>
      </c>
      <c r="AE180">
        <v>0.98</v>
      </c>
      <c r="AF180">
        <v>0.89</v>
      </c>
      <c r="AG180">
        <v>0.9</v>
      </c>
      <c r="AH180">
        <v>0.7</v>
      </c>
      <c r="AI180">
        <v>0</v>
      </c>
      <c r="AJ180">
        <v>0.77</v>
      </c>
      <c r="AK180">
        <v>0.98</v>
      </c>
      <c r="AL180">
        <v>1.04</v>
      </c>
      <c r="AM180">
        <v>1.05</v>
      </c>
      <c r="AN180">
        <v>1.76</v>
      </c>
      <c r="AO180">
        <v>0.93</v>
      </c>
      <c r="AP180">
        <v>1.1399999999999999</v>
      </c>
      <c r="AQ180">
        <v>0.92</v>
      </c>
      <c r="AR180" s="8">
        <v>1.59</v>
      </c>
      <c r="AS180" s="8">
        <v>1.23</v>
      </c>
      <c r="AT180" s="8">
        <v>1.3</v>
      </c>
      <c r="AU180" s="3">
        <v>1.22</v>
      </c>
      <c r="AV180" s="3">
        <v>1.06</v>
      </c>
      <c r="AW180" s="3">
        <v>1.04</v>
      </c>
      <c r="AX180" s="3">
        <v>1.01</v>
      </c>
      <c r="AY180" s="3">
        <v>1.4</v>
      </c>
      <c r="AZ180" s="3">
        <v>0.8</v>
      </c>
      <c r="BA180" s="3">
        <v>1</v>
      </c>
      <c r="BB180" s="3">
        <v>1.9</v>
      </c>
      <c r="BC180">
        <v>1.6</v>
      </c>
      <c r="BD180">
        <v>1.1000000000000001</v>
      </c>
      <c r="BE180" s="11">
        <v>2.8140000000000001</v>
      </c>
      <c r="BF180" s="4">
        <v>1.421</v>
      </c>
      <c r="BG180" s="4">
        <v>2.673</v>
      </c>
      <c r="BH180" s="4">
        <v>1.4319999999999999</v>
      </c>
      <c r="BI180" s="4">
        <v>1.655</v>
      </c>
      <c r="BJ180" s="14">
        <v>1.589</v>
      </c>
      <c r="BK180" s="14">
        <v>1.2270000000000001</v>
      </c>
      <c r="BL180" s="4">
        <v>1.881</v>
      </c>
      <c r="BM180" s="17">
        <v>1.863</v>
      </c>
      <c r="BN180" s="4">
        <v>1.6759999999999999</v>
      </c>
      <c r="BO180" s="4">
        <v>1.9259999999999999</v>
      </c>
      <c r="BP180" s="4">
        <v>1.9610000000000001</v>
      </c>
      <c r="BQ180" s="4">
        <v>1.4550000000000001</v>
      </c>
      <c r="BR180" s="4">
        <v>1.9159999999999999</v>
      </c>
      <c r="BS180" s="4">
        <v>1.9370000000000001</v>
      </c>
      <c r="BT180" s="4">
        <v>1.3109999999999999</v>
      </c>
      <c r="BU180" s="4">
        <v>1.6679999999999999</v>
      </c>
      <c r="BV180" s="4">
        <v>1.645</v>
      </c>
      <c r="BW180" s="4">
        <v>1.962</v>
      </c>
      <c r="BX180" s="4">
        <v>1.667</v>
      </c>
      <c r="BY180" s="4">
        <v>1.863</v>
      </c>
      <c r="BZ180">
        <v>0</v>
      </c>
      <c r="CA180">
        <v>0</v>
      </c>
      <c r="CB180">
        <v>0</v>
      </c>
      <c r="CC180">
        <v>0</v>
      </c>
      <c r="CD180">
        <v>0</v>
      </c>
      <c r="CE180" s="19">
        <v>1.1000000000000001</v>
      </c>
      <c r="CF180" s="19">
        <v>0</v>
      </c>
      <c r="CG180" s="4">
        <v>0</v>
      </c>
      <c r="CH180" s="4">
        <v>0</v>
      </c>
      <c r="CI180" s="4">
        <v>1.1000000000000001</v>
      </c>
      <c r="CJ180" s="34">
        <v>0</v>
      </c>
      <c r="CK180" s="34">
        <v>0</v>
      </c>
      <c r="CL180" s="34">
        <v>0</v>
      </c>
      <c r="CM180" s="4">
        <v>0</v>
      </c>
      <c r="CN180" s="53">
        <v>0</v>
      </c>
      <c r="CO180" s="54">
        <v>0</v>
      </c>
      <c r="CP180" s="54">
        <v>0</v>
      </c>
      <c r="CQ180" s="4">
        <v>0</v>
      </c>
    </row>
    <row r="181" spans="1:95" x14ac:dyDescent="0.35">
      <c r="A181" s="55">
        <v>180</v>
      </c>
      <c r="B181" t="s">
        <v>99</v>
      </c>
      <c r="C181" s="27" t="s">
        <v>384</v>
      </c>
      <c r="D181" s="3" t="s">
        <v>88</v>
      </c>
      <c r="E181" s="33" t="s">
        <v>91</v>
      </c>
      <c r="F181" s="4">
        <f>IFERROR(AVERAGEIF(Table1[[#This Row],[2019-Apr]:[2025-July]],"&lt;&gt;0"),0)</f>
        <v>1.3899999999999992</v>
      </c>
      <c r="G181" s="4">
        <f ca="1">IFERROR(AVERAGEIF(OFFSET(Table1[[#This Row],[Status]],0,COUNT(Table1[[#This Row],[2019-May]:[2025-July]]),1,-12),"&lt;&gt;0"),0)</f>
        <v>1.6850000000000001</v>
      </c>
      <c r="H181" s="55">
        <f>IFERROR(SMALL(Table1[[#This Row],[2019-Apr]:[2025-July]],COUNTIF(Table1[[#This Row],[2019-Apr]:[2025-July]],0)+1),0)</f>
        <v>0.86799999999999999</v>
      </c>
      <c r="I181" s="55">
        <f>IFERROR(MAX(Table1[[#This Row],[2019-Apr]:[2025-July]]),0)</f>
        <v>2.83</v>
      </c>
      <c r="J181" s="4" cm="1">
        <f t="array" ref="J18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0.94383333333333341</v>
      </c>
      <c r="K181" s="4">
        <v>4.5</v>
      </c>
      <c r="L181" s="4">
        <f>IF(Table1[[#This Row],[Standard as per ISO]]&gt;=Table1[[#This Row],[Avg of best 6]],Table1[[#This Row],[Standard as per ISO]],Table1[[#This Row],[Avg of best 6]])</f>
        <v>4.5</v>
      </c>
      <c r="M181" s="4" cm="1">
        <f t="array" ref="M181">IFERROR(LOOKUP(2,1/(Table1[[#This Row],[2019-May]:[2025-July]]&lt;&gt;0),Table1[[#This Row],[2019-May]:[2025-July]]),0)</f>
        <v>1.77</v>
      </c>
      <c r="N181" s="4">
        <f>COUNTIF(Table1[[#This Row],[2019-Apr]:[2025-July]],"&gt;="&amp;Table1[[#This Row],[Target]])</f>
        <v>0</v>
      </c>
      <c r="O181" s="4">
        <f>IF(Table1[[#This Row],[Outliers 2Y]]=0,1,0)</f>
        <v>1</v>
      </c>
      <c r="P181" s="4">
        <f>IF(Table1[[#This Row],[Last value]]&gt;1.5*Table1[[#This Row],[Target]],1,0)</f>
        <v>0</v>
      </c>
      <c r="Q181" s="4">
        <f>IF(AND(1.5*Table1[[#This Row],[Target]]&gt;=Table1[[#This Row],[Last value]],Table1[[#This Row],[Last value]]&gt;Table1[[#This Row],[Target]]),1,0)</f>
        <v>0</v>
      </c>
      <c r="R181" s="4">
        <f>IF(Table1[[#This Row],[Target]]&gt;=Table1[[#This Row],[Last value]],1,0)</f>
        <v>1</v>
      </c>
      <c r="S181" s="4" t="str">
        <f t="shared" si="4"/>
        <v>Green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1.63</v>
      </c>
      <c r="Z181">
        <v>1.25</v>
      </c>
      <c r="AA181">
        <v>2.83</v>
      </c>
      <c r="AB181">
        <v>1.1299999999999999</v>
      </c>
      <c r="AC181">
        <v>1.1100000000000001</v>
      </c>
      <c r="AD181">
        <v>1</v>
      </c>
      <c r="AE181">
        <v>1</v>
      </c>
      <c r="AF181">
        <v>1.4</v>
      </c>
      <c r="AG181">
        <v>1.5</v>
      </c>
      <c r="AH181">
        <v>1.4</v>
      </c>
      <c r="AI181">
        <v>0</v>
      </c>
      <c r="AJ181">
        <v>1.65</v>
      </c>
      <c r="AK181">
        <v>1.21</v>
      </c>
      <c r="AL181">
        <v>1.49</v>
      </c>
      <c r="AM181">
        <v>1.07</v>
      </c>
      <c r="AN181">
        <v>1.58</v>
      </c>
      <c r="AO181">
        <v>0.94</v>
      </c>
      <c r="AP181">
        <v>1.25</v>
      </c>
      <c r="AQ181">
        <v>1.27</v>
      </c>
      <c r="AR181" s="8">
        <v>1.1599999999999999</v>
      </c>
      <c r="AS181" s="8">
        <v>2.04</v>
      </c>
      <c r="AT181" s="8">
        <v>0.99</v>
      </c>
      <c r="AU181" s="3">
        <v>1.34</v>
      </c>
      <c r="AV181" s="3">
        <v>1.81</v>
      </c>
      <c r="AW181" s="3">
        <v>1.94</v>
      </c>
      <c r="AX181" s="3">
        <v>1.1100000000000001</v>
      </c>
      <c r="AY181" s="3">
        <v>1.1200000000000001</v>
      </c>
      <c r="AZ181" s="3">
        <v>1.86</v>
      </c>
      <c r="BA181" s="3">
        <v>1.4</v>
      </c>
      <c r="BB181" s="3">
        <v>1.8</v>
      </c>
      <c r="BC181">
        <v>1.9</v>
      </c>
      <c r="BD181">
        <v>1.1000000000000001</v>
      </c>
      <c r="BE181" s="11">
        <v>1.1759999999999999</v>
      </c>
      <c r="BF181" s="4">
        <v>1.7170000000000001</v>
      </c>
      <c r="BG181" s="4">
        <v>1.5149999999999999</v>
      </c>
      <c r="BH181" s="4">
        <v>1.6719999999999999</v>
      </c>
      <c r="BI181" s="4">
        <v>1.1439999999999999</v>
      </c>
      <c r="BJ181" s="13">
        <v>0.88700000000000001</v>
      </c>
      <c r="BK181" s="13">
        <v>1.2569999999999999</v>
      </c>
      <c r="BL181" s="4">
        <v>1.788</v>
      </c>
      <c r="BM181" s="16">
        <v>1.2190000000000001</v>
      </c>
      <c r="BN181" s="4">
        <v>1.6579999999999999</v>
      </c>
      <c r="BO181" s="4">
        <v>0.97799999999999998</v>
      </c>
      <c r="BP181" s="4">
        <v>1.101</v>
      </c>
      <c r="BQ181" s="4">
        <v>1.1719999999999999</v>
      </c>
      <c r="BR181" s="4">
        <v>1.4990000000000001</v>
      </c>
      <c r="BS181" s="4">
        <v>1.3680000000000001</v>
      </c>
      <c r="BT181" s="4">
        <v>1.8029999999999999</v>
      </c>
      <c r="BU181" s="4">
        <v>1.0449999999999999</v>
      </c>
      <c r="BV181" s="4">
        <v>0.86799999999999999</v>
      </c>
      <c r="BW181" s="4">
        <v>1.161</v>
      </c>
      <c r="BX181" s="4">
        <v>1.1000000000000001</v>
      </c>
      <c r="BY181" s="4">
        <v>1.282</v>
      </c>
      <c r="BZ181">
        <v>0</v>
      </c>
      <c r="CA181">
        <v>0</v>
      </c>
      <c r="CB181">
        <v>0</v>
      </c>
      <c r="CC181">
        <v>0</v>
      </c>
      <c r="CD181">
        <v>0</v>
      </c>
      <c r="CE181" s="19">
        <v>1.6</v>
      </c>
      <c r="CF181" s="19">
        <v>0</v>
      </c>
      <c r="CG181" s="4">
        <v>0</v>
      </c>
      <c r="CH181" s="4">
        <v>1.77</v>
      </c>
      <c r="CI181" s="4">
        <v>0</v>
      </c>
      <c r="CJ181" s="34">
        <v>0</v>
      </c>
      <c r="CK181" s="34">
        <v>0</v>
      </c>
      <c r="CL181" s="34">
        <v>0</v>
      </c>
      <c r="CM181" s="4">
        <v>0</v>
      </c>
      <c r="CN181" s="53">
        <v>0</v>
      </c>
      <c r="CO181" s="54">
        <v>0</v>
      </c>
      <c r="CP181" s="54">
        <v>0</v>
      </c>
      <c r="CQ181" s="4">
        <v>0</v>
      </c>
    </row>
    <row r="182" spans="1:95" x14ac:dyDescent="0.35">
      <c r="A182" s="55">
        <v>181</v>
      </c>
      <c r="B182" t="s">
        <v>99</v>
      </c>
      <c r="C182" s="27" t="s">
        <v>385</v>
      </c>
      <c r="D182" s="3" t="s">
        <v>88</v>
      </c>
      <c r="E182" s="33" t="s">
        <v>91</v>
      </c>
      <c r="F182" s="4">
        <f>IFERROR(AVERAGEIF(Table1[[#This Row],[2019-Apr]:[2025-July]],"&lt;&gt;0"),0)</f>
        <v>1.6644528301886794</v>
      </c>
      <c r="G182" s="4">
        <f ca="1">IFERROR(AVERAGEIF(OFFSET(Table1[[#This Row],[Status]],0,COUNT(Table1[[#This Row],[2019-May]:[2025-July]]),1,-12),"&lt;&gt;0"),0)</f>
        <v>1.2850000000000001</v>
      </c>
      <c r="H182" s="55">
        <f>IFERROR(SMALL(Table1[[#This Row],[2019-Apr]:[2025-July]],COUNTIF(Table1[[#This Row],[2019-Apr]:[2025-July]],0)+1),0)</f>
        <v>1</v>
      </c>
      <c r="I182" s="55">
        <f>IFERROR(MAX(Table1[[#This Row],[2019-Apr]:[2025-July]]),0)</f>
        <v>2.72</v>
      </c>
      <c r="J182" s="4" cm="1">
        <f t="array" ref="J18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1.0960000000000001</v>
      </c>
      <c r="K182" s="4">
        <v>4.5</v>
      </c>
      <c r="L182" s="4">
        <f>IF(Table1[[#This Row],[Standard as per ISO]]&gt;=Table1[[#This Row],[Avg of best 6]],Table1[[#This Row],[Standard as per ISO]],Table1[[#This Row],[Avg of best 6]])</f>
        <v>4.5</v>
      </c>
      <c r="M182" s="4" cm="1">
        <f t="array" ref="M182">IFERROR(LOOKUP(2,1/(Table1[[#This Row],[2019-May]:[2025-July]]&lt;&gt;0),Table1[[#This Row],[2019-May]:[2025-July]]),0)</f>
        <v>1.57</v>
      </c>
      <c r="N182" s="4">
        <f>COUNTIF(Table1[[#This Row],[2019-Apr]:[2025-July]],"&gt;="&amp;Table1[[#This Row],[Target]])</f>
        <v>0</v>
      </c>
      <c r="O182" s="4">
        <f>IF(Table1[[#This Row],[Outliers 2Y]]=0,1,0)</f>
        <v>1</v>
      </c>
      <c r="P182" s="4">
        <f>IF(Table1[[#This Row],[Last value]]&gt;1.5*Table1[[#This Row],[Target]],1,0)</f>
        <v>0</v>
      </c>
      <c r="Q182" s="4">
        <f>IF(AND(1.5*Table1[[#This Row],[Target]]&gt;=Table1[[#This Row],[Last value]],Table1[[#This Row],[Last value]]&gt;Table1[[#This Row],[Target]]),1,0)</f>
        <v>0</v>
      </c>
      <c r="R182" s="4">
        <f>IF(Table1[[#This Row],[Target]]&gt;=Table1[[#This Row],[Last value]],1,0)</f>
        <v>1</v>
      </c>
      <c r="S182" s="4" t="str">
        <f t="shared" si="4"/>
        <v>Green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2.08</v>
      </c>
      <c r="Z182">
        <v>1.75</v>
      </c>
      <c r="AA182">
        <v>1.37</v>
      </c>
      <c r="AB182">
        <v>1.0900000000000001</v>
      </c>
      <c r="AC182">
        <v>1.99</v>
      </c>
      <c r="AD182">
        <v>1.8</v>
      </c>
      <c r="AE182">
        <v>2.2000000000000002</v>
      </c>
      <c r="AF182">
        <v>1.9</v>
      </c>
      <c r="AG182">
        <v>1.9</v>
      </c>
      <c r="AH182">
        <v>1.3</v>
      </c>
      <c r="AI182">
        <v>0</v>
      </c>
      <c r="AJ182">
        <v>2.19</v>
      </c>
      <c r="AK182">
        <v>1.85</v>
      </c>
      <c r="AL182">
        <v>2.72</v>
      </c>
      <c r="AM182">
        <v>2.2599999999999998</v>
      </c>
      <c r="AN182">
        <v>0</v>
      </c>
      <c r="AO182">
        <v>1.59</v>
      </c>
      <c r="AP182">
        <v>1.72</v>
      </c>
      <c r="AQ182">
        <v>2.2400000000000002</v>
      </c>
      <c r="AR182" s="8">
        <v>2.35</v>
      </c>
      <c r="AS182" s="8">
        <v>2.15</v>
      </c>
      <c r="AT182" s="8">
        <v>1.99</v>
      </c>
      <c r="AU182" s="3">
        <v>2.19</v>
      </c>
      <c r="AV182" s="3">
        <v>1.86</v>
      </c>
      <c r="AW182" s="3">
        <v>1.25</v>
      </c>
      <c r="AX182" s="3">
        <v>1.19</v>
      </c>
      <c r="AY182" s="3">
        <v>1.58</v>
      </c>
      <c r="AZ182" s="3">
        <v>1.45</v>
      </c>
      <c r="BA182" s="3">
        <v>1.9</v>
      </c>
      <c r="BB182" s="3">
        <v>2.1</v>
      </c>
      <c r="BC182">
        <v>2</v>
      </c>
      <c r="BD182">
        <v>1.6</v>
      </c>
      <c r="BE182" s="11">
        <v>1.9810000000000001</v>
      </c>
      <c r="BF182" s="4">
        <v>1.518</v>
      </c>
      <c r="BG182" s="4">
        <v>1.6719999999999999</v>
      </c>
      <c r="BH182" s="4">
        <v>1.6679999999999999</v>
      </c>
      <c r="BI182" s="4">
        <v>1.403</v>
      </c>
      <c r="BJ182" s="14">
        <v>1.613</v>
      </c>
      <c r="BK182" s="14">
        <v>1.2130000000000001</v>
      </c>
      <c r="BL182" s="4">
        <v>1.849</v>
      </c>
      <c r="BM182" s="17">
        <v>1.4930000000000001</v>
      </c>
      <c r="BN182" s="4">
        <v>1.337</v>
      </c>
      <c r="BO182" s="4">
        <v>1.4370000000000001</v>
      </c>
      <c r="BP182" s="4">
        <v>1.58</v>
      </c>
      <c r="BQ182" s="4">
        <v>1.2649999999999999</v>
      </c>
      <c r="BR182" s="4">
        <v>1.109</v>
      </c>
      <c r="BS182" s="4">
        <v>1.2230000000000001</v>
      </c>
      <c r="BT182" s="4">
        <v>1.1040000000000001</v>
      </c>
      <c r="BU182" s="4">
        <v>1.361</v>
      </c>
      <c r="BV182" s="4">
        <v>1.147</v>
      </c>
      <c r="BW182" s="4">
        <v>1.1259999999999999</v>
      </c>
      <c r="BX182" s="4">
        <v>1.4950000000000001</v>
      </c>
      <c r="BY182" s="4">
        <v>1.492</v>
      </c>
      <c r="BZ182">
        <v>0</v>
      </c>
      <c r="CA182">
        <v>0</v>
      </c>
      <c r="CB182">
        <v>0</v>
      </c>
      <c r="CC182">
        <v>0</v>
      </c>
      <c r="CD182">
        <v>0</v>
      </c>
      <c r="CE182" s="19">
        <v>1</v>
      </c>
      <c r="CF182" s="19">
        <v>0</v>
      </c>
      <c r="CG182" s="4">
        <v>0</v>
      </c>
      <c r="CH182" s="4">
        <v>1.57</v>
      </c>
      <c r="CI182" s="4">
        <v>0</v>
      </c>
      <c r="CJ182" s="34">
        <v>0</v>
      </c>
      <c r="CK182" s="34">
        <v>0</v>
      </c>
      <c r="CL182" s="34">
        <v>0</v>
      </c>
      <c r="CM182" s="4">
        <v>0</v>
      </c>
      <c r="CN182" s="53">
        <v>0</v>
      </c>
      <c r="CO182" s="54">
        <v>0</v>
      </c>
      <c r="CP182" s="54">
        <v>0</v>
      </c>
      <c r="CQ182" s="4">
        <v>0</v>
      </c>
    </row>
    <row r="183" spans="1:95" x14ac:dyDescent="0.35">
      <c r="A183" s="55">
        <v>182</v>
      </c>
      <c r="B183" t="s">
        <v>99</v>
      </c>
      <c r="C183" s="27" t="s">
        <v>386</v>
      </c>
      <c r="D183" s="3" t="s">
        <v>88</v>
      </c>
      <c r="E183" s="33" t="s">
        <v>89</v>
      </c>
      <c r="F183" s="4">
        <f>IFERROR(AVERAGEIF(Table1[[#This Row],[2019-Apr]:[2025-July]],"&lt;&gt;0"),0)</f>
        <v>1.2210454545454548</v>
      </c>
      <c r="G183" s="4">
        <f ca="1">IFERROR(AVERAGEIF(OFFSET(Table1[[#This Row],[Status]],0,COUNT(Table1[[#This Row],[2019-May]:[2025-July]]),1,-12),"&lt;&gt;0"),0)</f>
        <v>1.1966666666666668</v>
      </c>
      <c r="H183" s="55">
        <f>IFERROR(SMALL(Table1[[#This Row],[2019-Apr]:[2025-July]],COUNTIF(Table1[[#This Row],[2019-Apr]:[2025-July]],0)+1),0)</f>
        <v>0.60099999999999998</v>
      </c>
      <c r="I183" s="55">
        <f>IFERROR(MAX(Table1[[#This Row],[2019-Apr]:[2025-July]]),0)</f>
        <v>2.63</v>
      </c>
      <c r="J183" s="4" cm="1">
        <f t="array" ref="J18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0.72716666666666674</v>
      </c>
      <c r="K183" s="4">
        <v>4.5</v>
      </c>
      <c r="L183" s="4">
        <f>IF(Table1[[#This Row],[Standard as per ISO]]&gt;=Table1[[#This Row],[Avg of best 6]],Table1[[#This Row],[Standard as per ISO]],Table1[[#This Row],[Avg of best 6]])</f>
        <v>4.5</v>
      </c>
      <c r="M183" s="4" cm="1">
        <f t="array" ref="M183">IFERROR(LOOKUP(2,1/(Table1[[#This Row],[2019-May]:[2025-July]]&lt;&gt;0),Table1[[#This Row],[2019-May]:[2025-July]]),0)</f>
        <v>1.4</v>
      </c>
      <c r="N183" s="4">
        <f>COUNTIF(Table1[[#This Row],[2019-Apr]:[2025-July]],"&gt;="&amp;Table1[[#This Row],[Target]])</f>
        <v>0</v>
      </c>
      <c r="O183" s="4">
        <f>IF(Table1[[#This Row],[Outliers 2Y]]=0,1,0)</f>
        <v>1</v>
      </c>
      <c r="P183" s="4">
        <f>IF(Table1[[#This Row],[Last value]]&gt;1.5*Table1[[#This Row],[Target]],1,0)</f>
        <v>0</v>
      </c>
      <c r="Q183" s="4">
        <f>IF(AND(1.5*Table1[[#This Row],[Target]]&gt;=Table1[[#This Row],[Last value]],Table1[[#This Row],[Last value]]&gt;Table1[[#This Row],[Target]]),1,0)</f>
        <v>0</v>
      </c>
      <c r="R183" s="4">
        <f>IF(Table1[[#This Row],[Target]]&gt;=Table1[[#This Row],[Last value]],1,0)</f>
        <v>1</v>
      </c>
      <c r="S183" s="4" t="str">
        <f t="shared" si="4"/>
        <v>Green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1.1100000000000001</v>
      </c>
      <c r="Z183">
        <v>1.1000000000000001</v>
      </c>
      <c r="AA183">
        <v>1.01</v>
      </c>
      <c r="AB183">
        <v>1</v>
      </c>
      <c r="AC183">
        <v>1.05</v>
      </c>
      <c r="AD183">
        <v>1.02</v>
      </c>
      <c r="AE183">
        <v>0.8</v>
      </c>
      <c r="AF183">
        <v>1.3</v>
      </c>
      <c r="AG183">
        <v>1</v>
      </c>
      <c r="AH183">
        <v>0.8</v>
      </c>
      <c r="AI183">
        <v>0.8</v>
      </c>
      <c r="AJ183">
        <v>1.26</v>
      </c>
      <c r="AK183">
        <v>1.01</v>
      </c>
      <c r="AL183">
        <v>1.27</v>
      </c>
      <c r="AM183">
        <v>1.54</v>
      </c>
      <c r="AN183">
        <v>1.62</v>
      </c>
      <c r="AO183">
        <v>1.67</v>
      </c>
      <c r="AP183">
        <v>1.7</v>
      </c>
      <c r="AQ183">
        <v>1.46</v>
      </c>
      <c r="AR183" s="8">
        <v>1.74</v>
      </c>
      <c r="AS183" s="8">
        <v>1.76</v>
      </c>
      <c r="AT183" s="8">
        <v>1.43</v>
      </c>
      <c r="AU183" s="3">
        <v>2.63</v>
      </c>
      <c r="AV183" s="3">
        <v>1.2</v>
      </c>
      <c r="AW183" s="3">
        <v>0.86</v>
      </c>
      <c r="AX183" s="3">
        <v>1.1000000000000001</v>
      </c>
      <c r="AY183" s="3">
        <v>1.34</v>
      </c>
      <c r="AZ183" s="3">
        <v>2.5</v>
      </c>
      <c r="BA183" s="3">
        <v>1.1000000000000001</v>
      </c>
      <c r="BB183" s="3">
        <v>1.6</v>
      </c>
      <c r="BC183">
        <v>1.1000000000000001</v>
      </c>
      <c r="BD183">
        <v>0</v>
      </c>
      <c r="BE183" s="11">
        <v>1.347</v>
      </c>
      <c r="BF183" s="4">
        <v>0</v>
      </c>
      <c r="BG183" s="4">
        <v>1.234</v>
      </c>
      <c r="BH183" s="4">
        <v>0.81399999999999995</v>
      </c>
      <c r="BI183" s="4">
        <v>2.0289999999999999</v>
      </c>
      <c r="BJ183" s="13">
        <v>0.85199999999999998</v>
      </c>
      <c r="BK183" s="13">
        <v>1.21</v>
      </c>
      <c r="BL183" s="4">
        <v>1.22</v>
      </c>
      <c r="BM183" s="16">
        <v>0.60099999999999998</v>
      </c>
      <c r="BN183" s="4">
        <v>0.73</v>
      </c>
      <c r="BO183" s="4">
        <v>1.22</v>
      </c>
      <c r="BP183" s="4">
        <v>0.91</v>
      </c>
      <c r="BQ183" s="4">
        <v>0.93600000000000005</v>
      </c>
      <c r="BR183" s="4">
        <v>1.663</v>
      </c>
      <c r="BS183" s="4">
        <v>0.68400000000000005</v>
      </c>
      <c r="BT183" s="4">
        <v>0.93400000000000005</v>
      </c>
      <c r="BU183" s="4">
        <v>0.75700000000000001</v>
      </c>
      <c r="BV183" s="4">
        <v>0.79100000000000004</v>
      </c>
      <c r="BW183" s="4">
        <v>0.82899999999999996</v>
      </c>
      <c r="BX183" s="4">
        <v>0.88900000000000001</v>
      </c>
      <c r="BY183" s="4">
        <v>1.0289999999999999</v>
      </c>
      <c r="BZ183">
        <v>1.44</v>
      </c>
      <c r="CA183">
        <v>1.4</v>
      </c>
      <c r="CB183">
        <v>1</v>
      </c>
      <c r="CC183">
        <v>0.87</v>
      </c>
      <c r="CD183">
        <v>2.15</v>
      </c>
      <c r="CE183" s="19">
        <v>0</v>
      </c>
      <c r="CF183" s="19">
        <v>0</v>
      </c>
      <c r="CG183" s="4">
        <v>1.01</v>
      </c>
      <c r="CH183" s="4">
        <v>1.56</v>
      </c>
      <c r="CI183" s="4">
        <v>0</v>
      </c>
      <c r="CJ183" s="34">
        <v>1.5</v>
      </c>
      <c r="CK183" s="34">
        <v>1.3</v>
      </c>
      <c r="CL183" s="43">
        <v>1.6</v>
      </c>
      <c r="CM183" s="4">
        <v>0.8</v>
      </c>
      <c r="CN183" s="53">
        <v>1.1000000000000001</v>
      </c>
      <c r="CO183" s="54">
        <v>1</v>
      </c>
      <c r="CP183" s="54">
        <v>0.9</v>
      </c>
      <c r="CQ183" s="4">
        <v>1.4</v>
      </c>
    </row>
    <row r="184" spans="1:95" x14ac:dyDescent="0.35">
      <c r="A184" s="55">
        <v>183</v>
      </c>
      <c r="B184" t="s">
        <v>99</v>
      </c>
      <c r="C184" s="27" t="s">
        <v>387</v>
      </c>
      <c r="D184" s="3" t="s">
        <v>88</v>
      </c>
      <c r="E184" s="33" t="s">
        <v>89</v>
      </c>
      <c r="F184" s="4">
        <f>IFERROR(AVERAGEIF(Table1[[#This Row],[2019-Apr]:[2025-July]],"&lt;&gt;0"),0)</f>
        <v>1.5367575757575755</v>
      </c>
      <c r="G184" s="4">
        <f ca="1">IFERROR(AVERAGEIF(OFFSET(Table1[[#This Row],[Status]],0,COUNT(Table1[[#This Row],[2019-May]:[2025-July]]),1,-12),"&lt;&gt;0"),0)</f>
        <v>1.2777777777777777</v>
      </c>
      <c r="H184" s="55">
        <f>IFERROR(SMALL(Table1[[#This Row],[2019-Apr]:[2025-July]],COUNTIF(Table1[[#This Row],[2019-Apr]:[2025-July]],0)+1),0)</f>
        <v>0.55000000000000004</v>
      </c>
      <c r="I184" s="55">
        <f>IFERROR(MAX(Table1[[#This Row],[2019-Apr]:[2025-July]]),0)</f>
        <v>5.34</v>
      </c>
      <c r="J184" s="4" cm="1">
        <f t="array" ref="J18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0.61833333333333329</v>
      </c>
      <c r="K184" s="4">
        <v>4.5</v>
      </c>
      <c r="L184" s="4">
        <f>IF(Table1[[#This Row],[Standard as per ISO]]&gt;=Table1[[#This Row],[Avg of best 6]],Table1[[#This Row],[Standard as per ISO]],Table1[[#This Row],[Avg of best 6]])</f>
        <v>4.5</v>
      </c>
      <c r="M184" s="4" cm="1">
        <f t="array" ref="M184">IFERROR(LOOKUP(2,1/(Table1[[#This Row],[2019-May]:[2025-July]]&lt;&gt;0),Table1[[#This Row],[2019-May]:[2025-July]]),0)</f>
        <v>1.1000000000000001</v>
      </c>
      <c r="N184" s="4">
        <f>COUNTIF(Table1[[#This Row],[2019-Apr]:[2025-July]],"&gt;="&amp;Table1[[#This Row],[Target]])</f>
        <v>1</v>
      </c>
      <c r="O184" s="4">
        <f>IF(Table1[[#This Row],[Outliers 2Y]]=0,1,0)</f>
        <v>0</v>
      </c>
      <c r="P184" s="4">
        <f>IF(Table1[[#This Row],[Last value]]&gt;1.5*Table1[[#This Row],[Target]],1,0)</f>
        <v>0</v>
      </c>
      <c r="Q184" s="4">
        <f>IF(AND(1.5*Table1[[#This Row],[Target]]&gt;=Table1[[#This Row],[Last value]],Table1[[#This Row],[Last value]]&gt;Table1[[#This Row],[Target]]),1,0)</f>
        <v>0</v>
      </c>
      <c r="R184" s="4">
        <f>IF(Table1[[#This Row],[Target]]&gt;=Table1[[#This Row],[Last value]],1,0)</f>
        <v>1</v>
      </c>
      <c r="S184" s="4" t="str">
        <f t="shared" si="4"/>
        <v>Green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2.4300000000000002</v>
      </c>
      <c r="Z184">
        <v>1</v>
      </c>
      <c r="AA184">
        <v>1.55</v>
      </c>
      <c r="AB184">
        <v>1.56</v>
      </c>
      <c r="AC184">
        <v>0.56000000000000005</v>
      </c>
      <c r="AD184">
        <v>1.37</v>
      </c>
      <c r="AE184">
        <v>0.6</v>
      </c>
      <c r="AF184">
        <v>0.7</v>
      </c>
      <c r="AG184">
        <v>0.55000000000000004</v>
      </c>
      <c r="AH184">
        <v>0.9</v>
      </c>
      <c r="AI184">
        <v>0.74</v>
      </c>
      <c r="AJ184">
        <v>1.49</v>
      </c>
      <c r="AK184">
        <v>1.72</v>
      </c>
      <c r="AL184">
        <v>0.94</v>
      </c>
      <c r="AM184">
        <v>3.1</v>
      </c>
      <c r="AN184">
        <v>1.39</v>
      </c>
      <c r="AO184">
        <v>2.0299999999999998</v>
      </c>
      <c r="AP184">
        <v>2.69</v>
      </c>
      <c r="AQ184">
        <v>3.01</v>
      </c>
      <c r="AR184" s="8">
        <v>3.09</v>
      </c>
      <c r="AS184" s="8">
        <v>1.73</v>
      </c>
      <c r="AT184" s="8">
        <v>4.2</v>
      </c>
      <c r="AU184" s="3">
        <v>2.63</v>
      </c>
      <c r="AV184" s="3">
        <v>5.34</v>
      </c>
      <c r="AW184" s="3">
        <v>0.99</v>
      </c>
      <c r="AX184" s="3">
        <v>1.17</v>
      </c>
      <c r="AY184" s="3">
        <v>2.4500000000000002</v>
      </c>
      <c r="AZ184" s="3">
        <v>1.9</v>
      </c>
      <c r="BA184" s="3">
        <v>2.8</v>
      </c>
      <c r="BB184" s="3">
        <v>2.6</v>
      </c>
      <c r="BC184">
        <v>1.2</v>
      </c>
      <c r="BD184">
        <v>0</v>
      </c>
      <c r="BE184" s="11">
        <v>1.0069999999999999</v>
      </c>
      <c r="BF184" s="4">
        <v>0</v>
      </c>
      <c r="BG184" s="4">
        <v>1.3819999999999999</v>
      </c>
      <c r="BH184" s="4">
        <v>0.95099999999999996</v>
      </c>
      <c r="BI184" s="4">
        <v>1.1200000000000001</v>
      </c>
      <c r="BJ184" s="14">
        <v>1.3009999999999999</v>
      </c>
      <c r="BK184" s="14">
        <v>1.3680000000000001</v>
      </c>
      <c r="BL184" s="4">
        <v>1.262</v>
      </c>
      <c r="BM184" s="17">
        <v>1.258</v>
      </c>
      <c r="BN184" s="4">
        <v>1.163</v>
      </c>
      <c r="BO184" s="4">
        <v>1.0900000000000001</v>
      </c>
      <c r="BP184" s="4">
        <v>0.84399999999999997</v>
      </c>
      <c r="BQ184" s="4">
        <v>1.667</v>
      </c>
      <c r="BR184" s="4">
        <v>1.667</v>
      </c>
      <c r="BS184" s="4">
        <v>1.02</v>
      </c>
      <c r="BT184" s="4">
        <v>0.89</v>
      </c>
      <c r="BU184" s="4">
        <v>1.232</v>
      </c>
      <c r="BV184" s="4">
        <v>1.319</v>
      </c>
      <c r="BW184" s="4">
        <v>1.776</v>
      </c>
      <c r="BX184" s="4">
        <v>0.82299999999999995</v>
      </c>
      <c r="BY184" s="4">
        <v>1.1259999999999999</v>
      </c>
      <c r="BZ184">
        <v>1.25</v>
      </c>
      <c r="CA184">
        <v>1.1299999999999999</v>
      </c>
      <c r="CB184">
        <v>1.1499999999999999</v>
      </c>
      <c r="CC184">
        <v>1.26</v>
      </c>
      <c r="CD184">
        <v>1.34</v>
      </c>
      <c r="CE184" s="19">
        <v>0</v>
      </c>
      <c r="CF184" s="19">
        <v>0.6</v>
      </c>
      <c r="CG184" s="4">
        <v>1.42</v>
      </c>
      <c r="CH184" s="4">
        <v>1.28</v>
      </c>
      <c r="CI184" s="4">
        <v>0</v>
      </c>
      <c r="CJ184" s="34">
        <v>1.3</v>
      </c>
      <c r="CK184" s="34">
        <v>0.8</v>
      </c>
      <c r="CL184" s="43">
        <v>0</v>
      </c>
      <c r="CM184" s="4">
        <v>2.5</v>
      </c>
      <c r="CN184" s="53">
        <v>1</v>
      </c>
      <c r="CO184" s="54">
        <v>1.9</v>
      </c>
      <c r="CP184" s="54">
        <v>0.7</v>
      </c>
      <c r="CQ184" s="4">
        <v>1.1000000000000001</v>
      </c>
    </row>
    <row r="185" spans="1:95" x14ac:dyDescent="0.35">
      <c r="A185" s="55">
        <v>184</v>
      </c>
      <c r="B185" t="s">
        <v>99</v>
      </c>
      <c r="C185" s="27" t="s">
        <v>388</v>
      </c>
      <c r="D185" s="3" t="s">
        <v>88</v>
      </c>
      <c r="E185" s="33" t="s">
        <v>91</v>
      </c>
      <c r="F185" s="4">
        <f>IFERROR(AVERAGEIF(Table1[[#This Row],[2019-Apr]:[2025-July]],"&lt;&gt;0"),0)</f>
        <v>0.73621052631578932</v>
      </c>
      <c r="G185" s="4">
        <f ca="1">IFERROR(AVERAGEIF(OFFSET(Table1[[#This Row],[Status]],0,COUNT(Table1[[#This Row],[2019-May]:[2025-July]]),1,-12),"&lt;&gt;0"),0)</f>
        <v>0.66666666666666663</v>
      </c>
      <c r="H185" s="55">
        <f>IFERROR(SMALL(Table1[[#This Row],[2019-Apr]:[2025-July]],COUNTIF(Table1[[#This Row],[2019-Apr]:[2025-July]],0)+1),0)</f>
        <v>0.32</v>
      </c>
      <c r="I185" s="55">
        <f>IFERROR(MAX(Table1[[#This Row],[2019-Apr]:[2025-July]]),0)</f>
        <v>1.96</v>
      </c>
      <c r="J185" s="4" cm="1">
        <f t="array" ref="J18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0.37733333333333335</v>
      </c>
      <c r="K185" s="4">
        <v>4.5</v>
      </c>
      <c r="L185" s="4">
        <f>IF(Table1[[#This Row],[Standard as per ISO]]&gt;=Table1[[#This Row],[Avg of best 6]],Table1[[#This Row],[Standard as per ISO]],Table1[[#This Row],[Avg of best 6]])</f>
        <v>4.5</v>
      </c>
      <c r="M185" s="4" cm="1">
        <f t="array" ref="M185">IFERROR(LOOKUP(2,1/(Table1[[#This Row],[2019-May]:[2025-July]]&lt;&gt;0),Table1[[#This Row],[2019-May]:[2025-July]]),0)</f>
        <v>0.71</v>
      </c>
      <c r="N185" s="4">
        <f>COUNTIF(Table1[[#This Row],[2019-Apr]:[2025-July]],"&gt;="&amp;Table1[[#This Row],[Target]])</f>
        <v>0</v>
      </c>
      <c r="O185" s="4">
        <f>IF(Table1[[#This Row],[Outliers 2Y]]=0,1,0)</f>
        <v>1</v>
      </c>
      <c r="P185" s="4">
        <f>IF(Table1[[#This Row],[Last value]]&gt;1.5*Table1[[#This Row],[Target]],1,0)</f>
        <v>0</v>
      </c>
      <c r="Q185" s="4">
        <f>IF(AND(1.5*Table1[[#This Row],[Target]]&gt;=Table1[[#This Row],[Last value]],Table1[[#This Row],[Last value]]&gt;Table1[[#This Row],[Target]]),1,0)</f>
        <v>0</v>
      </c>
      <c r="R185" s="4">
        <f>IF(Table1[[#This Row],[Target]]&gt;=Table1[[#This Row],[Last value]],1,0)</f>
        <v>1</v>
      </c>
      <c r="S185" s="4" t="str">
        <f t="shared" si="4"/>
        <v>Green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0.57999999999999996</v>
      </c>
      <c r="Z185">
        <v>0.55000000000000004</v>
      </c>
      <c r="AA185">
        <v>0.56000000000000005</v>
      </c>
      <c r="AB185">
        <v>0.58699999999999997</v>
      </c>
      <c r="AC185">
        <v>1.1000000000000001</v>
      </c>
      <c r="AD185">
        <v>1.96</v>
      </c>
      <c r="AE185">
        <v>0.8</v>
      </c>
      <c r="AF185">
        <v>0.89</v>
      </c>
      <c r="AG185">
        <v>0.6</v>
      </c>
      <c r="AH185">
        <v>0.6</v>
      </c>
      <c r="AI185">
        <v>0</v>
      </c>
      <c r="AJ185">
        <v>0.7</v>
      </c>
      <c r="AK185">
        <v>0.9</v>
      </c>
      <c r="AL185">
        <v>0.91</v>
      </c>
      <c r="AM185">
        <v>0.95</v>
      </c>
      <c r="AN185">
        <v>0.7</v>
      </c>
      <c r="AO185">
        <v>0.47</v>
      </c>
      <c r="AP185">
        <v>0.5</v>
      </c>
      <c r="AQ185">
        <v>0.82</v>
      </c>
      <c r="AR185" s="8">
        <v>0.84</v>
      </c>
      <c r="AS185" s="8">
        <v>0.75</v>
      </c>
      <c r="AT185" s="8">
        <v>0.69</v>
      </c>
      <c r="AU185" s="3">
        <v>0.53</v>
      </c>
      <c r="AV185" s="3">
        <v>0.5</v>
      </c>
      <c r="AW185" s="3">
        <v>0.6</v>
      </c>
      <c r="AX185" s="3">
        <v>0.48</v>
      </c>
      <c r="AY185" s="3">
        <v>0.75</v>
      </c>
      <c r="AZ185" s="3">
        <v>0.8</v>
      </c>
      <c r="BA185" s="3">
        <v>0.4</v>
      </c>
      <c r="BB185" s="3">
        <v>0.7</v>
      </c>
      <c r="BC185">
        <v>0.9</v>
      </c>
      <c r="BD185">
        <v>0</v>
      </c>
      <c r="BE185" s="11">
        <v>0.72099999999999997</v>
      </c>
      <c r="BF185" s="4">
        <v>0</v>
      </c>
      <c r="BG185" s="4">
        <v>0.58299999999999996</v>
      </c>
      <c r="BH185" s="4">
        <v>1.022</v>
      </c>
      <c r="BI185" s="4">
        <v>0.83599999999999997</v>
      </c>
      <c r="BJ185" s="13">
        <v>0.84899999999999998</v>
      </c>
      <c r="BK185" s="13">
        <v>0.75900000000000001</v>
      </c>
      <c r="BL185" s="4">
        <v>0.38300000000000001</v>
      </c>
      <c r="BM185" s="16">
        <v>1.6060000000000001</v>
      </c>
      <c r="BN185" s="4">
        <v>1.0469999999999999</v>
      </c>
      <c r="BO185" s="4">
        <v>0.38800000000000001</v>
      </c>
      <c r="BP185" s="4">
        <v>0.80200000000000005</v>
      </c>
      <c r="BQ185" s="4">
        <v>0.38300000000000001</v>
      </c>
      <c r="BR185" s="4">
        <v>0.55600000000000005</v>
      </c>
      <c r="BS185" s="4">
        <v>0.501</v>
      </c>
      <c r="BT185" s="4">
        <v>0.41499999999999998</v>
      </c>
      <c r="BU185" s="4">
        <v>0.84399999999999997</v>
      </c>
      <c r="BV185" s="4">
        <v>1.6040000000000001</v>
      </c>
      <c r="BW185" s="4">
        <v>0.69</v>
      </c>
      <c r="BX185" s="4">
        <v>0.67</v>
      </c>
      <c r="BY185" s="4">
        <v>0.69799999999999995</v>
      </c>
      <c r="BZ185">
        <v>0.94</v>
      </c>
      <c r="CA185">
        <v>0.84</v>
      </c>
      <c r="CB185">
        <v>0.39</v>
      </c>
      <c r="CC185">
        <v>0</v>
      </c>
      <c r="CD185">
        <v>0.32</v>
      </c>
      <c r="CE185" s="19">
        <v>0</v>
      </c>
      <c r="CF185" s="19">
        <v>0.5</v>
      </c>
      <c r="CG185" s="4">
        <v>0.79</v>
      </c>
      <c r="CH185" s="4">
        <v>0.71</v>
      </c>
      <c r="CI185" s="4">
        <v>0</v>
      </c>
      <c r="CJ185" s="34">
        <v>0</v>
      </c>
      <c r="CK185" s="34">
        <v>0</v>
      </c>
      <c r="CL185" s="34">
        <v>0</v>
      </c>
      <c r="CM185" s="4">
        <v>0</v>
      </c>
      <c r="CN185" s="53">
        <v>0</v>
      </c>
      <c r="CO185" s="54">
        <v>0</v>
      </c>
      <c r="CP185" s="54">
        <v>0</v>
      </c>
      <c r="CQ185" s="4">
        <v>0</v>
      </c>
    </row>
    <row r="186" spans="1:95" x14ac:dyDescent="0.35">
      <c r="A186" s="55">
        <v>185</v>
      </c>
      <c r="B186" t="s">
        <v>99</v>
      </c>
      <c r="C186" s="27" t="s">
        <v>389</v>
      </c>
      <c r="D186" s="3" t="s">
        <v>88</v>
      </c>
      <c r="E186" s="33" t="s">
        <v>91</v>
      </c>
      <c r="F186" s="4">
        <f>IFERROR(AVERAGEIF(Table1[[#This Row],[2019-Apr]:[2025-July]],"&lt;&gt;0"),0)</f>
        <v>0.62080701754385959</v>
      </c>
      <c r="G186" s="4">
        <f ca="1">IFERROR(AVERAGEIF(OFFSET(Table1[[#This Row],[Status]],0,COUNT(Table1[[#This Row],[2019-May]:[2025-July]]),1,-12),"&lt;&gt;0"),0)</f>
        <v>0.71500000000000008</v>
      </c>
      <c r="H186" s="55">
        <f>IFERROR(SMALL(Table1[[#This Row],[2019-Apr]:[2025-July]],COUNTIF(Table1[[#This Row],[2019-Apr]:[2025-July]],0)+1),0)</f>
        <v>0.318</v>
      </c>
      <c r="I186" s="55">
        <f>IFERROR(MAX(Table1[[#This Row],[2019-Apr]:[2025-July]]),0)</f>
        <v>1.4590000000000001</v>
      </c>
      <c r="J186" s="4" cm="1">
        <f t="array" ref="J18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0.34383333333333327</v>
      </c>
      <c r="K186" s="4">
        <v>4.5</v>
      </c>
      <c r="L186" s="4">
        <f>IF(Table1[[#This Row],[Standard as per ISO]]&gt;=Table1[[#This Row],[Avg of best 6]],Table1[[#This Row],[Standard as per ISO]],Table1[[#This Row],[Avg of best 6]])</f>
        <v>4.5</v>
      </c>
      <c r="M186" s="4" cm="1">
        <f t="array" ref="M186">IFERROR(LOOKUP(2,1/(Table1[[#This Row],[2019-May]:[2025-July]]&lt;&gt;0),Table1[[#This Row],[2019-May]:[2025-July]]),0)</f>
        <v>0.51</v>
      </c>
      <c r="N186" s="4">
        <f>COUNTIF(Table1[[#This Row],[2019-Apr]:[2025-July]],"&gt;="&amp;Table1[[#This Row],[Target]])</f>
        <v>0</v>
      </c>
      <c r="O186" s="4">
        <f>IF(Table1[[#This Row],[Outliers 2Y]]=0,1,0)</f>
        <v>1</v>
      </c>
      <c r="P186" s="4">
        <f>IF(Table1[[#This Row],[Last value]]&gt;1.5*Table1[[#This Row],[Target]],1,0)</f>
        <v>0</v>
      </c>
      <c r="Q186" s="4">
        <f>IF(AND(1.5*Table1[[#This Row],[Target]]&gt;=Table1[[#This Row],[Last value]],Table1[[#This Row],[Last value]]&gt;Table1[[#This Row],[Target]]),1,0)</f>
        <v>0</v>
      </c>
      <c r="R186" s="4">
        <f>IF(Table1[[#This Row],[Target]]&gt;=Table1[[#This Row],[Last value]],1,0)</f>
        <v>1</v>
      </c>
      <c r="S186" s="4" t="str">
        <f t="shared" si="4"/>
        <v>Green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0.42</v>
      </c>
      <c r="Z186">
        <v>0.4</v>
      </c>
      <c r="AA186">
        <v>0.42</v>
      </c>
      <c r="AB186">
        <v>0.86</v>
      </c>
      <c r="AC186">
        <v>0.5</v>
      </c>
      <c r="AD186">
        <v>0.4</v>
      </c>
      <c r="AE186">
        <v>1.1000000000000001</v>
      </c>
      <c r="AF186">
        <v>0.4</v>
      </c>
      <c r="AG186">
        <v>0.6</v>
      </c>
      <c r="AH186">
        <v>0.6</v>
      </c>
      <c r="AI186">
        <v>0.9</v>
      </c>
      <c r="AJ186">
        <v>1.19</v>
      </c>
      <c r="AK186">
        <v>1.02</v>
      </c>
      <c r="AL186">
        <v>0.54</v>
      </c>
      <c r="AM186">
        <v>0.47</v>
      </c>
      <c r="AN186">
        <v>0.38</v>
      </c>
      <c r="AO186">
        <v>0.37</v>
      </c>
      <c r="AP186">
        <v>1.1299999999999999</v>
      </c>
      <c r="AQ186">
        <v>0.98</v>
      </c>
      <c r="AR186" s="8">
        <v>0.56999999999999995</v>
      </c>
      <c r="AS186" s="8">
        <v>0.98</v>
      </c>
      <c r="AT186" s="8">
        <v>0</v>
      </c>
      <c r="AU186" s="3">
        <v>0.48</v>
      </c>
      <c r="AV186" s="3">
        <v>0.45</v>
      </c>
      <c r="AW186" s="3">
        <v>0.39</v>
      </c>
      <c r="AX186" s="3">
        <v>0.53</v>
      </c>
      <c r="AY186" s="3">
        <v>0.46</v>
      </c>
      <c r="AZ186" s="3">
        <v>0.46</v>
      </c>
      <c r="BA186" s="3">
        <v>0.5</v>
      </c>
      <c r="BB186" s="3">
        <v>0.4</v>
      </c>
      <c r="BC186">
        <v>0.8</v>
      </c>
      <c r="BD186">
        <v>0</v>
      </c>
      <c r="BE186" s="11">
        <v>0.59199999999999997</v>
      </c>
      <c r="BF186" s="4">
        <v>0</v>
      </c>
      <c r="BG186" s="4">
        <v>0.93600000000000005</v>
      </c>
      <c r="BH186" s="4">
        <v>0.629</v>
      </c>
      <c r="BI186" s="4">
        <v>0.54800000000000004</v>
      </c>
      <c r="BJ186" s="14">
        <v>0.33200000000000002</v>
      </c>
      <c r="BK186" s="14">
        <v>0.52400000000000002</v>
      </c>
      <c r="BL186" s="4">
        <v>0.433</v>
      </c>
      <c r="BM186" s="17">
        <v>0.34799999999999998</v>
      </c>
      <c r="BN186" s="4">
        <v>0.36499999999999999</v>
      </c>
      <c r="BO186" s="4">
        <v>0.318</v>
      </c>
      <c r="BP186" s="4">
        <v>0.33</v>
      </c>
      <c r="BQ186" s="4">
        <v>0.41699999999999998</v>
      </c>
      <c r="BR186" s="4">
        <v>0.63400000000000001</v>
      </c>
      <c r="BS186" s="4">
        <v>0.66600000000000004</v>
      </c>
      <c r="BT186" s="4">
        <v>0.53800000000000003</v>
      </c>
      <c r="BU186" s="4">
        <v>0.43099999999999999</v>
      </c>
      <c r="BV186" s="4">
        <v>1.4590000000000001</v>
      </c>
      <c r="BW186" s="4">
        <v>0.432</v>
      </c>
      <c r="BX186" s="4">
        <v>1.403</v>
      </c>
      <c r="BY186" s="4">
        <v>0.38100000000000001</v>
      </c>
      <c r="BZ186">
        <v>0.73</v>
      </c>
      <c r="CA186">
        <v>0.97</v>
      </c>
      <c r="CB186">
        <v>0.39</v>
      </c>
      <c r="CC186">
        <v>0.41</v>
      </c>
      <c r="CD186">
        <v>1.04</v>
      </c>
      <c r="CE186" s="19">
        <v>0</v>
      </c>
      <c r="CF186" s="19">
        <v>0</v>
      </c>
      <c r="CG186" s="4">
        <v>0.92</v>
      </c>
      <c r="CH186" s="4">
        <v>0.51</v>
      </c>
      <c r="CI186" s="4">
        <v>0</v>
      </c>
      <c r="CJ186" s="34">
        <v>0</v>
      </c>
      <c r="CK186" s="34">
        <v>0</v>
      </c>
      <c r="CL186" s="34">
        <v>0</v>
      </c>
      <c r="CM186" s="4">
        <v>0</v>
      </c>
      <c r="CN186" s="53">
        <v>0</v>
      </c>
      <c r="CO186" s="54">
        <v>0</v>
      </c>
      <c r="CP186" s="54">
        <v>0</v>
      </c>
      <c r="CQ186" s="4">
        <v>0</v>
      </c>
    </row>
    <row r="187" spans="1:95" x14ac:dyDescent="0.35">
      <c r="A187" s="55">
        <v>186</v>
      </c>
      <c r="B187" t="s">
        <v>99</v>
      </c>
      <c r="C187" s="27" t="s">
        <v>390</v>
      </c>
      <c r="D187" s="3" t="s">
        <v>88</v>
      </c>
      <c r="E187" s="33" t="s">
        <v>91</v>
      </c>
      <c r="F187" s="4">
        <f>IFERROR(AVERAGEIF(Table1[[#This Row],[2019-Apr]:[2025-July]],"&lt;&gt;0"),0)</f>
        <v>1.4847499999999993</v>
      </c>
      <c r="G187" s="4">
        <f ca="1">IFERROR(AVERAGEIF(OFFSET(Table1[[#This Row],[Status]],0,COUNT(Table1[[#This Row],[2019-May]:[2025-July]]),1,-12),"&lt;&gt;0"),0)</f>
        <v>1.5</v>
      </c>
      <c r="H187" s="55">
        <f>IFERROR(SMALL(Table1[[#This Row],[2019-Apr]:[2025-July]],COUNTIF(Table1[[#This Row],[2019-Apr]:[2025-July]],0)+1),0)</f>
        <v>0.32300000000000001</v>
      </c>
      <c r="I187" s="55">
        <f>IFERROR(MAX(Table1[[#This Row],[2019-Apr]:[2025-July]]),0)</f>
        <v>4.0599999999999996</v>
      </c>
      <c r="J187" s="4" cm="1">
        <f t="array" ref="J18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0.37400000000000005</v>
      </c>
      <c r="K187" s="4">
        <v>4.5</v>
      </c>
      <c r="L187" s="4">
        <f>IF(Table1[[#This Row],[Standard as per ISO]]&gt;=Table1[[#This Row],[Avg of best 6]],Table1[[#This Row],[Standard as per ISO]],Table1[[#This Row],[Avg of best 6]])</f>
        <v>4.5</v>
      </c>
      <c r="M187" s="4" cm="1">
        <f t="array" ref="M187">IFERROR(LOOKUP(2,1/(Table1[[#This Row],[2019-May]:[2025-July]]&lt;&gt;0),Table1[[#This Row],[2019-May]:[2025-July]]),0)</f>
        <v>1.49</v>
      </c>
      <c r="N187" s="4">
        <f>COUNTIF(Table1[[#This Row],[2019-Apr]:[2025-July]],"&gt;="&amp;Table1[[#This Row],[Target]])</f>
        <v>0</v>
      </c>
      <c r="O187" s="4">
        <f>IF(Table1[[#This Row],[Outliers 2Y]]=0,1,0)</f>
        <v>1</v>
      </c>
      <c r="P187" s="4">
        <f>IF(Table1[[#This Row],[Last value]]&gt;1.5*Table1[[#This Row],[Target]],1,0)</f>
        <v>0</v>
      </c>
      <c r="Q187" s="4">
        <f>IF(AND(1.5*Table1[[#This Row],[Target]]&gt;=Table1[[#This Row],[Last value]],Table1[[#This Row],[Last value]]&gt;Table1[[#This Row],[Target]]),1,0)</f>
        <v>0</v>
      </c>
      <c r="R187" s="4">
        <f>IF(Table1[[#This Row],[Target]]&gt;=Table1[[#This Row],[Last value]],1,0)</f>
        <v>1</v>
      </c>
      <c r="S187" s="4" t="str">
        <f t="shared" si="4"/>
        <v>Green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2.3199999999999998</v>
      </c>
      <c r="Z187" s="5">
        <v>1.2</v>
      </c>
      <c r="AA187">
        <v>1.44</v>
      </c>
      <c r="AB187">
        <v>2.2999999999999998</v>
      </c>
      <c r="AC187">
        <v>1.61</v>
      </c>
      <c r="AD187">
        <v>0.7</v>
      </c>
      <c r="AE187">
        <v>0.5</v>
      </c>
      <c r="AF187">
        <v>2.5</v>
      </c>
      <c r="AG187">
        <v>2.79</v>
      </c>
      <c r="AH187">
        <v>1.9</v>
      </c>
      <c r="AI187">
        <v>2.0099999999999998</v>
      </c>
      <c r="AJ187">
        <v>4.0599999999999996</v>
      </c>
      <c r="AK187">
        <v>1.86</v>
      </c>
      <c r="AL187">
        <v>1.25</v>
      </c>
      <c r="AM187">
        <v>0.79</v>
      </c>
      <c r="AN187">
        <v>0.81</v>
      </c>
      <c r="AO187">
        <v>1.9</v>
      </c>
      <c r="AP187">
        <v>1.64</v>
      </c>
      <c r="AQ187">
        <v>2.48</v>
      </c>
      <c r="AR187" s="8">
        <v>1.5</v>
      </c>
      <c r="AS187" s="8">
        <v>2.23</v>
      </c>
      <c r="AT187" s="8">
        <v>1.67</v>
      </c>
      <c r="AU187" s="3">
        <v>1.96</v>
      </c>
      <c r="AV187" s="3">
        <v>1.44</v>
      </c>
      <c r="AW187" s="3">
        <v>1.58</v>
      </c>
      <c r="AX187" s="3">
        <v>2.15</v>
      </c>
      <c r="AY187" s="3">
        <v>2.34</v>
      </c>
      <c r="AZ187" s="3">
        <v>0</v>
      </c>
      <c r="BA187" s="3">
        <v>1.8</v>
      </c>
      <c r="BB187" s="3">
        <v>0.7</v>
      </c>
      <c r="BC187">
        <v>1.9</v>
      </c>
      <c r="BD187">
        <v>0</v>
      </c>
      <c r="BE187" s="11">
        <v>1.641</v>
      </c>
      <c r="BF187" s="4">
        <v>0</v>
      </c>
      <c r="BG187" s="4">
        <v>0</v>
      </c>
      <c r="BH187" s="4">
        <v>1.347</v>
      </c>
      <c r="BI187" s="4">
        <v>1.7230000000000001</v>
      </c>
      <c r="BJ187" s="13">
        <v>0.40699999999999997</v>
      </c>
      <c r="BK187" s="13">
        <v>1.62</v>
      </c>
      <c r="BL187" s="4">
        <v>0.53</v>
      </c>
      <c r="BM187" s="16">
        <v>1.425</v>
      </c>
      <c r="BN187" s="4">
        <v>0.42699999999999999</v>
      </c>
      <c r="BO187" s="4">
        <v>1.3180000000000001</v>
      </c>
      <c r="BP187" s="4">
        <v>0.80900000000000005</v>
      </c>
      <c r="BQ187" s="4">
        <v>0.39800000000000002</v>
      </c>
      <c r="BR187" s="4">
        <v>0.499</v>
      </c>
      <c r="BS187" s="4">
        <v>0.63100000000000001</v>
      </c>
      <c r="BT187" s="4">
        <v>0.32300000000000001</v>
      </c>
      <c r="BU187" s="4">
        <v>0.622</v>
      </c>
      <c r="BV187" s="4">
        <v>1.6879999999999999</v>
      </c>
      <c r="BW187" s="4">
        <v>0.35899999999999999</v>
      </c>
      <c r="BX187" s="4">
        <v>3.0289999999999999</v>
      </c>
      <c r="BY187" s="4">
        <v>1.28</v>
      </c>
      <c r="BZ187">
        <v>1.59</v>
      </c>
      <c r="CA187">
        <v>1.53</v>
      </c>
      <c r="CB187">
        <v>0.33</v>
      </c>
      <c r="CC187">
        <v>1.62</v>
      </c>
      <c r="CD187">
        <v>1.67</v>
      </c>
      <c r="CE187" s="19">
        <v>0</v>
      </c>
      <c r="CF187" s="19">
        <v>0</v>
      </c>
      <c r="CG187" s="4">
        <v>1.51</v>
      </c>
      <c r="CH187" s="4">
        <v>1.49</v>
      </c>
      <c r="CI187" s="4">
        <v>0</v>
      </c>
      <c r="CJ187" s="34">
        <v>0</v>
      </c>
      <c r="CK187" s="34">
        <v>0</v>
      </c>
      <c r="CL187" s="34">
        <v>0</v>
      </c>
      <c r="CM187" s="4">
        <v>0</v>
      </c>
      <c r="CN187" s="53">
        <v>0</v>
      </c>
      <c r="CO187" s="54">
        <v>0</v>
      </c>
      <c r="CP187" s="54">
        <v>0</v>
      </c>
      <c r="CQ187" s="4">
        <v>0</v>
      </c>
    </row>
    <row r="188" spans="1:95" x14ac:dyDescent="0.35">
      <c r="A188" s="55">
        <v>187</v>
      </c>
      <c r="B188" t="s">
        <v>99</v>
      </c>
      <c r="C188" s="27" t="s">
        <v>391</v>
      </c>
      <c r="D188" s="3" t="s">
        <v>92</v>
      </c>
      <c r="E188" s="33" t="s">
        <v>89</v>
      </c>
      <c r="F188" s="4">
        <f>IFERROR(AVERAGEIF(Table1[[#This Row],[2019-Apr]:[2025-July]],"&lt;&gt;0"),0)</f>
        <v>10.429340425531917</v>
      </c>
      <c r="G188" s="4">
        <f ca="1">IFERROR(AVERAGEIF(OFFSET(Table1[[#This Row],[Status]],0,COUNT(Table1[[#This Row],[2019-May]:[2025-July]]),1,-12),"&lt;&gt;0"),0)</f>
        <v>11.503333333333332</v>
      </c>
      <c r="H188" s="55">
        <f>IFERROR(SMALL(Table1[[#This Row],[2019-Apr]:[2025-July]],COUNTIF(Table1[[#This Row],[2019-Apr]:[2025-July]],0)+1),0)</f>
        <v>5.99</v>
      </c>
      <c r="I188" s="55">
        <f>IFERROR(MAX(Table1[[#This Row],[2019-Apr]:[2025-July]]),0)</f>
        <v>20.3</v>
      </c>
      <c r="J188" s="4" cm="1">
        <f t="array" ref="J18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6.5650000000000004</v>
      </c>
      <c r="K188" s="4">
        <v>4.5</v>
      </c>
      <c r="L188" s="4">
        <f>IF(Table1[[#This Row],[Standard as per ISO]]&gt;=Table1[[#This Row],[Avg of best 6]],Table1[[#This Row],[Standard as per ISO]],Table1[[#This Row],[Avg of best 6]])</f>
        <v>6.5650000000000004</v>
      </c>
      <c r="M188" s="4" cm="1">
        <f t="array" ref="M188">IFERROR(LOOKUP(2,1/(Table1[[#This Row],[2019-May]:[2025-July]]&lt;&gt;0),Table1[[#This Row],[2019-May]:[2025-July]]),0)</f>
        <v>12.9</v>
      </c>
      <c r="N188" s="4">
        <f>COUNTIF(Table1[[#This Row],[2019-Apr]:[2025-July]],"&gt;="&amp;Table1[[#This Row],[Target]])</f>
        <v>44</v>
      </c>
      <c r="O188" s="4">
        <f>IF(Table1[[#This Row],[Outliers 2Y]]=0,1,0)</f>
        <v>0</v>
      </c>
      <c r="P188" s="4">
        <f>IF(Table1[[#This Row],[Last value]]&gt;1.5*Table1[[#This Row],[Target]],1,0)</f>
        <v>1</v>
      </c>
      <c r="Q188" s="4">
        <f>IF(AND(1.5*Table1[[#This Row],[Target]]&gt;=Table1[[#This Row],[Last value]],Table1[[#This Row],[Last value]]&gt;Table1[[#This Row],[Target]]),1,0)</f>
        <v>0</v>
      </c>
      <c r="R188" s="4">
        <f>IF(Table1[[#This Row],[Target]]&gt;=Table1[[#This Row],[Last value]],1,0)</f>
        <v>0</v>
      </c>
      <c r="S188" s="4" t="str">
        <f t="shared" si="4"/>
        <v>Red</v>
      </c>
      <c r="T188">
        <v>0</v>
      </c>
      <c r="U188">
        <v>0</v>
      </c>
      <c r="V188">
        <v>0</v>
      </c>
      <c r="W188">
        <v>0</v>
      </c>
      <c r="X188">
        <v>7.6</v>
      </c>
      <c r="Y188">
        <v>8.3699999999999992</v>
      </c>
      <c r="Z188">
        <v>12.8</v>
      </c>
      <c r="AA188">
        <v>0</v>
      </c>
      <c r="AB188">
        <v>11.1</v>
      </c>
      <c r="AC188">
        <v>0</v>
      </c>
      <c r="AD188">
        <v>11.1</v>
      </c>
      <c r="AE188">
        <v>9</v>
      </c>
      <c r="AF188">
        <v>8.1999999999999993</v>
      </c>
      <c r="AG188">
        <v>0</v>
      </c>
      <c r="AH188">
        <v>0</v>
      </c>
      <c r="AI188">
        <v>12.9</v>
      </c>
      <c r="AJ188">
        <v>14.8</v>
      </c>
      <c r="AK188">
        <v>9.4</v>
      </c>
      <c r="AL188">
        <v>0</v>
      </c>
      <c r="AM188">
        <v>12.1</v>
      </c>
      <c r="AN188">
        <v>7.83</v>
      </c>
      <c r="AO188">
        <v>6.93</v>
      </c>
      <c r="AP188">
        <v>8.9</v>
      </c>
      <c r="AQ188">
        <v>7.61</v>
      </c>
      <c r="AR188" s="8">
        <v>8.52</v>
      </c>
      <c r="AS188" s="8">
        <v>9.76</v>
      </c>
      <c r="AT188" s="8">
        <v>0</v>
      </c>
      <c r="AU188" s="3">
        <v>0</v>
      </c>
      <c r="AV188" s="3">
        <v>6.77</v>
      </c>
      <c r="AW188" s="3">
        <v>0</v>
      </c>
      <c r="AX188" s="3">
        <v>0</v>
      </c>
      <c r="AY188" s="3">
        <v>13.2</v>
      </c>
      <c r="AZ188" s="3">
        <v>15.5</v>
      </c>
      <c r="BA188" s="3">
        <v>13.5</v>
      </c>
      <c r="BB188" s="3">
        <v>9.1999999999999993</v>
      </c>
      <c r="BC188" s="3">
        <v>0</v>
      </c>
      <c r="BD188">
        <v>0</v>
      </c>
      <c r="BE188" s="11">
        <v>11.55</v>
      </c>
      <c r="BF188" s="4">
        <v>0</v>
      </c>
      <c r="BG188" s="4">
        <v>11.55</v>
      </c>
      <c r="BH188" s="4">
        <v>12.32</v>
      </c>
      <c r="BI188" s="4">
        <v>11.41</v>
      </c>
      <c r="BJ188" s="14">
        <v>12.82</v>
      </c>
      <c r="BK188" s="14">
        <v>12.03</v>
      </c>
      <c r="BL188" s="4">
        <v>8.8369999999999997</v>
      </c>
      <c r="BM188" s="17">
        <v>0</v>
      </c>
      <c r="BN188" s="4">
        <v>12.4</v>
      </c>
      <c r="BO188" s="4">
        <v>0</v>
      </c>
      <c r="BP188" s="4">
        <v>9.1560000000000006</v>
      </c>
      <c r="BQ188" s="4">
        <v>12.42</v>
      </c>
      <c r="BR188" s="4">
        <v>8.0530000000000008</v>
      </c>
      <c r="BS188" s="4">
        <v>9.1780000000000008</v>
      </c>
      <c r="BT188" s="4">
        <v>8.8119999999999994</v>
      </c>
      <c r="BU188" s="4">
        <v>0</v>
      </c>
      <c r="BV188" s="4">
        <v>12.68</v>
      </c>
      <c r="BW188" s="4">
        <v>8.4749999999999996</v>
      </c>
      <c r="BX188" s="4">
        <v>7.718</v>
      </c>
      <c r="BY188" s="4">
        <v>0</v>
      </c>
      <c r="BZ188">
        <v>7.77</v>
      </c>
      <c r="CA188">
        <v>5.99</v>
      </c>
      <c r="CB188">
        <v>0</v>
      </c>
      <c r="CC188">
        <v>0</v>
      </c>
      <c r="CD188">
        <v>0</v>
      </c>
      <c r="CE188" s="19">
        <v>6.1</v>
      </c>
      <c r="CF188" s="19">
        <v>6</v>
      </c>
      <c r="CG188" s="4">
        <v>8.1199999999999992</v>
      </c>
      <c r="CH188" s="4">
        <v>0</v>
      </c>
      <c r="CI188" s="4">
        <v>0</v>
      </c>
      <c r="CJ188" s="34">
        <v>0</v>
      </c>
      <c r="CK188" s="34">
        <v>20.3</v>
      </c>
      <c r="CL188" s="43">
        <v>0</v>
      </c>
      <c r="CM188" s="4">
        <v>0</v>
      </c>
      <c r="CN188" s="53">
        <v>16.2</v>
      </c>
      <c r="CO188" s="54">
        <v>0</v>
      </c>
      <c r="CP188" s="54">
        <v>12.3</v>
      </c>
      <c r="CQ188" s="4">
        <v>12.9</v>
      </c>
    </row>
    <row r="189" spans="1:95" x14ac:dyDescent="0.35">
      <c r="A189" s="55">
        <v>188</v>
      </c>
      <c r="B189" t="s">
        <v>99</v>
      </c>
      <c r="C189" s="27" t="s">
        <v>392</v>
      </c>
      <c r="D189" s="3" t="s">
        <v>92</v>
      </c>
      <c r="E189" s="33" t="s">
        <v>89</v>
      </c>
      <c r="F189" s="4">
        <f>IFERROR(AVERAGEIF(Table1[[#This Row],[2019-Apr]:[2025-July]],"&lt;&gt;0"),0)</f>
        <v>8.9262678571428573</v>
      </c>
      <c r="G189" s="4">
        <f ca="1">IFERROR(AVERAGEIF(OFFSET(Table1[[#This Row],[Status]],0,COUNT(Table1[[#This Row],[2019-May]:[2025-July]]),1,-12),"&lt;&gt;0"),0)</f>
        <v>9.9450000000000003</v>
      </c>
      <c r="H189" s="55">
        <f>IFERROR(SMALL(Table1[[#This Row],[2019-Apr]:[2025-July]],COUNTIF(Table1[[#This Row],[2019-Apr]:[2025-July]],0)+1),0)</f>
        <v>3.71</v>
      </c>
      <c r="I189" s="55">
        <f>IFERROR(MAX(Table1[[#This Row],[2019-Apr]:[2025-July]]),0)</f>
        <v>17.22</v>
      </c>
      <c r="J189" s="4" cm="1">
        <f t="array" ref="J18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4.6500000000000004</v>
      </c>
      <c r="K189" s="4">
        <v>4.5</v>
      </c>
      <c r="L189" s="4">
        <f>IF(Table1[[#This Row],[Standard as per ISO]]&gt;=Table1[[#This Row],[Avg of best 6]],Table1[[#This Row],[Standard as per ISO]],Table1[[#This Row],[Avg of best 6]])</f>
        <v>4.6500000000000004</v>
      </c>
      <c r="M189" s="4" cm="1">
        <f t="array" ref="M189">IFERROR(LOOKUP(2,1/(Table1[[#This Row],[2019-May]:[2025-July]]&lt;&gt;0),Table1[[#This Row],[2019-May]:[2025-July]]),0)</f>
        <v>10</v>
      </c>
      <c r="N189" s="4">
        <f>COUNTIF(Table1[[#This Row],[2019-Apr]:[2025-July]],"&gt;="&amp;Table1[[#This Row],[Target]])</f>
        <v>54</v>
      </c>
      <c r="O189" s="4">
        <f>IF(Table1[[#This Row],[Outliers 2Y]]=0,1,0)</f>
        <v>0</v>
      </c>
      <c r="P189" s="4">
        <f>IF(Table1[[#This Row],[Last value]]&gt;1.5*Table1[[#This Row],[Target]],1,0)</f>
        <v>1</v>
      </c>
      <c r="Q189" s="4">
        <f>IF(AND(1.5*Table1[[#This Row],[Target]]&gt;=Table1[[#This Row],[Last value]],Table1[[#This Row],[Last value]]&gt;Table1[[#This Row],[Target]]),1,0)</f>
        <v>0</v>
      </c>
      <c r="R189" s="4">
        <f>IF(Table1[[#This Row],[Target]]&gt;=Table1[[#This Row],[Last value]],1,0)</f>
        <v>0</v>
      </c>
      <c r="S189" s="4" t="str">
        <f t="shared" si="4"/>
        <v>Red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7.22</v>
      </c>
      <c r="Z189">
        <v>8.6999999999999993</v>
      </c>
      <c r="AA189">
        <v>5.6</v>
      </c>
      <c r="AB189">
        <v>9.4600000000000009</v>
      </c>
      <c r="AC189">
        <v>7.93</v>
      </c>
      <c r="AD189">
        <v>8.26</v>
      </c>
      <c r="AE189">
        <v>7.1</v>
      </c>
      <c r="AF189">
        <v>5.5</v>
      </c>
      <c r="AG189">
        <v>4.9800000000000004</v>
      </c>
      <c r="AH189">
        <v>4.2</v>
      </c>
      <c r="AI189">
        <v>4.67</v>
      </c>
      <c r="AJ189">
        <v>0</v>
      </c>
      <c r="AK189">
        <v>6.35</v>
      </c>
      <c r="AL189">
        <v>0</v>
      </c>
      <c r="AM189">
        <v>8.5399999999999991</v>
      </c>
      <c r="AN189">
        <v>7.06</v>
      </c>
      <c r="AO189">
        <v>4.84</v>
      </c>
      <c r="AP189">
        <v>12.3</v>
      </c>
      <c r="AQ189">
        <v>0</v>
      </c>
      <c r="AR189" s="8">
        <v>7.02</v>
      </c>
      <c r="AS189" s="8">
        <v>6.23</v>
      </c>
      <c r="AT189" s="8">
        <v>11.7</v>
      </c>
      <c r="AU189" s="3">
        <v>6.71</v>
      </c>
      <c r="AV189" s="3">
        <v>6.75</v>
      </c>
      <c r="AW189" s="3">
        <v>6.83</v>
      </c>
      <c r="AX189" s="3">
        <v>12.7</v>
      </c>
      <c r="AY189" s="3">
        <v>12.3</v>
      </c>
      <c r="AZ189" s="3">
        <v>11.8</v>
      </c>
      <c r="BA189" s="3">
        <v>8.5</v>
      </c>
      <c r="BB189" s="3">
        <v>8.1</v>
      </c>
      <c r="BC189">
        <v>8.1999999999999993</v>
      </c>
      <c r="BD189">
        <v>0</v>
      </c>
      <c r="BE189" s="11">
        <v>10.73</v>
      </c>
      <c r="BF189" s="4">
        <v>0</v>
      </c>
      <c r="BG189" s="4">
        <v>10.73</v>
      </c>
      <c r="BH189" s="4">
        <v>6.7919999999999998</v>
      </c>
      <c r="BI189" s="4">
        <v>6.4359999999999999</v>
      </c>
      <c r="BJ189" s="13">
        <v>10.38</v>
      </c>
      <c r="BK189" s="13">
        <v>0</v>
      </c>
      <c r="BL189" s="4">
        <v>10.38</v>
      </c>
      <c r="BM189" s="16">
        <v>14.14</v>
      </c>
      <c r="BN189" s="4">
        <v>13.31</v>
      </c>
      <c r="BO189" s="4">
        <v>3.71</v>
      </c>
      <c r="BP189" s="4">
        <v>9.98</v>
      </c>
      <c r="BQ189" s="4">
        <v>9.7439999999999998</v>
      </c>
      <c r="BR189" s="4">
        <v>14.32</v>
      </c>
      <c r="BS189" s="4">
        <v>17.22</v>
      </c>
      <c r="BT189" s="4">
        <v>9.9149999999999991</v>
      </c>
      <c r="BU189" s="4">
        <v>6.6239999999999997</v>
      </c>
      <c r="BV189" s="4">
        <v>11.77</v>
      </c>
      <c r="BW189" s="4">
        <v>9.6769999999999996</v>
      </c>
      <c r="BX189" s="4">
        <v>0</v>
      </c>
      <c r="BY189" s="4">
        <v>8.4329999999999998</v>
      </c>
      <c r="BZ189">
        <v>0</v>
      </c>
      <c r="CA189">
        <v>0</v>
      </c>
      <c r="CB189">
        <v>6.47</v>
      </c>
      <c r="CC189">
        <v>0</v>
      </c>
      <c r="CD189">
        <v>0</v>
      </c>
      <c r="CE189" s="19">
        <v>0</v>
      </c>
      <c r="CF189" s="19">
        <v>0</v>
      </c>
      <c r="CG189" s="4">
        <v>0</v>
      </c>
      <c r="CH189" s="4">
        <v>13.96</v>
      </c>
      <c r="CI189" s="4">
        <v>0</v>
      </c>
      <c r="CJ189" s="34">
        <v>10.8</v>
      </c>
      <c r="CK189" s="34">
        <v>7.3</v>
      </c>
      <c r="CL189" s="43">
        <v>10.1</v>
      </c>
      <c r="CM189" s="4">
        <v>9.3000000000000007</v>
      </c>
      <c r="CN189" s="53">
        <v>8.6999999999999993</v>
      </c>
      <c r="CO189" s="54">
        <v>9.1</v>
      </c>
      <c r="CP189" s="54">
        <v>10.3</v>
      </c>
      <c r="CQ189" s="4">
        <v>10</v>
      </c>
    </row>
    <row r="190" spans="1:95" x14ac:dyDescent="0.35">
      <c r="A190" s="55">
        <v>189</v>
      </c>
      <c r="B190" t="s">
        <v>99</v>
      </c>
      <c r="C190" s="27" t="s">
        <v>393</v>
      </c>
      <c r="D190" s="3" t="s">
        <v>92</v>
      </c>
      <c r="E190" s="33" t="s">
        <v>89</v>
      </c>
      <c r="F190" s="4">
        <f>IFERROR(AVERAGEIF(Table1[[#This Row],[2019-Apr]:[2025-July]],"&lt;&gt;0"),0)</f>
        <v>11.810424242424244</v>
      </c>
      <c r="G190" s="4">
        <f ca="1">IFERROR(AVERAGEIF(OFFSET(Table1[[#This Row],[Status]],0,COUNT(Table1[[#This Row],[2019-May]:[2025-July]]),1,-12),"&lt;&gt;0"),0)</f>
        <v>14.233333333333333</v>
      </c>
      <c r="H190" s="55">
        <f>IFERROR(SMALL(Table1[[#This Row],[2019-Apr]:[2025-July]],COUNTIF(Table1[[#This Row],[2019-Apr]:[2025-July]],0)+1),0)</f>
        <v>5.37</v>
      </c>
      <c r="I190" s="55">
        <f>IFERROR(MAX(Table1[[#This Row],[2019-Apr]:[2025-July]]),0)</f>
        <v>20.5</v>
      </c>
      <c r="J190" s="4" cm="1">
        <f t="array" ref="J19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6.2901666666666669</v>
      </c>
      <c r="K190" s="4">
        <v>4.5</v>
      </c>
      <c r="L190" s="4">
        <f>IF(Table1[[#This Row],[Standard as per ISO]]&gt;=Table1[[#This Row],[Avg of best 6]],Table1[[#This Row],[Standard as per ISO]],Table1[[#This Row],[Avg of best 6]])</f>
        <v>6.2901666666666669</v>
      </c>
      <c r="M190" s="4" cm="1">
        <f t="array" ref="M190">IFERROR(LOOKUP(2,1/(Table1[[#This Row],[2019-May]:[2025-July]]&lt;&gt;0),Table1[[#This Row],[2019-May]:[2025-July]]),0)</f>
        <v>13.6</v>
      </c>
      <c r="N190" s="4">
        <f>COUNTIF(Table1[[#This Row],[2019-Apr]:[2025-July]],"&gt;="&amp;Table1[[#This Row],[Target]])</f>
        <v>31</v>
      </c>
      <c r="O190" s="4">
        <f>IF(Table1[[#This Row],[Outliers 2Y]]=0,1,0)</f>
        <v>0</v>
      </c>
      <c r="P190" s="4">
        <f>IF(Table1[[#This Row],[Last value]]&gt;1.5*Table1[[#This Row],[Target]],1,0)</f>
        <v>1</v>
      </c>
      <c r="Q190" s="4">
        <f>IF(AND(1.5*Table1[[#This Row],[Target]]&gt;=Table1[[#This Row],[Last value]],Table1[[#This Row],[Last value]]&gt;Table1[[#This Row],[Target]]),1,0)</f>
        <v>0</v>
      </c>
      <c r="R190" s="4">
        <f>IF(Table1[[#This Row],[Target]]&gt;=Table1[[#This Row],[Last value]],1,0)</f>
        <v>0</v>
      </c>
      <c r="S190" s="4" t="str">
        <f t="shared" si="4"/>
        <v>Red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11.3</v>
      </c>
      <c r="AA190">
        <v>13.6</v>
      </c>
      <c r="AB190">
        <v>9.67</v>
      </c>
      <c r="AC190">
        <v>5.37</v>
      </c>
      <c r="AD190">
        <v>0</v>
      </c>
      <c r="AE190">
        <v>0</v>
      </c>
      <c r="AF190">
        <v>10.9</v>
      </c>
      <c r="AG190">
        <v>6.08</v>
      </c>
      <c r="AH190">
        <v>6.3</v>
      </c>
      <c r="AI190">
        <v>0</v>
      </c>
      <c r="AJ190">
        <v>10.1</v>
      </c>
      <c r="AK190">
        <v>14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13.9</v>
      </c>
      <c r="AR190" s="8">
        <v>0</v>
      </c>
      <c r="AS190" s="8">
        <v>0</v>
      </c>
      <c r="AT190" s="8">
        <v>14.3</v>
      </c>
      <c r="AU190" s="3">
        <v>14.3</v>
      </c>
      <c r="AV190" s="3">
        <v>9.36</v>
      </c>
      <c r="AW190" s="3">
        <v>20.5</v>
      </c>
      <c r="AX190" s="3">
        <v>7.17</v>
      </c>
      <c r="AY190" s="3">
        <v>0</v>
      </c>
      <c r="AZ190" s="3">
        <v>0</v>
      </c>
      <c r="BA190" s="3">
        <v>0</v>
      </c>
      <c r="BB190" s="3">
        <v>0</v>
      </c>
      <c r="BC190">
        <v>13.4</v>
      </c>
      <c r="BD190">
        <v>0</v>
      </c>
      <c r="BE190" s="11">
        <v>11.84</v>
      </c>
      <c r="BF190" s="4">
        <v>0</v>
      </c>
      <c r="BG190" s="4">
        <v>0</v>
      </c>
      <c r="BH190" s="4">
        <v>8.2910000000000004</v>
      </c>
      <c r="BI190" s="4">
        <v>0</v>
      </c>
      <c r="BJ190" s="14">
        <v>0</v>
      </c>
      <c r="BK190" s="14">
        <v>13.43</v>
      </c>
      <c r="BL190" s="4">
        <v>0</v>
      </c>
      <c r="BM190" s="17">
        <v>11.52</v>
      </c>
      <c r="BN190" s="4">
        <v>0</v>
      </c>
      <c r="BO190" s="4">
        <v>16.690000000000001</v>
      </c>
      <c r="BP190" s="4">
        <v>13.93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6.9710000000000001</v>
      </c>
      <c r="BY190" s="4">
        <v>7.7320000000000002</v>
      </c>
      <c r="BZ190">
        <v>15.72</v>
      </c>
      <c r="CA190">
        <v>11.45</v>
      </c>
      <c r="CB190">
        <v>6.52</v>
      </c>
      <c r="CC190">
        <v>0</v>
      </c>
      <c r="CD190">
        <v>0</v>
      </c>
      <c r="CE190" s="19">
        <v>0</v>
      </c>
      <c r="CF190" s="19">
        <v>6.5</v>
      </c>
      <c r="CG190" s="4">
        <v>13.49</v>
      </c>
      <c r="CH190" s="4">
        <v>18.010000000000002</v>
      </c>
      <c r="CI190" s="4">
        <v>0</v>
      </c>
      <c r="CJ190" s="34">
        <v>15.4</v>
      </c>
      <c r="CK190" s="34">
        <v>0</v>
      </c>
      <c r="CL190" s="43">
        <v>18.399999999999999</v>
      </c>
      <c r="CM190" s="4">
        <v>0</v>
      </c>
      <c r="CN190" s="53">
        <v>0</v>
      </c>
      <c r="CO190" s="54">
        <v>13.6</v>
      </c>
      <c r="CP190" s="54">
        <v>0</v>
      </c>
      <c r="CQ190" s="4">
        <v>0</v>
      </c>
    </row>
    <row r="191" spans="1:95" x14ac:dyDescent="0.35">
      <c r="A191" s="55">
        <v>190</v>
      </c>
      <c r="B191" t="s">
        <v>99</v>
      </c>
      <c r="C191" s="27" t="s">
        <v>394</v>
      </c>
      <c r="D191" s="3" t="s">
        <v>88</v>
      </c>
      <c r="E191" s="33" t="s">
        <v>89</v>
      </c>
      <c r="F191" s="4">
        <f>IFERROR(AVERAGEIF(Table1[[#This Row],[2019-Apr]:[2025-July]],"&lt;&gt;0"),0)</f>
        <v>1.754542857142857</v>
      </c>
      <c r="G191" s="4">
        <f ca="1">IFERROR(AVERAGEIF(OFFSET(Table1[[#This Row],[Status]],0,COUNT(Table1[[#This Row],[2019-May]:[2025-July]]),1,-12),"&lt;&gt;0"),0)</f>
        <v>2.1208333333333331</v>
      </c>
      <c r="H191" s="55">
        <f>IFERROR(SMALL(Table1[[#This Row],[2019-Apr]:[2025-July]],COUNTIF(Table1[[#This Row],[2019-Apr]:[2025-July]],0)+1),0)</f>
        <v>0.68799999999999994</v>
      </c>
      <c r="I191" s="55">
        <f>IFERROR(MAX(Table1[[#This Row],[2019-Apr]:[2025-July]]),0)</f>
        <v>4.07</v>
      </c>
      <c r="J191" s="4" cm="1">
        <f t="array" ref="J19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0.7456666666666667</v>
      </c>
      <c r="K191" s="4">
        <v>4.5</v>
      </c>
      <c r="L191" s="4">
        <f>IF(Table1[[#This Row],[Standard as per ISO]]&gt;=Table1[[#This Row],[Avg of best 6]],Table1[[#This Row],[Standard as per ISO]],Table1[[#This Row],[Avg of best 6]])</f>
        <v>4.5</v>
      </c>
      <c r="M191" s="4" cm="1">
        <f t="array" ref="M191">IFERROR(LOOKUP(2,1/(Table1[[#This Row],[2019-May]:[2025-July]]&lt;&gt;0),Table1[[#This Row],[2019-May]:[2025-July]]),0)</f>
        <v>2.5</v>
      </c>
      <c r="N191" s="4">
        <f>COUNTIF(Table1[[#This Row],[2019-Apr]:[2025-July]],"&gt;="&amp;Table1[[#This Row],[Target]])</f>
        <v>0</v>
      </c>
      <c r="O191" s="4">
        <f>IF(Table1[[#This Row],[Outliers 2Y]]=0,1,0)</f>
        <v>1</v>
      </c>
      <c r="P191" s="4">
        <f>IF(Table1[[#This Row],[Last value]]&gt;1.5*Table1[[#This Row],[Target]],1,0)</f>
        <v>0</v>
      </c>
      <c r="Q191" s="4">
        <f>IF(AND(1.5*Table1[[#This Row],[Target]]&gt;=Table1[[#This Row],[Last value]],Table1[[#This Row],[Last value]]&gt;Table1[[#This Row],[Target]]),1,0)</f>
        <v>0</v>
      </c>
      <c r="R191" s="4">
        <f>IF(Table1[[#This Row],[Target]]&gt;=Table1[[#This Row],[Last value]],1,0)</f>
        <v>1</v>
      </c>
      <c r="S191" s="4" t="str">
        <f t="shared" si="4"/>
        <v>Green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3.31</v>
      </c>
      <c r="Z191">
        <v>3.1</v>
      </c>
      <c r="AA191">
        <v>2.2999999999999998</v>
      </c>
      <c r="AB191">
        <v>2.54</v>
      </c>
      <c r="AC191">
        <v>1.6</v>
      </c>
      <c r="AD191">
        <v>1.5</v>
      </c>
      <c r="AE191">
        <v>1.4</v>
      </c>
      <c r="AF191">
        <v>2.2000000000000002</v>
      </c>
      <c r="AG191">
        <v>1.83</v>
      </c>
      <c r="AH191">
        <v>1.5</v>
      </c>
      <c r="AI191">
        <v>1.69</v>
      </c>
      <c r="AJ191">
        <v>1.85</v>
      </c>
      <c r="AK191">
        <v>2.17</v>
      </c>
      <c r="AL191">
        <v>1.77</v>
      </c>
      <c r="AM191">
        <v>2.0299999999999998</v>
      </c>
      <c r="AN191">
        <v>3.19</v>
      </c>
      <c r="AO191">
        <v>4.07</v>
      </c>
      <c r="AP191">
        <v>3.01</v>
      </c>
      <c r="AQ191">
        <v>2.64</v>
      </c>
      <c r="AR191" s="8">
        <v>2.17</v>
      </c>
      <c r="AS191" s="8">
        <v>2.78</v>
      </c>
      <c r="AT191" s="8">
        <v>2.79</v>
      </c>
      <c r="AU191" s="3">
        <v>2.2999999999999998</v>
      </c>
      <c r="AV191" s="3">
        <v>2.5499999999999998</v>
      </c>
      <c r="AW191" s="3">
        <v>2.17</v>
      </c>
      <c r="AX191" s="3">
        <v>2.16</v>
      </c>
      <c r="AY191" s="3">
        <v>1.9</v>
      </c>
      <c r="AZ191" s="3">
        <v>1.34</v>
      </c>
      <c r="BA191" s="3">
        <v>1.2</v>
      </c>
      <c r="BB191" s="3">
        <v>1.5</v>
      </c>
      <c r="BC191">
        <v>1.4</v>
      </c>
      <c r="BD191">
        <v>1.2</v>
      </c>
      <c r="BE191" s="11">
        <v>0.95699999999999996</v>
      </c>
      <c r="BF191" s="4">
        <v>0</v>
      </c>
      <c r="BG191" s="4">
        <v>0.95699999999999996</v>
      </c>
      <c r="BH191" s="4">
        <v>1.3169999999999999</v>
      </c>
      <c r="BI191" s="4">
        <v>1.121</v>
      </c>
      <c r="BJ191" s="13">
        <v>0.88</v>
      </c>
      <c r="BK191" s="13">
        <v>0.80300000000000005</v>
      </c>
      <c r="BL191" s="4">
        <v>0.752</v>
      </c>
      <c r="BM191" s="16">
        <v>0.73599999999999999</v>
      </c>
      <c r="BN191" s="4">
        <v>0.88800000000000001</v>
      </c>
      <c r="BO191" s="4">
        <v>0.85</v>
      </c>
      <c r="BP191" s="4">
        <v>0.90900000000000003</v>
      </c>
      <c r="BQ191" s="4">
        <v>1.2330000000000001</v>
      </c>
      <c r="BR191" s="4">
        <v>0.88800000000000001</v>
      </c>
      <c r="BS191" s="4">
        <v>0.93899999999999995</v>
      </c>
      <c r="BT191" s="4">
        <v>0.77400000000000002</v>
      </c>
      <c r="BU191" s="4">
        <v>0.96399999999999997</v>
      </c>
      <c r="BV191" s="4">
        <v>0.92200000000000004</v>
      </c>
      <c r="BW191" s="4">
        <v>0.90600000000000003</v>
      </c>
      <c r="BX191" s="4">
        <v>0.74399999999999999</v>
      </c>
      <c r="BY191" s="4">
        <v>0.68799999999999994</v>
      </c>
      <c r="BZ191">
        <v>0.78</v>
      </c>
      <c r="CA191">
        <v>1.46</v>
      </c>
      <c r="CB191">
        <v>2</v>
      </c>
      <c r="CC191">
        <v>1.33</v>
      </c>
      <c r="CD191">
        <v>1.91</v>
      </c>
      <c r="CE191" s="19">
        <v>1.7</v>
      </c>
      <c r="CF191" s="19">
        <v>2.5</v>
      </c>
      <c r="CG191" s="4">
        <v>1.63</v>
      </c>
      <c r="CH191" s="4">
        <v>1.5</v>
      </c>
      <c r="CI191" s="4">
        <v>1.62</v>
      </c>
      <c r="CJ191" s="34">
        <v>2.2999999999999998</v>
      </c>
      <c r="CK191" s="34">
        <v>1.7</v>
      </c>
      <c r="CL191" s="43">
        <v>1.4</v>
      </c>
      <c r="CM191" s="4">
        <v>3.3</v>
      </c>
      <c r="CN191" s="53">
        <v>2.9</v>
      </c>
      <c r="CO191" s="54">
        <v>2.2999999999999998</v>
      </c>
      <c r="CP191" s="54">
        <v>2.6</v>
      </c>
      <c r="CQ191" s="4">
        <v>2.5</v>
      </c>
    </row>
    <row r="192" spans="1:95" x14ac:dyDescent="0.35">
      <c r="A192" s="55">
        <v>191</v>
      </c>
      <c r="B192" t="s">
        <v>99</v>
      </c>
      <c r="C192" s="27" t="s">
        <v>395</v>
      </c>
      <c r="D192" s="3" t="s">
        <v>88</v>
      </c>
      <c r="E192" s="33" t="s">
        <v>89</v>
      </c>
      <c r="F192" s="4">
        <f>IFERROR(AVERAGEIF(Table1[[#This Row],[2019-Apr]:[2025-July]],"&lt;&gt;0"),0)</f>
        <v>3.3976323529411769</v>
      </c>
      <c r="G192" s="4">
        <f ca="1">IFERROR(AVERAGEIF(OFFSET(Table1[[#This Row],[Status]],0,COUNT(Table1[[#This Row],[2019-May]:[2025-July]]),1,-12),"&lt;&gt;0"),0)</f>
        <v>3.2258333333333336</v>
      </c>
      <c r="H192" s="55">
        <f>IFERROR(SMALL(Table1[[#This Row],[2019-Apr]:[2025-July]],COUNTIF(Table1[[#This Row],[2019-Apr]:[2025-July]],0)+1),0)</f>
        <v>1.341</v>
      </c>
      <c r="I192" s="55">
        <f>IFERROR(MAX(Table1[[#This Row],[2019-Apr]:[2025-July]]),0)</f>
        <v>6.14</v>
      </c>
      <c r="J192" s="4" cm="1">
        <f t="array" ref="J19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1.4455</v>
      </c>
      <c r="K192" s="4">
        <v>4.5</v>
      </c>
      <c r="L192" s="4">
        <f>IF(Table1[[#This Row],[Standard as per ISO]]&gt;=Table1[[#This Row],[Avg of best 6]],Table1[[#This Row],[Standard as per ISO]],Table1[[#This Row],[Avg of best 6]])</f>
        <v>4.5</v>
      </c>
      <c r="M192" s="4" cm="1">
        <f t="array" ref="M192">IFERROR(LOOKUP(2,1/(Table1[[#This Row],[2019-May]:[2025-July]]&lt;&gt;0),Table1[[#This Row],[2019-May]:[2025-July]]),0)</f>
        <v>3.2</v>
      </c>
      <c r="N192" s="4">
        <f>COUNTIF(Table1[[#This Row],[2019-Apr]:[2025-July]],"&gt;="&amp;Table1[[#This Row],[Target]])</f>
        <v>16</v>
      </c>
      <c r="O192" s="4">
        <f>IF(Table1[[#This Row],[Outliers 2Y]]=0,1,0)</f>
        <v>0</v>
      </c>
      <c r="P192" s="4">
        <f>IF(Table1[[#This Row],[Last value]]&gt;1.5*Table1[[#This Row],[Target]],1,0)</f>
        <v>0</v>
      </c>
      <c r="Q192" s="4">
        <f>IF(AND(1.5*Table1[[#This Row],[Target]]&gt;=Table1[[#This Row],[Last value]],Table1[[#This Row],[Last value]]&gt;Table1[[#This Row],[Target]]),1,0)</f>
        <v>0</v>
      </c>
      <c r="R192" s="4">
        <f>IF(Table1[[#This Row],[Target]]&gt;=Table1[[#This Row],[Last value]],1,0)</f>
        <v>1</v>
      </c>
      <c r="S192" s="4" t="str">
        <f t="shared" si="4"/>
        <v>Green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3.08</v>
      </c>
      <c r="Z192">
        <v>6.14</v>
      </c>
      <c r="AA192">
        <v>4.9000000000000004</v>
      </c>
      <c r="AB192">
        <v>4.93</v>
      </c>
      <c r="AC192">
        <v>5.05</v>
      </c>
      <c r="AD192">
        <v>4.9000000000000004</v>
      </c>
      <c r="AE192">
        <v>4.9000000000000004</v>
      </c>
      <c r="AF192">
        <v>5.6</v>
      </c>
      <c r="AG192">
        <v>4.7699999999999996</v>
      </c>
      <c r="AH192">
        <v>4.3</v>
      </c>
      <c r="AI192">
        <v>5.89</v>
      </c>
      <c r="AJ192">
        <v>4.5999999999999996</v>
      </c>
      <c r="AK192">
        <v>4.3</v>
      </c>
      <c r="AL192">
        <v>3.4</v>
      </c>
      <c r="AM192">
        <v>4.76</v>
      </c>
      <c r="AN192">
        <v>4.1900000000000004</v>
      </c>
      <c r="AO192">
        <v>3.6</v>
      </c>
      <c r="AP192">
        <v>5.13</v>
      </c>
      <c r="AQ192">
        <v>4.7300000000000004</v>
      </c>
      <c r="AR192" s="8">
        <v>3.6</v>
      </c>
      <c r="AS192" s="8">
        <v>0</v>
      </c>
      <c r="AT192" s="8">
        <v>4.6900000000000004</v>
      </c>
      <c r="AU192" s="3">
        <v>4.92</v>
      </c>
      <c r="AV192" s="3">
        <v>3.36</v>
      </c>
      <c r="AW192" s="3">
        <v>2.73</v>
      </c>
      <c r="AX192" s="3">
        <v>2.56</v>
      </c>
      <c r="AY192" s="3">
        <v>4.3899999999999997</v>
      </c>
      <c r="AZ192" s="3">
        <v>0</v>
      </c>
      <c r="BA192" s="3">
        <v>2.8</v>
      </c>
      <c r="BB192" s="3">
        <v>3.2</v>
      </c>
      <c r="BC192">
        <v>3.6</v>
      </c>
      <c r="BD192">
        <v>4.0999999999999996</v>
      </c>
      <c r="BE192" s="11">
        <v>4.4130000000000003</v>
      </c>
      <c r="BF192" s="4">
        <v>0</v>
      </c>
      <c r="BG192" s="4">
        <v>4.4130000000000003</v>
      </c>
      <c r="BH192" s="4">
        <v>5.8490000000000002</v>
      </c>
      <c r="BI192" s="4">
        <v>4.2629999999999999</v>
      </c>
      <c r="BJ192" s="14">
        <v>3.8889999999999998</v>
      </c>
      <c r="BK192" s="14">
        <v>3.7050000000000001</v>
      </c>
      <c r="BL192" s="4">
        <v>1.758</v>
      </c>
      <c r="BM192" s="17">
        <v>1.542</v>
      </c>
      <c r="BN192" s="4">
        <v>1.877</v>
      </c>
      <c r="BO192" s="4">
        <v>1.5549999999999999</v>
      </c>
      <c r="BP192" s="4">
        <v>1.635</v>
      </c>
      <c r="BQ192" s="4">
        <v>1.605</v>
      </c>
      <c r="BR192" s="4">
        <v>1.341</v>
      </c>
      <c r="BS192" s="4">
        <v>1.4790000000000001</v>
      </c>
      <c r="BT192" s="4">
        <v>1.4470000000000001</v>
      </c>
      <c r="BU192" s="4">
        <v>1.8740000000000001</v>
      </c>
      <c r="BV192" s="4">
        <v>1.4850000000000001</v>
      </c>
      <c r="BW192" s="4">
        <v>2.3210000000000002</v>
      </c>
      <c r="BX192" s="4">
        <v>1.7190000000000001</v>
      </c>
      <c r="BY192" s="4">
        <v>1.379</v>
      </c>
      <c r="BZ192">
        <v>1.71</v>
      </c>
      <c r="CA192">
        <v>1.84</v>
      </c>
      <c r="CB192">
        <v>1.56</v>
      </c>
      <c r="CC192">
        <v>2.7</v>
      </c>
      <c r="CD192">
        <v>2.65</v>
      </c>
      <c r="CE192" s="19">
        <v>2.5</v>
      </c>
      <c r="CF192" s="19">
        <v>2.7</v>
      </c>
      <c r="CG192" s="4">
        <v>2.59</v>
      </c>
      <c r="CH192" s="4">
        <v>3.93</v>
      </c>
      <c r="CI192" s="4">
        <v>3.19</v>
      </c>
      <c r="CJ192" s="34">
        <v>4.4000000000000004</v>
      </c>
      <c r="CK192" s="34">
        <v>4.4000000000000004</v>
      </c>
      <c r="CL192" s="43">
        <v>4.0999999999999996</v>
      </c>
      <c r="CM192" s="4">
        <v>3.5</v>
      </c>
      <c r="CN192" s="53">
        <v>2.5</v>
      </c>
      <c r="CO192" s="54">
        <v>2.5</v>
      </c>
      <c r="CP192" s="54">
        <v>2.4</v>
      </c>
      <c r="CQ192" s="4">
        <v>3.2</v>
      </c>
    </row>
    <row r="193" spans="1:95" x14ac:dyDescent="0.35">
      <c r="A193" s="55">
        <v>192</v>
      </c>
      <c r="B193" t="s">
        <v>99</v>
      </c>
      <c r="C193" s="27" t="s">
        <v>396</v>
      </c>
      <c r="D193" s="3" t="s">
        <v>88</v>
      </c>
      <c r="E193" s="33" t="s">
        <v>89</v>
      </c>
      <c r="F193" s="4">
        <f>IFERROR(AVERAGEIF(Table1[[#This Row],[2019-Apr]:[2025-July]],"&lt;&gt;0"),0)</f>
        <v>4.234289855072463</v>
      </c>
      <c r="G193" s="4">
        <f ca="1">IFERROR(AVERAGEIF(OFFSET(Table1[[#This Row],[Status]],0,COUNT(Table1[[#This Row],[2019-May]:[2025-July]]),1,-12),"&lt;&gt;0"),0)</f>
        <v>3.7216666666666671</v>
      </c>
      <c r="H193" s="55">
        <f>IFERROR(SMALL(Table1[[#This Row],[2019-Apr]:[2025-July]],COUNTIF(Table1[[#This Row],[2019-Apr]:[2025-July]],0)+1),0)</f>
        <v>1.589</v>
      </c>
      <c r="I193" s="55">
        <f>IFERROR(MAX(Table1[[#This Row],[2019-Apr]:[2025-July]]),0)</f>
        <v>8.8800000000000008</v>
      </c>
      <c r="J193" s="4" cm="1">
        <f t="array" ref="J19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1.8241666666666667</v>
      </c>
      <c r="K193" s="4">
        <v>4.5</v>
      </c>
      <c r="L193" s="4">
        <f>IF(Table1[[#This Row],[Standard as per ISO]]&gt;=Table1[[#This Row],[Avg of best 6]],Table1[[#This Row],[Standard as per ISO]],Table1[[#This Row],[Avg of best 6]])</f>
        <v>4.5</v>
      </c>
      <c r="M193" s="4" cm="1">
        <f t="array" ref="M193">IFERROR(LOOKUP(2,1/(Table1[[#This Row],[2019-May]:[2025-July]]&lt;&gt;0),Table1[[#This Row],[2019-May]:[2025-July]]),0)</f>
        <v>5.5</v>
      </c>
      <c r="N193" s="4">
        <f>COUNTIF(Table1[[#This Row],[2019-Apr]:[2025-July]],"&gt;="&amp;Table1[[#This Row],[Target]])</f>
        <v>26</v>
      </c>
      <c r="O193" s="4">
        <f>IF(Table1[[#This Row],[Outliers 2Y]]=0,1,0)</f>
        <v>0</v>
      </c>
      <c r="P193" s="4">
        <f>IF(Table1[[#This Row],[Last value]]&gt;1.5*Table1[[#This Row],[Target]],1,0)</f>
        <v>0</v>
      </c>
      <c r="Q193" s="4">
        <f>IF(AND(1.5*Table1[[#This Row],[Target]]&gt;=Table1[[#This Row],[Last value]],Table1[[#This Row],[Last value]]&gt;Table1[[#This Row],[Target]]),1,0)</f>
        <v>1</v>
      </c>
      <c r="R193" s="4">
        <f>IF(Table1[[#This Row],[Target]]&gt;=Table1[[#This Row],[Last value]],1,0)</f>
        <v>0</v>
      </c>
      <c r="S193" s="4" t="str">
        <f t="shared" si="4"/>
        <v>Yellow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5.84</v>
      </c>
      <c r="Z193">
        <v>5.9</v>
      </c>
      <c r="AA193">
        <v>6.1</v>
      </c>
      <c r="AB193">
        <v>5.88</v>
      </c>
      <c r="AC193">
        <v>6.34</v>
      </c>
      <c r="AD193">
        <v>6.3</v>
      </c>
      <c r="AE193">
        <v>4.2</v>
      </c>
      <c r="AF193">
        <v>4.22</v>
      </c>
      <c r="AG193">
        <v>4.4000000000000004</v>
      </c>
      <c r="AH193">
        <v>4.5</v>
      </c>
      <c r="AI193">
        <v>4.62</v>
      </c>
      <c r="AJ193">
        <v>5.09</v>
      </c>
      <c r="AK193">
        <v>5.49</v>
      </c>
      <c r="AL193">
        <v>5.6</v>
      </c>
      <c r="AM193">
        <v>4.84</v>
      </c>
      <c r="AN193">
        <v>5.19</v>
      </c>
      <c r="AO193">
        <v>4.8</v>
      </c>
      <c r="AP193">
        <v>6.52</v>
      </c>
      <c r="AQ193">
        <v>5.84</v>
      </c>
      <c r="AR193" s="8">
        <v>6.11</v>
      </c>
      <c r="AS193" s="8">
        <v>0</v>
      </c>
      <c r="AT193" s="8">
        <v>6.05</v>
      </c>
      <c r="AU193" s="3">
        <v>5.8</v>
      </c>
      <c r="AV193" s="3">
        <v>5.56</v>
      </c>
      <c r="AW193" s="3">
        <v>6.32</v>
      </c>
      <c r="AX193" s="3">
        <v>8.8800000000000008</v>
      </c>
      <c r="AY193" s="3">
        <v>8.1</v>
      </c>
      <c r="AZ193" s="3">
        <v>4.4000000000000004</v>
      </c>
      <c r="BA193" s="3">
        <v>3.7</v>
      </c>
      <c r="BB193" s="3">
        <v>3.7</v>
      </c>
      <c r="BC193">
        <v>3.5</v>
      </c>
      <c r="BD193">
        <v>3.9</v>
      </c>
      <c r="BE193" s="11">
        <v>4.4550000000000001</v>
      </c>
      <c r="BF193" s="4">
        <v>0</v>
      </c>
      <c r="BG193" s="4">
        <v>3.569</v>
      </c>
      <c r="BH193" s="4">
        <v>3.6269999999999998</v>
      </c>
      <c r="BI193" s="4">
        <v>1.589</v>
      </c>
      <c r="BJ193" s="13">
        <v>1.7230000000000001</v>
      </c>
      <c r="BK193" s="13">
        <v>1.946</v>
      </c>
      <c r="BL193" s="4">
        <v>2.262</v>
      </c>
      <c r="BM193" s="16">
        <v>1.6</v>
      </c>
      <c r="BN193" s="4">
        <v>2.7679999999999998</v>
      </c>
      <c r="BO193" s="4">
        <v>2.673</v>
      </c>
      <c r="BP193" s="4">
        <v>2.7530000000000001</v>
      </c>
      <c r="BQ193" s="4">
        <v>2.7050000000000001</v>
      </c>
      <c r="BR193" s="4">
        <v>2.36</v>
      </c>
      <c r="BS193" s="4">
        <v>2.6150000000000002</v>
      </c>
      <c r="BT193" s="4">
        <v>2.427</v>
      </c>
      <c r="BU193" s="4">
        <v>2.9660000000000002</v>
      </c>
      <c r="BV193" s="4">
        <v>1.825</v>
      </c>
      <c r="BW193" s="4">
        <v>2.661</v>
      </c>
      <c r="BX193" s="4">
        <v>2.9830000000000001</v>
      </c>
      <c r="BY193" s="4">
        <v>2.9089999999999998</v>
      </c>
      <c r="BZ193">
        <v>4.3</v>
      </c>
      <c r="CA193">
        <v>4.4000000000000004</v>
      </c>
      <c r="CB193">
        <v>4.6500000000000004</v>
      </c>
      <c r="CC193">
        <v>4.54</v>
      </c>
      <c r="CD193">
        <v>4.01</v>
      </c>
      <c r="CE193" s="19">
        <v>3.5</v>
      </c>
      <c r="CF193" s="19">
        <v>3.9</v>
      </c>
      <c r="CG193" s="4">
        <v>3.89</v>
      </c>
      <c r="CH193" s="4">
        <v>3.27</v>
      </c>
      <c r="CI193" s="4">
        <v>3.7</v>
      </c>
      <c r="CJ193" s="34">
        <v>3.7</v>
      </c>
      <c r="CK193" s="34">
        <v>3.6</v>
      </c>
      <c r="CL193" s="43">
        <v>3.4</v>
      </c>
      <c r="CM193" s="4">
        <v>3.5</v>
      </c>
      <c r="CN193" s="53">
        <v>4</v>
      </c>
      <c r="CO193" s="54">
        <v>4.2</v>
      </c>
      <c r="CP193" s="54">
        <v>4</v>
      </c>
      <c r="CQ193" s="4">
        <v>5.5</v>
      </c>
    </row>
    <row r="194" spans="1:95" x14ac:dyDescent="0.35">
      <c r="A194" s="55">
        <v>193</v>
      </c>
      <c r="B194" t="s">
        <v>99</v>
      </c>
      <c r="C194" s="27" t="s">
        <v>397</v>
      </c>
      <c r="D194" s="3" t="s">
        <v>88</v>
      </c>
      <c r="E194" s="33" t="s">
        <v>89</v>
      </c>
      <c r="F194" s="4">
        <f>IFERROR(AVERAGEIF(Table1[[#This Row],[2019-Apr]:[2025-July]],"&lt;&gt;0"),0)</f>
        <v>2.6289999999999996</v>
      </c>
      <c r="G194" s="4">
        <f ca="1">IFERROR(AVERAGEIF(OFFSET(Table1[[#This Row],[Status]],0,COUNT(Table1[[#This Row],[2019-May]:[2025-July]]),1,-12),"&lt;&gt;0"),0)</f>
        <v>2.3566666666666669</v>
      </c>
      <c r="H194" s="55">
        <f>IFERROR(SMALL(Table1[[#This Row],[2019-Apr]:[2025-July]],COUNTIF(Table1[[#This Row],[2019-Apr]:[2025-July]],0)+1),0)</f>
        <v>0.65</v>
      </c>
      <c r="I194" s="55">
        <f>IFERROR(MAX(Table1[[#This Row],[2019-Apr]:[2025-July]]),0)</f>
        <v>4.51</v>
      </c>
      <c r="J194" s="4" cm="1">
        <f t="array" ref="J19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0.79666666666666675</v>
      </c>
      <c r="K194" s="4">
        <v>4.5</v>
      </c>
      <c r="L194" s="4">
        <f>IF(Table1[[#This Row],[Standard as per ISO]]&gt;=Table1[[#This Row],[Avg of best 6]],Table1[[#This Row],[Standard as per ISO]],Table1[[#This Row],[Avg of best 6]])</f>
        <v>4.5</v>
      </c>
      <c r="M194" s="4" cm="1">
        <f t="array" ref="M194">IFERROR(LOOKUP(2,1/(Table1[[#This Row],[2019-May]:[2025-July]]&lt;&gt;0),Table1[[#This Row],[2019-May]:[2025-July]]),0)</f>
        <v>2.2000000000000002</v>
      </c>
      <c r="N194" s="4">
        <f>COUNTIF(Table1[[#This Row],[2019-Apr]:[2025-July]],"&gt;="&amp;Table1[[#This Row],[Target]])</f>
        <v>1</v>
      </c>
      <c r="O194" s="4">
        <f>IF(Table1[[#This Row],[Outliers 2Y]]=0,1,0)</f>
        <v>0</v>
      </c>
      <c r="P194" s="4">
        <f>IF(Table1[[#This Row],[Last value]]&gt;1.5*Table1[[#This Row],[Target]],1,0)</f>
        <v>0</v>
      </c>
      <c r="Q194" s="4">
        <f>IF(AND(1.5*Table1[[#This Row],[Target]]&gt;=Table1[[#This Row],[Last value]],Table1[[#This Row],[Last value]]&gt;Table1[[#This Row],[Target]]),1,0)</f>
        <v>0</v>
      </c>
      <c r="R194" s="4">
        <f>IF(Table1[[#This Row],[Target]]&gt;=Table1[[#This Row],[Last value]],1,0)</f>
        <v>1</v>
      </c>
      <c r="S194" s="4" t="str">
        <f t="shared" si="4"/>
        <v>Green</v>
      </c>
      <c r="T194">
        <v>0</v>
      </c>
      <c r="U194">
        <v>0</v>
      </c>
      <c r="V194">
        <v>0</v>
      </c>
      <c r="W194">
        <v>0</v>
      </c>
      <c r="X194">
        <v>1.6</v>
      </c>
      <c r="Y194">
        <v>1.03</v>
      </c>
      <c r="Z194">
        <v>2.41</v>
      </c>
      <c r="AA194">
        <v>1.97</v>
      </c>
      <c r="AB194">
        <v>0</v>
      </c>
      <c r="AC194">
        <v>2.73</v>
      </c>
      <c r="AD194">
        <v>2.7</v>
      </c>
      <c r="AE194">
        <v>2.1</v>
      </c>
      <c r="AF194">
        <v>1</v>
      </c>
      <c r="AG194">
        <v>0.74</v>
      </c>
      <c r="AH194">
        <v>0.7</v>
      </c>
      <c r="AI194">
        <v>0.66</v>
      </c>
      <c r="AJ194">
        <v>2.82</v>
      </c>
      <c r="AK194">
        <v>2.78</v>
      </c>
      <c r="AL194">
        <v>3.2</v>
      </c>
      <c r="AM194">
        <v>0</v>
      </c>
      <c r="AN194">
        <v>1.97</v>
      </c>
      <c r="AO194">
        <v>2.98</v>
      </c>
      <c r="AP194">
        <v>3.69</v>
      </c>
      <c r="AQ194">
        <v>0</v>
      </c>
      <c r="AR194" s="8">
        <v>0</v>
      </c>
      <c r="AS194" s="8">
        <v>1.89</v>
      </c>
      <c r="AT194" s="8">
        <v>3.04</v>
      </c>
      <c r="AU194" s="3">
        <v>2.34</v>
      </c>
      <c r="AV194" s="3">
        <v>1.3</v>
      </c>
      <c r="AW194" s="3">
        <v>2.37</v>
      </c>
      <c r="AX194" s="3">
        <v>2.19</v>
      </c>
      <c r="AY194" s="3">
        <v>4.51</v>
      </c>
      <c r="AZ194" s="3">
        <v>0</v>
      </c>
      <c r="BA194" s="3">
        <v>4.0999999999999996</v>
      </c>
      <c r="BB194" s="3">
        <v>0</v>
      </c>
      <c r="BC194">
        <v>4.2</v>
      </c>
      <c r="BD194">
        <v>4.0999999999999996</v>
      </c>
      <c r="BE194" s="11">
        <v>4.2</v>
      </c>
      <c r="BF194" s="4">
        <v>0</v>
      </c>
      <c r="BG194" s="4">
        <v>3.8439999999999999</v>
      </c>
      <c r="BH194" s="4">
        <v>2.391</v>
      </c>
      <c r="BI194" s="4">
        <v>1.635</v>
      </c>
      <c r="BJ194" s="14">
        <v>2.7429999999999999</v>
      </c>
      <c r="BK194" s="14">
        <v>0.65</v>
      </c>
      <c r="BL194" s="4">
        <v>3.964</v>
      </c>
      <c r="BM194" s="17">
        <v>3.262</v>
      </c>
      <c r="BN194" s="4">
        <v>0</v>
      </c>
      <c r="BO194" s="4">
        <v>0</v>
      </c>
      <c r="BP194" s="4">
        <v>3.7229999999999999</v>
      </c>
      <c r="BQ194" s="4">
        <v>0</v>
      </c>
      <c r="BR194" s="4">
        <v>3.077</v>
      </c>
      <c r="BS194" s="4">
        <v>2.9369999999999998</v>
      </c>
      <c r="BT194" s="4">
        <v>0</v>
      </c>
      <c r="BU194" s="4">
        <v>0</v>
      </c>
      <c r="BV194" s="4">
        <v>0</v>
      </c>
      <c r="BW194" s="4">
        <v>2.3519999999999999</v>
      </c>
      <c r="BX194" s="4">
        <v>4.2080000000000002</v>
      </c>
      <c r="BY194" s="4">
        <v>3.3029999999999999</v>
      </c>
      <c r="BZ194">
        <v>4.08</v>
      </c>
      <c r="CA194">
        <v>3.06</v>
      </c>
      <c r="CB194">
        <v>2.85</v>
      </c>
      <c r="CC194">
        <v>0</v>
      </c>
      <c r="CD194">
        <v>2.54</v>
      </c>
      <c r="CE194" s="19">
        <v>2.5</v>
      </c>
      <c r="CF194" s="19">
        <v>2.6</v>
      </c>
      <c r="CG194" s="4">
        <v>2.2999999999999998</v>
      </c>
      <c r="CH194" s="4">
        <v>2.1800000000000002</v>
      </c>
      <c r="CI194" s="4">
        <v>2.36</v>
      </c>
      <c r="CJ194" s="34">
        <v>2.2000000000000002</v>
      </c>
      <c r="CK194" s="34">
        <v>0</v>
      </c>
      <c r="CL194" s="43">
        <v>0</v>
      </c>
      <c r="CM194" s="4">
        <v>0</v>
      </c>
      <c r="CN194" s="53">
        <v>0</v>
      </c>
      <c r="CO194" s="54">
        <v>0</v>
      </c>
      <c r="CP194" s="54">
        <v>0</v>
      </c>
      <c r="CQ194" s="4">
        <v>0</v>
      </c>
    </row>
    <row r="195" spans="1:95" x14ac:dyDescent="0.35">
      <c r="A195" s="55">
        <v>194</v>
      </c>
      <c r="B195" t="s">
        <v>99</v>
      </c>
      <c r="C195" s="27" t="s">
        <v>398</v>
      </c>
      <c r="D195" s="3" t="s">
        <v>88</v>
      </c>
      <c r="E195" s="33" t="s">
        <v>89</v>
      </c>
      <c r="F195" s="4">
        <f>IFERROR(AVERAGEIF(Table1[[#This Row],[2019-Apr]:[2025-July]],"&lt;&gt;0"),0)</f>
        <v>3.3326842105263159</v>
      </c>
      <c r="G195" s="4">
        <f ca="1">IFERROR(AVERAGEIF(OFFSET(Table1[[#This Row],[Status]],0,COUNT(Table1[[#This Row],[2019-May]:[2025-July]]),1,-12),"&lt;&gt;0"),0)</f>
        <v>3.2833333333333337</v>
      </c>
      <c r="H195" s="55">
        <f>IFERROR(SMALL(Table1[[#This Row],[2019-Apr]:[2025-July]],COUNTIF(Table1[[#This Row],[2019-Apr]:[2025-July]],0)+1),0)</f>
        <v>2.73</v>
      </c>
      <c r="I195" s="55">
        <f>IFERROR(MAX(Table1[[#This Row],[2019-Apr]:[2025-July]]),0)</f>
        <v>4.5999999999999996</v>
      </c>
      <c r="J195" s="4" cm="1">
        <f t="array" ref="J19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2.875</v>
      </c>
      <c r="K195" s="4">
        <v>4.5</v>
      </c>
      <c r="L195" s="4">
        <f>IF(Table1[[#This Row],[Standard as per ISO]]&gt;=Table1[[#This Row],[Avg of best 6]],Table1[[#This Row],[Standard as per ISO]],Table1[[#This Row],[Avg of best 6]])</f>
        <v>4.5</v>
      </c>
      <c r="M195" s="4" cm="1">
        <f t="array" ref="M195">IFERROR(LOOKUP(2,1/(Table1[[#This Row],[2019-May]:[2025-July]]&lt;&gt;0),Table1[[#This Row],[2019-May]:[2025-July]]),0)</f>
        <v>3.7</v>
      </c>
      <c r="N195" s="4">
        <f>COUNTIF(Table1[[#This Row],[2019-Apr]:[2025-July]],"&gt;="&amp;Table1[[#This Row],[Target]])</f>
        <v>1</v>
      </c>
      <c r="O195" s="4">
        <f>IF(Table1[[#This Row],[Outliers 2Y]]=0,1,0)</f>
        <v>0</v>
      </c>
      <c r="P195" s="4">
        <f>IF(Table1[[#This Row],[Last value]]&gt;1.5*Table1[[#This Row],[Target]],1,0)</f>
        <v>0</v>
      </c>
      <c r="Q195" s="4">
        <f>IF(AND(1.5*Table1[[#This Row],[Target]]&gt;=Table1[[#This Row],[Last value]],Table1[[#This Row],[Last value]]&gt;Table1[[#This Row],[Target]]),1,0)</f>
        <v>0</v>
      </c>
      <c r="R195" s="4">
        <f>IF(Table1[[#This Row],[Target]]&gt;=Table1[[#This Row],[Last value]],1,0)</f>
        <v>1</v>
      </c>
      <c r="S195" s="4" t="str">
        <f t="shared" si="4"/>
        <v>Green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3.27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3.04</v>
      </c>
      <c r="AR195" s="8">
        <v>3.58</v>
      </c>
      <c r="AS195" s="8">
        <v>0</v>
      </c>
      <c r="AT195" s="8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3.5</v>
      </c>
      <c r="BA195" s="3">
        <v>0</v>
      </c>
      <c r="BB195" s="3">
        <v>4.5999999999999996</v>
      </c>
      <c r="BC195" s="3">
        <v>0</v>
      </c>
      <c r="BD195">
        <v>0</v>
      </c>
      <c r="BE195" s="11">
        <v>0</v>
      </c>
      <c r="BF195" s="4">
        <v>0</v>
      </c>
      <c r="BG195" s="4">
        <v>0</v>
      </c>
      <c r="BH195" s="4">
        <v>0</v>
      </c>
      <c r="BI195" s="4">
        <v>0</v>
      </c>
      <c r="BJ195" s="13">
        <v>0</v>
      </c>
      <c r="BK195" s="13">
        <v>0</v>
      </c>
      <c r="BL195" s="4">
        <v>0</v>
      </c>
      <c r="BM195" s="16">
        <v>0</v>
      </c>
      <c r="BN195" s="4">
        <v>2.73</v>
      </c>
      <c r="BO195" s="4">
        <v>2.73</v>
      </c>
      <c r="BP195" s="4">
        <v>0</v>
      </c>
      <c r="BQ195" s="4">
        <v>3.6509999999999998</v>
      </c>
      <c r="BR195" s="4">
        <v>0</v>
      </c>
      <c r="BS195" s="4">
        <v>0</v>
      </c>
      <c r="BT195" s="4">
        <v>2.9590000000000001</v>
      </c>
      <c r="BU195" s="4">
        <v>2.9009999999999998</v>
      </c>
      <c r="BV195" s="4">
        <v>3.93</v>
      </c>
      <c r="BW195" s="4">
        <v>0</v>
      </c>
      <c r="BX195" s="4">
        <v>0</v>
      </c>
      <c r="BY195" s="4">
        <v>0</v>
      </c>
      <c r="BZ195">
        <v>0</v>
      </c>
      <c r="CA195">
        <v>0</v>
      </c>
      <c r="CB195">
        <v>0</v>
      </c>
      <c r="CC195">
        <v>3.03</v>
      </c>
      <c r="CD195">
        <v>0</v>
      </c>
      <c r="CE195" s="19">
        <v>0</v>
      </c>
      <c r="CF195" s="19">
        <v>0</v>
      </c>
      <c r="CG195" s="4">
        <v>0</v>
      </c>
      <c r="CH195" s="4">
        <v>0</v>
      </c>
      <c r="CI195" s="4">
        <v>0</v>
      </c>
      <c r="CJ195" s="34">
        <v>0</v>
      </c>
      <c r="CK195" s="34">
        <v>3.1</v>
      </c>
      <c r="CL195" s="43">
        <v>3.2</v>
      </c>
      <c r="CM195" s="4">
        <v>2.9</v>
      </c>
      <c r="CN195" s="53">
        <v>4</v>
      </c>
      <c r="CO195" s="54">
        <v>3.2</v>
      </c>
      <c r="CP195" s="54">
        <v>3.3</v>
      </c>
      <c r="CQ195" s="4">
        <v>3.7</v>
      </c>
    </row>
    <row r="196" spans="1:95" x14ac:dyDescent="0.35">
      <c r="A196" s="55">
        <v>195</v>
      </c>
      <c r="B196" t="s">
        <v>99</v>
      </c>
      <c r="C196" s="27" t="s">
        <v>399</v>
      </c>
      <c r="D196" s="3" t="s">
        <v>88</v>
      </c>
      <c r="E196" s="33" t="s">
        <v>91</v>
      </c>
      <c r="F196" s="4">
        <f>IFERROR(AVERAGEIF(Table1[[#This Row],[2019-Apr]:[2025-July]],"&lt;&gt;0"),0)</f>
        <v>4.3622045454545448</v>
      </c>
      <c r="G196" s="4">
        <f ca="1">IFERROR(AVERAGEIF(OFFSET(Table1[[#This Row],[Status]],0,COUNT(Table1[[#This Row],[2019-May]:[2025-July]]),1,-12),"&lt;&gt;0"),0)</f>
        <v>3.59</v>
      </c>
      <c r="H196" s="55">
        <f>IFERROR(SMALL(Table1[[#This Row],[2019-Apr]:[2025-July]],COUNTIF(Table1[[#This Row],[2019-Apr]:[2025-July]],0)+1),0)</f>
        <v>2.1579999999999999</v>
      </c>
      <c r="I196" s="55">
        <f>IFERROR(MAX(Table1[[#This Row],[2019-Apr]:[2025-July]]),0)</f>
        <v>6.2610000000000001</v>
      </c>
      <c r="J196" s="4" cm="1">
        <f t="array" ref="J19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2.5163333333333333</v>
      </c>
      <c r="K196" s="4">
        <v>4.5</v>
      </c>
      <c r="L196" s="4">
        <f>IF(Table1[[#This Row],[Standard as per ISO]]&gt;=Table1[[#This Row],[Avg of best 6]],Table1[[#This Row],[Standard as per ISO]],Table1[[#This Row],[Avg of best 6]])</f>
        <v>4.5</v>
      </c>
      <c r="M196" s="4" cm="1">
        <f t="array" ref="M196">IFERROR(LOOKUP(2,1/(Table1[[#This Row],[2019-May]:[2025-July]]&lt;&gt;0),Table1[[#This Row],[2019-May]:[2025-July]]),0)</f>
        <v>3.59</v>
      </c>
      <c r="N196" s="4">
        <f>COUNTIF(Table1[[#This Row],[2019-Apr]:[2025-July]],"&gt;="&amp;Table1[[#This Row],[Target]])</f>
        <v>20</v>
      </c>
      <c r="O196" s="4">
        <f>IF(Table1[[#This Row],[Outliers 2Y]]=0,1,0)</f>
        <v>0</v>
      </c>
      <c r="P196" s="4">
        <f>IF(Table1[[#This Row],[Last value]]&gt;1.5*Table1[[#This Row],[Target]],1,0)</f>
        <v>0</v>
      </c>
      <c r="Q196" s="4">
        <f>IF(AND(1.5*Table1[[#This Row],[Target]]&gt;=Table1[[#This Row],[Last value]],Table1[[#This Row],[Last value]]&gt;Table1[[#This Row],[Target]]),1,0)</f>
        <v>0</v>
      </c>
      <c r="R196" s="4">
        <f>IF(Table1[[#This Row],[Target]]&gt;=Table1[[#This Row],[Last value]],1,0)</f>
        <v>1</v>
      </c>
      <c r="S196" s="4" t="str">
        <f t="shared" si="4"/>
        <v>Green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4.5999999999999996</v>
      </c>
      <c r="Z196">
        <v>4.93</v>
      </c>
      <c r="AA196">
        <v>3.97</v>
      </c>
      <c r="AB196">
        <v>4.3099999999999996</v>
      </c>
      <c r="AC196">
        <v>5</v>
      </c>
      <c r="AD196">
        <v>0</v>
      </c>
      <c r="AE196">
        <v>5.3</v>
      </c>
      <c r="AF196">
        <v>5.7</v>
      </c>
      <c r="AG196">
        <v>0</v>
      </c>
      <c r="AH196">
        <v>0</v>
      </c>
      <c r="AI196">
        <v>0</v>
      </c>
      <c r="AJ196">
        <v>0</v>
      </c>
      <c r="AK196">
        <v>3.98</v>
      </c>
      <c r="AL196">
        <v>0</v>
      </c>
      <c r="AM196">
        <v>4.07</v>
      </c>
      <c r="AN196">
        <v>0</v>
      </c>
      <c r="AO196">
        <v>4.2</v>
      </c>
      <c r="AP196">
        <v>4.59</v>
      </c>
      <c r="AQ196">
        <v>5.24</v>
      </c>
      <c r="AR196" s="8">
        <v>0</v>
      </c>
      <c r="AS196" s="8">
        <v>0</v>
      </c>
      <c r="AT196" s="8">
        <v>5.88</v>
      </c>
      <c r="AU196" s="3">
        <v>5.88</v>
      </c>
      <c r="AV196" s="3">
        <v>4.99</v>
      </c>
      <c r="AW196" s="3">
        <v>4.33</v>
      </c>
      <c r="AX196" s="3">
        <v>5.25</v>
      </c>
      <c r="AY196" s="3">
        <v>6.19</v>
      </c>
      <c r="AZ196" s="3">
        <v>5.6</v>
      </c>
      <c r="BA196" s="3">
        <v>5.3</v>
      </c>
      <c r="BB196" s="3">
        <v>4.9000000000000004</v>
      </c>
      <c r="BC196">
        <v>6.1</v>
      </c>
      <c r="BD196">
        <v>0</v>
      </c>
      <c r="BE196" s="11">
        <v>5.05</v>
      </c>
      <c r="BF196" s="4">
        <v>0</v>
      </c>
      <c r="BG196" s="4">
        <v>2.7120000000000002</v>
      </c>
      <c r="BH196" s="4">
        <v>2.3090000000000002</v>
      </c>
      <c r="BI196" s="4">
        <v>2.1579999999999999</v>
      </c>
      <c r="BJ196" s="14">
        <v>2.234</v>
      </c>
      <c r="BK196" s="14">
        <v>6.2610000000000001</v>
      </c>
      <c r="BL196" s="4">
        <v>3.5539999999999998</v>
      </c>
      <c r="BM196" s="17">
        <v>4.6619999999999999</v>
      </c>
      <c r="BN196" s="4">
        <v>3.2120000000000002</v>
      </c>
      <c r="BO196" s="4">
        <v>2.4870000000000001</v>
      </c>
      <c r="BP196" s="4">
        <v>3.198</v>
      </c>
      <c r="BQ196" s="4">
        <v>4.3780000000000001</v>
      </c>
      <c r="BR196" s="4">
        <v>4.3079999999999998</v>
      </c>
      <c r="BS196" s="4">
        <v>4.6580000000000004</v>
      </c>
      <c r="BT196" s="4">
        <v>3.222</v>
      </c>
      <c r="BU196" s="4">
        <v>3.85</v>
      </c>
      <c r="BV196" s="4">
        <v>4.0629999999999997</v>
      </c>
      <c r="BW196" s="4">
        <v>3.774</v>
      </c>
      <c r="BX196" s="4">
        <v>4.3869999999999996</v>
      </c>
      <c r="BY196" s="4">
        <v>0</v>
      </c>
      <c r="BZ196">
        <v>0</v>
      </c>
      <c r="CA196">
        <v>4.08</v>
      </c>
      <c r="CB196">
        <v>3.48</v>
      </c>
      <c r="CC196">
        <v>0</v>
      </c>
      <c r="CD196">
        <v>0</v>
      </c>
      <c r="CE196" s="19">
        <v>0</v>
      </c>
      <c r="CF196" s="19">
        <v>0</v>
      </c>
      <c r="CG196" s="4">
        <v>0</v>
      </c>
      <c r="CH196" s="4">
        <v>3.59</v>
      </c>
      <c r="CI196" s="4">
        <v>0</v>
      </c>
      <c r="CJ196" s="34">
        <v>0</v>
      </c>
      <c r="CK196" s="34">
        <v>0</v>
      </c>
      <c r="CL196" s="34">
        <v>0</v>
      </c>
      <c r="CM196" s="4">
        <v>0</v>
      </c>
      <c r="CN196" s="53">
        <v>0</v>
      </c>
      <c r="CO196" s="54">
        <v>0</v>
      </c>
      <c r="CP196" s="54">
        <v>0</v>
      </c>
      <c r="CQ196" s="4">
        <v>0</v>
      </c>
    </row>
    <row r="197" spans="1:95" x14ac:dyDescent="0.35">
      <c r="A197" s="55">
        <v>196</v>
      </c>
      <c r="B197" t="s">
        <v>99</v>
      </c>
      <c r="C197" s="27" t="s">
        <v>400</v>
      </c>
      <c r="D197" s="3" t="s">
        <v>88</v>
      </c>
      <c r="E197" s="33" t="s">
        <v>89</v>
      </c>
      <c r="F197" s="4">
        <f>IFERROR(AVERAGEIF(Table1[[#This Row],[2019-Apr]:[2025-July]],"&lt;&gt;0"),0)</f>
        <v>4.9801999999999982</v>
      </c>
      <c r="G197" s="4">
        <f ca="1">IFERROR(AVERAGEIF(OFFSET(Table1[[#This Row],[Status]],0,COUNT(Table1[[#This Row],[2019-May]:[2025-July]]),1,-12),"&lt;&gt;0"),0)</f>
        <v>3.152222222222222</v>
      </c>
      <c r="H197" s="55">
        <f>IFERROR(SMALL(Table1[[#This Row],[2019-Apr]:[2025-July]],COUNTIF(Table1[[#This Row],[2019-Apr]:[2025-July]],0)+1),0)</f>
        <v>0.98899999999999999</v>
      </c>
      <c r="I197" s="55">
        <f>IFERROR(MAX(Table1[[#This Row],[2019-Apr]:[2025-July]]),0)</f>
        <v>8.32</v>
      </c>
      <c r="J197" s="4" cm="1">
        <f t="array" ref="J19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2.3731666666666671</v>
      </c>
      <c r="K197" s="4">
        <v>4.5</v>
      </c>
      <c r="L197" s="4">
        <f>IF(Table1[[#This Row],[Standard as per ISO]]&gt;=Table1[[#This Row],[Avg of best 6]],Table1[[#This Row],[Standard as per ISO]],Table1[[#This Row],[Avg of best 6]])</f>
        <v>4.5</v>
      </c>
      <c r="M197" s="4" cm="1">
        <f t="array" ref="M197">IFERROR(LOOKUP(2,1/(Table1[[#This Row],[2019-May]:[2025-July]]&lt;&gt;0),Table1[[#This Row],[2019-May]:[2025-July]]),0)</f>
        <v>3</v>
      </c>
      <c r="N197" s="4">
        <f>COUNTIF(Table1[[#This Row],[2019-Apr]:[2025-July]],"&gt;="&amp;Table1[[#This Row],[Target]])</f>
        <v>31</v>
      </c>
      <c r="O197" s="4">
        <f>IF(Table1[[#This Row],[Outliers 2Y]]=0,1,0)</f>
        <v>0</v>
      </c>
      <c r="P197" s="4">
        <f>IF(Table1[[#This Row],[Last value]]&gt;1.5*Table1[[#This Row],[Target]],1,0)</f>
        <v>0</v>
      </c>
      <c r="Q197" s="4">
        <f>IF(AND(1.5*Table1[[#This Row],[Target]]&gt;=Table1[[#This Row],[Last value]],Table1[[#This Row],[Last value]]&gt;Table1[[#This Row],[Target]]),1,0)</f>
        <v>0</v>
      </c>
      <c r="R197" s="4">
        <f>IF(Table1[[#This Row],[Target]]&gt;=Table1[[#This Row],[Last value]],1,0)</f>
        <v>1</v>
      </c>
      <c r="S197" s="4" t="str">
        <f t="shared" si="4"/>
        <v>Green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7.2</v>
      </c>
      <c r="Z197">
        <v>7.4</v>
      </c>
      <c r="AA197">
        <v>0</v>
      </c>
      <c r="AB197">
        <v>7.7</v>
      </c>
      <c r="AC197">
        <v>6.66</v>
      </c>
      <c r="AD197">
        <v>0</v>
      </c>
      <c r="AE197">
        <v>4.5999999999999996</v>
      </c>
      <c r="AF197">
        <v>4.7</v>
      </c>
      <c r="AG197">
        <v>0</v>
      </c>
      <c r="AH197">
        <v>6</v>
      </c>
      <c r="AI197">
        <v>5.21</v>
      </c>
      <c r="AJ197">
        <v>6.57</v>
      </c>
      <c r="AK197">
        <v>6.17</v>
      </c>
      <c r="AL197">
        <v>6.7</v>
      </c>
      <c r="AM197">
        <v>7.01</v>
      </c>
      <c r="AN197">
        <v>5.84</v>
      </c>
      <c r="AO197">
        <v>6.7</v>
      </c>
      <c r="AP197">
        <v>6.06</v>
      </c>
      <c r="AQ197">
        <v>8.32</v>
      </c>
      <c r="AR197" s="8">
        <v>7.21</v>
      </c>
      <c r="AS197" s="8">
        <v>7.74</v>
      </c>
      <c r="AT197" s="8">
        <v>6.63</v>
      </c>
      <c r="AU197" s="3">
        <v>6.59</v>
      </c>
      <c r="AV197" s="3">
        <v>6.04</v>
      </c>
      <c r="AW197" s="3">
        <v>5.88</v>
      </c>
      <c r="AX197" s="3">
        <v>6.93</v>
      </c>
      <c r="AY197" s="3">
        <v>5.39</v>
      </c>
      <c r="AZ197" s="3">
        <v>6.6</v>
      </c>
      <c r="BA197" s="3">
        <v>6.4</v>
      </c>
      <c r="BB197" s="3">
        <v>5.9</v>
      </c>
      <c r="BC197">
        <v>6.5</v>
      </c>
      <c r="BD197">
        <v>0</v>
      </c>
      <c r="BE197" s="11">
        <v>6.7480000000000002</v>
      </c>
      <c r="BF197" s="4">
        <v>4.13</v>
      </c>
      <c r="BG197" s="4">
        <v>4.17</v>
      </c>
      <c r="BH197" s="4">
        <v>3.702</v>
      </c>
      <c r="BI197" s="4">
        <v>0.98899999999999999</v>
      </c>
      <c r="BJ197" s="13">
        <v>4.2720000000000002</v>
      </c>
      <c r="BK197" s="13">
        <v>4.4980000000000002</v>
      </c>
      <c r="BL197" s="4">
        <v>5.1440000000000001</v>
      </c>
      <c r="BM197" s="16">
        <v>4.4710000000000001</v>
      </c>
      <c r="BN197" s="4">
        <v>3.7930000000000001</v>
      </c>
      <c r="BO197" s="4">
        <v>3.9940000000000002</v>
      </c>
      <c r="BP197" s="4">
        <v>4.8220000000000001</v>
      </c>
      <c r="BQ197" s="4">
        <v>3.8450000000000002</v>
      </c>
      <c r="BR197" s="4">
        <v>3.5289999999999999</v>
      </c>
      <c r="BS197" s="4">
        <v>3.7549999999999999</v>
      </c>
      <c r="BT197" s="4">
        <v>3.782</v>
      </c>
      <c r="BU197" s="4">
        <v>0</v>
      </c>
      <c r="BV197" s="4">
        <v>3.96</v>
      </c>
      <c r="BW197" s="4">
        <v>3.7650000000000001</v>
      </c>
      <c r="BX197" s="4">
        <v>3.5830000000000002</v>
      </c>
      <c r="BY197" s="4">
        <v>3.32</v>
      </c>
      <c r="BZ197">
        <v>0</v>
      </c>
      <c r="CA197">
        <v>3.94</v>
      </c>
      <c r="CB197">
        <v>2.58</v>
      </c>
      <c r="CC197">
        <v>0</v>
      </c>
      <c r="CD197">
        <v>0</v>
      </c>
      <c r="CE197" s="19">
        <v>2.8</v>
      </c>
      <c r="CF197" s="19">
        <v>0</v>
      </c>
      <c r="CG197" s="4">
        <v>0</v>
      </c>
      <c r="CH197" s="4">
        <v>2.27</v>
      </c>
      <c r="CI197" s="4">
        <v>0</v>
      </c>
      <c r="CJ197" s="34">
        <v>3.8</v>
      </c>
      <c r="CK197" s="34">
        <v>3.5</v>
      </c>
      <c r="CL197" s="43">
        <v>3</v>
      </c>
      <c r="CM197" s="4">
        <v>3.2</v>
      </c>
      <c r="CN197" s="53">
        <v>4.2</v>
      </c>
      <c r="CO197" s="54">
        <v>2.9</v>
      </c>
      <c r="CP197" s="54">
        <v>2.7</v>
      </c>
      <c r="CQ197" s="4">
        <v>3</v>
      </c>
    </row>
    <row r="198" spans="1:95" x14ac:dyDescent="0.35">
      <c r="A198" s="55">
        <v>197</v>
      </c>
      <c r="B198" t="s">
        <v>99</v>
      </c>
      <c r="C198" s="27" t="s">
        <v>401</v>
      </c>
      <c r="D198" s="3" t="s">
        <v>88</v>
      </c>
      <c r="E198" s="33" t="s">
        <v>89</v>
      </c>
      <c r="F198" s="4">
        <f>IFERROR(AVERAGEIF(Table1[[#This Row],[2019-Apr]:[2025-July]],"&lt;&gt;0"),0)</f>
        <v>1.9305396825396828</v>
      </c>
      <c r="G198" s="4">
        <f ca="1">IFERROR(AVERAGEIF(OFFSET(Table1[[#This Row],[Status]],0,COUNT(Table1[[#This Row],[2019-May]:[2025-July]]),1,-12),"&lt;&gt;0"),0)</f>
        <v>1.8222222222222224</v>
      </c>
      <c r="H198" s="55">
        <f>IFERROR(SMALL(Table1[[#This Row],[2019-Apr]:[2025-July]],COUNTIF(Table1[[#This Row],[2019-Apr]:[2025-July]],0)+1),0)</f>
        <v>1.2</v>
      </c>
      <c r="I198" s="55">
        <f>IFERROR(MAX(Table1[[#This Row],[2019-Apr]:[2025-July]]),0)</f>
        <v>3.11</v>
      </c>
      <c r="J198" s="4" cm="1">
        <f t="array" ref="J19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1.2343333333333333</v>
      </c>
      <c r="K198" s="4">
        <v>4.5</v>
      </c>
      <c r="L198" s="4">
        <f>IF(Table1[[#This Row],[Standard as per ISO]]&gt;=Table1[[#This Row],[Avg of best 6]],Table1[[#This Row],[Standard as per ISO]],Table1[[#This Row],[Avg of best 6]])</f>
        <v>4.5</v>
      </c>
      <c r="M198" s="4" cm="1">
        <f t="array" ref="M198">IFERROR(LOOKUP(2,1/(Table1[[#This Row],[2019-May]:[2025-July]]&lt;&gt;0),Table1[[#This Row],[2019-May]:[2025-July]]),0)</f>
        <v>1.5</v>
      </c>
      <c r="N198" s="4">
        <f>COUNTIF(Table1[[#This Row],[2019-Apr]:[2025-July]],"&gt;="&amp;Table1[[#This Row],[Target]])</f>
        <v>0</v>
      </c>
      <c r="O198" s="4">
        <f>IF(Table1[[#This Row],[Outliers 2Y]]=0,1,0)</f>
        <v>1</v>
      </c>
      <c r="P198" s="4">
        <f>IF(Table1[[#This Row],[Last value]]&gt;1.5*Table1[[#This Row],[Target]],1,0)</f>
        <v>0</v>
      </c>
      <c r="Q198" s="4">
        <f>IF(AND(1.5*Table1[[#This Row],[Target]]&gt;=Table1[[#This Row],[Last value]],Table1[[#This Row],[Last value]]&gt;Table1[[#This Row],[Target]]),1,0)</f>
        <v>0</v>
      </c>
      <c r="R198" s="4">
        <f>IF(Table1[[#This Row],[Target]]&gt;=Table1[[#This Row],[Last value]],1,0)</f>
        <v>1</v>
      </c>
      <c r="S198" s="4" t="str">
        <f t="shared" si="4"/>
        <v>Green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2.13</v>
      </c>
      <c r="Z198">
        <v>1.5</v>
      </c>
      <c r="AA198">
        <v>1.2</v>
      </c>
      <c r="AB198">
        <v>1.83</v>
      </c>
      <c r="AC198">
        <v>1.6</v>
      </c>
      <c r="AD198">
        <v>1.8</v>
      </c>
      <c r="AE198">
        <v>2.1</v>
      </c>
      <c r="AF198">
        <v>2.1</v>
      </c>
      <c r="AG198">
        <v>1.7</v>
      </c>
      <c r="AH198">
        <v>2.1</v>
      </c>
      <c r="AI198">
        <v>0</v>
      </c>
      <c r="AJ198">
        <v>1.58</v>
      </c>
      <c r="AK198">
        <v>1.45</v>
      </c>
      <c r="AL198">
        <v>1.5</v>
      </c>
      <c r="AM198">
        <v>2.61</v>
      </c>
      <c r="AN198">
        <v>2.2999999999999998</v>
      </c>
      <c r="AO198">
        <v>2.5</v>
      </c>
      <c r="AP198">
        <v>2.74</v>
      </c>
      <c r="AQ198">
        <v>3.11</v>
      </c>
      <c r="AR198" s="8">
        <v>2.96</v>
      </c>
      <c r="AS198" s="8">
        <v>2.57</v>
      </c>
      <c r="AT198" s="8">
        <v>2.5</v>
      </c>
      <c r="AU198" s="3">
        <v>2.5</v>
      </c>
      <c r="AV198" s="3">
        <v>2.2799999999999998</v>
      </c>
      <c r="AW198" s="3">
        <v>1.53</v>
      </c>
      <c r="AX198" s="3">
        <v>1.65</v>
      </c>
      <c r="AY198" s="3">
        <v>1.86</v>
      </c>
      <c r="AZ198" s="3">
        <v>2.5</v>
      </c>
      <c r="BA198" s="3">
        <v>1.2</v>
      </c>
      <c r="BB198" s="3">
        <v>1.2</v>
      </c>
      <c r="BC198">
        <v>1.7</v>
      </c>
      <c r="BD198">
        <v>1.6</v>
      </c>
      <c r="BE198" s="11">
        <v>2.109</v>
      </c>
      <c r="BF198" s="4">
        <v>1.839</v>
      </c>
      <c r="BG198" s="4">
        <v>2.117</v>
      </c>
      <c r="BH198" s="4">
        <v>1.8520000000000001</v>
      </c>
      <c r="BI198" s="4">
        <v>2.496</v>
      </c>
      <c r="BJ198" s="14">
        <v>1.649</v>
      </c>
      <c r="BK198" s="14">
        <v>1.464</v>
      </c>
      <c r="BL198" s="4">
        <v>1.732</v>
      </c>
      <c r="BM198" s="17">
        <v>1.744</v>
      </c>
      <c r="BN198" s="4">
        <v>1.6240000000000001</v>
      </c>
      <c r="BO198" s="4">
        <v>1.3959999999999999</v>
      </c>
      <c r="BP198" s="4">
        <v>1.873</v>
      </c>
      <c r="BQ198" s="4">
        <v>2.39</v>
      </c>
      <c r="BR198" s="4">
        <v>2.1549999999999998</v>
      </c>
      <c r="BS198" s="4">
        <v>1.74</v>
      </c>
      <c r="BT198" s="4">
        <v>1.7030000000000001</v>
      </c>
      <c r="BU198" s="4">
        <v>0</v>
      </c>
      <c r="BV198" s="4">
        <v>2.0920000000000001</v>
      </c>
      <c r="BW198" s="4">
        <v>2.847</v>
      </c>
      <c r="BX198" s="4">
        <v>1.966</v>
      </c>
      <c r="BY198" s="4">
        <v>2.0960000000000001</v>
      </c>
      <c r="BZ198">
        <v>0</v>
      </c>
      <c r="CA198">
        <v>1.73</v>
      </c>
      <c r="CB198">
        <v>1.21</v>
      </c>
      <c r="CC198">
        <v>0</v>
      </c>
      <c r="CD198">
        <v>0</v>
      </c>
      <c r="CE198" s="19">
        <v>2.1</v>
      </c>
      <c r="CF198" s="19">
        <v>0</v>
      </c>
      <c r="CG198" s="4">
        <v>0</v>
      </c>
      <c r="CH198" s="4">
        <v>1.8</v>
      </c>
      <c r="CI198" s="4">
        <v>0</v>
      </c>
      <c r="CJ198" s="34">
        <v>1.7</v>
      </c>
      <c r="CK198" s="34">
        <v>1.5</v>
      </c>
      <c r="CL198" s="43">
        <v>1.6</v>
      </c>
      <c r="CM198" s="4">
        <v>1.9</v>
      </c>
      <c r="CN198" s="53">
        <v>2.7</v>
      </c>
      <c r="CO198" s="54">
        <v>1.9</v>
      </c>
      <c r="CP198" s="54">
        <v>1.2</v>
      </c>
      <c r="CQ198" s="4">
        <v>1.5</v>
      </c>
    </row>
    <row r="199" spans="1:95" x14ac:dyDescent="0.35">
      <c r="A199" s="55">
        <v>198</v>
      </c>
      <c r="B199" t="s">
        <v>99</v>
      </c>
      <c r="C199" s="27" t="s">
        <v>402</v>
      </c>
      <c r="D199" s="3" t="s">
        <v>88</v>
      </c>
      <c r="E199" s="33" t="s">
        <v>95</v>
      </c>
      <c r="F199" s="4">
        <f>IFERROR(AVERAGEIF(Table1[[#This Row],[2019-Apr]:[2025-July]],"&lt;&gt;0"),0)</f>
        <v>1.2442857142857144</v>
      </c>
      <c r="G199" s="4">
        <f ca="1">IFERROR(AVERAGEIF(OFFSET(Table1[[#This Row],[Status]],0,COUNT(Table1[[#This Row],[2019-May]:[2025-July]]),1,-12),"&lt;&gt;0"),0)</f>
        <v>0</v>
      </c>
      <c r="H199" s="55">
        <f>IFERROR(SMALL(Table1[[#This Row],[2019-Apr]:[2025-July]],COUNTIF(Table1[[#This Row],[2019-Apr]:[2025-July]],0)+1),0)</f>
        <v>0.81</v>
      </c>
      <c r="I199" s="55">
        <f>IFERROR(MAX(Table1[[#This Row],[2019-Apr]:[2025-July]]),0)</f>
        <v>1.88</v>
      </c>
      <c r="J199" s="4" cm="1">
        <f t="array" ref="J19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1.1383333333333334</v>
      </c>
      <c r="K199" s="4">
        <v>4.5</v>
      </c>
      <c r="L199" s="4">
        <f>IF(Table1[[#This Row],[Standard as per ISO]]&gt;=Table1[[#This Row],[Avg of best 6]],Table1[[#This Row],[Standard as per ISO]],Table1[[#This Row],[Avg of best 6]])</f>
        <v>4.5</v>
      </c>
      <c r="M199" s="4" cm="1">
        <f t="array" ref="M199">IFERROR(LOOKUP(2,1/(Table1[[#This Row],[2019-May]:[2025-July]]&lt;&gt;0),Table1[[#This Row],[2019-May]:[2025-July]]),0)</f>
        <v>1.1399999999999999</v>
      </c>
      <c r="N199" s="4">
        <f>COUNTIF(Table1[[#This Row],[2019-Apr]:[2025-July]],"&gt;="&amp;Table1[[#This Row],[Target]])</f>
        <v>0</v>
      </c>
      <c r="O199" s="4">
        <f>IF(Table1[[#This Row],[Outliers 2Y]]=0,1,0)</f>
        <v>1</v>
      </c>
      <c r="P199" s="4">
        <f>IF(Table1[[#This Row],[Last value]]&gt;1.5*Table1[[#This Row],[Target]],1,0)</f>
        <v>0</v>
      </c>
      <c r="Q199" s="4">
        <f>IF(AND(1.5*Table1[[#This Row],[Target]]&gt;=Table1[[#This Row],[Last value]],Table1[[#This Row],[Last value]]&gt;Table1[[#This Row],[Target]]),1,0)</f>
        <v>0</v>
      </c>
      <c r="R199" s="4">
        <f>IF(Table1[[#This Row],[Target]]&gt;=Table1[[#This Row],[Last value]],1,0)</f>
        <v>1</v>
      </c>
      <c r="S199" s="4" t="str">
        <f t="shared" si="4"/>
        <v>Green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1.1000000000000001</v>
      </c>
      <c r="Z199">
        <v>1.84</v>
      </c>
      <c r="AA199">
        <v>0.81</v>
      </c>
      <c r="AB199">
        <v>1.88</v>
      </c>
      <c r="AC199">
        <v>1.04</v>
      </c>
      <c r="AD199">
        <v>0.9</v>
      </c>
      <c r="AE199">
        <v>1.1399999999999999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8">
        <v>0</v>
      </c>
      <c r="AS199" s="8">
        <v>0</v>
      </c>
      <c r="AT199" s="8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>
        <v>0</v>
      </c>
      <c r="BE199" s="11">
        <v>0</v>
      </c>
      <c r="BF199" s="4">
        <v>0</v>
      </c>
      <c r="BG199" s="4">
        <v>0</v>
      </c>
      <c r="BH199" s="4">
        <v>0</v>
      </c>
      <c r="BI199" s="4">
        <v>0</v>
      </c>
      <c r="BJ199" s="13">
        <v>0</v>
      </c>
      <c r="BK199" s="13">
        <v>0</v>
      </c>
      <c r="BL199" s="4">
        <v>0</v>
      </c>
      <c r="BM199" s="16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 s="19">
        <v>0</v>
      </c>
      <c r="CF199" s="19">
        <v>0</v>
      </c>
      <c r="CG199" s="4">
        <v>0</v>
      </c>
      <c r="CH199" s="4">
        <v>0</v>
      </c>
      <c r="CI199" s="4">
        <v>0</v>
      </c>
      <c r="CJ199" s="34">
        <v>0</v>
      </c>
      <c r="CK199" s="34">
        <v>0</v>
      </c>
      <c r="CL199" s="34">
        <v>0</v>
      </c>
      <c r="CM199" s="4">
        <v>0</v>
      </c>
      <c r="CN199" s="53">
        <v>0</v>
      </c>
      <c r="CO199" s="54">
        <v>0</v>
      </c>
      <c r="CP199" s="54">
        <v>0</v>
      </c>
      <c r="CQ199" s="4">
        <v>0</v>
      </c>
    </row>
    <row r="200" spans="1:95" x14ac:dyDescent="0.35">
      <c r="A200" s="55">
        <v>199</v>
      </c>
      <c r="B200" t="s">
        <v>99</v>
      </c>
      <c r="C200" s="27" t="s">
        <v>403</v>
      </c>
      <c r="D200" s="3" t="s">
        <v>88</v>
      </c>
      <c r="E200" s="33" t="s">
        <v>91</v>
      </c>
      <c r="F200" s="4">
        <f>IFERROR(AVERAGEIF(Table1[[#This Row],[2019-Apr]:[2025-July]],"&lt;&gt;0"),0)</f>
        <v>2.8686379310344838</v>
      </c>
      <c r="G200" s="4">
        <f ca="1">IFERROR(AVERAGEIF(OFFSET(Table1[[#This Row],[Status]],0,COUNT(Table1[[#This Row],[2019-May]:[2025-July]]),1,-12),"&lt;&gt;0"),0)</f>
        <v>1.55</v>
      </c>
      <c r="H200" s="55">
        <f>IFERROR(SMALL(Table1[[#This Row],[2019-Apr]:[2025-July]],COUNTIF(Table1[[#This Row],[2019-Apr]:[2025-July]],0)+1),0)</f>
        <v>1.04</v>
      </c>
      <c r="I200" s="55">
        <f>IFERROR(MAX(Table1[[#This Row],[2019-Apr]:[2025-July]]),0)</f>
        <v>6.9</v>
      </c>
      <c r="J200" s="4" cm="1">
        <f t="array" ref="J20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1.6005</v>
      </c>
      <c r="K200" s="4">
        <v>4.5</v>
      </c>
      <c r="L200" s="4">
        <f>IF(Table1[[#This Row],[Standard as per ISO]]&gt;=Table1[[#This Row],[Avg of best 6]],Table1[[#This Row],[Standard as per ISO]],Table1[[#This Row],[Avg of best 6]])</f>
        <v>4.5</v>
      </c>
      <c r="M200" s="4" cm="1">
        <f t="array" ref="M200">IFERROR(LOOKUP(2,1/(Table1[[#This Row],[2019-May]:[2025-July]]&lt;&gt;0),Table1[[#This Row],[2019-May]:[2025-July]]),0)</f>
        <v>2.06</v>
      </c>
      <c r="N200" s="4">
        <f>COUNTIF(Table1[[#This Row],[2019-Apr]:[2025-July]],"&gt;="&amp;Table1[[#This Row],[Target]])</f>
        <v>4</v>
      </c>
      <c r="O200" s="4">
        <f>IF(Table1[[#This Row],[Outliers 2Y]]=0,1,0)</f>
        <v>0</v>
      </c>
      <c r="P200" s="4">
        <f>IF(Table1[[#This Row],[Last value]]&gt;1.5*Table1[[#This Row],[Target]],1,0)</f>
        <v>0</v>
      </c>
      <c r="Q200" s="4">
        <f>IF(AND(1.5*Table1[[#This Row],[Target]]&gt;=Table1[[#This Row],[Last value]],Table1[[#This Row],[Last value]]&gt;Table1[[#This Row],[Target]]),1,0)</f>
        <v>0</v>
      </c>
      <c r="R200" s="4">
        <f>IF(Table1[[#This Row],[Target]]&gt;=Table1[[#This Row],[Last value]],1,0)</f>
        <v>1</v>
      </c>
      <c r="S200" s="4" t="str">
        <f t="shared" si="4"/>
        <v>Green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2.9</v>
      </c>
      <c r="Z200">
        <v>3.11</v>
      </c>
      <c r="AA200">
        <v>2.9</v>
      </c>
      <c r="AB200">
        <v>1.73</v>
      </c>
      <c r="AC200">
        <v>1.68</v>
      </c>
      <c r="AD200">
        <v>2.2000000000000002</v>
      </c>
      <c r="AE200">
        <v>2.2999999999999998</v>
      </c>
      <c r="AF200">
        <v>3.3</v>
      </c>
      <c r="AG200">
        <v>3.85</v>
      </c>
      <c r="AH200">
        <v>2.1</v>
      </c>
      <c r="AI200">
        <v>3.32</v>
      </c>
      <c r="AJ200">
        <v>4.38</v>
      </c>
      <c r="AK200">
        <v>2.38</v>
      </c>
      <c r="AL200">
        <v>2.34</v>
      </c>
      <c r="AM200">
        <v>3.35</v>
      </c>
      <c r="AN200">
        <v>4.8600000000000003</v>
      </c>
      <c r="AO200">
        <v>6.9</v>
      </c>
      <c r="AP200">
        <v>2.7</v>
      </c>
      <c r="AQ200">
        <v>3.28</v>
      </c>
      <c r="AR200" s="8">
        <v>2.76</v>
      </c>
      <c r="AS200" s="8">
        <v>2.71</v>
      </c>
      <c r="AT200" s="8">
        <v>2.2000000000000002</v>
      </c>
      <c r="AU200" s="3">
        <v>2</v>
      </c>
      <c r="AV200" s="3">
        <v>2.54</v>
      </c>
      <c r="AW200" s="3">
        <v>2.89</v>
      </c>
      <c r="AX200" s="3">
        <v>2.71</v>
      </c>
      <c r="AY200" s="3">
        <v>2.13</v>
      </c>
      <c r="AZ200" s="3">
        <v>2.5</v>
      </c>
      <c r="BA200" s="3">
        <v>2.8</v>
      </c>
      <c r="BB200" s="3">
        <v>2.7</v>
      </c>
      <c r="BC200">
        <v>2.9</v>
      </c>
      <c r="BD200">
        <v>0</v>
      </c>
      <c r="BE200" s="11">
        <v>2.54</v>
      </c>
      <c r="BF200" s="4">
        <v>0</v>
      </c>
      <c r="BG200" s="4">
        <v>2.54</v>
      </c>
      <c r="BH200" s="4">
        <v>3.3140000000000001</v>
      </c>
      <c r="BI200" s="4">
        <v>3.0019999999999998</v>
      </c>
      <c r="BJ200" s="14">
        <v>2.1629999999999998</v>
      </c>
      <c r="BK200" s="14">
        <v>2.7269999999999999</v>
      </c>
      <c r="BL200" s="4">
        <v>3.56</v>
      </c>
      <c r="BM200" s="17">
        <v>2.7480000000000002</v>
      </c>
      <c r="BN200" s="4">
        <v>2.8650000000000002</v>
      </c>
      <c r="BO200" s="4">
        <v>3.3769999999999998</v>
      </c>
      <c r="BP200" s="4">
        <v>2.2909999999999999</v>
      </c>
      <c r="BQ200" s="4">
        <v>3.1669999999999998</v>
      </c>
      <c r="BR200" s="4">
        <v>2.6970000000000001</v>
      </c>
      <c r="BS200" s="4">
        <v>2.4009999999999998</v>
      </c>
      <c r="BT200" s="4">
        <v>1.923</v>
      </c>
      <c r="BU200" s="4">
        <v>2.548</v>
      </c>
      <c r="BV200" s="4">
        <v>3.55</v>
      </c>
      <c r="BW200" s="4">
        <v>3.1150000000000002</v>
      </c>
      <c r="BX200" s="4">
        <v>3.2549999999999999</v>
      </c>
      <c r="BY200" s="4">
        <v>2.6379999999999999</v>
      </c>
      <c r="BZ200">
        <v>5.51</v>
      </c>
      <c r="CA200">
        <v>3.09</v>
      </c>
      <c r="CB200">
        <v>4.6100000000000003</v>
      </c>
      <c r="CC200">
        <v>1.4</v>
      </c>
      <c r="CD200">
        <v>1.83</v>
      </c>
      <c r="CE200" s="19">
        <v>0</v>
      </c>
      <c r="CF200" s="19">
        <v>0</v>
      </c>
      <c r="CG200" s="4">
        <v>1.04</v>
      </c>
      <c r="CH200" s="4">
        <v>2.06</v>
      </c>
      <c r="CI200" s="4">
        <v>0</v>
      </c>
      <c r="CJ200" s="34">
        <v>0</v>
      </c>
      <c r="CK200" s="34">
        <v>0</v>
      </c>
      <c r="CL200" s="34">
        <v>0</v>
      </c>
      <c r="CM200" s="4">
        <v>0</v>
      </c>
      <c r="CN200" s="53">
        <v>0</v>
      </c>
      <c r="CO200" s="54">
        <v>0</v>
      </c>
      <c r="CP200" s="54">
        <v>0</v>
      </c>
      <c r="CQ200" s="4">
        <v>0</v>
      </c>
    </row>
    <row r="201" spans="1:95" x14ac:dyDescent="0.35">
      <c r="A201" s="55">
        <v>200</v>
      </c>
      <c r="B201" t="s">
        <v>99</v>
      </c>
      <c r="C201" s="27" t="s">
        <v>404</v>
      </c>
      <c r="D201" s="3" t="s">
        <v>88</v>
      </c>
      <c r="E201" s="33" t="s">
        <v>91</v>
      </c>
      <c r="F201" s="4">
        <f>IFERROR(AVERAGEIF(Table1[[#This Row],[2019-Apr]:[2025-July]],"&lt;&gt;0"),0)</f>
        <v>1.8953090909090913</v>
      </c>
      <c r="G201" s="4">
        <f ca="1">IFERROR(AVERAGEIF(OFFSET(Table1[[#This Row],[Status]],0,COUNT(Table1[[#This Row],[2019-May]:[2025-July]]),1,-12),"&lt;&gt;0"),0)</f>
        <v>1.7250000000000001</v>
      </c>
      <c r="H201" s="55">
        <f>IFERROR(SMALL(Table1[[#This Row],[2019-Apr]:[2025-July]],COUNTIF(Table1[[#This Row],[2019-Apr]:[2025-July]],0)+1),0)</f>
        <v>1.3</v>
      </c>
      <c r="I201" s="55">
        <f>IFERROR(MAX(Table1[[#This Row],[2019-Apr]:[2025-July]]),0)</f>
        <v>2.839</v>
      </c>
      <c r="J201" s="4" cm="1">
        <f t="array" ref="J20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1.4160000000000001</v>
      </c>
      <c r="K201" s="4">
        <v>4.5</v>
      </c>
      <c r="L201" s="4">
        <f>IF(Table1[[#This Row],[Standard as per ISO]]&gt;=Table1[[#This Row],[Avg of best 6]],Table1[[#This Row],[Standard as per ISO]],Table1[[#This Row],[Avg of best 6]])</f>
        <v>4.5</v>
      </c>
      <c r="M201" s="4" cm="1">
        <f t="array" ref="M201">IFERROR(LOOKUP(2,1/(Table1[[#This Row],[2019-May]:[2025-July]]&lt;&gt;0),Table1[[#This Row],[2019-May]:[2025-July]]),0)</f>
        <v>1.65</v>
      </c>
      <c r="N201" s="4">
        <f>COUNTIF(Table1[[#This Row],[2019-Apr]:[2025-July]],"&gt;="&amp;Table1[[#This Row],[Target]])</f>
        <v>0</v>
      </c>
      <c r="O201" s="4">
        <f>IF(Table1[[#This Row],[Outliers 2Y]]=0,1,0)</f>
        <v>1</v>
      </c>
      <c r="P201" s="4">
        <f>IF(Table1[[#This Row],[Last value]]&gt;1.5*Table1[[#This Row],[Target]],1,0)</f>
        <v>0</v>
      </c>
      <c r="Q201" s="4">
        <f>IF(AND(1.5*Table1[[#This Row],[Target]]&gt;=Table1[[#This Row],[Last value]],Table1[[#This Row],[Last value]]&gt;Table1[[#This Row],[Target]]),1,0)</f>
        <v>0</v>
      </c>
      <c r="R201" s="4">
        <f>IF(Table1[[#This Row],[Target]]&gt;=Table1[[#This Row],[Last value]],1,0)</f>
        <v>1</v>
      </c>
      <c r="S201" s="4" t="str">
        <f t="shared" si="4"/>
        <v>Green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2.04</v>
      </c>
      <c r="Z201">
        <v>1.68</v>
      </c>
      <c r="AA201">
        <v>1.7</v>
      </c>
      <c r="AB201">
        <v>1.68</v>
      </c>
      <c r="AC201">
        <v>1.61</v>
      </c>
      <c r="AD201">
        <v>1.6</v>
      </c>
      <c r="AE201">
        <v>1.7</v>
      </c>
      <c r="AF201">
        <v>1.8</v>
      </c>
      <c r="AG201">
        <v>1.7</v>
      </c>
      <c r="AH201">
        <v>1.5</v>
      </c>
      <c r="AI201">
        <v>1.3</v>
      </c>
      <c r="AJ201">
        <v>0</v>
      </c>
      <c r="AK201">
        <v>1.55</v>
      </c>
      <c r="AL201">
        <v>1.8</v>
      </c>
      <c r="AM201">
        <v>1.96</v>
      </c>
      <c r="AN201">
        <v>2.33</v>
      </c>
      <c r="AO201">
        <v>1.7</v>
      </c>
      <c r="AP201">
        <v>1.7</v>
      </c>
      <c r="AQ201">
        <v>1.87</v>
      </c>
      <c r="AR201" s="8">
        <v>1.76</v>
      </c>
      <c r="AS201" s="8">
        <v>1.45</v>
      </c>
      <c r="AT201" s="8">
        <v>2.31</v>
      </c>
      <c r="AU201" s="3">
        <v>2.35</v>
      </c>
      <c r="AV201" s="3">
        <v>1.87</v>
      </c>
      <c r="AW201" s="3">
        <v>1.42</v>
      </c>
      <c r="AX201" s="3">
        <v>1.6</v>
      </c>
      <c r="AY201" s="3">
        <v>1.54</v>
      </c>
      <c r="AZ201" s="3">
        <v>2.4</v>
      </c>
      <c r="BA201" s="3">
        <v>1.9</v>
      </c>
      <c r="BB201" s="3">
        <v>2.2000000000000002</v>
      </c>
      <c r="BC201">
        <v>2.6</v>
      </c>
      <c r="BD201">
        <v>2.2000000000000002</v>
      </c>
      <c r="BE201" s="11">
        <v>2.0019999999999998</v>
      </c>
      <c r="BF201" s="4">
        <v>2.2690000000000001</v>
      </c>
      <c r="BG201" s="4">
        <v>2.113</v>
      </c>
      <c r="BH201" s="4">
        <v>2.5459999999999998</v>
      </c>
      <c r="BI201" s="4">
        <v>1.923</v>
      </c>
      <c r="BJ201" s="13">
        <v>1.6060000000000001</v>
      </c>
      <c r="BK201" s="13">
        <v>2.839</v>
      </c>
      <c r="BL201" s="4">
        <v>1.45</v>
      </c>
      <c r="BM201" s="16">
        <v>1.3759999999999999</v>
      </c>
      <c r="BN201" s="4">
        <v>2.1520000000000001</v>
      </c>
      <c r="BO201" s="4">
        <v>2.1749999999999998</v>
      </c>
      <c r="BP201" s="4">
        <v>2.2149999999999999</v>
      </c>
      <c r="BQ201" s="4">
        <v>1.97</v>
      </c>
      <c r="BR201" s="4">
        <v>2.169</v>
      </c>
      <c r="BS201" s="4">
        <v>1.946</v>
      </c>
      <c r="BT201" s="4">
        <v>1.9630000000000001</v>
      </c>
      <c r="BU201" s="4">
        <v>1.8089999999999999</v>
      </c>
      <c r="BV201" s="4">
        <v>1.736</v>
      </c>
      <c r="BW201" s="4">
        <v>1.8069999999999999</v>
      </c>
      <c r="BX201" s="4">
        <v>2.0369999999999999</v>
      </c>
      <c r="BY201" s="4">
        <v>1.829</v>
      </c>
      <c r="BZ201">
        <v>0</v>
      </c>
      <c r="CA201">
        <v>0</v>
      </c>
      <c r="CB201">
        <v>0</v>
      </c>
      <c r="CC201">
        <v>2.04</v>
      </c>
      <c r="CD201">
        <v>0</v>
      </c>
      <c r="CE201" s="19">
        <v>0</v>
      </c>
      <c r="CF201" s="19">
        <v>1.8</v>
      </c>
      <c r="CG201" s="4">
        <v>0</v>
      </c>
      <c r="CH201" s="4">
        <v>1.65</v>
      </c>
      <c r="CI201" s="4">
        <v>0</v>
      </c>
      <c r="CJ201" s="34">
        <v>0</v>
      </c>
      <c r="CK201" s="34">
        <v>0</v>
      </c>
      <c r="CL201" s="34">
        <v>0</v>
      </c>
      <c r="CM201" s="4">
        <v>0</v>
      </c>
      <c r="CN201" s="53">
        <v>0</v>
      </c>
      <c r="CO201" s="54">
        <v>0</v>
      </c>
      <c r="CP201" s="54">
        <v>0</v>
      </c>
      <c r="CQ201" s="4">
        <v>0</v>
      </c>
    </row>
    <row r="202" spans="1:95" x14ac:dyDescent="0.35">
      <c r="A202" s="55">
        <v>201</v>
      </c>
      <c r="B202" t="s">
        <v>99</v>
      </c>
      <c r="C202" s="27" t="s">
        <v>405</v>
      </c>
      <c r="D202" s="3" t="s">
        <v>88</v>
      </c>
      <c r="E202" s="33" t="s">
        <v>91</v>
      </c>
      <c r="F202" s="4">
        <f>IFERROR(AVERAGEIF(Table1[[#This Row],[2019-Apr]:[2025-July]],"&lt;&gt;0"),0)</f>
        <v>3.3717037037037034</v>
      </c>
      <c r="G202" s="4">
        <f ca="1">IFERROR(AVERAGEIF(OFFSET(Table1[[#This Row],[Status]],0,COUNT(Table1[[#This Row],[2019-May]:[2025-July]]),1,-12),"&lt;&gt;0"),0)</f>
        <v>2.0350000000000001</v>
      </c>
      <c r="H202" s="55">
        <f>IFERROR(SMALL(Table1[[#This Row],[2019-Apr]:[2025-July]],COUNTIF(Table1[[#This Row],[2019-Apr]:[2025-July]],0)+1),0)</f>
        <v>1.3759999999999999</v>
      </c>
      <c r="I202" s="55">
        <f>IFERROR(MAX(Table1[[#This Row],[2019-Apr]:[2025-July]]),0)</f>
        <v>13.6</v>
      </c>
      <c r="J202" s="4" cm="1">
        <f t="array" ref="J20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1.4715</v>
      </c>
      <c r="K202" s="4">
        <v>4.5</v>
      </c>
      <c r="L202" s="4">
        <f>IF(Table1[[#This Row],[Standard as per ISO]]&gt;=Table1[[#This Row],[Avg of best 6]],Table1[[#This Row],[Standard as per ISO]],Table1[[#This Row],[Avg of best 6]])</f>
        <v>4.5</v>
      </c>
      <c r="M202" s="4" cm="1">
        <f t="array" ref="M202">IFERROR(LOOKUP(2,1/(Table1[[#This Row],[2019-May]:[2025-July]]&lt;&gt;0),Table1[[#This Row],[2019-May]:[2025-July]]),0)</f>
        <v>1.57</v>
      </c>
      <c r="N202" s="4">
        <f>COUNTIF(Table1[[#This Row],[2019-Apr]:[2025-July]],"&gt;="&amp;Table1[[#This Row],[Target]])</f>
        <v>13</v>
      </c>
      <c r="O202" s="4">
        <f>IF(Table1[[#This Row],[Outliers 2Y]]=0,1,0)</f>
        <v>0</v>
      </c>
      <c r="P202" s="4">
        <f>IF(Table1[[#This Row],[Last value]]&gt;1.5*Table1[[#This Row],[Target]],1,0)</f>
        <v>0</v>
      </c>
      <c r="Q202" s="4">
        <f>IF(AND(1.5*Table1[[#This Row],[Target]]&gt;=Table1[[#This Row],[Last value]],Table1[[#This Row],[Last value]]&gt;Table1[[#This Row],[Target]]),1,0)</f>
        <v>0</v>
      </c>
      <c r="R202" s="4">
        <f>IF(Table1[[#This Row],[Target]]&gt;=Table1[[#This Row],[Last value]],1,0)</f>
        <v>1</v>
      </c>
      <c r="S202" s="4" t="str">
        <f t="shared" si="4"/>
        <v>Green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5.6</v>
      </c>
      <c r="Z202">
        <v>4.5999999999999996</v>
      </c>
      <c r="AA202">
        <v>6.2</v>
      </c>
      <c r="AB202">
        <v>5.54</v>
      </c>
      <c r="AC202">
        <v>4.8600000000000003</v>
      </c>
      <c r="AD202">
        <v>5.2</v>
      </c>
      <c r="AE202">
        <v>2.8</v>
      </c>
      <c r="AF202">
        <v>2.5</v>
      </c>
      <c r="AG202">
        <v>2.5</v>
      </c>
      <c r="AH202">
        <v>2.6</v>
      </c>
      <c r="AI202">
        <v>2.72</v>
      </c>
      <c r="AJ202">
        <v>0</v>
      </c>
      <c r="AK202">
        <v>7.04</v>
      </c>
      <c r="AL202">
        <v>7.56</v>
      </c>
      <c r="AM202">
        <v>7.43</v>
      </c>
      <c r="AN202">
        <v>5.6</v>
      </c>
      <c r="AO202">
        <v>8.5</v>
      </c>
      <c r="AP202">
        <v>13.6</v>
      </c>
      <c r="AQ202">
        <v>3.4</v>
      </c>
      <c r="AR202" s="8">
        <v>8.19</v>
      </c>
      <c r="AS202" s="8">
        <v>1.77</v>
      </c>
      <c r="AT202" s="8">
        <v>2.12</v>
      </c>
      <c r="AU202" s="3">
        <v>1.91</v>
      </c>
      <c r="AV202" s="3">
        <v>1.78</v>
      </c>
      <c r="AW202" s="3">
        <v>1.39</v>
      </c>
      <c r="AX202" s="3">
        <v>1.68</v>
      </c>
      <c r="AY202" s="3">
        <v>2.77</v>
      </c>
      <c r="AZ202" s="3">
        <v>2.5</v>
      </c>
      <c r="BA202" s="3">
        <v>1.9</v>
      </c>
      <c r="BB202" s="3">
        <v>1.4</v>
      </c>
      <c r="BC202">
        <v>2.9</v>
      </c>
      <c r="BD202">
        <v>2.2999999999999998</v>
      </c>
      <c r="BE202" s="11">
        <v>2.161</v>
      </c>
      <c r="BF202" s="4">
        <v>2.3130000000000002</v>
      </c>
      <c r="BG202" s="4">
        <v>2.5979999999999999</v>
      </c>
      <c r="BH202" s="4">
        <v>1.6759999999999999</v>
      </c>
      <c r="BI202" s="4">
        <v>2.222</v>
      </c>
      <c r="BJ202" s="14">
        <v>1.7649999999999999</v>
      </c>
      <c r="BK202" s="14">
        <v>2.839</v>
      </c>
      <c r="BL202" s="4">
        <v>1.45</v>
      </c>
      <c r="BM202" s="17">
        <v>1.3759999999999999</v>
      </c>
      <c r="BN202" s="4">
        <v>2.1520000000000001</v>
      </c>
      <c r="BO202" s="4">
        <v>2.0830000000000002</v>
      </c>
      <c r="BP202" s="4">
        <v>3.7730000000000001</v>
      </c>
      <c r="BQ202" s="4">
        <v>1.643</v>
      </c>
      <c r="BR202" s="4">
        <v>2.7749999999999999</v>
      </c>
      <c r="BS202" s="4">
        <v>2.1779999999999999</v>
      </c>
      <c r="BT202" s="4">
        <v>1.7769999999999999</v>
      </c>
      <c r="BU202" s="4">
        <v>2.5979999999999999</v>
      </c>
      <c r="BV202" s="4">
        <v>2.302</v>
      </c>
      <c r="BW202" s="4">
        <v>2.9</v>
      </c>
      <c r="BX202" s="4">
        <v>2.1040000000000001</v>
      </c>
      <c r="BY202" s="4">
        <v>2.4569999999999999</v>
      </c>
      <c r="BZ202">
        <v>0</v>
      </c>
      <c r="CA202">
        <v>0</v>
      </c>
      <c r="CB202">
        <v>0</v>
      </c>
      <c r="CC202">
        <v>0</v>
      </c>
      <c r="CD202">
        <v>0</v>
      </c>
      <c r="CE202" s="19">
        <v>2.5</v>
      </c>
      <c r="CF202" s="19">
        <v>0</v>
      </c>
      <c r="CG202" s="4">
        <v>0</v>
      </c>
      <c r="CH202" s="4">
        <v>1.57</v>
      </c>
      <c r="CI202" s="4">
        <v>0</v>
      </c>
      <c r="CJ202" s="34">
        <v>0</v>
      </c>
      <c r="CK202" s="34">
        <v>0</v>
      </c>
      <c r="CL202" s="34">
        <v>0</v>
      </c>
      <c r="CM202" s="4">
        <v>0</v>
      </c>
      <c r="CN202" s="53">
        <v>0</v>
      </c>
      <c r="CO202" s="54">
        <v>0</v>
      </c>
      <c r="CP202" s="54">
        <v>0</v>
      </c>
      <c r="CQ202" s="4">
        <v>0</v>
      </c>
    </row>
    <row r="203" spans="1:95" x14ac:dyDescent="0.35">
      <c r="A203" s="55">
        <v>202</v>
      </c>
      <c r="B203" t="s">
        <v>99</v>
      </c>
      <c r="C203" s="27" t="s">
        <v>406</v>
      </c>
      <c r="D203" s="3" t="s">
        <v>88</v>
      </c>
      <c r="E203" s="33" t="s">
        <v>91</v>
      </c>
      <c r="F203" s="4">
        <f>IFERROR(AVERAGEIF(Table1[[#This Row],[2019-Apr]:[2025-July]],"&lt;&gt;0"),0)</f>
        <v>3.8695000000000008</v>
      </c>
      <c r="G203" s="4">
        <f ca="1">IFERROR(AVERAGEIF(OFFSET(Table1[[#This Row],[Status]],0,COUNT(Table1[[#This Row],[2019-May]:[2025-July]]),1,-12),"&lt;&gt;0"),0)</f>
        <v>9.3266666666666662</v>
      </c>
      <c r="H203" s="55">
        <f>IFERROR(SMALL(Table1[[#This Row],[2019-Apr]:[2025-July]],COUNTIF(Table1[[#This Row],[2019-Apr]:[2025-July]],0)+1),0)</f>
        <v>2.59</v>
      </c>
      <c r="I203" s="55">
        <f>IFERROR(MAX(Table1[[#This Row],[2019-Apr]:[2025-July]]),0)</f>
        <v>13.49</v>
      </c>
      <c r="J203" s="4" cm="1">
        <f t="array" ref="J20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2.7258333333333336</v>
      </c>
      <c r="K203" s="4">
        <v>4.5</v>
      </c>
      <c r="L203" s="4">
        <f>IF(Table1[[#This Row],[Standard as per ISO]]&gt;=Table1[[#This Row],[Avg of best 6]],Table1[[#This Row],[Standard as per ISO]],Table1[[#This Row],[Avg of best 6]])</f>
        <v>4.5</v>
      </c>
      <c r="M203" s="4" cm="1">
        <f t="array" ref="M203">IFERROR(LOOKUP(2,1/(Table1[[#This Row],[2019-May]:[2025-July]]&lt;&gt;0),Table1[[#This Row],[2019-May]:[2025-July]]),0)</f>
        <v>3.59</v>
      </c>
      <c r="N203" s="4">
        <f>COUNTIF(Table1[[#This Row],[2019-Apr]:[2025-July]],"&gt;="&amp;Table1[[#This Row],[Target]])</f>
        <v>6</v>
      </c>
      <c r="O203" s="4">
        <f>IF(Table1[[#This Row],[Outliers 2Y]]=0,1,0)</f>
        <v>0</v>
      </c>
      <c r="P203" s="4">
        <f>IF(Table1[[#This Row],[Last value]]&gt;1.5*Table1[[#This Row],[Target]],1,0)</f>
        <v>0</v>
      </c>
      <c r="Q203" s="4">
        <f>IF(AND(1.5*Table1[[#This Row],[Target]]&gt;=Table1[[#This Row],[Last value]],Table1[[#This Row],[Last value]]&gt;Table1[[#This Row],[Target]]),1,0)</f>
        <v>0</v>
      </c>
      <c r="R203" s="4">
        <f>IF(Table1[[#This Row],[Target]]&gt;=Table1[[#This Row],[Last value]],1,0)</f>
        <v>1</v>
      </c>
      <c r="S203" s="4" t="str">
        <f t="shared" si="4"/>
        <v>Green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6.08</v>
      </c>
      <c r="Z203">
        <v>6.15</v>
      </c>
      <c r="AA203">
        <v>6.6</v>
      </c>
      <c r="AB203">
        <v>9.6999999999999993</v>
      </c>
      <c r="AC203">
        <v>2.73</v>
      </c>
      <c r="AD203">
        <v>2.8</v>
      </c>
      <c r="AE203">
        <v>3.6</v>
      </c>
      <c r="AF203">
        <v>3</v>
      </c>
      <c r="AG203">
        <v>3.3</v>
      </c>
      <c r="AH203">
        <v>3</v>
      </c>
      <c r="AI203">
        <v>3.08</v>
      </c>
      <c r="AJ203">
        <v>0</v>
      </c>
      <c r="AK203">
        <v>3.45</v>
      </c>
      <c r="AL203">
        <v>4</v>
      </c>
      <c r="AM203">
        <v>3.16</v>
      </c>
      <c r="AN203">
        <v>3.99</v>
      </c>
      <c r="AO203">
        <v>3.1</v>
      </c>
      <c r="AP203">
        <v>3.45</v>
      </c>
      <c r="AQ203">
        <v>3.25</v>
      </c>
      <c r="AR203" s="8">
        <v>3.2</v>
      </c>
      <c r="AS203" s="8">
        <v>3.69</v>
      </c>
      <c r="AT203" s="8">
        <v>3.46</v>
      </c>
      <c r="AU203" s="3">
        <v>4.05</v>
      </c>
      <c r="AV203" s="3">
        <v>3.1</v>
      </c>
      <c r="AW203" s="3">
        <v>3.53</v>
      </c>
      <c r="AX203" s="3">
        <v>3.97</v>
      </c>
      <c r="AY203" s="3">
        <v>3.64</v>
      </c>
      <c r="AZ203" s="3">
        <v>3.1</v>
      </c>
      <c r="BA203" s="3">
        <v>3.8</v>
      </c>
      <c r="BB203" s="3">
        <v>2.7</v>
      </c>
      <c r="BC203">
        <v>3.4</v>
      </c>
      <c r="BD203">
        <v>3.4</v>
      </c>
      <c r="BE203" s="11">
        <v>2.59</v>
      </c>
      <c r="BF203" s="4">
        <v>3.4660000000000002</v>
      </c>
      <c r="BG203" s="4">
        <v>2.8</v>
      </c>
      <c r="BH203" s="4">
        <v>3.0790000000000002</v>
      </c>
      <c r="BI203" s="4">
        <v>2.8109999999999999</v>
      </c>
      <c r="BJ203" s="13">
        <v>3.15</v>
      </c>
      <c r="BK203" s="13">
        <v>3.0150000000000001</v>
      </c>
      <c r="BL203" s="4">
        <v>3.0710000000000002</v>
      </c>
      <c r="BM203" s="16">
        <v>2.7389999999999999</v>
      </c>
      <c r="BN203" s="4">
        <v>3.3330000000000002</v>
      </c>
      <c r="BO203" s="4">
        <v>3.3730000000000002</v>
      </c>
      <c r="BP203" s="4">
        <v>3.6589999999999998</v>
      </c>
      <c r="BQ203" s="4">
        <v>2.7959999999999998</v>
      </c>
      <c r="BR203" s="4">
        <v>3.1629999999999998</v>
      </c>
      <c r="BS203" s="4">
        <v>2.9910000000000001</v>
      </c>
      <c r="BT203" s="4">
        <v>3.4449999999999998</v>
      </c>
      <c r="BU203" s="4">
        <v>3.319</v>
      </c>
      <c r="BV203" s="4">
        <v>3.6320000000000001</v>
      </c>
      <c r="BW203" s="4">
        <v>3.2170000000000001</v>
      </c>
      <c r="BX203" s="4">
        <v>2.972</v>
      </c>
      <c r="BY203" s="4">
        <v>3.3109999999999999</v>
      </c>
      <c r="BZ203">
        <v>0</v>
      </c>
      <c r="CA203">
        <v>0</v>
      </c>
      <c r="CB203">
        <v>0</v>
      </c>
      <c r="CC203">
        <v>3.3</v>
      </c>
      <c r="CD203">
        <v>0</v>
      </c>
      <c r="CE203" s="19">
        <v>0</v>
      </c>
      <c r="CF203" s="19">
        <v>10.9</v>
      </c>
      <c r="CG203" s="4">
        <v>13.49</v>
      </c>
      <c r="CH203" s="4">
        <v>3.59</v>
      </c>
      <c r="CI203" s="4">
        <v>0</v>
      </c>
      <c r="CJ203" s="34">
        <v>0</v>
      </c>
      <c r="CK203" s="34">
        <v>0</v>
      </c>
      <c r="CL203" s="34">
        <v>0</v>
      </c>
      <c r="CM203" s="4">
        <v>0</v>
      </c>
      <c r="CN203" s="53">
        <v>0</v>
      </c>
      <c r="CO203" s="54">
        <v>0</v>
      </c>
      <c r="CP203" s="54">
        <v>0</v>
      </c>
      <c r="CQ203" s="4">
        <v>0</v>
      </c>
    </row>
    <row r="204" spans="1:95" x14ac:dyDescent="0.35">
      <c r="A204" s="55">
        <v>203</v>
      </c>
      <c r="B204" t="s">
        <v>99</v>
      </c>
      <c r="C204" s="27" t="s">
        <v>407</v>
      </c>
      <c r="D204" s="3" t="s">
        <v>104</v>
      </c>
      <c r="E204" s="33" t="s">
        <v>89</v>
      </c>
      <c r="F204" s="4">
        <f>IFERROR(AVERAGEIF(Table1[[#This Row],[2019-Apr]:[2025-July]],"&lt;&gt;0"),0)</f>
        <v>7.4064130434782607</v>
      </c>
      <c r="G204" s="4">
        <f ca="1">IFERROR(AVERAGEIF(OFFSET(Table1[[#This Row],[Status]],0,COUNT(Table1[[#This Row],[2019-May]:[2025-July]]),1,-12),"&lt;&gt;0"),0)</f>
        <v>6.2859999999999996</v>
      </c>
      <c r="H204" s="55">
        <f>IFERROR(SMALL(Table1[[#This Row],[2019-Apr]:[2025-July]],COUNTIF(Table1[[#This Row],[2019-Apr]:[2025-July]],0)+1),0)</f>
        <v>3.2629999999999999</v>
      </c>
      <c r="I204" s="55">
        <f>IFERROR(MAX(Table1[[#This Row],[2019-Apr]:[2025-July]]),0)</f>
        <v>15.5</v>
      </c>
      <c r="J204" s="4" cm="1">
        <f t="array" ref="J20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3.5884999999999998</v>
      </c>
      <c r="K204" s="4">
        <v>4.5</v>
      </c>
      <c r="L204" s="4">
        <f>IF(Table1[[#This Row],[Standard as per ISO]]&gt;=Table1[[#This Row],[Avg of best 6]],Table1[[#This Row],[Standard as per ISO]],Table1[[#This Row],[Avg of best 6]])</f>
        <v>4.5</v>
      </c>
      <c r="M204" s="4" cm="1">
        <f t="array" ref="M204">IFERROR(LOOKUP(2,1/(Table1[[#This Row],[2019-May]:[2025-July]]&lt;&gt;0),Table1[[#This Row],[2019-May]:[2025-July]]),0)</f>
        <v>8</v>
      </c>
      <c r="N204" s="4">
        <f>COUNTIF(Table1[[#This Row],[2019-Apr]:[2025-July]],"&gt;="&amp;Table1[[#This Row],[Target]])</f>
        <v>40</v>
      </c>
      <c r="O204" s="4">
        <f>IF(Table1[[#This Row],[Outliers 2Y]]=0,1,0)</f>
        <v>0</v>
      </c>
      <c r="P204" s="4">
        <f>IF(Table1[[#This Row],[Last value]]&gt;1.5*Table1[[#This Row],[Target]],1,0)</f>
        <v>1</v>
      </c>
      <c r="Q204" s="4">
        <f>IF(AND(1.5*Table1[[#This Row],[Target]]&gt;=Table1[[#This Row],[Last value]],Table1[[#This Row],[Last value]]&gt;Table1[[#This Row],[Target]]),1,0)</f>
        <v>0</v>
      </c>
      <c r="R204" s="4">
        <f>IF(Table1[[#This Row],[Target]]&gt;=Table1[[#This Row],[Last value]],1,0)</f>
        <v>0</v>
      </c>
      <c r="S204" s="4" t="str">
        <f t="shared" si="4"/>
        <v>Red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12.2</v>
      </c>
      <c r="AB204">
        <v>13</v>
      </c>
      <c r="AC204">
        <v>11.4</v>
      </c>
      <c r="AD204">
        <v>0</v>
      </c>
      <c r="AE204">
        <v>9.5</v>
      </c>
      <c r="AF204">
        <v>15.4</v>
      </c>
      <c r="AG204">
        <v>13.8</v>
      </c>
      <c r="AH204">
        <v>15.5</v>
      </c>
      <c r="AI204">
        <v>14.7</v>
      </c>
      <c r="AJ204">
        <v>7.3</v>
      </c>
      <c r="AK204">
        <v>6.97</v>
      </c>
      <c r="AL204">
        <v>0</v>
      </c>
      <c r="AM204">
        <v>0</v>
      </c>
      <c r="AN204">
        <v>6.37</v>
      </c>
      <c r="AO204">
        <v>8.3000000000000007</v>
      </c>
      <c r="AP204">
        <v>6.37</v>
      </c>
      <c r="AQ204">
        <v>0</v>
      </c>
      <c r="AR204" s="8">
        <v>7.54</v>
      </c>
      <c r="AS204" s="8">
        <v>7.1</v>
      </c>
      <c r="AT204" s="8">
        <v>6.88</v>
      </c>
      <c r="AU204" s="3">
        <v>9.1199999999999992</v>
      </c>
      <c r="AV204" s="3">
        <v>0</v>
      </c>
      <c r="AW204" s="3">
        <v>6.15</v>
      </c>
      <c r="AX204" s="3">
        <v>6.68</v>
      </c>
      <c r="AY204" s="3">
        <v>6.99</v>
      </c>
      <c r="AZ204" s="3">
        <v>0</v>
      </c>
      <c r="BA204" s="3">
        <v>3.3</v>
      </c>
      <c r="BB204" s="3">
        <v>11.1</v>
      </c>
      <c r="BC204">
        <v>7.7</v>
      </c>
      <c r="BD204">
        <v>0</v>
      </c>
      <c r="BE204" s="11">
        <v>5.5330000000000004</v>
      </c>
      <c r="BF204" s="4">
        <v>6.742</v>
      </c>
      <c r="BG204" s="4">
        <v>0</v>
      </c>
      <c r="BH204" s="4">
        <v>4.0750000000000002</v>
      </c>
      <c r="BI204" s="4">
        <v>6.8470000000000004</v>
      </c>
      <c r="BJ204" s="14">
        <v>5.6520000000000001</v>
      </c>
      <c r="BK204" s="14">
        <v>4.9489999999999998</v>
      </c>
      <c r="BL204" s="4">
        <v>3.6859999999999999</v>
      </c>
      <c r="BM204" s="17">
        <v>3.2629999999999999</v>
      </c>
      <c r="BN204" s="4">
        <v>5.3369999999999997</v>
      </c>
      <c r="BO204" s="4">
        <v>6.0629999999999997</v>
      </c>
      <c r="BP204" s="4">
        <v>0</v>
      </c>
      <c r="BQ204" s="4">
        <v>5.7789999999999999</v>
      </c>
      <c r="BR204" s="4">
        <v>0</v>
      </c>
      <c r="BS204" s="4">
        <v>0</v>
      </c>
      <c r="BT204" s="4">
        <v>5.468</v>
      </c>
      <c r="BU204" s="4">
        <v>0</v>
      </c>
      <c r="BV204" s="4">
        <v>0</v>
      </c>
      <c r="BW204" s="4">
        <v>5.9859999999999998</v>
      </c>
      <c r="BX204" s="4">
        <v>3.347</v>
      </c>
      <c r="BY204" s="4">
        <v>4.548</v>
      </c>
      <c r="BZ204">
        <v>0</v>
      </c>
      <c r="CA204">
        <v>6.76</v>
      </c>
      <c r="CB204">
        <v>3.86</v>
      </c>
      <c r="CC204">
        <v>0</v>
      </c>
      <c r="CD204">
        <v>0</v>
      </c>
      <c r="CE204" s="19">
        <v>0</v>
      </c>
      <c r="CF204" s="19">
        <v>6.2</v>
      </c>
      <c r="CG204" s="4">
        <v>6.38</v>
      </c>
      <c r="CH204" s="4">
        <v>5.55</v>
      </c>
      <c r="CI204" s="4">
        <v>0</v>
      </c>
      <c r="CJ204" s="34">
        <v>0</v>
      </c>
      <c r="CK204" s="34">
        <v>0</v>
      </c>
      <c r="CL204" s="43">
        <v>6.5</v>
      </c>
      <c r="CM204" s="4">
        <v>0</v>
      </c>
      <c r="CN204" s="53">
        <v>0</v>
      </c>
      <c r="CO204" s="54">
        <v>6.8</v>
      </c>
      <c r="CP204" s="54">
        <v>0</v>
      </c>
      <c r="CQ204" s="4">
        <v>8</v>
      </c>
    </row>
    <row r="205" spans="1:95" x14ac:dyDescent="0.35">
      <c r="A205" s="55">
        <v>204</v>
      </c>
      <c r="B205" t="s">
        <v>99</v>
      </c>
      <c r="C205" s="27" t="s">
        <v>408</v>
      </c>
      <c r="D205" s="3" t="s">
        <v>104</v>
      </c>
      <c r="E205" s="33" t="s">
        <v>89</v>
      </c>
      <c r="F205" s="4">
        <f>IFERROR(AVERAGEIF(Table1[[#This Row],[2019-Apr]:[2025-July]],"&lt;&gt;0"),0)</f>
        <v>8.7822857142857149</v>
      </c>
      <c r="G205" s="4">
        <f ca="1">IFERROR(AVERAGEIF(OFFSET(Table1[[#This Row],[Status]],0,COUNT(Table1[[#This Row],[2019-May]:[2025-July]]),1,-12),"&lt;&gt;0"),0)</f>
        <v>9.0033333333333339</v>
      </c>
      <c r="H205" s="55">
        <f>IFERROR(SMALL(Table1[[#This Row],[2019-Apr]:[2025-July]],COUNTIF(Table1[[#This Row],[2019-Apr]:[2025-July]],0)+1),0)</f>
        <v>4.6059999999999999</v>
      </c>
      <c r="I205" s="55">
        <f>IFERROR(MAX(Table1[[#This Row],[2019-Apr]:[2025-July]]),0)</f>
        <v>17.100000000000001</v>
      </c>
      <c r="J205" s="4" cm="1">
        <f t="array" ref="J20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4.7943333333333333</v>
      </c>
      <c r="K205" s="4">
        <v>4.5</v>
      </c>
      <c r="L205" s="4">
        <f>IF(Table1[[#This Row],[Standard as per ISO]]&gt;=Table1[[#This Row],[Avg of best 6]],Table1[[#This Row],[Standard as per ISO]],Table1[[#This Row],[Avg of best 6]])</f>
        <v>4.7943333333333333</v>
      </c>
      <c r="M205" s="4" cm="1">
        <f t="array" ref="M205">IFERROR(LOOKUP(2,1/(Table1[[#This Row],[2019-May]:[2025-July]]&lt;&gt;0),Table1[[#This Row],[2019-May]:[2025-July]]),0)</f>
        <v>6.1</v>
      </c>
      <c r="N205" s="4">
        <f>COUNTIF(Table1[[#This Row],[2019-Apr]:[2025-July]],"&gt;="&amp;Table1[[#This Row],[Target]])</f>
        <v>46</v>
      </c>
      <c r="O205" s="4">
        <f>IF(Table1[[#This Row],[Outliers 2Y]]=0,1,0)</f>
        <v>0</v>
      </c>
      <c r="P205" s="4">
        <f>IF(Table1[[#This Row],[Last value]]&gt;1.5*Table1[[#This Row],[Target]],1,0)</f>
        <v>0</v>
      </c>
      <c r="Q205" s="4">
        <f>IF(AND(1.5*Table1[[#This Row],[Target]]&gt;=Table1[[#This Row],[Last value]],Table1[[#This Row],[Last value]]&gt;Table1[[#This Row],[Target]]),1,0)</f>
        <v>1</v>
      </c>
      <c r="R205" s="4">
        <f>IF(Table1[[#This Row],[Target]]&gt;=Table1[[#This Row],[Last value]],1,0)</f>
        <v>0</v>
      </c>
      <c r="S205" s="4" t="str">
        <f t="shared" si="4"/>
        <v>Yellow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13</v>
      </c>
      <c r="Z205">
        <v>17.100000000000001</v>
      </c>
      <c r="AA205">
        <v>0</v>
      </c>
      <c r="AB205">
        <v>11.6</v>
      </c>
      <c r="AC205">
        <v>0</v>
      </c>
      <c r="AD205">
        <v>10.1</v>
      </c>
      <c r="AE205">
        <v>0</v>
      </c>
      <c r="AF205">
        <v>0</v>
      </c>
      <c r="AG205">
        <v>14.7</v>
      </c>
      <c r="AH205">
        <v>9.4</v>
      </c>
      <c r="AI205">
        <v>9.14</v>
      </c>
      <c r="AJ205">
        <v>0</v>
      </c>
      <c r="AK205">
        <v>14.7</v>
      </c>
      <c r="AL205">
        <v>12.5</v>
      </c>
      <c r="AM205">
        <v>14.9</v>
      </c>
      <c r="AN205">
        <v>10.5</v>
      </c>
      <c r="AO205">
        <v>10.199999999999999</v>
      </c>
      <c r="AP205">
        <v>10.199999999999999</v>
      </c>
      <c r="AQ205">
        <v>9.18</v>
      </c>
      <c r="AR205" s="8">
        <v>0</v>
      </c>
      <c r="AS205" s="8">
        <v>0</v>
      </c>
      <c r="AT205" s="8">
        <v>15.2</v>
      </c>
      <c r="AU205" s="3">
        <v>11.7</v>
      </c>
      <c r="AV205" s="3">
        <v>10.7</v>
      </c>
      <c r="AW205" s="3">
        <v>10.6</v>
      </c>
      <c r="AX205" s="3">
        <v>0</v>
      </c>
      <c r="AY205" s="3">
        <v>0</v>
      </c>
      <c r="AZ205" s="3">
        <v>6.5</v>
      </c>
      <c r="BA205" s="3">
        <v>11.8</v>
      </c>
      <c r="BB205" s="3">
        <v>10.3</v>
      </c>
      <c r="BC205">
        <v>7.2</v>
      </c>
      <c r="BD205">
        <v>6.7</v>
      </c>
      <c r="BE205" s="11">
        <v>5.3319999999999999</v>
      </c>
      <c r="BF205" s="4">
        <v>0</v>
      </c>
      <c r="BG205" s="4">
        <v>7.0519999999999996</v>
      </c>
      <c r="BH205" s="4">
        <v>9.2810000000000006</v>
      </c>
      <c r="BI205" s="4">
        <v>5.23</v>
      </c>
      <c r="BJ205" s="13">
        <v>4.6100000000000003</v>
      </c>
      <c r="BK205" s="13">
        <v>5.01</v>
      </c>
      <c r="BL205" s="4">
        <v>4.63</v>
      </c>
      <c r="BM205" s="16">
        <v>4.6059999999999999</v>
      </c>
      <c r="BN205" s="4">
        <v>0</v>
      </c>
      <c r="BO205" s="4">
        <v>4.8239999999999998</v>
      </c>
      <c r="BP205" s="4">
        <v>5.1710000000000003</v>
      </c>
      <c r="BQ205" s="4">
        <v>5.9219999999999997</v>
      </c>
      <c r="BR205" s="4">
        <v>5.8010000000000002</v>
      </c>
      <c r="BS205" s="4">
        <v>5.0860000000000003</v>
      </c>
      <c r="BT205" s="4">
        <v>5.2249999999999996</v>
      </c>
      <c r="BU205" s="4">
        <v>6.27</v>
      </c>
      <c r="BV205" s="4">
        <v>6.6029999999999998</v>
      </c>
      <c r="BW205" s="4">
        <v>0</v>
      </c>
      <c r="BX205" s="4">
        <v>6.899</v>
      </c>
      <c r="BY205" s="4">
        <v>0</v>
      </c>
      <c r="BZ205">
        <v>0</v>
      </c>
      <c r="CA205">
        <v>7.31</v>
      </c>
      <c r="CB205">
        <v>0</v>
      </c>
      <c r="CC205">
        <v>0</v>
      </c>
      <c r="CD205">
        <v>7.43</v>
      </c>
      <c r="CE205" s="19">
        <v>8.6999999999999993</v>
      </c>
      <c r="CF205" s="19">
        <v>0</v>
      </c>
      <c r="CG205" s="4">
        <v>0</v>
      </c>
      <c r="CH205" s="4">
        <v>8.52</v>
      </c>
      <c r="CI205" s="4">
        <v>0</v>
      </c>
      <c r="CJ205" s="34">
        <v>9.1999999999999993</v>
      </c>
      <c r="CK205" s="34">
        <v>9.3000000000000007</v>
      </c>
      <c r="CL205" s="43">
        <v>0</v>
      </c>
      <c r="CM205" s="4">
        <v>9.6999999999999993</v>
      </c>
      <c r="CN205" s="53">
        <v>0</v>
      </c>
      <c r="CO205" s="54">
        <v>0</v>
      </c>
      <c r="CP205" s="54">
        <v>8.6</v>
      </c>
      <c r="CQ205" s="4">
        <v>6.1</v>
      </c>
    </row>
    <row r="206" spans="1:95" x14ac:dyDescent="0.35">
      <c r="A206" s="55">
        <v>205</v>
      </c>
      <c r="B206" t="s">
        <v>99</v>
      </c>
      <c r="C206" s="27" t="s">
        <v>409</v>
      </c>
      <c r="D206" s="3" t="s">
        <v>88</v>
      </c>
      <c r="E206" s="33" t="s">
        <v>89</v>
      </c>
      <c r="F206" s="4">
        <f>IFERROR(AVERAGEIF(Table1[[#This Row],[2019-Apr]:[2025-July]],"&lt;&gt;0"),0)</f>
        <v>2.0846756756756761</v>
      </c>
      <c r="G206" s="4">
        <f ca="1">IFERROR(AVERAGEIF(OFFSET(Table1[[#This Row],[Status]],0,COUNT(Table1[[#This Row],[2019-May]:[2025-July]]),1,-12),"&lt;&gt;0"),0)</f>
        <v>1.5833333333333333</v>
      </c>
      <c r="H206" s="55">
        <f>IFERROR(SMALL(Table1[[#This Row],[2019-Apr]:[2025-July]],COUNTIF(Table1[[#This Row],[2019-Apr]:[2025-July]],0)+1),0)</f>
        <v>1.1000000000000001</v>
      </c>
      <c r="I206" s="55">
        <f>IFERROR(MAX(Table1[[#This Row],[2019-Apr]:[2025-July]]),0)</f>
        <v>3.34</v>
      </c>
      <c r="J206" s="4" cm="1">
        <f t="array" ref="J20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1.3396666666666668</v>
      </c>
      <c r="K206" s="4">
        <v>4.5</v>
      </c>
      <c r="L206" s="4">
        <f>IF(Table1[[#This Row],[Standard as per ISO]]&gt;=Table1[[#This Row],[Avg of best 6]],Table1[[#This Row],[Standard as per ISO]],Table1[[#This Row],[Avg of best 6]])</f>
        <v>4.5</v>
      </c>
      <c r="M206" s="4" cm="1">
        <f t="array" ref="M206">IFERROR(LOOKUP(2,1/(Table1[[#This Row],[2019-May]:[2025-July]]&lt;&gt;0),Table1[[#This Row],[2019-May]:[2025-July]]),0)</f>
        <v>1.1000000000000001</v>
      </c>
      <c r="N206" s="4">
        <f>COUNTIF(Table1[[#This Row],[2019-Apr]:[2025-July]],"&gt;="&amp;Table1[[#This Row],[Target]])</f>
        <v>0</v>
      </c>
      <c r="O206" s="4">
        <f>IF(Table1[[#This Row],[Outliers 2Y]]=0,1,0)</f>
        <v>1</v>
      </c>
      <c r="P206" s="4">
        <f>IF(Table1[[#This Row],[Last value]]&gt;1.5*Table1[[#This Row],[Target]],1,0)</f>
        <v>0</v>
      </c>
      <c r="Q206" s="4">
        <f>IF(AND(1.5*Table1[[#This Row],[Target]]&gt;=Table1[[#This Row],[Last value]],Table1[[#This Row],[Last value]]&gt;Table1[[#This Row],[Target]]),1,0)</f>
        <v>0</v>
      </c>
      <c r="R206" s="4">
        <f>IF(Table1[[#This Row],[Target]]&gt;=Table1[[#This Row],[Last value]],1,0)</f>
        <v>1</v>
      </c>
      <c r="S206" s="4" t="str">
        <f t="shared" si="4"/>
        <v>Green</v>
      </c>
      <c r="T206">
        <v>0</v>
      </c>
      <c r="U206">
        <v>0</v>
      </c>
      <c r="V206">
        <v>0</v>
      </c>
      <c r="W206">
        <v>1.8</v>
      </c>
      <c r="X206">
        <v>2.1</v>
      </c>
      <c r="Y206">
        <v>0</v>
      </c>
      <c r="Z206">
        <v>3.34</v>
      </c>
      <c r="AA206">
        <v>1.9</v>
      </c>
      <c r="AB206">
        <v>0</v>
      </c>
      <c r="AC206">
        <v>2.0699999999999998</v>
      </c>
      <c r="AD206">
        <v>0</v>
      </c>
      <c r="AE206">
        <v>0</v>
      </c>
      <c r="AF206">
        <v>2</v>
      </c>
      <c r="AG206">
        <v>3</v>
      </c>
      <c r="AH206">
        <v>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2.72</v>
      </c>
      <c r="AO206">
        <v>3.05</v>
      </c>
      <c r="AP206">
        <v>0</v>
      </c>
      <c r="AQ206">
        <v>0</v>
      </c>
      <c r="AR206" s="8">
        <v>2.62</v>
      </c>
      <c r="AS206" s="8">
        <v>2.61</v>
      </c>
      <c r="AT206" s="8">
        <v>2.92</v>
      </c>
      <c r="AU206" s="3">
        <v>2.1800000000000002</v>
      </c>
      <c r="AV206" s="3">
        <v>0</v>
      </c>
      <c r="AW206" s="3">
        <v>2.4300000000000002</v>
      </c>
      <c r="AX206" s="3">
        <v>1.65</v>
      </c>
      <c r="AY206" s="3">
        <v>2.27</v>
      </c>
      <c r="AZ206" s="3">
        <v>0</v>
      </c>
      <c r="BA206" s="3">
        <v>0</v>
      </c>
      <c r="BB206" s="3">
        <v>1.7</v>
      </c>
      <c r="BC206" s="3">
        <v>0</v>
      </c>
      <c r="BD206">
        <v>0</v>
      </c>
      <c r="BE206" s="11">
        <v>1.7649999999999999</v>
      </c>
      <c r="BF206" s="4">
        <v>1.462</v>
      </c>
      <c r="BG206" s="4">
        <v>0</v>
      </c>
      <c r="BH206" s="4">
        <v>0</v>
      </c>
      <c r="BI206" s="4">
        <v>1.7</v>
      </c>
      <c r="BJ206" s="14">
        <v>1.113</v>
      </c>
      <c r="BK206" s="14">
        <v>1.514</v>
      </c>
      <c r="BL206" s="4">
        <v>2.6059999999999999</v>
      </c>
      <c r="BM206" s="17">
        <v>1.6359999999999999</v>
      </c>
      <c r="BN206" s="4">
        <v>2.0219999999999998</v>
      </c>
      <c r="BO206" s="4">
        <v>1.871</v>
      </c>
      <c r="BP206" s="4">
        <v>2.0720000000000001</v>
      </c>
      <c r="BQ206" s="4">
        <v>1.796</v>
      </c>
      <c r="BR206" s="4">
        <v>3.1459999999999999</v>
      </c>
      <c r="BS206" s="4">
        <v>0</v>
      </c>
      <c r="BT206" s="4">
        <v>1.5129999999999999</v>
      </c>
      <c r="BU206" s="4">
        <v>0</v>
      </c>
      <c r="BV206" s="4">
        <v>0</v>
      </c>
      <c r="BW206" s="4">
        <v>2.9990000000000001</v>
      </c>
      <c r="BX206" s="4">
        <v>0</v>
      </c>
      <c r="BY206" s="4">
        <v>1.708</v>
      </c>
      <c r="BZ206">
        <v>0</v>
      </c>
      <c r="CA206">
        <v>0</v>
      </c>
      <c r="CB206">
        <v>0</v>
      </c>
      <c r="CC206">
        <v>0</v>
      </c>
      <c r="CD206">
        <v>0</v>
      </c>
      <c r="CE206" s="19">
        <v>0</v>
      </c>
      <c r="CF206" s="19">
        <v>1.5</v>
      </c>
      <c r="CG206" s="4">
        <v>1.35</v>
      </c>
      <c r="CH206" s="4">
        <v>0</v>
      </c>
      <c r="CI206" s="4">
        <v>0</v>
      </c>
      <c r="CJ206" s="34">
        <v>0</v>
      </c>
      <c r="CK206" s="34">
        <v>0</v>
      </c>
      <c r="CL206" s="43">
        <v>1.9</v>
      </c>
      <c r="CM206" s="4">
        <v>0</v>
      </c>
      <c r="CN206" s="53">
        <v>0</v>
      </c>
      <c r="CO206" s="54">
        <v>0</v>
      </c>
      <c r="CP206" s="54">
        <v>0</v>
      </c>
      <c r="CQ206" s="4">
        <v>1.1000000000000001</v>
      </c>
    </row>
    <row r="207" spans="1:95" x14ac:dyDescent="0.35">
      <c r="A207" s="55">
        <v>206</v>
      </c>
      <c r="B207" t="s">
        <v>99</v>
      </c>
      <c r="C207" s="27" t="s">
        <v>410</v>
      </c>
      <c r="D207" s="3" t="s">
        <v>88</v>
      </c>
      <c r="E207" s="33" t="s">
        <v>89</v>
      </c>
      <c r="F207" s="4">
        <f>IFERROR(AVERAGEIF(Table1[[#This Row],[2019-Apr]:[2025-July]],"&lt;&gt;0"),0)</f>
        <v>2.5874146341463415</v>
      </c>
      <c r="G207" s="4">
        <f ca="1">IFERROR(AVERAGEIF(OFFSET(Table1[[#This Row],[Status]],0,COUNT(Table1[[#This Row],[2019-May]:[2025-July]]),1,-12),"&lt;&gt;0"),0)</f>
        <v>2.0728571428571425</v>
      </c>
      <c r="H207" s="55">
        <f>IFERROR(SMALL(Table1[[#This Row],[2019-Apr]:[2025-July]],COUNTIF(Table1[[#This Row],[2019-Apr]:[2025-July]],0)+1),0)</f>
        <v>0.9</v>
      </c>
      <c r="I207" s="55">
        <f>IFERROR(MAX(Table1[[#This Row],[2019-Apr]:[2025-July]]),0)</f>
        <v>4.8</v>
      </c>
      <c r="J207" s="4" cm="1">
        <f t="array" ref="J20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1.3879999999999999</v>
      </c>
      <c r="K207" s="4">
        <v>4.5</v>
      </c>
      <c r="L207" s="4">
        <f>IF(Table1[[#This Row],[Standard as per ISO]]&gt;=Table1[[#This Row],[Avg of best 6]],Table1[[#This Row],[Standard as per ISO]],Table1[[#This Row],[Avg of best 6]])</f>
        <v>4.5</v>
      </c>
      <c r="M207" s="4" cm="1">
        <f t="array" ref="M207">IFERROR(LOOKUP(2,1/(Table1[[#This Row],[2019-May]:[2025-July]]&lt;&gt;0),Table1[[#This Row],[2019-May]:[2025-July]]),0)</f>
        <v>0.9</v>
      </c>
      <c r="N207" s="4">
        <f>COUNTIF(Table1[[#This Row],[2019-Apr]:[2025-July]],"&gt;="&amp;Table1[[#This Row],[Target]])</f>
        <v>1</v>
      </c>
      <c r="O207" s="4">
        <f>IF(Table1[[#This Row],[Outliers 2Y]]=0,1,0)</f>
        <v>0</v>
      </c>
      <c r="P207" s="4">
        <f>IF(Table1[[#This Row],[Last value]]&gt;1.5*Table1[[#This Row],[Target]],1,0)</f>
        <v>0</v>
      </c>
      <c r="Q207" s="4">
        <f>IF(AND(1.5*Table1[[#This Row],[Target]]&gt;=Table1[[#This Row],[Last value]],Table1[[#This Row],[Last value]]&gt;Table1[[#This Row],[Target]]),1,0)</f>
        <v>0</v>
      </c>
      <c r="R207" s="4">
        <f>IF(Table1[[#This Row],[Target]]&gt;=Table1[[#This Row],[Last value]],1,0)</f>
        <v>1</v>
      </c>
      <c r="S207" s="4" t="str">
        <f t="shared" si="4"/>
        <v>Green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3.5</v>
      </c>
      <c r="Z207">
        <v>2.6</v>
      </c>
      <c r="AA207">
        <v>0</v>
      </c>
      <c r="AB207">
        <v>2.37</v>
      </c>
      <c r="AC207">
        <v>0</v>
      </c>
      <c r="AD207">
        <v>2.6</v>
      </c>
      <c r="AE207">
        <v>3.4</v>
      </c>
      <c r="AF207">
        <v>0</v>
      </c>
      <c r="AG207">
        <v>2.6</v>
      </c>
      <c r="AH207">
        <v>2.2999999999999998</v>
      </c>
      <c r="AI207">
        <v>2.04</v>
      </c>
      <c r="AJ207">
        <v>0</v>
      </c>
      <c r="AK207">
        <v>2.85</v>
      </c>
      <c r="AL207">
        <v>2.39</v>
      </c>
      <c r="AM207">
        <v>2.48</v>
      </c>
      <c r="AN207">
        <v>0</v>
      </c>
      <c r="AO207">
        <v>0</v>
      </c>
      <c r="AP207">
        <v>2.97</v>
      </c>
      <c r="AQ207">
        <v>2.94</v>
      </c>
      <c r="AR207" s="8">
        <v>0</v>
      </c>
      <c r="AS207" s="8">
        <v>0</v>
      </c>
      <c r="AT207" s="8">
        <v>0</v>
      </c>
      <c r="AU207" s="3">
        <v>0</v>
      </c>
      <c r="AV207" s="3">
        <v>3.84</v>
      </c>
      <c r="AW207" s="3">
        <v>0</v>
      </c>
      <c r="AX207" s="3">
        <v>0</v>
      </c>
      <c r="AY207" s="3">
        <v>0</v>
      </c>
      <c r="AZ207" s="3">
        <v>4.8</v>
      </c>
      <c r="BA207" s="3">
        <v>2.6</v>
      </c>
      <c r="BB207" s="3">
        <v>0</v>
      </c>
      <c r="BC207">
        <v>3.7</v>
      </c>
      <c r="BD207">
        <v>0</v>
      </c>
      <c r="BE207" s="11">
        <v>3.8370000000000002</v>
      </c>
      <c r="BF207" s="4">
        <v>0</v>
      </c>
      <c r="BG207" s="4">
        <v>3.1989999999999998</v>
      </c>
      <c r="BH207" s="4">
        <v>2.6819999999999999</v>
      </c>
      <c r="BI207" s="4">
        <v>3.0049999999999999</v>
      </c>
      <c r="BJ207" s="13">
        <v>2.85</v>
      </c>
      <c r="BK207" s="13">
        <v>2.2280000000000002</v>
      </c>
      <c r="BL207" s="4">
        <v>1.6140000000000001</v>
      </c>
      <c r="BM207" s="16">
        <v>0</v>
      </c>
      <c r="BN207" s="4">
        <v>0</v>
      </c>
      <c r="BO207" s="4">
        <v>2.75</v>
      </c>
      <c r="BP207" s="4">
        <v>3.7429999999999999</v>
      </c>
      <c r="BQ207" s="4">
        <v>1.593</v>
      </c>
      <c r="BR207" s="4">
        <v>3.1110000000000002</v>
      </c>
      <c r="BS207" s="4">
        <v>2.774</v>
      </c>
      <c r="BT207" s="4">
        <v>2.0840000000000001</v>
      </c>
      <c r="BU207" s="4">
        <v>1.544</v>
      </c>
      <c r="BV207" s="4">
        <v>1.391</v>
      </c>
      <c r="BW207" s="4">
        <v>0</v>
      </c>
      <c r="BX207" s="4">
        <v>2.2890000000000001</v>
      </c>
      <c r="BY207" s="4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 s="19">
        <v>3</v>
      </c>
      <c r="CF207" s="19">
        <v>0</v>
      </c>
      <c r="CG207" s="4">
        <v>0</v>
      </c>
      <c r="CH207" s="4">
        <v>2.11</v>
      </c>
      <c r="CI207" s="4">
        <v>0</v>
      </c>
      <c r="CJ207" s="34">
        <v>1.6</v>
      </c>
      <c r="CK207" s="34">
        <v>1.7</v>
      </c>
      <c r="CL207" s="43">
        <v>0</v>
      </c>
      <c r="CM207" s="4">
        <v>2.6</v>
      </c>
      <c r="CN207" s="53">
        <v>0</v>
      </c>
      <c r="CO207" s="54">
        <v>2.2000000000000002</v>
      </c>
      <c r="CP207" s="54">
        <v>1.3</v>
      </c>
      <c r="CQ207" s="4">
        <v>0.9</v>
      </c>
    </row>
    <row r="208" spans="1:95" x14ac:dyDescent="0.35">
      <c r="A208" s="55">
        <v>207</v>
      </c>
      <c r="B208" t="s">
        <v>99</v>
      </c>
      <c r="C208" s="27" t="s">
        <v>411</v>
      </c>
      <c r="D208" s="3" t="s">
        <v>88</v>
      </c>
      <c r="E208" s="33" t="s">
        <v>91</v>
      </c>
      <c r="F208" s="4">
        <f>IFERROR(AVERAGEIF(Table1[[#This Row],[2019-Apr]:[2025-July]],"&lt;&gt;0"),0)</f>
        <v>5.5508363636363631</v>
      </c>
      <c r="G208" s="4">
        <f ca="1">IFERROR(AVERAGEIF(OFFSET(Table1[[#This Row],[Status]],0,COUNT(Table1[[#This Row],[2019-May]:[2025-July]]),1,-12),"&lt;&gt;0"),0)</f>
        <v>6.4725000000000001</v>
      </c>
      <c r="H208" s="55">
        <f>IFERROR(SMALL(Table1[[#This Row],[2019-Apr]:[2025-July]],COUNTIF(Table1[[#This Row],[2019-Apr]:[2025-July]],0)+1),0)</f>
        <v>1.4470000000000001</v>
      </c>
      <c r="I208" s="55">
        <f>IFERROR(MAX(Table1[[#This Row],[2019-Apr]:[2025-July]]),0)</f>
        <v>17.559999999999999</v>
      </c>
      <c r="J208" s="4" cm="1">
        <f t="array" ref="J20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2.4819999999999998</v>
      </c>
      <c r="K208" s="4">
        <v>4.5</v>
      </c>
      <c r="L208" s="4">
        <f>IF(Table1[[#This Row],[Standard as per ISO]]&gt;=Table1[[#This Row],[Avg of best 6]],Table1[[#This Row],[Standard as per ISO]],Table1[[#This Row],[Avg of best 6]])</f>
        <v>4.5</v>
      </c>
      <c r="M208" s="4" cm="1">
        <f t="array" ref="M208">IFERROR(LOOKUP(2,1/(Table1[[#This Row],[2019-May]:[2025-July]]&lt;&gt;0),Table1[[#This Row],[2019-May]:[2025-July]]),0)</f>
        <v>6.55</v>
      </c>
      <c r="N208" s="4">
        <f>COUNTIF(Table1[[#This Row],[2019-Apr]:[2025-July]],"&gt;="&amp;Table1[[#This Row],[Target]])</f>
        <v>35</v>
      </c>
      <c r="O208" s="4">
        <f>IF(Table1[[#This Row],[Outliers 2Y]]=0,1,0)</f>
        <v>0</v>
      </c>
      <c r="P208" s="4">
        <f>IF(Table1[[#This Row],[Last value]]&gt;1.5*Table1[[#This Row],[Target]],1,0)</f>
        <v>0</v>
      </c>
      <c r="Q208" s="4">
        <f>IF(AND(1.5*Table1[[#This Row],[Target]]&gt;=Table1[[#This Row],[Last value]],Table1[[#This Row],[Last value]]&gt;Table1[[#This Row],[Target]]),1,0)</f>
        <v>1</v>
      </c>
      <c r="R208" s="4">
        <f>IF(Table1[[#This Row],[Target]]&gt;=Table1[[#This Row],[Last value]],1,0)</f>
        <v>0</v>
      </c>
      <c r="S208" s="4" t="str">
        <f t="shared" si="4"/>
        <v>Yellow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4</v>
      </c>
      <c r="Z208">
        <v>3.3</v>
      </c>
      <c r="AA208">
        <v>4.2</v>
      </c>
      <c r="AB208">
        <v>5.5</v>
      </c>
      <c r="AC208">
        <v>6.1</v>
      </c>
      <c r="AD208">
        <v>9.5</v>
      </c>
      <c r="AE208">
        <v>6.8</v>
      </c>
      <c r="AF208">
        <v>6.5</v>
      </c>
      <c r="AG208">
        <v>8.9</v>
      </c>
      <c r="AH208">
        <v>8.1</v>
      </c>
      <c r="AI208">
        <v>7.06</v>
      </c>
      <c r="AJ208">
        <v>0</v>
      </c>
      <c r="AK208">
        <v>7.16</v>
      </c>
      <c r="AL208">
        <v>6.56</v>
      </c>
      <c r="AM208">
        <v>3.83</v>
      </c>
      <c r="AN208">
        <v>5.79</v>
      </c>
      <c r="AO208">
        <v>3.8</v>
      </c>
      <c r="AP208">
        <v>7.06</v>
      </c>
      <c r="AQ208">
        <v>9.0399999999999991</v>
      </c>
      <c r="AR208" s="8">
        <v>7.97</v>
      </c>
      <c r="AS208" s="8">
        <v>8.36</v>
      </c>
      <c r="AT208" s="8">
        <v>4.7699999999999996</v>
      </c>
      <c r="AU208" s="3">
        <v>3.39</v>
      </c>
      <c r="AV208" s="3">
        <v>2.44</v>
      </c>
      <c r="AW208" s="3">
        <v>6.02</v>
      </c>
      <c r="AX208" s="3">
        <v>2.79</v>
      </c>
      <c r="AY208" s="3">
        <v>3.64</v>
      </c>
      <c r="AZ208" s="3">
        <v>0</v>
      </c>
      <c r="BA208" s="3">
        <v>0</v>
      </c>
      <c r="BB208" s="3">
        <v>3.5</v>
      </c>
      <c r="BC208">
        <v>2.7</v>
      </c>
      <c r="BD208">
        <v>3.2</v>
      </c>
      <c r="BE208" s="11">
        <v>5.9880000000000004</v>
      </c>
      <c r="BF208" s="4">
        <v>6.5289999999999999</v>
      </c>
      <c r="BG208" s="4">
        <v>5.7489999999999997</v>
      </c>
      <c r="BH208" s="4">
        <v>1.4470000000000001</v>
      </c>
      <c r="BI208" s="4">
        <v>4.8650000000000002</v>
      </c>
      <c r="BJ208" s="14">
        <v>2.899</v>
      </c>
      <c r="BK208" s="14">
        <v>3.25</v>
      </c>
      <c r="BL208" s="4">
        <v>2.6160000000000001</v>
      </c>
      <c r="BM208" s="17">
        <v>3.58</v>
      </c>
      <c r="BN208" s="4">
        <v>3.2639999999999998</v>
      </c>
      <c r="BO208" s="4">
        <v>4.8330000000000002</v>
      </c>
      <c r="BP208" s="4">
        <v>5.9470000000000001</v>
      </c>
      <c r="BQ208" s="4">
        <v>5.4619999999999997</v>
      </c>
      <c r="BR208" s="4">
        <v>5.0750000000000002</v>
      </c>
      <c r="BS208" s="4">
        <v>6.468</v>
      </c>
      <c r="BT208" s="4">
        <v>4.1630000000000003</v>
      </c>
      <c r="BU208" s="4">
        <v>3.988</v>
      </c>
      <c r="BV208" s="4">
        <v>5.5810000000000004</v>
      </c>
      <c r="BW208" s="4">
        <v>5.782</v>
      </c>
      <c r="BX208" s="4">
        <v>5.6609999999999996</v>
      </c>
      <c r="BY208" s="4">
        <v>6.7190000000000003</v>
      </c>
      <c r="BZ208">
        <v>0</v>
      </c>
      <c r="CA208">
        <v>17.559999999999999</v>
      </c>
      <c r="CB208">
        <v>0</v>
      </c>
      <c r="CC208">
        <v>0</v>
      </c>
      <c r="CD208">
        <v>0</v>
      </c>
      <c r="CE208" s="19">
        <v>6.6</v>
      </c>
      <c r="CF208" s="19">
        <v>5.8</v>
      </c>
      <c r="CG208" s="4">
        <v>6.94</v>
      </c>
      <c r="CH208" s="4">
        <v>6.55</v>
      </c>
      <c r="CI208" s="4">
        <v>0</v>
      </c>
      <c r="CJ208" s="34">
        <v>0</v>
      </c>
      <c r="CK208" s="34">
        <v>0</v>
      </c>
      <c r="CL208" s="34">
        <v>0</v>
      </c>
      <c r="CM208" s="4">
        <v>0</v>
      </c>
      <c r="CN208" s="53">
        <v>0</v>
      </c>
      <c r="CO208" s="54">
        <v>0</v>
      </c>
      <c r="CP208" s="54">
        <v>0</v>
      </c>
      <c r="CQ208" s="4">
        <v>0</v>
      </c>
    </row>
    <row r="209" spans="1:95" x14ac:dyDescent="0.35">
      <c r="A209" s="55">
        <v>208</v>
      </c>
      <c r="B209" t="s">
        <v>99</v>
      </c>
      <c r="C209" s="27" t="s">
        <v>412</v>
      </c>
      <c r="D209" s="3" t="s">
        <v>88</v>
      </c>
      <c r="E209" s="33" t="s">
        <v>91</v>
      </c>
      <c r="F209" s="4">
        <f>IFERROR(AVERAGEIF(Table1[[#This Row],[2019-Apr]:[2025-July]],"&lt;&gt;0"),0)</f>
        <v>3.1817361111111118</v>
      </c>
      <c r="G209" s="4">
        <f ca="1">IFERROR(AVERAGEIF(OFFSET(Table1[[#This Row],[Status]],0,COUNT(Table1[[#This Row],[2019-May]:[2025-July]]),1,-12),"&lt;&gt;0"),0)</f>
        <v>2.8200000000000003</v>
      </c>
      <c r="H209" s="55">
        <f>IFERROR(SMALL(Table1[[#This Row],[2019-Apr]:[2025-July]],COUNTIF(Table1[[#This Row],[2019-Apr]:[2025-July]],0)+1),0)</f>
        <v>1.4</v>
      </c>
      <c r="I209" s="55">
        <f>IFERROR(MAX(Table1[[#This Row],[2019-Apr]:[2025-July]]),0)</f>
        <v>5.36</v>
      </c>
      <c r="J209" s="4" cm="1">
        <f t="array" ref="J20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1.9656666666666667</v>
      </c>
      <c r="K209" s="4">
        <v>4.5</v>
      </c>
      <c r="L209" s="4">
        <f>IF(Table1[[#This Row],[Standard as per ISO]]&gt;=Table1[[#This Row],[Avg of best 6]],Table1[[#This Row],[Standard as per ISO]],Table1[[#This Row],[Avg of best 6]])</f>
        <v>4.5</v>
      </c>
      <c r="M209" s="4" cm="1">
        <f t="array" ref="M209">IFERROR(LOOKUP(2,1/(Table1[[#This Row],[2019-May]:[2025-July]]&lt;&gt;0),Table1[[#This Row],[2019-May]:[2025-July]]),0)</f>
        <v>2.64</v>
      </c>
      <c r="N209" s="4">
        <f>COUNTIF(Table1[[#This Row],[2019-Apr]:[2025-July]],"&gt;="&amp;Table1[[#This Row],[Target]])</f>
        <v>5</v>
      </c>
      <c r="O209" s="4">
        <f>IF(Table1[[#This Row],[Outliers 2Y]]=0,1,0)</f>
        <v>0</v>
      </c>
      <c r="P209" s="4">
        <f>IF(Table1[[#This Row],[Last value]]&gt;1.5*Table1[[#This Row],[Target]],1,0)</f>
        <v>0</v>
      </c>
      <c r="Q209" s="4">
        <f>IF(AND(1.5*Table1[[#This Row],[Target]]&gt;=Table1[[#This Row],[Last value]],Table1[[#This Row],[Last value]]&gt;Table1[[#This Row],[Target]]),1,0)</f>
        <v>0</v>
      </c>
      <c r="R209" s="4">
        <f>IF(Table1[[#This Row],[Target]]&gt;=Table1[[#This Row],[Last value]],1,0)</f>
        <v>1</v>
      </c>
      <c r="S209" s="4" t="str">
        <f t="shared" si="4"/>
        <v>Green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2.7</v>
      </c>
      <c r="Z209">
        <v>2.9</v>
      </c>
      <c r="AA209">
        <v>2.34</v>
      </c>
      <c r="AB209">
        <v>1.75</v>
      </c>
      <c r="AC209">
        <v>2.46</v>
      </c>
      <c r="AD209">
        <v>3.01</v>
      </c>
      <c r="AE209">
        <v>2.76</v>
      </c>
      <c r="AF209">
        <v>3.2</v>
      </c>
      <c r="AG209">
        <v>2.4687499999999996</v>
      </c>
      <c r="AH209">
        <v>4.0999999999999996</v>
      </c>
      <c r="AI209">
        <v>3.39</v>
      </c>
      <c r="AJ209">
        <v>0</v>
      </c>
      <c r="AK209">
        <v>2.78</v>
      </c>
      <c r="AL209">
        <v>4.46</v>
      </c>
      <c r="AM209">
        <v>5.26</v>
      </c>
      <c r="AN209">
        <v>5.36</v>
      </c>
      <c r="AO209">
        <v>4.5</v>
      </c>
      <c r="AP209">
        <v>4.93</v>
      </c>
      <c r="AQ209">
        <v>5.15</v>
      </c>
      <c r="AR209" s="8">
        <v>2.4</v>
      </c>
      <c r="AS209" s="8">
        <v>3.61</v>
      </c>
      <c r="AT209" s="8">
        <v>2.86</v>
      </c>
      <c r="AU209" s="3">
        <v>2.9</v>
      </c>
      <c r="AV209" s="3">
        <v>2.5</v>
      </c>
      <c r="AW209" s="3">
        <v>2.56</v>
      </c>
      <c r="AX209" s="3">
        <v>2.78</v>
      </c>
      <c r="AY209" s="3">
        <v>2.48</v>
      </c>
      <c r="AZ209" s="3">
        <v>2.7</v>
      </c>
      <c r="BA209" s="3">
        <v>2.4</v>
      </c>
      <c r="BB209" s="3">
        <v>2.8</v>
      </c>
      <c r="BC209">
        <v>1.4</v>
      </c>
      <c r="BD209">
        <v>0</v>
      </c>
      <c r="BE209" s="11">
        <v>1.504</v>
      </c>
      <c r="BF209" s="4">
        <v>3.7839999999999998</v>
      </c>
      <c r="BG209" s="4">
        <v>3.4359999999999999</v>
      </c>
      <c r="BH209" s="4">
        <v>3.9430000000000001</v>
      </c>
      <c r="BI209" s="4">
        <v>3.16</v>
      </c>
      <c r="BJ209" s="13">
        <v>2.8860000000000001</v>
      </c>
      <c r="BK209" s="13">
        <v>3.3210000000000002</v>
      </c>
      <c r="BL209" s="4">
        <v>3.948</v>
      </c>
      <c r="BM209" s="16">
        <v>3.484</v>
      </c>
      <c r="BN209" s="4">
        <v>3.637</v>
      </c>
      <c r="BO209" s="4">
        <v>3.75</v>
      </c>
      <c r="BP209" s="4">
        <v>3.4780000000000002</v>
      </c>
      <c r="BQ209" s="4">
        <v>3.6480000000000001</v>
      </c>
      <c r="BR209" s="4">
        <v>3.6520000000000001</v>
      </c>
      <c r="BS209" s="4">
        <v>3.4910000000000001</v>
      </c>
      <c r="BT209" s="4">
        <v>3.1240000000000001</v>
      </c>
      <c r="BU209" s="4">
        <v>3.2719999999999998</v>
      </c>
      <c r="BV209" s="4">
        <v>2.7559999999999998</v>
      </c>
      <c r="BW209" s="4">
        <v>2.556</v>
      </c>
      <c r="BX209" s="4">
        <v>2.61</v>
      </c>
      <c r="BY209" s="4">
        <v>2.7450000000000001</v>
      </c>
      <c r="BZ209">
        <v>0</v>
      </c>
      <c r="CA209">
        <v>0</v>
      </c>
      <c r="CB209">
        <v>0</v>
      </c>
      <c r="CC209">
        <v>3.08</v>
      </c>
      <c r="CD209">
        <v>0</v>
      </c>
      <c r="CE209" s="19">
        <v>0</v>
      </c>
      <c r="CF209" s="19">
        <v>3</v>
      </c>
      <c r="CG209" s="4">
        <v>0</v>
      </c>
      <c r="CH209" s="4">
        <v>2.64</v>
      </c>
      <c r="CI209" s="4">
        <v>0</v>
      </c>
      <c r="CJ209" s="34">
        <v>0</v>
      </c>
      <c r="CK209" s="34">
        <v>0</v>
      </c>
      <c r="CL209" s="34">
        <v>0</v>
      </c>
      <c r="CM209" s="4">
        <v>0</v>
      </c>
      <c r="CN209" s="53">
        <v>0</v>
      </c>
      <c r="CO209" s="54">
        <v>0</v>
      </c>
      <c r="CP209" s="54">
        <v>0</v>
      </c>
      <c r="CQ209" s="4">
        <v>0</v>
      </c>
    </row>
    <row r="210" spans="1:95" x14ac:dyDescent="0.35">
      <c r="A210" s="55">
        <v>209</v>
      </c>
      <c r="B210" t="s">
        <v>99</v>
      </c>
      <c r="C210" s="27" t="s">
        <v>413</v>
      </c>
      <c r="D210" s="3" t="s">
        <v>88</v>
      </c>
      <c r="E210" s="33" t="s">
        <v>89</v>
      </c>
      <c r="F210" s="4">
        <f>IFERROR(AVERAGEIF(Table1[[#This Row],[2019-Apr]:[2025-July]],"&lt;&gt;0"),0)</f>
        <v>2.0895151515151511</v>
      </c>
      <c r="G210" s="4">
        <f ca="1">IFERROR(AVERAGEIF(OFFSET(Table1[[#This Row],[Status]],0,COUNT(Table1[[#This Row],[2019-May]:[2025-July]]),1,-12),"&lt;&gt;0"),0)</f>
        <v>2.7749999999999999</v>
      </c>
      <c r="H210" s="55">
        <f>IFERROR(SMALL(Table1[[#This Row],[2019-Apr]:[2025-July]],COUNTIF(Table1[[#This Row],[2019-Apr]:[2025-July]],0)+1),0)</f>
        <v>1.4</v>
      </c>
      <c r="I210" s="55">
        <f>IFERROR(MAX(Table1[[#This Row],[2019-Apr]:[2025-July]]),0)</f>
        <v>5.0999999999999996</v>
      </c>
      <c r="J210" s="4" cm="1">
        <f t="array" ref="J21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1.486</v>
      </c>
      <c r="K210" s="4">
        <v>4.5</v>
      </c>
      <c r="L210" s="4">
        <f>IF(Table1[[#This Row],[Standard as per ISO]]&gt;=Table1[[#This Row],[Avg of best 6]],Table1[[#This Row],[Standard as per ISO]],Table1[[#This Row],[Avg of best 6]])</f>
        <v>4.5</v>
      </c>
      <c r="M210" s="4" cm="1">
        <f t="array" ref="M210">IFERROR(LOOKUP(2,1/(Table1[[#This Row],[2019-May]:[2025-July]]&lt;&gt;0),Table1[[#This Row],[2019-May]:[2025-July]]),0)</f>
        <v>1.6</v>
      </c>
      <c r="N210" s="4">
        <f>COUNTIF(Table1[[#This Row],[2019-Apr]:[2025-July]],"&gt;="&amp;Table1[[#This Row],[Target]])</f>
        <v>1</v>
      </c>
      <c r="O210" s="4">
        <f>IF(Table1[[#This Row],[Outliers 2Y]]=0,1,0)</f>
        <v>0</v>
      </c>
      <c r="P210" s="4">
        <f>IF(Table1[[#This Row],[Last value]]&gt;1.5*Table1[[#This Row],[Target]],1,0)</f>
        <v>0</v>
      </c>
      <c r="Q210" s="4">
        <f>IF(AND(1.5*Table1[[#This Row],[Target]]&gt;=Table1[[#This Row],[Last value]],Table1[[#This Row],[Last value]]&gt;Table1[[#This Row],[Target]]),1,0)</f>
        <v>0</v>
      </c>
      <c r="R210" s="4">
        <f>IF(Table1[[#This Row],[Target]]&gt;=Table1[[#This Row],[Last value]],1,0)</f>
        <v>1</v>
      </c>
      <c r="S210" s="4" t="str">
        <f t="shared" si="4"/>
        <v>Green</v>
      </c>
      <c r="T210">
        <v>0</v>
      </c>
      <c r="U210">
        <v>0</v>
      </c>
      <c r="V210">
        <v>0</v>
      </c>
      <c r="W210">
        <v>1.42</v>
      </c>
      <c r="X210">
        <v>0</v>
      </c>
      <c r="Y210">
        <v>0</v>
      </c>
      <c r="Z210">
        <v>0</v>
      </c>
      <c r="AA210">
        <v>0</v>
      </c>
      <c r="AB210">
        <v>2.2999999999999998</v>
      </c>
      <c r="AC210">
        <v>0</v>
      </c>
      <c r="AD210">
        <v>0</v>
      </c>
      <c r="AE210">
        <v>1.8</v>
      </c>
      <c r="AF210">
        <v>0</v>
      </c>
      <c r="AG210">
        <v>1.7</v>
      </c>
      <c r="AH210">
        <v>2</v>
      </c>
      <c r="AI210">
        <v>0</v>
      </c>
      <c r="AJ210">
        <v>2.06</v>
      </c>
      <c r="AK210">
        <v>1.87</v>
      </c>
      <c r="AL210">
        <v>1.61</v>
      </c>
      <c r="AM210">
        <v>0</v>
      </c>
      <c r="AN210">
        <v>0</v>
      </c>
      <c r="AO210">
        <v>2.83</v>
      </c>
      <c r="AP210">
        <v>2.2599999999999998</v>
      </c>
      <c r="AQ210">
        <v>0</v>
      </c>
      <c r="AR210" s="8">
        <v>2.2999999999999998</v>
      </c>
      <c r="AS210" s="8">
        <v>0</v>
      </c>
      <c r="AT210" s="8">
        <v>2.4</v>
      </c>
      <c r="AU210" s="3">
        <v>1.94</v>
      </c>
      <c r="AV210" s="3">
        <v>0</v>
      </c>
      <c r="AW210" s="3">
        <v>2.42</v>
      </c>
      <c r="AX210" s="3">
        <v>0</v>
      </c>
      <c r="AY210" s="3">
        <v>0</v>
      </c>
      <c r="AZ210" s="3">
        <v>2</v>
      </c>
      <c r="BA210" s="3">
        <v>1.9</v>
      </c>
      <c r="BB210" s="3">
        <v>2.1</v>
      </c>
      <c r="BC210">
        <v>4.0999999999999996</v>
      </c>
      <c r="BD210">
        <v>0</v>
      </c>
      <c r="BE210" s="11">
        <v>2.37</v>
      </c>
      <c r="BF210" s="4">
        <v>0</v>
      </c>
      <c r="BG210" s="4">
        <v>0</v>
      </c>
      <c r="BH210" s="4">
        <v>0</v>
      </c>
      <c r="BI210" s="4">
        <v>1.649</v>
      </c>
      <c r="BJ210" s="14">
        <v>0</v>
      </c>
      <c r="BK210" s="14">
        <v>1.6839999999999999</v>
      </c>
      <c r="BL210" s="4">
        <v>0</v>
      </c>
      <c r="BM210" s="17">
        <v>0</v>
      </c>
      <c r="BN210" s="4">
        <v>0</v>
      </c>
      <c r="BO210" s="4">
        <v>1.546</v>
      </c>
      <c r="BP210" s="4">
        <v>1.5940000000000001</v>
      </c>
      <c r="BQ210" s="4">
        <v>0</v>
      </c>
      <c r="BR210" s="4">
        <v>1.63</v>
      </c>
      <c r="BS210" s="4">
        <v>0</v>
      </c>
      <c r="BT210" s="4">
        <v>0</v>
      </c>
      <c r="BU210" s="4">
        <v>1.641</v>
      </c>
      <c r="BV210" s="4">
        <v>0</v>
      </c>
      <c r="BW210" s="4">
        <v>1.5429999999999999</v>
      </c>
      <c r="BX210" s="4">
        <v>1.413</v>
      </c>
      <c r="BY210" s="4">
        <v>2.1739999999999999</v>
      </c>
      <c r="BZ210">
        <v>0</v>
      </c>
      <c r="CA210">
        <v>0</v>
      </c>
      <c r="CB210">
        <v>0</v>
      </c>
      <c r="CC210">
        <v>0</v>
      </c>
      <c r="CD210">
        <v>0</v>
      </c>
      <c r="CE210" s="19">
        <v>0</v>
      </c>
      <c r="CF210" s="19">
        <v>1.4</v>
      </c>
      <c r="CG210" s="4">
        <v>0</v>
      </c>
      <c r="CH210" s="4">
        <v>2</v>
      </c>
      <c r="CI210" s="4">
        <v>0</v>
      </c>
      <c r="CJ210" s="34">
        <v>0</v>
      </c>
      <c r="CK210" s="34">
        <v>5.0999999999999996</v>
      </c>
      <c r="CL210" s="43">
        <v>0</v>
      </c>
      <c r="CM210" s="4">
        <v>0</v>
      </c>
      <c r="CN210" s="53">
        <v>2.6</v>
      </c>
      <c r="CO210" s="54">
        <v>0</v>
      </c>
      <c r="CP210" s="54">
        <v>0</v>
      </c>
      <c r="CQ210" s="4">
        <v>1.6</v>
      </c>
    </row>
    <row r="211" spans="1:95" x14ac:dyDescent="0.35">
      <c r="A211" s="55">
        <v>210</v>
      </c>
      <c r="B211" t="s">
        <v>99</v>
      </c>
      <c r="C211" s="27" t="s">
        <v>414</v>
      </c>
      <c r="D211" s="3" t="s">
        <v>88</v>
      </c>
      <c r="E211" s="33" t="s">
        <v>89</v>
      </c>
      <c r="F211" s="4">
        <f>IFERROR(AVERAGEIF(Table1[[#This Row],[2019-Apr]:[2025-July]],"&lt;&gt;0"),0)</f>
        <v>4.4689571428571435</v>
      </c>
      <c r="G211" s="4">
        <f ca="1">IFERROR(AVERAGEIF(OFFSET(Table1[[#This Row],[Status]],0,COUNT(Table1[[#This Row],[2019-May]:[2025-July]]),1,-12),"&lt;&gt;0"),0)</f>
        <v>4.5857142857142845</v>
      </c>
      <c r="H211" s="55">
        <f>IFERROR(SMALL(Table1[[#This Row],[2019-Apr]:[2025-July]],COUNTIF(Table1[[#This Row],[2019-Apr]:[2025-July]],0)+1),0)</f>
        <v>1.1000000000000001</v>
      </c>
      <c r="I211" s="55">
        <f>IFERROR(MAX(Table1[[#This Row],[2019-Apr]:[2025-July]]),0)</f>
        <v>9.3000000000000007</v>
      </c>
      <c r="J211" s="4" cm="1">
        <f t="array" ref="J21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2.8104999999999998</v>
      </c>
      <c r="K211" s="4">
        <v>4.5</v>
      </c>
      <c r="L211" s="4">
        <f>IF(Table1[[#This Row],[Standard as per ISO]]&gt;=Table1[[#This Row],[Avg of best 6]],Table1[[#This Row],[Standard as per ISO]],Table1[[#This Row],[Avg of best 6]])</f>
        <v>4.5</v>
      </c>
      <c r="M211" s="4" cm="1">
        <f t="array" ref="M211">IFERROR(LOOKUP(2,1/(Table1[[#This Row],[2019-May]:[2025-July]]&lt;&gt;0),Table1[[#This Row],[2019-May]:[2025-July]]),0)</f>
        <v>4.9000000000000004</v>
      </c>
      <c r="N211" s="4">
        <f>COUNTIF(Table1[[#This Row],[2019-Apr]:[2025-July]],"&gt;="&amp;Table1[[#This Row],[Target]])</f>
        <v>19</v>
      </c>
      <c r="O211" s="4">
        <f>IF(Table1[[#This Row],[Outliers 2Y]]=0,1,0)</f>
        <v>0</v>
      </c>
      <c r="P211" s="4">
        <f>IF(Table1[[#This Row],[Last value]]&gt;1.5*Table1[[#This Row],[Target]],1,0)</f>
        <v>0</v>
      </c>
      <c r="Q211" s="4">
        <f>IF(AND(1.5*Table1[[#This Row],[Target]]&gt;=Table1[[#This Row],[Last value]],Table1[[#This Row],[Last value]]&gt;Table1[[#This Row],[Target]]),1,0)</f>
        <v>1</v>
      </c>
      <c r="R211" s="4">
        <f>IF(Table1[[#This Row],[Target]]&gt;=Table1[[#This Row],[Last value]],1,0)</f>
        <v>0</v>
      </c>
      <c r="S211" s="4" t="str">
        <f t="shared" si="4"/>
        <v>Yellow</v>
      </c>
      <c r="T211">
        <v>0</v>
      </c>
      <c r="U211">
        <v>0</v>
      </c>
      <c r="V211">
        <v>0</v>
      </c>
      <c r="W211">
        <v>0</v>
      </c>
      <c r="X211">
        <v>4.0999999999999996</v>
      </c>
      <c r="Y211">
        <v>3.88</v>
      </c>
      <c r="Z211">
        <v>3.8</v>
      </c>
      <c r="AA211">
        <v>4.8</v>
      </c>
      <c r="AB211">
        <v>0</v>
      </c>
      <c r="AC211">
        <v>6.83</v>
      </c>
      <c r="AD211">
        <v>5.57</v>
      </c>
      <c r="AE211">
        <v>0</v>
      </c>
      <c r="AF211">
        <v>5.0999999999999996</v>
      </c>
      <c r="AG211">
        <v>4.7042857142857146</v>
      </c>
      <c r="AH211">
        <v>5.4</v>
      </c>
      <c r="AI211">
        <v>4.4800000000000004</v>
      </c>
      <c r="AJ211">
        <v>0</v>
      </c>
      <c r="AK211">
        <v>0</v>
      </c>
      <c r="AL211">
        <v>0</v>
      </c>
      <c r="AM211">
        <v>5.27</v>
      </c>
      <c r="AN211">
        <v>4.43</v>
      </c>
      <c r="AO211">
        <v>0</v>
      </c>
      <c r="AP211">
        <v>0</v>
      </c>
      <c r="AQ211">
        <v>4.95</v>
      </c>
      <c r="AR211" s="8">
        <v>0</v>
      </c>
      <c r="AS211" s="8">
        <v>0</v>
      </c>
      <c r="AT211" s="8">
        <v>5.76</v>
      </c>
      <c r="AU211" s="3">
        <v>0</v>
      </c>
      <c r="AV211" s="3">
        <v>4.3</v>
      </c>
      <c r="AW211" s="3">
        <v>0</v>
      </c>
      <c r="AX211" s="3">
        <v>4.96</v>
      </c>
      <c r="AY211" s="3">
        <v>4.5599999999999996</v>
      </c>
      <c r="AZ211" s="3">
        <v>0</v>
      </c>
      <c r="BA211" s="3">
        <v>0</v>
      </c>
      <c r="BB211" s="3">
        <v>4.5999999999999996</v>
      </c>
      <c r="BC211" s="3">
        <v>0</v>
      </c>
      <c r="BD211">
        <v>0</v>
      </c>
      <c r="BE211" s="11">
        <v>4.79</v>
      </c>
      <c r="BF211" s="4">
        <v>4.79</v>
      </c>
      <c r="BG211" s="4">
        <v>4.6669999999999998</v>
      </c>
      <c r="BH211" s="4">
        <v>4.2850000000000001</v>
      </c>
      <c r="BI211" s="4">
        <v>0</v>
      </c>
      <c r="BJ211" s="13">
        <v>3.9020000000000001</v>
      </c>
      <c r="BK211" s="13">
        <v>4.04</v>
      </c>
      <c r="BL211" s="4">
        <v>3.891</v>
      </c>
      <c r="BM211" s="16">
        <v>4.0330000000000004</v>
      </c>
      <c r="BN211" s="4">
        <v>3.9870000000000001</v>
      </c>
      <c r="BO211" s="4">
        <v>3.3940000000000001</v>
      </c>
      <c r="BP211" s="4">
        <v>0</v>
      </c>
      <c r="BQ211" s="4">
        <v>3.9159999999999999</v>
      </c>
      <c r="BR211" s="4">
        <v>0</v>
      </c>
      <c r="BS211" s="4">
        <v>3.68</v>
      </c>
      <c r="BT211" s="4">
        <v>3.0190000000000001</v>
      </c>
      <c r="BU211" s="4">
        <v>0</v>
      </c>
      <c r="BV211" s="4">
        <v>1.87</v>
      </c>
      <c r="BW211" s="4">
        <v>0</v>
      </c>
      <c r="BX211" s="4">
        <v>0</v>
      </c>
      <c r="BY211" s="4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 s="19">
        <v>4.5</v>
      </c>
      <c r="CF211" s="19">
        <v>0</v>
      </c>
      <c r="CG211" s="4">
        <v>0</v>
      </c>
      <c r="CH211" s="4">
        <v>0</v>
      </c>
      <c r="CI211" s="4">
        <v>0</v>
      </c>
      <c r="CJ211" s="34">
        <v>4.0999999999999996</v>
      </c>
      <c r="CK211" s="34">
        <v>9.3000000000000007</v>
      </c>
      <c r="CL211" s="43">
        <v>4.4000000000000004</v>
      </c>
      <c r="CM211" s="4">
        <v>4.2</v>
      </c>
      <c r="CN211" s="53">
        <v>0</v>
      </c>
      <c r="CO211" s="54">
        <v>4.5</v>
      </c>
      <c r="CP211" s="54">
        <v>1.1000000000000001</v>
      </c>
      <c r="CQ211" s="4">
        <v>4.9000000000000004</v>
      </c>
    </row>
    <row r="212" spans="1:95" x14ac:dyDescent="0.35">
      <c r="A212" s="55">
        <v>211</v>
      </c>
      <c r="B212" t="s">
        <v>99</v>
      </c>
      <c r="C212" s="27" t="s">
        <v>415</v>
      </c>
      <c r="D212" s="3" t="s">
        <v>104</v>
      </c>
      <c r="E212" s="33" t="s">
        <v>89</v>
      </c>
      <c r="F212" s="4">
        <f>IFERROR(AVERAGEIF(Table1[[#This Row],[2019-Apr]:[2025-July]],"&lt;&gt;0"),0)</f>
        <v>6.6893571428571423</v>
      </c>
      <c r="G212" s="4">
        <f ca="1">IFERROR(AVERAGEIF(OFFSET(Table1[[#This Row],[Status]],0,COUNT(Table1[[#This Row],[2019-May]:[2025-July]]),1,-12),"&lt;&gt;0"),0)</f>
        <v>5.8220000000000001</v>
      </c>
      <c r="H212" s="55">
        <f>IFERROR(SMALL(Table1[[#This Row],[2019-Apr]:[2025-July]],COUNTIF(Table1[[#This Row],[2019-Apr]:[2025-July]],0)+1),0)</f>
        <v>1.3859999999999999</v>
      </c>
      <c r="I212" s="55">
        <f>IFERROR(MAX(Table1[[#This Row],[2019-Apr]:[2025-July]]),0)</f>
        <v>17.8</v>
      </c>
      <c r="J212" s="4" cm="1">
        <f t="array" ref="J21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2.9681666666666668</v>
      </c>
      <c r="K212" s="4">
        <v>4.5</v>
      </c>
      <c r="L212" s="4">
        <f>IF(Table1[[#This Row],[Standard as per ISO]]&gt;=Table1[[#This Row],[Avg of best 6]],Table1[[#This Row],[Standard as per ISO]],Table1[[#This Row],[Avg of best 6]])</f>
        <v>4.5</v>
      </c>
      <c r="M212" s="4" cm="1">
        <f t="array" ref="M212">IFERROR(LOOKUP(2,1/(Table1[[#This Row],[2019-May]:[2025-July]]&lt;&gt;0),Table1[[#This Row],[2019-May]:[2025-July]]),0)</f>
        <v>3.4</v>
      </c>
      <c r="N212" s="4">
        <f>COUNTIF(Table1[[#This Row],[2019-Apr]:[2025-July]],"&gt;="&amp;Table1[[#This Row],[Target]])</f>
        <v>30</v>
      </c>
      <c r="O212" s="4">
        <f>IF(Table1[[#This Row],[Outliers 2Y]]=0,1,0)</f>
        <v>0</v>
      </c>
      <c r="P212" s="4">
        <f>IF(Table1[[#This Row],[Last value]]&gt;1.5*Table1[[#This Row],[Target]],1,0)</f>
        <v>0</v>
      </c>
      <c r="Q212" s="4">
        <f>IF(AND(1.5*Table1[[#This Row],[Target]]&gt;=Table1[[#This Row],[Last value]],Table1[[#This Row],[Last value]]&gt;Table1[[#This Row],[Target]]),1,0)</f>
        <v>0</v>
      </c>
      <c r="R212" s="4">
        <f>IF(Table1[[#This Row],[Target]]&gt;=Table1[[#This Row],[Last value]],1,0)</f>
        <v>1</v>
      </c>
      <c r="S212" s="4" t="str">
        <f t="shared" si="4"/>
        <v>Green</v>
      </c>
      <c r="T212">
        <v>0</v>
      </c>
      <c r="U212">
        <v>0</v>
      </c>
      <c r="V212">
        <v>0</v>
      </c>
      <c r="W212">
        <v>10.5</v>
      </c>
      <c r="X212">
        <v>0</v>
      </c>
      <c r="Y212">
        <v>0</v>
      </c>
      <c r="Z212">
        <v>0</v>
      </c>
      <c r="AA212">
        <v>0</v>
      </c>
      <c r="AB212">
        <v>6.11</v>
      </c>
      <c r="AC212">
        <v>0</v>
      </c>
      <c r="AD212">
        <v>0</v>
      </c>
      <c r="AE212">
        <v>6.6</v>
      </c>
      <c r="AF212">
        <v>0</v>
      </c>
      <c r="AG212">
        <v>7.2</v>
      </c>
      <c r="AH212">
        <v>17.8</v>
      </c>
      <c r="AI212">
        <v>12.1</v>
      </c>
      <c r="AJ212">
        <v>0</v>
      </c>
      <c r="AK212">
        <v>9.19</v>
      </c>
      <c r="AL212">
        <v>11.1</v>
      </c>
      <c r="AM212">
        <v>0</v>
      </c>
      <c r="AN212">
        <v>0</v>
      </c>
      <c r="AO212">
        <v>0</v>
      </c>
      <c r="AP212">
        <v>8.64</v>
      </c>
      <c r="AQ212">
        <v>0</v>
      </c>
      <c r="AR212" s="8">
        <v>10.199999999999999</v>
      </c>
      <c r="AS212" s="8">
        <v>0</v>
      </c>
      <c r="AT212" s="8">
        <v>4.59</v>
      </c>
      <c r="AU212" s="3">
        <v>11.7</v>
      </c>
      <c r="AV212" s="3">
        <v>0</v>
      </c>
      <c r="AW212" s="3">
        <v>7.16</v>
      </c>
      <c r="AX212" s="3">
        <v>0</v>
      </c>
      <c r="AY212" s="3">
        <v>7.01</v>
      </c>
      <c r="AZ212" s="3">
        <v>7</v>
      </c>
      <c r="BA212" s="3">
        <v>6.3</v>
      </c>
      <c r="BB212" s="3">
        <v>9.5</v>
      </c>
      <c r="BC212">
        <v>5.2</v>
      </c>
      <c r="BD212">
        <v>4.9000000000000004</v>
      </c>
      <c r="BE212" s="11">
        <v>6.6349999999999998</v>
      </c>
      <c r="BF212" s="4">
        <v>0</v>
      </c>
      <c r="BG212" s="4">
        <v>0</v>
      </c>
      <c r="BH212" s="4">
        <v>5.76</v>
      </c>
      <c r="BI212" s="4">
        <v>4.149</v>
      </c>
      <c r="BJ212" s="14">
        <v>0</v>
      </c>
      <c r="BK212" s="14">
        <v>1.3859999999999999</v>
      </c>
      <c r="BL212" s="4">
        <v>0</v>
      </c>
      <c r="BM212" s="17">
        <v>3.137</v>
      </c>
      <c r="BN212" s="4">
        <v>0</v>
      </c>
      <c r="BO212" s="4">
        <v>5.8840000000000003</v>
      </c>
      <c r="BP212" s="4">
        <v>5.524</v>
      </c>
      <c r="BQ212" s="4">
        <v>0</v>
      </c>
      <c r="BR212" s="4">
        <v>3.6320000000000001</v>
      </c>
      <c r="BS212" s="4">
        <v>0</v>
      </c>
      <c r="BT212" s="4">
        <v>3.8740000000000001</v>
      </c>
      <c r="BU212" s="4">
        <v>5.6459999999999999</v>
      </c>
      <c r="BV212" s="4">
        <v>4.0679999999999996</v>
      </c>
      <c r="BW212" s="4">
        <v>4.1260000000000003</v>
      </c>
      <c r="BX212" s="4">
        <v>4.399</v>
      </c>
      <c r="BY212" s="4">
        <v>5.9130000000000003</v>
      </c>
      <c r="BZ212">
        <v>0</v>
      </c>
      <c r="CA212">
        <v>8.7100000000000009</v>
      </c>
      <c r="CB212">
        <v>10.42</v>
      </c>
      <c r="CC212">
        <v>2.38</v>
      </c>
      <c r="CD212">
        <v>0</v>
      </c>
      <c r="CE212" s="19">
        <v>0</v>
      </c>
      <c r="CF212" s="19">
        <v>4.0999999999999996</v>
      </c>
      <c r="CG212" s="4">
        <v>0</v>
      </c>
      <c r="CH212" s="4">
        <v>4.6100000000000003</v>
      </c>
      <c r="CI212" s="4">
        <v>0</v>
      </c>
      <c r="CJ212" s="34">
        <v>0</v>
      </c>
      <c r="CK212" s="34">
        <v>0</v>
      </c>
      <c r="CL212" s="43">
        <v>0</v>
      </c>
      <c r="CM212" s="4">
        <v>0</v>
      </c>
      <c r="CN212" s="53">
        <v>7.1</v>
      </c>
      <c r="CO212" s="54">
        <v>9.1999999999999993</v>
      </c>
      <c r="CP212" s="54">
        <v>4.0999999999999996</v>
      </c>
      <c r="CQ212" s="4">
        <v>3.4</v>
      </c>
    </row>
    <row r="213" spans="1:95" x14ac:dyDescent="0.35">
      <c r="A213" s="55">
        <v>212</v>
      </c>
      <c r="B213" t="s">
        <v>99</v>
      </c>
      <c r="C213" s="27" t="s">
        <v>416</v>
      </c>
      <c r="D213" s="3" t="s">
        <v>104</v>
      </c>
      <c r="E213" s="33" t="s">
        <v>89</v>
      </c>
      <c r="F213" s="4">
        <f>IFERROR(AVERAGEIF(Table1[[#This Row],[2019-Apr]:[2025-July]],"&lt;&gt;0"),0)</f>
        <v>6.6942708333333334</v>
      </c>
      <c r="G213" s="4">
        <f ca="1">IFERROR(AVERAGEIF(OFFSET(Table1[[#This Row],[Status]],0,COUNT(Table1[[#This Row],[2019-May]:[2025-July]]),1,-12),"&lt;&gt;0"),0)</f>
        <v>6.7911111111111104</v>
      </c>
      <c r="H213" s="55">
        <f>IFERROR(SMALL(Table1[[#This Row],[2019-Apr]:[2025-July]],COUNTIF(Table1[[#This Row],[2019-Apr]:[2025-July]],0)+1),0)</f>
        <v>3.927</v>
      </c>
      <c r="I213" s="55">
        <f>IFERROR(MAX(Table1[[#This Row],[2019-Apr]:[2025-July]]),0)</f>
        <v>9.9</v>
      </c>
      <c r="J213" s="4" cm="1">
        <f t="array" ref="J21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4.3365</v>
      </c>
      <c r="K213" s="4">
        <v>4.5</v>
      </c>
      <c r="L213" s="4">
        <f>IF(Table1[[#This Row],[Standard as per ISO]]&gt;=Table1[[#This Row],[Avg of best 6]],Table1[[#This Row],[Standard as per ISO]],Table1[[#This Row],[Avg of best 6]])</f>
        <v>4.5</v>
      </c>
      <c r="M213" s="4" cm="1">
        <f t="array" ref="M213">IFERROR(LOOKUP(2,1/(Table1[[#This Row],[2019-May]:[2025-July]]&lt;&gt;0),Table1[[#This Row],[2019-May]:[2025-July]]),0)</f>
        <v>7.7</v>
      </c>
      <c r="N213" s="4">
        <f>COUNTIF(Table1[[#This Row],[2019-Apr]:[2025-July]],"&gt;="&amp;Table1[[#This Row],[Target]])</f>
        <v>44</v>
      </c>
      <c r="O213" s="4">
        <f>IF(Table1[[#This Row],[Outliers 2Y]]=0,1,0)</f>
        <v>0</v>
      </c>
      <c r="P213" s="4">
        <f>IF(Table1[[#This Row],[Last value]]&gt;1.5*Table1[[#This Row],[Target]],1,0)</f>
        <v>1</v>
      </c>
      <c r="Q213" s="4">
        <f>IF(AND(1.5*Table1[[#This Row],[Target]]&gt;=Table1[[#This Row],[Last value]],Table1[[#This Row],[Last value]]&gt;Table1[[#This Row],[Target]]),1,0)</f>
        <v>0</v>
      </c>
      <c r="R213" s="4">
        <f>IF(Table1[[#This Row],[Target]]&gt;=Table1[[#This Row],[Last value]],1,0)</f>
        <v>0</v>
      </c>
      <c r="S213" s="4" t="str">
        <f t="shared" si="4"/>
        <v>Red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7.87</v>
      </c>
      <c r="Z213">
        <v>9.9</v>
      </c>
      <c r="AA213">
        <v>5.5</v>
      </c>
      <c r="AB213">
        <v>0</v>
      </c>
      <c r="AC213">
        <v>6.32</v>
      </c>
      <c r="AD213">
        <v>6.98</v>
      </c>
      <c r="AE213">
        <v>0</v>
      </c>
      <c r="AF213">
        <v>6.5</v>
      </c>
      <c r="AG213">
        <v>6.8</v>
      </c>
      <c r="AH213">
        <v>5.8</v>
      </c>
      <c r="AI213">
        <v>8.1999999999999993</v>
      </c>
      <c r="AJ213">
        <v>0</v>
      </c>
      <c r="AK213">
        <v>7.13</v>
      </c>
      <c r="AL213">
        <v>0</v>
      </c>
      <c r="AM213">
        <v>7.73</v>
      </c>
      <c r="AN213">
        <v>7.29</v>
      </c>
      <c r="AO213">
        <v>9.5</v>
      </c>
      <c r="AP213">
        <v>7.29</v>
      </c>
      <c r="AQ213">
        <v>9.5500000000000007</v>
      </c>
      <c r="AR213" s="8">
        <v>6.68</v>
      </c>
      <c r="AS213" s="8">
        <v>7.22</v>
      </c>
      <c r="AT213" s="8">
        <v>0</v>
      </c>
      <c r="AU213" s="3">
        <v>0</v>
      </c>
      <c r="AV213" s="3">
        <v>6.5</v>
      </c>
      <c r="AW213" s="3">
        <v>0</v>
      </c>
      <c r="AX213" s="3">
        <v>6.17</v>
      </c>
      <c r="AY213" s="3">
        <v>0</v>
      </c>
      <c r="AZ213" s="3">
        <v>0</v>
      </c>
      <c r="BA213" s="3">
        <v>0</v>
      </c>
      <c r="BB213" s="3">
        <v>5.9</v>
      </c>
      <c r="BC213">
        <v>8.9</v>
      </c>
      <c r="BD213">
        <v>4.4000000000000004</v>
      </c>
      <c r="BE213" s="11">
        <v>7.0750000000000002</v>
      </c>
      <c r="BF213" s="4">
        <v>5.6029999999999998</v>
      </c>
      <c r="BG213" s="4">
        <v>7.2629999999999999</v>
      </c>
      <c r="BH213" s="4">
        <v>5.2279999999999998</v>
      </c>
      <c r="BI213" s="4">
        <v>5.7270000000000003</v>
      </c>
      <c r="BJ213" s="13">
        <v>3.927</v>
      </c>
      <c r="BK213" s="13">
        <v>5.51</v>
      </c>
      <c r="BL213" s="4">
        <v>5.0149999999999997</v>
      </c>
      <c r="BM213" s="16">
        <v>5.4450000000000003</v>
      </c>
      <c r="BN213" s="4">
        <v>5.71</v>
      </c>
      <c r="BO213" s="4">
        <v>5.9710000000000001</v>
      </c>
      <c r="BP213" s="4">
        <v>0</v>
      </c>
      <c r="BQ213" s="4">
        <v>7.359</v>
      </c>
      <c r="BR213" s="4">
        <v>0</v>
      </c>
      <c r="BS213" s="4">
        <v>9.16</v>
      </c>
      <c r="BT213" s="4">
        <v>4.3840000000000003</v>
      </c>
      <c r="BU213" s="4">
        <v>0</v>
      </c>
      <c r="BV213" s="4">
        <v>4.0780000000000003</v>
      </c>
      <c r="BW213" s="4">
        <v>0</v>
      </c>
      <c r="BX213" s="4">
        <v>0</v>
      </c>
      <c r="BY213" s="4">
        <v>0</v>
      </c>
      <c r="BZ213">
        <v>0</v>
      </c>
      <c r="CA213">
        <v>0</v>
      </c>
      <c r="CB213">
        <v>0</v>
      </c>
      <c r="CC213">
        <v>6.92</v>
      </c>
      <c r="CD213">
        <v>0</v>
      </c>
      <c r="CE213" s="19">
        <v>5.6</v>
      </c>
      <c r="CF213" s="19">
        <v>4.7</v>
      </c>
      <c r="CG213" s="4">
        <v>6.79</v>
      </c>
      <c r="CH213" s="4">
        <v>4.53</v>
      </c>
      <c r="CI213" s="4">
        <v>0</v>
      </c>
      <c r="CJ213" s="34">
        <v>7.7</v>
      </c>
      <c r="CK213" s="34">
        <v>7.5</v>
      </c>
      <c r="CL213" s="43">
        <v>8.1999999999999993</v>
      </c>
      <c r="CM213" s="4">
        <v>9.1</v>
      </c>
      <c r="CN213" s="53">
        <v>0</v>
      </c>
      <c r="CO213" s="54">
        <v>7</v>
      </c>
      <c r="CP213" s="54">
        <v>0</v>
      </c>
      <c r="CQ213" s="4">
        <v>7.7</v>
      </c>
    </row>
    <row r="214" spans="1:95" x14ac:dyDescent="0.35">
      <c r="A214" s="55">
        <v>213</v>
      </c>
      <c r="B214" t="s">
        <v>99</v>
      </c>
      <c r="C214" s="27" t="s">
        <v>417</v>
      </c>
      <c r="D214" s="3" t="s">
        <v>88</v>
      </c>
      <c r="E214" s="33" t="s">
        <v>91</v>
      </c>
      <c r="F214" s="4">
        <f>IFERROR(AVERAGEIF(Table1[[#This Row],[2019-Apr]:[2025-July]],"&lt;&gt;0"),0)</f>
        <v>1.3467037037037033</v>
      </c>
      <c r="G214" s="4">
        <f ca="1">IFERROR(AVERAGEIF(OFFSET(Table1[[#This Row],[Status]],0,COUNT(Table1[[#This Row],[2019-May]:[2025-July]]),1,-12),"&lt;&gt;0"),0)</f>
        <v>1.0950000000000002</v>
      </c>
      <c r="H214" s="55">
        <f>IFERROR(SMALL(Table1[[#This Row],[2019-Apr]:[2025-July]],COUNTIF(Table1[[#This Row],[2019-Apr]:[2025-July]],0)+1),0)</f>
        <v>0.92</v>
      </c>
      <c r="I214" s="55">
        <f>IFERROR(MAX(Table1[[#This Row],[2019-Apr]:[2025-July]]),0)</f>
        <v>1.9239999999999999</v>
      </c>
      <c r="J214" s="4" cm="1">
        <f t="array" ref="J21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1.0366666666666668</v>
      </c>
      <c r="K214" s="4">
        <v>4.5</v>
      </c>
      <c r="L214" s="4">
        <f>IF(Table1[[#This Row],[Standard as per ISO]]&gt;=Table1[[#This Row],[Avg of best 6]],Table1[[#This Row],[Standard as per ISO]],Table1[[#This Row],[Avg of best 6]])</f>
        <v>4.5</v>
      </c>
      <c r="M214" s="4" cm="1">
        <f t="array" ref="M214">IFERROR(LOOKUP(2,1/(Table1[[#This Row],[2019-May]:[2025-July]]&lt;&gt;0),Table1[[#This Row],[2019-May]:[2025-July]]),0)</f>
        <v>1.0900000000000001</v>
      </c>
      <c r="N214" s="4">
        <f>COUNTIF(Table1[[#This Row],[2019-Apr]:[2025-July]],"&gt;="&amp;Table1[[#This Row],[Target]])</f>
        <v>0</v>
      </c>
      <c r="O214" s="4">
        <f>IF(Table1[[#This Row],[Outliers 2Y]]=0,1,0)</f>
        <v>1</v>
      </c>
      <c r="P214" s="4">
        <f>IF(Table1[[#This Row],[Last value]]&gt;1.5*Table1[[#This Row],[Target]],1,0)</f>
        <v>0</v>
      </c>
      <c r="Q214" s="4">
        <f>IF(AND(1.5*Table1[[#This Row],[Target]]&gt;=Table1[[#This Row],[Last value]],Table1[[#This Row],[Last value]]&gt;Table1[[#This Row],[Target]]),1,0)</f>
        <v>0</v>
      </c>
      <c r="R214" s="4">
        <f>IF(Table1[[#This Row],[Target]]&gt;=Table1[[#This Row],[Last value]],1,0)</f>
        <v>1</v>
      </c>
      <c r="S214" s="4" t="str">
        <f t="shared" si="4"/>
        <v>Green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1.3</v>
      </c>
      <c r="Z214">
        <v>1.5</v>
      </c>
      <c r="AA214">
        <v>1.7</v>
      </c>
      <c r="AB214">
        <v>1.56</v>
      </c>
      <c r="AC214">
        <v>1.08</v>
      </c>
      <c r="AD214">
        <v>1.17</v>
      </c>
      <c r="AE214">
        <v>1.08</v>
      </c>
      <c r="AF214">
        <v>1.1000000000000001</v>
      </c>
      <c r="AG214">
        <v>1.2</v>
      </c>
      <c r="AH214">
        <v>1.2</v>
      </c>
      <c r="AI214">
        <v>1.1599999999999999</v>
      </c>
      <c r="AJ214">
        <v>0</v>
      </c>
      <c r="AK214">
        <v>1.41</v>
      </c>
      <c r="AL214">
        <v>1.67</v>
      </c>
      <c r="AM214">
        <v>1.25</v>
      </c>
      <c r="AN214">
        <v>1.33</v>
      </c>
      <c r="AO214">
        <v>1.6</v>
      </c>
      <c r="AP214">
        <v>1.26</v>
      </c>
      <c r="AQ214">
        <v>1.1200000000000001</v>
      </c>
      <c r="AR214" s="8">
        <v>0.92</v>
      </c>
      <c r="AS214" s="8">
        <v>1.1200000000000001</v>
      </c>
      <c r="AT214" s="8">
        <v>1.1499999999999999</v>
      </c>
      <c r="AU214" s="3">
        <v>1.19</v>
      </c>
      <c r="AV214" s="3">
        <v>1.24</v>
      </c>
      <c r="AW214" s="3">
        <v>1.19</v>
      </c>
      <c r="AX214" s="3">
        <v>1.65</v>
      </c>
      <c r="AY214" s="3">
        <v>1.59</v>
      </c>
      <c r="AZ214" s="3">
        <v>1.1000000000000001</v>
      </c>
      <c r="BA214" s="3">
        <v>1.4</v>
      </c>
      <c r="BB214" s="3">
        <v>1.4</v>
      </c>
      <c r="BC214">
        <v>1.5</v>
      </c>
      <c r="BD214">
        <v>0</v>
      </c>
      <c r="BE214" s="11">
        <v>1.6459999999999999</v>
      </c>
      <c r="BF214" s="4">
        <v>1.177</v>
      </c>
      <c r="BG214" s="4">
        <v>1.1200000000000001</v>
      </c>
      <c r="BH214" s="4">
        <v>1.5940000000000001</v>
      </c>
      <c r="BI214" s="4">
        <v>1.5529999999999999</v>
      </c>
      <c r="BJ214" s="14">
        <v>1.385</v>
      </c>
      <c r="BK214" s="14">
        <v>1.5309999999999999</v>
      </c>
      <c r="BL214" s="4">
        <v>1.1599999999999999</v>
      </c>
      <c r="BM214" s="17">
        <v>1.6839999999999999</v>
      </c>
      <c r="BN214" s="4">
        <v>1.4770000000000001</v>
      </c>
      <c r="BO214" s="4">
        <v>1.1930000000000001</v>
      </c>
      <c r="BP214" s="4">
        <v>1.284</v>
      </c>
      <c r="BQ214" s="4">
        <v>1.401</v>
      </c>
      <c r="BR214" s="4">
        <v>1.9239999999999999</v>
      </c>
      <c r="BS214" s="4">
        <v>1.7110000000000001</v>
      </c>
      <c r="BT214" s="4">
        <v>1.6020000000000001</v>
      </c>
      <c r="BU214" s="4">
        <v>1.615</v>
      </c>
      <c r="BV214" s="4">
        <v>1.238</v>
      </c>
      <c r="BW214" s="4">
        <v>1.32</v>
      </c>
      <c r="BX214" s="4">
        <v>1.423</v>
      </c>
      <c r="BY214" s="4">
        <v>1.4039999999999999</v>
      </c>
      <c r="BZ214">
        <v>0</v>
      </c>
      <c r="CA214">
        <v>0</v>
      </c>
      <c r="CB214">
        <v>0</v>
      </c>
      <c r="CC214">
        <v>0.95</v>
      </c>
      <c r="CD214">
        <v>0</v>
      </c>
      <c r="CE214" s="19">
        <v>0</v>
      </c>
      <c r="CF214" s="19">
        <v>1.1000000000000001</v>
      </c>
      <c r="CG214" s="4">
        <v>0</v>
      </c>
      <c r="CH214" s="4">
        <v>1.0900000000000001</v>
      </c>
      <c r="CI214" s="4">
        <v>0</v>
      </c>
      <c r="CJ214" s="34">
        <v>0</v>
      </c>
      <c r="CK214" s="34">
        <v>0</v>
      </c>
      <c r="CL214" s="34">
        <v>0</v>
      </c>
      <c r="CM214" s="4">
        <v>0</v>
      </c>
      <c r="CN214" s="53">
        <v>0</v>
      </c>
      <c r="CO214" s="54">
        <v>0</v>
      </c>
      <c r="CP214" s="54">
        <v>0</v>
      </c>
      <c r="CQ214" s="4">
        <v>0</v>
      </c>
    </row>
    <row r="215" spans="1:95" x14ac:dyDescent="0.35">
      <c r="A215" s="55">
        <v>214</v>
      </c>
      <c r="B215" t="s">
        <v>99</v>
      </c>
      <c r="C215" s="27" t="s">
        <v>418</v>
      </c>
      <c r="D215" s="3" t="s">
        <v>88</v>
      </c>
      <c r="E215" s="33" t="s">
        <v>91</v>
      </c>
      <c r="F215" s="4">
        <f>IFERROR(AVERAGEIF(Table1[[#This Row],[2019-Apr]:[2025-July]],"&lt;&gt;0"),0)</f>
        <v>3.864888888888887</v>
      </c>
      <c r="G215" s="4">
        <f ca="1">IFERROR(AVERAGEIF(OFFSET(Table1[[#This Row],[Status]],0,COUNT(Table1[[#This Row],[2019-May]:[2025-July]]),1,-12),"&lt;&gt;0"),0)</f>
        <v>2.6550000000000002</v>
      </c>
      <c r="H215" s="55">
        <f>IFERROR(SMALL(Table1[[#This Row],[2019-Apr]:[2025-July]],COUNTIF(Table1[[#This Row],[2019-Apr]:[2025-July]],0)+1),0)</f>
        <v>2.0209999999999999</v>
      </c>
      <c r="I215" s="55">
        <f>IFERROR(MAX(Table1[[#This Row],[2019-Apr]:[2025-July]]),0)</f>
        <v>7.7</v>
      </c>
      <c r="J215" s="4" cm="1">
        <f t="array" ref="J21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2.2311666666666667</v>
      </c>
      <c r="K215" s="4">
        <v>4.5</v>
      </c>
      <c r="L215" s="4">
        <f>IF(Table1[[#This Row],[Standard as per ISO]]&gt;=Table1[[#This Row],[Avg of best 6]],Table1[[#This Row],[Standard as per ISO]],Table1[[#This Row],[Avg of best 6]])</f>
        <v>4.5</v>
      </c>
      <c r="M215" s="4" cm="1">
        <f t="array" ref="M215">IFERROR(LOOKUP(2,1/(Table1[[#This Row],[2019-May]:[2025-July]]&lt;&gt;0),Table1[[#This Row],[2019-May]:[2025-July]]),0)</f>
        <v>3.11</v>
      </c>
      <c r="N215" s="4">
        <f>COUNTIF(Table1[[#This Row],[2019-Apr]:[2025-July]],"&gt;="&amp;Table1[[#This Row],[Target]])</f>
        <v>13</v>
      </c>
      <c r="O215" s="4">
        <f>IF(Table1[[#This Row],[Outliers 2Y]]=0,1,0)</f>
        <v>0</v>
      </c>
      <c r="P215" s="4">
        <f>IF(Table1[[#This Row],[Last value]]&gt;1.5*Table1[[#This Row],[Target]],1,0)</f>
        <v>0</v>
      </c>
      <c r="Q215" s="4">
        <f>IF(AND(1.5*Table1[[#This Row],[Target]]&gt;=Table1[[#This Row],[Last value]],Table1[[#This Row],[Last value]]&gt;Table1[[#This Row],[Target]]),1,0)</f>
        <v>0</v>
      </c>
      <c r="R215" s="4">
        <f>IF(Table1[[#This Row],[Target]]&gt;=Table1[[#This Row],[Last value]],1,0)</f>
        <v>1</v>
      </c>
      <c r="S215" s="4" t="str">
        <f t="shared" si="4"/>
        <v>Green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6.8</v>
      </c>
      <c r="Z215">
        <v>7.7</v>
      </c>
      <c r="AA215">
        <v>6.8</v>
      </c>
      <c r="AB215">
        <v>6.7</v>
      </c>
      <c r="AC215">
        <v>6.6</v>
      </c>
      <c r="AD215">
        <v>5.23</v>
      </c>
      <c r="AE215">
        <v>4.42</v>
      </c>
      <c r="AF215">
        <v>4.12</v>
      </c>
      <c r="AG215">
        <v>4.2</v>
      </c>
      <c r="AH215">
        <v>5.3</v>
      </c>
      <c r="AI215">
        <v>5.9</v>
      </c>
      <c r="AJ215">
        <v>0</v>
      </c>
      <c r="AK215">
        <v>5.88</v>
      </c>
      <c r="AL215">
        <v>6.01</v>
      </c>
      <c r="AM215">
        <v>6.69</v>
      </c>
      <c r="AN215">
        <v>6.73</v>
      </c>
      <c r="AO215">
        <v>5</v>
      </c>
      <c r="AP215">
        <v>2.5</v>
      </c>
      <c r="AQ215">
        <v>2.4900000000000002</v>
      </c>
      <c r="AR215" s="8">
        <v>3.57</v>
      </c>
      <c r="AS215" s="8">
        <v>3.21</v>
      </c>
      <c r="AT215" s="8">
        <v>3.01</v>
      </c>
      <c r="AU215" s="3">
        <v>3.52</v>
      </c>
      <c r="AV215" s="3">
        <v>3.17</v>
      </c>
      <c r="AW215" s="3">
        <v>3.7</v>
      </c>
      <c r="AX215" s="3">
        <v>3.71</v>
      </c>
      <c r="AY215" s="3">
        <v>3.71</v>
      </c>
      <c r="AZ215" s="3">
        <v>2.6</v>
      </c>
      <c r="BA215" s="3">
        <v>3.5</v>
      </c>
      <c r="BB215" s="3">
        <v>3.4</v>
      </c>
      <c r="BC215">
        <v>3.2</v>
      </c>
      <c r="BD215">
        <v>0</v>
      </c>
      <c r="BE215" s="11">
        <v>3.464</v>
      </c>
      <c r="BF215" s="4">
        <v>4.17</v>
      </c>
      <c r="BG215" s="4">
        <v>3.45</v>
      </c>
      <c r="BH215" s="4">
        <v>3.657</v>
      </c>
      <c r="BI215" s="4">
        <v>3.0219999999999998</v>
      </c>
      <c r="BJ215" s="13">
        <v>2.8340000000000001</v>
      </c>
      <c r="BK215" s="13">
        <v>2.363</v>
      </c>
      <c r="BL215" s="4">
        <v>3.0529999999999999</v>
      </c>
      <c r="BM215" s="16">
        <v>2.0209999999999999</v>
      </c>
      <c r="BN215" s="4">
        <v>2.5209999999999999</v>
      </c>
      <c r="BO215" s="4">
        <v>3.3330000000000002</v>
      </c>
      <c r="BP215" s="4">
        <v>2.3079999999999998</v>
      </c>
      <c r="BQ215" s="4">
        <v>3.0489999999999999</v>
      </c>
      <c r="BR215" s="4">
        <v>2.1459999999999999</v>
      </c>
      <c r="BS215" s="4">
        <v>2.577</v>
      </c>
      <c r="BT215" s="4">
        <v>2.82</v>
      </c>
      <c r="BU215" s="4">
        <v>2.5710000000000002</v>
      </c>
      <c r="BV215" s="4">
        <v>3.3969999999999998</v>
      </c>
      <c r="BW215" s="4">
        <v>2.7170000000000001</v>
      </c>
      <c r="BX215" s="4">
        <v>3.4420000000000002</v>
      </c>
      <c r="BY215" s="4">
        <v>2.3490000000000002</v>
      </c>
      <c r="BZ215">
        <v>0</v>
      </c>
      <c r="CA215">
        <v>0</v>
      </c>
      <c r="CB215">
        <v>0</v>
      </c>
      <c r="CC215">
        <v>2.76</v>
      </c>
      <c r="CD215">
        <v>0</v>
      </c>
      <c r="CE215" s="19">
        <v>0</v>
      </c>
      <c r="CF215" s="19">
        <v>2.2000000000000002</v>
      </c>
      <c r="CG215" s="4">
        <v>0</v>
      </c>
      <c r="CH215" s="4">
        <v>3.11</v>
      </c>
      <c r="CI215" s="4">
        <v>0</v>
      </c>
      <c r="CJ215" s="34">
        <v>0</v>
      </c>
      <c r="CK215" s="34">
        <v>0</v>
      </c>
      <c r="CL215" s="34">
        <v>0</v>
      </c>
      <c r="CM215" s="4">
        <v>0</v>
      </c>
      <c r="CN215" s="53">
        <v>0</v>
      </c>
      <c r="CO215" s="54">
        <v>0</v>
      </c>
      <c r="CP215" s="54">
        <v>0</v>
      </c>
      <c r="CQ215" s="4">
        <v>0</v>
      </c>
    </row>
    <row r="216" spans="1:95" x14ac:dyDescent="0.35">
      <c r="A216" s="55">
        <v>215</v>
      </c>
      <c r="B216" t="s">
        <v>99</v>
      </c>
      <c r="C216" s="27" t="s">
        <v>419</v>
      </c>
      <c r="D216" s="3" t="s">
        <v>88</v>
      </c>
      <c r="E216" s="33" t="s">
        <v>91</v>
      </c>
      <c r="F216" s="4">
        <f>IFERROR(AVERAGEIF(Table1[[#This Row],[2019-Apr]:[2025-July]],"&lt;&gt;0"),0)</f>
        <v>3.1675818181818172</v>
      </c>
      <c r="G216" s="4">
        <f ca="1">IFERROR(AVERAGEIF(OFFSET(Table1[[#This Row],[Status]],0,COUNT(Table1[[#This Row],[2019-May]:[2025-July]]),1,-12),"&lt;&gt;0"),0)</f>
        <v>4.21</v>
      </c>
      <c r="H216" s="55">
        <f>IFERROR(SMALL(Table1[[#This Row],[2019-Apr]:[2025-July]],COUNTIF(Table1[[#This Row],[2019-Apr]:[2025-July]],0)+1),0)</f>
        <v>1.2</v>
      </c>
      <c r="I216" s="55">
        <f>IFERROR(MAX(Table1[[#This Row],[2019-Apr]:[2025-July]]),0)</f>
        <v>6.02</v>
      </c>
      <c r="J216" s="4" cm="1">
        <f t="array" ref="J21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1.4816666666666665</v>
      </c>
      <c r="K216" s="4">
        <v>4.5</v>
      </c>
      <c r="L216" s="4">
        <f>IF(Table1[[#This Row],[Standard as per ISO]]&gt;=Table1[[#This Row],[Avg of best 6]],Table1[[#This Row],[Standard as per ISO]],Table1[[#This Row],[Avg of best 6]])</f>
        <v>4.5</v>
      </c>
      <c r="M216" s="4" cm="1">
        <f t="array" ref="M216">IFERROR(LOOKUP(2,1/(Table1[[#This Row],[2019-May]:[2025-July]]&lt;&gt;0),Table1[[#This Row],[2019-May]:[2025-July]]),0)</f>
        <v>6.02</v>
      </c>
      <c r="N216" s="4">
        <f>COUNTIF(Table1[[#This Row],[2019-Apr]:[2025-July]],"&gt;="&amp;Table1[[#This Row],[Target]])</f>
        <v>5</v>
      </c>
      <c r="O216" s="4">
        <f>IF(Table1[[#This Row],[Outliers 2Y]]=0,1,0)</f>
        <v>0</v>
      </c>
      <c r="P216" s="4">
        <f>IF(Table1[[#This Row],[Last value]]&gt;1.5*Table1[[#This Row],[Target]],1,0)</f>
        <v>0</v>
      </c>
      <c r="Q216" s="4">
        <f>IF(AND(1.5*Table1[[#This Row],[Target]]&gt;=Table1[[#This Row],[Last value]],Table1[[#This Row],[Last value]]&gt;Table1[[#This Row],[Target]]),1,0)</f>
        <v>1</v>
      </c>
      <c r="R216" s="4">
        <f>IF(Table1[[#This Row],[Target]]&gt;=Table1[[#This Row],[Last value]],1,0)</f>
        <v>0</v>
      </c>
      <c r="S216" s="4" t="str">
        <f t="shared" si="4"/>
        <v>Yellow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2.6</v>
      </c>
      <c r="Z216">
        <v>1.2</v>
      </c>
      <c r="AA216">
        <v>3.2</v>
      </c>
      <c r="AB216">
        <v>3.6</v>
      </c>
      <c r="AC216">
        <v>4.04</v>
      </c>
      <c r="AD216">
        <v>3.1</v>
      </c>
      <c r="AE216">
        <v>2.7</v>
      </c>
      <c r="AF216">
        <v>2.1</v>
      </c>
      <c r="AG216">
        <v>2</v>
      </c>
      <c r="AH216">
        <v>2.8</v>
      </c>
      <c r="AI216">
        <v>1.43</v>
      </c>
      <c r="AJ216">
        <v>0</v>
      </c>
      <c r="AK216">
        <v>1.52</v>
      </c>
      <c r="AL216">
        <v>3.05</v>
      </c>
      <c r="AM216">
        <v>1.47</v>
      </c>
      <c r="AN216">
        <v>2.91</v>
      </c>
      <c r="AO216">
        <v>3.9</v>
      </c>
      <c r="AP216">
        <v>3.98</v>
      </c>
      <c r="AQ216">
        <v>2.87</v>
      </c>
      <c r="AR216" s="8">
        <v>2.76</v>
      </c>
      <c r="AS216" s="8">
        <v>2.81</v>
      </c>
      <c r="AT216" s="8">
        <v>2.63</v>
      </c>
      <c r="AU216" s="3">
        <v>4.2699999999999996</v>
      </c>
      <c r="AV216" s="3">
        <v>3.96</v>
      </c>
      <c r="AW216" s="3">
        <v>3.71</v>
      </c>
      <c r="AX216" s="3">
        <v>4.4400000000000004</v>
      </c>
      <c r="AY216" s="3">
        <v>4.96</v>
      </c>
      <c r="AZ216" s="3">
        <v>2.6</v>
      </c>
      <c r="BA216" s="3">
        <v>3.3</v>
      </c>
      <c r="BB216" s="3">
        <v>3.1</v>
      </c>
      <c r="BC216">
        <v>2.7</v>
      </c>
      <c r="BD216">
        <v>2.7</v>
      </c>
      <c r="BE216" s="11">
        <v>3.6339999999999999</v>
      </c>
      <c r="BF216" s="4">
        <v>3.4489999999999998</v>
      </c>
      <c r="BG216" s="4">
        <v>5.1829999999999998</v>
      </c>
      <c r="BH216" s="4">
        <v>3.7770000000000001</v>
      </c>
      <c r="BI216" s="4">
        <v>3.972</v>
      </c>
      <c r="BJ216" s="14">
        <v>2.855</v>
      </c>
      <c r="BK216" s="14">
        <v>3.0350000000000001</v>
      </c>
      <c r="BL216" s="4">
        <v>3.8780000000000001</v>
      </c>
      <c r="BM216" s="17">
        <v>2.69</v>
      </c>
      <c r="BN216" s="4">
        <v>3.4689999999999999</v>
      </c>
      <c r="BO216" s="4">
        <v>3.895</v>
      </c>
      <c r="BP216" s="4">
        <v>2.6339999999999999</v>
      </c>
      <c r="BQ216" s="4">
        <v>4.08</v>
      </c>
      <c r="BR216" s="4">
        <v>2.7530000000000001</v>
      </c>
      <c r="BS216" s="4">
        <v>1.6220000000000001</v>
      </c>
      <c r="BT216" s="4">
        <v>3.0880000000000001</v>
      </c>
      <c r="BU216" s="4">
        <v>4.6870000000000003</v>
      </c>
      <c r="BV216" s="4">
        <v>5.1879999999999997</v>
      </c>
      <c r="BW216" s="4">
        <v>2.2109999999999999</v>
      </c>
      <c r="BX216" s="4">
        <v>3.3490000000000002</v>
      </c>
      <c r="BY216" s="4">
        <v>1.6479999999999999</v>
      </c>
      <c r="BZ216">
        <v>0</v>
      </c>
      <c r="CA216">
        <v>0</v>
      </c>
      <c r="CB216">
        <v>0</v>
      </c>
      <c r="CC216">
        <v>2.29</v>
      </c>
      <c r="CD216">
        <v>0</v>
      </c>
      <c r="CE216" s="19">
        <v>0</v>
      </c>
      <c r="CF216" s="19">
        <v>2.4</v>
      </c>
      <c r="CG216" s="4">
        <v>0</v>
      </c>
      <c r="CH216" s="4">
        <v>6.02</v>
      </c>
      <c r="CI216" s="4">
        <v>0</v>
      </c>
      <c r="CJ216" s="34">
        <v>0</v>
      </c>
      <c r="CK216" s="34">
        <v>0</v>
      </c>
      <c r="CL216" s="34">
        <v>0</v>
      </c>
      <c r="CM216" s="4">
        <v>0</v>
      </c>
      <c r="CN216" s="53">
        <v>0</v>
      </c>
      <c r="CO216" s="54">
        <v>0</v>
      </c>
      <c r="CP216" s="54">
        <v>0</v>
      </c>
      <c r="CQ216" s="4">
        <v>0</v>
      </c>
    </row>
    <row r="217" spans="1:95" x14ac:dyDescent="0.35">
      <c r="A217" s="55">
        <v>216</v>
      </c>
      <c r="B217" t="s">
        <v>99</v>
      </c>
      <c r="C217" s="27" t="s">
        <v>420</v>
      </c>
      <c r="D217" s="3" t="s">
        <v>88</v>
      </c>
      <c r="E217" s="33" t="s">
        <v>91</v>
      </c>
      <c r="F217" s="4">
        <f>IFERROR(AVERAGEIF(Table1[[#This Row],[2019-Apr]:[2025-July]],"&lt;&gt;0"),0)</f>
        <v>1.487927272727273</v>
      </c>
      <c r="G217" s="4">
        <f ca="1">IFERROR(AVERAGEIF(OFFSET(Table1[[#This Row],[Status]],0,COUNT(Table1[[#This Row],[2019-May]:[2025-July]]),1,-12),"&lt;&gt;0"),0)</f>
        <v>1.0049999999999999</v>
      </c>
      <c r="H217" s="55">
        <f>IFERROR(SMALL(Table1[[#This Row],[2019-Apr]:[2025-July]],COUNTIF(Table1[[#This Row],[2019-Apr]:[2025-July]],0)+1),0)</f>
        <v>1</v>
      </c>
      <c r="I217" s="55">
        <f>IFERROR(MAX(Table1[[#This Row],[2019-Apr]:[2025-July]]),0)</f>
        <v>2.19</v>
      </c>
      <c r="J217" s="4" cm="1">
        <f t="array" ref="J21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1.081</v>
      </c>
      <c r="K217" s="4">
        <v>4.5</v>
      </c>
      <c r="L217" s="4">
        <f>IF(Table1[[#This Row],[Standard as per ISO]]&gt;=Table1[[#This Row],[Avg of best 6]],Table1[[#This Row],[Standard as per ISO]],Table1[[#This Row],[Avg of best 6]])</f>
        <v>4.5</v>
      </c>
      <c r="M217" s="4" cm="1">
        <f t="array" ref="M217">IFERROR(LOOKUP(2,1/(Table1[[#This Row],[2019-May]:[2025-July]]&lt;&gt;0),Table1[[#This Row],[2019-May]:[2025-July]]),0)</f>
        <v>1.01</v>
      </c>
      <c r="N217" s="4">
        <f>COUNTIF(Table1[[#This Row],[2019-Apr]:[2025-July]],"&gt;="&amp;Table1[[#This Row],[Target]])</f>
        <v>0</v>
      </c>
      <c r="O217" s="4">
        <f>IF(Table1[[#This Row],[Outliers 2Y]]=0,1,0)</f>
        <v>1</v>
      </c>
      <c r="P217" s="4">
        <f>IF(Table1[[#This Row],[Last value]]&gt;1.5*Table1[[#This Row],[Target]],1,0)</f>
        <v>0</v>
      </c>
      <c r="Q217" s="4">
        <f>IF(AND(1.5*Table1[[#This Row],[Target]]&gt;=Table1[[#This Row],[Last value]],Table1[[#This Row],[Last value]]&gt;Table1[[#This Row],[Target]]),1,0)</f>
        <v>0</v>
      </c>
      <c r="R217" s="4">
        <f>IF(Table1[[#This Row],[Target]]&gt;=Table1[[#This Row],[Last value]],1,0)</f>
        <v>1</v>
      </c>
      <c r="S217" s="4" t="str">
        <f t="shared" si="4"/>
        <v>Green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1.7</v>
      </c>
      <c r="Z217">
        <v>1.4</v>
      </c>
      <c r="AA217">
        <v>1.3</v>
      </c>
      <c r="AB217">
        <v>1.52</v>
      </c>
      <c r="AC217">
        <v>1.59</v>
      </c>
      <c r="AD217">
        <v>1.54</v>
      </c>
      <c r="AE217">
        <v>1.6</v>
      </c>
      <c r="AF217">
        <v>1.6</v>
      </c>
      <c r="AG217">
        <v>1.59</v>
      </c>
      <c r="AH217">
        <v>1.4</v>
      </c>
      <c r="AI217">
        <v>1.86</v>
      </c>
      <c r="AJ217">
        <v>0</v>
      </c>
      <c r="AK217">
        <v>1.31</v>
      </c>
      <c r="AL217">
        <v>1.47</v>
      </c>
      <c r="AM217">
        <v>1.37</v>
      </c>
      <c r="AN217">
        <v>1.9</v>
      </c>
      <c r="AO217">
        <v>1.8</v>
      </c>
      <c r="AP217">
        <v>1.5</v>
      </c>
      <c r="AQ217">
        <v>1.41</v>
      </c>
      <c r="AR217" s="8">
        <v>1.46</v>
      </c>
      <c r="AS217" s="8">
        <v>1.54</v>
      </c>
      <c r="AT217" s="8">
        <v>1.55</v>
      </c>
      <c r="AU217" s="3">
        <v>1.34</v>
      </c>
      <c r="AV217" s="3">
        <v>1.7</v>
      </c>
      <c r="AW217" s="3">
        <v>1.47</v>
      </c>
      <c r="AX217" s="3">
        <v>1.8</v>
      </c>
      <c r="AY217" s="3">
        <v>2.19</v>
      </c>
      <c r="AZ217" s="3">
        <v>1.7</v>
      </c>
      <c r="BA217" s="3">
        <v>1.2</v>
      </c>
      <c r="BB217" s="3">
        <v>1.2</v>
      </c>
      <c r="BC217">
        <v>1.9</v>
      </c>
      <c r="BD217">
        <v>1.3</v>
      </c>
      <c r="BE217" s="11">
        <v>1.3520000000000001</v>
      </c>
      <c r="BF217" s="4">
        <v>1.71</v>
      </c>
      <c r="BG217" s="4">
        <v>1.639</v>
      </c>
      <c r="BH217" s="4">
        <v>1.74</v>
      </c>
      <c r="BI217" s="4">
        <v>1.411</v>
      </c>
      <c r="BJ217" s="13">
        <v>1.4990000000000001</v>
      </c>
      <c r="BK217" s="13">
        <v>1.3220000000000001</v>
      </c>
      <c r="BL217" s="4">
        <v>1.5389999999999999</v>
      </c>
      <c r="BM217" s="16">
        <v>1.988</v>
      </c>
      <c r="BN217" s="4">
        <v>1.905</v>
      </c>
      <c r="BO217" s="4">
        <v>1.306</v>
      </c>
      <c r="BP217" s="4">
        <v>1.5720000000000001</v>
      </c>
      <c r="BQ217" s="4">
        <v>1.6539999999999999</v>
      </c>
      <c r="BR217" s="4">
        <v>1.276</v>
      </c>
      <c r="BS217" s="4">
        <v>1.33</v>
      </c>
      <c r="BT217" s="4">
        <v>1.274</v>
      </c>
      <c r="BU217" s="4">
        <v>1.264</v>
      </c>
      <c r="BV217" s="4">
        <v>1.1439999999999999</v>
      </c>
      <c r="BW217" s="4">
        <v>1.0329999999999999</v>
      </c>
      <c r="BX217" s="4">
        <v>1.359</v>
      </c>
      <c r="BY217" s="4">
        <v>1.099</v>
      </c>
      <c r="BZ217">
        <v>0</v>
      </c>
      <c r="CA217">
        <v>0</v>
      </c>
      <c r="CB217">
        <v>0</v>
      </c>
      <c r="CC217">
        <v>1.2</v>
      </c>
      <c r="CD217">
        <v>0</v>
      </c>
      <c r="CE217" s="19">
        <v>0</v>
      </c>
      <c r="CF217" s="19">
        <v>1</v>
      </c>
      <c r="CG217" s="4">
        <v>0</v>
      </c>
      <c r="CH217" s="4">
        <v>1.01</v>
      </c>
      <c r="CI217" s="4">
        <v>0</v>
      </c>
      <c r="CJ217" s="34">
        <v>0</v>
      </c>
      <c r="CK217" s="34">
        <v>0</v>
      </c>
      <c r="CL217" s="34">
        <v>0</v>
      </c>
      <c r="CM217" s="4">
        <v>0</v>
      </c>
      <c r="CN217" s="53">
        <v>0</v>
      </c>
      <c r="CO217" s="54">
        <v>0</v>
      </c>
      <c r="CP217" s="54">
        <v>0</v>
      </c>
      <c r="CQ217" s="4">
        <v>0</v>
      </c>
    </row>
    <row r="218" spans="1:95" x14ac:dyDescent="0.35">
      <c r="A218" s="55">
        <v>217</v>
      </c>
      <c r="B218" t="s">
        <v>99</v>
      </c>
      <c r="C218" s="27" t="s">
        <v>421</v>
      </c>
      <c r="D218" s="3" t="s">
        <v>88</v>
      </c>
      <c r="E218" s="33" t="s">
        <v>91</v>
      </c>
      <c r="F218" s="4">
        <f>IFERROR(AVERAGEIF(Table1[[#This Row],[2019-Apr]:[2025-July]],"&lt;&gt;0"),0)</f>
        <v>1.4891785714285715</v>
      </c>
      <c r="G218" s="4">
        <f ca="1">IFERROR(AVERAGEIF(OFFSET(Table1[[#This Row],[Status]],0,COUNT(Table1[[#This Row],[2019-May]:[2025-July]]),1,-12),"&lt;&gt;0"),0)</f>
        <v>1.4849999999999999</v>
      </c>
      <c r="H218" s="55">
        <f>IFERROR(SMALL(Table1[[#This Row],[2019-Apr]:[2025-July]],COUNTIF(Table1[[#This Row],[2019-Apr]:[2025-July]],0)+1),0)</f>
        <v>0.6</v>
      </c>
      <c r="I218" s="55">
        <f>IFERROR(MAX(Table1[[#This Row],[2019-Apr]:[2025-July]]),0)</f>
        <v>3.2</v>
      </c>
      <c r="J218" s="4" cm="1">
        <f t="array" ref="J21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0.75549999999999995</v>
      </c>
      <c r="K218" s="4">
        <v>4.5</v>
      </c>
      <c r="L218" s="4">
        <f>IF(Table1[[#This Row],[Standard as per ISO]]&gt;=Table1[[#This Row],[Avg of best 6]],Table1[[#This Row],[Standard as per ISO]],Table1[[#This Row],[Avg of best 6]])</f>
        <v>4.5</v>
      </c>
      <c r="M218" s="4" cm="1">
        <f t="array" ref="M218">IFERROR(LOOKUP(2,1/(Table1[[#This Row],[2019-May]:[2025-July]]&lt;&gt;0),Table1[[#This Row],[2019-May]:[2025-July]]),0)</f>
        <v>1.71</v>
      </c>
      <c r="N218" s="4">
        <f>COUNTIF(Table1[[#This Row],[2019-Apr]:[2025-July]],"&gt;="&amp;Table1[[#This Row],[Target]])</f>
        <v>0</v>
      </c>
      <c r="O218" s="4">
        <f>IF(Table1[[#This Row],[Outliers 2Y]]=0,1,0)</f>
        <v>1</v>
      </c>
      <c r="P218" s="4">
        <f>IF(Table1[[#This Row],[Last value]]&gt;1.5*Table1[[#This Row],[Target]],1,0)</f>
        <v>0</v>
      </c>
      <c r="Q218" s="4">
        <f>IF(AND(1.5*Table1[[#This Row],[Target]]&gt;=Table1[[#This Row],[Last value]],Table1[[#This Row],[Last value]]&gt;Table1[[#This Row],[Target]]),1,0)</f>
        <v>0</v>
      </c>
      <c r="R218" s="4">
        <f>IF(Table1[[#This Row],[Target]]&gt;=Table1[[#This Row],[Last value]],1,0)</f>
        <v>1</v>
      </c>
      <c r="S218" s="4" t="str">
        <f t="shared" si="4"/>
        <v>Green</v>
      </c>
      <c r="T218">
        <v>0</v>
      </c>
      <c r="U218">
        <v>0</v>
      </c>
      <c r="V218">
        <v>0</v>
      </c>
      <c r="W218">
        <v>0</v>
      </c>
      <c r="X218">
        <v>2.17</v>
      </c>
      <c r="Y218">
        <v>2.5</v>
      </c>
      <c r="Z218">
        <v>0.6</v>
      </c>
      <c r="AA218">
        <v>3.2</v>
      </c>
      <c r="AB218">
        <v>0.96</v>
      </c>
      <c r="AC218">
        <v>1.08</v>
      </c>
      <c r="AD218">
        <v>0.97</v>
      </c>
      <c r="AE218">
        <v>1</v>
      </c>
      <c r="AF218">
        <v>0.8</v>
      </c>
      <c r="AG218">
        <v>0.8</v>
      </c>
      <c r="AH218">
        <v>0.7</v>
      </c>
      <c r="AI218">
        <v>0.85</v>
      </c>
      <c r="AJ218">
        <v>0</v>
      </c>
      <c r="AK218">
        <v>1.27</v>
      </c>
      <c r="AL218">
        <v>0.81</v>
      </c>
      <c r="AM218">
        <v>0.9</v>
      </c>
      <c r="AN218">
        <v>1.01</v>
      </c>
      <c r="AO218">
        <v>1.1000000000000001</v>
      </c>
      <c r="AP218">
        <v>1.28</v>
      </c>
      <c r="AQ218">
        <v>1.1299999999999999</v>
      </c>
      <c r="AR218" s="8">
        <v>1.56</v>
      </c>
      <c r="AS218" s="8">
        <v>1.32</v>
      </c>
      <c r="AT218" s="8">
        <v>1.57</v>
      </c>
      <c r="AU218" s="3">
        <v>1.7</v>
      </c>
      <c r="AV218" s="3">
        <v>1.56</v>
      </c>
      <c r="AW218" s="3">
        <v>1.86</v>
      </c>
      <c r="AX218" s="3">
        <v>2.0299999999999998</v>
      </c>
      <c r="AY218" s="3">
        <v>2.27</v>
      </c>
      <c r="AZ218" s="3">
        <v>3.2</v>
      </c>
      <c r="BA218" s="3">
        <v>1.8</v>
      </c>
      <c r="BB218" s="3">
        <v>2.2999999999999998</v>
      </c>
      <c r="BC218">
        <v>1.8</v>
      </c>
      <c r="BD218">
        <v>2.1</v>
      </c>
      <c r="BE218" s="11">
        <v>2.8530000000000002</v>
      </c>
      <c r="BF218" s="4">
        <v>2.6579999999999999</v>
      </c>
      <c r="BG218" s="4">
        <v>2.5790000000000002</v>
      </c>
      <c r="BH218" s="4">
        <v>2.7690000000000001</v>
      </c>
      <c r="BI218" s="4">
        <v>1.2829999999999999</v>
      </c>
      <c r="BJ218" s="14">
        <v>1.1439999999999999</v>
      </c>
      <c r="BK218" s="14">
        <v>1.1439999999999999</v>
      </c>
      <c r="BL218" s="4">
        <v>0.86299999999999999</v>
      </c>
      <c r="BM218" s="17">
        <v>1.089</v>
      </c>
      <c r="BN218" s="4">
        <v>1.131</v>
      </c>
      <c r="BO218" s="4">
        <v>0.82299999999999995</v>
      </c>
      <c r="BP218" s="4">
        <v>1.605</v>
      </c>
      <c r="BQ218" s="4">
        <v>1.0409999999999999</v>
      </c>
      <c r="BR218" s="4">
        <v>1.4950000000000001</v>
      </c>
      <c r="BS218" s="4">
        <v>1.421</v>
      </c>
      <c r="BT218" s="4">
        <v>1.0780000000000001</v>
      </c>
      <c r="BU218" s="4">
        <v>1.0629999999999999</v>
      </c>
      <c r="BV218" s="4">
        <v>0.98899999999999999</v>
      </c>
      <c r="BW218" s="4">
        <v>1.4850000000000001</v>
      </c>
      <c r="BX218" s="4">
        <v>1.0469999999999999</v>
      </c>
      <c r="BY218" s="4">
        <v>1.3440000000000001</v>
      </c>
      <c r="BZ218">
        <v>0</v>
      </c>
      <c r="CA218">
        <v>0</v>
      </c>
      <c r="CB218">
        <v>0</v>
      </c>
      <c r="CC218">
        <v>1.32</v>
      </c>
      <c r="CD218">
        <v>0</v>
      </c>
      <c r="CE218" s="19">
        <v>0</v>
      </c>
      <c r="CF218" s="19">
        <v>0</v>
      </c>
      <c r="CG218" s="4">
        <v>1.26</v>
      </c>
      <c r="CH218" s="4">
        <v>1.71</v>
      </c>
      <c r="CI218" s="4">
        <v>0</v>
      </c>
      <c r="CJ218" s="34">
        <v>0</v>
      </c>
      <c r="CK218" s="34">
        <v>0</v>
      </c>
      <c r="CL218" s="34">
        <v>0</v>
      </c>
      <c r="CM218" s="4">
        <v>0</v>
      </c>
      <c r="CN218" s="53">
        <v>0</v>
      </c>
      <c r="CO218" s="54">
        <v>0</v>
      </c>
      <c r="CP218" s="54">
        <v>0</v>
      </c>
      <c r="CQ218" s="4">
        <v>0</v>
      </c>
    </row>
    <row r="219" spans="1:95" x14ac:dyDescent="0.35">
      <c r="A219" s="55">
        <v>218</v>
      </c>
      <c r="B219" t="s">
        <v>99</v>
      </c>
      <c r="C219" s="27" t="s">
        <v>422</v>
      </c>
      <c r="D219" s="3" t="s">
        <v>88</v>
      </c>
      <c r="E219" s="33" t="s">
        <v>91</v>
      </c>
      <c r="F219" s="4">
        <f>IFERROR(AVERAGEIF(Table1[[#This Row],[2019-Apr]:[2025-July]],"&lt;&gt;0"),0)</f>
        <v>2.1423272727272726</v>
      </c>
      <c r="G219" s="4">
        <f ca="1">IFERROR(AVERAGEIF(OFFSET(Table1[[#This Row],[Status]],0,COUNT(Table1[[#This Row],[2019-May]:[2025-July]]),1,-12),"&lt;&gt;0"),0)</f>
        <v>1.79</v>
      </c>
      <c r="H219" s="55">
        <f>IFERROR(SMALL(Table1[[#This Row],[2019-Apr]:[2025-July]],COUNTIF(Table1[[#This Row],[2019-Apr]:[2025-July]],0)+1),0)</f>
        <v>1.1299999999999999</v>
      </c>
      <c r="I219" s="55">
        <f>IFERROR(MAX(Table1[[#This Row],[2019-Apr]:[2025-July]]),0)</f>
        <v>3.78</v>
      </c>
      <c r="J219" s="4" cm="1">
        <f t="array" ref="J21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1.3763333333333334</v>
      </c>
      <c r="K219" s="4">
        <v>4.5</v>
      </c>
      <c r="L219" s="4">
        <f>IF(Table1[[#This Row],[Standard as per ISO]]&gt;=Table1[[#This Row],[Avg of best 6]],Table1[[#This Row],[Standard as per ISO]],Table1[[#This Row],[Avg of best 6]])</f>
        <v>4.5</v>
      </c>
      <c r="M219" s="4" cm="1">
        <f t="array" ref="M219">IFERROR(LOOKUP(2,1/(Table1[[#This Row],[2019-May]:[2025-July]]&lt;&gt;0),Table1[[#This Row],[2019-May]:[2025-July]]),0)</f>
        <v>1.58</v>
      </c>
      <c r="N219" s="4">
        <f>COUNTIF(Table1[[#This Row],[2019-Apr]:[2025-July]],"&gt;="&amp;Table1[[#This Row],[Target]])</f>
        <v>0</v>
      </c>
      <c r="O219" s="4">
        <f>IF(Table1[[#This Row],[Outliers 2Y]]=0,1,0)</f>
        <v>1</v>
      </c>
      <c r="P219" s="4">
        <f>IF(Table1[[#This Row],[Last value]]&gt;1.5*Table1[[#This Row],[Target]],1,0)</f>
        <v>0</v>
      </c>
      <c r="Q219" s="4">
        <f>IF(AND(1.5*Table1[[#This Row],[Target]]&gt;=Table1[[#This Row],[Last value]],Table1[[#This Row],[Last value]]&gt;Table1[[#This Row],[Target]]),1,0)</f>
        <v>0</v>
      </c>
      <c r="R219" s="4">
        <f>IF(Table1[[#This Row],[Target]]&gt;=Table1[[#This Row],[Last value]],1,0)</f>
        <v>1</v>
      </c>
      <c r="S219" s="4" t="str">
        <f t="shared" si="4"/>
        <v>Green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2.2999999999999998</v>
      </c>
      <c r="Z219">
        <v>2</v>
      </c>
      <c r="AA219">
        <v>1.9</v>
      </c>
      <c r="AB219">
        <v>1.86</v>
      </c>
      <c r="AC219">
        <v>1.53</v>
      </c>
      <c r="AD219">
        <v>1.87</v>
      </c>
      <c r="AE219">
        <v>1.8</v>
      </c>
      <c r="AF219">
        <v>2.1</v>
      </c>
      <c r="AG219">
        <v>1.9</v>
      </c>
      <c r="AH219">
        <v>1.8</v>
      </c>
      <c r="AI219">
        <v>1.83</v>
      </c>
      <c r="AJ219">
        <v>0</v>
      </c>
      <c r="AK219">
        <v>1.97</v>
      </c>
      <c r="AL219">
        <v>1.95</v>
      </c>
      <c r="AM219">
        <v>2.16</v>
      </c>
      <c r="AN219">
        <v>3.2</v>
      </c>
      <c r="AO219">
        <v>1.5</v>
      </c>
      <c r="AP219">
        <v>1.8</v>
      </c>
      <c r="AQ219">
        <v>2.08</v>
      </c>
      <c r="AR219" s="8">
        <v>2.67</v>
      </c>
      <c r="AS219" s="8">
        <v>2.6</v>
      </c>
      <c r="AT219" s="8">
        <v>2.65</v>
      </c>
      <c r="AU219" s="3">
        <v>3.78</v>
      </c>
      <c r="AV219" s="3">
        <v>1.96</v>
      </c>
      <c r="AW219" s="3">
        <v>2.06</v>
      </c>
      <c r="AX219" s="3">
        <v>2.2999999999999998</v>
      </c>
      <c r="AY219" s="3">
        <v>2.88</v>
      </c>
      <c r="AZ219" s="3">
        <v>2.5</v>
      </c>
      <c r="BA219" s="3">
        <v>1.6</v>
      </c>
      <c r="BB219" s="3">
        <v>2.4</v>
      </c>
      <c r="BC219">
        <v>2.1</v>
      </c>
      <c r="BD219">
        <v>2.2999999999999998</v>
      </c>
      <c r="BE219" s="11">
        <v>2.1259999999999999</v>
      </c>
      <c r="BF219" s="4">
        <v>2.3199999999999998</v>
      </c>
      <c r="BG219" s="4">
        <v>2.218</v>
      </c>
      <c r="BH219" s="4">
        <v>2.7050000000000001</v>
      </c>
      <c r="BI219" s="4">
        <v>2.0870000000000002</v>
      </c>
      <c r="BJ219" s="13">
        <v>2.5459999999999998</v>
      </c>
      <c r="BK219" s="13">
        <v>2.149</v>
      </c>
      <c r="BL219" s="4">
        <v>2.3359999999999999</v>
      </c>
      <c r="BM219" s="16">
        <v>1.9550000000000001</v>
      </c>
      <c r="BN219" s="4">
        <v>2.2349999999999999</v>
      </c>
      <c r="BO219" s="4">
        <v>3.149</v>
      </c>
      <c r="BP219" s="4">
        <v>2.8380000000000001</v>
      </c>
      <c r="BQ219" s="4">
        <v>1.4690000000000001</v>
      </c>
      <c r="BR219" s="4">
        <v>2.629</v>
      </c>
      <c r="BS219" s="4">
        <v>2.839</v>
      </c>
      <c r="BT219" s="4">
        <v>1.798</v>
      </c>
      <c r="BU219" s="4">
        <v>1.4370000000000001</v>
      </c>
      <c r="BV219" s="4">
        <v>1.62</v>
      </c>
      <c r="BW219" s="4">
        <v>1.5069999999999999</v>
      </c>
      <c r="BX219" s="4">
        <v>1.2150000000000001</v>
      </c>
      <c r="BY219" s="4">
        <v>1.1299999999999999</v>
      </c>
      <c r="BZ219">
        <v>0</v>
      </c>
      <c r="CA219">
        <v>0</v>
      </c>
      <c r="CB219">
        <v>0</v>
      </c>
      <c r="CC219">
        <v>2.59</v>
      </c>
      <c r="CD219">
        <v>0</v>
      </c>
      <c r="CE219" s="19">
        <v>0</v>
      </c>
      <c r="CF219" s="19">
        <v>2</v>
      </c>
      <c r="CG219" s="4">
        <v>0</v>
      </c>
      <c r="CH219" s="4">
        <v>1.58</v>
      </c>
      <c r="CI219" s="4">
        <v>0</v>
      </c>
      <c r="CJ219" s="34">
        <v>0</v>
      </c>
      <c r="CK219" s="34">
        <v>0</v>
      </c>
      <c r="CL219" s="34">
        <v>0</v>
      </c>
      <c r="CM219" s="4">
        <v>0</v>
      </c>
      <c r="CN219" s="53">
        <v>0</v>
      </c>
      <c r="CO219" s="54">
        <v>0</v>
      </c>
      <c r="CP219" s="54">
        <v>0</v>
      </c>
      <c r="CQ219" s="4">
        <v>0</v>
      </c>
    </row>
    <row r="220" spans="1:95" x14ac:dyDescent="0.35">
      <c r="A220" s="55">
        <v>219</v>
      </c>
      <c r="B220" t="s">
        <v>99</v>
      </c>
      <c r="C220" s="27" t="s">
        <v>423</v>
      </c>
      <c r="D220" s="3" t="s">
        <v>88</v>
      </c>
      <c r="E220" s="33" t="s">
        <v>91</v>
      </c>
      <c r="F220" s="4">
        <f>IFERROR(AVERAGEIF(Table1[[#This Row],[2019-Apr]:[2025-July]],"&lt;&gt;0"),0)</f>
        <v>7.2288245614035089</v>
      </c>
      <c r="G220" s="4">
        <f ca="1">IFERROR(AVERAGEIF(OFFSET(Table1[[#This Row],[Status]],0,COUNT(Table1[[#This Row],[2019-May]:[2025-July]]),1,-12),"&lt;&gt;0"),0)</f>
        <v>11.493333333333334</v>
      </c>
      <c r="H220" s="55">
        <f>IFERROR(SMALL(Table1[[#This Row],[2019-Apr]:[2025-July]],COUNTIF(Table1[[#This Row],[2019-Apr]:[2025-July]],0)+1),0)</f>
        <v>2.19</v>
      </c>
      <c r="I220" s="55">
        <f>IFERROR(MAX(Table1[[#This Row],[2019-Apr]:[2025-July]]),0)</f>
        <v>13.7</v>
      </c>
      <c r="J220" s="4" cm="1">
        <f t="array" ref="J22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3.0833333333333335</v>
      </c>
      <c r="K220" s="4">
        <v>4.5</v>
      </c>
      <c r="L220" s="4">
        <f>IF(Table1[[#This Row],[Standard as per ISO]]&gt;=Table1[[#This Row],[Avg of best 6]],Table1[[#This Row],[Standard as per ISO]],Table1[[#This Row],[Avg of best 6]])</f>
        <v>4.5</v>
      </c>
      <c r="M220" s="4" cm="1">
        <f t="array" ref="M220">IFERROR(LOOKUP(2,1/(Table1[[#This Row],[2019-May]:[2025-July]]&lt;&gt;0),Table1[[#This Row],[2019-May]:[2025-July]]),0)</f>
        <v>13.7</v>
      </c>
      <c r="N220" s="4">
        <f>COUNTIF(Table1[[#This Row],[2019-Apr]:[2025-July]],"&gt;="&amp;Table1[[#This Row],[Target]])</f>
        <v>47</v>
      </c>
      <c r="O220" s="4">
        <f>IF(Table1[[#This Row],[Outliers 2Y]]=0,1,0)</f>
        <v>0</v>
      </c>
      <c r="P220" s="4">
        <f>IF(Table1[[#This Row],[Last value]]&gt;1.5*Table1[[#This Row],[Target]],1,0)</f>
        <v>1</v>
      </c>
      <c r="Q220" s="4">
        <f>IF(AND(1.5*Table1[[#This Row],[Target]]&gt;=Table1[[#This Row],[Last value]],Table1[[#This Row],[Last value]]&gt;Table1[[#This Row],[Target]]),1,0)</f>
        <v>0</v>
      </c>
      <c r="R220" s="4">
        <f>IF(Table1[[#This Row],[Target]]&gt;=Table1[[#This Row],[Last value]],1,0)</f>
        <v>0</v>
      </c>
      <c r="S220" s="4" t="str">
        <f t="shared" si="4"/>
        <v>Red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4.5999999999999996</v>
      </c>
      <c r="Z220">
        <v>4.2</v>
      </c>
      <c r="AA220">
        <v>5</v>
      </c>
      <c r="AB220">
        <v>6.82</v>
      </c>
      <c r="AC220">
        <v>6.8</v>
      </c>
      <c r="AD220">
        <v>6.85</v>
      </c>
      <c r="AE220">
        <v>3.5</v>
      </c>
      <c r="AF220">
        <v>4.8</v>
      </c>
      <c r="AG220">
        <v>4.7</v>
      </c>
      <c r="AH220">
        <v>4.3</v>
      </c>
      <c r="AI220">
        <v>5.46</v>
      </c>
      <c r="AJ220">
        <v>0</v>
      </c>
      <c r="AK220">
        <v>7.58</v>
      </c>
      <c r="AL220">
        <v>4.4000000000000004</v>
      </c>
      <c r="AM220">
        <v>7.73</v>
      </c>
      <c r="AN220">
        <v>2.19</v>
      </c>
      <c r="AO220">
        <v>3.5</v>
      </c>
      <c r="AP220">
        <v>5.4</v>
      </c>
      <c r="AQ220">
        <v>5.24</v>
      </c>
      <c r="AR220" s="8">
        <v>5.74</v>
      </c>
      <c r="AS220" s="8">
        <v>2.71</v>
      </c>
      <c r="AT220" s="8">
        <v>6</v>
      </c>
      <c r="AU220" s="3">
        <v>4.46</v>
      </c>
      <c r="AV220" s="3">
        <v>4.0999999999999996</v>
      </c>
      <c r="AW220" s="3">
        <v>6.31</v>
      </c>
      <c r="AX220" s="3">
        <v>8.07</v>
      </c>
      <c r="AY220" s="3">
        <v>6.33</v>
      </c>
      <c r="AZ220" s="3">
        <v>6.3</v>
      </c>
      <c r="BA220" s="3">
        <v>4.9000000000000004</v>
      </c>
      <c r="BB220" s="3">
        <v>2.5</v>
      </c>
      <c r="BC220">
        <v>10.3</v>
      </c>
      <c r="BD220">
        <v>8.6999999999999993</v>
      </c>
      <c r="BE220" s="11">
        <v>8.8529999999999998</v>
      </c>
      <c r="BF220" s="4">
        <v>7.22</v>
      </c>
      <c r="BG220" s="4">
        <v>7.4219999999999997</v>
      </c>
      <c r="BH220" s="4">
        <v>9.99</v>
      </c>
      <c r="BI220" s="4">
        <v>9.1980000000000004</v>
      </c>
      <c r="BJ220" s="14">
        <v>9.4510000000000005</v>
      </c>
      <c r="BK220" s="14">
        <v>8.0139999999999993</v>
      </c>
      <c r="BL220" s="4">
        <v>8.6340000000000003</v>
      </c>
      <c r="BM220" s="17">
        <v>7.7629999999999999</v>
      </c>
      <c r="BN220" s="4">
        <v>8.9949999999999992</v>
      </c>
      <c r="BO220" s="4">
        <v>6.907</v>
      </c>
      <c r="BP220" s="4">
        <v>10.44</v>
      </c>
      <c r="BQ220" s="4">
        <v>8.8729999999999993</v>
      </c>
      <c r="BR220" s="4">
        <v>8.9710000000000001</v>
      </c>
      <c r="BS220" s="4">
        <v>7.8680000000000003</v>
      </c>
      <c r="BT220" s="4">
        <v>4.7619999999999996</v>
      </c>
      <c r="BU220" s="4">
        <v>12.55</v>
      </c>
      <c r="BV220" s="4">
        <v>10.28</v>
      </c>
      <c r="BW220" s="4">
        <v>10</v>
      </c>
      <c r="BX220" s="4">
        <v>13.62</v>
      </c>
      <c r="BY220" s="4">
        <v>4.9420000000000002</v>
      </c>
      <c r="BZ220">
        <v>0</v>
      </c>
      <c r="CA220">
        <v>11.15</v>
      </c>
      <c r="CB220">
        <v>12.17</v>
      </c>
      <c r="CC220">
        <v>0</v>
      </c>
      <c r="CD220">
        <v>0</v>
      </c>
      <c r="CE220" s="19">
        <v>0</v>
      </c>
      <c r="CF220" s="19">
        <v>11.2</v>
      </c>
      <c r="CG220" s="4">
        <v>9.58</v>
      </c>
      <c r="CH220" s="4">
        <v>13.7</v>
      </c>
      <c r="CI220" s="4">
        <v>0</v>
      </c>
      <c r="CJ220" s="34">
        <v>0</v>
      </c>
      <c r="CK220" s="34">
        <v>0</v>
      </c>
      <c r="CL220" s="34">
        <v>0</v>
      </c>
      <c r="CM220" s="4">
        <v>0</v>
      </c>
      <c r="CN220" s="53">
        <v>0</v>
      </c>
      <c r="CO220" s="54">
        <v>0</v>
      </c>
      <c r="CP220" s="54">
        <v>0</v>
      </c>
      <c r="CQ220" s="4">
        <v>0</v>
      </c>
    </row>
    <row r="221" spans="1:95" x14ac:dyDescent="0.35">
      <c r="A221" s="55">
        <v>220</v>
      </c>
      <c r="B221" t="s">
        <v>99</v>
      </c>
      <c r="C221" s="27" t="s">
        <v>424</v>
      </c>
      <c r="D221" s="3" t="s">
        <v>88</v>
      </c>
      <c r="E221" s="33" t="s">
        <v>91</v>
      </c>
      <c r="F221" s="4">
        <f>IFERROR(AVERAGEIF(Table1[[#This Row],[2019-Apr]:[2025-July]],"&lt;&gt;0"),0)</f>
        <v>2.3106296296296303</v>
      </c>
      <c r="G221" s="4">
        <f ca="1">IFERROR(AVERAGEIF(OFFSET(Table1[[#This Row],[Status]],0,COUNT(Table1[[#This Row],[2019-May]:[2025-July]]),1,-12),"&lt;&gt;0"),0)</f>
        <v>2.17</v>
      </c>
      <c r="H221" s="55">
        <f>IFERROR(SMALL(Table1[[#This Row],[2019-Apr]:[2025-July]],COUNTIF(Table1[[#This Row],[2019-Apr]:[2025-July]],0)+1),0)</f>
        <v>0.98</v>
      </c>
      <c r="I221" s="55">
        <f>IFERROR(MAX(Table1[[#This Row],[2019-Apr]:[2025-July]]),0)</f>
        <v>4.3</v>
      </c>
      <c r="J221" s="4" cm="1">
        <f t="array" ref="J22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0.98000000000000009</v>
      </c>
      <c r="K221" s="4">
        <v>4.5</v>
      </c>
      <c r="L221" s="4">
        <f>IF(Table1[[#This Row],[Standard as per ISO]]&gt;=Table1[[#This Row],[Avg of best 6]],Table1[[#This Row],[Standard as per ISO]],Table1[[#This Row],[Avg of best 6]])</f>
        <v>4.5</v>
      </c>
      <c r="M221" s="4" cm="1">
        <f t="array" ref="M221">IFERROR(LOOKUP(2,1/(Table1[[#This Row],[2019-May]:[2025-July]]&lt;&gt;0),Table1[[#This Row],[2019-May]:[2025-July]]),0)</f>
        <v>2.2400000000000002</v>
      </c>
      <c r="N221" s="4">
        <f>COUNTIF(Table1[[#This Row],[2019-Apr]:[2025-July]],"&gt;="&amp;Table1[[#This Row],[Target]])</f>
        <v>0</v>
      </c>
      <c r="O221" s="4">
        <f>IF(Table1[[#This Row],[Outliers 2Y]]=0,1,0)</f>
        <v>1</v>
      </c>
      <c r="P221" s="4">
        <f>IF(Table1[[#This Row],[Last value]]&gt;1.5*Table1[[#This Row],[Target]],1,0)</f>
        <v>0</v>
      </c>
      <c r="Q221" s="4">
        <f>IF(AND(1.5*Table1[[#This Row],[Target]]&gt;=Table1[[#This Row],[Last value]],Table1[[#This Row],[Last value]]&gt;Table1[[#This Row],[Target]]),1,0)</f>
        <v>0</v>
      </c>
      <c r="R221" s="4">
        <f>IF(Table1[[#This Row],[Target]]&gt;=Table1[[#This Row],[Last value]],1,0)</f>
        <v>1</v>
      </c>
      <c r="S221" s="4" t="str">
        <f t="shared" si="4"/>
        <v>Green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3</v>
      </c>
      <c r="Z221">
        <v>2.5</v>
      </c>
      <c r="AA221">
        <v>2.2000000000000002</v>
      </c>
      <c r="AB221">
        <v>2.95</v>
      </c>
      <c r="AC221">
        <v>2.58</v>
      </c>
      <c r="AD221">
        <v>2.57</v>
      </c>
      <c r="AE221">
        <v>2.4</v>
      </c>
      <c r="AF221">
        <v>2.6</v>
      </c>
      <c r="AG221">
        <v>4.3</v>
      </c>
      <c r="AH221">
        <v>3.9</v>
      </c>
      <c r="AI221">
        <v>3.92</v>
      </c>
      <c r="AJ221">
        <v>0</v>
      </c>
      <c r="AK221">
        <v>3.29</v>
      </c>
      <c r="AL221">
        <v>2.98</v>
      </c>
      <c r="AM221">
        <v>2.84</v>
      </c>
      <c r="AN221">
        <v>1.88</v>
      </c>
      <c r="AO221">
        <v>3.3</v>
      </c>
      <c r="AP221">
        <v>3.06</v>
      </c>
      <c r="AQ221">
        <v>3.97</v>
      </c>
      <c r="AR221" s="8">
        <v>2.4500000000000002</v>
      </c>
      <c r="AS221" s="8">
        <v>2.6</v>
      </c>
      <c r="AT221" s="8">
        <v>2.5299999999999998</v>
      </c>
      <c r="AU221" s="3">
        <v>3.18</v>
      </c>
      <c r="AV221" s="3">
        <v>2.9</v>
      </c>
      <c r="AW221" s="3">
        <v>2.61</v>
      </c>
      <c r="AX221" s="3">
        <v>2.19</v>
      </c>
      <c r="AY221" s="3">
        <v>3.05</v>
      </c>
      <c r="AZ221" s="3">
        <v>3</v>
      </c>
      <c r="BA221" s="3">
        <v>1.9</v>
      </c>
      <c r="BB221" s="3">
        <v>2.6</v>
      </c>
      <c r="BC221">
        <v>1.8</v>
      </c>
      <c r="BD221">
        <v>2.5</v>
      </c>
      <c r="BE221" s="11">
        <v>1.9159999999999999</v>
      </c>
      <c r="BF221" s="4">
        <v>0.98</v>
      </c>
      <c r="BG221" s="4">
        <v>0.98</v>
      </c>
      <c r="BH221" s="4">
        <v>0.98</v>
      </c>
      <c r="BI221" s="4">
        <v>0.98</v>
      </c>
      <c r="BJ221" s="13">
        <v>0.98</v>
      </c>
      <c r="BK221" s="13">
        <v>0.98</v>
      </c>
      <c r="BL221" s="4">
        <v>0.98</v>
      </c>
      <c r="BM221" s="16">
        <v>0.98</v>
      </c>
      <c r="BN221" s="4">
        <v>0.98</v>
      </c>
      <c r="BO221" s="4">
        <v>0.98</v>
      </c>
      <c r="BP221" s="4">
        <v>2.6219999999999999</v>
      </c>
      <c r="BQ221" s="4">
        <v>2.4140000000000001</v>
      </c>
      <c r="BR221" s="4">
        <v>2.0840000000000001</v>
      </c>
      <c r="BS221" s="4">
        <v>2.0840000000000001</v>
      </c>
      <c r="BT221" s="4">
        <v>2.0840000000000001</v>
      </c>
      <c r="BU221" s="4">
        <v>2.0840000000000001</v>
      </c>
      <c r="BV221" s="4">
        <v>2.0840000000000001</v>
      </c>
      <c r="BW221" s="4">
        <v>2.0760000000000001</v>
      </c>
      <c r="BX221" s="4">
        <v>1.484</v>
      </c>
      <c r="BY221" s="4">
        <v>2.1520000000000001</v>
      </c>
      <c r="BZ221">
        <v>0</v>
      </c>
      <c r="CA221">
        <v>0</v>
      </c>
      <c r="CB221">
        <v>0</v>
      </c>
      <c r="CC221">
        <v>0</v>
      </c>
      <c r="CD221">
        <v>0</v>
      </c>
      <c r="CE221" s="19">
        <v>2.1</v>
      </c>
      <c r="CF221" s="19">
        <v>0</v>
      </c>
      <c r="CG221" s="4">
        <v>0</v>
      </c>
      <c r="CH221" s="4">
        <v>2.2400000000000002</v>
      </c>
      <c r="CI221" s="4">
        <v>0</v>
      </c>
      <c r="CJ221" s="34">
        <v>0</v>
      </c>
      <c r="CK221" s="34">
        <v>0</v>
      </c>
      <c r="CL221" s="34">
        <v>0</v>
      </c>
      <c r="CM221" s="4">
        <v>0</v>
      </c>
      <c r="CN221" s="53">
        <v>0</v>
      </c>
      <c r="CO221" s="54">
        <v>0</v>
      </c>
      <c r="CP221" s="54">
        <v>0</v>
      </c>
      <c r="CQ221" s="4">
        <v>0</v>
      </c>
    </row>
    <row r="222" spans="1:95" x14ac:dyDescent="0.35">
      <c r="A222" s="55">
        <v>221</v>
      </c>
      <c r="B222" t="s">
        <v>99</v>
      </c>
      <c r="C222" s="27" t="s">
        <v>425</v>
      </c>
      <c r="D222" s="3" t="s">
        <v>88</v>
      </c>
      <c r="E222" s="33" t="s">
        <v>91</v>
      </c>
      <c r="F222" s="4">
        <f>IFERROR(AVERAGEIF(Table1[[#This Row],[2019-Apr]:[2025-July]],"&lt;&gt;0"),0)</f>
        <v>3.1953333333333336</v>
      </c>
      <c r="G222" s="4">
        <f ca="1">IFERROR(AVERAGEIF(OFFSET(Table1[[#This Row],[Status]],0,COUNT(Table1[[#This Row],[2019-May]:[2025-July]]),1,-12),"&lt;&gt;0"),0)</f>
        <v>3.78</v>
      </c>
      <c r="H222" s="55">
        <f>IFERROR(SMALL(Table1[[#This Row],[2019-Apr]:[2025-July]],COUNTIF(Table1[[#This Row],[2019-Apr]:[2025-July]],0)+1),0)</f>
        <v>2.2999999999999998</v>
      </c>
      <c r="I222" s="55">
        <f>IFERROR(MAX(Table1[[#This Row],[2019-Apr]:[2025-July]]),0)</f>
        <v>5.25</v>
      </c>
      <c r="J222" s="4" cm="1">
        <f t="array" ref="J22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2.4300000000000002</v>
      </c>
      <c r="K222" s="4">
        <v>4.5</v>
      </c>
      <c r="L222" s="4">
        <f>IF(Table1[[#This Row],[Standard as per ISO]]&gt;=Table1[[#This Row],[Avg of best 6]],Table1[[#This Row],[Standard as per ISO]],Table1[[#This Row],[Avg of best 6]])</f>
        <v>4.5</v>
      </c>
      <c r="M222" s="4" cm="1">
        <f t="array" ref="M222">IFERROR(LOOKUP(2,1/(Table1[[#This Row],[2019-May]:[2025-July]]&lt;&gt;0),Table1[[#This Row],[2019-May]:[2025-July]]),0)</f>
        <v>3.76</v>
      </c>
      <c r="N222" s="4">
        <f>COUNTIF(Table1[[#This Row],[2019-Apr]:[2025-July]],"&gt;="&amp;Table1[[#This Row],[Target]])</f>
        <v>3</v>
      </c>
      <c r="O222" s="4">
        <f>IF(Table1[[#This Row],[Outliers 2Y]]=0,1,0)</f>
        <v>0</v>
      </c>
      <c r="P222" s="4">
        <f>IF(Table1[[#This Row],[Last value]]&gt;1.5*Table1[[#This Row],[Target]],1,0)</f>
        <v>0</v>
      </c>
      <c r="Q222" s="4">
        <f>IF(AND(1.5*Table1[[#This Row],[Target]]&gt;=Table1[[#This Row],[Last value]],Table1[[#This Row],[Last value]]&gt;Table1[[#This Row],[Target]]),1,0)</f>
        <v>0</v>
      </c>
      <c r="R222" s="4">
        <f>IF(Table1[[#This Row],[Target]]&gt;=Table1[[#This Row],[Last value]],1,0)</f>
        <v>1</v>
      </c>
      <c r="S222" s="4" t="str">
        <f t="shared" si="4"/>
        <v>Green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3.5</v>
      </c>
      <c r="Z222">
        <v>2.72</v>
      </c>
      <c r="AA222">
        <v>3.8</v>
      </c>
      <c r="AB222">
        <v>2.6</v>
      </c>
      <c r="AC222">
        <v>2.75</v>
      </c>
      <c r="AD222">
        <v>4.62</v>
      </c>
      <c r="AE222">
        <v>2.2999999999999998</v>
      </c>
      <c r="AF222">
        <v>2.5</v>
      </c>
      <c r="AG222">
        <v>3</v>
      </c>
      <c r="AH222">
        <v>4.4000000000000004</v>
      </c>
      <c r="AI222">
        <v>5.25</v>
      </c>
      <c r="AJ222">
        <v>0</v>
      </c>
      <c r="AK222">
        <v>4.58</v>
      </c>
      <c r="AL222">
        <v>2.89</v>
      </c>
      <c r="AM222">
        <v>4.3899999999999997</v>
      </c>
      <c r="AN222">
        <v>2.97</v>
      </c>
      <c r="AO222">
        <v>2.97</v>
      </c>
      <c r="AP222">
        <v>4.37</v>
      </c>
      <c r="AQ222">
        <v>2.8</v>
      </c>
      <c r="AR222" s="8">
        <v>2.93</v>
      </c>
      <c r="AS222" s="8">
        <v>2.69</v>
      </c>
      <c r="AT222" s="8">
        <v>2.4</v>
      </c>
      <c r="AU222" s="3">
        <v>3.06</v>
      </c>
      <c r="AV222" s="3">
        <v>2.87</v>
      </c>
      <c r="AW222" s="3">
        <v>2.5299999999999998</v>
      </c>
      <c r="AX222" s="3">
        <v>2.48</v>
      </c>
      <c r="AY222" s="3">
        <v>2.5</v>
      </c>
      <c r="AZ222" s="3">
        <v>3.1</v>
      </c>
      <c r="BA222" s="3">
        <v>2.5</v>
      </c>
      <c r="BB222" s="3">
        <v>2.4</v>
      </c>
      <c r="BC222">
        <v>2.6</v>
      </c>
      <c r="BD222">
        <v>3.2</v>
      </c>
      <c r="BE222" s="11">
        <v>2.8410000000000002</v>
      </c>
      <c r="BF222" s="4">
        <v>3.2280000000000002</v>
      </c>
      <c r="BG222" s="4">
        <v>2.7160000000000002</v>
      </c>
      <c r="BH222" s="4">
        <v>3.0009999999999999</v>
      </c>
      <c r="BI222" s="4">
        <v>2.641</v>
      </c>
      <c r="BJ222" s="14">
        <v>2.532</v>
      </c>
      <c r="BK222" s="14">
        <v>2.63</v>
      </c>
      <c r="BL222" s="4">
        <v>3.3319999999999999</v>
      </c>
      <c r="BM222" s="17">
        <v>2.83</v>
      </c>
      <c r="BN222" s="4">
        <v>2.9969999999999999</v>
      </c>
      <c r="BO222" s="4">
        <v>3.194</v>
      </c>
      <c r="BP222" s="4">
        <v>4.1210000000000004</v>
      </c>
      <c r="BQ222" s="4">
        <v>2.5590000000000002</v>
      </c>
      <c r="BR222" s="4">
        <v>4.1150000000000002</v>
      </c>
      <c r="BS222" s="4">
        <v>2.915</v>
      </c>
      <c r="BT222" s="4">
        <v>3.1859999999999999</v>
      </c>
      <c r="BU222" s="4">
        <v>3.851</v>
      </c>
      <c r="BV222" s="4">
        <v>2.65</v>
      </c>
      <c r="BW222" s="4">
        <v>3.952</v>
      </c>
      <c r="BX222" s="4">
        <v>4.0490000000000004</v>
      </c>
      <c r="BY222" s="4">
        <v>3.9780000000000002</v>
      </c>
      <c r="BZ222">
        <v>0</v>
      </c>
      <c r="CA222">
        <v>0</v>
      </c>
      <c r="CB222">
        <v>0</v>
      </c>
      <c r="CC222">
        <v>0</v>
      </c>
      <c r="CD222">
        <v>0</v>
      </c>
      <c r="CE222" s="19">
        <v>3.8</v>
      </c>
      <c r="CF222" s="19">
        <v>0</v>
      </c>
      <c r="CG222" s="4">
        <v>0</v>
      </c>
      <c r="CH222" s="4">
        <v>3.76</v>
      </c>
      <c r="CI222" s="4">
        <v>0</v>
      </c>
      <c r="CJ222" s="34">
        <v>0</v>
      </c>
      <c r="CK222" s="34">
        <v>0</v>
      </c>
      <c r="CL222" s="34">
        <v>0</v>
      </c>
      <c r="CM222" s="4">
        <v>0</v>
      </c>
      <c r="CN222" s="53">
        <v>0</v>
      </c>
      <c r="CO222" s="54">
        <v>0</v>
      </c>
      <c r="CP222" s="54">
        <v>0</v>
      </c>
      <c r="CQ222" s="4">
        <v>0</v>
      </c>
    </row>
    <row r="223" spans="1:95" x14ac:dyDescent="0.35">
      <c r="A223" s="55">
        <v>222</v>
      </c>
      <c r="B223" t="s">
        <v>99</v>
      </c>
      <c r="C223" s="27" t="s">
        <v>426</v>
      </c>
      <c r="D223" s="3" t="s">
        <v>88</v>
      </c>
      <c r="E223" s="33" t="s">
        <v>91</v>
      </c>
      <c r="F223" s="4">
        <f>IFERROR(AVERAGEIF(Table1[[#This Row],[2019-Apr]:[2025-July]],"&lt;&gt;0"),0)</f>
        <v>4.6193877551020419</v>
      </c>
      <c r="G223" s="4">
        <f ca="1">IFERROR(AVERAGEIF(OFFSET(Table1[[#This Row],[Status]],0,COUNT(Table1[[#This Row],[2019-May]:[2025-July]]),1,-12),"&lt;&gt;0"),0)</f>
        <v>3.3849999999999998</v>
      </c>
      <c r="H223" s="55">
        <f>IFERROR(SMALL(Table1[[#This Row],[2019-Apr]:[2025-July]],COUNTIF(Table1[[#This Row],[2019-Apr]:[2025-July]],0)+1),0)</f>
        <v>1.883</v>
      </c>
      <c r="I223" s="55">
        <f>IFERROR(MAX(Table1[[#This Row],[2019-Apr]:[2025-July]]),0)</f>
        <v>13.4</v>
      </c>
      <c r="J223" s="4" cm="1">
        <f t="array" ref="J22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2.512</v>
      </c>
      <c r="K223" s="4">
        <v>4.5</v>
      </c>
      <c r="L223" s="4">
        <f>IF(Table1[[#This Row],[Standard as per ISO]]&gt;=Table1[[#This Row],[Avg of best 6]],Table1[[#This Row],[Standard as per ISO]],Table1[[#This Row],[Avg of best 6]])</f>
        <v>4.5</v>
      </c>
      <c r="M223" s="4" cm="1">
        <f t="array" ref="M223">IFERROR(LOOKUP(2,1/(Table1[[#This Row],[2019-May]:[2025-July]]&lt;&gt;0),Table1[[#This Row],[2019-May]:[2025-July]]),0)</f>
        <v>2.77</v>
      </c>
      <c r="N223" s="4">
        <f>COUNTIF(Table1[[#This Row],[2019-Apr]:[2025-July]],"&gt;="&amp;Table1[[#This Row],[Target]])</f>
        <v>21</v>
      </c>
      <c r="O223" s="4">
        <f>IF(Table1[[#This Row],[Outliers 2Y]]=0,1,0)</f>
        <v>0</v>
      </c>
      <c r="P223" s="4">
        <f>IF(Table1[[#This Row],[Last value]]&gt;1.5*Table1[[#This Row],[Target]],1,0)</f>
        <v>0</v>
      </c>
      <c r="Q223" s="4">
        <f>IF(AND(1.5*Table1[[#This Row],[Target]]&gt;=Table1[[#This Row],[Last value]],Table1[[#This Row],[Last value]]&gt;Table1[[#This Row],[Target]]),1,0)</f>
        <v>0</v>
      </c>
      <c r="R223" s="4">
        <f>IF(Table1[[#This Row],[Target]]&gt;=Table1[[#This Row],[Last value]],1,0)</f>
        <v>1</v>
      </c>
      <c r="S223" s="4" t="str">
        <f t="shared" si="4"/>
        <v>Green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4.5</v>
      </c>
      <c r="Z223">
        <v>5.0999999999999996</v>
      </c>
      <c r="AA223">
        <v>4.7</v>
      </c>
      <c r="AB223">
        <v>4.5</v>
      </c>
      <c r="AC223">
        <v>3.93</v>
      </c>
      <c r="AD223">
        <v>5.8</v>
      </c>
      <c r="AE223">
        <v>5.4</v>
      </c>
      <c r="AF223">
        <v>6.7</v>
      </c>
      <c r="AG223">
        <v>0</v>
      </c>
      <c r="AH223">
        <v>0</v>
      </c>
      <c r="AI223">
        <v>0</v>
      </c>
      <c r="AJ223">
        <v>0</v>
      </c>
      <c r="AK223">
        <v>5.27</v>
      </c>
      <c r="AL223">
        <v>4.72</v>
      </c>
      <c r="AM223">
        <v>6.23</v>
      </c>
      <c r="AN223">
        <v>4.4000000000000004</v>
      </c>
      <c r="AO223">
        <v>5.8</v>
      </c>
      <c r="AP223">
        <v>4.97</v>
      </c>
      <c r="AQ223">
        <v>2.1</v>
      </c>
      <c r="AR223" s="8">
        <v>0</v>
      </c>
      <c r="AS223" s="8">
        <v>4.46</v>
      </c>
      <c r="AT223" s="8">
        <v>0</v>
      </c>
      <c r="AU223" s="3">
        <v>10</v>
      </c>
      <c r="AV223" s="3">
        <v>13.4</v>
      </c>
      <c r="AW223" s="3">
        <v>11.4</v>
      </c>
      <c r="AX223" s="3">
        <v>5.76</v>
      </c>
      <c r="AY223" s="3">
        <v>4</v>
      </c>
      <c r="AZ223" s="3">
        <v>3.4</v>
      </c>
      <c r="BA223" s="3">
        <v>4.5999999999999996</v>
      </c>
      <c r="BB223" s="3">
        <v>5</v>
      </c>
      <c r="BC223">
        <v>3.1</v>
      </c>
      <c r="BD223">
        <v>5.2</v>
      </c>
      <c r="BE223" s="11">
        <v>3.8769999999999998</v>
      </c>
      <c r="BF223" s="4">
        <v>5.742</v>
      </c>
      <c r="BG223" s="4">
        <v>3.8719999999999999</v>
      </c>
      <c r="BH223" s="4">
        <v>5.125</v>
      </c>
      <c r="BI223" s="4">
        <v>3.8879999999999999</v>
      </c>
      <c r="BJ223" s="13">
        <v>3.5649999999999999</v>
      </c>
      <c r="BK223" s="13">
        <v>3.8860000000000001</v>
      </c>
      <c r="BL223" s="4">
        <v>2.8519999999999999</v>
      </c>
      <c r="BM223" s="16">
        <v>4.1310000000000002</v>
      </c>
      <c r="BN223" s="4">
        <v>3.6869999999999998</v>
      </c>
      <c r="BO223" s="4">
        <v>2.8069999999999999</v>
      </c>
      <c r="BP223" s="4">
        <v>3.65</v>
      </c>
      <c r="BQ223" s="4">
        <v>3.2679999999999998</v>
      </c>
      <c r="BR223" s="4">
        <v>3.7410000000000001</v>
      </c>
      <c r="BS223" s="4">
        <v>2.8210000000000002</v>
      </c>
      <c r="BT223" s="4">
        <v>3.2410000000000001</v>
      </c>
      <c r="BU223" s="4">
        <v>0</v>
      </c>
      <c r="BV223" s="4">
        <v>4.016</v>
      </c>
      <c r="BW223" s="4">
        <v>2.6909999999999998</v>
      </c>
      <c r="BX223" s="4">
        <v>3.3769999999999998</v>
      </c>
      <c r="BY223" s="4">
        <v>1.883</v>
      </c>
      <c r="BZ223">
        <v>0</v>
      </c>
      <c r="CA223">
        <v>0</v>
      </c>
      <c r="CB223">
        <v>0</v>
      </c>
      <c r="CC223">
        <v>3.02</v>
      </c>
      <c r="CD223">
        <v>0</v>
      </c>
      <c r="CE223" s="19">
        <v>0</v>
      </c>
      <c r="CF223" s="19">
        <v>4</v>
      </c>
      <c r="CG223" s="4">
        <v>0</v>
      </c>
      <c r="CH223" s="4">
        <v>2.77</v>
      </c>
      <c r="CI223" s="4">
        <v>0</v>
      </c>
      <c r="CJ223" s="34">
        <v>0</v>
      </c>
      <c r="CK223" s="34">
        <v>0</v>
      </c>
      <c r="CL223" s="34">
        <v>0</v>
      </c>
      <c r="CM223" s="4">
        <v>0</v>
      </c>
      <c r="CN223" s="53">
        <v>0</v>
      </c>
      <c r="CO223" s="54">
        <v>0</v>
      </c>
      <c r="CP223" s="54">
        <v>0</v>
      </c>
      <c r="CQ223" s="4">
        <v>0</v>
      </c>
    </row>
    <row r="224" spans="1:95" x14ac:dyDescent="0.35">
      <c r="A224" s="55">
        <v>223</v>
      </c>
      <c r="B224" t="s">
        <v>99</v>
      </c>
      <c r="C224" s="27" t="s">
        <v>427</v>
      </c>
      <c r="D224" s="3" t="s">
        <v>88</v>
      </c>
      <c r="E224" s="33" t="s">
        <v>91</v>
      </c>
      <c r="F224" s="4">
        <f>IFERROR(AVERAGEIF(Table1[[#This Row],[2019-Apr]:[2025-July]],"&lt;&gt;0"),0)</f>
        <v>1.8172708333333336</v>
      </c>
      <c r="G224" s="4">
        <f ca="1">IFERROR(AVERAGEIF(OFFSET(Table1[[#This Row],[Status]],0,COUNT(Table1[[#This Row],[2019-May]:[2025-July]]),1,-12),"&lt;&gt;0"),0)</f>
        <v>1.8</v>
      </c>
      <c r="H224" s="55">
        <f>IFERROR(SMALL(Table1[[#This Row],[2019-Apr]:[2025-July]],COUNTIF(Table1[[#This Row],[2019-Apr]:[2025-July]],0)+1),0)</f>
        <v>1.1000000000000001</v>
      </c>
      <c r="I224" s="55">
        <f>IFERROR(MAX(Table1[[#This Row],[2019-Apr]:[2025-July]]),0)</f>
        <v>5</v>
      </c>
      <c r="J224" s="4" cm="1">
        <f t="array" ref="J22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1.1951666666666665</v>
      </c>
      <c r="K224" s="4">
        <v>4.5</v>
      </c>
      <c r="L224" s="4">
        <f>IF(Table1[[#This Row],[Standard as per ISO]]&gt;=Table1[[#This Row],[Avg of best 6]],Table1[[#This Row],[Standard as per ISO]],Table1[[#This Row],[Avg of best 6]])</f>
        <v>4.5</v>
      </c>
      <c r="M224" s="4" cm="1">
        <f t="array" ref="M224">IFERROR(LOOKUP(2,1/(Table1[[#This Row],[2019-May]:[2025-July]]&lt;&gt;0),Table1[[#This Row],[2019-May]:[2025-July]]),0)</f>
        <v>1.8</v>
      </c>
      <c r="N224" s="4">
        <f>COUNTIF(Table1[[#This Row],[2019-Apr]:[2025-July]],"&gt;="&amp;Table1[[#This Row],[Target]])</f>
        <v>1</v>
      </c>
      <c r="O224" s="4">
        <f>IF(Table1[[#This Row],[Outliers 2Y]]=0,1,0)</f>
        <v>0</v>
      </c>
      <c r="P224" s="4">
        <f>IF(Table1[[#This Row],[Last value]]&gt;1.5*Table1[[#This Row],[Target]],1,0)</f>
        <v>0</v>
      </c>
      <c r="Q224" s="4">
        <f>IF(AND(1.5*Table1[[#This Row],[Target]]&gt;=Table1[[#This Row],[Last value]],Table1[[#This Row],[Last value]]&gt;Table1[[#This Row],[Target]]),1,0)</f>
        <v>0</v>
      </c>
      <c r="R224" s="4">
        <f>IF(Table1[[#This Row],[Target]]&gt;=Table1[[#This Row],[Last value]],1,0)</f>
        <v>1</v>
      </c>
      <c r="S224" s="4" t="str">
        <f t="shared" si="4"/>
        <v>Green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</v>
      </c>
      <c r="Z224">
        <v>1.9</v>
      </c>
      <c r="AA224">
        <v>1.7</v>
      </c>
      <c r="AB224">
        <v>1.34</v>
      </c>
      <c r="AC224">
        <v>2.11</v>
      </c>
      <c r="AD224">
        <v>1.4</v>
      </c>
      <c r="AE224">
        <v>1.3</v>
      </c>
      <c r="AF224">
        <v>1.1000000000000001</v>
      </c>
      <c r="AG224">
        <v>0</v>
      </c>
      <c r="AH224">
        <v>0</v>
      </c>
      <c r="AI224">
        <v>0</v>
      </c>
      <c r="AJ224">
        <v>0</v>
      </c>
      <c r="AK224">
        <v>1.42</v>
      </c>
      <c r="AL224">
        <v>2.89</v>
      </c>
      <c r="AM224">
        <v>1.56</v>
      </c>
      <c r="AN224">
        <v>1.9</v>
      </c>
      <c r="AO224">
        <v>1.3</v>
      </c>
      <c r="AP224">
        <v>1.78</v>
      </c>
      <c r="AQ224">
        <v>5</v>
      </c>
      <c r="AR224" s="8">
        <v>0</v>
      </c>
      <c r="AS224" s="8">
        <v>1.19</v>
      </c>
      <c r="AT224" s="8">
        <v>2.78</v>
      </c>
      <c r="AU224" s="3">
        <v>1.86</v>
      </c>
      <c r="AV224" s="3">
        <v>1.35</v>
      </c>
      <c r="AW224" s="3">
        <v>1.92</v>
      </c>
      <c r="AX224" s="3">
        <v>2.2400000000000002</v>
      </c>
      <c r="AY224" s="3">
        <v>1.51</v>
      </c>
      <c r="AZ224" s="3">
        <v>1.4</v>
      </c>
      <c r="BA224" s="3">
        <v>2.1</v>
      </c>
      <c r="BB224" s="3">
        <v>1.7</v>
      </c>
      <c r="BC224">
        <v>1.4</v>
      </c>
      <c r="BD224">
        <v>0</v>
      </c>
      <c r="BE224" s="11">
        <v>1.909</v>
      </c>
      <c r="BF224" s="4">
        <v>1.994</v>
      </c>
      <c r="BG224" s="4">
        <v>1.1000000000000001</v>
      </c>
      <c r="BH224" s="4">
        <v>1.6519999999999999</v>
      </c>
      <c r="BI224" s="4">
        <v>1.4830000000000001</v>
      </c>
      <c r="BJ224" s="14">
        <v>1.88</v>
      </c>
      <c r="BK224" s="14">
        <v>1.5720000000000001</v>
      </c>
      <c r="BL224" s="4">
        <v>1.353</v>
      </c>
      <c r="BM224" s="17">
        <v>1.536</v>
      </c>
      <c r="BN224" s="4">
        <v>1.794</v>
      </c>
      <c r="BO224" s="4">
        <v>1.181</v>
      </c>
      <c r="BP224" s="4">
        <v>1.8779999999999999</v>
      </c>
      <c r="BQ224" s="4">
        <v>1.8160000000000001</v>
      </c>
      <c r="BR224" s="4">
        <v>1.5189999999999999</v>
      </c>
      <c r="BS224" s="4">
        <v>1.4419999999999999</v>
      </c>
      <c r="BT224" s="4">
        <v>1.9</v>
      </c>
      <c r="BU224" s="4">
        <v>0</v>
      </c>
      <c r="BV224" s="4">
        <v>2.6309999999999998</v>
      </c>
      <c r="BW224" s="4">
        <v>1.792</v>
      </c>
      <c r="BX224" s="4">
        <v>2.085</v>
      </c>
      <c r="BY224" s="4">
        <v>1.992</v>
      </c>
      <c r="BZ224">
        <v>0</v>
      </c>
      <c r="CA224">
        <v>0</v>
      </c>
      <c r="CB224">
        <v>0</v>
      </c>
      <c r="CC224">
        <v>2.77</v>
      </c>
      <c r="CD224">
        <v>0</v>
      </c>
      <c r="CE224" s="19">
        <v>0</v>
      </c>
      <c r="CF224" s="19">
        <v>1.8</v>
      </c>
      <c r="CG224" s="4">
        <v>0</v>
      </c>
      <c r="CH224" s="4">
        <v>0</v>
      </c>
      <c r="CI224" s="4">
        <v>0</v>
      </c>
      <c r="CJ224" s="34">
        <v>0</v>
      </c>
      <c r="CK224" s="34">
        <v>0</v>
      </c>
      <c r="CL224" s="34">
        <v>0</v>
      </c>
      <c r="CM224" s="4">
        <v>0</v>
      </c>
      <c r="CN224" s="53">
        <v>0</v>
      </c>
      <c r="CO224" s="54">
        <v>0</v>
      </c>
      <c r="CP224" s="54">
        <v>0</v>
      </c>
      <c r="CQ224" s="4">
        <v>0</v>
      </c>
    </row>
    <row r="225" spans="1:95" x14ac:dyDescent="0.35">
      <c r="A225" s="55">
        <v>224</v>
      </c>
      <c r="B225" t="s">
        <v>99</v>
      </c>
      <c r="C225" s="27" t="s">
        <v>428</v>
      </c>
      <c r="D225" s="3" t="s">
        <v>88</v>
      </c>
      <c r="E225" s="33" t="s">
        <v>91</v>
      </c>
      <c r="F225" s="4">
        <f>IFERROR(AVERAGEIF(Table1[[#This Row],[2019-Apr]:[2025-July]],"&lt;&gt;0"),0)</f>
        <v>2.695207547169812</v>
      </c>
      <c r="G225" s="4">
        <f ca="1">IFERROR(AVERAGEIF(OFFSET(Table1[[#This Row],[Status]],0,COUNT(Table1[[#This Row],[2019-May]:[2025-July]]),1,-12),"&lt;&gt;0"),0)</f>
        <v>2.3250000000000002</v>
      </c>
      <c r="H225" s="55">
        <f>IFERROR(SMALL(Table1[[#This Row],[2019-Apr]:[2025-July]],COUNTIF(Table1[[#This Row],[2019-Apr]:[2025-July]],0)+1),0)</f>
        <v>1.2</v>
      </c>
      <c r="I225" s="55">
        <f>IFERROR(MAX(Table1[[#This Row],[2019-Apr]:[2025-July]]),0)</f>
        <v>3.94</v>
      </c>
      <c r="J225" s="4" cm="1">
        <f t="array" ref="J22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1.6450000000000002</v>
      </c>
      <c r="K225" s="4">
        <v>4.5</v>
      </c>
      <c r="L225" s="4">
        <f>IF(Table1[[#This Row],[Standard as per ISO]]&gt;=Table1[[#This Row],[Avg of best 6]],Table1[[#This Row],[Standard as per ISO]],Table1[[#This Row],[Avg of best 6]])</f>
        <v>4.5</v>
      </c>
      <c r="M225" s="4" cm="1">
        <f t="array" ref="M225">IFERROR(LOOKUP(2,1/(Table1[[#This Row],[2019-May]:[2025-July]]&lt;&gt;0),Table1[[#This Row],[2019-May]:[2025-July]]),0)</f>
        <v>2.25</v>
      </c>
      <c r="N225" s="4">
        <f>COUNTIF(Table1[[#This Row],[2019-Apr]:[2025-July]],"&gt;="&amp;Table1[[#This Row],[Target]])</f>
        <v>0</v>
      </c>
      <c r="O225" s="4">
        <f>IF(Table1[[#This Row],[Outliers 2Y]]=0,1,0)</f>
        <v>1</v>
      </c>
      <c r="P225" s="4">
        <f>IF(Table1[[#This Row],[Last value]]&gt;1.5*Table1[[#This Row],[Target]],1,0)</f>
        <v>0</v>
      </c>
      <c r="Q225" s="4">
        <f>IF(AND(1.5*Table1[[#This Row],[Target]]&gt;=Table1[[#This Row],[Last value]],Table1[[#This Row],[Last value]]&gt;Table1[[#This Row],[Target]]),1,0)</f>
        <v>0</v>
      </c>
      <c r="R225" s="4">
        <f>IF(Table1[[#This Row],[Target]]&gt;=Table1[[#This Row],[Last value]],1,0)</f>
        <v>1</v>
      </c>
      <c r="S225" s="4" t="str">
        <f t="shared" si="4"/>
        <v>Green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3.2</v>
      </c>
      <c r="Z225">
        <v>2.2999999999999998</v>
      </c>
      <c r="AA225">
        <v>3.8</v>
      </c>
      <c r="AB225">
        <v>2.58</v>
      </c>
      <c r="AC225">
        <v>2.67</v>
      </c>
      <c r="AD225">
        <v>3.6</v>
      </c>
      <c r="AE225">
        <v>2.8</v>
      </c>
      <c r="AF225">
        <v>3.6</v>
      </c>
      <c r="AG225">
        <v>2.2999999999999998</v>
      </c>
      <c r="AH225">
        <v>3.1</v>
      </c>
      <c r="AI225">
        <v>0</v>
      </c>
      <c r="AJ225">
        <v>3.62</v>
      </c>
      <c r="AK225">
        <v>3.42</v>
      </c>
      <c r="AL225">
        <v>3.47</v>
      </c>
      <c r="AM225">
        <v>3.94</v>
      </c>
      <c r="AN225">
        <v>2.34</v>
      </c>
      <c r="AO225">
        <v>2.2000000000000002</v>
      </c>
      <c r="AP225">
        <v>2.59</v>
      </c>
      <c r="AQ225">
        <v>2.9</v>
      </c>
      <c r="AR225" s="8">
        <v>3.42</v>
      </c>
      <c r="AS225" s="8">
        <v>3.39</v>
      </c>
      <c r="AT225" s="8">
        <v>0</v>
      </c>
      <c r="AU225" s="3">
        <v>3.53</v>
      </c>
      <c r="AV225" s="3">
        <v>2.6</v>
      </c>
      <c r="AW225" s="3">
        <v>2.13</v>
      </c>
      <c r="AX225" s="3">
        <v>2.27</v>
      </c>
      <c r="AY225" s="3">
        <v>3.43</v>
      </c>
      <c r="AZ225" s="3">
        <v>2.5</v>
      </c>
      <c r="BA225" s="3">
        <v>1.2</v>
      </c>
      <c r="BB225" s="3">
        <v>2.4</v>
      </c>
      <c r="BC225">
        <v>1.5</v>
      </c>
      <c r="BD225">
        <v>2.7</v>
      </c>
      <c r="BE225" s="11">
        <v>1.601</v>
      </c>
      <c r="BF225" s="4">
        <v>2.956</v>
      </c>
      <c r="BG225" s="4">
        <v>2.1030000000000002</v>
      </c>
      <c r="BH225" s="4">
        <v>2.4670000000000001</v>
      </c>
      <c r="BI225" s="4">
        <v>3.109</v>
      </c>
      <c r="BJ225" s="13">
        <v>3.2080000000000002</v>
      </c>
      <c r="BK225" s="13">
        <v>2.2949999999999999</v>
      </c>
      <c r="BL225" s="4">
        <v>2.8180000000000001</v>
      </c>
      <c r="BM225" s="16">
        <v>2.8959999999999999</v>
      </c>
      <c r="BN225" s="4">
        <v>2.891</v>
      </c>
      <c r="BO225" s="4">
        <v>2.3570000000000002</v>
      </c>
      <c r="BP225" s="4">
        <v>1.8959999999999999</v>
      </c>
      <c r="BQ225" s="4">
        <v>2.742</v>
      </c>
      <c r="BR225" s="4">
        <v>2.6539999999999999</v>
      </c>
      <c r="BS225" s="4">
        <v>2.665</v>
      </c>
      <c r="BT225" s="4">
        <v>3.1360000000000001</v>
      </c>
      <c r="BU225" s="4">
        <v>0</v>
      </c>
      <c r="BV225" s="4">
        <v>2.649</v>
      </c>
      <c r="BW225" s="4">
        <v>2.2269999999999999</v>
      </c>
      <c r="BX225" s="4">
        <v>2.1859999999999999</v>
      </c>
      <c r="BY225" s="4">
        <v>2.27</v>
      </c>
      <c r="BZ225">
        <v>0</v>
      </c>
      <c r="CA225">
        <v>0</v>
      </c>
      <c r="CB225">
        <v>0</v>
      </c>
      <c r="CC225">
        <v>1.57</v>
      </c>
      <c r="CD225">
        <v>0</v>
      </c>
      <c r="CE225" s="19">
        <v>0</v>
      </c>
      <c r="CF225" s="19">
        <v>2.4</v>
      </c>
      <c r="CG225" s="4">
        <v>0</v>
      </c>
      <c r="CH225" s="4">
        <v>2.25</v>
      </c>
      <c r="CI225" s="4">
        <v>0</v>
      </c>
      <c r="CJ225" s="34">
        <v>0</v>
      </c>
      <c r="CK225" s="34">
        <v>0</v>
      </c>
      <c r="CL225" s="34">
        <v>0</v>
      </c>
      <c r="CM225" s="4">
        <v>0</v>
      </c>
      <c r="CN225" s="53">
        <v>0</v>
      </c>
      <c r="CO225" s="54">
        <v>0</v>
      </c>
      <c r="CP225" s="54">
        <v>0</v>
      </c>
      <c r="CQ225" s="4">
        <v>0</v>
      </c>
    </row>
    <row r="226" spans="1:95" x14ac:dyDescent="0.35">
      <c r="A226" s="55">
        <v>225</v>
      </c>
      <c r="B226" t="s">
        <v>99</v>
      </c>
      <c r="C226" s="27" t="s">
        <v>429</v>
      </c>
      <c r="D226" s="3" t="s">
        <v>94</v>
      </c>
      <c r="E226" s="33" t="s">
        <v>91</v>
      </c>
      <c r="F226" s="4">
        <f>IFERROR(AVERAGEIF(Table1[[#This Row],[2019-Apr]:[2025-July]],"&lt;&gt;0"),0)</f>
        <v>2.3696774193548391</v>
      </c>
      <c r="G226" s="4">
        <f ca="1">IFERROR(AVERAGEIF(OFFSET(Table1[[#This Row],[Status]],0,COUNT(Table1[[#This Row],[2019-May]:[2025-July]]),1,-12),"&lt;&gt;0"),0)</f>
        <v>1.645</v>
      </c>
      <c r="H226" s="55">
        <f>IFERROR(SMALL(Table1[[#This Row],[2019-Apr]:[2025-July]],COUNTIF(Table1[[#This Row],[2019-Apr]:[2025-July]],0)+1),0)</f>
        <v>0.87</v>
      </c>
      <c r="I226" s="55">
        <f>IFERROR(MAX(Table1[[#This Row],[2019-Apr]:[2025-July]]),0)</f>
        <v>13.3</v>
      </c>
      <c r="J226" s="4" cm="1">
        <f t="array" ref="J22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0.97499999999999998</v>
      </c>
      <c r="K226" s="4">
        <v>4.5</v>
      </c>
      <c r="L226" s="4">
        <f>IF(Table1[[#This Row],[Standard as per ISO]]&gt;=Table1[[#This Row],[Avg of best 6]],Table1[[#This Row],[Standard as per ISO]],Table1[[#This Row],[Avg of best 6]])</f>
        <v>4.5</v>
      </c>
      <c r="M226" s="4" cm="1">
        <f t="array" ref="M226">IFERROR(LOOKUP(2,1/(Table1[[#This Row],[2019-May]:[2025-July]]&lt;&gt;0),Table1[[#This Row],[2019-May]:[2025-July]]),0)</f>
        <v>0.99</v>
      </c>
      <c r="N226" s="4">
        <f>COUNTIF(Table1[[#This Row],[2019-Apr]:[2025-July]],"&gt;="&amp;Table1[[#This Row],[Target]])</f>
        <v>4</v>
      </c>
      <c r="O226" s="4">
        <f>IF(Table1[[#This Row],[Outliers 2Y]]=0,1,0)</f>
        <v>0</v>
      </c>
      <c r="P226" s="4">
        <f>IF(Table1[[#This Row],[Last value]]&gt;1.5*Table1[[#This Row],[Target]],1,0)</f>
        <v>0</v>
      </c>
      <c r="Q226" s="4">
        <f>IF(AND(1.5*Table1[[#This Row],[Target]]&gt;=Table1[[#This Row],[Last value]],Table1[[#This Row],[Last value]]&gt;Table1[[#This Row],[Target]]),1,0)</f>
        <v>0</v>
      </c>
      <c r="R226" s="4">
        <f>IF(Table1[[#This Row],[Target]]&gt;=Table1[[#This Row],[Last value]],1,0)</f>
        <v>1</v>
      </c>
      <c r="S226" s="4" t="str">
        <f t="shared" si="4"/>
        <v>Green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3.09</v>
      </c>
      <c r="Z226">
        <v>4.7</v>
      </c>
      <c r="AA226">
        <v>13.3</v>
      </c>
      <c r="AB226">
        <v>2.06</v>
      </c>
      <c r="AC226">
        <v>3.24</v>
      </c>
      <c r="AD226">
        <v>1.3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5.77</v>
      </c>
      <c r="AM226">
        <v>5.67</v>
      </c>
      <c r="AN226">
        <v>1.0900000000000001</v>
      </c>
      <c r="AO226">
        <v>2.9</v>
      </c>
      <c r="AP226">
        <v>2.0099999999999998</v>
      </c>
      <c r="AQ226">
        <v>2.2999999999999998</v>
      </c>
      <c r="AR226" s="8">
        <v>0.9</v>
      </c>
      <c r="AS226" s="8">
        <v>0</v>
      </c>
      <c r="AT226" s="8">
        <v>0.87</v>
      </c>
      <c r="AU226" s="3">
        <v>1.45</v>
      </c>
      <c r="AV226" s="3">
        <v>1.31</v>
      </c>
      <c r="AW226" s="3">
        <v>0</v>
      </c>
      <c r="AX226" s="3">
        <v>0</v>
      </c>
      <c r="AY226" s="3">
        <v>1.39</v>
      </c>
      <c r="AZ226" s="3">
        <v>3.02</v>
      </c>
      <c r="BA226" s="3">
        <v>0</v>
      </c>
      <c r="BB226" s="3">
        <v>1</v>
      </c>
      <c r="BC226">
        <v>1.1000000000000001</v>
      </c>
      <c r="BD226">
        <v>0</v>
      </c>
      <c r="BE226" s="11">
        <v>1.1759999999999999</v>
      </c>
      <c r="BF226" s="4">
        <v>1.325</v>
      </c>
      <c r="BG226" s="4">
        <v>1.2</v>
      </c>
      <c r="BH226" s="4">
        <v>0</v>
      </c>
      <c r="BI226" s="4">
        <v>1.3280000000000001</v>
      </c>
      <c r="BJ226" s="14">
        <v>0</v>
      </c>
      <c r="BK226" s="14">
        <v>0</v>
      </c>
      <c r="BL226" s="4">
        <v>1.2749999999999999</v>
      </c>
      <c r="BM226" s="17">
        <v>0</v>
      </c>
      <c r="BN226" s="4">
        <v>0</v>
      </c>
      <c r="BO226" s="4">
        <v>0</v>
      </c>
      <c r="BP226" s="4">
        <v>1.474</v>
      </c>
      <c r="BQ226" s="4">
        <v>0</v>
      </c>
      <c r="BR226" s="4">
        <v>0</v>
      </c>
      <c r="BS226" s="4">
        <v>1.3220000000000001</v>
      </c>
      <c r="BT226" s="4">
        <v>0</v>
      </c>
      <c r="BU226" s="4">
        <v>0</v>
      </c>
      <c r="BV226" s="4">
        <v>0</v>
      </c>
      <c r="BW226" s="4">
        <v>1.6</v>
      </c>
      <c r="BX226" s="4">
        <v>0</v>
      </c>
      <c r="BY226" s="4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 s="19">
        <v>2.2999999999999998</v>
      </c>
      <c r="CF226" s="19">
        <v>0</v>
      </c>
      <c r="CG226" s="4">
        <v>0</v>
      </c>
      <c r="CH226" s="4">
        <v>0.99</v>
      </c>
      <c r="CI226" s="4">
        <v>0</v>
      </c>
      <c r="CJ226" s="34">
        <v>0</v>
      </c>
      <c r="CK226" s="34">
        <v>0</v>
      </c>
      <c r="CL226" s="34">
        <v>0</v>
      </c>
      <c r="CM226" s="4">
        <v>0</v>
      </c>
      <c r="CN226" s="53">
        <v>0</v>
      </c>
      <c r="CO226" s="54">
        <v>0</v>
      </c>
      <c r="CP226" s="54">
        <v>0</v>
      </c>
      <c r="CQ226" s="4">
        <v>0</v>
      </c>
    </row>
    <row r="227" spans="1:95" x14ac:dyDescent="0.35">
      <c r="A227" s="55">
        <v>226</v>
      </c>
      <c r="B227" t="s">
        <v>99</v>
      </c>
      <c r="C227" s="27" t="s">
        <v>430</v>
      </c>
      <c r="D227" s="3" t="s">
        <v>94</v>
      </c>
      <c r="E227" s="33" t="s">
        <v>91</v>
      </c>
      <c r="F227" s="4">
        <f>IFERROR(AVERAGEIF(Table1[[#This Row],[2019-Apr]:[2025-July]],"&lt;&gt;0"),0)</f>
        <v>1.959827586206897</v>
      </c>
      <c r="G227" s="4">
        <f ca="1">IFERROR(AVERAGEIF(OFFSET(Table1[[#This Row],[Status]],0,COUNT(Table1[[#This Row],[2019-May]:[2025-July]]),1,-12),"&lt;&gt;0"),0)</f>
        <v>2.0550000000000002</v>
      </c>
      <c r="H227" s="55">
        <f>IFERROR(SMALL(Table1[[#This Row],[2019-Apr]:[2025-July]],COUNTIF(Table1[[#This Row],[2019-Apr]:[2025-July]],0)+1),0)</f>
        <v>0.87</v>
      </c>
      <c r="I227" s="55">
        <f>IFERROR(MAX(Table1[[#This Row],[2019-Apr]:[2025-July]]),0)</f>
        <v>3.98</v>
      </c>
      <c r="J227" s="4" cm="1">
        <f t="array" ref="J22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1.2550000000000001</v>
      </c>
      <c r="K227" s="4">
        <v>4.5</v>
      </c>
      <c r="L227" s="4">
        <f>IF(Table1[[#This Row],[Standard as per ISO]]&gt;=Table1[[#This Row],[Avg of best 6]],Table1[[#This Row],[Standard as per ISO]],Table1[[#This Row],[Avg of best 6]])</f>
        <v>4.5</v>
      </c>
      <c r="M227" s="4" cm="1">
        <f t="array" ref="M227">IFERROR(LOOKUP(2,1/(Table1[[#This Row],[2019-May]:[2025-July]]&lt;&gt;0),Table1[[#This Row],[2019-May]:[2025-July]]),0)</f>
        <v>1.41</v>
      </c>
      <c r="N227" s="4">
        <f>COUNTIF(Table1[[#This Row],[2019-Apr]:[2025-July]],"&gt;="&amp;Table1[[#This Row],[Target]])</f>
        <v>0</v>
      </c>
      <c r="O227" s="4">
        <f>IF(Table1[[#This Row],[Outliers 2Y]]=0,1,0)</f>
        <v>1</v>
      </c>
      <c r="P227" s="4">
        <f>IF(Table1[[#This Row],[Last value]]&gt;1.5*Table1[[#This Row],[Target]],1,0)</f>
        <v>0</v>
      </c>
      <c r="Q227" s="4">
        <f>IF(AND(1.5*Table1[[#This Row],[Target]]&gt;=Table1[[#This Row],[Last value]],Table1[[#This Row],[Last value]]&gt;Table1[[#This Row],[Target]]),1,0)</f>
        <v>0</v>
      </c>
      <c r="R227" s="4">
        <f>IF(Table1[[#This Row],[Target]]&gt;=Table1[[#This Row],[Last value]],1,0)</f>
        <v>1</v>
      </c>
      <c r="S227" s="4" t="str">
        <f t="shared" si="4"/>
        <v>Green</v>
      </c>
      <c r="T227">
        <v>0</v>
      </c>
      <c r="U227">
        <v>0</v>
      </c>
      <c r="V227">
        <v>0</v>
      </c>
      <c r="W227">
        <v>0</v>
      </c>
      <c r="X227">
        <v>3.7</v>
      </c>
      <c r="Y227">
        <v>0</v>
      </c>
      <c r="Z227">
        <v>2.1</v>
      </c>
      <c r="AA227">
        <v>1.6</v>
      </c>
      <c r="AB227">
        <v>3.98</v>
      </c>
      <c r="AC227">
        <v>2.7</v>
      </c>
      <c r="AD227">
        <v>1.8</v>
      </c>
      <c r="AE227">
        <v>1.6</v>
      </c>
      <c r="AF227">
        <v>1.5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0.87</v>
      </c>
      <c r="AM227">
        <v>0</v>
      </c>
      <c r="AN227">
        <v>0</v>
      </c>
      <c r="AO227">
        <v>0</v>
      </c>
      <c r="AP227">
        <v>2.34</v>
      </c>
      <c r="AQ227">
        <v>2.0499999999999998</v>
      </c>
      <c r="AR227" s="8">
        <v>3.31</v>
      </c>
      <c r="AS227" s="8">
        <v>1.89</v>
      </c>
      <c r="AT227" s="8">
        <v>0</v>
      </c>
      <c r="AU227" s="3">
        <v>2.64</v>
      </c>
      <c r="AV227" s="3">
        <v>1.72</v>
      </c>
      <c r="AW227" s="3">
        <v>1.49</v>
      </c>
      <c r="AX227" s="3">
        <v>1.22</v>
      </c>
      <c r="AY227" s="3">
        <v>2.02</v>
      </c>
      <c r="AZ227" s="3">
        <v>0</v>
      </c>
      <c r="BA227" s="3">
        <v>1.5</v>
      </c>
      <c r="BB227" s="3">
        <v>1.2</v>
      </c>
      <c r="BC227">
        <v>1.7</v>
      </c>
      <c r="BD227">
        <v>0</v>
      </c>
      <c r="BE227" s="11">
        <v>0</v>
      </c>
      <c r="BF227" s="4">
        <v>0</v>
      </c>
      <c r="BG227" s="4">
        <v>1.7</v>
      </c>
      <c r="BH227" s="4">
        <v>0</v>
      </c>
      <c r="BI227" s="4">
        <v>2.1219999999999999</v>
      </c>
      <c r="BJ227" s="13">
        <v>0</v>
      </c>
      <c r="BK227" s="13">
        <v>0</v>
      </c>
      <c r="BL227" s="4">
        <v>1.5569999999999999</v>
      </c>
      <c r="BM227" s="16">
        <v>0</v>
      </c>
      <c r="BN227" s="4">
        <v>0</v>
      </c>
      <c r="BO227" s="4">
        <v>0</v>
      </c>
      <c r="BP227" s="4">
        <v>1.4079999999999999</v>
      </c>
      <c r="BQ227" s="4">
        <v>0</v>
      </c>
      <c r="BR227" s="4">
        <v>0</v>
      </c>
      <c r="BS227" s="4">
        <v>1.4219999999999999</v>
      </c>
      <c r="BT227" s="4">
        <v>0</v>
      </c>
      <c r="BU227" s="4">
        <v>0</v>
      </c>
      <c r="BV227" s="4">
        <v>0</v>
      </c>
      <c r="BW227" s="4">
        <v>1.5860000000000001</v>
      </c>
      <c r="BX227" s="4">
        <v>0</v>
      </c>
      <c r="BY227" s="4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 s="19">
        <v>2.7</v>
      </c>
      <c r="CF227" s="19">
        <v>0</v>
      </c>
      <c r="CG227" s="4">
        <v>0</v>
      </c>
      <c r="CH227" s="4">
        <v>1.41</v>
      </c>
      <c r="CI227" s="4">
        <v>0</v>
      </c>
      <c r="CJ227" s="34">
        <v>0</v>
      </c>
      <c r="CK227" s="34">
        <v>0</v>
      </c>
      <c r="CL227" s="34">
        <v>0</v>
      </c>
      <c r="CM227" s="4">
        <v>0</v>
      </c>
      <c r="CN227" s="53">
        <v>0</v>
      </c>
      <c r="CO227" s="54">
        <v>0</v>
      </c>
      <c r="CP227" s="54">
        <v>0</v>
      </c>
      <c r="CQ227" s="4">
        <v>0</v>
      </c>
    </row>
    <row r="228" spans="1:95" x14ac:dyDescent="0.35">
      <c r="A228" s="55">
        <v>227</v>
      </c>
      <c r="B228" t="s">
        <v>99</v>
      </c>
      <c r="C228" s="27" t="s">
        <v>431</v>
      </c>
      <c r="D228" s="3" t="s">
        <v>94</v>
      </c>
      <c r="E228" s="33" t="s">
        <v>91</v>
      </c>
      <c r="F228" s="4">
        <f>IFERROR(AVERAGEIF(Table1[[#This Row],[2019-Apr]:[2025-July]],"&lt;&gt;0"),0)</f>
        <v>2.430478260869565</v>
      </c>
      <c r="G228" s="4">
        <f ca="1">IFERROR(AVERAGEIF(OFFSET(Table1[[#This Row],[Status]],0,COUNT(Table1[[#This Row],[2019-May]:[2025-July]]),1,-12),"&lt;&gt;0"),0)</f>
        <v>2.29</v>
      </c>
      <c r="H228" s="55">
        <f>IFERROR(SMALL(Table1[[#This Row],[2019-Apr]:[2025-July]],COUNTIF(Table1[[#This Row],[2019-Apr]:[2025-July]],0)+1),0)</f>
        <v>0.64500000000000002</v>
      </c>
      <c r="I228" s="55">
        <f>IFERROR(MAX(Table1[[#This Row],[2019-Apr]:[2025-July]]),0)</f>
        <v>3.92</v>
      </c>
      <c r="J228" s="4" cm="1">
        <f t="array" ref="J22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1.1975</v>
      </c>
      <c r="K228" s="4">
        <v>4.5</v>
      </c>
      <c r="L228" s="4">
        <f>IF(Table1[[#This Row],[Standard as per ISO]]&gt;=Table1[[#This Row],[Avg of best 6]],Table1[[#This Row],[Standard as per ISO]],Table1[[#This Row],[Avg of best 6]])</f>
        <v>4.5</v>
      </c>
      <c r="M228" s="4" cm="1">
        <f t="array" ref="M228">IFERROR(LOOKUP(2,1/(Table1[[#This Row],[2019-May]:[2025-July]]&lt;&gt;0),Table1[[#This Row],[2019-May]:[2025-July]]),0)</f>
        <v>1.58</v>
      </c>
      <c r="N228" s="4">
        <f>COUNTIF(Table1[[#This Row],[2019-Apr]:[2025-July]],"&gt;="&amp;Table1[[#This Row],[Target]])</f>
        <v>0</v>
      </c>
      <c r="O228" s="4">
        <f>IF(Table1[[#This Row],[Outliers 2Y]]=0,1,0)</f>
        <v>1</v>
      </c>
      <c r="P228" s="4">
        <f>IF(Table1[[#This Row],[Last value]]&gt;1.5*Table1[[#This Row],[Target]],1,0)</f>
        <v>0</v>
      </c>
      <c r="Q228" s="4">
        <f>IF(AND(1.5*Table1[[#This Row],[Target]]&gt;=Table1[[#This Row],[Last value]],Table1[[#This Row],[Last value]]&gt;Table1[[#This Row],[Target]]),1,0)</f>
        <v>0</v>
      </c>
      <c r="R228" s="4">
        <f>IF(Table1[[#This Row],[Target]]&gt;=Table1[[#This Row],[Last value]],1,0)</f>
        <v>1</v>
      </c>
      <c r="S228" s="4" t="str">
        <f t="shared" si="4"/>
        <v>Green</v>
      </c>
      <c r="T228">
        <v>0</v>
      </c>
      <c r="U228">
        <v>0</v>
      </c>
      <c r="V228">
        <v>0</v>
      </c>
      <c r="W228">
        <v>0</v>
      </c>
      <c r="X228">
        <v>1.28</v>
      </c>
      <c r="Y228">
        <v>2.59</v>
      </c>
      <c r="Z228">
        <v>3.5</v>
      </c>
      <c r="AA228">
        <v>1.6</v>
      </c>
      <c r="AB228">
        <v>0</v>
      </c>
      <c r="AC228">
        <v>3.71</v>
      </c>
      <c r="AD228">
        <v>0</v>
      </c>
      <c r="AE228">
        <v>0</v>
      </c>
      <c r="AF228">
        <v>2.1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3.35</v>
      </c>
      <c r="AN228">
        <v>3.92</v>
      </c>
      <c r="AO228">
        <v>0</v>
      </c>
      <c r="AP228">
        <v>0</v>
      </c>
      <c r="AQ228">
        <v>0</v>
      </c>
      <c r="AR228" s="8">
        <v>0</v>
      </c>
      <c r="AS228" s="8">
        <v>3.33</v>
      </c>
      <c r="AT228" s="8">
        <v>0.64500000000000002</v>
      </c>
      <c r="AU228" s="3">
        <v>0</v>
      </c>
      <c r="AV228" s="3">
        <v>3.59</v>
      </c>
      <c r="AW228" s="3">
        <v>2.85</v>
      </c>
      <c r="AX228" s="3">
        <v>1.08</v>
      </c>
      <c r="AY228" s="3">
        <v>0</v>
      </c>
      <c r="AZ228" s="3">
        <v>0</v>
      </c>
      <c r="BA228" s="3">
        <v>3</v>
      </c>
      <c r="BB228" s="3">
        <v>0</v>
      </c>
      <c r="BC228" s="3">
        <v>0</v>
      </c>
      <c r="BD228">
        <v>0</v>
      </c>
      <c r="BE228" s="11">
        <v>1.6</v>
      </c>
      <c r="BF228" s="4">
        <v>2.3559999999999999</v>
      </c>
      <c r="BG228" s="4">
        <v>1</v>
      </c>
      <c r="BH228" s="4">
        <v>0</v>
      </c>
      <c r="BI228" s="4">
        <v>2.2850000000000001</v>
      </c>
      <c r="BJ228" s="14">
        <v>0</v>
      </c>
      <c r="BK228" s="14">
        <v>0</v>
      </c>
      <c r="BL228" s="4">
        <v>2.391</v>
      </c>
      <c r="BM228" s="17">
        <v>0</v>
      </c>
      <c r="BN228" s="4">
        <v>0</v>
      </c>
      <c r="BO228" s="4">
        <v>0</v>
      </c>
      <c r="BP228" s="4">
        <v>2.5430000000000001</v>
      </c>
      <c r="BQ228" s="4">
        <v>0</v>
      </c>
      <c r="BR228" s="4">
        <v>0</v>
      </c>
      <c r="BS228" s="4">
        <v>2.601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 s="19">
        <v>3</v>
      </c>
      <c r="CF228" s="19">
        <v>0</v>
      </c>
      <c r="CG228" s="4">
        <v>0</v>
      </c>
      <c r="CH228" s="4">
        <v>1.58</v>
      </c>
      <c r="CI228" s="4">
        <v>0</v>
      </c>
      <c r="CJ228" s="34">
        <v>0</v>
      </c>
      <c r="CK228" s="34">
        <v>0</v>
      </c>
      <c r="CL228" s="34">
        <v>0</v>
      </c>
      <c r="CM228" s="4">
        <v>0</v>
      </c>
      <c r="CN228" s="53">
        <v>0</v>
      </c>
      <c r="CO228" s="54">
        <v>0</v>
      </c>
      <c r="CP228" s="54">
        <v>0</v>
      </c>
      <c r="CQ228" s="4">
        <v>0</v>
      </c>
    </row>
    <row r="229" spans="1:95" x14ac:dyDescent="0.35">
      <c r="A229" s="55">
        <v>228</v>
      </c>
      <c r="B229" t="s">
        <v>99</v>
      </c>
      <c r="C229" s="27" t="s">
        <v>432</v>
      </c>
      <c r="D229" s="3" t="s">
        <v>94</v>
      </c>
      <c r="E229" s="33" t="s">
        <v>91</v>
      </c>
      <c r="F229" s="4">
        <f>IFERROR(AVERAGEIF(Table1[[#This Row],[2019-Apr]:[2025-July]],"&lt;&gt;0"),0)</f>
        <v>1.919</v>
      </c>
      <c r="G229" s="4">
        <f ca="1">IFERROR(AVERAGEIF(OFFSET(Table1[[#This Row],[Status]],0,COUNT(Table1[[#This Row],[2019-May]:[2025-July]]),1,-12),"&lt;&gt;0"),0)</f>
        <v>1.585</v>
      </c>
      <c r="H229" s="55">
        <f>IFERROR(SMALL(Table1[[#This Row],[2019-Apr]:[2025-July]],COUNTIF(Table1[[#This Row],[2019-Apr]:[2025-July]],0)+1),0)</f>
        <v>0.45400000000000001</v>
      </c>
      <c r="I229" s="55">
        <f>IFERROR(MAX(Table1[[#This Row],[2019-Apr]:[2025-July]]),0)</f>
        <v>3.97</v>
      </c>
      <c r="J229" s="4" cm="1">
        <f t="array" ref="J22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0.66749999999999998</v>
      </c>
      <c r="K229" s="4">
        <v>4.5</v>
      </c>
      <c r="L229" s="4">
        <f>IF(Table1[[#This Row],[Standard as per ISO]]&gt;=Table1[[#This Row],[Avg of best 6]],Table1[[#This Row],[Standard as per ISO]],Table1[[#This Row],[Avg of best 6]])</f>
        <v>4.5</v>
      </c>
      <c r="M229" s="4" cm="1">
        <f t="array" ref="M229">IFERROR(LOOKUP(2,1/(Table1[[#This Row],[2019-May]:[2025-July]]&lt;&gt;0),Table1[[#This Row],[2019-May]:[2025-July]]),0)</f>
        <v>1.67</v>
      </c>
      <c r="N229" s="4">
        <f>COUNTIF(Table1[[#This Row],[2019-Apr]:[2025-July]],"&gt;="&amp;Table1[[#This Row],[Target]])</f>
        <v>0</v>
      </c>
      <c r="O229" s="4">
        <f>IF(Table1[[#This Row],[Outliers 2Y]]=0,1,0)</f>
        <v>1</v>
      </c>
      <c r="P229" s="4">
        <f>IF(Table1[[#This Row],[Last value]]&gt;1.5*Table1[[#This Row],[Target]],1,0)</f>
        <v>0</v>
      </c>
      <c r="Q229" s="4">
        <f>IF(AND(1.5*Table1[[#This Row],[Target]]&gt;=Table1[[#This Row],[Last value]],Table1[[#This Row],[Last value]]&gt;Table1[[#This Row],[Target]]),1,0)</f>
        <v>0</v>
      </c>
      <c r="R229" s="4">
        <f>IF(Table1[[#This Row],[Target]]&gt;=Table1[[#This Row],[Last value]],1,0)</f>
        <v>1</v>
      </c>
      <c r="S229" s="4" t="str">
        <f t="shared" si="4"/>
        <v>Green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2.44</v>
      </c>
      <c r="Z229">
        <v>1.8</v>
      </c>
      <c r="AA229">
        <v>2.9</v>
      </c>
      <c r="AB229">
        <v>2.78</v>
      </c>
      <c r="AC229">
        <v>3.97</v>
      </c>
      <c r="AD229">
        <v>2.2999999999999998</v>
      </c>
      <c r="AE229">
        <v>2.2999999999999998</v>
      </c>
      <c r="AF229">
        <v>1.7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2.5099999999999998</v>
      </c>
      <c r="AN229">
        <v>2.2400000000000002</v>
      </c>
      <c r="AO229">
        <v>1.9</v>
      </c>
      <c r="AP229">
        <v>2.81</v>
      </c>
      <c r="AQ229">
        <v>3.63</v>
      </c>
      <c r="AR229" s="8">
        <v>2.72</v>
      </c>
      <c r="AS229" s="8">
        <v>2.46</v>
      </c>
      <c r="AT229" s="8">
        <v>2.0099999999999998</v>
      </c>
      <c r="AU229" s="3">
        <v>1.82</v>
      </c>
      <c r="AV229" s="3">
        <v>2.39</v>
      </c>
      <c r="AW229" s="3">
        <v>1.5</v>
      </c>
      <c r="AX229" s="3">
        <v>1.71</v>
      </c>
      <c r="AY229" s="3">
        <v>2.52</v>
      </c>
      <c r="AZ229" s="3">
        <v>1.83</v>
      </c>
      <c r="BA229" s="3">
        <v>1.6</v>
      </c>
      <c r="BB229" s="3">
        <v>0</v>
      </c>
      <c r="BC229" s="3">
        <v>0</v>
      </c>
      <c r="BD229">
        <v>0</v>
      </c>
      <c r="BE229" s="11">
        <v>1.633</v>
      </c>
      <c r="BF229" s="4">
        <v>1.5249999999999999</v>
      </c>
      <c r="BG229" s="4">
        <v>1.3</v>
      </c>
      <c r="BH229" s="4">
        <v>0</v>
      </c>
      <c r="BI229" s="4">
        <v>1.5489999999999999</v>
      </c>
      <c r="BJ229" s="13">
        <v>0</v>
      </c>
      <c r="BK229" s="13">
        <v>0</v>
      </c>
      <c r="BL229" s="4">
        <v>0.45400000000000001</v>
      </c>
      <c r="BM229" s="16">
        <v>0.48799999999999999</v>
      </c>
      <c r="BN229" s="4">
        <v>0</v>
      </c>
      <c r="BO229" s="4">
        <v>0.53700000000000003</v>
      </c>
      <c r="BP229" s="4">
        <v>0</v>
      </c>
      <c r="BQ229" s="4">
        <v>0.57999999999999996</v>
      </c>
      <c r="BR229" s="4">
        <v>0.64600000000000002</v>
      </c>
      <c r="BS229" s="4">
        <v>1.7130000000000001</v>
      </c>
      <c r="BT229" s="4">
        <v>0</v>
      </c>
      <c r="BU229" s="4">
        <v>0</v>
      </c>
      <c r="BV229" s="4">
        <v>0</v>
      </c>
      <c r="BW229" s="4">
        <v>1.649</v>
      </c>
      <c r="BX229" s="4">
        <v>0</v>
      </c>
      <c r="BY229" s="4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 s="19">
        <v>1.5</v>
      </c>
      <c r="CF229" s="19">
        <v>0</v>
      </c>
      <c r="CG229" s="4">
        <v>0</v>
      </c>
      <c r="CH229" s="4">
        <v>1.67</v>
      </c>
      <c r="CI229" s="4">
        <v>0</v>
      </c>
      <c r="CJ229" s="34">
        <v>0</v>
      </c>
      <c r="CK229" s="34">
        <v>0</v>
      </c>
      <c r="CL229" s="34">
        <v>0</v>
      </c>
      <c r="CM229" s="4">
        <v>0</v>
      </c>
      <c r="CN229" s="53">
        <v>0</v>
      </c>
      <c r="CO229" s="54">
        <v>0</v>
      </c>
      <c r="CP229" s="54">
        <v>0</v>
      </c>
      <c r="CQ229" s="4">
        <v>0</v>
      </c>
    </row>
    <row r="230" spans="1:95" x14ac:dyDescent="0.35">
      <c r="A230" s="55">
        <v>229</v>
      </c>
      <c r="B230" t="s">
        <v>99</v>
      </c>
      <c r="C230" s="27" t="s">
        <v>433</v>
      </c>
      <c r="D230" s="3" t="s">
        <v>94</v>
      </c>
      <c r="E230" s="33" t="s">
        <v>91</v>
      </c>
      <c r="F230" s="4">
        <f>IFERROR(AVERAGEIF(Table1[[#This Row],[2019-Apr]:[2025-July]],"&lt;&gt;0"),0)</f>
        <v>1.92075</v>
      </c>
      <c r="G230" s="4">
        <f ca="1">IFERROR(AVERAGEIF(OFFSET(Table1[[#This Row],[Status]],0,COUNT(Table1[[#This Row],[2019-May]:[2025-July]]),1,-12),"&lt;&gt;0"),0)</f>
        <v>0</v>
      </c>
      <c r="H230" s="55">
        <f>IFERROR(SMALL(Table1[[#This Row],[2019-Apr]:[2025-July]],COUNTIF(Table1[[#This Row],[2019-Apr]:[2025-July]],0)+1),0)</f>
        <v>0.55800000000000005</v>
      </c>
      <c r="I230" s="55">
        <f>IFERROR(MAX(Table1[[#This Row],[2019-Apr]:[2025-July]]),0)</f>
        <v>5</v>
      </c>
      <c r="J230" s="4" cm="1">
        <f t="array" ref="J23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1.1338333333333332</v>
      </c>
      <c r="K230" s="4">
        <v>4.5</v>
      </c>
      <c r="L230" s="4">
        <f>IF(Table1[[#This Row],[Standard as per ISO]]&gt;=Table1[[#This Row],[Avg of best 6]],Table1[[#This Row],[Standard as per ISO]],Table1[[#This Row],[Avg of best 6]])</f>
        <v>4.5</v>
      </c>
      <c r="M230" s="4" cm="1">
        <f t="array" ref="M230">IFERROR(LOOKUP(2,1/(Table1[[#This Row],[2019-May]:[2025-July]]&lt;&gt;0),Table1[[#This Row],[2019-May]:[2025-July]]),0)</f>
        <v>1.29</v>
      </c>
      <c r="N230" s="4">
        <f>COUNTIF(Table1[[#This Row],[2019-Apr]:[2025-July]],"&gt;="&amp;Table1[[#This Row],[Target]])</f>
        <v>1</v>
      </c>
      <c r="O230" s="4">
        <f>IF(Table1[[#This Row],[Outliers 2Y]]=0,1,0)</f>
        <v>0</v>
      </c>
      <c r="P230" s="4">
        <f>IF(Table1[[#This Row],[Last value]]&gt;1.5*Table1[[#This Row],[Target]],1,0)</f>
        <v>0</v>
      </c>
      <c r="Q230" s="4">
        <f>IF(AND(1.5*Table1[[#This Row],[Target]]&gt;=Table1[[#This Row],[Last value]],Table1[[#This Row],[Last value]]&gt;Table1[[#This Row],[Target]]),1,0)</f>
        <v>0</v>
      </c>
      <c r="R230" s="4">
        <f>IF(Table1[[#This Row],[Target]]&gt;=Table1[[#This Row],[Last value]],1,0)</f>
        <v>1</v>
      </c>
      <c r="S230" s="4" t="str">
        <f t="shared" si="4"/>
        <v>Green</v>
      </c>
      <c r="T230">
        <v>0</v>
      </c>
      <c r="U230">
        <v>0</v>
      </c>
      <c r="V230">
        <v>0</v>
      </c>
      <c r="W230">
        <v>0</v>
      </c>
      <c r="X230">
        <v>2.4</v>
      </c>
      <c r="Y230">
        <v>2.73</v>
      </c>
      <c r="Z230">
        <v>0</v>
      </c>
      <c r="AA230">
        <v>2.1</v>
      </c>
      <c r="AB230">
        <v>2.1</v>
      </c>
      <c r="AC230">
        <v>2.56</v>
      </c>
      <c r="AD230">
        <v>1.6</v>
      </c>
      <c r="AE230">
        <v>1.7</v>
      </c>
      <c r="AF230">
        <v>1.8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1.8</v>
      </c>
      <c r="AN230">
        <v>2.81</v>
      </c>
      <c r="AO230">
        <v>1.5</v>
      </c>
      <c r="AP230">
        <v>1.85</v>
      </c>
      <c r="AQ230">
        <v>1.78</v>
      </c>
      <c r="AR230" s="8">
        <v>1.99</v>
      </c>
      <c r="AS230" s="8">
        <v>2.19</v>
      </c>
      <c r="AT230" s="8">
        <v>1.75</v>
      </c>
      <c r="AU230" s="3">
        <v>1.89</v>
      </c>
      <c r="AV230" s="3">
        <v>0</v>
      </c>
      <c r="AW230" s="3">
        <v>0</v>
      </c>
      <c r="AX230" s="3">
        <v>2.33</v>
      </c>
      <c r="AY230" s="3">
        <v>0</v>
      </c>
      <c r="AZ230" s="3">
        <v>5</v>
      </c>
      <c r="BA230" s="3">
        <v>0</v>
      </c>
      <c r="BB230" s="3">
        <v>0</v>
      </c>
      <c r="BC230" s="3">
        <v>0</v>
      </c>
      <c r="BD230">
        <v>0</v>
      </c>
      <c r="BE230" s="11">
        <v>0</v>
      </c>
      <c r="BF230" s="4">
        <v>1.8440000000000001</v>
      </c>
      <c r="BG230" s="4">
        <v>1.26</v>
      </c>
      <c r="BH230" s="4">
        <v>0</v>
      </c>
      <c r="BI230" s="4">
        <v>1.609</v>
      </c>
      <c r="BJ230" s="14">
        <v>0</v>
      </c>
      <c r="BK230" s="14">
        <v>1.417</v>
      </c>
      <c r="BL230" s="4">
        <v>0.91700000000000004</v>
      </c>
      <c r="BM230" s="17">
        <v>0</v>
      </c>
      <c r="BN230" s="4">
        <v>0</v>
      </c>
      <c r="BO230" s="4">
        <v>0.55800000000000005</v>
      </c>
      <c r="BP230" s="4">
        <v>1.361</v>
      </c>
      <c r="BQ230" s="4">
        <v>0</v>
      </c>
      <c r="BR230" s="4">
        <v>0</v>
      </c>
      <c r="BS230" s="4">
        <v>1.645</v>
      </c>
      <c r="BT230" s="4">
        <v>0</v>
      </c>
      <c r="BU230" s="4">
        <v>0</v>
      </c>
      <c r="BV230" s="4">
        <v>0</v>
      </c>
      <c r="BW230" s="4">
        <v>1.29</v>
      </c>
      <c r="BX230" s="4">
        <v>0</v>
      </c>
      <c r="BY230" s="4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 s="19">
        <v>0</v>
      </c>
      <c r="CF230" s="19">
        <v>0</v>
      </c>
      <c r="CG230" s="4">
        <v>0</v>
      </c>
      <c r="CH230" s="4">
        <v>0</v>
      </c>
      <c r="CI230" s="4">
        <v>0</v>
      </c>
      <c r="CJ230" s="34">
        <v>0</v>
      </c>
      <c r="CK230" s="34">
        <v>0</v>
      </c>
      <c r="CL230" s="34">
        <v>0</v>
      </c>
      <c r="CM230" s="4">
        <v>0</v>
      </c>
      <c r="CN230" s="53">
        <v>0</v>
      </c>
      <c r="CO230" s="54">
        <v>0</v>
      </c>
      <c r="CP230" s="54">
        <v>0</v>
      </c>
      <c r="CQ230" s="4">
        <v>0</v>
      </c>
    </row>
    <row r="231" spans="1:95" x14ac:dyDescent="0.35">
      <c r="A231" s="55">
        <v>230</v>
      </c>
      <c r="B231" t="s">
        <v>99</v>
      </c>
      <c r="C231" s="27" t="s">
        <v>434</v>
      </c>
      <c r="D231" s="3" t="s">
        <v>94</v>
      </c>
      <c r="E231" s="33" t="s">
        <v>91</v>
      </c>
      <c r="F231" s="4">
        <f>IFERROR(AVERAGEIF(Table1[[#This Row],[2019-Apr]:[2025-July]],"&lt;&gt;0"),0)</f>
        <v>2.071823529411764</v>
      </c>
      <c r="G231" s="4">
        <f ca="1">IFERROR(AVERAGEIF(OFFSET(Table1[[#This Row],[Status]],0,COUNT(Table1[[#This Row],[2019-May]:[2025-July]]),1,-12),"&lt;&gt;0"),0)</f>
        <v>2.2200000000000002</v>
      </c>
      <c r="H231" s="55">
        <f>IFERROR(SMALL(Table1[[#This Row],[2019-Apr]:[2025-July]],COUNTIF(Table1[[#This Row],[2019-Apr]:[2025-July]],0)+1),0)</f>
        <v>1.38</v>
      </c>
      <c r="I231" s="55">
        <f>IFERROR(MAX(Table1[[#This Row],[2019-Apr]:[2025-July]]),0)</f>
        <v>3.8090000000000002</v>
      </c>
      <c r="J231" s="4" cm="1">
        <f t="array" ref="J23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1.6066666666666667</v>
      </c>
      <c r="K231" s="4">
        <v>4.5</v>
      </c>
      <c r="L231" s="4">
        <f>IF(Table1[[#This Row],[Standard as per ISO]]&gt;=Table1[[#This Row],[Avg of best 6]],Table1[[#This Row],[Standard as per ISO]],Table1[[#This Row],[Avg of best 6]])</f>
        <v>4.5</v>
      </c>
      <c r="M231" s="4" cm="1">
        <f t="array" ref="M231">IFERROR(LOOKUP(2,1/(Table1[[#This Row],[2019-May]:[2025-July]]&lt;&gt;0),Table1[[#This Row],[2019-May]:[2025-July]]),0)</f>
        <v>2.2200000000000002</v>
      </c>
      <c r="N231" s="4">
        <f>COUNTIF(Table1[[#This Row],[2019-Apr]:[2025-July]],"&gt;="&amp;Table1[[#This Row],[Target]])</f>
        <v>0</v>
      </c>
      <c r="O231" s="4">
        <f>IF(Table1[[#This Row],[Outliers 2Y]]=0,1,0)</f>
        <v>1</v>
      </c>
      <c r="P231" s="4">
        <f>IF(Table1[[#This Row],[Last value]]&gt;1.5*Table1[[#This Row],[Target]],1,0)</f>
        <v>0</v>
      </c>
      <c r="Q231" s="4">
        <f>IF(AND(1.5*Table1[[#This Row],[Target]]&gt;=Table1[[#This Row],[Last value]],Table1[[#This Row],[Last value]]&gt;Table1[[#This Row],[Target]]),1,0)</f>
        <v>0</v>
      </c>
      <c r="R231" s="4">
        <f>IF(Table1[[#This Row],[Target]]&gt;=Table1[[#This Row],[Last value]],1,0)</f>
        <v>1</v>
      </c>
      <c r="S231" s="4" t="str">
        <f t="shared" si="4"/>
        <v>Green</v>
      </c>
      <c r="T231">
        <v>0</v>
      </c>
      <c r="U231">
        <v>0</v>
      </c>
      <c r="V231">
        <v>0</v>
      </c>
      <c r="W231">
        <v>0</v>
      </c>
      <c r="X231">
        <v>1.8</v>
      </c>
      <c r="Y231">
        <v>1.54</v>
      </c>
      <c r="Z231">
        <v>2.6</v>
      </c>
      <c r="AA231">
        <v>2.6</v>
      </c>
      <c r="AB231">
        <v>0</v>
      </c>
      <c r="AC231">
        <v>2.92</v>
      </c>
      <c r="AD231">
        <v>0</v>
      </c>
      <c r="AE231">
        <v>1.7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1.7</v>
      </c>
      <c r="AN231">
        <v>0</v>
      </c>
      <c r="AO231">
        <v>0</v>
      </c>
      <c r="AP231">
        <v>0</v>
      </c>
      <c r="AQ231">
        <v>0</v>
      </c>
      <c r="AR231" s="8">
        <v>0</v>
      </c>
      <c r="AS231" s="8">
        <v>0</v>
      </c>
      <c r="AT231" s="8">
        <v>0</v>
      </c>
      <c r="AU231" s="3">
        <v>0</v>
      </c>
      <c r="AV231" s="3">
        <v>1.62</v>
      </c>
      <c r="AW231" s="3">
        <v>1.38</v>
      </c>
      <c r="AX231" s="3">
        <v>0</v>
      </c>
      <c r="AY231" s="3">
        <v>2.36</v>
      </c>
      <c r="AZ231" s="3">
        <v>0</v>
      </c>
      <c r="BA231" s="3">
        <v>1.9</v>
      </c>
      <c r="BB231" s="3">
        <v>0</v>
      </c>
      <c r="BC231" s="3">
        <v>0</v>
      </c>
      <c r="BD231">
        <v>0</v>
      </c>
      <c r="BE231" s="11">
        <v>1.825</v>
      </c>
      <c r="BF231" s="4">
        <v>0</v>
      </c>
      <c r="BG231" s="4">
        <v>1.7</v>
      </c>
      <c r="BH231" s="4">
        <v>0</v>
      </c>
      <c r="BI231" s="4">
        <v>1.708</v>
      </c>
      <c r="BJ231" s="13">
        <v>0</v>
      </c>
      <c r="BK231" s="13">
        <v>0</v>
      </c>
      <c r="BL231" s="4">
        <v>0</v>
      </c>
      <c r="BM231" s="16">
        <v>0</v>
      </c>
      <c r="BN231" s="4">
        <v>0</v>
      </c>
      <c r="BO231" s="4">
        <v>0</v>
      </c>
      <c r="BP231" s="4">
        <v>1.839</v>
      </c>
      <c r="BQ231" s="4">
        <v>0</v>
      </c>
      <c r="BR231" s="4">
        <v>0</v>
      </c>
      <c r="BS231" s="4">
        <v>3.8090000000000002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 s="19">
        <v>0</v>
      </c>
      <c r="CF231" s="19">
        <v>0</v>
      </c>
      <c r="CG231" s="4">
        <v>0</v>
      </c>
      <c r="CH231" s="4">
        <v>2.2200000000000002</v>
      </c>
      <c r="CI231" s="4">
        <v>0</v>
      </c>
      <c r="CJ231" s="34">
        <v>0</v>
      </c>
      <c r="CK231" s="34">
        <v>0</v>
      </c>
      <c r="CL231" s="34">
        <v>0</v>
      </c>
      <c r="CM231" s="4">
        <v>0</v>
      </c>
      <c r="CN231" s="53">
        <v>0</v>
      </c>
      <c r="CO231" s="54">
        <v>0</v>
      </c>
      <c r="CP231" s="54">
        <v>0</v>
      </c>
      <c r="CQ231" s="4">
        <v>0</v>
      </c>
    </row>
    <row r="232" spans="1:95" x14ac:dyDescent="0.35">
      <c r="A232" s="55">
        <v>231</v>
      </c>
      <c r="B232" t="s">
        <v>99</v>
      </c>
      <c r="C232" s="27" t="s">
        <v>435</v>
      </c>
      <c r="D232" s="3" t="s">
        <v>94</v>
      </c>
      <c r="E232" s="33" t="s">
        <v>91</v>
      </c>
      <c r="F232" s="4">
        <f>IFERROR(AVERAGEIF(Table1[[#This Row],[2019-Apr]:[2025-July]],"&lt;&gt;0"),0)</f>
        <v>1.8963124999999996</v>
      </c>
      <c r="G232" s="4">
        <f ca="1">IFERROR(AVERAGEIF(OFFSET(Table1[[#This Row],[Status]],0,COUNT(Table1[[#This Row],[2019-May]:[2025-July]]),1,-12),"&lt;&gt;0"),0)</f>
        <v>0.85</v>
      </c>
      <c r="H232" s="55">
        <f>IFERROR(SMALL(Table1[[#This Row],[2019-Apr]:[2025-July]],COUNTIF(Table1[[#This Row],[2019-Apr]:[2025-July]],0)+1),0)</f>
        <v>0.67</v>
      </c>
      <c r="I232" s="55">
        <f>IFERROR(MAX(Table1[[#This Row],[2019-Apr]:[2025-July]]),0)</f>
        <v>3.86</v>
      </c>
      <c r="J232" s="4" cm="1">
        <f t="array" ref="J23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0.81166666666666665</v>
      </c>
      <c r="K232" s="4">
        <v>4.5</v>
      </c>
      <c r="L232" s="4">
        <f>IF(Table1[[#This Row],[Standard as per ISO]]&gt;=Table1[[#This Row],[Avg of best 6]],Table1[[#This Row],[Standard as per ISO]],Table1[[#This Row],[Avg of best 6]])</f>
        <v>4.5</v>
      </c>
      <c r="M232" s="4" cm="1">
        <f t="array" ref="M232">IFERROR(LOOKUP(2,1/(Table1[[#This Row],[2019-May]:[2025-July]]&lt;&gt;0),Table1[[#This Row],[2019-May]:[2025-July]]),0)</f>
        <v>0.85</v>
      </c>
      <c r="N232" s="4">
        <f>COUNTIF(Table1[[#This Row],[2019-Apr]:[2025-July]],"&gt;="&amp;Table1[[#This Row],[Target]])</f>
        <v>0</v>
      </c>
      <c r="O232" s="4">
        <f>IF(Table1[[#This Row],[Outliers 2Y]]=0,1,0)</f>
        <v>1</v>
      </c>
      <c r="P232" s="4">
        <f>IF(Table1[[#This Row],[Last value]]&gt;1.5*Table1[[#This Row],[Target]],1,0)</f>
        <v>0</v>
      </c>
      <c r="Q232" s="4">
        <f>IF(AND(1.5*Table1[[#This Row],[Target]]&gt;=Table1[[#This Row],[Last value]],Table1[[#This Row],[Last value]]&gt;Table1[[#This Row],[Target]]),1,0)</f>
        <v>0</v>
      </c>
      <c r="R232" s="4">
        <f>IF(Table1[[#This Row],[Target]]&gt;=Table1[[#This Row],[Last value]],1,0)</f>
        <v>1</v>
      </c>
      <c r="S232" s="4" t="str">
        <f t="shared" si="4"/>
        <v>Green</v>
      </c>
      <c r="T232">
        <v>0</v>
      </c>
      <c r="U232">
        <v>0</v>
      </c>
      <c r="V232">
        <v>0</v>
      </c>
      <c r="W232">
        <v>0</v>
      </c>
      <c r="X232">
        <v>1.1000000000000001</v>
      </c>
      <c r="Y232">
        <v>1.51</v>
      </c>
      <c r="Z232">
        <v>0</v>
      </c>
      <c r="AA232">
        <v>2.9</v>
      </c>
      <c r="AB232">
        <v>3.86</v>
      </c>
      <c r="AC232">
        <v>2.82</v>
      </c>
      <c r="AD232">
        <v>2.7</v>
      </c>
      <c r="AE232">
        <v>2.2999999999999998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2.2799999999999998</v>
      </c>
      <c r="AM232">
        <v>1.97</v>
      </c>
      <c r="AN232">
        <v>1.65</v>
      </c>
      <c r="AO232">
        <v>2.66</v>
      </c>
      <c r="AP232">
        <v>1.84</v>
      </c>
      <c r="AQ232">
        <v>0</v>
      </c>
      <c r="AR232" s="8">
        <v>2.39</v>
      </c>
      <c r="AS232" s="8">
        <v>1.89</v>
      </c>
      <c r="AT232" s="8">
        <v>2.4300000000000002</v>
      </c>
      <c r="AU232" s="3">
        <v>1.58</v>
      </c>
      <c r="AV232" s="3">
        <v>0</v>
      </c>
      <c r="AW232" s="3">
        <v>1.97</v>
      </c>
      <c r="AX232" s="3">
        <v>0</v>
      </c>
      <c r="AY232" s="3">
        <v>2.08</v>
      </c>
      <c r="AZ232" s="3">
        <v>3.46</v>
      </c>
      <c r="BA232" s="3">
        <v>0.67</v>
      </c>
      <c r="BB232" s="3">
        <v>0.8</v>
      </c>
      <c r="BC232">
        <v>1.9</v>
      </c>
      <c r="BD232">
        <v>0</v>
      </c>
      <c r="BE232" s="11">
        <v>0.91200000000000003</v>
      </c>
      <c r="BF232" s="4">
        <v>1.2390000000000001</v>
      </c>
      <c r="BG232" s="4">
        <v>1.6339999999999999</v>
      </c>
      <c r="BH232" s="4">
        <v>0</v>
      </c>
      <c r="BI232" s="4">
        <v>0.85</v>
      </c>
      <c r="BJ232" s="14">
        <v>0</v>
      </c>
      <c r="BK232" s="14">
        <v>0</v>
      </c>
      <c r="BL232" s="4">
        <v>1.1259999999999999</v>
      </c>
      <c r="BM232" s="17">
        <v>0</v>
      </c>
      <c r="BN232" s="4">
        <v>0</v>
      </c>
      <c r="BO232" s="4">
        <v>0</v>
      </c>
      <c r="BP232" s="4">
        <v>1.516</v>
      </c>
      <c r="BQ232" s="4">
        <v>0</v>
      </c>
      <c r="BR232" s="4">
        <v>0</v>
      </c>
      <c r="BS232" s="4">
        <v>2.0070000000000001</v>
      </c>
      <c r="BT232" s="4">
        <v>0</v>
      </c>
      <c r="BU232" s="4">
        <v>0</v>
      </c>
      <c r="BV232" s="4">
        <v>0</v>
      </c>
      <c r="BW232" s="4">
        <v>0.78800000000000003</v>
      </c>
      <c r="BX232" s="4">
        <v>0</v>
      </c>
      <c r="BY232" s="4">
        <v>0</v>
      </c>
      <c r="BZ232">
        <v>0</v>
      </c>
      <c r="CA232">
        <v>0</v>
      </c>
      <c r="CB232">
        <v>0</v>
      </c>
      <c r="CC232">
        <v>0</v>
      </c>
      <c r="CD232">
        <v>3</v>
      </c>
      <c r="CE232" s="19">
        <v>0</v>
      </c>
      <c r="CF232" s="19">
        <v>0</v>
      </c>
      <c r="CG232" s="4">
        <v>0</v>
      </c>
      <c r="CH232" s="4">
        <v>0.85</v>
      </c>
      <c r="CI232" s="4">
        <v>0</v>
      </c>
      <c r="CJ232" s="34">
        <v>0</v>
      </c>
      <c r="CK232" s="34">
        <v>0</v>
      </c>
      <c r="CL232" s="34">
        <v>0</v>
      </c>
      <c r="CM232" s="4">
        <v>0</v>
      </c>
      <c r="CN232" s="53">
        <v>0</v>
      </c>
      <c r="CO232" s="54">
        <v>0</v>
      </c>
      <c r="CP232" s="54">
        <v>0</v>
      </c>
      <c r="CQ232" s="4">
        <v>0</v>
      </c>
    </row>
    <row r="233" spans="1:95" x14ac:dyDescent="0.35">
      <c r="A233" s="55">
        <v>232</v>
      </c>
      <c r="B233" t="s">
        <v>99</v>
      </c>
      <c r="C233" s="27" t="s">
        <v>436</v>
      </c>
      <c r="D233" s="3" t="s">
        <v>94</v>
      </c>
      <c r="E233" s="33" t="s">
        <v>91</v>
      </c>
      <c r="F233" s="4">
        <f>IFERROR(AVERAGEIF(Table1[[#This Row],[2019-Apr]:[2025-July]],"&lt;&gt;0"),0)</f>
        <v>2.0205000000000002</v>
      </c>
      <c r="G233" s="4">
        <f ca="1">IFERROR(AVERAGEIF(OFFSET(Table1[[#This Row],[Status]],0,COUNT(Table1[[#This Row],[2019-May]:[2025-July]]),1,-12),"&lt;&gt;0"),0)</f>
        <v>2.42</v>
      </c>
      <c r="H233" s="55">
        <f>IFERROR(SMALL(Table1[[#This Row],[2019-Apr]:[2025-July]],COUNTIF(Table1[[#This Row],[2019-Apr]:[2025-July]],0)+1),0)</f>
        <v>0.91</v>
      </c>
      <c r="I233" s="55">
        <f>IFERROR(MAX(Table1[[#This Row],[2019-Apr]:[2025-July]]),0)</f>
        <v>3.8</v>
      </c>
      <c r="J233" s="4" cm="1">
        <f t="array" ref="J23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1.1911666666666667</v>
      </c>
      <c r="K233" s="4">
        <v>4.5</v>
      </c>
      <c r="L233" s="4">
        <f>IF(Table1[[#This Row],[Standard as per ISO]]&gt;=Table1[[#This Row],[Avg of best 6]],Table1[[#This Row],[Standard as per ISO]],Table1[[#This Row],[Avg of best 6]])</f>
        <v>4.5</v>
      </c>
      <c r="M233" s="4" cm="1">
        <f t="array" ref="M233">IFERROR(LOOKUP(2,1/(Table1[[#This Row],[2019-May]:[2025-July]]&lt;&gt;0),Table1[[#This Row],[2019-May]:[2025-July]]),0)</f>
        <v>2.42</v>
      </c>
      <c r="N233" s="4">
        <f>COUNTIF(Table1[[#This Row],[2019-Apr]:[2025-July]],"&gt;="&amp;Table1[[#This Row],[Target]])</f>
        <v>0</v>
      </c>
      <c r="O233" s="4">
        <f>IF(Table1[[#This Row],[Outliers 2Y]]=0,1,0)</f>
        <v>1</v>
      </c>
      <c r="P233" s="4">
        <f>IF(Table1[[#This Row],[Last value]]&gt;1.5*Table1[[#This Row],[Target]],1,0)</f>
        <v>0</v>
      </c>
      <c r="Q233" s="4">
        <f>IF(AND(1.5*Table1[[#This Row],[Target]]&gt;=Table1[[#This Row],[Last value]],Table1[[#This Row],[Last value]]&gt;Table1[[#This Row],[Target]]),1,0)</f>
        <v>0</v>
      </c>
      <c r="R233" s="4">
        <f>IF(Table1[[#This Row],[Target]]&gt;=Table1[[#This Row],[Last value]],1,0)</f>
        <v>1</v>
      </c>
      <c r="S233" s="4" t="str">
        <f t="shared" ref="S233:S245" si="5">IF(P233=1, "Red", IF(Q233=1, "Yellow", "Green"))</f>
        <v>Green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2.7</v>
      </c>
      <c r="AA233">
        <v>0</v>
      </c>
      <c r="AB233">
        <v>1.87</v>
      </c>
      <c r="AC233">
        <v>0</v>
      </c>
      <c r="AD233">
        <v>0</v>
      </c>
      <c r="AE233">
        <v>0</v>
      </c>
      <c r="AF233">
        <v>2.7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0.91</v>
      </c>
      <c r="AM233">
        <v>0</v>
      </c>
      <c r="AN233">
        <v>0</v>
      </c>
      <c r="AO233">
        <v>0</v>
      </c>
      <c r="AP233">
        <v>0</v>
      </c>
      <c r="AQ233">
        <v>1.08</v>
      </c>
      <c r="AR233" s="8">
        <v>1.74</v>
      </c>
      <c r="AS233" s="8">
        <v>1.71</v>
      </c>
      <c r="AT233" s="8">
        <v>0</v>
      </c>
      <c r="AU233" s="3">
        <v>3.03</v>
      </c>
      <c r="AV233" s="3">
        <v>3.05</v>
      </c>
      <c r="AW233" s="3">
        <v>1.37</v>
      </c>
      <c r="AX233" s="3">
        <v>2.31</v>
      </c>
      <c r="AY233" s="3">
        <v>0</v>
      </c>
      <c r="AZ233" s="3">
        <v>3.8</v>
      </c>
      <c r="BA233" s="3">
        <v>1.1000000000000001</v>
      </c>
      <c r="BB233" s="3">
        <v>1.2</v>
      </c>
      <c r="BC233">
        <v>2.2000000000000002</v>
      </c>
      <c r="BD233">
        <v>0</v>
      </c>
      <c r="BE233" s="11">
        <v>0</v>
      </c>
      <c r="BF233" s="4">
        <v>0</v>
      </c>
      <c r="BG233" s="4">
        <v>2.1040000000000001</v>
      </c>
      <c r="BH233" s="4">
        <v>0</v>
      </c>
      <c r="BI233" s="4">
        <v>0</v>
      </c>
      <c r="BJ233" s="13">
        <v>0</v>
      </c>
      <c r="BK233" s="13">
        <v>0</v>
      </c>
      <c r="BL233" s="4">
        <v>0</v>
      </c>
      <c r="BM233" s="16">
        <v>0</v>
      </c>
      <c r="BN233" s="4">
        <v>0</v>
      </c>
      <c r="BO233" s="4">
        <v>0</v>
      </c>
      <c r="BP233" s="4">
        <v>1.579</v>
      </c>
      <c r="BQ233" s="4">
        <v>0</v>
      </c>
      <c r="BR233" s="4">
        <v>0</v>
      </c>
      <c r="BS233" s="4">
        <v>1.4870000000000001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>
        <v>0</v>
      </c>
      <c r="CA233">
        <v>0</v>
      </c>
      <c r="CB233">
        <v>0</v>
      </c>
      <c r="CC233">
        <v>0</v>
      </c>
      <c r="CD233">
        <v>2.0499999999999998</v>
      </c>
      <c r="CE233" s="19">
        <v>0</v>
      </c>
      <c r="CF233" s="19">
        <v>0</v>
      </c>
      <c r="CG233" s="4">
        <v>0</v>
      </c>
      <c r="CH233" s="4">
        <v>2.42</v>
      </c>
      <c r="CI233" s="4">
        <v>0</v>
      </c>
      <c r="CJ233" s="34">
        <v>0</v>
      </c>
      <c r="CK233" s="34">
        <v>0</v>
      </c>
      <c r="CL233" s="34">
        <v>0</v>
      </c>
      <c r="CM233" s="4">
        <v>0</v>
      </c>
      <c r="CN233" s="53">
        <v>0</v>
      </c>
      <c r="CO233" s="54">
        <v>0</v>
      </c>
      <c r="CP233" s="54">
        <v>0</v>
      </c>
      <c r="CQ233" s="4">
        <v>0</v>
      </c>
    </row>
    <row r="234" spans="1:95" x14ac:dyDescent="0.35">
      <c r="A234" s="55">
        <v>233</v>
      </c>
      <c r="B234" t="s">
        <v>99</v>
      </c>
      <c r="C234" s="27" t="s">
        <v>437</v>
      </c>
      <c r="D234" s="3" t="s">
        <v>94</v>
      </c>
      <c r="E234" s="33" t="s">
        <v>91</v>
      </c>
      <c r="F234" s="4">
        <f>IFERROR(AVERAGEIF(Table1[[#This Row],[2019-Apr]:[2025-July]],"&lt;&gt;0"),0)</f>
        <v>2.6112142857142859</v>
      </c>
      <c r="G234" s="4">
        <f ca="1">IFERROR(AVERAGEIF(OFFSET(Table1[[#This Row],[Status]],0,COUNT(Table1[[#This Row],[2019-May]:[2025-July]]),1,-12),"&lt;&gt;0"),0)</f>
        <v>2.46</v>
      </c>
      <c r="H234" s="55">
        <f>IFERROR(SMALL(Table1[[#This Row],[2019-Apr]:[2025-July]],COUNTIF(Table1[[#This Row],[2019-Apr]:[2025-July]],0)+1),0)</f>
        <v>1.135</v>
      </c>
      <c r="I234" s="55">
        <f>IFERROR(MAX(Table1[[#This Row],[2019-Apr]:[2025-July]]),0)</f>
        <v>4.4800000000000004</v>
      </c>
      <c r="J234" s="4" cm="1">
        <f t="array" ref="J23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1.3961666666666668</v>
      </c>
      <c r="K234" s="4">
        <v>4.5</v>
      </c>
      <c r="L234" s="4">
        <f>IF(Table1[[#This Row],[Standard as per ISO]]&gt;=Table1[[#This Row],[Avg of best 6]],Table1[[#This Row],[Standard as per ISO]],Table1[[#This Row],[Avg of best 6]])</f>
        <v>4.5</v>
      </c>
      <c r="M234" s="4" cm="1">
        <f t="array" ref="M234">IFERROR(LOOKUP(2,1/(Table1[[#This Row],[2019-May]:[2025-July]]&lt;&gt;0),Table1[[#This Row],[2019-May]:[2025-July]]),0)</f>
        <v>2.46</v>
      </c>
      <c r="N234" s="4">
        <f>COUNTIF(Table1[[#This Row],[2019-Apr]:[2025-July]],"&gt;="&amp;Table1[[#This Row],[Target]])</f>
        <v>0</v>
      </c>
      <c r="O234" s="4">
        <f>IF(Table1[[#This Row],[Outliers 2Y]]=0,1,0)</f>
        <v>1</v>
      </c>
      <c r="P234" s="4">
        <f>IF(Table1[[#This Row],[Last value]]&gt;1.5*Table1[[#This Row],[Target]],1,0)</f>
        <v>0</v>
      </c>
      <c r="Q234" s="4">
        <f>IF(AND(1.5*Table1[[#This Row],[Target]]&gt;=Table1[[#This Row],[Last value]],Table1[[#This Row],[Last value]]&gt;Table1[[#This Row],[Target]]),1,0)</f>
        <v>0</v>
      </c>
      <c r="R234" s="4">
        <f>IF(Table1[[#This Row],[Target]]&gt;=Table1[[#This Row],[Last value]],1,0)</f>
        <v>1</v>
      </c>
      <c r="S234" s="4" t="str">
        <f t="shared" si="5"/>
        <v>Green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3.67</v>
      </c>
      <c r="Z234">
        <v>2.7</v>
      </c>
      <c r="AA234">
        <v>3.4</v>
      </c>
      <c r="AB234">
        <v>3.64</v>
      </c>
      <c r="AC234">
        <v>4.4800000000000004</v>
      </c>
      <c r="AD234">
        <v>2.6</v>
      </c>
      <c r="AE234">
        <v>3.5</v>
      </c>
      <c r="AF234">
        <v>2.1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2.4700000000000002</v>
      </c>
      <c r="AN234">
        <v>3.58</v>
      </c>
      <c r="AO234">
        <v>2.5</v>
      </c>
      <c r="AP234">
        <v>2.38</v>
      </c>
      <c r="AQ234">
        <v>4.33</v>
      </c>
      <c r="AR234" s="8">
        <v>0</v>
      </c>
      <c r="AS234" s="8">
        <v>3.47</v>
      </c>
      <c r="AT234" s="8">
        <v>1.99</v>
      </c>
      <c r="AU234" s="3">
        <v>0</v>
      </c>
      <c r="AV234" s="3">
        <v>3.59</v>
      </c>
      <c r="AW234" s="3">
        <v>0</v>
      </c>
      <c r="AX234" s="3">
        <v>2</v>
      </c>
      <c r="AY234" s="3">
        <v>1.52</v>
      </c>
      <c r="AZ234" s="3">
        <v>2.7</v>
      </c>
      <c r="BA234" s="3">
        <v>1.7</v>
      </c>
      <c r="BB234" s="3">
        <v>0</v>
      </c>
      <c r="BC234" s="3">
        <v>0</v>
      </c>
      <c r="BD234">
        <v>0</v>
      </c>
      <c r="BE234" s="11">
        <v>1.49</v>
      </c>
      <c r="BF234" s="4">
        <v>1.4790000000000001</v>
      </c>
      <c r="BG234" s="4">
        <v>0</v>
      </c>
      <c r="BH234" s="4">
        <v>0</v>
      </c>
      <c r="BI234" s="4">
        <v>1.135</v>
      </c>
      <c r="BJ234" s="14">
        <v>0</v>
      </c>
      <c r="BK234" s="14">
        <v>0</v>
      </c>
      <c r="BL234" s="4">
        <v>1.4830000000000001</v>
      </c>
      <c r="BM234" s="17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2.2170000000000001</v>
      </c>
      <c r="BT234" s="4">
        <v>0</v>
      </c>
      <c r="BU234" s="4">
        <v>0</v>
      </c>
      <c r="BV234" s="4">
        <v>0</v>
      </c>
      <c r="BW234" s="4">
        <v>1.27</v>
      </c>
      <c r="BX234" s="4">
        <v>0</v>
      </c>
      <c r="BY234" s="4">
        <v>0</v>
      </c>
      <c r="BZ234">
        <v>0</v>
      </c>
      <c r="CA234">
        <v>0</v>
      </c>
      <c r="CB234">
        <v>0</v>
      </c>
      <c r="CC234">
        <v>0</v>
      </c>
      <c r="CD234">
        <v>3.26</v>
      </c>
      <c r="CE234" s="19">
        <v>0</v>
      </c>
      <c r="CF234" s="19">
        <v>0</v>
      </c>
      <c r="CG234" s="4">
        <v>0</v>
      </c>
      <c r="CH234" s="4">
        <v>2.46</v>
      </c>
      <c r="CI234" s="4">
        <v>0</v>
      </c>
      <c r="CJ234" s="34">
        <v>0</v>
      </c>
      <c r="CK234" s="34">
        <v>0</v>
      </c>
      <c r="CL234" s="34">
        <v>0</v>
      </c>
      <c r="CM234" s="4">
        <v>0</v>
      </c>
      <c r="CN234" s="53">
        <v>0</v>
      </c>
      <c r="CO234" s="54">
        <v>0</v>
      </c>
      <c r="CP234" s="54">
        <v>0</v>
      </c>
      <c r="CQ234" s="4">
        <v>0</v>
      </c>
    </row>
    <row r="235" spans="1:95" x14ac:dyDescent="0.35">
      <c r="A235" s="55">
        <v>234</v>
      </c>
      <c r="B235" t="s">
        <v>99</v>
      </c>
      <c r="C235" s="27" t="s">
        <v>438</v>
      </c>
      <c r="D235" s="3" t="s">
        <v>94</v>
      </c>
      <c r="E235" s="33" t="s">
        <v>91</v>
      </c>
      <c r="F235" s="4">
        <f>IFERROR(AVERAGEIF(Table1[[#This Row],[2019-Apr]:[2025-July]],"&lt;&gt;0"),0)</f>
        <v>4.6333142857142846</v>
      </c>
      <c r="G235" s="4">
        <f ca="1">IFERROR(AVERAGEIF(OFFSET(Table1[[#This Row],[Status]],0,COUNT(Table1[[#This Row],[2019-May]:[2025-July]]),1,-12),"&lt;&gt;0"),0)</f>
        <v>4.51</v>
      </c>
      <c r="H235" s="55">
        <f>IFERROR(SMALL(Table1[[#This Row],[2019-Apr]:[2025-July]],COUNTIF(Table1[[#This Row],[2019-Apr]:[2025-July]],0)+1),0)</f>
        <v>2.19</v>
      </c>
      <c r="I235" s="55">
        <f>IFERROR(MAX(Table1[[#This Row],[2019-Apr]:[2025-July]]),0)</f>
        <v>7.38</v>
      </c>
      <c r="J235" s="4" cm="1">
        <f t="array" ref="J23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2.4316666666666666</v>
      </c>
      <c r="K235" s="4">
        <v>4.5</v>
      </c>
      <c r="L235" s="4">
        <f>IF(Table1[[#This Row],[Standard as per ISO]]&gt;=Table1[[#This Row],[Avg of best 6]],Table1[[#This Row],[Standard as per ISO]],Table1[[#This Row],[Avg of best 6]])</f>
        <v>4.5</v>
      </c>
      <c r="M235" s="4" cm="1">
        <f t="array" ref="M235">IFERROR(LOOKUP(2,1/(Table1[[#This Row],[2019-May]:[2025-July]]&lt;&gt;0),Table1[[#This Row],[2019-May]:[2025-July]]),0)</f>
        <v>4.51</v>
      </c>
      <c r="N235" s="4">
        <f>COUNTIF(Table1[[#This Row],[2019-Apr]:[2025-July]],"&gt;="&amp;Table1[[#This Row],[Target]])</f>
        <v>23</v>
      </c>
      <c r="O235" s="4">
        <f>IF(Table1[[#This Row],[Outliers 2Y]]=0,1,0)</f>
        <v>0</v>
      </c>
      <c r="P235" s="4">
        <f>IF(Table1[[#This Row],[Last value]]&gt;1.5*Table1[[#This Row],[Target]],1,0)</f>
        <v>0</v>
      </c>
      <c r="Q235" s="4">
        <f>IF(AND(1.5*Table1[[#This Row],[Target]]&gt;=Table1[[#This Row],[Last value]],Table1[[#This Row],[Last value]]&gt;Table1[[#This Row],[Target]]),1,0)</f>
        <v>1</v>
      </c>
      <c r="R235" s="4">
        <f>IF(Table1[[#This Row],[Target]]&gt;=Table1[[#This Row],[Last value]],1,0)</f>
        <v>0</v>
      </c>
      <c r="S235" s="4" t="str">
        <f t="shared" si="5"/>
        <v>Yellow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7.38</v>
      </c>
      <c r="Z235">
        <v>2.2999999999999998</v>
      </c>
      <c r="AA235">
        <v>2.2999999999999998</v>
      </c>
      <c r="AB235">
        <v>2.19</v>
      </c>
      <c r="AC235">
        <v>3.03</v>
      </c>
      <c r="AD235">
        <v>2.8</v>
      </c>
      <c r="AE235">
        <v>2.4</v>
      </c>
      <c r="AF235">
        <v>2.6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6.21</v>
      </c>
      <c r="AM235">
        <v>2.97</v>
      </c>
      <c r="AN235">
        <v>5.57</v>
      </c>
      <c r="AO235">
        <v>5.5</v>
      </c>
      <c r="AP235">
        <v>6.1</v>
      </c>
      <c r="AQ235">
        <v>5.35</v>
      </c>
      <c r="AR235" s="8">
        <v>5.68</v>
      </c>
      <c r="AS235" s="8">
        <v>5.65</v>
      </c>
      <c r="AT235" s="8">
        <v>6.15</v>
      </c>
      <c r="AU235" s="3">
        <v>5.5</v>
      </c>
      <c r="AV235" s="3">
        <v>5.39</v>
      </c>
      <c r="AW235" s="3">
        <v>5.31</v>
      </c>
      <c r="AX235" s="3">
        <v>5.71</v>
      </c>
      <c r="AY235" s="3">
        <v>5.87</v>
      </c>
      <c r="AZ235" s="3">
        <v>5.24</v>
      </c>
      <c r="BA235" s="3">
        <v>4.7</v>
      </c>
      <c r="BB235" s="3">
        <v>0</v>
      </c>
      <c r="BC235">
        <v>4.7</v>
      </c>
      <c r="BD235">
        <v>0</v>
      </c>
      <c r="BE235" s="11">
        <v>4.1879999999999997</v>
      </c>
      <c r="BF235" s="4">
        <v>4.5350000000000001</v>
      </c>
      <c r="BG235" s="4">
        <v>4.891</v>
      </c>
      <c r="BH235" s="4">
        <v>0</v>
      </c>
      <c r="BI235" s="4">
        <v>4.1050000000000004</v>
      </c>
      <c r="BJ235" s="13">
        <v>0</v>
      </c>
      <c r="BK235" s="13">
        <v>0</v>
      </c>
      <c r="BL235" s="4">
        <v>5.7649999999999997</v>
      </c>
      <c r="BM235" s="16">
        <v>0</v>
      </c>
      <c r="BN235" s="4">
        <v>0</v>
      </c>
      <c r="BO235" s="4">
        <v>0</v>
      </c>
      <c r="BP235" s="4">
        <v>4.7759999999999998</v>
      </c>
      <c r="BQ235" s="4">
        <v>0</v>
      </c>
      <c r="BR235" s="4">
        <v>0</v>
      </c>
      <c r="BS235" s="4">
        <v>3.9260000000000002</v>
      </c>
      <c r="BT235" s="4">
        <v>0</v>
      </c>
      <c r="BU235" s="4">
        <v>0</v>
      </c>
      <c r="BV235" s="4">
        <v>0</v>
      </c>
      <c r="BW235" s="4">
        <v>5.08</v>
      </c>
      <c r="BX235" s="4">
        <v>0</v>
      </c>
      <c r="BY235" s="4">
        <v>0</v>
      </c>
      <c r="BZ235">
        <v>0</v>
      </c>
      <c r="CA235">
        <v>0</v>
      </c>
      <c r="CB235">
        <v>0</v>
      </c>
      <c r="CC235">
        <v>0</v>
      </c>
      <c r="CD235">
        <v>3.79</v>
      </c>
      <c r="CE235" s="19">
        <v>0</v>
      </c>
      <c r="CF235" s="19">
        <v>0</v>
      </c>
      <c r="CG235" s="4">
        <v>0</v>
      </c>
      <c r="CH235" s="4">
        <v>4.51</v>
      </c>
      <c r="CI235" s="4">
        <v>0</v>
      </c>
      <c r="CJ235" s="34">
        <v>0</v>
      </c>
      <c r="CK235" s="34">
        <v>0</v>
      </c>
      <c r="CL235" s="34">
        <v>0</v>
      </c>
      <c r="CM235" s="4">
        <v>0</v>
      </c>
      <c r="CN235" s="53">
        <v>0</v>
      </c>
      <c r="CO235" s="54">
        <v>0</v>
      </c>
      <c r="CP235" s="54">
        <v>0</v>
      </c>
      <c r="CQ235" s="4">
        <v>0</v>
      </c>
    </row>
    <row r="236" spans="1:95" x14ac:dyDescent="0.35">
      <c r="A236" s="55">
        <v>235</v>
      </c>
      <c r="B236" t="s">
        <v>99</v>
      </c>
      <c r="C236" s="27" t="s">
        <v>439</v>
      </c>
      <c r="D236" s="3" t="s">
        <v>94</v>
      </c>
      <c r="E236" s="33" t="s">
        <v>91</v>
      </c>
      <c r="F236" s="4">
        <f>IFERROR(AVERAGEIF(Table1[[#This Row],[2019-Apr]:[2025-July]],"&lt;&gt;0"),0)</f>
        <v>1.7796428571428569</v>
      </c>
      <c r="G236" s="4">
        <f ca="1">IFERROR(AVERAGEIF(OFFSET(Table1[[#This Row],[Status]],0,COUNT(Table1[[#This Row],[2019-May]:[2025-July]]),1,-12),"&lt;&gt;0"),0)</f>
        <v>1.43</v>
      </c>
      <c r="H236" s="55">
        <f>IFERROR(SMALL(Table1[[#This Row],[2019-Apr]:[2025-July]],COUNTIF(Table1[[#This Row],[2019-Apr]:[2025-July]],0)+1),0)</f>
        <v>1.248</v>
      </c>
      <c r="I236" s="55">
        <f>IFERROR(MAX(Table1[[#This Row],[2019-Apr]:[2025-July]]),0)</f>
        <v>3.7</v>
      </c>
      <c r="J236" s="4" cm="1">
        <f t="array" ref="J23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1.3929999999999998</v>
      </c>
      <c r="K236" s="4">
        <v>4.5</v>
      </c>
      <c r="L236" s="4">
        <f>IF(Table1[[#This Row],[Standard as per ISO]]&gt;=Table1[[#This Row],[Avg of best 6]],Table1[[#This Row],[Standard as per ISO]],Table1[[#This Row],[Avg of best 6]])</f>
        <v>4.5</v>
      </c>
      <c r="M236" s="4" cm="1">
        <f t="array" ref="M236">IFERROR(LOOKUP(2,1/(Table1[[#This Row],[2019-May]:[2025-July]]&lt;&gt;0),Table1[[#This Row],[2019-May]:[2025-July]]),0)</f>
        <v>1.43</v>
      </c>
      <c r="N236" s="4">
        <f>COUNTIF(Table1[[#This Row],[2019-Apr]:[2025-July]],"&gt;="&amp;Table1[[#This Row],[Target]])</f>
        <v>0</v>
      </c>
      <c r="O236" s="4">
        <f>IF(Table1[[#This Row],[Outliers 2Y]]=0,1,0)</f>
        <v>1</v>
      </c>
      <c r="P236" s="4">
        <f>IF(Table1[[#This Row],[Last value]]&gt;1.5*Table1[[#This Row],[Target]],1,0)</f>
        <v>0</v>
      </c>
      <c r="Q236" s="4">
        <f>IF(AND(1.5*Table1[[#This Row],[Target]]&gt;=Table1[[#This Row],[Last value]],Table1[[#This Row],[Last value]]&gt;Table1[[#This Row],[Target]]),1,0)</f>
        <v>0</v>
      </c>
      <c r="R236" s="4">
        <f>IF(Table1[[#This Row],[Target]]&gt;=Table1[[#This Row],[Last value]],1,0)</f>
        <v>1</v>
      </c>
      <c r="S236" s="4" t="str">
        <f t="shared" si="5"/>
        <v>Green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1.48</v>
      </c>
      <c r="Z236">
        <v>3.7</v>
      </c>
      <c r="AA236">
        <v>1.9</v>
      </c>
      <c r="AB236">
        <v>1.51</v>
      </c>
      <c r="AC236">
        <v>2.62</v>
      </c>
      <c r="AD236">
        <v>1.5</v>
      </c>
      <c r="AE236">
        <v>3</v>
      </c>
      <c r="AF236">
        <v>1.8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1.42</v>
      </c>
      <c r="AM236">
        <v>0</v>
      </c>
      <c r="AN236">
        <v>2.06</v>
      </c>
      <c r="AO236">
        <v>1.7</v>
      </c>
      <c r="AP236">
        <v>1.55</v>
      </c>
      <c r="AQ236">
        <v>1.47</v>
      </c>
      <c r="AR236" s="8">
        <v>1.64</v>
      </c>
      <c r="AS236" s="8">
        <v>2.1800000000000002</v>
      </c>
      <c r="AT236" s="8">
        <v>1.45</v>
      </c>
      <c r="AU236" s="3">
        <v>1.87</v>
      </c>
      <c r="AV236" s="3">
        <v>1.68</v>
      </c>
      <c r="AW236" s="3">
        <v>1.67</v>
      </c>
      <c r="AX236" s="3">
        <v>1.62</v>
      </c>
      <c r="AY236" s="3">
        <v>0</v>
      </c>
      <c r="AZ236" s="3">
        <v>0</v>
      </c>
      <c r="BA236" s="3">
        <v>0</v>
      </c>
      <c r="BB236" s="3">
        <v>0</v>
      </c>
      <c r="BC236">
        <v>1.5</v>
      </c>
      <c r="BD236">
        <v>0</v>
      </c>
      <c r="BE236" s="11">
        <v>0</v>
      </c>
      <c r="BF236" s="4">
        <v>0</v>
      </c>
      <c r="BG236" s="4">
        <v>1.405</v>
      </c>
      <c r="BH236" s="4">
        <v>0</v>
      </c>
      <c r="BI236" s="4">
        <v>1.405</v>
      </c>
      <c r="BJ236" s="14">
        <v>0</v>
      </c>
      <c r="BK236" s="14">
        <v>0</v>
      </c>
      <c r="BL236" s="4">
        <v>1.5489999999999999</v>
      </c>
      <c r="BM236" s="17">
        <v>0</v>
      </c>
      <c r="BN236" s="4">
        <v>0</v>
      </c>
      <c r="BO236" s="4">
        <v>0</v>
      </c>
      <c r="BP236" s="4">
        <v>1.9430000000000001</v>
      </c>
      <c r="BQ236" s="4">
        <v>0</v>
      </c>
      <c r="BR236" s="4">
        <v>0</v>
      </c>
      <c r="BS236" s="4">
        <v>1.248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>
        <v>0</v>
      </c>
      <c r="CA236">
        <v>0</v>
      </c>
      <c r="CB236">
        <v>0</v>
      </c>
      <c r="CC236">
        <v>0</v>
      </c>
      <c r="CD236">
        <v>1.53</v>
      </c>
      <c r="CE236" s="19">
        <v>0</v>
      </c>
      <c r="CF236" s="19">
        <v>0</v>
      </c>
      <c r="CG236" s="4">
        <v>0</v>
      </c>
      <c r="CH236" s="4">
        <v>1.43</v>
      </c>
      <c r="CI236" s="4">
        <v>0</v>
      </c>
      <c r="CJ236" s="34">
        <v>0</v>
      </c>
      <c r="CK236" s="34">
        <v>0</v>
      </c>
      <c r="CL236" s="34">
        <v>0</v>
      </c>
      <c r="CM236" s="4">
        <v>0</v>
      </c>
      <c r="CN236" s="53">
        <v>0</v>
      </c>
      <c r="CO236" s="54">
        <v>0</v>
      </c>
      <c r="CP236" s="54">
        <v>0</v>
      </c>
      <c r="CQ236" s="4">
        <v>0</v>
      </c>
    </row>
    <row r="237" spans="1:95" x14ac:dyDescent="0.35">
      <c r="A237" s="55">
        <v>236</v>
      </c>
      <c r="B237" t="s">
        <v>99</v>
      </c>
      <c r="C237" s="27" t="s">
        <v>440</v>
      </c>
      <c r="D237" s="3" t="s">
        <v>94</v>
      </c>
      <c r="E237" s="33" t="s">
        <v>91</v>
      </c>
      <c r="F237" s="4">
        <f>IFERROR(AVERAGEIF(Table1[[#This Row],[2019-Apr]:[2025-July]],"&lt;&gt;0"),0)</f>
        <v>1.375416666666667</v>
      </c>
      <c r="G237" s="4">
        <f ca="1">IFERROR(AVERAGEIF(OFFSET(Table1[[#This Row],[Status]],0,COUNT(Table1[[#This Row],[2019-May]:[2025-July]]),1,-12),"&lt;&gt;0"),0)</f>
        <v>1.43</v>
      </c>
      <c r="H237" s="55">
        <f>IFERROR(SMALL(Table1[[#This Row],[2019-Apr]:[2025-July]],COUNTIF(Table1[[#This Row],[2019-Apr]:[2025-July]],0)+1),0)</f>
        <v>0.93</v>
      </c>
      <c r="I237" s="55">
        <f>IFERROR(MAX(Table1[[#This Row],[2019-Apr]:[2025-July]]),0)</f>
        <v>2.1</v>
      </c>
      <c r="J237" s="4" cm="1">
        <f t="array" ref="J23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1.0785</v>
      </c>
      <c r="K237" s="4">
        <v>4.5</v>
      </c>
      <c r="L237" s="4">
        <f>IF(Table1[[#This Row],[Standard as per ISO]]&gt;=Table1[[#This Row],[Avg of best 6]],Table1[[#This Row],[Standard as per ISO]],Table1[[#This Row],[Avg of best 6]])</f>
        <v>4.5</v>
      </c>
      <c r="M237" s="4" cm="1">
        <f t="array" ref="M237">IFERROR(LOOKUP(2,1/(Table1[[#This Row],[2019-May]:[2025-July]]&lt;&gt;0),Table1[[#This Row],[2019-May]:[2025-July]]),0)</f>
        <v>1.43</v>
      </c>
      <c r="N237" s="4">
        <f>COUNTIF(Table1[[#This Row],[2019-Apr]:[2025-July]],"&gt;="&amp;Table1[[#This Row],[Target]])</f>
        <v>0</v>
      </c>
      <c r="O237" s="4">
        <f>IF(Table1[[#This Row],[Outliers 2Y]]=0,1,0)</f>
        <v>1</v>
      </c>
      <c r="P237" s="4">
        <f>IF(Table1[[#This Row],[Last value]]&gt;1.5*Table1[[#This Row],[Target]],1,0)</f>
        <v>0</v>
      </c>
      <c r="Q237" s="4">
        <f>IF(AND(1.5*Table1[[#This Row],[Target]]&gt;=Table1[[#This Row],[Last value]],Table1[[#This Row],[Last value]]&gt;Table1[[#This Row],[Target]]),1,0)</f>
        <v>0</v>
      </c>
      <c r="R237" s="4">
        <f>IF(Table1[[#This Row],[Target]]&gt;=Table1[[#This Row],[Last value]],1,0)</f>
        <v>1</v>
      </c>
      <c r="S237" s="4" t="str">
        <f t="shared" si="5"/>
        <v>Green</v>
      </c>
      <c r="T237">
        <v>0</v>
      </c>
      <c r="U237">
        <v>0</v>
      </c>
      <c r="V237">
        <v>0</v>
      </c>
      <c r="W237">
        <v>0</v>
      </c>
      <c r="X237">
        <v>1.7</v>
      </c>
      <c r="Y237">
        <v>1.26</v>
      </c>
      <c r="Z237">
        <v>1.4</v>
      </c>
      <c r="AA237">
        <v>1.4</v>
      </c>
      <c r="AB237">
        <v>0</v>
      </c>
      <c r="AC237">
        <v>0.96</v>
      </c>
      <c r="AD237">
        <v>0</v>
      </c>
      <c r="AE237">
        <v>1.2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0.93</v>
      </c>
      <c r="AM237">
        <v>1.1399999999999999</v>
      </c>
      <c r="AN237">
        <v>0</v>
      </c>
      <c r="AO237">
        <v>0</v>
      </c>
      <c r="AP237">
        <v>0</v>
      </c>
      <c r="AQ237">
        <v>0</v>
      </c>
      <c r="AR237" s="8">
        <v>0</v>
      </c>
      <c r="AS237" s="8">
        <v>1.06</v>
      </c>
      <c r="AT237" s="8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1.65</v>
      </c>
      <c r="AZ237" s="3">
        <v>1.46</v>
      </c>
      <c r="BA237" s="3">
        <v>1.3</v>
      </c>
      <c r="BB237" s="3">
        <v>1.6</v>
      </c>
      <c r="BC237">
        <v>2.1</v>
      </c>
      <c r="BD237">
        <v>0</v>
      </c>
      <c r="BE237" s="11">
        <v>1.2250000000000001</v>
      </c>
      <c r="BF237" s="4">
        <v>1.4059999999999999</v>
      </c>
      <c r="BG237" s="4">
        <v>1.181</v>
      </c>
      <c r="BH237" s="4">
        <v>0</v>
      </c>
      <c r="BI237" s="4">
        <v>1.629</v>
      </c>
      <c r="BJ237" s="13">
        <v>0</v>
      </c>
      <c r="BK237" s="13">
        <v>0</v>
      </c>
      <c r="BL237" s="4">
        <v>1.212</v>
      </c>
      <c r="BM237" s="16">
        <v>0</v>
      </c>
      <c r="BN237" s="4">
        <v>0</v>
      </c>
      <c r="BO237" s="4">
        <v>0</v>
      </c>
      <c r="BP237" s="4">
        <v>1.4910000000000001</v>
      </c>
      <c r="BQ237" s="4">
        <v>0</v>
      </c>
      <c r="BR237" s="4">
        <v>0</v>
      </c>
      <c r="BS237" s="4">
        <v>1.4390000000000001</v>
      </c>
      <c r="BT237" s="4">
        <v>0</v>
      </c>
      <c r="BU237" s="4">
        <v>0</v>
      </c>
      <c r="BV237" s="4">
        <v>0</v>
      </c>
      <c r="BW237" s="4">
        <v>1.627</v>
      </c>
      <c r="BX237" s="4">
        <v>0</v>
      </c>
      <c r="BY237" s="4">
        <v>0</v>
      </c>
      <c r="BZ237">
        <v>0</v>
      </c>
      <c r="CA237">
        <v>0</v>
      </c>
      <c r="CB237">
        <v>0</v>
      </c>
      <c r="CC237">
        <v>0</v>
      </c>
      <c r="CD237">
        <v>1.21</v>
      </c>
      <c r="CE237" s="19">
        <v>0</v>
      </c>
      <c r="CF237" s="19">
        <v>0</v>
      </c>
      <c r="CG237" s="4">
        <v>0</v>
      </c>
      <c r="CH237" s="4">
        <v>1.43</v>
      </c>
      <c r="CI237" s="4">
        <v>0</v>
      </c>
      <c r="CJ237" s="34">
        <v>0</v>
      </c>
      <c r="CK237" s="34">
        <v>0</v>
      </c>
      <c r="CL237" s="34">
        <v>0</v>
      </c>
      <c r="CM237" s="4">
        <v>0</v>
      </c>
      <c r="CN237" s="53">
        <v>0</v>
      </c>
      <c r="CO237" s="54">
        <v>0</v>
      </c>
      <c r="CP237" s="54">
        <v>0</v>
      </c>
      <c r="CQ237" s="4">
        <v>0</v>
      </c>
    </row>
    <row r="238" spans="1:95" x14ac:dyDescent="0.35">
      <c r="A238" s="55">
        <v>237</v>
      </c>
      <c r="B238" t="s">
        <v>99</v>
      </c>
      <c r="C238" s="27" t="s">
        <v>441</v>
      </c>
      <c r="D238" s="3" t="s">
        <v>93</v>
      </c>
      <c r="E238" s="33" t="s">
        <v>89</v>
      </c>
      <c r="F238" s="4">
        <f>IFERROR(AVERAGEIF(Table1[[#This Row],[2019-Apr]:[2025-July]],"&lt;&gt;0"),0)</f>
        <v>0.49563492063492082</v>
      </c>
      <c r="G238" s="4">
        <f ca="1">IFERROR(AVERAGEIF(OFFSET(Table1[[#This Row],[Status]],0,COUNT(Table1[[#This Row],[2019-May]:[2025-July]]),1,-12),"&lt;&gt;0"),0)</f>
        <v>0.35599999999999993</v>
      </c>
      <c r="H238" s="55">
        <f>IFERROR(SMALL(Table1[[#This Row],[2019-Apr]:[2025-July]],COUNTIF(Table1[[#This Row],[2019-Apr]:[2025-July]],0)+1),0)</f>
        <v>0.3</v>
      </c>
      <c r="I238" s="55">
        <f>IFERROR(MAX(Table1[[#This Row],[2019-Apr]:[2025-July]]),0)</f>
        <v>1.18</v>
      </c>
      <c r="J238" s="4" cm="1">
        <f t="array" ref="J23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</v>
      </c>
      <c r="K238" s="4">
        <v>4.5</v>
      </c>
      <c r="L238" s="4">
        <f>IF(Table1[[#This Row],[Standard as per ISO]]&gt;=Table1[[#This Row],[Avg of best 6]],Table1[[#This Row],[Standard as per ISO]],Table1[[#This Row],[Avg of best 6]])</f>
        <v>4.5</v>
      </c>
      <c r="M238" s="4" cm="1">
        <f t="array" ref="M238">IFERROR(LOOKUP(2,1/(Table1[[#This Row],[2019-May]:[2025-July]]&lt;&gt;0),Table1[[#This Row],[2019-May]:[2025-July]]),0)</f>
        <v>0.3</v>
      </c>
      <c r="N238" s="4">
        <f>COUNTIF(Table1[[#This Row],[2019-Apr]:[2025-July]],"&gt;="&amp;Table1[[#This Row],[Target]])</f>
        <v>0</v>
      </c>
      <c r="O238" s="4">
        <f>IF(Table1[[#This Row],[Outliers 2Y]]=0,1,0)</f>
        <v>1</v>
      </c>
      <c r="P238" s="4">
        <f>IF(Table1[[#This Row],[Last value]]&gt;1.5*Table1[[#This Row],[Target]],1,0)</f>
        <v>0</v>
      </c>
      <c r="Q238" s="4">
        <f>IF(AND(1.5*Table1[[#This Row],[Target]]&gt;=Table1[[#This Row],[Last value]],Table1[[#This Row],[Last value]]&gt;Table1[[#This Row],[Target]]),1,0)</f>
        <v>0</v>
      </c>
      <c r="R238" s="4">
        <f>IF(Table1[[#This Row],[Target]]&gt;=Table1[[#This Row],[Last value]],1,0)</f>
        <v>1</v>
      </c>
      <c r="S238" s="4" t="str">
        <f t="shared" si="5"/>
        <v>Green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0.56000000000000005</v>
      </c>
      <c r="AB238">
        <v>0.48</v>
      </c>
      <c r="AC238">
        <v>0.49</v>
      </c>
      <c r="AD238">
        <v>0.4</v>
      </c>
      <c r="AE238">
        <v>0.6</v>
      </c>
      <c r="AF238">
        <v>0.5</v>
      </c>
      <c r="AG238">
        <v>0.4</v>
      </c>
      <c r="AH238">
        <v>0.5</v>
      </c>
      <c r="AI238">
        <v>0</v>
      </c>
      <c r="AJ238">
        <v>0.51</v>
      </c>
      <c r="AK238">
        <v>0.56000000000000005</v>
      </c>
      <c r="AL238">
        <v>0.4</v>
      </c>
      <c r="AM238">
        <v>0.44</v>
      </c>
      <c r="AN238">
        <v>0.33</v>
      </c>
      <c r="AO238">
        <v>0.79</v>
      </c>
      <c r="AP238">
        <v>0.81</v>
      </c>
      <c r="AQ238">
        <v>0.96</v>
      </c>
      <c r="AR238" s="8">
        <v>0.47</v>
      </c>
      <c r="AS238" s="8">
        <v>0.96</v>
      </c>
      <c r="AT238" s="8">
        <v>0.59</v>
      </c>
      <c r="AU238" s="3">
        <v>0.56999999999999995</v>
      </c>
      <c r="AV238" s="3">
        <v>0.42</v>
      </c>
      <c r="AW238" s="3">
        <v>0.43</v>
      </c>
      <c r="AX238" s="3">
        <v>0.53</v>
      </c>
      <c r="AY238" s="3">
        <v>0.41</v>
      </c>
      <c r="AZ238" s="3">
        <v>0.53</v>
      </c>
      <c r="BA238" s="3">
        <v>0.4</v>
      </c>
      <c r="BB238" s="3">
        <v>0.4</v>
      </c>
      <c r="BC238">
        <v>0.7</v>
      </c>
      <c r="BD238">
        <v>0</v>
      </c>
      <c r="BE238" s="11">
        <v>0.53100000000000003</v>
      </c>
      <c r="BF238" s="4">
        <v>0.45700000000000002</v>
      </c>
      <c r="BG238" s="4">
        <v>0.436</v>
      </c>
      <c r="BH238" s="4">
        <v>0.48499999999999999</v>
      </c>
      <c r="BI238" s="4">
        <v>0.53600000000000003</v>
      </c>
      <c r="BJ238" s="14">
        <v>0.40799999999999997</v>
      </c>
      <c r="BK238" s="14">
        <v>0.68400000000000005</v>
      </c>
      <c r="BL238" s="4">
        <v>0.45400000000000001</v>
      </c>
      <c r="BM238" s="17">
        <v>0.48799999999999999</v>
      </c>
      <c r="BN238" s="4">
        <v>0.48199999999999998</v>
      </c>
      <c r="BO238" s="4">
        <v>0.53700000000000003</v>
      </c>
      <c r="BP238" s="4">
        <v>0.64900000000000002</v>
      </c>
      <c r="BQ238" s="4">
        <v>0.57999999999999996</v>
      </c>
      <c r="BR238" s="4">
        <v>0.64600000000000002</v>
      </c>
      <c r="BS238" s="4">
        <v>0.41299999999999998</v>
      </c>
      <c r="BT238" s="4">
        <v>0.46300000000000002</v>
      </c>
      <c r="BU238" s="4">
        <v>0</v>
      </c>
      <c r="BV238" s="4">
        <v>0.33300000000000002</v>
      </c>
      <c r="BW238" s="4">
        <v>0.38400000000000001</v>
      </c>
      <c r="BX238" s="4">
        <v>0.375</v>
      </c>
      <c r="BY238" s="4">
        <v>0.47399999999999998</v>
      </c>
      <c r="BZ238">
        <v>0</v>
      </c>
      <c r="CA238">
        <v>0.46</v>
      </c>
      <c r="CB238">
        <v>0.35</v>
      </c>
      <c r="CC238">
        <v>1.18</v>
      </c>
      <c r="CD238">
        <v>0.42</v>
      </c>
      <c r="CE238" s="19">
        <v>0</v>
      </c>
      <c r="CF238" s="19">
        <v>0</v>
      </c>
      <c r="CG238" s="4">
        <v>0.35</v>
      </c>
      <c r="CH238" s="4">
        <v>0.35</v>
      </c>
      <c r="CI238" s="4">
        <v>0.36</v>
      </c>
      <c r="CJ238" s="34">
        <v>0.4</v>
      </c>
      <c r="CK238" s="34">
        <v>0.6</v>
      </c>
      <c r="CL238" s="43">
        <v>0.3</v>
      </c>
      <c r="CM238" s="4">
        <v>0.3</v>
      </c>
      <c r="CN238" s="53">
        <v>0.3</v>
      </c>
      <c r="CO238" s="54">
        <v>0.3</v>
      </c>
      <c r="CP238" s="54">
        <v>0.3</v>
      </c>
      <c r="CQ238" s="4">
        <v>0.3</v>
      </c>
    </row>
    <row r="239" spans="1:95" x14ac:dyDescent="0.35">
      <c r="A239" s="55">
        <v>238</v>
      </c>
      <c r="B239" t="s">
        <v>99</v>
      </c>
      <c r="C239" s="27" t="s">
        <v>442</v>
      </c>
      <c r="D239" s="3" t="s">
        <v>93</v>
      </c>
      <c r="E239" s="33" t="s">
        <v>89</v>
      </c>
      <c r="F239" s="4">
        <f>IFERROR(AVERAGEIF(Table1[[#This Row],[2019-Apr]:[2025-July]],"&lt;&gt;0"),0)</f>
        <v>0.68338095238095231</v>
      </c>
      <c r="G239" s="4">
        <f ca="1">IFERROR(AVERAGEIF(OFFSET(Table1[[#This Row],[Status]],0,COUNT(Table1[[#This Row],[2019-May]:[2025-July]]),1,-12),"&lt;&gt;0"),0)</f>
        <v>0.50700000000000001</v>
      </c>
      <c r="H239" s="55">
        <f>IFERROR(SMALL(Table1[[#This Row],[2019-Apr]:[2025-July]],COUNTIF(Table1[[#This Row],[2019-Apr]:[2025-July]],0)+1),0)</f>
        <v>0.2</v>
      </c>
      <c r="I239" s="55">
        <f>IFERROR(MAX(Table1[[#This Row],[2019-Apr]:[2025-July]]),0)</f>
        <v>2.5</v>
      </c>
      <c r="J239" s="4" cm="1">
        <f t="array" ref="J23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0.33</v>
      </c>
      <c r="K239" s="4">
        <v>4.5</v>
      </c>
      <c r="L239" s="4">
        <f>IF(Table1[[#This Row],[Standard as per ISO]]&gt;=Table1[[#This Row],[Avg of best 6]],Table1[[#This Row],[Standard as per ISO]],Table1[[#This Row],[Avg of best 6]])</f>
        <v>4.5</v>
      </c>
      <c r="M239" s="4" cm="1">
        <f t="array" ref="M239">IFERROR(LOOKUP(2,1/(Table1[[#This Row],[2019-May]:[2025-July]]&lt;&gt;0),Table1[[#This Row],[2019-May]:[2025-July]]),0)</f>
        <v>0.3</v>
      </c>
      <c r="N239" s="4">
        <f>COUNTIF(Table1[[#This Row],[2019-Apr]:[2025-July]],"&gt;="&amp;Table1[[#This Row],[Target]])</f>
        <v>0</v>
      </c>
      <c r="O239" s="4">
        <f>IF(Table1[[#This Row],[Outliers 2Y]]=0,1,0)</f>
        <v>1</v>
      </c>
      <c r="P239" s="4">
        <f>IF(Table1[[#This Row],[Last value]]&gt;1.5*Table1[[#This Row],[Target]],1,0)</f>
        <v>0</v>
      </c>
      <c r="Q239" s="4">
        <f>IF(AND(1.5*Table1[[#This Row],[Target]]&gt;=Table1[[#This Row],[Last value]],Table1[[#This Row],[Last value]]&gt;Table1[[#This Row],[Target]]),1,0)</f>
        <v>0</v>
      </c>
      <c r="R239" s="4">
        <f>IF(Table1[[#This Row],[Target]]&gt;=Table1[[#This Row],[Last value]],1,0)</f>
        <v>1</v>
      </c>
      <c r="S239" s="4" t="str">
        <f t="shared" si="5"/>
        <v>Green</v>
      </c>
      <c r="T239">
        <v>0</v>
      </c>
      <c r="U239">
        <v>0</v>
      </c>
      <c r="V239">
        <v>0</v>
      </c>
      <c r="W239">
        <v>0</v>
      </c>
      <c r="X239">
        <v>0.2</v>
      </c>
      <c r="Y239">
        <v>0</v>
      </c>
      <c r="Z239">
        <v>0.6</v>
      </c>
      <c r="AA239">
        <v>0.74</v>
      </c>
      <c r="AB239">
        <v>0.65</v>
      </c>
      <c r="AC239">
        <v>0.6</v>
      </c>
      <c r="AD239">
        <v>0.6</v>
      </c>
      <c r="AE239">
        <v>0.4</v>
      </c>
      <c r="AF239">
        <v>0.6</v>
      </c>
      <c r="AG239">
        <v>0.7</v>
      </c>
      <c r="AH239">
        <v>0</v>
      </c>
      <c r="AI239">
        <v>0</v>
      </c>
      <c r="AJ239">
        <v>0.38</v>
      </c>
      <c r="AK239">
        <v>0.69</v>
      </c>
      <c r="AL239">
        <v>0.54</v>
      </c>
      <c r="AM239">
        <v>0</v>
      </c>
      <c r="AN239">
        <v>0.47</v>
      </c>
      <c r="AO239">
        <v>2.5</v>
      </c>
      <c r="AP239">
        <v>0.72</v>
      </c>
      <c r="AQ239">
        <v>0.73</v>
      </c>
      <c r="AR239" s="8">
        <v>0.55000000000000004</v>
      </c>
      <c r="AS239" s="8">
        <v>1.88</v>
      </c>
      <c r="AT239" s="8">
        <v>0.63</v>
      </c>
      <c r="AU239" s="3">
        <v>0.51</v>
      </c>
      <c r="AV239" s="3">
        <v>0.56000000000000005</v>
      </c>
      <c r="AW239" s="3">
        <v>0.47</v>
      </c>
      <c r="AX239" s="3">
        <v>0.36</v>
      </c>
      <c r="AY239" s="3">
        <v>0.61</v>
      </c>
      <c r="AZ239" s="3">
        <v>0.71</v>
      </c>
      <c r="BA239" s="3">
        <v>0.6</v>
      </c>
      <c r="BB239" s="3">
        <v>0.4</v>
      </c>
      <c r="BC239">
        <v>0.7</v>
      </c>
      <c r="BD239">
        <v>0</v>
      </c>
      <c r="BE239" s="11">
        <v>0.52500000000000002</v>
      </c>
      <c r="BF239" s="4">
        <v>0.505</v>
      </c>
      <c r="BG239" s="4">
        <v>0.47</v>
      </c>
      <c r="BH239" s="4">
        <v>0.54300000000000004</v>
      </c>
      <c r="BI239" s="4">
        <v>0.54300000000000004</v>
      </c>
      <c r="BJ239" s="13">
        <v>0.77</v>
      </c>
      <c r="BK239" s="13">
        <v>1.417</v>
      </c>
      <c r="BL239" s="4">
        <v>0.91700000000000004</v>
      </c>
      <c r="BM239" s="16">
        <v>0.66900000000000004</v>
      </c>
      <c r="BN239" s="4">
        <v>0.65900000000000003</v>
      </c>
      <c r="BO239" s="4">
        <v>0.55800000000000005</v>
      </c>
      <c r="BP239" s="4">
        <v>0.63600000000000001</v>
      </c>
      <c r="BQ239" s="4">
        <v>0.57599999999999996</v>
      </c>
      <c r="BR239" s="4">
        <v>0.93799999999999994</v>
      </c>
      <c r="BS239" s="4">
        <v>0.47899999999999998</v>
      </c>
      <c r="BT239" s="4">
        <v>0.94499999999999995</v>
      </c>
      <c r="BU239" s="4">
        <v>0</v>
      </c>
      <c r="BV239" s="4">
        <v>0.83699999999999997</v>
      </c>
      <c r="BW239" s="4">
        <v>1.1379999999999999</v>
      </c>
      <c r="BX239" s="4">
        <v>0.92500000000000004</v>
      </c>
      <c r="BY239" s="4">
        <v>1.4730000000000001</v>
      </c>
      <c r="BZ239">
        <v>0</v>
      </c>
      <c r="CA239">
        <v>1.29</v>
      </c>
      <c r="CB239">
        <v>0.88</v>
      </c>
      <c r="CC239">
        <v>0.38</v>
      </c>
      <c r="CD239">
        <v>0.51</v>
      </c>
      <c r="CE239" s="19">
        <v>0</v>
      </c>
      <c r="CF239" s="19">
        <v>0</v>
      </c>
      <c r="CG239" s="4">
        <v>0.52</v>
      </c>
      <c r="CH239" s="4">
        <v>0.36</v>
      </c>
      <c r="CI239" s="4">
        <v>0.49</v>
      </c>
      <c r="CJ239" s="34">
        <v>0.5</v>
      </c>
      <c r="CK239" s="34">
        <v>0.7</v>
      </c>
      <c r="CL239" s="43">
        <v>0.5</v>
      </c>
      <c r="CM239" s="4">
        <v>0.5</v>
      </c>
      <c r="CN239" s="53">
        <v>0.6</v>
      </c>
      <c r="CO239" s="54">
        <v>0.5</v>
      </c>
      <c r="CP239" s="54">
        <v>0.4</v>
      </c>
      <c r="CQ239" s="4">
        <v>0.3</v>
      </c>
    </row>
    <row r="240" spans="1:95" x14ac:dyDescent="0.35">
      <c r="A240" s="55">
        <v>239</v>
      </c>
      <c r="B240" t="s">
        <v>99</v>
      </c>
      <c r="C240" s="27" t="s">
        <v>443</v>
      </c>
      <c r="D240" s="3" t="s">
        <v>88</v>
      </c>
      <c r="E240" s="33" t="s">
        <v>91</v>
      </c>
      <c r="F240" s="4">
        <f>IFERROR(AVERAGEIF(Table1[[#This Row],[2019-Apr]:[2025-July]],"&lt;&gt;0"),0)</f>
        <v>3.3223518518518524</v>
      </c>
      <c r="G240" s="4">
        <f ca="1">IFERROR(AVERAGEIF(OFFSET(Table1[[#This Row],[Status]],0,COUNT(Table1[[#This Row],[2019-May]:[2025-July]]),1,-12),"&lt;&gt;0"),0)</f>
        <v>3.3</v>
      </c>
      <c r="H240" s="55">
        <f>IFERROR(SMALL(Table1[[#This Row],[2019-Apr]:[2025-July]],COUNTIF(Table1[[#This Row],[2019-Apr]:[2025-July]],0)+1),0)</f>
        <v>1.24</v>
      </c>
      <c r="I240" s="55">
        <f>IFERROR(MAX(Table1[[#This Row],[2019-Apr]:[2025-July]]),0)</f>
        <v>5.72</v>
      </c>
      <c r="J240" s="4" cm="1">
        <f t="array" ref="J24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2.2544999999999997</v>
      </c>
      <c r="K240" s="4">
        <v>4.5</v>
      </c>
      <c r="L240" s="4">
        <f>IF(Table1[[#This Row],[Standard as per ISO]]&gt;=Table1[[#This Row],[Avg of best 6]],Table1[[#This Row],[Standard as per ISO]],Table1[[#This Row],[Avg of best 6]])</f>
        <v>4.5</v>
      </c>
      <c r="M240" s="4" cm="1">
        <f t="array" ref="M240">IFERROR(LOOKUP(2,1/(Table1[[#This Row],[2019-May]:[2025-July]]&lt;&gt;0),Table1[[#This Row],[2019-May]:[2025-July]]),0)</f>
        <v>3.7</v>
      </c>
      <c r="N240" s="4">
        <f>COUNTIF(Table1[[#This Row],[2019-Apr]:[2025-July]],"&gt;="&amp;Table1[[#This Row],[Target]])</f>
        <v>5</v>
      </c>
      <c r="O240" s="4">
        <f>IF(Table1[[#This Row],[Outliers 2Y]]=0,1,0)</f>
        <v>0</v>
      </c>
      <c r="P240" s="4">
        <f>IF(Table1[[#This Row],[Last value]]&gt;1.5*Table1[[#This Row],[Target]],1,0)</f>
        <v>0</v>
      </c>
      <c r="Q240" s="4">
        <f>IF(AND(1.5*Table1[[#This Row],[Target]]&gt;=Table1[[#This Row],[Last value]],Table1[[#This Row],[Last value]]&gt;Table1[[#This Row],[Target]]),1,0)</f>
        <v>0</v>
      </c>
      <c r="R240" s="4">
        <f>IF(Table1[[#This Row],[Target]]&gt;=Table1[[#This Row],[Last value]],1,0)</f>
        <v>1</v>
      </c>
      <c r="S240" s="4" t="str">
        <f t="shared" si="5"/>
        <v>Green</v>
      </c>
      <c r="T240">
        <v>0</v>
      </c>
      <c r="U240">
        <v>0</v>
      </c>
      <c r="V240">
        <v>0</v>
      </c>
      <c r="W240">
        <v>0</v>
      </c>
      <c r="X240">
        <v>3</v>
      </c>
      <c r="Y240">
        <v>4</v>
      </c>
      <c r="Z240">
        <v>0</v>
      </c>
      <c r="AA240">
        <v>1.24</v>
      </c>
      <c r="AB240">
        <v>3.93</v>
      </c>
      <c r="AC240">
        <v>3.91</v>
      </c>
      <c r="AD240">
        <v>5.16</v>
      </c>
      <c r="AE240">
        <v>4.3</v>
      </c>
      <c r="AF240">
        <v>4.5</v>
      </c>
      <c r="AG240">
        <v>3.8</v>
      </c>
      <c r="AH240">
        <v>4.3</v>
      </c>
      <c r="AI240">
        <v>2.6</v>
      </c>
      <c r="AJ240">
        <v>0</v>
      </c>
      <c r="AK240">
        <v>2.88</v>
      </c>
      <c r="AL240">
        <v>2.63</v>
      </c>
      <c r="AM240">
        <v>5.72</v>
      </c>
      <c r="AN240">
        <v>2.8</v>
      </c>
      <c r="AO240">
        <v>3.3</v>
      </c>
      <c r="AP240">
        <v>4.26</v>
      </c>
      <c r="AQ240">
        <v>2.61</v>
      </c>
      <c r="AR240" s="8">
        <v>2.99</v>
      </c>
      <c r="AS240" s="8">
        <v>2.71</v>
      </c>
      <c r="AT240" s="8">
        <v>4.88</v>
      </c>
      <c r="AU240" s="3">
        <v>2.99</v>
      </c>
      <c r="AV240" s="3">
        <v>2.4</v>
      </c>
      <c r="AW240" s="3">
        <v>4.37</v>
      </c>
      <c r="AX240" s="3">
        <v>2.31</v>
      </c>
      <c r="AY240" s="3">
        <v>4.3099999999999996</v>
      </c>
      <c r="AZ240" s="3">
        <v>3.7</v>
      </c>
      <c r="BA240" s="3">
        <v>2.6</v>
      </c>
      <c r="BB240" s="3">
        <v>4.7</v>
      </c>
      <c r="BC240">
        <v>2.5</v>
      </c>
      <c r="BD240">
        <v>4</v>
      </c>
      <c r="BE240" s="11">
        <v>2.9580000000000002</v>
      </c>
      <c r="BF240" s="4">
        <v>2.742</v>
      </c>
      <c r="BG240" s="4">
        <v>3.105</v>
      </c>
      <c r="BH240" s="4">
        <v>2.891</v>
      </c>
      <c r="BI240" s="4">
        <v>2.86</v>
      </c>
      <c r="BJ240" s="14">
        <v>3.0979999999999999</v>
      </c>
      <c r="BK240" s="14">
        <v>3.2040000000000002</v>
      </c>
      <c r="BL240" s="4">
        <v>2.6349999999999998</v>
      </c>
      <c r="BM240" s="17">
        <v>2.7160000000000002</v>
      </c>
      <c r="BN240" s="4">
        <v>2.8439999999999999</v>
      </c>
      <c r="BO240" s="4">
        <v>3.3109999999999999</v>
      </c>
      <c r="BP240" s="4">
        <v>3.4670000000000001</v>
      </c>
      <c r="BQ240" s="4">
        <v>3.2469999999999999</v>
      </c>
      <c r="BR240" s="4">
        <v>2.99</v>
      </c>
      <c r="BS240" s="4">
        <v>3.2879999999999998</v>
      </c>
      <c r="BT240" s="4">
        <v>3.052</v>
      </c>
      <c r="BU240" s="4">
        <v>3.07</v>
      </c>
      <c r="BV240" s="4">
        <v>2.5030000000000001</v>
      </c>
      <c r="BW240" s="4">
        <v>4.0620000000000003</v>
      </c>
      <c r="BX240" s="4">
        <v>2.5739999999999998</v>
      </c>
      <c r="BY240" s="4">
        <v>2.79</v>
      </c>
      <c r="BZ240">
        <v>0</v>
      </c>
      <c r="CA240">
        <v>0</v>
      </c>
      <c r="CB240">
        <v>0</v>
      </c>
      <c r="CC240">
        <v>0</v>
      </c>
      <c r="CD240">
        <v>0</v>
      </c>
      <c r="CE240" s="19">
        <v>2.9</v>
      </c>
      <c r="CF240" s="19">
        <v>0</v>
      </c>
      <c r="CG240" s="4">
        <v>0</v>
      </c>
      <c r="CH240" s="4">
        <v>3.7</v>
      </c>
      <c r="CI240" s="4">
        <v>0</v>
      </c>
      <c r="CJ240" s="34">
        <v>0</v>
      </c>
      <c r="CK240" s="34">
        <v>0</v>
      </c>
      <c r="CL240" s="34">
        <v>0</v>
      </c>
      <c r="CM240" s="4">
        <v>0</v>
      </c>
      <c r="CN240" s="53">
        <v>0</v>
      </c>
      <c r="CO240" s="54">
        <v>0</v>
      </c>
      <c r="CP240" s="54">
        <v>0</v>
      </c>
      <c r="CQ240" s="4">
        <v>0</v>
      </c>
    </row>
    <row r="241" spans="1:95" x14ac:dyDescent="0.35">
      <c r="A241" s="55">
        <v>240</v>
      </c>
      <c r="B241" t="s">
        <v>99</v>
      </c>
      <c r="C241" s="27" t="s">
        <v>444</v>
      </c>
      <c r="D241" s="3" t="s">
        <v>88</v>
      </c>
      <c r="E241" s="33" t="s">
        <v>91</v>
      </c>
      <c r="F241" s="4">
        <f>IFERROR(AVERAGEIF(Table1[[#This Row],[2019-Apr]:[2025-July]],"&lt;&gt;0"),0)</f>
        <v>4.7474629629629623</v>
      </c>
      <c r="G241" s="4">
        <f ca="1">IFERROR(AVERAGEIF(OFFSET(Table1[[#This Row],[Status]],0,COUNT(Table1[[#This Row],[2019-May]:[2025-July]]),1,-12),"&lt;&gt;0"),0)</f>
        <v>5.1550000000000002</v>
      </c>
      <c r="H241" s="55">
        <f>IFERROR(SMALL(Table1[[#This Row],[2019-Apr]:[2025-July]],COUNTIF(Table1[[#This Row],[2019-Apr]:[2025-July]],0)+1),0)</f>
        <v>2.6640000000000001</v>
      </c>
      <c r="I241" s="55">
        <f>IFERROR(MAX(Table1[[#This Row],[2019-Apr]:[2025-July]]),0)</f>
        <v>8.6</v>
      </c>
      <c r="J241" s="4" cm="1">
        <f t="array" ref="J24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3.1956666666666664</v>
      </c>
      <c r="K241" s="4">
        <v>4.5</v>
      </c>
      <c r="L241" s="4">
        <f>IF(Table1[[#This Row],[Standard as per ISO]]&gt;=Table1[[#This Row],[Avg of best 6]],Table1[[#This Row],[Standard as per ISO]],Table1[[#This Row],[Avg of best 6]])</f>
        <v>4.5</v>
      </c>
      <c r="M241" s="4" cm="1">
        <f t="array" ref="M241">IFERROR(LOOKUP(2,1/(Table1[[#This Row],[2019-May]:[2025-July]]&lt;&gt;0),Table1[[#This Row],[2019-May]:[2025-July]]),0)</f>
        <v>5.61</v>
      </c>
      <c r="N241" s="4">
        <f>COUNTIF(Table1[[#This Row],[2019-Apr]:[2025-July]],"&gt;="&amp;Table1[[#This Row],[Target]])</f>
        <v>32</v>
      </c>
      <c r="O241" s="4">
        <f>IF(Table1[[#This Row],[Outliers 2Y]]=0,1,0)</f>
        <v>0</v>
      </c>
      <c r="P241" s="4">
        <f>IF(Table1[[#This Row],[Last value]]&gt;1.5*Table1[[#This Row],[Target]],1,0)</f>
        <v>0</v>
      </c>
      <c r="Q241" s="4">
        <f>IF(AND(1.5*Table1[[#This Row],[Target]]&gt;=Table1[[#This Row],[Last value]],Table1[[#This Row],[Last value]]&gt;Table1[[#This Row],[Target]]),1,0)</f>
        <v>1</v>
      </c>
      <c r="R241" s="4">
        <f>IF(Table1[[#This Row],[Target]]&gt;=Table1[[#This Row],[Last value]],1,0)</f>
        <v>0</v>
      </c>
      <c r="S241" s="4" t="str">
        <f t="shared" si="5"/>
        <v>Yellow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2.9</v>
      </c>
      <c r="Z241">
        <v>3.8</v>
      </c>
      <c r="AA241">
        <v>4.8</v>
      </c>
      <c r="AB241">
        <v>3.25</v>
      </c>
      <c r="AC241">
        <v>3.64</v>
      </c>
      <c r="AD241">
        <v>5.43</v>
      </c>
      <c r="AE241">
        <v>3.5</v>
      </c>
      <c r="AF241">
        <v>3.4</v>
      </c>
      <c r="AG241">
        <v>3.9</v>
      </c>
      <c r="AH241">
        <v>5.2</v>
      </c>
      <c r="AI241">
        <v>4.68</v>
      </c>
      <c r="AJ241">
        <v>0</v>
      </c>
      <c r="AK241">
        <v>6.54</v>
      </c>
      <c r="AL241">
        <v>4.82</v>
      </c>
      <c r="AM241">
        <v>5.0199999999999996</v>
      </c>
      <c r="AN241">
        <v>3.77</v>
      </c>
      <c r="AO241">
        <v>4.8</v>
      </c>
      <c r="AP241">
        <v>4.25</v>
      </c>
      <c r="AQ241">
        <v>4.76</v>
      </c>
      <c r="AR241" s="8">
        <v>6.01</v>
      </c>
      <c r="AS241" s="8">
        <v>7.69</v>
      </c>
      <c r="AT241" s="8">
        <v>3.46</v>
      </c>
      <c r="AU241" s="3">
        <v>4.5999999999999996</v>
      </c>
      <c r="AV241" s="3">
        <v>8.6</v>
      </c>
      <c r="AW241" s="3">
        <v>5.53</v>
      </c>
      <c r="AX241" s="3">
        <v>5.91</v>
      </c>
      <c r="AY241" s="3">
        <v>6.58</v>
      </c>
      <c r="AZ241" s="3">
        <v>6.7</v>
      </c>
      <c r="BA241" s="3">
        <v>4</v>
      </c>
      <c r="BB241" s="3">
        <v>3.5</v>
      </c>
      <c r="BC241">
        <v>4.2</v>
      </c>
      <c r="BD241">
        <v>4.9000000000000004</v>
      </c>
      <c r="BE241" s="11">
        <v>3.7229999999999999</v>
      </c>
      <c r="BF241" s="4">
        <v>5.65</v>
      </c>
      <c r="BG241" s="4">
        <v>5.7910000000000004</v>
      </c>
      <c r="BH241" s="4">
        <v>4.6159999999999997</v>
      </c>
      <c r="BI241" s="4">
        <v>5.3109999999999999</v>
      </c>
      <c r="BJ241" s="13">
        <v>4.5170000000000003</v>
      </c>
      <c r="BK241" s="13">
        <v>4.923</v>
      </c>
      <c r="BL241" s="4">
        <v>4.4580000000000002</v>
      </c>
      <c r="BM241" s="16">
        <v>4.5389999999999997</v>
      </c>
      <c r="BN241" s="4">
        <v>3.931</v>
      </c>
      <c r="BO241" s="4">
        <v>3.69</v>
      </c>
      <c r="BP241" s="4">
        <v>5.3040000000000003</v>
      </c>
      <c r="BQ241" s="4">
        <v>5.6479999999999997</v>
      </c>
      <c r="BR241" s="4">
        <v>5.4379999999999997</v>
      </c>
      <c r="BS241" s="4">
        <v>3.65</v>
      </c>
      <c r="BT241" s="4">
        <v>3.996</v>
      </c>
      <c r="BU241" s="4">
        <v>4.78</v>
      </c>
      <c r="BV241" s="4">
        <v>4.3250000000000002</v>
      </c>
      <c r="BW241" s="4">
        <v>2.6640000000000001</v>
      </c>
      <c r="BX241" s="4">
        <v>4.1749999999999998</v>
      </c>
      <c r="BY241" s="4">
        <v>4.7839999999999998</v>
      </c>
      <c r="BZ241">
        <v>0</v>
      </c>
      <c r="CA241">
        <v>0</v>
      </c>
      <c r="CB241">
        <v>0</v>
      </c>
      <c r="CC241">
        <v>0</v>
      </c>
      <c r="CD241">
        <v>0</v>
      </c>
      <c r="CE241" s="19">
        <v>4.7</v>
      </c>
      <c r="CF241" s="19">
        <v>0</v>
      </c>
      <c r="CG241" s="4">
        <v>0</v>
      </c>
      <c r="CH241" s="4">
        <v>5.61</v>
      </c>
      <c r="CI241" s="4">
        <v>0</v>
      </c>
      <c r="CJ241" s="34">
        <v>0</v>
      </c>
      <c r="CK241" s="34">
        <v>0</v>
      </c>
      <c r="CL241" s="34">
        <v>0</v>
      </c>
      <c r="CM241" s="4">
        <v>0</v>
      </c>
      <c r="CN241" s="53">
        <v>0</v>
      </c>
      <c r="CO241" s="54">
        <v>0</v>
      </c>
      <c r="CP241" s="54">
        <v>0</v>
      </c>
      <c r="CQ241" s="4">
        <v>0</v>
      </c>
    </row>
    <row r="242" spans="1:95" x14ac:dyDescent="0.35">
      <c r="A242" s="55">
        <v>241</v>
      </c>
      <c r="B242" t="s">
        <v>99</v>
      </c>
      <c r="C242" s="27" t="s">
        <v>445</v>
      </c>
      <c r="D242" s="3" t="s">
        <v>93</v>
      </c>
      <c r="E242" s="33" t="s">
        <v>89</v>
      </c>
      <c r="F242" s="4">
        <f>IFERROR(AVERAGEIF(Table1[[#This Row],[2019-Apr]:[2025-July]],"&lt;&gt;0"),0)</f>
        <v>1.5650166666666669</v>
      </c>
      <c r="G242" s="4">
        <f ca="1">IFERROR(AVERAGEIF(OFFSET(Table1[[#This Row],[Status]],0,COUNT(Table1[[#This Row],[2019-May]:[2025-July]]),1,-12),"&lt;&gt;0"),0)</f>
        <v>1.4577777777777776</v>
      </c>
      <c r="H242" s="55">
        <f>IFERROR(SMALL(Table1[[#This Row],[2019-Apr]:[2025-July]],COUNTIF(Table1[[#This Row],[2019-Apr]:[2025-July]],0)+1),0)</f>
        <v>0.6</v>
      </c>
      <c r="I242" s="55">
        <f>IFERROR(MAX(Table1[[#This Row],[2019-Apr]:[2025-July]]),0)</f>
        <v>7.1360000000000001</v>
      </c>
      <c r="J242" s="4" cm="1">
        <f t="array" ref="J24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0.80133333333333345</v>
      </c>
      <c r="K242" s="4">
        <v>4.5</v>
      </c>
      <c r="L242" s="4">
        <f>IF(Table1[[#This Row],[Standard as per ISO]]&gt;=Table1[[#This Row],[Avg of best 6]],Table1[[#This Row],[Standard as per ISO]],Table1[[#This Row],[Avg of best 6]])</f>
        <v>4.5</v>
      </c>
      <c r="M242" s="4" cm="1">
        <f t="array" ref="M242">IFERROR(LOOKUP(2,1/(Table1[[#This Row],[2019-May]:[2025-July]]&lt;&gt;0),Table1[[#This Row],[2019-May]:[2025-July]]),0)</f>
        <v>1.8</v>
      </c>
      <c r="N242" s="4">
        <f>COUNTIF(Table1[[#This Row],[2019-Apr]:[2025-July]],"&gt;="&amp;Table1[[#This Row],[Target]])</f>
        <v>1</v>
      </c>
      <c r="O242" s="4">
        <f>IF(Table1[[#This Row],[Outliers 2Y]]=0,1,0)</f>
        <v>0</v>
      </c>
      <c r="P242" s="4">
        <f>IF(Table1[[#This Row],[Last value]]&gt;1.5*Table1[[#This Row],[Target]],1,0)</f>
        <v>0</v>
      </c>
      <c r="Q242" s="4">
        <f>IF(AND(1.5*Table1[[#This Row],[Target]]&gt;=Table1[[#This Row],[Last value]],Table1[[#This Row],[Last value]]&gt;Table1[[#This Row],[Target]]),1,0)</f>
        <v>0</v>
      </c>
      <c r="R242" s="4">
        <f>IF(Table1[[#This Row],[Target]]&gt;=Table1[[#This Row],[Last value]],1,0)</f>
        <v>1</v>
      </c>
      <c r="S242" s="4" t="str">
        <f t="shared" si="5"/>
        <v>Green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0.8</v>
      </c>
      <c r="Z242">
        <v>0.8</v>
      </c>
      <c r="AA242">
        <v>0.6</v>
      </c>
      <c r="AB242">
        <v>2.12</v>
      </c>
      <c r="AC242">
        <v>1.7</v>
      </c>
      <c r="AD242">
        <v>0</v>
      </c>
      <c r="AE242">
        <v>2.2000000000000002</v>
      </c>
      <c r="AF242">
        <v>1.8</v>
      </c>
      <c r="AG242">
        <v>1.5</v>
      </c>
      <c r="AH242">
        <v>0.89</v>
      </c>
      <c r="AI242">
        <v>0</v>
      </c>
      <c r="AJ242">
        <v>1.02</v>
      </c>
      <c r="AK242">
        <v>0.9</v>
      </c>
      <c r="AL242">
        <v>0.99</v>
      </c>
      <c r="AM242">
        <v>0</v>
      </c>
      <c r="AN242">
        <v>1.95</v>
      </c>
      <c r="AO242">
        <v>1.8</v>
      </c>
      <c r="AP242">
        <v>3.57</v>
      </c>
      <c r="AQ242">
        <v>1.63</v>
      </c>
      <c r="AR242" s="8">
        <v>1.36</v>
      </c>
      <c r="AS242" s="8">
        <v>1.44</v>
      </c>
      <c r="AT242" s="8">
        <v>1.36</v>
      </c>
      <c r="AU242" s="3">
        <v>1.28</v>
      </c>
      <c r="AV242" s="3">
        <v>1.69</v>
      </c>
      <c r="AW242" s="3">
        <v>1.3</v>
      </c>
      <c r="AX242" s="3">
        <v>1.8</v>
      </c>
      <c r="AY242" s="3">
        <v>1.71</v>
      </c>
      <c r="AZ242" s="3">
        <v>0.96</v>
      </c>
      <c r="BA242" s="3">
        <v>1.7</v>
      </c>
      <c r="BB242" s="3">
        <v>0</v>
      </c>
      <c r="BC242">
        <v>1.6</v>
      </c>
      <c r="BD242">
        <v>0</v>
      </c>
      <c r="BE242" s="11">
        <v>1.3759999999999999</v>
      </c>
      <c r="BF242" s="4">
        <v>1.647</v>
      </c>
      <c r="BG242" s="4">
        <v>1.468</v>
      </c>
      <c r="BH242" s="4">
        <v>1.2070000000000001</v>
      </c>
      <c r="BI242" s="4">
        <v>1.5549999999999999</v>
      </c>
      <c r="BJ242" s="14">
        <v>1.1339999999999999</v>
      </c>
      <c r="BK242" s="14">
        <v>0</v>
      </c>
      <c r="BL242" s="4">
        <v>1.17</v>
      </c>
      <c r="BM242" s="17">
        <v>1.363</v>
      </c>
      <c r="BN242" s="4">
        <v>1.3640000000000001</v>
      </c>
      <c r="BO242" s="4">
        <v>1.3260000000000001</v>
      </c>
      <c r="BP242" s="4">
        <v>0.81799999999999995</v>
      </c>
      <c r="BQ242" s="4">
        <v>1.373</v>
      </c>
      <c r="BR242" s="4">
        <v>1.663</v>
      </c>
      <c r="BS242" s="4">
        <v>1.5609999999999999</v>
      </c>
      <c r="BT242" s="4">
        <v>7.1360000000000001</v>
      </c>
      <c r="BU242" s="4">
        <v>0</v>
      </c>
      <c r="BV242" s="4">
        <v>1.4410000000000001</v>
      </c>
      <c r="BW242" s="4">
        <v>1.218</v>
      </c>
      <c r="BX242" s="4">
        <v>1.26</v>
      </c>
      <c r="BY242" s="4">
        <v>1.881</v>
      </c>
      <c r="BZ242">
        <v>0</v>
      </c>
      <c r="CA242">
        <v>1.65</v>
      </c>
      <c r="CB242">
        <v>1.64</v>
      </c>
      <c r="CC242">
        <v>1.47</v>
      </c>
      <c r="CD242">
        <v>1.79</v>
      </c>
      <c r="CE242" s="19">
        <v>0</v>
      </c>
      <c r="CF242" s="19">
        <v>0</v>
      </c>
      <c r="CG242" s="4">
        <v>1.36</v>
      </c>
      <c r="CH242" s="4">
        <v>1.42</v>
      </c>
      <c r="CI242" s="4">
        <v>1.1399999999999999</v>
      </c>
      <c r="CJ242" s="34">
        <v>1.5</v>
      </c>
      <c r="CK242" s="34">
        <v>1</v>
      </c>
      <c r="CL242" s="43">
        <v>0</v>
      </c>
      <c r="CM242" s="4">
        <v>1.5</v>
      </c>
      <c r="CN242" s="53">
        <v>1.9</v>
      </c>
      <c r="CO242" s="54">
        <v>1.7</v>
      </c>
      <c r="CP242" s="54">
        <v>1.6</v>
      </c>
      <c r="CQ242" s="4">
        <v>1.8</v>
      </c>
    </row>
    <row r="243" spans="1:95" x14ac:dyDescent="0.35">
      <c r="A243" s="55">
        <v>242</v>
      </c>
      <c r="B243" t="s">
        <v>99</v>
      </c>
      <c r="C243" s="27" t="s">
        <v>446</v>
      </c>
      <c r="D243" s="3" t="s">
        <v>88</v>
      </c>
      <c r="E243" s="33" t="s">
        <v>95</v>
      </c>
      <c r="F243" s="4">
        <f>IFERROR(AVERAGEIF(Table1[[#This Row],[2019-Apr]:[2025-July]],"&lt;&gt;0"),0)</f>
        <v>2.8790697674418606</v>
      </c>
      <c r="G243" s="4">
        <f ca="1">IFERROR(AVERAGEIF(OFFSET(Table1[[#This Row],[Status]],0,COUNT(Table1[[#This Row],[2019-May]:[2025-July]]),1,-12),"&lt;&gt;0"),0)</f>
        <v>2.1</v>
      </c>
      <c r="H243" s="55">
        <f>IFERROR(SMALL(Table1[[#This Row],[2019-Apr]:[2025-July]],COUNTIF(Table1[[#This Row],[2019-Apr]:[2025-July]],0)+1),0)</f>
        <v>1.284</v>
      </c>
      <c r="I243" s="55">
        <f>IFERROR(MAX(Table1[[#This Row],[2019-Apr]:[2025-July]]),0)</f>
        <v>5.226</v>
      </c>
      <c r="J243" s="4" cm="1">
        <f t="array" ref="J24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1.7756666666666667</v>
      </c>
      <c r="K243" s="4">
        <v>4.5</v>
      </c>
      <c r="L243" s="4">
        <f>IF(Table1[[#This Row],[Standard as per ISO]]&gt;=Table1[[#This Row],[Avg of best 6]],Table1[[#This Row],[Standard as per ISO]],Table1[[#This Row],[Avg of best 6]])</f>
        <v>4.5</v>
      </c>
      <c r="M243" s="4" cm="1">
        <f t="array" ref="M243">IFERROR(LOOKUP(2,1/(Table1[[#This Row],[2019-May]:[2025-July]]&lt;&gt;0),Table1[[#This Row],[2019-May]:[2025-July]]),0)</f>
        <v>2.1</v>
      </c>
      <c r="N243" s="4">
        <f>COUNTIF(Table1[[#This Row],[2019-Apr]:[2025-July]],"&gt;="&amp;Table1[[#This Row],[Target]])</f>
        <v>4</v>
      </c>
      <c r="O243" s="4">
        <f>IF(Table1[[#This Row],[Outliers 2Y]]=0,1,0)</f>
        <v>0</v>
      </c>
      <c r="P243" s="4">
        <f>IF(Table1[[#This Row],[Last value]]&gt;1.5*Table1[[#This Row],[Target]],1,0)</f>
        <v>0</v>
      </c>
      <c r="Q243" s="4">
        <f>IF(AND(1.5*Table1[[#This Row],[Target]]&gt;=Table1[[#This Row],[Last value]],Table1[[#This Row],[Last value]]&gt;Table1[[#This Row],[Target]]),1,0)</f>
        <v>0</v>
      </c>
      <c r="R243" s="4">
        <f>IF(Table1[[#This Row],[Target]]&gt;=Table1[[#This Row],[Last value]],1,0)</f>
        <v>1</v>
      </c>
      <c r="S243" s="4" t="str">
        <f t="shared" si="5"/>
        <v>Green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</v>
      </c>
      <c r="Z243">
        <v>2.74</v>
      </c>
      <c r="AA243">
        <v>3.3</v>
      </c>
      <c r="AB243">
        <v>2.6</v>
      </c>
      <c r="AC243">
        <v>2.8</v>
      </c>
      <c r="AD243">
        <v>0</v>
      </c>
      <c r="AE243">
        <v>2.9</v>
      </c>
      <c r="AF243">
        <v>2.9</v>
      </c>
      <c r="AG243">
        <v>0</v>
      </c>
      <c r="AH243">
        <v>0</v>
      </c>
      <c r="AI243">
        <v>0</v>
      </c>
      <c r="AJ243">
        <v>0</v>
      </c>
      <c r="AK243">
        <v>3.17</v>
      </c>
      <c r="AL243">
        <v>0</v>
      </c>
      <c r="AM243">
        <v>3.23</v>
      </c>
      <c r="AN243">
        <v>0</v>
      </c>
      <c r="AO243">
        <v>3.1</v>
      </c>
      <c r="AP243">
        <v>3.47</v>
      </c>
      <c r="AQ243">
        <v>3.34</v>
      </c>
      <c r="AR243" s="8">
        <v>0</v>
      </c>
      <c r="AS243" s="8">
        <v>0</v>
      </c>
      <c r="AT243" s="8">
        <v>3.02</v>
      </c>
      <c r="AU243" s="3">
        <v>3.02</v>
      </c>
      <c r="AV243" s="3">
        <v>2.48</v>
      </c>
      <c r="AW243" s="3">
        <v>0</v>
      </c>
      <c r="AX243" s="3">
        <v>2.4</v>
      </c>
      <c r="AY243" s="3">
        <v>3.12</v>
      </c>
      <c r="AZ243" s="3">
        <v>0</v>
      </c>
      <c r="BA243" s="3">
        <v>2.4</v>
      </c>
      <c r="BB243" s="3">
        <v>2.6</v>
      </c>
      <c r="BC243">
        <v>2.5</v>
      </c>
      <c r="BD243">
        <v>0</v>
      </c>
      <c r="BE243" s="11">
        <v>2.496</v>
      </c>
      <c r="BF243" s="4">
        <v>0</v>
      </c>
      <c r="BG243" s="4">
        <v>4.3</v>
      </c>
      <c r="BH243" s="4">
        <v>5.226</v>
      </c>
      <c r="BI243" s="4">
        <v>4.9269999999999996</v>
      </c>
      <c r="BJ243" s="13">
        <v>4.8090000000000002</v>
      </c>
      <c r="BK243" s="13">
        <v>2.2410000000000001</v>
      </c>
      <c r="BL243" s="4">
        <v>2.1349999999999998</v>
      </c>
      <c r="BM243" s="16">
        <v>2.9</v>
      </c>
      <c r="BN243" s="4">
        <v>3.2120000000000002</v>
      </c>
      <c r="BO243" s="4">
        <v>2.4870000000000001</v>
      </c>
      <c r="BP243" s="4">
        <v>2.3450000000000002</v>
      </c>
      <c r="BQ243" s="4">
        <v>2.8130000000000002</v>
      </c>
      <c r="BR243" s="4">
        <v>2.6389999999999998</v>
      </c>
      <c r="BS243" s="4">
        <v>1.373</v>
      </c>
      <c r="BT243" s="4">
        <v>1.5369999999999999</v>
      </c>
      <c r="BU243" s="4">
        <v>1.284</v>
      </c>
      <c r="BV243" s="4">
        <v>4.9169999999999998</v>
      </c>
      <c r="BW243" s="4">
        <v>2.3639999999999999</v>
      </c>
      <c r="BX243" s="4">
        <v>2.2250000000000001</v>
      </c>
      <c r="BY243" s="4">
        <v>2.25</v>
      </c>
      <c r="BZ243">
        <v>0</v>
      </c>
      <c r="CA243">
        <v>2.52</v>
      </c>
      <c r="CB243">
        <v>2.61</v>
      </c>
      <c r="CC243">
        <v>0</v>
      </c>
      <c r="CD243">
        <v>0</v>
      </c>
      <c r="CE243" s="19">
        <v>0</v>
      </c>
      <c r="CF243" s="19">
        <v>2.1</v>
      </c>
      <c r="CG243" s="4">
        <v>0</v>
      </c>
      <c r="CH243" s="4">
        <v>0</v>
      </c>
      <c r="CI243" s="4">
        <v>0</v>
      </c>
      <c r="CJ243" s="34">
        <v>0</v>
      </c>
      <c r="CK243" s="34">
        <v>0</v>
      </c>
      <c r="CL243" s="34">
        <v>0</v>
      </c>
      <c r="CM243" s="4">
        <v>0</v>
      </c>
      <c r="CN243" s="53">
        <v>0</v>
      </c>
      <c r="CO243" s="54">
        <v>0</v>
      </c>
      <c r="CP243" s="54">
        <v>0</v>
      </c>
      <c r="CQ243" s="4">
        <v>0</v>
      </c>
    </row>
    <row r="244" spans="1:95" x14ac:dyDescent="0.35">
      <c r="A244" s="55">
        <v>243</v>
      </c>
      <c r="B244" t="s">
        <v>99</v>
      </c>
      <c r="C244" s="27" t="s">
        <v>447</v>
      </c>
      <c r="D244" s="3" t="s">
        <v>88</v>
      </c>
      <c r="E244" s="33" t="s">
        <v>91</v>
      </c>
      <c r="F244" s="4">
        <f>IFERROR(AVERAGEIF(Table1[[#This Row],[2019-Apr]:[2025-July]],"&lt;&gt;0"),0)</f>
        <v>7.5651764705882352</v>
      </c>
      <c r="G244" s="4">
        <f ca="1">IFERROR(AVERAGEIF(OFFSET(Table1[[#This Row],[Status]],0,COUNT(Table1[[#This Row],[2019-May]:[2025-July]]),1,-12),"&lt;&gt;0"),0)</f>
        <v>6.05</v>
      </c>
      <c r="H244" s="55">
        <f>IFERROR(SMALL(Table1[[#This Row],[2019-Apr]:[2025-July]],COUNTIF(Table1[[#This Row],[2019-Apr]:[2025-July]],0)+1),0)</f>
        <v>2.5499999999999998</v>
      </c>
      <c r="I244" s="55">
        <f>IFERROR(MAX(Table1[[#This Row],[2019-Apr]:[2025-July]]),0)</f>
        <v>20.100000000000001</v>
      </c>
      <c r="J244" s="4" cm="1">
        <f t="array" ref="J24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2.8000000000000003</v>
      </c>
      <c r="K244" s="4">
        <v>4.5</v>
      </c>
      <c r="L244" s="4">
        <f>IF(Table1[[#This Row],[Standard as per ISO]]&gt;=Table1[[#This Row],[Avg of best 6]],Table1[[#This Row],[Standard as per ISO]],Table1[[#This Row],[Avg of best 6]])</f>
        <v>4.5</v>
      </c>
      <c r="M244" s="4" cm="1">
        <f t="array" ref="M244">IFERROR(LOOKUP(2,1/(Table1[[#This Row],[2019-May]:[2025-July]]&lt;&gt;0),Table1[[#This Row],[2019-May]:[2025-July]]),0)</f>
        <v>5.8</v>
      </c>
      <c r="N244" s="4">
        <f>COUNTIF(Table1[[#This Row],[2019-Apr]:[2025-July]],"&gt;="&amp;Table1[[#This Row],[Target]])</f>
        <v>38</v>
      </c>
      <c r="O244" s="4">
        <f>IF(Table1[[#This Row],[Outliers 2Y]]=0,1,0)</f>
        <v>0</v>
      </c>
      <c r="P244" s="4">
        <f>IF(Table1[[#This Row],[Last value]]&gt;1.5*Table1[[#This Row],[Target]],1,0)</f>
        <v>0</v>
      </c>
      <c r="Q244" s="4">
        <f>IF(AND(1.5*Table1[[#This Row],[Target]]&gt;=Table1[[#This Row],[Last value]],Table1[[#This Row],[Last value]]&gt;Table1[[#This Row],[Target]]),1,0)</f>
        <v>1</v>
      </c>
      <c r="R244" s="4">
        <f>IF(Table1[[#This Row],[Target]]&gt;=Table1[[#This Row],[Last value]],1,0)</f>
        <v>0</v>
      </c>
      <c r="S244" s="4" t="str">
        <f t="shared" si="5"/>
        <v>Yellow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12.5</v>
      </c>
      <c r="Z244">
        <v>13.1</v>
      </c>
      <c r="AA244">
        <v>12.4</v>
      </c>
      <c r="AB244">
        <v>11.2</v>
      </c>
      <c r="AC244">
        <v>20.100000000000001</v>
      </c>
      <c r="AD244">
        <v>20.100000000000001</v>
      </c>
      <c r="AE244">
        <v>18.899999999999999</v>
      </c>
      <c r="AF244">
        <v>18.399999999999999</v>
      </c>
      <c r="AG244">
        <v>17.2</v>
      </c>
      <c r="AH244">
        <v>3.2</v>
      </c>
      <c r="AI244">
        <v>0</v>
      </c>
      <c r="AJ244">
        <v>2.91</v>
      </c>
      <c r="AK244">
        <v>2.87</v>
      </c>
      <c r="AL244">
        <v>2.85</v>
      </c>
      <c r="AM244">
        <v>0</v>
      </c>
      <c r="AN244">
        <v>2.5499999999999998</v>
      </c>
      <c r="AO244">
        <v>3.24</v>
      </c>
      <c r="AP244">
        <v>2.79</v>
      </c>
      <c r="AQ244">
        <v>3.2</v>
      </c>
      <c r="AR244" s="8">
        <v>0</v>
      </c>
      <c r="AS244" s="8">
        <v>0</v>
      </c>
      <c r="AT244" s="8">
        <v>2.83</v>
      </c>
      <c r="AU244" s="3">
        <v>3.04</v>
      </c>
      <c r="AV244" s="3">
        <v>3.1</v>
      </c>
      <c r="AW244" s="3">
        <v>4.05</v>
      </c>
      <c r="AX244" s="3">
        <v>8.15</v>
      </c>
      <c r="AY244" s="3">
        <v>6.8</v>
      </c>
      <c r="AZ244" s="3">
        <v>5.7</v>
      </c>
      <c r="BA244" s="3">
        <v>3.5</v>
      </c>
      <c r="BB244" s="3">
        <v>7</v>
      </c>
      <c r="BC244">
        <v>6.4</v>
      </c>
      <c r="BD244">
        <v>0</v>
      </c>
      <c r="BE244" s="11">
        <v>6.35</v>
      </c>
      <c r="BF244" s="4">
        <v>12.14</v>
      </c>
      <c r="BG244" s="4">
        <v>4.7</v>
      </c>
      <c r="BH244" s="4">
        <v>6.8710000000000004</v>
      </c>
      <c r="BI244" s="4">
        <v>6.0529999999999999</v>
      </c>
      <c r="BJ244" s="14">
        <v>6.4770000000000003</v>
      </c>
      <c r="BK244" s="14">
        <v>6.4219999999999997</v>
      </c>
      <c r="BL244" s="4">
        <v>6.17</v>
      </c>
      <c r="BM244" s="17">
        <v>5.4020000000000001</v>
      </c>
      <c r="BN244" s="4">
        <v>9.5540000000000003</v>
      </c>
      <c r="BO244" s="4">
        <v>8.8010000000000002</v>
      </c>
      <c r="BP244" s="4">
        <v>0</v>
      </c>
      <c r="BQ244" s="4">
        <v>5.8010000000000002</v>
      </c>
      <c r="BR244" s="4">
        <v>4.9610000000000003</v>
      </c>
      <c r="BS244" s="4">
        <v>8.5519999999999996</v>
      </c>
      <c r="BT244" s="4">
        <v>7.9640000000000004</v>
      </c>
      <c r="BU244" s="4">
        <v>0</v>
      </c>
      <c r="BV244" s="4">
        <v>7.1289999999999996</v>
      </c>
      <c r="BW244" s="4">
        <v>6.8109999999999999</v>
      </c>
      <c r="BX244" s="4">
        <v>8.0380000000000003</v>
      </c>
      <c r="BY244" s="4">
        <v>7.258</v>
      </c>
      <c r="BZ244">
        <v>0</v>
      </c>
      <c r="CA244">
        <v>7.21</v>
      </c>
      <c r="CB244">
        <v>6.12</v>
      </c>
      <c r="CC244">
        <v>0</v>
      </c>
      <c r="CD244">
        <v>6.86</v>
      </c>
      <c r="CE244" s="19">
        <v>0</v>
      </c>
      <c r="CF244" s="19">
        <v>6.3</v>
      </c>
      <c r="CG244" s="4">
        <v>5.8</v>
      </c>
      <c r="CH244" s="4">
        <v>0</v>
      </c>
      <c r="CI244" s="4">
        <v>0</v>
      </c>
      <c r="CJ244" s="34">
        <v>0</v>
      </c>
      <c r="CK244" s="34">
        <v>0</v>
      </c>
      <c r="CL244" s="34">
        <v>0</v>
      </c>
      <c r="CM244" s="4">
        <v>0</v>
      </c>
      <c r="CN244" s="53">
        <v>0</v>
      </c>
      <c r="CO244" s="54">
        <v>0</v>
      </c>
      <c r="CP244" s="54">
        <v>0</v>
      </c>
      <c r="CQ244" s="4">
        <v>0</v>
      </c>
    </row>
    <row r="245" spans="1:95" x14ac:dyDescent="0.35">
      <c r="A245" s="55">
        <v>244</v>
      </c>
      <c r="B245" t="s">
        <v>99</v>
      </c>
      <c r="C245" s="27" t="s">
        <v>448</v>
      </c>
      <c r="D245" s="3" t="s">
        <v>88</v>
      </c>
      <c r="E245" s="33" t="s">
        <v>91</v>
      </c>
      <c r="F245" s="4">
        <f>IFERROR(AVERAGEIF(Table1[[#This Row],[2019-Apr]:[2025-July]],"&lt;&gt;0"),0)</f>
        <v>3.0638749999999999</v>
      </c>
      <c r="G245" s="4">
        <f ca="1">IFERROR(AVERAGEIF(OFFSET(Table1[[#This Row],[Status]],0,COUNT(Table1[[#This Row],[2019-May]:[2025-July]]),1,-12),"&lt;&gt;0"),0)</f>
        <v>2.98</v>
      </c>
      <c r="H245" s="55">
        <f>IFERROR(SMALL(Table1[[#This Row],[2019-Apr]:[2025-July]],COUNTIF(Table1[[#This Row],[2019-Apr]:[2025-July]],0)+1),0)</f>
        <v>1.8</v>
      </c>
      <c r="I245" s="55">
        <f>IFERROR(MAX(Table1[[#This Row],[2019-Apr]:[2025-July]]),0)</f>
        <v>6.16</v>
      </c>
      <c r="J245" s="4" cm="1">
        <f t="array" ref="J24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2.1485000000000003</v>
      </c>
      <c r="K245" s="4">
        <v>4.5</v>
      </c>
      <c r="L245" s="4">
        <f>IF(Table1[[#This Row],[Standard as per ISO]]&gt;=Table1[[#This Row],[Avg of best 6]],Table1[[#This Row],[Standard as per ISO]],Table1[[#This Row],[Avg of best 6]])</f>
        <v>4.5</v>
      </c>
      <c r="M245" s="4" cm="1">
        <f t="array" ref="M245">IFERROR(LOOKUP(2,1/(Table1[[#This Row],[2019-May]:[2025-July]]&lt;&gt;0),Table1[[#This Row],[2019-May]:[2025-July]]),0)</f>
        <v>2.98</v>
      </c>
      <c r="N245" s="4">
        <f>COUNTIF(Table1[[#This Row],[2019-Apr]:[2025-July]],"&gt;="&amp;Table1[[#This Row],[Target]])</f>
        <v>3</v>
      </c>
      <c r="O245" s="4">
        <f>IF(Table1[[#This Row],[Outliers 2Y]]=0,1,0)</f>
        <v>0</v>
      </c>
      <c r="P245" s="4">
        <f>IF(Table1[[#This Row],[Last value]]&gt;1.5*Table1[[#This Row],[Target]],1,0)</f>
        <v>0</v>
      </c>
      <c r="Q245" s="4">
        <f>IF(AND(1.5*Table1[[#This Row],[Target]]&gt;=Table1[[#This Row],[Last value]],Table1[[#This Row],[Last value]]&gt;Table1[[#This Row],[Target]]),1,0)</f>
        <v>0</v>
      </c>
      <c r="R245" s="4">
        <f>IF(Table1[[#This Row],[Target]]&gt;=Table1[[#This Row],[Last value]],1,0)</f>
        <v>1</v>
      </c>
      <c r="S245" s="4" t="str">
        <f t="shared" si="5"/>
        <v>Green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2.2999999999999998</v>
      </c>
      <c r="Z245">
        <v>3.3</v>
      </c>
      <c r="AA245">
        <v>3</v>
      </c>
      <c r="AB245">
        <v>2.15</v>
      </c>
      <c r="AC245">
        <v>4.07</v>
      </c>
      <c r="AD245">
        <v>3.3</v>
      </c>
      <c r="AE245">
        <v>1.8</v>
      </c>
      <c r="AF245">
        <v>3.2</v>
      </c>
      <c r="AG245">
        <v>2.4</v>
      </c>
      <c r="AH245">
        <v>3</v>
      </c>
      <c r="AI245">
        <v>0</v>
      </c>
      <c r="AJ245">
        <v>4.1100000000000003</v>
      </c>
      <c r="AK245">
        <v>2.5299999999999998</v>
      </c>
      <c r="AL245">
        <v>2.78</v>
      </c>
      <c r="AM245">
        <v>0</v>
      </c>
      <c r="AN245">
        <v>2.99</v>
      </c>
      <c r="AO245">
        <v>5.0999999999999996</v>
      </c>
      <c r="AP245">
        <v>4.3899999999999997</v>
      </c>
      <c r="AQ245">
        <v>2.1</v>
      </c>
      <c r="AR245" s="8">
        <v>0</v>
      </c>
      <c r="AS245" s="8">
        <v>6.16</v>
      </c>
      <c r="AT245" s="8">
        <v>2.78</v>
      </c>
      <c r="AU245" s="3">
        <v>3.96</v>
      </c>
      <c r="AV245" s="3">
        <v>2.5</v>
      </c>
      <c r="AW245" s="3">
        <v>3.3</v>
      </c>
      <c r="AX245" s="3">
        <v>2.75</v>
      </c>
      <c r="AY245" s="3">
        <v>2.71</v>
      </c>
      <c r="AZ245" s="3">
        <v>2.9</v>
      </c>
      <c r="BA245" s="3">
        <v>5.6</v>
      </c>
      <c r="BB245" s="3">
        <v>2.7</v>
      </c>
      <c r="BC245">
        <v>2.7</v>
      </c>
      <c r="BD245">
        <v>0</v>
      </c>
      <c r="BE245" s="11">
        <v>2.919</v>
      </c>
      <c r="BF245" s="4">
        <v>0</v>
      </c>
      <c r="BG245" s="4">
        <v>2.2999999999999998</v>
      </c>
      <c r="BH245" s="4">
        <v>3.1640000000000001</v>
      </c>
      <c r="BI245" s="4">
        <v>2.7010000000000001</v>
      </c>
      <c r="BJ245" s="13">
        <v>3.0489999999999999</v>
      </c>
      <c r="BK245" s="13">
        <v>2.7789999999999999</v>
      </c>
      <c r="BL245" s="4">
        <v>3.141</v>
      </c>
      <c r="BM245" s="16">
        <v>2.8540000000000001</v>
      </c>
      <c r="BN245" s="4">
        <v>2.8740000000000001</v>
      </c>
      <c r="BO245" s="4">
        <v>2.7149999999999999</v>
      </c>
      <c r="BP245" s="4">
        <v>0</v>
      </c>
      <c r="BQ245" s="4">
        <v>2.5150000000000001</v>
      </c>
      <c r="BR245" s="4">
        <v>3.1019999999999999</v>
      </c>
      <c r="BS245" s="4">
        <v>2.96</v>
      </c>
      <c r="BT245" s="4">
        <v>3.109</v>
      </c>
      <c r="BU245" s="4">
        <v>0</v>
      </c>
      <c r="BV245" s="4">
        <v>2.895</v>
      </c>
      <c r="BW245" s="4">
        <v>2.5790000000000002</v>
      </c>
      <c r="BX245" s="4">
        <v>2.2410000000000001</v>
      </c>
      <c r="BY245" s="4">
        <v>2.9390000000000001</v>
      </c>
      <c r="BZ245">
        <v>0</v>
      </c>
      <c r="CA245">
        <v>0</v>
      </c>
      <c r="CB245">
        <v>0</v>
      </c>
      <c r="CC245">
        <v>2.67</v>
      </c>
      <c r="CD245">
        <v>0</v>
      </c>
      <c r="CE245" s="19">
        <v>0</v>
      </c>
      <c r="CF245" s="19">
        <v>0</v>
      </c>
      <c r="CG245" s="4">
        <v>2.98</v>
      </c>
      <c r="CH245" s="4">
        <v>0</v>
      </c>
      <c r="CI245" s="4">
        <v>0</v>
      </c>
      <c r="CJ245" s="34">
        <v>0</v>
      </c>
      <c r="CK245" s="34">
        <v>0</v>
      </c>
      <c r="CL245" s="34">
        <v>0</v>
      </c>
      <c r="CM245" s="4">
        <v>0</v>
      </c>
      <c r="CN245" s="53">
        <v>0</v>
      </c>
      <c r="CO245" s="54">
        <v>0</v>
      </c>
      <c r="CP245" s="54">
        <v>0</v>
      </c>
      <c r="CQ245" s="4">
        <v>0</v>
      </c>
    </row>
    <row r="246" spans="1:95" x14ac:dyDescent="0.35">
      <c r="A246" s="55">
        <v>245</v>
      </c>
      <c r="B246" t="s">
        <v>99</v>
      </c>
      <c r="C246" s="27" t="s">
        <v>449</v>
      </c>
      <c r="D246" s="3" t="s">
        <v>88</v>
      </c>
      <c r="E246" s="33" t="s">
        <v>91</v>
      </c>
      <c r="F246" s="4">
        <f>IFERROR(AVERAGEIF(Table1[[#This Row],[2019-Apr]:[2025-July]],"&lt;&gt;0"),0)</f>
        <v>3.3</v>
      </c>
      <c r="G246" s="4">
        <f ca="1">IFERROR(AVERAGEIF(OFFSET(Table1[[#This Row],[Status]],0,COUNT(Table1[[#This Row],[2019-May]:[2025-July]]),1,-12),"&lt;&gt;0"),0)</f>
        <v>3.3</v>
      </c>
      <c r="H246" s="55">
        <f>IFERROR(SMALL(Table1[[#This Row],[2019-Apr]:[2025-July]],COUNTIF(Table1[[#This Row],[2019-Apr]:[2025-July]],0)+1),0)</f>
        <v>3.3</v>
      </c>
      <c r="I246" s="55">
        <f>IFERROR(MAX(Table1[[#This Row],[2019-Apr]:[2025-July]]),0)</f>
        <v>3.3</v>
      </c>
      <c r="J246" s="4" cm="1">
        <f t="array" ref="J24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</v>
      </c>
      <c r="K246" s="4">
        <v>4.5</v>
      </c>
      <c r="L246" s="4">
        <f>IF(Table1[[#This Row],[Standard as per ISO]]&gt;=Table1[[#This Row],[Avg of best 6]],Table1[[#This Row],[Standard as per ISO]],Table1[[#This Row],[Avg of best 6]])</f>
        <v>4.5</v>
      </c>
      <c r="M246" s="4" cm="1">
        <f t="array" ref="M246">IFERROR(LOOKUP(2,1/(Table1[[#This Row],[2019-May]:[2025-July]]&lt;&gt;0),Table1[[#This Row],[2019-May]:[2025-July]]),0)</f>
        <v>3.3</v>
      </c>
      <c r="N246" s="4">
        <f>COUNTIF(Table1[[#This Row],[2019-Apr]:[2025-July]],"&gt;="&amp;Table1[[#This Row],[Target]])</f>
        <v>0</v>
      </c>
      <c r="O246" s="4">
        <f>IF(Table1[[#This Row],[Outliers 2Y]]=0,1,0)</f>
        <v>1</v>
      </c>
      <c r="P246" s="4">
        <f>IF(Table1[[#This Row],[Last value]]&gt;1.5*Table1[[#This Row],[Target]],1,0)</f>
        <v>0</v>
      </c>
      <c r="Q246" s="4">
        <f>IF(AND(1.5*Table1[[#This Row],[Target]]&gt;=Table1[[#This Row],[Last value]],Table1[[#This Row],[Last value]]&gt;Table1[[#This Row],[Target]]),1,0)</f>
        <v>0</v>
      </c>
      <c r="R246" s="4">
        <f>IF(Table1[[#This Row],[Target]]&gt;=Table1[[#This Row],[Last value]],1,0)</f>
        <v>1</v>
      </c>
      <c r="S246" s="4" t="str">
        <f t="shared" ref="S246:S309" si="6">IF(P246=1, "Red", IF(Q246=1, "Yellow", "Green"))</f>
        <v>Green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 s="34">
        <v>3.3</v>
      </c>
      <c r="CI246">
        <v>0</v>
      </c>
      <c r="CJ246" s="34">
        <v>0</v>
      </c>
      <c r="CK246" s="34">
        <v>0</v>
      </c>
      <c r="CL246" s="34">
        <v>0</v>
      </c>
      <c r="CM246" s="4">
        <v>0</v>
      </c>
      <c r="CN246" s="53">
        <v>0</v>
      </c>
      <c r="CO246" s="54">
        <v>0</v>
      </c>
      <c r="CP246" s="54">
        <v>0</v>
      </c>
      <c r="CQ246" s="4">
        <v>0</v>
      </c>
    </row>
    <row r="247" spans="1:95" x14ac:dyDescent="0.35">
      <c r="A247" s="55">
        <v>246</v>
      </c>
      <c r="B247" t="s">
        <v>99</v>
      </c>
      <c r="C247" s="27" t="s">
        <v>450</v>
      </c>
      <c r="D247" s="3" t="s">
        <v>88</v>
      </c>
      <c r="E247" s="33" t="s">
        <v>91</v>
      </c>
      <c r="F247" s="4">
        <f>IFERROR(AVERAGEIF(Table1[[#This Row],[2019-Apr]:[2025-July]],"&lt;&gt;0"),0)</f>
        <v>1.3</v>
      </c>
      <c r="G247" s="4">
        <f ca="1">IFERROR(AVERAGEIF(OFFSET(Table1[[#This Row],[Status]],0,COUNT(Table1[[#This Row],[2019-May]:[2025-July]]),1,-12),"&lt;&gt;0"),0)</f>
        <v>1.3</v>
      </c>
      <c r="H247" s="55">
        <f>IFERROR(SMALL(Table1[[#This Row],[2019-Apr]:[2025-July]],COUNTIF(Table1[[#This Row],[2019-Apr]:[2025-July]],0)+1),0)</f>
        <v>1.3</v>
      </c>
      <c r="I247" s="55">
        <f>IFERROR(MAX(Table1[[#This Row],[2019-Apr]:[2025-July]]),0)</f>
        <v>1.3</v>
      </c>
      <c r="J247" s="4" cm="1">
        <f t="array" ref="J24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</v>
      </c>
      <c r="K247" s="4">
        <v>4.5</v>
      </c>
      <c r="L247" s="4">
        <f>IF(Table1[[#This Row],[Standard as per ISO]]&gt;=Table1[[#This Row],[Avg of best 6]],Table1[[#This Row],[Standard as per ISO]],Table1[[#This Row],[Avg of best 6]])</f>
        <v>4.5</v>
      </c>
      <c r="M247" s="4" cm="1">
        <f t="array" ref="M247">IFERROR(LOOKUP(2,1/(Table1[[#This Row],[2019-May]:[2025-July]]&lt;&gt;0),Table1[[#This Row],[2019-May]:[2025-July]]),0)</f>
        <v>1.3</v>
      </c>
      <c r="N247" s="4">
        <f>COUNTIF(Table1[[#This Row],[2019-Apr]:[2025-July]],"&gt;="&amp;Table1[[#This Row],[Target]])</f>
        <v>0</v>
      </c>
      <c r="O247" s="4">
        <f>IF(Table1[[#This Row],[Outliers 2Y]]=0,1,0)</f>
        <v>1</v>
      </c>
      <c r="P247" s="4">
        <f>IF(Table1[[#This Row],[Last value]]&gt;1.5*Table1[[#This Row],[Target]],1,0)</f>
        <v>0</v>
      </c>
      <c r="Q247" s="4">
        <f>IF(AND(1.5*Table1[[#This Row],[Target]]&gt;=Table1[[#This Row],[Last value]],Table1[[#This Row],[Last value]]&gt;Table1[[#This Row],[Target]]),1,0)</f>
        <v>0</v>
      </c>
      <c r="R247" s="4">
        <f>IF(Table1[[#This Row],[Target]]&gt;=Table1[[#This Row],[Last value]],1,0)</f>
        <v>1</v>
      </c>
      <c r="S247" s="4" t="str">
        <f t="shared" si="6"/>
        <v>Green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 s="34">
        <v>1.3</v>
      </c>
      <c r="CI247">
        <v>0</v>
      </c>
      <c r="CJ247" s="34">
        <v>0</v>
      </c>
      <c r="CK247" s="34">
        <v>0</v>
      </c>
      <c r="CL247" s="34">
        <v>0</v>
      </c>
      <c r="CM247" s="4">
        <v>0</v>
      </c>
      <c r="CN247" s="53">
        <v>0</v>
      </c>
      <c r="CO247" s="54">
        <v>0</v>
      </c>
      <c r="CP247" s="54">
        <v>0</v>
      </c>
      <c r="CQ247" s="4">
        <v>0</v>
      </c>
    </row>
    <row r="248" spans="1:95" x14ac:dyDescent="0.35">
      <c r="A248" s="55">
        <v>247</v>
      </c>
      <c r="B248" t="s">
        <v>99</v>
      </c>
      <c r="C248" s="27" t="s">
        <v>451</v>
      </c>
      <c r="D248" s="3" t="s">
        <v>88</v>
      </c>
      <c r="E248" s="33" t="s">
        <v>91</v>
      </c>
      <c r="F248" s="4">
        <f>IFERROR(AVERAGEIF(Table1[[#This Row],[2019-Apr]:[2025-July]],"&lt;&gt;0"),0)</f>
        <v>1.1000000000000001</v>
      </c>
      <c r="G248" s="4">
        <f ca="1">IFERROR(AVERAGEIF(OFFSET(Table1[[#This Row],[Status]],0,COUNT(Table1[[#This Row],[2019-May]:[2025-July]]),1,-12),"&lt;&gt;0"),0)</f>
        <v>1.1000000000000001</v>
      </c>
      <c r="H248" s="55">
        <f>IFERROR(SMALL(Table1[[#This Row],[2019-Apr]:[2025-July]],COUNTIF(Table1[[#This Row],[2019-Apr]:[2025-July]],0)+1),0)</f>
        <v>1.1000000000000001</v>
      </c>
      <c r="I248" s="55">
        <f>IFERROR(MAX(Table1[[#This Row],[2019-Apr]:[2025-July]]),0)</f>
        <v>1.1000000000000001</v>
      </c>
      <c r="J248" s="4" cm="1">
        <f t="array" ref="J24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1.1000000000000001</v>
      </c>
      <c r="K248" s="4">
        <v>4.5</v>
      </c>
      <c r="L248" s="4">
        <f>IF(Table1[[#This Row],[Standard as per ISO]]&gt;=Table1[[#This Row],[Avg of best 6]],Table1[[#This Row],[Standard as per ISO]],Table1[[#This Row],[Avg of best 6]])</f>
        <v>4.5</v>
      </c>
      <c r="M248" s="4" cm="1">
        <f t="array" ref="M248">IFERROR(LOOKUP(2,1/(Table1[[#This Row],[2019-May]:[2025-July]]&lt;&gt;0),Table1[[#This Row],[2019-May]:[2025-July]]),0)</f>
        <v>1.1000000000000001</v>
      </c>
      <c r="N248" s="4">
        <f>COUNTIF(Table1[[#This Row],[2019-Apr]:[2025-July]],"&gt;="&amp;Table1[[#This Row],[Target]])</f>
        <v>0</v>
      </c>
      <c r="O248" s="4">
        <f>IF(Table1[[#This Row],[Outliers 2Y]]=0,1,0)</f>
        <v>1</v>
      </c>
      <c r="P248" s="4">
        <f>IF(Table1[[#This Row],[Last value]]&gt;1.5*Table1[[#This Row],[Target]],1,0)</f>
        <v>0</v>
      </c>
      <c r="Q248" s="4">
        <f>IF(AND(1.5*Table1[[#This Row],[Target]]&gt;=Table1[[#This Row],[Last value]],Table1[[#This Row],[Last value]]&gt;Table1[[#This Row],[Target]]),1,0)</f>
        <v>0</v>
      </c>
      <c r="R248" s="4">
        <f>IF(Table1[[#This Row],[Target]]&gt;=Table1[[#This Row],[Last value]],1,0)</f>
        <v>1</v>
      </c>
      <c r="S248" s="4" t="str">
        <f t="shared" si="6"/>
        <v>Green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 s="34">
        <v>1.1000000000000001</v>
      </c>
      <c r="CI248">
        <v>0</v>
      </c>
      <c r="CJ248" s="34">
        <v>0</v>
      </c>
      <c r="CK248" s="34">
        <v>0</v>
      </c>
      <c r="CL248" s="34">
        <v>0</v>
      </c>
      <c r="CM248" s="4">
        <v>0</v>
      </c>
      <c r="CN248" s="53">
        <v>0</v>
      </c>
      <c r="CO248" s="54">
        <v>0</v>
      </c>
      <c r="CP248" s="54">
        <v>0</v>
      </c>
      <c r="CQ248" s="4">
        <v>0</v>
      </c>
    </row>
    <row r="249" spans="1:95" x14ac:dyDescent="0.35">
      <c r="A249" s="55">
        <v>248</v>
      </c>
      <c r="B249" t="s">
        <v>99</v>
      </c>
      <c r="C249" s="27" t="s">
        <v>452</v>
      </c>
      <c r="D249" s="3" t="s">
        <v>88</v>
      </c>
      <c r="E249" s="33" t="s">
        <v>91</v>
      </c>
      <c r="F249" s="4">
        <f>IFERROR(AVERAGEIF(Table1[[#This Row],[2019-Apr]:[2025-July]],"&lt;&gt;0"),0)</f>
        <v>1.3</v>
      </c>
      <c r="G249" s="4">
        <f ca="1">IFERROR(AVERAGEIF(OFFSET(Table1[[#This Row],[Status]],0,COUNT(Table1[[#This Row],[2019-May]:[2025-July]]),1,-12),"&lt;&gt;0"),0)</f>
        <v>1.3</v>
      </c>
      <c r="H249" s="55">
        <f>IFERROR(SMALL(Table1[[#This Row],[2019-Apr]:[2025-July]],COUNTIF(Table1[[#This Row],[2019-Apr]:[2025-July]],0)+1),0)</f>
        <v>1.3</v>
      </c>
      <c r="I249" s="55">
        <f>IFERROR(MAX(Table1[[#This Row],[2019-Apr]:[2025-July]]),0)</f>
        <v>1.3</v>
      </c>
      <c r="J249" s="4" cm="1">
        <f t="array" ref="J24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</v>
      </c>
      <c r="K249" s="4">
        <v>4.5</v>
      </c>
      <c r="L249" s="4">
        <f>IF(Table1[[#This Row],[Standard as per ISO]]&gt;=Table1[[#This Row],[Avg of best 6]],Table1[[#This Row],[Standard as per ISO]],Table1[[#This Row],[Avg of best 6]])</f>
        <v>4.5</v>
      </c>
      <c r="M249" s="4" cm="1">
        <f t="array" ref="M249">IFERROR(LOOKUP(2,1/(Table1[[#This Row],[2019-May]:[2025-July]]&lt;&gt;0),Table1[[#This Row],[2019-May]:[2025-July]]),0)</f>
        <v>1.3</v>
      </c>
      <c r="N249" s="4">
        <f>COUNTIF(Table1[[#This Row],[2019-Apr]:[2025-July]],"&gt;="&amp;Table1[[#This Row],[Target]])</f>
        <v>0</v>
      </c>
      <c r="O249" s="4">
        <f>IF(Table1[[#This Row],[Outliers 2Y]]=0,1,0)</f>
        <v>1</v>
      </c>
      <c r="P249" s="4">
        <f>IF(Table1[[#This Row],[Last value]]&gt;1.5*Table1[[#This Row],[Target]],1,0)</f>
        <v>0</v>
      </c>
      <c r="Q249" s="4">
        <f>IF(AND(1.5*Table1[[#This Row],[Target]]&gt;=Table1[[#This Row],[Last value]],Table1[[#This Row],[Last value]]&gt;Table1[[#This Row],[Target]]),1,0)</f>
        <v>0</v>
      </c>
      <c r="R249" s="4">
        <f>IF(Table1[[#This Row],[Target]]&gt;=Table1[[#This Row],[Last value]],1,0)</f>
        <v>1</v>
      </c>
      <c r="S249" s="4" t="str">
        <f t="shared" si="6"/>
        <v>Green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 s="34">
        <v>1.3</v>
      </c>
      <c r="CI249">
        <v>0</v>
      </c>
      <c r="CJ249" s="34">
        <v>0</v>
      </c>
      <c r="CK249" s="34">
        <v>0</v>
      </c>
      <c r="CL249" s="34">
        <v>0</v>
      </c>
      <c r="CM249" s="4">
        <v>0</v>
      </c>
      <c r="CN249" s="53">
        <v>0</v>
      </c>
      <c r="CO249" s="54">
        <v>0</v>
      </c>
      <c r="CP249" s="54">
        <v>0</v>
      </c>
      <c r="CQ249" s="4">
        <v>0</v>
      </c>
    </row>
    <row r="250" spans="1:95" x14ac:dyDescent="0.35">
      <c r="A250" s="55">
        <v>249</v>
      </c>
      <c r="B250" t="s">
        <v>99</v>
      </c>
      <c r="C250" s="27" t="s">
        <v>453</v>
      </c>
      <c r="D250" s="3" t="s">
        <v>88</v>
      </c>
      <c r="E250" s="33" t="s">
        <v>91</v>
      </c>
      <c r="F250" s="4">
        <f>IFERROR(AVERAGEIF(Table1[[#This Row],[2019-Apr]:[2025-July]],"&lt;&gt;0"),0)</f>
        <v>4.5</v>
      </c>
      <c r="G250" s="4">
        <f ca="1">IFERROR(AVERAGEIF(OFFSET(Table1[[#This Row],[Status]],0,COUNT(Table1[[#This Row],[2019-May]:[2025-July]]),1,-12),"&lt;&gt;0"),0)</f>
        <v>4.5</v>
      </c>
      <c r="H250" s="55">
        <f>IFERROR(SMALL(Table1[[#This Row],[2019-Apr]:[2025-July]],COUNTIF(Table1[[#This Row],[2019-Apr]:[2025-July]],0)+1),0)</f>
        <v>4.5</v>
      </c>
      <c r="I250" s="55">
        <f>IFERROR(MAX(Table1[[#This Row],[2019-Apr]:[2025-July]]),0)</f>
        <v>4.5</v>
      </c>
      <c r="J250" s="4" cm="1">
        <f t="array" ref="J25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4.5</v>
      </c>
      <c r="K250" s="4">
        <v>4.5</v>
      </c>
      <c r="L250" s="4">
        <f>IF(Table1[[#This Row],[Standard as per ISO]]&gt;=Table1[[#This Row],[Avg of best 6]],Table1[[#This Row],[Standard as per ISO]],Table1[[#This Row],[Avg of best 6]])</f>
        <v>4.5</v>
      </c>
      <c r="M250" s="4" cm="1">
        <f t="array" ref="M250">IFERROR(LOOKUP(2,1/(Table1[[#This Row],[2019-May]:[2025-July]]&lt;&gt;0),Table1[[#This Row],[2019-May]:[2025-July]]),0)</f>
        <v>4.5</v>
      </c>
      <c r="N250" s="4">
        <f>COUNTIF(Table1[[#This Row],[2019-Apr]:[2025-July]],"&gt;="&amp;Table1[[#This Row],[Target]])</f>
        <v>1</v>
      </c>
      <c r="O250" s="4">
        <f>IF(Table1[[#This Row],[Outliers 2Y]]=0,1,0)</f>
        <v>0</v>
      </c>
      <c r="P250" s="4">
        <f>IF(Table1[[#This Row],[Last value]]&gt;1.5*Table1[[#This Row],[Target]],1,0)</f>
        <v>0</v>
      </c>
      <c r="Q250" s="4">
        <f>IF(AND(1.5*Table1[[#This Row],[Target]]&gt;=Table1[[#This Row],[Last value]],Table1[[#This Row],[Last value]]&gt;Table1[[#This Row],[Target]]),1,0)</f>
        <v>0</v>
      </c>
      <c r="R250" s="4">
        <f>IF(Table1[[#This Row],[Target]]&gt;=Table1[[#This Row],[Last value]],1,0)</f>
        <v>1</v>
      </c>
      <c r="S250" s="4" t="str">
        <f t="shared" si="6"/>
        <v>Green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 s="34">
        <v>4.5</v>
      </c>
      <c r="CI250">
        <v>0</v>
      </c>
      <c r="CJ250" s="34">
        <v>0</v>
      </c>
      <c r="CK250" s="34">
        <v>0</v>
      </c>
      <c r="CL250" s="34">
        <v>0</v>
      </c>
      <c r="CM250" s="4">
        <v>0</v>
      </c>
      <c r="CN250" s="53">
        <v>0</v>
      </c>
      <c r="CO250" s="54">
        <v>0</v>
      </c>
      <c r="CP250" s="54">
        <v>0</v>
      </c>
      <c r="CQ250" s="4">
        <v>0</v>
      </c>
    </row>
    <row r="251" spans="1:95" x14ac:dyDescent="0.35">
      <c r="A251" s="55">
        <v>250</v>
      </c>
      <c r="B251" t="s">
        <v>99</v>
      </c>
      <c r="C251" s="27" t="s">
        <v>454</v>
      </c>
      <c r="D251" s="3" t="s">
        <v>88</v>
      </c>
      <c r="E251" s="33" t="s">
        <v>91</v>
      </c>
      <c r="F251" s="4">
        <f>IFERROR(AVERAGEIF(Table1[[#This Row],[2019-Apr]:[2025-July]],"&lt;&gt;0"),0)</f>
        <v>1.9</v>
      </c>
      <c r="G251" s="4">
        <f ca="1">IFERROR(AVERAGEIF(OFFSET(Table1[[#This Row],[Status]],0,COUNT(Table1[[#This Row],[2019-May]:[2025-July]]),1,-12),"&lt;&gt;0"),0)</f>
        <v>1.9</v>
      </c>
      <c r="H251" s="55">
        <f>IFERROR(SMALL(Table1[[#This Row],[2019-Apr]:[2025-July]],COUNTIF(Table1[[#This Row],[2019-Apr]:[2025-July]],0)+1),0)</f>
        <v>1.9</v>
      </c>
      <c r="I251" s="55">
        <f>IFERROR(MAX(Table1[[#This Row],[2019-Apr]:[2025-July]]),0)</f>
        <v>1.9</v>
      </c>
      <c r="J251" s="4" cm="1">
        <f t="array" ref="J25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</v>
      </c>
      <c r="K251" s="4">
        <v>4.5</v>
      </c>
      <c r="L251" s="4">
        <f>IF(Table1[[#This Row],[Standard as per ISO]]&gt;=Table1[[#This Row],[Avg of best 6]],Table1[[#This Row],[Standard as per ISO]],Table1[[#This Row],[Avg of best 6]])</f>
        <v>4.5</v>
      </c>
      <c r="M251" s="4" cm="1">
        <f t="array" ref="M251">IFERROR(LOOKUP(2,1/(Table1[[#This Row],[2019-May]:[2025-July]]&lt;&gt;0),Table1[[#This Row],[2019-May]:[2025-July]]),0)</f>
        <v>1.9</v>
      </c>
      <c r="N251" s="4">
        <f>COUNTIF(Table1[[#This Row],[2019-Apr]:[2025-July]],"&gt;="&amp;Table1[[#This Row],[Target]])</f>
        <v>0</v>
      </c>
      <c r="O251" s="4">
        <f>IF(Table1[[#This Row],[Outliers 2Y]]=0,1,0)</f>
        <v>1</v>
      </c>
      <c r="P251" s="4">
        <f>IF(Table1[[#This Row],[Last value]]&gt;1.5*Table1[[#This Row],[Target]],1,0)</f>
        <v>0</v>
      </c>
      <c r="Q251" s="4">
        <f>IF(AND(1.5*Table1[[#This Row],[Target]]&gt;=Table1[[#This Row],[Last value]],Table1[[#This Row],[Last value]]&gt;Table1[[#This Row],[Target]]),1,0)</f>
        <v>0</v>
      </c>
      <c r="R251" s="4">
        <f>IF(Table1[[#This Row],[Target]]&gt;=Table1[[#This Row],[Last value]],1,0)</f>
        <v>1</v>
      </c>
      <c r="S251" s="4" t="str">
        <f t="shared" si="6"/>
        <v>Green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 s="34">
        <v>1.9</v>
      </c>
      <c r="CI251">
        <v>0</v>
      </c>
      <c r="CJ251" s="34">
        <v>0</v>
      </c>
      <c r="CK251" s="34">
        <v>0</v>
      </c>
      <c r="CL251" s="34">
        <v>0</v>
      </c>
      <c r="CM251" s="4">
        <v>0</v>
      </c>
      <c r="CN251" s="53">
        <v>0</v>
      </c>
      <c r="CO251" s="54">
        <v>0</v>
      </c>
      <c r="CP251" s="54">
        <v>0</v>
      </c>
      <c r="CQ251" s="4">
        <v>0</v>
      </c>
    </row>
    <row r="252" spans="1:95" x14ac:dyDescent="0.35">
      <c r="A252" s="55">
        <v>251</v>
      </c>
      <c r="B252" t="s">
        <v>99</v>
      </c>
      <c r="C252" s="27" t="s">
        <v>455</v>
      </c>
      <c r="D252" s="3" t="s">
        <v>88</v>
      </c>
      <c r="E252" s="33" t="s">
        <v>91</v>
      </c>
      <c r="F252" s="4">
        <f>IFERROR(AVERAGEIF(Table1[[#This Row],[2019-Apr]:[2025-July]],"&lt;&gt;0"),0)</f>
        <v>1.5</v>
      </c>
      <c r="G252" s="4">
        <f ca="1">IFERROR(AVERAGEIF(OFFSET(Table1[[#This Row],[Status]],0,COUNT(Table1[[#This Row],[2019-May]:[2025-July]]),1,-12),"&lt;&gt;0"),0)</f>
        <v>1.5</v>
      </c>
      <c r="H252" s="55">
        <f>IFERROR(SMALL(Table1[[#This Row],[2019-Apr]:[2025-July]],COUNTIF(Table1[[#This Row],[2019-Apr]:[2025-July]],0)+1),0)</f>
        <v>1.5</v>
      </c>
      <c r="I252" s="55">
        <f>IFERROR(MAX(Table1[[#This Row],[2019-Apr]:[2025-July]]),0)</f>
        <v>1.5</v>
      </c>
      <c r="J252" s="4" cm="1">
        <f t="array" ref="J25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</v>
      </c>
      <c r="K252" s="4">
        <v>4.5</v>
      </c>
      <c r="L252" s="4">
        <f>IF(Table1[[#This Row],[Standard as per ISO]]&gt;=Table1[[#This Row],[Avg of best 6]],Table1[[#This Row],[Standard as per ISO]],Table1[[#This Row],[Avg of best 6]])</f>
        <v>4.5</v>
      </c>
      <c r="M252" s="4" cm="1">
        <f t="array" ref="M252">IFERROR(LOOKUP(2,1/(Table1[[#This Row],[2019-May]:[2025-July]]&lt;&gt;0),Table1[[#This Row],[2019-May]:[2025-July]]),0)</f>
        <v>1.5</v>
      </c>
      <c r="N252" s="4">
        <f>COUNTIF(Table1[[#This Row],[2019-Apr]:[2025-July]],"&gt;="&amp;Table1[[#This Row],[Target]])</f>
        <v>0</v>
      </c>
      <c r="O252" s="4">
        <f>IF(Table1[[#This Row],[Outliers 2Y]]=0,1,0)</f>
        <v>1</v>
      </c>
      <c r="P252" s="4">
        <f>IF(Table1[[#This Row],[Last value]]&gt;1.5*Table1[[#This Row],[Target]],1,0)</f>
        <v>0</v>
      </c>
      <c r="Q252" s="4">
        <f>IF(AND(1.5*Table1[[#This Row],[Target]]&gt;=Table1[[#This Row],[Last value]],Table1[[#This Row],[Last value]]&gt;Table1[[#This Row],[Target]]),1,0)</f>
        <v>0</v>
      </c>
      <c r="R252" s="4">
        <f>IF(Table1[[#This Row],[Target]]&gt;=Table1[[#This Row],[Last value]],1,0)</f>
        <v>1</v>
      </c>
      <c r="S252" s="4" t="str">
        <f t="shared" si="6"/>
        <v>Green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 s="34">
        <v>1.5</v>
      </c>
      <c r="CI252">
        <v>0</v>
      </c>
      <c r="CJ252" s="34">
        <v>0</v>
      </c>
      <c r="CK252" s="34">
        <v>0</v>
      </c>
      <c r="CL252" s="34">
        <v>0</v>
      </c>
      <c r="CM252" s="4">
        <v>0</v>
      </c>
      <c r="CN252" s="53">
        <v>0</v>
      </c>
      <c r="CO252" s="54">
        <v>0</v>
      </c>
      <c r="CP252" s="54">
        <v>0</v>
      </c>
      <c r="CQ252" s="4">
        <v>0</v>
      </c>
    </row>
    <row r="253" spans="1:95" x14ac:dyDescent="0.35">
      <c r="A253" s="55">
        <v>252</v>
      </c>
      <c r="B253" t="s">
        <v>99</v>
      </c>
      <c r="C253" s="27" t="s">
        <v>456</v>
      </c>
      <c r="D253" s="3" t="s">
        <v>88</v>
      </c>
      <c r="E253" s="33" t="s">
        <v>91</v>
      </c>
      <c r="F253" s="4">
        <f>IFERROR(AVERAGEIF(Table1[[#This Row],[2019-Apr]:[2025-July]],"&lt;&gt;0"),0)</f>
        <v>2.35</v>
      </c>
      <c r="G253" s="4">
        <f ca="1">IFERROR(AVERAGEIF(OFFSET(Table1[[#This Row],[Status]],0,COUNT(Table1[[#This Row],[2019-May]:[2025-July]]),1,-12),"&lt;&gt;0"),0)</f>
        <v>2.35</v>
      </c>
      <c r="H253" s="55">
        <f>IFERROR(SMALL(Table1[[#This Row],[2019-Apr]:[2025-July]],COUNTIF(Table1[[#This Row],[2019-Apr]:[2025-July]],0)+1),0)</f>
        <v>1.5</v>
      </c>
      <c r="I253" s="55">
        <f>IFERROR(MAX(Table1[[#This Row],[2019-Apr]:[2025-July]]),0)</f>
        <v>3.2</v>
      </c>
      <c r="J253" s="4" cm="1">
        <f t="array" ref="J25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2.35</v>
      </c>
      <c r="K253" s="4">
        <v>4.5</v>
      </c>
      <c r="L253" s="4">
        <f>IF(Table1[[#This Row],[Standard as per ISO]]&gt;=Table1[[#This Row],[Avg of best 6]],Table1[[#This Row],[Standard as per ISO]],Table1[[#This Row],[Avg of best 6]])</f>
        <v>4.5</v>
      </c>
      <c r="M253" s="4" cm="1">
        <f t="array" ref="M253">IFERROR(LOOKUP(2,1/(Table1[[#This Row],[2019-May]:[2025-July]]&lt;&gt;0),Table1[[#This Row],[2019-May]:[2025-July]]),0)</f>
        <v>3.2</v>
      </c>
      <c r="N253" s="4">
        <f>COUNTIF(Table1[[#This Row],[2019-Apr]:[2025-July]],"&gt;="&amp;Table1[[#This Row],[Target]])</f>
        <v>0</v>
      </c>
      <c r="O253" s="4">
        <f>IF(Table1[[#This Row],[Outliers 2Y]]=0,1,0)</f>
        <v>1</v>
      </c>
      <c r="P253" s="4">
        <f>IF(Table1[[#This Row],[Last value]]&gt;1.5*Table1[[#This Row],[Target]],1,0)</f>
        <v>0</v>
      </c>
      <c r="Q253" s="4">
        <f>IF(AND(1.5*Table1[[#This Row],[Target]]&gt;=Table1[[#This Row],[Last value]],Table1[[#This Row],[Last value]]&gt;Table1[[#This Row],[Target]]),1,0)</f>
        <v>0</v>
      </c>
      <c r="R253" s="4">
        <f>IF(Table1[[#This Row],[Target]]&gt;=Table1[[#This Row],[Last value]],1,0)</f>
        <v>1</v>
      </c>
      <c r="S253" s="4" t="str">
        <f t="shared" si="6"/>
        <v>Green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 s="34">
        <v>1.5</v>
      </c>
      <c r="CI253">
        <v>0</v>
      </c>
      <c r="CJ253" s="34">
        <v>0</v>
      </c>
      <c r="CK253" s="34">
        <v>0</v>
      </c>
      <c r="CL253" s="34">
        <v>0</v>
      </c>
      <c r="CM253" s="4">
        <v>0</v>
      </c>
      <c r="CN253" s="53">
        <v>0</v>
      </c>
      <c r="CO253" s="54">
        <v>0</v>
      </c>
      <c r="CP253" s="54">
        <v>3.2</v>
      </c>
      <c r="CQ253" s="4">
        <v>0</v>
      </c>
    </row>
    <row r="254" spans="1:95" x14ac:dyDescent="0.35">
      <c r="A254" s="55">
        <v>253</v>
      </c>
      <c r="B254" t="s">
        <v>99</v>
      </c>
      <c r="C254" s="27" t="s">
        <v>457</v>
      </c>
      <c r="D254" s="3" t="s">
        <v>88</v>
      </c>
      <c r="E254" s="33" t="s">
        <v>95</v>
      </c>
      <c r="F254" s="4">
        <f>IFERROR(AVERAGEIF(Table1[[#This Row],[2019-Apr]:[2025-July]],"&lt;&gt;0"),0)</f>
        <v>1.3</v>
      </c>
      <c r="G254" s="4">
        <f ca="1">IFERROR(AVERAGEIF(OFFSET(Table1[[#This Row],[Status]],0,COUNT(Table1[[#This Row],[2019-May]:[2025-July]]),1,-12),"&lt;&gt;0"),0)</f>
        <v>1.3</v>
      </c>
      <c r="H254" s="55">
        <f>IFERROR(SMALL(Table1[[#This Row],[2019-Apr]:[2025-July]],COUNTIF(Table1[[#This Row],[2019-Apr]:[2025-July]],0)+1),0)</f>
        <v>1.3</v>
      </c>
      <c r="I254" s="55">
        <f>IFERROR(MAX(Table1[[#This Row],[2019-Apr]:[2025-July]]),0)</f>
        <v>1.3</v>
      </c>
      <c r="J254" s="4" cm="1">
        <f t="array" ref="J25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</v>
      </c>
      <c r="K254" s="4">
        <v>4.5</v>
      </c>
      <c r="L254" s="4">
        <f>IF(Table1[[#This Row],[Standard as per ISO]]&gt;=Table1[[#This Row],[Avg of best 6]],Table1[[#This Row],[Standard as per ISO]],Table1[[#This Row],[Avg of best 6]])</f>
        <v>4.5</v>
      </c>
      <c r="M254" s="4" cm="1">
        <f t="array" ref="M254">IFERROR(LOOKUP(2,1/(Table1[[#This Row],[2019-May]:[2025-July]]&lt;&gt;0),Table1[[#This Row],[2019-May]:[2025-July]]),0)</f>
        <v>1.3</v>
      </c>
      <c r="N254" s="4">
        <f>COUNTIF(Table1[[#This Row],[2019-Apr]:[2025-July]],"&gt;="&amp;Table1[[#This Row],[Target]])</f>
        <v>0</v>
      </c>
      <c r="O254" s="4">
        <f>IF(Table1[[#This Row],[Outliers 2Y]]=0,1,0)</f>
        <v>1</v>
      </c>
      <c r="P254" s="4">
        <f>IF(Table1[[#This Row],[Last value]]&gt;1.5*Table1[[#This Row],[Target]],1,0)</f>
        <v>0</v>
      </c>
      <c r="Q254" s="4">
        <f>IF(AND(1.5*Table1[[#This Row],[Target]]&gt;=Table1[[#This Row],[Last value]],Table1[[#This Row],[Last value]]&gt;Table1[[#This Row],[Target]]),1,0)</f>
        <v>0</v>
      </c>
      <c r="R254" s="4">
        <f>IF(Table1[[#This Row],[Target]]&gt;=Table1[[#This Row],[Last value]],1,0)</f>
        <v>1</v>
      </c>
      <c r="S254" s="4" t="str">
        <f t="shared" si="6"/>
        <v>Green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 s="34">
        <v>1.3</v>
      </c>
      <c r="CI254">
        <v>0</v>
      </c>
      <c r="CJ254" s="34">
        <v>0</v>
      </c>
      <c r="CK254" s="34">
        <v>0</v>
      </c>
      <c r="CL254" s="34">
        <v>0</v>
      </c>
      <c r="CM254" s="4">
        <v>0</v>
      </c>
      <c r="CN254" s="53">
        <v>0</v>
      </c>
      <c r="CO254" s="54">
        <v>0</v>
      </c>
      <c r="CP254" s="54">
        <v>0</v>
      </c>
      <c r="CQ254" s="4">
        <v>0</v>
      </c>
    </row>
    <row r="255" spans="1:95" x14ac:dyDescent="0.35">
      <c r="A255" s="55">
        <v>254</v>
      </c>
      <c r="B255" t="s">
        <v>99</v>
      </c>
      <c r="C255" s="27" t="s">
        <v>458</v>
      </c>
      <c r="D255" s="3" t="s">
        <v>88</v>
      </c>
      <c r="E255" s="33" t="s">
        <v>89</v>
      </c>
      <c r="F255" s="4">
        <f>IFERROR(AVERAGEIF(Table1[[#This Row],[2019-Apr]:[2025-July]],"&lt;&gt;0"),0)</f>
        <v>1.48</v>
      </c>
      <c r="G255" s="4">
        <f ca="1">IFERROR(AVERAGEIF(OFFSET(Table1[[#This Row],[Status]],0,COUNT(Table1[[#This Row],[2019-May]:[2025-July]]),1,-12),"&lt;&gt;0"),0)</f>
        <v>1.48</v>
      </c>
      <c r="H255" s="55">
        <f>IFERROR(SMALL(Table1[[#This Row],[2019-Apr]:[2025-July]],COUNTIF(Table1[[#This Row],[2019-Apr]:[2025-July]],0)+1),0)</f>
        <v>1.4</v>
      </c>
      <c r="I255" s="55">
        <f>IFERROR(MAX(Table1[[#This Row],[2019-Apr]:[2025-July]]),0)</f>
        <v>1.56</v>
      </c>
      <c r="J255" s="4" cm="1">
        <f t="array" ref="J25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1.48</v>
      </c>
      <c r="K255" s="4">
        <v>4.5</v>
      </c>
      <c r="L255" s="4">
        <f>IF(Table1[[#This Row],[Standard as per ISO]]&gt;=Table1[[#This Row],[Avg of best 6]],Table1[[#This Row],[Standard as per ISO]],Table1[[#This Row],[Avg of best 6]])</f>
        <v>4.5</v>
      </c>
      <c r="M255" s="4" cm="1">
        <f t="array" ref="M255">IFERROR(LOOKUP(2,1/(Table1[[#This Row],[2019-May]:[2025-July]]&lt;&gt;0),Table1[[#This Row],[2019-May]:[2025-July]]),0)</f>
        <v>1.4</v>
      </c>
      <c r="N255" s="4">
        <f>COUNTIF(Table1[[#This Row],[2019-Apr]:[2025-July]],"&gt;="&amp;Table1[[#This Row],[Target]])</f>
        <v>0</v>
      </c>
      <c r="O255" s="4">
        <f>IF(Table1[[#This Row],[Outliers 2Y]]=0,1,0)</f>
        <v>1</v>
      </c>
      <c r="P255" s="4">
        <f>IF(Table1[[#This Row],[Last value]]&gt;1.5*Table1[[#This Row],[Target]],1,0)</f>
        <v>0</v>
      </c>
      <c r="Q255" s="4">
        <f>IF(AND(1.5*Table1[[#This Row],[Target]]&gt;=Table1[[#This Row],[Last value]],Table1[[#This Row],[Last value]]&gt;Table1[[#This Row],[Target]]),1,0)</f>
        <v>0</v>
      </c>
      <c r="R255" s="4">
        <f>IF(Table1[[#This Row],[Target]]&gt;=Table1[[#This Row],[Last value]],1,0)</f>
        <v>1</v>
      </c>
      <c r="S255" s="4" t="str">
        <f t="shared" si="6"/>
        <v>Green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 s="34">
        <v>0</v>
      </c>
      <c r="CK255" s="34">
        <v>0</v>
      </c>
      <c r="CL255" s="43">
        <v>0</v>
      </c>
      <c r="CM255" s="4">
        <v>0</v>
      </c>
      <c r="CN255" s="53">
        <v>0</v>
      </c>
      <c r="CO255" s="54">
        <v>1.56</v>
      </c>
      <c r="CP255" s="54">
        <v>1.4</v>
      </c>
      <c r="CQ255" s="4">
        <v>0</v>
      </c>
    </row>
    <row r="256" spans="1:95" x14ac:dyDescent="0.35">
      <c r="A256" s="55">
        <v>255</v>
      </c>
      <c r="B256" t="s">
        <v>99</v>
      </c>
      <c r="C256" s="27" t="s">
        <v>459</v>
      </c>
      <c r="D256" s="3" t="s">
        <v>94</v>
      </c>
      <c r="E256" s="33" t="s">
        <v>89</v>
      </c>
      <c r="F256" s="4">
        <f>IFERROR(AVERAGEIF(Table1[[#This Row],[2019-Apr]:[2025-July]],"&lt;&gt;0"),0)</f>
        <v>1.9000000000000001</v>
      </c>
      <c r="G256" s="4">
        <f ca="1">IFERROR(AVERAGEIF(OFFSET(Table1[[#This Row],[Status]],0,COUNT(Table1[[#This Row],[2019-May]:[2025-July]]),1,-12),"&lt;&gt;0"),0)</f>
        <v>1.9000000000000001</v>
      </c>
      <c r="H256" s="55">
        <f>IFERROR(SMALL(Table1[[#This Row],[2019-Apr]:[2025-July]],COUNTIF(Table1[[#This Row],[2019-Apr]:[2025-July]],0)+1),0)</f>
        <v>1.6</v>
      </c>
      <c r="I256" s="55">
        <f>IFERROR(MAX(Table1[[#This Row],[2019-Apr]:[2025-July]]),0)</f>
        <v>2.2000000000000002</v>
      </c>
      <c r="J256" s="4" cm="1">
        <f t="array" ref="J25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1.9000000000000001</v>
      </c>
      <c r="K256" s="4">
        <v>4.5</v>
      </c>
      <c r="L256" s="4">
        <f>IF(Table1[[#This Row],[Standard as per ISO]]&gt;=Table1[[#This Row],[Avg of best 6]],Table1[[#This Row],[Standard as per ISO]],Table1[[#This Row],[Avg of best 6]])</f>
        <v>4.5</v>
      </c>
      <c r="M256" s="4" cm="1">
        <f t="array" ref="M256">IFERROR(LOOKUP(2,1/(Table1[[#This Row],[2019-May]:[2025-July]]&lt;&gt;0),Table1[[#This Row],[2019-May]:[2025-July]]),0)</f>
        <v>2.2000000000000002</v>
      </c>
      <c r="N256" s="4">
        <f>COUNTIF(Table1[[#This Row],[2019-Apr]:[2025-July]],"&gt;="&amp;Table1[[#This Row],[Target]])</f>
        <v>0</v>
      </c>
      <c r="O256" s="4">
        <f>IF(Table1[[#This Row],[Outliers 2Y]]=0,1,0)</f>
        <v>1</v>
      </c>
      <c r="P256" s="4">
        <f>IF(Table1[[#This Row],[Last value]]&gt;1.5*Table1[[#This Row],[Target]],1,0)</f>
        <v>0</v>
      </c>
      <c r="Q256" s="4">
        <f>IF(AND(1.5*Table1[[#This Row],[Target]]&gt;=Table1[[#This Row],[Last value]],Table1[[#This Row],[Last value]]&gt;Table1[[#This Row],[Target]]),1,0)</f>
        <v>0</v>
      </c>
      <c r="R256" s="4">
        <f>IF(Table1[[#This Row],[Target]]&gt;=Table1[[#This Row],[Last value]],1,0)</f>
        <v>1</v>
      </c>
      <c r="S256" s="4" t="str">
        <f t="shared" si="6"/>
        <v>Green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 s="34">
        <v>0</v>
      </c>
      <c r="CK256" s="34">
        <v>1.6</v>
      </c>
      <c r="CL256" s="43">
        <v>2.2000000000000002</v>
      </c>
      <c r="CM256" s="4">
        <v>0</v>
      </c>
      <c r="CN256" s="53">
        <v>0</v>
      </c>
      <c r="CO256" s="54">
        <v>0</v>
      </c>
      <c r="CP256" s="54">
        <v>0</v>
      </c>
      <c r="CQ256" s="4">
        <v>0</v>
      </c>
    </row>
    <row r="257" spans="1:95" x14ac:dyDescent="0.35">
      <c r="A257" s="55">
        <v>256</v>
      </c>
      <c r="B257" t="s">
        <v>99</v>
      </c>
      <c r="C257" s="27" t="s">
        <v>460</v>
      </c>
      <c r="D257" s="3" t="s">
        <v>94</v>
      </c>
      <c r="E257" s="33" t="s">
        <v>89</v>
      </c>
      <c r="F257" s="4">
        <f>IFERROR(AVERAGEIF(Table1[[#This Row],[2019-Apr]:[2025-July]],"&lt;&gt;0"),0)</f>
        <v>1.9750000000000001</v>
      </c>
      <c r="G257" s="4">
        <f ca="1">IFERROR(AVERAGEIF(OFFSET(Table1[[#This Row],[Status]],0,COUNT(Table1[[#This Row],[2019-May]:[2025-July]]),1,-12),"&lt;&gt;0"),0)</f>
        <v>1.9750000000000001</v>
      </c>
      <c r="H257" s="55">
        <f>IFERROR(SMALL(Table1[[#This Row],[2019-Apr]:[2025-July]],COUNTIF(Table1[[#This Row],[2019-Apr]:[2025-July]],0)+1),0)</f>
        <v>1.75</v>
      </c>
      <c r="I257" s="55">
        <f>IFERROR(MAX(Table1[[#This Row],[2019-Apr]:[2025-July]]),0)</f>
        <v>2.2000000000000002</v>
      </c>
      <c r="J257" s="4" cm="1">
        <f t="array" ref="J25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1.9750000000000001</v>
      </c>
      <c r="K257" s="4">
        <v>4.5</v>
      </c>
      <c r="L257" s="4">
        <f>IF(Table1[[#This Row],[Standard as per ISO]]&gt;=Table1[[#This Row],[Avg of best 6]],Table1[[#This Row],[Standard as per ISO]],Table1[[#This Row],[Avg of best 6]])</f>
        <v>4.5</v>
      </c>
      <c r="M257" s="4" cm="1">
        <f t="array" ref="M257">IFERROR(LOOKUP(2,1/(Table1[[#This Row],[2019-May]:[2025-July]]&lt;&gt;0),Table1[[#This Row],[2019-May]:[2025-July]]),0)</f>
        <v>1.75</v>
      </c>
      <c r="N257" s="4">
        <f>COUNTIF(Table1[[#This Row],[2019-Apr]:[2025-July]],"&gt;="&amp;Table1[[#This Row],[Target]])</f>
        <v>0</v>
      </c>
      <c r="O257" s="4">
        <f>IF(Table1[[#This Row],[Outliers 2Y]]=0,1,0)</f>
        <v>1</v>
      </c>
      <c r="P257" s="4">
        <f>IF(Table1[[#This Row],[Last value]]&gt;1.5*Table1[[#This Row],[Target]],1,0)</f>
        <v>0</v>
      </c>
      <c r="Q257" s="4">
        <f>IF(AND(1.5*Table1[[#This Row],[Target]]&gt;=Table1[[#This Row],[Last value]],Table1[[#This Row],[Last value]]&gt;Table1[[#This Row],[Target]]),1,0)</f>
        <v>0</v>
      </c>
      <c r="R257" s="4">
        <f>IF(Table1[[#This Row],[Target]]&gt;=Table1[[#This Row],[Last value]],1,0)</f>
        <v>1</v>
      </c>
      <c r="S257" s="4" t="str">
        <f t="shared" si="6"/>
        <v>Green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 s="34">
        <v>0</v>
      </c>
      <c r="CK257" s="34">
        <v>0</v>
      </c>
      <c r="CL257" s="43">
        <v>0</v>
      </c>
      <c r="CM257" s="4">
        <v>2.2000000000000002</v>
      </c>
      <c r="CN257" s="53">
        <v>0</v>
      </c>
      <c r="CO257" s="54">
        <v>0</v>
      </c>
      <c r="CP257" s="54">
        <v>1.75</v>
      </c>
      <c r="CQ257" s="4">
        <v>0</v>
      </c>
    </row>
    <row r="258" spans="1:95" x14ac:dyDescent="0.35">
      <c r="A258" s="55">
        <v>257</v>
      </c>
      <c r="B258" t="s">
        <v>99</v>
      </c>
      <c r="C258" s="27" t="s">
        <v>461</v>
      </c>
      <c r="D258" s="3" t="s">
        <v>94</v>
      </c>
      <c r="E258" s="33" t="s">
        <v>89</v>
      </c>
      <c r="F258" s="4">
        <f>IFERROR(AVERAGEIF(Table1[[#This Row],[2019-Apr]:[2025-July]],"&lt;&gt;0"),0)</f>
        <v>3.7750000000000004</v>
      </c>
      <c r="G258" s="4">
        <f ca="1">IFERROR(AVERAGEIF(OFFSET(Table1[[#This Row],[Status]],0,COUNT(Table1[[#This Row],[2019-May]:[2025-July]]),1,-12),"&lt;&gt;0"),0)</f>
        <v>3.7750000000000004</v>
      </c>
      <c r="H258" s="55">
        <f>IFERROR(SMALL(Table1[[#This Row],[2019-Apr]:[2025-July]],COUNTIF(Table1[[#This Row],[2019-Apr]:[2025-July]],0)+1),0)</f>
        <v>2.8</v>
      </c>
      <c r="I258" s="55">
        <f>IFERROR(MAX(Table1[[#This Row],[2019-Apr]:[2025-July]]),0)</f>
        <v>4.8</v>
      </c>
      <c r="J258" s="4" cm="1">
        <f t="array" ref="J25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3.7750000000000004</v>
      </c>
      <c r="K258" s="4">
        <v>4.5</v>
      </c>
      <c r="L258" s="4">
        <f>IF(Table1[[#This Row],[Standard as per ISO]]&gt;=Table1[[#This Row],[Avg of best 6]],Table1[[#This Row],[Standard as per ISO]],Table1[[#This Row],[Avg of best 6]])</f>
        <v>4.5</v>
      </c>
      <c r="M258" s="4" cm="1">
        <f t="array" ref="M258">IFERROR(LOOKUP(2,1/(Table1[[#This Row],[2019-May]:[2025-July]]&lt;&gt;0),Table1[[#This Row],[2019-May]:[2025-July]]),0)</f>
        <v>4.3</v>
      </c>
      <c r="N258" s="4">
        <f>COUNTIF(Table1[[#This Row],[2019-Apr]:[2025-July]],"&gt;="&amp;Table1[[#This Row],[Target]])</f>
        <v>1</v>
      </c>
      <c r="O258" s="4">
        <f>IF(Table1[[#This Row],[Outliers 2Y]]=0,1,0)</f>
        <v>0</v>
      </c>
      <c r="P258" s="4">
        <f>IF(Table1[[#This Row],[Last value]]&gt;1.5*Table1[[#This Row],[Target]],1,0)</f>
        <v>0</v>
      </c>
      <c r="Q258" s="4">
        <f>IF(AND(1.5*Table1[[#This Row],[Target]]&gt;=Table1[[#This Row],[Last value]],Table1[[#This Row],[Last value]]&gt;Table1[[#This Row],[Target]]),1,0)</f>
        <v>0</v>
      </c>
      <c r="R258" s="4">
        <f>IF(Table1[[#This Row],[Target]]&gt;=Table1[[#This Row],[Last value]],1,0)</f>
        <v>1</v>
      </c>
      <c r="S258" s="4" t="str">
        <f t="shared" si="6"/>
        <v>Green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 s="34">
        <v>0</v>
      </c>
      <c r="CK258" s="34">
        <v>2.8</v>
      </c>
      <c r="CL258" s="43">
        <v>3.2</v>
      </c>
      <c r="CM258" s="4">
        <v>4.8</v>
      </c>
      <c r="CN258" s="53">
        <v>0</v>
      </c>
      <c r="CO258" s="54">
        <v>0</v>
      </c>
      <c r="CP258" s="54">
        <v>4.3</v>
      </c>
      <c r="CQ258" s="4">
        <v>0</v>
      </c>
    </row>
    <row r="259" spans="1:95" x14ac:dyDescent="0.35">
      <c r="A259" s="55">
        <v>258</v>
      </c>
      <c r="B259" t="s">
        <v>99</v>
      </c>
      <c r="C259" s="27" t="s">
        <v>462</v>
      </c>
      <c r="D259" s="3" t="s">
        <v>94</v>
      </c>
      <c r="E259" s="33" t="s">
        <v>89</v>
      </c>
      <c r="F259" s="4">
        <f>IFERROR(AVERAGEIF(Table1[[#This Row],[2019-Apr]:[2025-July]],"&lt;&gt;0"),0)</f>
        <v>3.3</v>
      </c>
      <c r="G259" s="4">
        <f ca="1">IFERROR(AVERAGEIF(OFFSET(Table1[[#This Row],[Status]],0,COUNT(Table1[[#This Row],[2019-May]:[2025-July]]),1,-12),"&lt;&gt;0"),0)</f>
        <v>3.3</v>
      </c>
      <c r="H259" s="55">
        <f>IFERROR(SMALL(Table1[[#This Row],[2019-Apr]:[2025-July]],COUNTIF(Table1[[#This Row],[2019-Apr]:[2025-July]],0)+1),0)</f>
        <v>3.3</v>
      </c>
      <c r="I259" s="55">
        <f>IFERROR(MAX(Table1[[#This Row],[2019-Apr]:[2025-July]]),0)</f>
        <v>3.3</v>
      </c>
      <c r="J259" s="4" cm="1">
        <f t="array" ref="J25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</v>
      </c>
      <c r="K259" s="4">
        <v>4.5</v>
      </c>
      <c r="L259" s="4">
        <f>IF(Table1[[#This Row],[Standard as per ISO]]&gt;=Table1[[#This Row],[Avg of best 6]],Table1[[#This Row],[Standard as per ISO]],Table1[[#This Row],[Avg of best 6]])</f>
        <v>4.5</v>
      </c>
      <c r="M259" s="4" cm="1">
        <f t="array" ref="M259">IFERROR(LOOKUP(2,1/(Table1[[#This Row],[2019-May]:[2025-July]]&lt;&gt;0),Table1[[#This Row],[2019-May]:[2025-July]]),0)</f>
        <v>3.3</v>
      </c>
      <c r="N259" s="4">
        <f>COUNTIF(Table1[[#This Row],[2019-Apr]:[2025-July]],"&gt;="&amp;Table1[[#This Row],[Target]])</f>
        <v>0</v>
      </c>
      <c r="O259" s="4">
        <f>IF(Table1[[#This Row],[Outliers 2Y]]=0,1,0)</f>
        <v>1</v>
      </c>
      <c r="P259" s="4">
        <f>IF(Table1[[#This Row],[Last value]]&gt;1.5*Table1[[#This Row],[Target]],1,0)</f>
        <v>0</v>
      </c>
      <c r="Q259" s="4">
        <f>IF(AND(1.5*Table1[[#This Row],[Target]]&gt;=Table1[[#This Row],[Last value]],Table1[[#This Row],[Last value]]&gt;Table1[[#This Row],[Target]]),1,0)</f>
        <v>0</v>
      </c>
      <c r="R259" s="4">
        <f>IF(Table1[[#This Row],[Target]]&gt;=Table1[[#This Row],[Last value]],1,0)</f>
        <v>1</v>
      </c>
      <c r="S259" s="4" t="str">
        <f t="shared" si="6"/>
        <v>Green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 s="34">
        <v>0</v>
      </c>
      <c r="CK259" s="34">
        <v>3.3</v>
      </c>
      <c r="CL259" s="43">
        <v>0</v>
      </c>
      <c r="CM259" s="4">
        <v>0</v>
      </c>
      <c r="CN259" s="53">
        <v>0</v>
      </c>
      <c r="CO259" s="54">
        <v>0</v>
      </c>
      <c r="CP259" s="54">
        <v>0</v>
      </c>
      <c r="CQ259" s="4">
        <v>0</v>
      </c>
    </row>
    <row r="260" spans="1:95" x14ac:dyDescent="0.35">
      <c r="A260" s="55">
        <v>259</v>
      </c>
      <c r="B260" t="s">
        <v>99</v>
      </c>
      <c r="C260" s="27" t="s">
        <v>463</v>
      </c>
      <c r="D260" s="3" t="s">
        <v>94</v>
      </c>
      <c r="E260" s="33" t="s">
        <v>89</v>
      </c>
      <c r="F260" s="4">
        <f>IFERROR(AVERAGEIF(Table1[[#This Row],[2019-Apr]:[2025-July]],"&lt;&gt;0"),0)</f>
        <v>0</v>
      </c>
      <c r="G260" s="4">
        <f ca="1">IFERROR(AVERAGEIF(OFFSET(Table1[[#This Row],[Status]],0,COUNT(Table1[[#This Row],[2019-May]:[2025-July]]),1,-12),"&lt;&gt;0"),0)</f>
        <v>0</v>
      </c>
      <c r="H260" s="55">
        <f>IFERROR(SMALL(Table1[[#This Row],[2019-Apr]:[2025-July]],COUNTIF(Table1[[#This Row],[2019-Apr]:[2025-July]],0)+1),0)</f>
        <v>0</v>
      </c>
      <c r="I260" s="55">
        <f>IFERROR(MAX(Table1[[#This Row],[2019-Apr]:[2025-July]]),0)</f>
        <v>0</v>
      </c>
      <c r="J260" s="4" cm="1">
        <f t="array" ref="J26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260" s="4">
        <v>4.5</v>
      </c>
      <c r="L260" s="4">
        <f>IF(Table1[[#This Row],[Standard as per ISO]]&gt;=Table1[[#This Row],[Avg of best 6]],Table1[[#This Row],[Standard as per ISO]],Table1[[#This Row],[Avg of best 6]])</f>
        <v>4.5</v>
      </c>
      <c r="M260" s="4" cm="1">
        <f t="array" ref="M260">IFERROR(LOOKUP(2,1/(Table1[[#This Row],[2019-May]:[2025-July]]&lt;&gt;0),Table1[[#This Row],[2019-May]:[2025-July]]),0)</f>
        <v>0</v>
      </c>
      <c r="N260" s="4">
        <f>COUNTIF(Table1[[#This Row],[2019-Apr]:[2025-July]],"&gt;="&amp;Table1[[#This Row],[Target]])</f>
        <v>0</v>
      </c>
      <c r="O260" s="4">
        <f>IF(Table1[[#This Row],[Outliers 2Y]]=0,1,0)</f>
        <v>1</v>
      </c>
      <c r="P260" s="4">
        <f>IF(Table1[[#This Row],[Last value]]&gt;1.5*Table1[[#This Row],[Target]],1,0)</f>
        <v>0</v>
      </c>
      <c r="Q260" s="4">
        <f>IF(AND(1.5*Table1[[#This Row],[Target]]&gt;=Table1[[#This Row],[Last value]],Table1[[#This Row],[Last value]]&gt;Table1[[#This Row],[Target]]),1,0)</f>
        <v>0</v>
      </c>
      <c r="R260" s="4">
        <f>IF(Table1[[#This Row],[Target]]&gt;=Table1[[#This Row],[Last value]],1,0)</f>
        <v>1</v>
      </c>
      <c r="S260" s="4" t="str">
        <f t="shared" si="6"/>
        <v>Green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 s="34">
        <v>0</v>
      </c>
      <c r="CK260" s="34">
        <v>0</v>
      </c>
      <c r="CL260" s="43">
        <v>0</v>
      </c>
      <c r="CM260" s="4">
        <v>0</v>
      </c>
      <c r="CN260" s="53">
        <v>0</v>
      </c>
      <c r="CO260" s="54">
        <v>0</v>
      </c>
      <c r="CP260" s="54">
        <v>0</v>
      </c>
      <c r="CQ260" s="4">
        <v>0</v>
      </c>
    </row>
    <row r="261" spans="1:95" x14ac:dyDescent="0.35">
      <c r="A261" s="55">
        <v>260</v>
      </c>
      <c r="B261" t="s">
        <v>99</v>
      </c>
      <c r="C261" s="27" t="s">
        <v>464</v>
      </c>
      <c r="D261" s="3" t="s">
        <v>94</v>
      </c>
      <c r="E261" s="33" t="s">
        <v>89</v>
      </c>
      <c r="F261" s="4">
        <f>IFERROR(AVERAGEIF(Table1[[#This Row],[2019-Apr]:[2025-July]],"&lt;&gt;0"),0)</f>
        <v>0</v>
      </c>
      <c r="G261" s="4">
        <f ca="1">IFERROR(AVERAGEIF(OFFSET(Table1[[#This Row],[Status]],0,COUNT(Table1[[#This Row],[2019-May]:[2025-July]]),1,-12),"&lt;&gt;0"),0)</f>
        <v>0</v>
      </c>
      <c r="H261" s="55">
        <f>IFERROR(SMALL(Table1[[#This Row],[2019-Apr]:[2025-July]],COUNTIF(Table1[[#This Row],[2019-Apr]:[2025-July]],0)+1),0)</f>
        <v>0</v>
      </c>
      <c r="I261" s="55">
        <f>IFERROR(MAX(Table1[[#This Row],[2019-Apr]:[2025-July]]),0)</f>
        <v>0</v>
      </c>
      <c r="J261" s="4" cm="1">
        <f t="array" ref="J26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261" s="4">
        <v>4.5</v>
      </c>
      <c r="L261" s="4">
        <f>IF(Table1[[#This Row],[Standard as per ISO]]&gt;=Table1[[#This Row],[Avg of best 6]],Table1[[#This Row],[Standard as per ISO]],Table1[[#This Row],[Avg of best 6]])</f>
        <v>4.5</v>
      </c>
      <c r="M261" s="4" cm="1">
        <f t="array" ref="M261">IFERROR(LOOKUP(2,1/(Table1[[#This Row],[2019-May]:[2025-July]]&lt;&gt;0),Table1[[#This Row],[2019-May]:[2025-July]]),0)</f>
        <v>0</v>
      </c>
      <c r="N261" s="4">
        <f>COUNTIF(Table1[[#This Row],[2019-Apr]:[2025-July]],"&gt;="&amp;Table1[[#This Row],[Target]])</f>
        <v>0</v>
      </c>
      <c r="O261" s="4">
        <f>IF(Table1[[#This Row],[Outliers 2Y]]=0,1,0)</f>
        <v>1</v>
      </c>
      <c r="P261" s="4">
        <f>IF(Table1[[#This Row],[Last value]]&gt;1.5*Table1[[#This Row],[Target]],1,0)</f>
        <v>0</v>
      </c>
      <c r="Q261" s="4">
        <f>IF(AND(1.5*Table1[[#This Row],[Target]]&gt;=Table1[[#This Row],[Last value]],Table1[[#This Row],[Last value]]&gt;Table1[[#This Row],[Target]]),1,0)</f>
        <v>0</v>
      </c>
      <c r="R261" s="4">
        <f>IF(Table1[[#This Row],[Target]]&gt;=Table1[[#This Row],[Last value]],1,0)</f>
        <v>1</v>
      </c>
      <c r="S261" s="4" t="str">
        <f t="shared" si="6"/>
        <v>Green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 s="34">
        <v>0</v>
      </c>
      <c r="CK261" s="34">
        <v>0</v>
      </c>
      <c r="CL261" s="43">
        <v>0</v>
      </c>
      <c r="CM261" s="4">
        <v>0</v>
      </c>
      <c r="CN261" s="53">
        <v>0</v>
      </c>
      <c r="CO261" s="54">
        <v>0</v>
      </c>
      <c r="CP261" s="54">
        <v>0</v>
      </c>
      <c r="CQ261" s="4">
        <v>0</v>
      </c>
    </row>
    <row r="262" spans="1:95" x14ac:dyDescent="0.35">
      <c r="A262" s="55">
        <v>261</v>
      </c>
      <c r="B262" t="s">
        <v>99</v>
      </c>
      <c r="C262" s="27" t="s">
        <v>465</v>
      </c>
      <c r="D262" s="3" t="s">
        <v>94</v>
      </c>
      <c r="E262" s="33" t="s">
        <v>89</v>
      </c>
      <c r="F262" s="4">
        <f>IFERROR(AVERAGEIF(Table1[[#This Row],[2019-Apr]:[2025-July]],"&lt;&gt;0"),0)</f>
        <v>0</v>
      </c>
      <c r="G262" s="4">
        <f ca="1">IFERROR(AVERAGEIF(OFFSET(Table1[[#This Row],[Status]],0,COUNT(Table1[[#This Row],[2019-May]:[2025-July]]),1,-12),"&lt;&gt;0"),0)</f>
        <v>0</v>
      </c>
      <c r="H262" s="55">
        <f>IFERROR(SMALL(Table1[[#This Row],[2019-Apr]:[2025-July]],COUNTIF(Table1[[#This Row],[2019-Apr]:[2025-July]],0)+1),0)</f>
        <v>0</v>
      </c>
      <c r="I262" s="55">
        <f>IFERROR(MAX(Table1[[#This Row],[2019-Apr]:[2025-July]]),0)</f>
        <v>0</v>
      </c>
      <c r="J262" s="4" cm="1">
        <f t="array" ref="J26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262" s="4">
        <v>4.5</v>
      </c>
      <c r="L262" s="4">
        <f>IF(Table1[[#This Row],[Standard as per ISO]]&gt;=Table1[[#This Row],[Avg of best 6]],Table1[[#This Row],[Standard as per ISO]],Table1[[#This Row],[Avg of best 6]])</f>
        <v>4.5</v>
      </c>
      <c r="M262" s="4" cm="1">
        <f t="array" ref="M262">IFERROR(LOOKUP(2,1/(Table1[[#This Row],[2019-May]:[2025-July]]&lt;&gt;0),Table1[[#This Row],[2019-May]:[2025-July]]),0)</f>
        <v>0</v>
      </c>
      <c r="N262" s="4">
        <f>COUNTIF(Table1[[#This Row],[2019-Apr]:[2025-July]],"&gt;="&amp;Table1[[#This Row],[Target]])</f>
        <v>0</v>
      </c>
      <c r="O262" s="4">
        <f>IF(Table1[[#This Row],[Outliers 2Y]]=0,1,0)</f>
        <v>1</v>
      </c>
      <c r="P262" s="4">
        <f>IF(Table1[[#This Row],[Last value]]&gt;1.5*Table1[[#This Row],[Target]],1,0)</f>
        <v>0</v>
      </c>
      <c r="Q262" s="4">
        <f>IF(AND(1.5*Table1[[#This Row],[Target]]&gt;=Table1[[#This Row],[Last value]],Table1[[#This Row],[Last value]]&gt;Table1[[#This Row],[Target]]),1,0)</f>
        <v>0</v>
      </c>
      <c r="R262" s="4">
        <f>IF(Table1[[#This Row],[Target]]&gt;=Table1[[#This Row],[Last value]],1,0)</f>
        <v>1</v>
      </c>
      <c r="S262" s="4" t="str">
        <f t="shared" si="6"/>
        <v>Green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 s="34">
        <v>0</v>
      </c>
      <c r="CK262" s="34">
        <v>0</v>
      </c>
      <c r="CL262" s="43">
        <v>0</v>
      </c>
      <c r="CM262" s="4">
        <v>0</v>
      </c>
      <c r="CN262" s="53">
        <v>0</v>
      </c>
      <c r="CO262" s="54">
        <v>0</v>
      </c>
      <c r="CP262" s="54">
        <v>0</v>
      </c>
      <c r="CQ262" s="4">
        <v>0</v>
      </c>
    </row>
    <row r="263" spans="1:95" x14ac:dyDescent="0.35">
      <c r="A263" s="55">
        <v>262</v>
      </c>
      <c r="B263" t="s">
        <v>99</v>
      </c>
      <c r="C263" s="27" t="s">
        <v>466</v>
      </c>
      <c r="D263" s="3" t="s">
        <v>94</v>
      </c>
      <c r="E263" s="33" t="s">
        <v>89</v>
      </c>
      <c r="F263" s="4">
        <f>IFERROR(AVERAGEIF(Table1[[#This Row],[2019-Apr]:[2025-July]],"&lt;&gt;0"),0)</f>
        <v>0</v>
      </c>
      <c r="G263" s="4">
        <f ca="1">IFERROR(AVERAGEIF(OFFSET(Table1[[#This Row],[Status]],0,COUNT(Table1[[#This Row],[2019-May]:[2025-July]]),1,-12),"&lt;&gt;0"),0)</f>
        <v>0</v>
      </c>
      <c r="H263" s="55">
        <f>IFERROR(SMALL(Table1[[#This Row],[2019-Apr]:[2025-July]],COUNTIF(Table1[[#This Row],[2019-Apr]:[2025-July]],0)+1),0)</f>
        <v>0</v>
      </c>
      <c r="I263" s="55">
        <f>IFERROR(MAX(Table1[[#This Row],[2019-Apr]:[2025-July]]),0)</f>
        <v>0</v>
      </c>
      <c r="J263" s="4" cm="1">
        <f t="array" ref="J26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263" s="4">
        <v>4.5</v>
      </c>
      <c r="L263" s="4">
        <f>IF(Table1[[#This Row],[Standard as per ISO]]&gt;=Table1[[#This Row],[Avg of best 6]],Table1[[#This Row],[Standard as per ISO]],Table1[[#This Row],[Avg of best 6]])</f>
        <v>4.5</v>
      </c>
      <c r="M263" s="4" cm="1">
        <f t="array" ref="M263">IFERROR(LOOKUP(2,1/(Table1[[#This Row],[2019-May]:[2025-July]]&lt;&gt;0),Table1[[#This Row],[2019-May]:[2025-July]]),0)</f>
        <v>0</v>
      </c>
      <c r="N263" s="4">
        <f>COUNTIF(Table1[[#This Row],[2019-Apr]:[2025-July]],"&gt;="&amp;Table1[[#This Row],[Target]])</f>
        <v>0</v>
      </c>
      <c r="O263" s="4">
        <f>IF(Table1[[#This Row],[Outliers 2Y]]=0,1,0)</f>
        <v>1</v>
      </c>
      <c r="P263" s="4">
        <f>IF(Table1[[#This Row],[Last value]]&gt;1.5*Table1[[#This Row],[Target]],1,0)</f>
        <v>0</v>
      </c>
      <c r="Q263" s="4">
        <f>IF(AND(1.5*Table1[[#This Row],[Target]]&gt;=Table1[[#This Row],[Last value]],Table1[[#This Row],[Last value]]&gt;Table1[[#This Row],[Target]]),1,0)</f>
        <v>0</v>
      </c>
      <c r="R263" s="4">
        <f>IF(Table1[[#This Row],[Target]]&gt;=Table1[[#This Row],[Last value]],1,0)</f>
        <v>1</v>
      </c>
      <c r="S263" s="4" t="str">
        <f t="shared" si="6"/>
        <v>Green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 s="34">
        <v>0</v>
      </c>
      <c r="CK263" s="34">
        <v>0</v>
      </c>
      <c r="CL263" s="43">
        <v>0</v>
      </c>
      <c r="CM263" s="4">
        <v>0</v>
      </c>
      <c r="CN263" s="53">
        <v>0</v>
      </c>
      <c r="CO263" s="54">
        <v>0</v>
      </c>
      <c r="CP263" s="54">
        <v>0</v>
      </c>
      <c r="CQ263" s="4">
        <v>0</v>
      </c>
    </row>
    <row r="264" spans="1:95" x14ac:dyDescent="0.35">
      <c r="A264" s="55">
        <v>263</v>
      </c>
      <c r="B264" t="s">
        <v>99</v>
      </c>
      <c r="C264" s="27" t="s">
        <v>467</v>
      </c>
      <c r="D264" s="3" t="s">
        <v>94</v>
      </c>
      <c r="E264" s="33" t="s">
        <v>89</v>
      </c>
      <c r="F264" s="4">
        <f>IFERROR(AVERAGEIF(Table1[[#This Row],[2019-Apr]:[2025-July]],"&lt;&gt;0"),0)</f>
        <v>2.8</v>
      </c>
      <c r="G264" s="4">
        <f ca="1">IFERROR(AVERAGEIF(OFFSET(Table1[[#This Row],[Status]],0,COUNT(Table1[[#This Row],[2019-May]:[2025-July]]),1,-12),"&lt;&gt;0"),0)</f>
        <v>2.8</v>
      </c>
      <c r="H264" s="55">
        <f>IFERROR(SMALL(Table1[[#This Row],[2019-Apr]:[2025-July]],COUNTIF(Table1[[#This Row],[2019-Apr]:[2025-July]],0)+1),0)</f>
        <v>2</v>
      </c>
      <c r="I264" s="55">
        <f>IFERROR(MAX(Table1[[#This Row],[2019-Apr]:[2025-July]]),0)</f>
        <v>4.4000000000000004</v>
      </c>
      <c r="J264" s="4" cm="1">
        <f t="array" ref="J26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</v>
      </c>
      <c r="K264" s="4">
        <v>4.5</v>
      </c>
      <c r="L264" s="4">
        <f>IF(Table1[[#This Row],[Standard as per ISO]]&gt;=Table1[[#This Row],[Avg of best 6]],Table1[[#This Row],[Standard as per ISO]],Table1[[#This Row],[Avg of best 6]])</f>
        <v>4.5</v>
      </c>
      <c r="M264" s="4" cm="1">
        <f t="array" ref="M264">IFERROR(LOOKUP(2,1/(Table1[[#This Row],[2019-May]:[2025-July]]&lt;&gt;0),Table1[[#This Row],[2019-May]:[2025-July]]),0)</f>
        <v>4.4000000000000004</v>
      </c>
      <c r="N264" s="4">
        <f>COUNTIF(Table1[[#This Row],[2019-Apr]:[2025-July]],"&gt;="&amp;Table1[[#This Row],[Target]])</f>
        <v>0</v>
      </c>
      <c r="O264" s="4">
        <f>IF(Table1[[#This Row],[Outliers 2Y]]=0,1,0)</f>
        <v>1</v>
      </c>
      <c r="P264" s="4">
        <f>IF(Table1[[#This Row],[Last value]]&gt;1.5*Table1[[#This Row],[Target]],1,0)</f>
        <v>0</v>
      </c>
      <c r="Q264" s="4">
        <f>IF(AND(1.5*Table1[[#This Row],[Target]]&gt;=Table1[[#This Row],[Last value]],Table1[[#This Row],[Last value]]&gt;Table1[[#This Row],[Target]]),1,0)</f>
        <v>0</v>
      </c>
      <c r="R264" s="4">
        <f>IF(Table1[[#This Row],[Target]]&gt;=Table1[[#This Row],[Last value]],1,0)</f>
        <v>1</v>
      </c>
      <c r="S264" s="4" t="str">
        <f t="shared" si="6"/>
        <v>Green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 s="34">
        <v>0</v>
      </c>
      <c r="CK264" s="34">
        <v>2.5</v>
      </c>
      <c r="CL264" s="43">
        <v>2</v>
      </c>
      <c r="CM264" s="4">
        <v>2.2999999999999998</v>
      </c>
      <c r="CN264" s="53">
        <v>0</v>
      </c>
      <c r="CO264" s="54">
        <v>0</v>
      </c>
      <c r="CP264" s="54">
        <v>4.4000000000000004</v>
      </c>
      <c r="CQ264" s="4">
        <v>0</v>
      </c>
    </row>
    <row r="265" spans="1:95" x14ac:dyDescent="0.35">
      <c r="A265" s="55">
        <v>264</v>
      </c>
      <c r="B265" t="s">
        <v>99</v>
      </c>
      <c r="C265" s="27" t="s">
        <v>468</v>
      </c>
      <c r="D265" s="3" t="s">
        <v>94</v>
      </c>
      <c r="E265" s="33" t="s">
        <v>89</v>
      </c>
      <c r="F265" s="4">
        <f>IFERROR(AVERAGEIF(Table1[[#This Row],[2019-Apr]:[2025-July]],"&lt;&gt;0"),0)</f>
        <v>1.5559999999999998</v>
      </c>
      <c r="G265" s="4">
        <f ca="1">IFERROR(AVERAGEIF(OFFSET(Table1[[#This Row],[Status]],0,COUNT(Table1[[#This Row],[2019-May]:[2025-July]]),1,-12),"&lt;&gt;0"),0)</f>
        <v>1.67</v>
      </c>
      <c r="H265" s="55">
        <f>IFERROR(SMALL(Table1[[#This Row],[2019-Apr]:[2025-July]],COUNTIF(Table1[[#This Row],[2019-Apr]:[2025-July]],0)+1),0)</f>
        <v>1.0900000000000001</v>
      </c>
      <c r="I265" s="55">
        <f>IFERROR(MAX(Table1[[#This Row],[2019-Apr]:[2025-July]]),0)</f>
        <v>2.2000000000000002</v>
      </c>
      <c r="J265" s="4" cm="1">
        <f t="array" ref="J26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1.5559999999999998</v>
      </c>
      <c r="K265" s="4">
        <v>4.5</v>
      </c>
      <c r="L265" s="4">
        <f>IF(Table1[[#This Row],[Standard as per ISO]]&gt;=Table1[[#This Row],[Avg of best 6]],Table1[[#This Row],[Standard as per ISO]],Table1[[#This Row],[Avg of best 6]])</f>
        <v>4.5</v>
      </c>
      <c r="M265" s="4" cm="1">
        <f t="array" ref="M265">IFERROR(LOOKUP(2,1/(Table1[[#This Row],[2019-May]:[2025-July]]&lt;&gt;0),Table1[[#This Row],[2019-May]:[2025-July]]),0)</f>
        <v>1.1000000000000001</v>
      </c>
      <c r="N265" s="4">
        <f>COUNTIF(Table1[[#This Row],[2019-Apr]:[2025-July]],"&gt;="&amp;Table1[[#This Row],[Target]])</f>
        <v>0</v>
      </c>
      <c r="O265" s="4">
        <f>IF(Table1[[#This Row],[Outliers 2Y]]=0,1,0)</f>
        <v>1</v>
      </c>
      <c r="P265" s="4">
        <f>IF(Table1[[#This Row],[Last value]]&gt;1.5*Table1[[#This Row],[Target]],1,0)</f>
        <v>0</v>
      </c>
      <c r="Q265" s="4">
        <f>IF(AND(1.5*Table1[[#This Row],[Target]]&gt;=Table1[[#This Row],[Last value]],Table1[[#This Row],[Last value]]&gt;Table1[[#This Row],[Target]]),1,0)</f>
        <v>0</v>
      </c>
      <c r="R265" s="4">
        <f>IF(Table1[[#This Row],[Target]]&gt;=Table1[[#This Row],[Last value]],1,0)</f>
        <v>1</v>
      </c>
      <c r="S265" s="4" t="str">
        <f t="shared" si="6"/>
        <v>Green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 s="34">
        <v>0</v>
      </c>
      <c r="CK265" s="34">
        <v>0</v>
      </c>
      <c r="CL265" s="43">
        <v>1.9</v>
      </c>
      <c r="CM265" s="4">
        <v>2.2000000000000002</v>
      </c>
      <c r="CN265" s="53">
        <v>0</v>
      </c>
      <c r="CO265" s="54">
        <v>1.49</v>
      </c>
      <c r="CP265" s="54">
        <v>1.0900000000000001</v>
      </c>
      <c r="CQ265" s="4">
        <v>1.1000000000000001</v>
      </c>
    </row>
    <row r="266" spans="1:95" x14ac:dyDescent="0.35">
      <c r="A266" s="55">
        <v>265</v>
      </c>
      <c r="B266" t="s">
        <v>99</v>
      </c>
      <c r="C266" s="27" t="s">
        <v>469</v>
      </c>
      <c r="D266" s="3" t="s">
        <v>94</v>
      </c>
      <c r="E266" s="33" t="s">
        <v>89</v>
      </c>
      <c r="F266" s="4">
        <f>IFERROR(AVERAGEIF(Table1[[#This Row],[2019-Apr]:[2025-July]],"&lt;&gt;0"),0)</f>
        <v>1.1000000000000001</v>
      </c>
      <c r="G266" s="4">
        <f ca="1">IFERROR(AVERAGEIF(OFFSET(Table1[[#This Row],[Status]],0,COUNT(Table1[[#This Row],[2019-May]:[2025-July]]),1,-12),"&lt;&gt;0"),0)</f>
        <v>1.1000000000000001</v>
      </c>
      <c r="H266" s="55">
        <f>IFERROR(SMALL(Table1[[#This Row],[2019-Apr]:[2025-July]],COUNTIF(Table1[[#This Row],[2019-Apr]:[2025-July]],0)+1),0)</f>
        <v>1.1000000000000001</v>
      </c>
      <c r="I266" s="55">
        <f>IFERROR(MAX(Table1[[#This Row],[2019-Apr]:[2025-July]]),0)</f>
        <v>1.1000000000000001</v>
      </c>
      <c r="J266" s="4" cm="1">
        <f t="array" ref="J26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1.1000000000000001</v>
      </c>
      <c r="K266" s="4">
        <v>4.5</v>
      </c>
      <c r="L266" s="4">
        <f>IF(Table1[[#This Row],[Standard as per ISO]]&gt;=Table1[[#This Row],[Avg of best 6]],Table1[[#This Row],[Standard as per ISO]],Table1[[#This Row],[Avg of best 6]])</f>
        <v>4.5</v>
      </c>
      <c r="M266" s="4" cm="1">
        <f t="array" ref="M266">IFERROR(LOOKUP(2,1/(Table1[[#This Row],[2019-May]:[2025-July]]&lt;&gt;0),Table1[[#This Row],[2019-May]:[2025-July]]),0)</f>
        <v>1.1000000000000001</v>
      </c>
      <c r="N266" s="4">
        <f>COUNTIF(Table1[[#This Row],[2019-Apr]:[2025-July]],"&gt;="&amp;Table1[[#This Row],[Target]])</f>
        <v>0</v>
      </c>
      <c r="O266" s="4">
        <f>IF(Table1[[#This Row],[Outliers 2Y]]=0,1,0)</f>
        <v>1</v>
      </c>
      <c r="P266" s="4">
        <f>IF(Table1[[#This Row],[Last value]]&gt;1.5*Table1[[#This Row],[Target]],1,0)</f>
        <v>0</v>
      </c>
      <c r="Q266" s="4">
        <f>IF(AND(1.5*Table1[[#This Row],[Target]]&gt;=Table1[[#This Row],[Last value]],Table1[[#This Row],[Last value]]&gt;Table1[[#This Row],[Target]]),1,0)</f>
        <v>0</v>
      </c>
      <c r="R266" s="4">
        <f>IF(Table1[[#This Row],[Target]]&gt;=Table1[[#This Row],[Last value]],1,0)</f>
        <v>1</v>
      </c>
      <c r="S266" s="4" t="str">
        <f t="shared" si="6"/>
        <v>Green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 s="34">
        <v>0</v>
      </c>
      <c r="CK266" s="34">
        <v>0</v>
      </c>
      <c r="CL266" s="43">
        <v>1.1000000000000001</v>
      </c>
      <c r="CM266" s="4">
        <v>0</v>
      </c>
      <c r="CN266" s="53">
        <v>0</v>
      </c>
      <c r="CO266" s="54">
        <v>0</v>
      </c>
      <c r="CP266" s="54">
        <v>0</v>
      </c>
      <c r="CQ266" s="4">
        <v>0</v>
      </c>
    </row>
    <row r="267" spans="1:95" x14ac:dyDescent="0.35">
      <c r="A267" s="55">
        <v>266</v>
      </c>
      <c r="B267" t="s">
        <v>99</v>
      </c>
      <c r="C267" s="27" t="s">
        <v>470</v>
      </c>
      <c r="D267" s="3" t="s">
        <v>94</v>
      </c>
      <c r="E267" s="33" t="s">
        <v>89</v>
      </c>
      <c r="F267" s="4">
        <f>IFERROR(AVERAGEIF(Table1[[#This Row],[2019-Apr]:[2025-July]],"&lt;&gt;0"),0)</f>
        <v>1.2949999999999999</v>
      </c>
      <c r="G267" s="4">
        <f ca="1">IFERROR(AVERAGEIF(OFFSET(Table1[[#This Row],[Status]],0,COUNT(Table1[[#This Row],[2019-May]:[2025-July]]),1,-12),"&lt;&gt;0"),0)</f>
        <v>1.2333333333333334</v>
      </c>
      <c r="H267" s="55">
        <f>IFERROR(SMALL(Table1[[#This Row],[2019-Apr]:[2025-July]],COUNTIF(Table1[[#This Row],[2019-Apr]:[2025-July]],0)+1),0)</f>
        <v>1.2</v>
      </c>
      <c r="I267" s="55">
        <f>IFERROR(MAX(Table1[[#This Row],[2019-Apr]:[2025-July]]),0)</f>
        <v>1.48</v>
      </c>
      <c r="J267" s="4" cm="1">
        <f t="array" ref="J26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1.2949999999999999</v>
      </c>
      <c r="K267" s="4">
        <v>4.5</v>
      </c>
      <c r="L267" s="4">
        <f>IF(Table1[[#This Row],[Standard as per ISO]]&gt;=Table1[[#This Row],[Avg of best 6]],Table1[[#This Row],[Standard as per ISO]],Table1[[#This Row],[Avg of best 6]])</f>
        <v>4.5</v>
      </c>
      <c r="M267" s="4" cm="1">
        <f t="array" ref="M267">IFERROR(LOOKUP(2,1/(Table1[[#This Row],[2019-May]:[2025-July]]&lt;&gt;0),Table1[[#This Row],[2019-May]:[2025-July]]),0)</f>
        <v>1.48</v>
      </c>
      <c r="N267" s="4">
        <f>COUNTIF(Table1[[#This Row],[2019-Apr]:[2025-July]],"&gt;="&amp;Table1[[#This Row],[Target]])</f>
        <v>0</v>
      </c>
      <c r="O267" s="4">
        <f>IF(Table1[[#This Row],[Outliers 2Y]]=0,1,0)</f>
        <v>1</v>
      </c>
      <c r="P267" s="4">
        <f>IF(Table1[[#This Row],[Last value]]&gt;1.5*Table1[[#This Row],[Target]],1,0)</f>
        <v>0</v>
      </c>
      <c r="Q267" s="4">
        <f>IF(AND(1.5*Table1[[#This Row],[Target]]&gt;=Table1[[#This Row],[Last value]],Table1[[#This Row],[Last value]]&gt;Table1[[#This Row],[Target]]),1,0)</f>
        <v>0</v>
      </c>
      <c r="R267" s="4">
        <f>IF(Table1[[#This Row],[Target]]&gt;=Table1[[#This Row],[Last value]],1,0)</f>
        <v>1</v>
      </c>
      <c r="S267" s="4" t="str">
        <f t="shared" si="6"/>
        <v>Green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 s="34">
        <v>0</v>
      </c>
      <c r="CK267" s="34">
        <v>1.2</v>
      </c>
      <c r="CL267" s="43">
        <v>0</v>
      </c>
      <c r="CM267" s="4">
        <v>1.3</v>
      </c>
      <c r="CN267" s="53">
        <v>0</v>
      </c>
      <c r="CO267" s="54">
        <v>0</v>
      </c>
      <c r="CP267" s="54">
        <v>1.2</v>
      </c>
      <c r="CQ267" s="4">
        <v>1.48</v>
      </c>
    </row>
    <row r="268" spans="1:95" x14ac:dyDescent="0.35">
      <c r="A268" s="55">
        <v>267</v>
      </c>
      <c r="B268" t="s">
        <v>99</v>
      </c>
      <c r="C268" s="27" t="s">
        <v>471</v>
      </c>
      <c r="D268" s="3" t="s">
        <v>94</v>
      </c>
      <c r="E268" s="33" t="s">
        <v>89</v>
      </c>
      <c r="F268" s="4">
        <f>IFERROR(AVERAGEIF(Table1[[#This Row],[2019-Apr]:[2025-July]],"&lt;&gt;0"),0)</f>
        <v>1.8</v>
      </c>
      <c r="G268" s="4">
        <f ca="1">IFERROR(AVERAGEIF(OFFSET(Table1[[#This Row],[Status]],0,COUNT(Table1[[#This Row],[2019-May]:[2025-July]]),1,-12),"&lt;&gt;0"),0)</f>
        <v>1.8</v>
      </c>
      <c r="H268" s="55">
        <f>IFERROR(SMALL(Table1[[#This Row],[2019-Apr]:[2025-July]],COUNTIF(Table1[[#This Row],[2019-Apr]:[2025-July]],0)+1),0)</f>
        <v>1.8</v>
      </c>
      <c r="I268" s="55">
        <f>IFERROR(MAX(Table1[[#This Row],[2019-Apr]:[2025-July]]),0)</f>
        <v>1.8</v>
      </c>
      <c r="J268" s="4" cm="1">
        <f t="array" ref="J26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</v>
      </c>
      <c r="K268" s="4">
        <v>4.5</v>
      </c>
      <c r="L268" s="4">
        <f>IF(Table1[[#This Row],[Standard as per ISO]]&gt;=Table1[[#This Row],[Avg of best 6]],Table1[[#This Row],[Standard as per ISO]],Table1[[#This Row],[Avg of best 6]])</f>
        <v>4.5</v>
      </c>
      <c r="M268" s="4" cm="1">
        <f t="array" ref="M268">IFERROR(LOOKUP(2,1/(Table1[[#This Row],[2019-May]:[2025-July]]&lt;&gt;0),Table1[[#This Row],[2019-May]:[2025-July]]),0)</f>
        <v>1.8</v>
      </c>
      <c r="N268" s="4">
        <f>COUNTIF(Table1[[#This Row],[2019-Apr]:[2025-July]],"&gt;="&amp;Table1[[#This Row],[Target]])</f>
        <v>0</v>
      </c>
      <c r="O268" s="4">
        <f>IF(Table1[[#This Row],[Outliers 2Y]]=0,1,0)</f>
        <v>1</v>
      </c>
      <c r="P268" s="4">
        <f>IF(Table1[[#This Row],[Last value]]&gt;1.5*Table1[[#This Row],[Target]],1,0)</f>
        <v>0</v>
      </c>
      <c r="Q268" s="4">
        <f>IF(AND(1.5*Table1[[#This Row],[Target]]&gt;=Table1[[#This Row],[Last value]],Table1[[#This Row],[Last value]]&gt;Table1[[#This Row],[Target]]),1,0)</f>
        <v>0</v>
      </c>
      <c r="R268" s="4">
        <f>IF(Table1[[#This Row],[Target]]&gt;=Table1[[#This Row],[Last value]],1,0)</f>
        <v>1</v>
      </c>
      <c r="S268" s="4" t="str">
        <f t="shared" si="6"/>
        <v>Green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 s="34">
        <v>0</v>
      </c>
      <c r="CK268" s="34">
        <v>1.8</v>
      </c>
      <c r="CL268" s="43">
        <v>0</v>
      </c>
      <c r="CM268" s="4">
        <v>0</v>
      </c>
      <c r="CN268" s="53">
        <v>0</v>
      </c>
      <c r="CO268" s="54">
        <v>0</v>
      </c>
      <c r="CP268" s="54">
        <v>0</v>
      </c>
      <c r="CQ268" s="4">
        <v>1.8</v>
      </c>
    </row>
    <row r="269" spans="1:95" s="55" customFormat="1" x14ac:dyDescent="0.35">
      <c r="A269" s="55">
        <v>268</v>
      </c>
      <c r="B269" s="55" t="s">
        <v>112</v>
      </c>
      <c r="C269" s="27" t="s">
        <v>717</v>
      </c>
      <c r="D269" s="6" t="s">
        <v>88</v>
      </c>
      <c r="E269" s="33" t="s">
        <v>89</v>
      </c>
      <c r="F269" s="4">
        <f>IFERROR(AVERAGEIF(Table1[[#This Row],[2019-Apr]:[2025-July]],"&lt;&gt;0"),0)</f>
        <v>4.8843582089552244</v>
      </c>
      <c r="G269" s="4">
        <f ca="1">IFERROR(AVERAGEIF(OFFSET(Table1[[#This Row],[Status]],0,COUNT(Table1[[#This Row],[2019-May]:[2025-July]]),1,-12),"&lt;&gt;0"),0)</f>
        <v>6.09</v>
      </c>
      <c r="H269" s="55">
        <f>IFERROR(SMALL(Table1[[#This Row],[2019-Apr]:[2025-July]],COUNTIF(Table1[[#This Row],[2019-Apr]:[2025-July]],0)+1),0)</f>
        <v>2.4500000000000002</v>
      </c>
      <c r="I269" s="55">
        <f>IFERROR(MAX(Table1[[#This Row],[2019-Apr]:[2025-July]]),0)</f>
        <v>8.1</v>
      </c>
      <c r="J269" s="4" cm="1">
        <f t="array" ref="J26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2.7149999999999999</v>
      </c>
      <c r="K269" s="4">
        <v>4.5</v>
      </c>
      <c r="L269" s="4">
        <f>IF(Table1[[#This Row],[Standard as per ISO]]&gt;=Table1[[#This Row],[Avg of best 6]],Table1[[#This Row],[Standard as per ISO]],Table1[[#This Row],[Avg of best 6]])</f>
        <v>4.5</v>
      </c>
      <c r="M269" s="4" cm="1">
        <f t="array" ref="M269">IFERROR(LOOKUP(2,1/(Table1[[#This Row],[2019-May]:[2025-July]]&lt;&gt;0),Table1[[#This Row],[2019-May]:[2025-July]]),0)</f>
        <v>5.56</v>
      </c>
      <c r="N269" s="4">
        <f>COUNTIF(Table1[[#This Row],[2019-Apr]:[2025-July]],"&gt;="&amp;Table1[[#This Row],[Target]])</f>
        <v>46</v>
      </c>
      <c r="O269" s="4">
        <f>IF(Table1[[#This Row],[Outliers 2Y]]=0,1,0)</f>
        <v>0</v>
      </c>
      <c r="P269" s="4">
        <f>IF(Table1[[#This Row],[Last value]]&gt;1.5*Table1[[#This Row],[Target]],1,0)</f>
        <v>0</v>
      </c>
      <c r="Q269" s="4">
        <f>IF(AND(1.5*Table1[[#This Row],[Target]]&gt;=Table1[[#This Row],[Last value]],Table1[[#This Row],[Last value]]&gt;Table1[[#This Row],[Target]]),1,0)</f>
        <v>1</v>
      </c>
      <c r="R269" s="4">
        <f>IF(Table1[[#This Row],[Target]]&gt;=Table1[[#This Row],[Last value]],1,0)</f>
        <v>0</v>
      </c>
      <c r="S269" s="4" t="str">
        <f t="shared" si="6"/>
        <v>Yellow</v>
      </c>
      <c r="T269" s="55">
        <v>0</v>
      </c>
      <c r="U269" s="55">
        <v>0</v>
      </c>
      <c r="V269" s="55">
        <v>5.13</v>
      </c>
      <c r="W269" s="55">
        <v>5.76</v>
      </c>
      <c r="X269" s="55">
        <v>6.23</v>
      </c>
      <c r="Y269" s="55">
        <v>4.7699999999999996</v>
      </c>
      <c r="Z269" s="55">
        <v>5.8</v>
      </c>
      <c r="AA269" s="55">
        <v>0</v>
      </c>
      <c r="AB269" s="55">
        <v>7.96</v>
      </c>
      <c r="AC269" s="55">
        <v>4.26</v>
      </c>
      <c r="AD269" s="55">
        <v>3.11</v>
      </c>
      <c r="AE269" s="55">
        <v>3.1</v>
      </c>
      <c r="AF269" s="55">
        <v>0</v>
      </c>
      <c r="AG269" s="55">
        <v>2.7</v>
      </c>
      <c r="AH269" s="55">
        <v>2.7</v>
      </c>
      <c r="AI269" s="55">
        <v>2.73</v>
      </c>
      <c r="AJ269" s="55">
        <v>3.37</v>
      </c>
      <c r="AK269" s="55">
        <v>2.85</v>
      </c>
      <c r="AL269" s="55">
        <v>3.1</v>
      </c>
      <c r="AM269" s="55">
        <v>2.86</v>
      </c>
      <c r="AN269" s="55">
        <v>4.1100000000000003</v>
      </c>
      <c r="AO269" s="55">
        <v>3.75</v>
      </c>
      <c r="AP269" s="55">
        <v>0</v>
      </c>
      <c r="AQ269" s="55">
        <v>2.87</v>
      </c>
      <c r="AR269" s="9">
        <v>0</v>
      </c>
      <c r="AS269" s="9">
        <v>3.82</v>
      </c>
      <c r="AT269" s="9">
        <v>3.5</v>
      </c>
      <c r="AU269" s="50">
        <v>2.4500000000000002</v>
      </c>
      <c r="AV269" s="50">
        <v>3.18</v>
      </c>
      <c r="AW269" s="50">
        <v>4.67</v>
      </c>
      <c r="AX269" s="50">
        <v>5.09</v>
      </c>
      <c r="AY269" s="50">
        <v>3.4</v>
      </c>
      <c r="AZ269" s="50">
        <v>3.8</v>
      </c>
      <c r="BA269" s="50">
        <v>3.7</v>
      </c>
      <c r="BB269" s="50">
        <v>5.3</v>
      </c>
      <c r="BC269" s="55">
        <v>4.5</v>
      </c>
      <c r="BD269" s="55">
        <v>4.5</v>
      </c>
      <c r="BE269" s="11">
        <v>5.5369999999999999</v>
      </c>
      <c r="BF269" s="4">
        <v>0</v>
      </c>
      <c r="BG269" s="4">
        <v>4.8689999999999998</v>
      </c>
      <c r="BH269" s="4">
        <v>6.8179999999999996</v>
      </c>
      <c r="BI269" s="4">
        <v>4.7679999999999998</v>
      </c>
      <c r="BJ269" s="14">
        <v>5.4450000000000003</v>
      </c>
      <c r="BK269" s="14">
        <v>7.5359999999999996</v>
      </c>
      <c r="BL269" s="4">
        <v>4.7380000000000004</v>
      </c>
      <c r="BM269" s="17">
        <v>4.0179999999999998</v>
      </c>
      <c r="BN269" s="4">
        <v>4.9240000000000004</v>
      </c>
      <c r="BO269" s="4">
        <v>4.8070000000000004</v>
      </c>
      <c r="BP269" s="4">
        <v>4.5860000000000003</v>
      </c>
      <c r="BQ269" s="4">
        <v>5.5659999999999998</v>
      </c>
      <c r="BR269" s="4">
        <v>6.5179999999999998</v>
      </c>
      <c r="BS269" s="4">
        <v>6.069</v>
      </c>
      <c r="BT269" s="4">
        <v>5.0839999999999996</v>
      </c>
      <c r="BU269" s="4">
        <v>4.8609999999999998</v>
      </c>
      <c r="BV269" s="4">
        <v>4.6719999999999997</v>
      </c>
      <c r="BW269" s="4">
        <v>5.7110000000000003</v>
      </c>
      <c r="BX269" s="4">
        <v>5.7850000000000001</v>
      </c>
      <c r="BY269" s="4">
        <v>5.72</v>
      </c>
      <c r="BZ269" s="18">
        <v>5.63</v>
      </c>
      <c r="CA269" s="18">
        <v>5.53</v>
      </c>
      <c r="CB269" s="55">
        <v>5.21</v>
      </c>
      <c r="CC269" s="18">
        <v>6.2</v>
      </c>
      <c r="CD269" s="55">
        <v>5.12</v>
      </c>
      <c r="CE269" s="19">
        <v>0</v>
      </c>
      <c r="CF269" s="19">
        <v>8.1</v>
      </c>
      <c r="CG269" s="4">
        <v>5.41</v>
      </c>
      <c r="CH269" s="4">
        <v>0</v>
      </c>
      <c r="CI269" s="4">
        <v>5.89</v>
      </c>
      <c r="CJ269" s="34">
        <v>5.0999999999999996</v>
      </c>
      <c r="CK269" s="34">
        <v>5.4</v>
      </c>
      <c r="CL269" s="43">
        <v>5.7</v>
      </c>
      <c r="CM269" s="4">
        <v>5</v>
      </c>
      <c r="CN269" s="53">
        <v>6.9</v>
      </c>
      <c r="CO269" s="54">
        <v>5.9</v>
      </c>
      <c r="CP269" s="54">
        <v>7.5</v>
      </c>
      <c r="CQ269" s="4">
        <v>5.56</v>
      </c>
    </row>
    <row r="270" spans="1:95" s="55" customFormat="1" x14ac:dyDescent="0.35">
      <c r="A270" s="55">
        <v>269</v>
      </c>
      <c r="B270" s="55" t="s">
        <v>112</v>
      </c>
      <c r="C270" s="27" t="s">
        <v>718</v>
      </c>
      <c r="D270" s="6" t="s">
        <v>88</v>
      </c>
      <c r="E270" s="33" t="s">
        <v>89</v>
      </c>
      <c r="F270" s="4">
        <f>IFERROR(AVERAGEIF(Table1[[#This Row],[2019-Apr]:[2025-July]],"&lt;&gt;0"),0)</f>
        <v>4.3726428571428562</v>
      </c>
      <c r="G270" s="4">
        <f ca="1">IFERROR(AVERAGEIF(OFFSET(Table1[[#This Row],[Status]],0,COUNT(Table1[[#This Row],[2019-May]:[2025-July]]),1,-12),"&lt;&gt;0"),0)</f>
        <v>0</v>
      </c>
      <c r="H270" s="55">
        <f>IFERROR(SMALL(Table1[[#This Row],[2019-Apr]:[2025-July]],COUNTIF(Table1[[#This Row],[2019-Apr]:[2025-July]],0)+1),0)</f>
        <v>2.09</v>
      </c>
      <c r="I270" s="55">
        <f>IFERROR(MAX(Table1[[#This Row],[2019-Apr]:[2025-July]]),0)</f>
        <v>7.05</v>
      </c>
      <c r="J270" s="4" cm="1">
        <f t="array" ref="J27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2.238</v>
      </c>
      <c r="K270" s="4">
        <v>4.5</v>
      </c>
      <c r="L270" s="4">
        <f>IF(Table1[[#This Row],[Standard as per ISO]]&gt;=Table1[[#This Row],[Avg of best 6]],Table1[[#This Row],[Standard as per ISO]],Table1[[#This Row],[Avg of best 6]])</f>
        <v>4.5</v>
      </c>
      <c r="M270" s="4" cm="1">
        <f t="array" ref="M270">IFERROR(LOOKUP(2,1/(Table1[[#This Row],[2019-May]:[2025-July]]&lt;&gt;0),Table1[[#This Row],[2019-May]:[2025-July]]),0)</f>
        <v>5.32</v>
      </c>
      <c r="N270" s="4">
        <f>COUNTIF(Table1[[#This Row],[2019-Apr]:[2025-July]],"&gt;="&amp;Table1[[#This Row],[Target]])</f>
        <v>28</v>
      </c>
      <c r="O270" s="4">
        <f>IF(Table1[[#This Row],[Outliers 2Y]]=0,1,0)</f>
        <v>0</v>
      </c>
      <c r="P270" s="4">
        <f>IF(Table1[[#This Row],[Last value]]&gt;1.5*Table1[[#This Row],[Target]],1,0)</f>
        <v>0</v>
      </c>
      <c r="Q270" s="4">
        <f>IF(AND(1.5*Table1[[#This Row],[Target]]&gt;=Table1[[#This Row],[Last value]],Table1[[#This Row],[Last value]]&gt;Table1[[#This Row],[Target]]),1,0)</f>
        <v>1</v>
      </c>
      <c r="R270" s="4">
        <f>IF(Table1[[#This Row],[Target]]&gt;=Table1[[#This Row],[Last value]],1,0)</f>
        <v>0</v>
      </c>
      <c r="S270" s="4" t="str">
        <f t="shared" si="6"/>
        <v>Yellow</v>
      </c>
      <c r="T270" s="55">
        <v>0</v>
      </c>
      <c r="U270" s="55">
        <v>4.3499999999999996</v>
      </c>
      <c r="V270" s="55">
        <v>5.18</v>
      </c>
      <c r="W270" s="55">
        <v>4.62</v>
      </c>
      <c r="X270" s="55">
        <v>4.53</v>
      </c>
      <c r="Y270" s="55">
        <v>4.25</v>
      </c>
      <c r="Z270" s="55">
        <v>4.46</v>
      </c>
      <c r="AA270" s="55">
        <v>5.83</v>
      </c>
      <c r="AB270" s="55">
        <v>4.68</v>
      </c>
      <c r="AC270" s="55">
        <v>5.9</v>
      </c>
      <c r="AD270" s="55">
        <v>4.5599999999999996</v>
      </c>
      <c r="AE270" s="55">
        <v>6.8</v>
      </c>
      <c r="AF270" s="55">
        <v>0</v>
      </c>
      <c r="AG270" s="55">
        <v>6.4</v>
      </c>
      <c r="AH270" s="55">
        <v>6.5</v>
      </c>
      <c r="AI270" s="55">
        <v>6.15</v>
      </c>
      <c r="AJ270" s="55">
        <v>5.01</v>
      </c>
      <c r="AK270" s="55">
        <v>6.26</v>
      </c>
      <c r="AL270" s="55">
        <v>5.0999999999999996</v>
      </c>
      <c r="AM270" s="55">
        <v>5.89</v>
      </c>
      <c r="AN270" s="55">
        <v>6.05</v>
      </c>
      <c r="AO270" s="55">
        <v>5.07</v>
      </c>
      <c r="AP270" s="55">
        <v>0</v>
      </c>
      <c r="AQ270" s="55">
        <v>6.56</v>
      </c>
      <c r="AR270" s="9">
        <v>0</v>
      </c>
      <c r="AS270" s="9">
        <v>7.01</v>
      </c>
      <c r="AT270" s="9">
        <v>5.88</v>
      </c>
      <c r="AU270" s="50">
        <v>6.68</v>
      </c>
      <c r="AV270" s="50">
        <v>7.05</v>
      </c>
      <c r="AW270" s="50">
        <v>6.7</v>
      </c>
      <c r="AX270" s="50">
        <v>6.62</v>
      </c>
      <c r="AY270" s="50">
        <v>5.92</v>
      </c>
      <c r="AZ270" s="50">
        <v>4.6100000000000003</v>
      </c>
      <c r="BA270" s="50">
        <v>3.7</v>
      </c>
      <c r="BB270" s="50">
        <v>3.1</v>
      </c>
      <c r="BC270" s="55">
        <v>4.5999999999999996</v>
      </c>
      <c r="BD270" s="55">
        <v>3.5</v>
      </c>
      <c r="BE270" s="11">
        <v>2.6829999999999998</v>
      </c>
      <c r="BF270" s="4">
        <v>0</v>
      </c>
      <c r="BG270" s="4">
        <v>3.3820000000000001</v>
      </c>
      <c r="BH270" s="4">
        <v>2.92</v>
      </c>
      <c r="BI270" s="4">
        <v>2.92</v>
      </c>
      <c r="BJ270" s="13">
        <v>2.5609999999999999</v>
      </c>
      <c r="BK270" s="13">
        <v>2.3079999999999998</v>
      </c>
      <c r="BL270" s="4">
        <v>2.867</v>
      </c>
      <c r="BM270" s="16">
        <v>3.044</v>
      </c>
      <c r="BN270" s="4">
        <v>2.3620000000000001</v>
      </c>
      <c r="BO270" s="4">
        <v>2.1739999999999999</v>
      </c>
      <c r="BP270" s="4">
        <v>2.859</v>
      </c>
      <c r="BQ270" s="4">
        <v>2.91</v>
      </c>
      <c r="BR270" s="4">
        <v>2.871</v>
      </c>
      <c r="BS270" s="4">
        <v>2.919</v>
      </c>
      <c r="BT270" s="4">
        <v>2.1339999999999999</v>
      </c>
      <c r="BU270" s="4">
        <v>2.92</v>
      </c>
      <c r="BV270" s="4">
        <v>3.82</v>
      </c>
      <c r="BW270" s="4">
        <v>2.609</v>
      </c>
      <c r="BX270" s="4">
        <v>2.895</v>
      </c>
      <c r="BY270" s="4">
        <v>2.09</v>
      </c>
      <c r="BZ270" s="55">
        <v>2.36</v>
      </c>
      <c r="CA270" s="55">
        <v>2.42</v>
      </c>
      <c r="CB270" s="55">
        <v>5.32</v>
      </c>
      <c r="CC270" s="55">
        <v>0</v>
      </c>
      <c r="CD270" s="55">
        <v>0</v>
      </c>
      <c r="CE270" s="19">
        <v>0</v>
      </c>
      <c r="CF270" s="19">
        <v>0</v>
      </c>
      <c r="CG270" s="4">
        <v>0</v>
      </c>
      <c r="CH270" s="4">
        <v>0</v>
      </c>
      <c r="CI270" s="4">
        <v>0</v>
      </c>
      <c r="CJ270" s="34">
        <v>0</v>
      </c>
      <c r="CK270" s="34">
        <v>0</v>
      </c>
      <c r="CL270" s="43">
        <v>0</v>
      </c>
      <c r="CM270" s="4">
        <v>0</v>
      </c>
      <c r="CN270" s="53">
        <v>0</v>
      </c>
      <c r="CO270" s="54">
        <v>0</v>
      </c>
      <c r="CP270" s="54">
        <v>0</v>
      </c>
      <c r="CQ270" s="4">
        <v>0</v>
      </c>
    </row>
    <row r="271" spans="1:95" s="55" customFormat="1" x14ac:dyDescent="0.35">
      <c r="A271" s="55">
        <v>270</v>
      </c>
      <c r="B271" s="55" t="s">
        <v>112</v>
      </c>
      <c r="C271" s="27" t="s">
        <v>719</v>
      </c>
      <c r="D271" s="6" t="s">
        <v>88</v>
      </c>
      <c r="E271" s="33" t="s">
        <v>89</v>
      </c>
      <c r="F271" s="4">
        <f>IFERROR(AVERAGEIF(Table1[[#This Row],[2019-Apr]:[2025-July]],"&lt;&gt;0"),0)</f>
        <v>2.331483870967741</v>
      </c>
      <c r="G271" s="4">
        <f ca="1">IFERROR(AVERAGEIF(OFFSET(Table1[[#This Row],[Status]],0,COUNT(Table1[[#This Row],[2019-May]:[2025-July]]),1,-12),"&lt;&gt;0"),0)</f>
        <v>1.9011111111111114</v>
      </c>
      <c r="H271" s="55">
        <f>IFERROR(SMALL(Table1[[#This Row],[2019-Apr]:[2025-July]],COUNTIF(Table1[[#This Row],[2019-Apr]:[2025-July]],0)+1),0)</f>
        <v>1.0129999999999999</v>
      </c>
      <c r="I271" s="55">
        <f>IFERROR(MAX(Table1[[#This Row],[2019-Apr]:[2025-July]]),0)</f>
        <v>3.9</v>
      </c>
      <c r="J271" s="4" cm="1">
        <f t="array" ref="J27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1.4106666666666667</v>
      </c>
      <c r="K271" s="4">
        <v>4.5</v>
      </c>
      <c r="L271" s="4">
        <f>IF(Table1[[#This Row],[Standard as per ISO]]&gt;=Table1[[#This Row],[Avg of best 6]],Table1[[#This Row],[Standard as per ISO]],Table1[[#This Row],[Avg of best 6]])</f>
        <v>4.5</v>
      </c>
      <c r="M271" s="4" cm="1">
        <f t="array" ref="M271">IFERROR(LOOKUP(2,1/(Table1[[#This Row],[2019-May]:[2025-July]]&lt;&gt;0),Table1[[#This Row],[2019-May]:[2025-July]]),0)</f>
        <v>1.9</v>
      </c>
      <c r="N271" s="4">
        <f>COUNTIF(Table1[[#This Row],[2019-Apr]:[2025-July]],"&gt;="&amp;Table1[[#This Row],[Target]])</f>
        <v>0</v>
      </c>
      <c r="O271" s="4">
        <f>IF(Table1[[#This Row],[Outliers 2Y]]=0,1,0)</f>
        <v>1</v>
      </c>
      <c r="P271" s="4">
        <f>IF(Table1[[#This Row],[Last value]]&gt;1.5*Table1[[#This Row],[Target]],1,0)</f>
        <v>0</v>
      </c>
      <c r="Q271" s="4">
        <f>IF(AND(1.5*Table1[[#This Row],[Target]]&gt;=Table1[[#This Row],[Last value]],Table1[[#This Row],[Last value]]&gt;Table1[[#This Row],[Target]]),1,0)</f>
        <v>0</v>
      </c>
      <c r="R271" s="4">
        <f>IF(Table1[[#This Row],[Target]]&gt;=Table1[[#This Row],[Last value]],1,0)</f>
        <v>1</v>
      </c>
      <c r="S271" s="4" t="str">
        <f t="shared" si="6"/>
        <v>Green</v>
      </c>
      <c r="T271" s="55">
        <v>0</v>
      </c>
      <c r="U271" s="55">
        <v>2.37</v>
      </c>
      <c r="V271" s="55">
        <v>2.46</v>
      </c>
      <c r="W271" s="55">
        <v>2.5299999999999998</v>
      </c>
      <c r="X271" s="55">
        <v>2.4</v>
      </c>
      <c r="Y271" s="55">
        <v>2.4300000000000002</v>
      </c>
      <c r="Z271" s="55">
        <v>2.6</v>
      </c>
      <c r="AA271" s="55">
        <v>2.66</v>
      </c>
      <c r="AB271" s="55">
        <v>2.6</v>
      </c>
      <c r="AC271" s="55">
        <v>2.64</v>
      </c>
      <c r="AD271" s="55">
        <v>2.16</v>
      </c>
      <c r="AE271" s="55">
        <v>2.9</v>
      </c>
      <c r="AF271" s="55">
        <v>0</v>
      </c>
      <c r="AG271" s="55">
        <v>2.2999999999999998</v>
      </c>
      <c r="AH271" s="55">
        <v>2.6</v>
      </c>
      <c r="AI271" s="55">
        <v>3.03</v>
      </c>
      <c r="AJ271" s="55">
        <v>2.5499999999999998</v>
      </c>
      <c r="AK271" s="55">
        <v>3.68</v>
      </c>
      <c r="AL271" s="55">
        <v>3.9</v>
      </c>
      <c r="AM271" s="55">
        <v>2.94</v>
      </c>
      <c r="AN271" s="55">
        <v>2.59</v>
      </c>
      <c r="AO271" s="55">
        <v>2.36</v>
      </c>
      <c r="AP271" s="55">
        <v>0</v>
      </c>
      <c r="AQ271" s="55">
        <v>2.08</v>
      </c>
      <c r="AR271" s="9">
        <v>0</v>
      </c>
      <c r="AS271" s="9">
        <v>2.04</v>
      </c>
      <c r="AT271" s="9">
        <v>2.2000000000000002</v>
      </c>
      <c r="AU271" s="50">
        <v>2.4</v>
      </c>
      <c r="AV271" s="50">
        <v>2.25</v>
      </c>
      <c r="AW271" s="50">
        <v>1.82</v>
      </c>
      <c r="AX271" s="50">
        <v>1.79</v>
      </c>
      <c r="AY271" s="50">
        <v>2.4</v>
      </c>
      <c r="AZ271" s="50">
        <v>2.64</v>
      </c>
      <c r="BA271" s="50">
        <v>2.2000000000000002</v>
      </c>
      <c r="BB271" s="50">
        <v>0</v>
      </c>
      <c r="BC271" s="55">
        <v>2.2999999999999998</v>
      </c>
      <c r="BD271" s="55">
        <v>0</v>
      </c>
      <c r="BE271" s="11">
        <v>2.0099999999999998</v>
      </c>
      <c r="BF271" s="4">
        <v>0</v>
      </c>
      <c r="BG271" s="4">
        <v>1.91</v>
      </c>
      <c r="BH271" s="4">
        <v>1.5720000000000001</v>
      </c>
      <c r="BI271" s="4">
        <v>1.4450000000000001</v>
      </c>
      <c r="BJ271" s="14">
        <v>1.956</v>
      </c>
      <c r="BK271" s="14">
        <v>2.1779999999999999</v>
      </c>
      <c r="BL271" s="4">
        <v>1.9350000000000001</v>
      </c>
      <c r="BM271" s="17">
        <v>1.0129999999999999</v>
      </c>
      <c r="BN271" s="4">
        <v>1.1240000000000001</v>
      </c>
      <c r="BO271" s="4">
        <v>2.823</v>
      </c>
      <c r="BP271" s="4">
        <v>2.5139999999999998</v>
      </c>
      <c r="BQ271" s="4">
        <v>2.831</v>
      </c>
      <c r="BR271" s="4">
        <v>2.7429999999999999</v>
      </c>
      <c r="BS271" s="4">
        <v>2.9609999999999999</v>
      </c>
      <c r="BT271" s="4">
        <v>2.6469999999999998</v>
      </c>
      <c r="BU271" s="4">
        <v>2.9809999999999999</v>
      </c>
      <c r="BV271" s="4">
        <v>2.8719999999999999</v>
      </c>
      <c r="BW271" s="4">
        <v>2.3380000000000001</v>
      </c>
      <c r="BX271" s="4">
        <v>2.9689999999999999</v>
      </c>
      <c r="BY271" s="4">
        <v>2.5499999999999998</v>
      </c>
      <c r="BZ271" s="55">
        <v>0</v>
      </c>
      <c r="CA271" s="55">
        <v>0</v>
      </c>
      <c r="CB271" s="55">
        <v>0</v>
      </c>
      <c r="CC271" s="55">
        <v>2.35</v>
      </c>
      <c r="CD271" s="55">
        <v>0</v>
      </c>
      <c r="CE271" s="19">
        <v>0</v>
      </c>
      <c r="CF271" s="19">
        <v>2.2999999999999998</v>
      </c>
      <c r="CG271" s="4">
        <v>0</v>
      </c>
      <c r="CH271" s="4">
        <v>0</v>
      </c>
      <c r="CI271" s="4">
        <v>1.61</v>
      </c>
      <c r="CJ271" s="34">
        <v>1.7</v>
      </c>
      <c r="CK271" s="34">
        <v>2</v>
      </c>
      <c r="CL271" s="43">
        <v>1.7</v>
      </c>
      <c r="CM271" s="4">
        <v>1.8</v>
      </c>
      <c r="CN271" s="53">
        <v>2.2000000000000002</v>
      </c>
      <c r="CO271" s="54">
        <v>2.1</v>
      </c>
      <c r="CP271" s="54">
        <v>1.7</v>
      </c>
      <c r="CQ271" s="4">
        <v>1.9</v>
      </c>
    </row>
    <row r="272" spans="1:95" s="55" customFormat="1" x14ac:dyDescent="0.35">
      <c r="A272" s="55">
        <v>271</v>
      </c>
      <c r="B272" s="55" t="s">
        <v>112</v>
      </c>
      <c r="C272" s="27" t="s">
        <v>720</v>
      </c>
      <c r="D272" s="50" t="s">
        <v>88</v>
      </c>
      <c r="E272" s="33" t="s">
        <v>89</v>
      </c>
      <c r="F272" s="4">
        <f>IFERROR(AVERAGEIF(Table1[[#This Row],[2019-Apr]:[2025-July]],"&lt;&gt;0"),0)</f>
        <v>3.0892539682539679</v>
      </c>
      <c r="G272" s="4">
        <f ca="1">IFERROR(AVERAGEIF(OFFSET(Table1[[#This Row],[Status]],0,COUNT(Table1[[#This Row],[2019-May]:[2025-July]]),1,-12),"&lt;&gt;0"),0)</f>
        <v>3.5455555555555556</v>
      </c>
      <c r="H272" s="55">
        <f>IFERROR(SMALL(Table1[[#This Row],[2019-Apr]:[2025-July]],COUNTIF(Table1[[#This Row],[2019-Apr]:[2025-July]],0)+1),0)</f>
        <v>1.29</v>
      </c>
      <c r="I272" s="55">
        <f>IFERROR(MAX(Table1[[#This Row],[2019-Apr]:[2025-July]]),0)</f>
        <v>6.8</v>
      </c>
      <c r="J272" s="4" cm="1">
        <f t="array" ref="J27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1.7333333333333334</v>
      </c>
      <c r="K272" s="4">
        <v>4.5</v>
      </c>
      <c r="L272" s="4">
        <f>IF(Table1[[#This Row],[Standard as per ISO]]&gt;=Table1[[#This Row],[Avg of best 6]],Table1[[#This Row],[Standard as per ISO]],Table1[[#This Row],[Avg of best 6]])</f>
        <v>4.5</v>
      </c>
      <c r="M272" s="4" cm="1">
        <f t="array" ref="M272">IFERROR(LOOKUP(2,1/(Table1[[#This Row],[2019-May]:[2025-July]]&lt;&gt;0),Table1[[#This Row],[2019-May]:[2025-July]]),0)</f>
        <v>3</v>
      </c>
      <c r="N272" s="4">
        <f>COUNTIF(Table1[[#This Row],[2019-Apr]:[2025-July]],"&gt;="&amp;Table1[[#This Row],[Target]])</f>
        <v>6</v>
      </c>
      <c r="O272" s="4">
        <f>IF(Table1[[#This Row],[Outliers 2Y]]=0,1,0)</f>
        <v>0</v>
      </c>
      <c r="P272" s="4">
        <f>IF(Table1[[#This Row],[Last value]]&gt;1.5*Table1[[#This Row],[Target]],1,0)</f>
        <v>0</v>
      </c>
      <c r="Q272" s="4">
        <f>IF(AND(1.5*Table1[[#This Row],[Target]]&gt;=Table1[[#This Row],[Last value]],Table1[[#This Row],[Last value]]&gt;Table1[[#This Row],[Target]]),1,0)</f>
        <v>0</v>
      </c>
      <c r="R272" s="4">
        <f>IF(Table1[[#This Row],[Target]]&gt;=Table1[[#This Row],[Last value]],1,0)</f>
        <v>1</v>
      </c>
      <c r="S272" s="4" t="str">
        <f t="shared" si="6"/>
        <v>Green</v>
      </c>
      <c r="T272" s="55">
        <v>0</v>
      </c>
      <c r="U272" s="55">
        <v>3.34</v>
      </c>
      <c r="V272" s="55">
        <v>3.78</v>
      </c>
      <c r="W272" s="55">
        <v>5.03</v>
      </c>
      <c r="X272" s="55">
        <v>2.95</v>
      </c>
      <c r="Y272" s="55">
        <v>3.47</v>
      </c>
      <c r="Z272" s="55">
        <v>5.0999999999999996</v>
      </c>
      <c r="AA272" s="55">
        <v>2.5099999999999998</v>
      </c>
      <c r="AB272" s="55">
        <v>5.79</v>
      </c>
      <c r="AC272" s="55">
        <v>5.72</v>
      </c>
      <c r="AD272" s="55">
        <v>6.1</v>
      </c>
      <c r="AE272" s="55">
        <v>6.8</v>
      </c>
      <c r="AF272" s="55">
        <v>0</v>
      </c>
      <c r="AG272" s="55">
        <v>3.3</v>
      </c>
      <c r="AH272" s="55">
        <v>2.4</v>
      </c>
      <c r="AI272" s="55">
        <v>2.5</v>
      </c>
      <c r="AJ272" s="55">
        <v>1.63</v>
      </c>
      <c r="AK272" s="55">
        <v>0</v>
      </c>
      <c r="AL272" s="55">
        <v>2.2000000000000002</v>
      </c>
      <c r="AM272" s="55">
        <v>0</v>
      </c>
      <c r="AN272" s="55">
        <v>2.16</v>
      </c>
      <c r="AO272" s="55">
        <v>2.0499999999999998</v>
      </c>
      <c r="AP272" s="55">
        <v>0</v>
      </c>
      <c r="AQ272" s="55">
        <v>2.1</v>
      </c>
      <c r="AR272" s="9">
        <v>0</v>
      </c>
      <c r="AS272" s="9">
        <v>1.9</v>
      </c>
      <c r="AT272" s="9">
        <v>1.98</v>
      </c>
      <c r="AU272" s="50">
        <v>2.59</v>
      </c>
      <c r="AV272" s="50">
        <v>2.17</v>
      </c>
      <c r="AW272" s="50">
        <v>2.1800000000000002</v>
      </c>
      <c r="AX272" s="50">
        <v>1.29</v>
      </c>
      <c r="AY272" s="50">
        <v>2</v>
      </c>
      <c r="AZ272" s="50">
        <v>2.15</v>
      </c>
      <c r="BA272" s="50">
        <v>1.9</v>
      </c>
      <c r="BB272" s="50">
        <v>3.3</v>
      </c>
      <c r="BC272" s="55">
        <v>2.4</v>
      </c>
      <c r="BD272" s="55">
        <v>1.7</v>
      </c>
      <c r="BE272" s="11">
        <v>2.6930000000000001</v>
      </c>
      <c r="BF272" s="4">
        <v>0</v>
      </c>
      <c r="BG272" s="4">
        <v>2.0470000000000002</v>
      </c>
      <c r="BH272" s="4">
        <v>2.7290000000000001</v>
      </c>
      <c r="BI272" s="4">
        <v>2.8519999999999999</v>
      </c>
      <c r="BJ272" s="13">
        <v>2.2949999999999999</v>
      </c>
      <c r="BK272" s="13">
        <v>2.488</v>
      </c>
      <c r="BL272" s="4">
        <v>2.6480000000000001</v>
      </c>
      <c r="BM272" s="16">
        <v>2.7109999999999999</v>
      </c>
      <c r="BN272" s="4">
        <v>2.9</v>
      </c>
      <c r="BO272" s="4">
        <v>3.24</v>
      </c>
      <c r="BP272" s="4">
        <v>2.9860000000000002</v>
      </c>
      <c r="BQ272" s="4">
        <v>2.96</v>
      </c>
      <c r="BR272" s="4">
        <v>3.448</v>
      </c>
      <c r="BS272" s="4">
        <v>3.8479999999999999</v>
      </c>
      <c r="BT272" s="4">
        <v>3.7639999999999998</v>
      </c>
      <c r="BU272" s="4">
        <v>3.6360000000000001</v>
      </c>
      <c r="BV272" s="4">
        <v>4.0449999999999999</v>
      </c>
      <c r="BW272" s="4">
        <v>3.82</v>
      </c>
      <c r="BX272" s="4">
        <v>2.2730000000000001</v>
      </c>
      <c r="BY272" s="4">
        <v>2.62</v>
      </c>
      <c r="BZ272" s="55">
        <v>2.62</v>
      </c>
      <c r="CA272" s="55">
        <v>0</v>
      </c>
      <c r="CB272" s="55">
        <v>0</v>
      </c>
      <c r="CC272" s="55">
        <v>2.6</v>
      </c>
      <c r="CD272" s="55">
        <v>0</v>
      </c>
      <c r="CE272" s="19">
        <v>0</v>
      </c>
      <c r="CF272" s="19">
        <v>4.3</v>
      </c>
      <c r="CG272" s="4">
        <v>0</v>
      </c>
      <c r="CH272" s="4">
        <v>0</v>
      </c>
      <c r="CI272" s="4">
        <v>3.91</v>
      </c>
      <c r="CJ272" s="34">
        <v>3.2</v>
      </c>
      <c r="CK272" s="34">
        <v>3.6</v>
      </c>
      <c r="CL272" s="43">
        <v>4.0999999999999996</v>
      </c>
      <c r="CM272" s="4">
        <v>2.5</v>
      </c>
      <c r="CN272" s="53">
        <v>3.2</v>
      </c>
      <c r="CO272" s="54">
        <v>3.5</v>
      </c>
      <c r="CP272" s="54">
        <v>3.6</v>
      </c>
      <c r="CQ272" s="4">
        <v>3</v>
      </c>
    </row>
    <row r="273" spans="1:95" s="55" customFormat="1" x14ac:dyDescent="0.35">
      <c r="A273" s="55">
        <v>272</v>
      </c>
      <c r="B273" s="55" t="s">
        <v>112</v>
      </c>
      <c r="C273" s="27" t="s">
        <v>721</v>
      </c>
      <c r="D273" s="50" t="s">
        <v>88</v>
      </c>
      <c r="E273" s="33" t="s">
        <v>89</v>
      </c>
      <c r="F273" s="4">
        <f>IFERROR(AVERAGEIF(Table1[[#This Row],[2019-Apr]:[2025-July]],"&lt;&gt;0"),0)</f>
        <v>3.6707096774193544</v>
      </c>
      <c r="G273" s="4">
        <f ca="1">IFERROR(AVERAGEIF(OFFSET(Table1[[#This Row],[Status]],0,COUNT(Table1[[#This Row],[2019-May]:[2025-July]]),1,-12),"&lt;&gt;0"),0)</f>
        <v>3.1666666666666665</v>
      </c>
      <c r="H273" s="55">
        <f>IFERROR(SMALL(Table1[[#This Row],[2019-Apr]:[2025-July]],COUNTIF(Table1[[#This Row],[2019-Apr]:[2025-July]],0)+1),0)</f>
        <v>2.6</v>
      </c>
      <c r="I273" s="55">
        <f>IFERROR(MAX(Table1[[#This Row],[2019-Apr]:[2025-July]]),0)</f>
        <v>4.8499999999999996</v>
      </c>
      <c r="J273" s="4" cm="1">
        <f t="array" ref="J27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2.7166666666666668</v>
      </c>
      <c r="K273" s="4">
        <v>4.5</v>
      </c>
      <c r="L273" s="4">
        <f>IF(Table1[[#This Row],[Standard as per ISO]]&gt;=Table1[[#This Row],[Avg of best 6]],Table1[[#This Row],[Standard as per ISO]],Table1[[#This Row],[Avg of best 6]])</f>
        <v>4.5</v>
      </c>
      <c r="M273" s="4" cm="1">
        <f t="array" ref="M273">IFERROR(LOOKUP(2,1/(Table1[[#This Row],[2019-May]:[2025-July]]&lt;&gt;0),Table1[[#This Row],[2019-May]:[2025-July]]),0)</f>
        <v>3.7</v>
      </c>
      <c r="N273" s="4">
        <f>COUNTIF(Table1[[#This Row],[2019-Apr]:[2025-July]],"&gt;="&amp;Table1[[#This Row],[Target]])</f>
        <v>5</v>
      </c>
      <c r="O273" s="4">
        <f>IF(Table1[[#This Row],[Outliers 2Y]]=0,1,0)</f>
        <v>0</v>
      </c>
      <c r="P273" s="4">
        <f>IF(Table1[[#This Row],[Last value]]&gt;1.5*Table1[[#This Row],[Target]],1,0)</f>
        <v>0</v>
      </c>
      <c r="Q273" s="4">
        <f>IF(AND(1.5*Table1[[#This Row],[Target]]&gt;=Table1[[#This Row],[Last value]],Table1[[#This Row],[Last value]]&gt;Table1[[#This Row],[Target]]),1,0)</f>
        <v>0</v>
      </c>
      <c r="R273" s="4">
        <f>IF(Table1[[#This Row],[Target]]&gt;=Table1[[#This Row],[Last value]],1,0)</f>
        <v>1</v>
      </c>
      <c r="S273" s="4" t="str">
        <f t="shared" si="6"/>
        <v>Green</v>
      </c>
      <c r="T273" s="55">
        <v>0</v>
      </c>
      <c r="U273" s="55">
        <v>3.41</v>
      </c>
      <c r="V273" s="55">
        <v>3.58</v>
      </c>
      <c r="W273" s="55">
        <v>3.46</v>
      </c>
      <c r="X273" s="55">
        <v>2.8</v>
      </c>
      <c r="Y273" s="55">
        <v>3.82</v>
      </c>
      <c r="Z273" s="55">
        <v>3.9</v>
      </c>
      <c r="AA273" s="55">
        <v>3.8</v>
      </c>
      <c r="AB273" s="55">
        <v>4.2</v>
      </c>
      <c r="AC273" s="55">
        <v>3.99</v>
      </c>
      <c r="AD273" s="55">
        <v>3.46</v>
      </c>
      <c r="AE273" s="55">
        <v>3.7</v>
      </c>
      <c r="AF273" s="55">
        <v>0</v>
      </c>
      <c r="AG273" s="55">
        <v>4.0999999999999996</v>
      </c>
      <c r="AH273" s="55">
        <v>4.3</v>
      </c>
      <c r="AI273" s="55">
        <v>3.99</v>
      </c>
      <c r="AJ273" s="55">
        <v>3.93</v>
      </c>
      <c r="AK273" s="55">
        <v>0</v>
      </c>
      <c r="AL273" s="55">
        <v>3.8</v>
      </c>
      <c r="AM273" s="55">
        <v>0</v>
      </c>
      <c r="AN273" s="55">
        <v>3.88</v>
      </c>
      <c r="AO273" s="55">
        <v>3.71</v>
      </c>
      <c r="AP273" s="55">
        <v>0</v>
      </c>
      <c r="AQ273" s="55">
        <v>4.01</v>
      </c>
      <c r="AR273" s="8">
        <v>0</v>
      </c>
      <c r="AS273" s="8">
        <v>3.92</v>
      </c>
      <c r="AT273" s="8">
        <v>3.68</v>
      </c>
      <c r="AU273" s="50">
        <v>3.7</v>
      </c>
      <c r="AV273" s="50">
        <v>4.1399999999999997</v>
      </c>
      <c r="AW273" s="50">
        <v>3.65</v>
      </c>
      <c r="AX273" s="50">
        <v>3.87</v>
      </c>
      <c r="AY273" s="50">
        <v>4.13</v>
      </c>
      <c r="AZ273" s="50">
        <v>4.5</v>
      </c>
      <c r="BA273" s="50">
        <v>3.1</v>
      </c>
      <c r="BB273" s="50">
        <v>3.6</v>
      </c>
      <c r="BC273" s="55">
        <v>2.7</v>
      </c>
      <c r="BD273" s="55">
        <v>3.9</v>
      </c>
      <c r="BE273" s="11">
        <v>3.5259999999999998</v>
      </c>
      <c r="BF273" s="4">
        <v>0</v>
      </c>
      <c r="BG273" s="4">
        <v>3.335</v>
      </c>
      <c r="BH273" s="4">
        <v>3.367</v>
      </c>
      <c r="BI273" s="4">
        <v>3.7650000000000001</v>
      </c>
      <c r="BJ273" s="14">
        <v>3.82</v>
      </c>
      <c r="BK273" s="14">
        <v>3.41</v>
      </c>
      <c r="BL273" s="4">
        <v>3.2450000000000001</v>
      </c>
      <c r="BM273" s="17">
        <v>3.89</v>
      </c>
      <c r="BN273" s="4">
        <v>4.5199999999999996</v>
      </c>
      <c r="BO273" s="4">
        <v>4.6970000000000001</v>
      </c>
      <c r="BP273" s="4">
        <v>4.8499999999999996</v>
      </c>
      <c r="BQ273" s="4">
        <v>3.8109999999999999</v>
      </c>
      <c r="BR273" s="4">
        <v>3.5920000000000001</v>
      </c>
      <c r="BS273" s="4">
        <v>3.093</v>
      </c>
      <c r="BT273" s="4">
        <v>3.4510000000000001</v>
      </c>
      <c r="BU273" s="4">
        <v>4.16</v>
      </c>
      <c r="BV273" s="4">
        <v>4.1840000000000002</v>
      </c>
      <c r="BW273" s="4">
        <v>3.1819999999999999</v>
      </c>
      <c r="BX273" s="4">
        <v>3.7559999999999998</v>
      </c>
      <c r="BY273" s="4">
        <v>3.77</v>
      </c>
      <c r="BZ273" s="55">
        <v>3.23</v>
      </c>
      <c r="CA273" s="55">
        <v>0</v>
      </c>
      <c r="CB273" s="55">
        <v>0</v>
      </c>
      <c r="CC273" s="55">
        <v>0</v>
      </c>
      <c r="CD273" s="55">
        <v>0</v>
      </c>
      <c r="CE273" s="19">
        <v>4.0999999999999996</v>
      </c>
      <c r="CF273" s="19">
        <v>0</v>
      </c>
      <c r="CG273" s="4">
        <v>0</v>
      </c>
      <c r="CH273" s="4">
        <v>0</v>
      </c>
      <c r="CI273" s="4">
        <v>2.8</v>
      </c>
      <c r="CJ273" s="34">
        <v>2.7</v>
      </c>
      <c r="CK273" s="34">
        <v>2.9</v>
      </c>
      <c r="CL273" s="43">
        <v>2.7</v>
      </c>
      <c r="CM273" s="4">
        <v>2.6</v>
      </c>
      <c r="CN273" s="53">
        <v>2.8</v>
      </c>
      <c r="CO273" s="54">
        <v>3.4</v>
      </c>
      <c r="CP273" s="54">
        <v>4.5</v>
      </c>
      <c r="CQ273" s="4">
        <v>3.7</v>
      </c>
    </row>
    <row r="274" spans="1:95" s="55" customFormat="1" x14ac:dyDescent="0.35">
      <c r="A274" s="55">
        <v>273</v>
      </c>
      <c r="B274" s="55" t="s">
        <v>112</v>
      </c>
      <c r="C274" s="27" t="s">
        <v>722</v>
      </c>
      <c r="D274" s="50" t="s">
        <v>88</v>
      </c>
      <c r="E274" s="33" t="s">
        <v>89</v>
      </c>
      <c r="F274" s="4">
        <f>IFERROR(AVERAGEIF(Table1[[#This Row],[2019-Apr]:[2025-July]],"&lt;&gt;0"),0)</f>
        <v>5.0984647887323939</v>
      </c>
      <c r="G274" s="4">
        <f ca="1">IFERROR(AVERAGEIF(OFFSET(Table1[[#This Row],[Status]],0,COUNT(Table1[[#This Row],[2019-May]:[2025-July]]),1,-12),"&lt;&gt;0"),0)</f>
        <v>5.077</v>
      </c>
      <c r="H274" s="55">
        <f>IFERROR(SMALL(Table1[[#This Row],[2019-Apr]:[2025-July]],COUNTIF(Table1[[#This Row],[2019-Apr]:[2025-July]],0)+1),0)</f>
        <v>1.8520000000000001</v>
      </c>
      <c r="I274" s="55">
        <f>IFERROR(MAX(Table1[[#This Row],[2019-Apr]:[2025-July]]),0)</f>
        <v>10.3</v>
      </c>
      <c r="J274" s="4" cm="1">
        <f t="array" ref="J27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2.7731666666666666</v>
      </c>
      <c r="K274" s="4">
        <v>4.5</v>
      </c>
      <c r="L274" s="4">
        <f>IF(Table1[[#This Row],[Standard as per ISO]]&gt;=Table1[[#This Row],[Avg of best 6]],Table1[[#This Row],[Standard as per ISO]],Table1[[#This Row],[Avg of best 6]])</f>
        <v>4.5</v>
      </c>
      <c r="M274" s="4" cm="1">
        <f t="array" ref="M274">IFERROR(LOOKUP(2,1/(Table1[[#This Row],[2019-May]:[2025-July]]&lt;&gt;0),Table1[[#This Row],[2019-May]:[2025-July]]),0)</f>
        <v>4.2</v>
      </c>
      <c r="N274" s="4">
        <f>COUNTIF(Table1[[#This Row],[2019-Apr]:[2025-July]],"&gt;="&amp;Table1[[#This Row],[Target]])</f>
        <v>54</v>
      </c>
      <c r="O274" s="4">
        <f>IF(Table1[[#This Row],[Outliers 2Y]]=0,1,0)</f>
        <v>0</v>
      </c>
      <c r="P274" s="4">
        <f>IF(Table1[[#This Row],[Last value]]&gt;1.5*Table1[[#This Row],[Target]],1,0)</f>
        <v>0</v>
      </c>
      <c r="Q274" s="4">
        <f>IF(AND(1.5*Table1[[#This Row],[Target]]&gt;=Table1[[#This Row],[Last value]],Table1[[#This Row],[Last value]]&gt;Table1[[#This Row],[Target]]),1,0)</f>
        <v>0</v>
      </c>
      <c r="R274" s="4">
        <f>IF(Table1[[#This Row],[Target]]&gt;=Table1[[#This Row],[Last value]],1,0)</f>
        <v>1</v>
      </c>
      <c r="S274" s="4" t="str">
        <f t="shared" si="6"/>
        <v>Green</v>
      </c>
      <c r="T274" s="55">
        <v>0</v>
      </c>
      <c r="U274" s="55">
        <v>4.6500000000000004</v>
      </c>
      <c r="V274" s="55">
        <v>4.3600000000000003</v>
      </c>
      <c r="W274" s="55">
        <v>5.0599999999999996</v>
      </c>
      <c r="X274" s="55">
        <v>4.0599999999999996</v>
      </c>
      <c r="Y274" s="55">
        <v>4.38</v>
      </c>
      <c r="Z274" s="55">
        <v>4.63</v>
      </c>
      <c r="AA274" s="55">
        <v>4.96</v>
      </c>
      <c r="AB274" s="55">
        <v>5.2</v>
      </c>
      <c r="AC274" s="55">
        <v>4.84</v>
      </c>
      <c r="AD274" s="55">
        <v>5.05</v>
      </c>
      <c r="AE274" s="55">
        <v>4.9000000000000004</v>
      </c>
      <c r="AF274" s="55">
        <v>4.3</v>
      </c>
      <c r="AG274" s="55">
        <v>6.7</v>
      </c>
      <c r="AH274" s="55">
        <v>6.9</v>
      </c>
      <c r="AI274" s="55">
        <v>5.4</v>
      </c>
      <c r="AJ274" s="55">
        <v>7.01</v>
      </c>
      <c r="AK274" s="55">
        <v>6.9</v>
      </c>
      <c r="AL274" s="55">
        <v>7.1</v>
      </c>
      <c r="AM274" s="55">
        <v>6.72</v>
      </c>
      <c r="AN274" s="55">
        <v>7.37</v>
      </c>
      <c r="AO274" s="55">
        <v>7.35</v>
      </c>
      <c r="AP274" s="55">
        <v>7.2</v>
      </c>
      <c r="AQ274" s="55">
        <v>6.14</v>
      </c>
      <c r="AR274" s="8">
        <v>10.3</v>
      </c>
      <c r="AS274" s="9">
        <v>7.47</v>
      </c>
      <c r="AT274" s="9">
        <v>4.7</v>
      </c>
      <c r="AU274" s="50">
        <v>4.7</v>
      </c>
      <c r="AV274" s="50">
        <v>4.7</v>
      </c>
      <c r="AW274" s="50">
        <v>4.7</v>
      </c>
      <c r="AX274" s="50">
        <v>4.7</v>
      </c>
      <c r="AY274" s="50">
        <v>4.7</v>
      </c>
      <c r="AZ274" s="50">
        <v>4.7</v>
      </c>
      <c r="BA274" s="50">
        <v>5.2</v>
      </c>
      <c r="BB274" s="50">
        <v>5.4</v>
      </c>
      <c r="BC274" s="55">
        <v>6.8</v>
      </c>
      <c r="BD274" s="55">
        <v>6.1</v>
      </c>
      <c r="BE274" s="11">
        <v>3.5</v>
      </c>
      <c r="BF274" s="4">
        <v>0</v>
      </c>
      <c r="BG274" s="4">
        <v>4.2050000000000001</v>
      </c>
      <c r="BH274" s="4">
        <v>4.8220000000000001</v>
      </c>
      <c r="BI274" s="4">
        <v>5.39</v>
      </c>
      <c r="BJ274" s="13">
        <v>5.3710000000000004</v>
      </c>
      <c r="BK274" s="13">
        <v>5.3579999999999997</v>
      </c>
      <c r="BL274" s="4">
        <v>4.931</v>
      </c>
      <c r="BM274" s="16">
        <v>5.7759999999999998</v>
      </c>
      <c r="BN274" s="4">
        <v>4.79</v>
      </c>
      <c r="BO274" s="4">
        <v>1.8520000000000001</v>
      </c>
      <c r="BP274" s="4">
        <v>2.1669999999999998</v>
      </c>
      <c r="BQ274" s="4">
        <v>2.6269999999999998</v>
      </c>
      <c r="BR274" s="4">
        <v>2.919</v>
      </c>
      <c r="BS274" s="4">
        <v>3.5739999999999998</v>
      </c>
      <c r="BT274" s="4">
        <v>3.6629999999999998</v>
      </c>
      <c r="BU274" s="4">
        <v>3.8969999999999998</v>
      </c>
      <c r="BV274" s="4">
        <v>3.7839999999999998</v>
      </c>
      <c r="BW274" s="4">
        <v>3.9449999999999998</v>
      </c>
      <c r="BX274" s="4">
        <v>4.87</v>
      </c>
      <c r="BY274" s="4">
        <v>4.57</v>
      </c>
      <c r="BZ274" s="55">
        <v>4.93</v>
      </c>
      <c r="CA274" s="55">
        <v>4.5</v>
      </c>
      <c r="CB274" s="55">
        <v>4.8899999999999997</v>
      </c>
      <c r="CC274" s="55">
        <v>0</v>
      </c>
      <c r="CD274" s="55">
        <v>5.34</v>
      </c>
      <c r="CE274" s="19">
        <v>4.8</v>
      </c>
      <c r="CF274" s="19">
        <v>0</v>
      </c>
      <c r="CG274" s="4">
        <v>4.97</v>
      </c>
      <c r="CH274" s="4">
        <v>0</v>
      </c>
      <c r="CI274" s="4">
        <v>4.5999999999999996</v>
      </c>
      <c r="CJ274" s="34">
        <v>5.0999999999999996</v>
      </c>
      <c r="CK274" s="34">
        <v>5.4</v>
      </c>
      <c r="CL274" s="43">
        <v>5</v>
      </c>
      <c r="CM274" s="4">
        <v>6.3</v>
      </c>
      <c r="CN274" s="53">
        <v>6</v>
      </c>
      <c r="CO274" s="54">
        <v>4.0999999999999996</v>
      </c>
      <c r="CP274" s="54">
        <v>4.5</v>
      </c>
      <c r="CQ274" s="4">
        <v>4.2</v>
      </c>
    </row>
    <row r="275" spans="1:95" s="55" customFormat="1" x14ac:dyDescent="0.35">
      <c r="A275" s="55">
        <v>274</v>
      </c>
      <c r="B275" s="55" t="s">
        <v>112</v>
      </c>
      <c r="C275" s="27" t="s">
        <v>723</v>
      </c>
      <c r="D275" s="50" t="s">
        <v>88</v>
      </c>
      <c r="E275" s="33" t="s">
        <v>89</v>
      </c>
      <c r="F275" s="4">
        <f>IFERROR(AVERAGEIF(Table1[[#This Row],[2019-Apr]:[2025-July]],"&lt;&gt;0"),0)</f>
        <v>3.7348787878787872</v>
      </c>
      <c r="G275" s="4">
        <f ca="1">IFERROR(AVERAGEIF(OFFSET(Table1[[#This Row],[Status]],0,COUNT(Table1[[#This Row],[2019-May]:[2025-July]]),1,-12),"&lt;&gt;0"),0)</f>
        <v>2.625</v>
      </c>
      <c r="H275" s="55">
        <f>IFERROR(SMALL(Table1[[#This Row],[2019-Apr]:[2025-July]],COUNTIF(Table1[[#This Row],[2019-Apr]:[2025-July]],0)+1),0)</f>
        <v>2.1</v>
      </c>
      <c r="I275" s="55">
        <f>IFERROR(MAX(Table1[[#This Row],[2019-Apr]:[2025-July]]),0)</f>
        <v>6</v>
      </c>
      <c r="J275" s="4" cm="1">
        <f t="array" ref="J27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2.1493333333333333</v>
      </c>
      <c r="K275" s="4">
        <v>4.5</v>
      </c>
      <c r="L275" s="4">
        <f>IF(Table1[[#This Row],[Standard as per ISO]]&gt;=Table1[[#This Row],[Avg of best 6]],Table1[[#This Row],[Standard as per ISO]],Table1[[#This Row],[Avg of best 6]])</f>
        <v>4.5</v>
      </c>
      <c r="M275" s="4" cm="1">
        <f t="array" ref="M275">IFERROR(LOOKUP(2,1/(Table1[[#This Row],[2019-May]:[2025-July]]&lt;&gt;0),Table1[[#This Row],[2019-May]:[2025-July]]),0)</f>
        <v>2.2000000000000002</v>
      </c>
      <c r="N275" s="4">
        <f>COUNTIF(Table1[[#This Row],[2019-Apr]:[2025-July]],"&gt;="&amp;Table1[[#This Row],[Target]])</f>
        <v>17</v>
      </c>
      <c r="O275" s="4">
        <f>IF(Table1[[#This Row],[Outliers 2Y]]=0,1,0)</f>
        <v>0</v>
      </c>
      <c r="P275" s="4">
        <f>IF(Table1[[#This Row],[Last value]]&gt;1.5*Table1[[#This Row],[Target]],1,0)</f>
        <v>0</v>
      </c>
      <c r="Q275" s="4">
        <f>IF(AND(1.5*Table1[[#This Row],[Target]]&gt;=Table1[[#This Row],[Last value]],Table1[[#This Row],[Last value]]&gt;Table1[[#This Row],[Target]]),1,0)</f>
        <v>0</v>
      </c>
      <c r="R275" s="4">
        <f>IF(Table1[[#This Row],[Target]]&gt;=Table1[[#This Row],[Last value]],1,0)</f>
        <v>1</v>
      </c>
      <c r="S275" s="4" t="str">
        <f t="shared" si="6"/>
        <v>Green</v>
      </c>
      <c r="T275" s="55">
        <v>0</v>
      </c>
      <c r="U275" s="55">
        <v>3.8</v>
      </c>
      <c r="V275" s="55">
        <v>3.72</v>
      </c>
      <c r="W275" s="55">
        <v>3.61</v>
      </c>
      <c r="X275" s="55">
        <v>3.15</v>
      </c>
      <c r="Y275" s="55">
        <v>3.63</v>
      </c>
      <c r="Z275" s="55">
        <v>4.62</v>
      </c>
      <c r="AA275" s="55">
        <v>4.2300000000000004</v>
      </c>
      <c r="AB275" s="55">
        <v>4.6399999999999997</v>
      </c>
      <c r="AC275" s="55">
        <v>4.59</v>
      </c>
      <c r="AD275" s="55">
        <v>5.19</v>
      </c>
      <c r="AE275" s="55">
        <v>5.6</v>
      </c>
      <c r="AF275" s="55">
        <v>0</v>
      </c>
      <c r="AG275" s="55">
        <v>5.6</v>
      </c>
      <c r="AH275" s="55">
        <v>5.0999999999999996</v>
      </c>
      <c r="AI275" s="55">
        <v>5.75</v>
      </c>
      <c r="AJ275" s="55">
        <v>6</v>
      </c>
      <c r="AK275" s="55">
        <v>0</v>
      </c>
      <c r="AL275" s="55">
        <v>5.6</v>
      </c>
      <c r="AM275" s="55">
        <v>4.66</v>
      </c>
      <c r="AN275" s="55">
        <v>4.17</v>
      </c>
      <c r="AO275" s="55">
        <v>4.3899999999999997</v>
      </c>
      <c r="AP275" s="55">
        <v>0</v>
      </c>
      <c r="AQ275" s="55">
        <v>4.87</v>
      </c>
      <c r="AR275" s="8">
        <v>0</v>
      </c>
      <c r="AS275" s="8">
        <v>5.51</v>
      </c>
      <c r="AT275" s="8">
        <v>5.35</v>
      </c>
      <c r="AU275" s="50">
        <v>5.34</v>
      </c>
      <c r="AV275" s="50">
        <v>5.47</v>
      </c>
      <c r="AW275" s="50">
        <v>5.16</v>
      </c>
      <c r="AX275" s="50">
        <v>4.3899999999999997</v>
      </c>
      <c r="AY275" s="50">
        <v>3.7</v>
      </c>
      <c r="AZ275" s="50">
        <v>4.05</v>
      </c>
      <c r="BA275" s="50">
        <v>3.8</v>
      </c>
      <c r="BB275" s="50">
        <v>3.2</v>
      </c>
      <c r="BC275" s="55">
        <v>3.8</v>
      </c>
      <c r="BD275" s="55">
        <v>3</v>
      </c>
      <c r="BE275" s="11">
        <v>3.2959999999999998</v>
      </c>
      <c r="BF275" s="4">
        <v>0</v>
      </c>
      <c r="BG275" s="4">
        <v>2.984</v>
      </c>
      <c r="BH275" s="4">
        <v>3.4460000000000002</v>
      </c>
      <c r="BI275" s="4">
        <v>4.2380000000000004</v>
      </c>
      <c r="BJ275" s="14">
        <v>3.48</v>
      </c>
      <c r="BK275" s="14">
        <v>3.7480000000000002</v>
      </c>
      <c r="BL275" s="4">
        <v>3.4380000000000002</v>
      </c>
      <c r="BM275" s="17">
        <v>3.7290000000000001</v>
      </c>
      <c r="BN275" s="4">
        <v>3.044</v>
      </c>
      <c r="BO275" s="4">
        <v>3.2519999999999998</v>
      </c>
      <c r="BP275" s="4">
        <v>3.077</v>
      </c>
      <c r="BQ275" s="4">
        <v>3.1930000000000001</v>
      </c>
      <c r="BR275" s="4">
        <v>3.45</v>
      </c>
      <c r="BS275" s="4">
        <v>2.919</v>
      </c>
      <c r="BT275" s="4">
        <v>2.8679999999999999</v>
      </c>
      <c r="BU275" s="4">
        <v>3.1640000000000001</v>
      </c>
      <c r="BV275" s="4">
        <v>2.62</v>
      </c>
      <c r="BW275" s="4">
        <v>2.1669999999999998</v>
      </c>
      <c r="BX275" s="4">
        <v>2.129</v>
      </c>
      <c r="BY275" s="4">
        <v>2.5099999999999998</v>
      </c>
      <c r="BZ275" s="55">
        <v>2.1</v>
      </c>
      <c r="CA275" s="55">
        <v>2.63</v>
      </c>
      <c r="CB275" s="55">
        <v>3.54</v>
      </c>
      <c r="CC275" s="55">
        <v>4.2699999999999996</v>
      </c>
      <c r="CD275" s="55">
        <v>2.3199999999999998</v>
      </c>
      <c r="CE275" s="19">
        <v>0</v>
      </c>
      <c r="CF275" s="19">
        <v>2.7</v>
      </c>
      <c r="CG275" s="4">
        <v>0</v>
      </c>
      <c r="CH275" s="4">
        <v>0</v>
      </c>
      <c r="CI275" s="4">
        <v>2.5</v>
      </c>
      <c r="CJ275" s="34">
        <v>2.2000000000000002</v>
      </c>
      <c r="CK275" s="34">
        <v>2.4</v>
      </c>
      <c r="CL275" s="43">
        <v>2.5</v>
      </c>
      <c r="CM275" s="4">
        <v>0</v>
      </c>
      <c r="CN275" s="53">
        <v>2.1</v>
      </c>
      <c r="CO275" s="54">
        <v>4.0999999999999996</v>
      </c>
      <c r="CP275" s="54">
        <v>2.5</v>
      </c>
      <c r="CQ275" s="4">
        <v>2.2000000000000002</v>
      </c>
    </row>
    <row r="276" spans="1:95" s="55" customFormat="1" x14ac:dyDescent="0.35">
      <c r="A276" s="55">
        <v>275</v>
      </c>
      <c r="B276" s="55" t="s">
        <v>112</v>
      </c>
      <c r="C276" s="27" t="s">
        <v>724</v>
      </c>
      <c r="D276" s="50" t="s">
        <v>88</v>
      </c>
      <c r="E276" s="33" t="s">
        <v>89</v>
      </c>
      <c r="F276" s="4">
        <f>IFERROR(AVERAGEIF(Table1[[#This Row],[2019-Apr]:[2025-July]],"&lt;&gt;0"),0)</f>
        <v>4.250107142857142</v>
      </c>
      <c r="G276" s="4">
        <f ca="1">IFERROR(AVERAGEIF(OFFSET(Table1[[#This Row],[Status]],0,COUNT(Table1[[#This Row],[2019-May]:[2025-July]]),1,-12),"&lt;&gt;0"),0)</f>
        <v>3.5</v>
      </c>
      <c r="H276" s="55">
        <f>IFERROR(SMALL(Table1[[#This Row],[2019-Apr]:[2025-July]],COUNTIF(Table1[[#This Row],[2019-Apr]:[2025-July]],0)+1),0)</f>
        <v>2.57</v>
      </c>
      <c r="I276" s="55">
        <f>IFERROR(MAX(Table1[[#This Row],[2019-Apr]:[2025-July]]),0)</f>
        <v>9.2840000000000007</v>
      </c>
      <c r="J276" s="4" cm="1">
        <f t="array" ref="J27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2.9269999999999996</v>
      </c>
      <c r="K276" s="4">
        <v>4.5</v>
      </c>
      <c r="L276" s="4">
        <f>IF(Table1[[#This Row],[Standard as per ISO]]&gt;=Table1[[#This Row],[Avg of best 6]],Table1[[#This Row],[Standard as per ISO]],Table1[[#This Row],[Avg of best 6]])</f>
        <v>4.5</v>
      </c>
      <c r="M276" s="4" cm="1">
        <f t="array" ref="M276">IFERROR(LOOKUP(2,1/(Table1[[#This Row],[2019-May]:[2025-July]]&lt;&gt;0),Table1[[#This Row],[2019-May]:[2025-July]]),0)</f>
        <v>3.5</v>
      </c>
      <c r="N276" s="4">
        <f>COUNTIF(Table1[[#This Row],[2019-Apr]:[2025-July]],"&gt;="&amp;Table1[[#This Row],[Target]])</f>
        <v>20</v>
      </c>
      <c r="O276" s="4">
        <f>IF(Table1[[#This Row],[Outliers 2Y]]=0,1,0)</f>
        <v>0</v>
      </c>
      <c r="P276" s="4">
        <f>IF(Table1[[#This Row],[Last value]]&gt;1.5*Table1[[#This Row],[Target]],1,0)</f>
        <v>0</v>
      </c>
      <c r="Q276" s="4">
        <f>IF(AND(1.5*Table1[[#This Row],[Target]]&gt;=Table1[[#This Row],[Last value]],Table1[[#This Row],[Last value]]&gt;Table1[[#This Row],[Target]]),1,0)</f>
        <v>0</v>
      </c>
      <c r="R276" s="4">
        <f>IF(Table1[[#This Row],[Target]]&gt;=Table1[[#This Row],[Last value]],1,0)</f>
        <v>1</v>
      </c>
      <c r="S276" s="4" t="str">
        <f t="shared" si="6"/>
        <v>Green</v>
      </c>
      <c r="T276" s="55">
        <v>0</v>
      </c>
      <c r="U276" s="55">
        <v>3.45</v>
      </c>
      <c r="V276" s="55">
        <v>4.49</v>
      </c>
      <c r="W276" s="55">
        <v>3.57</v>
      </c>
      <c r="X276" s="55">
        <v>3</v>
      </c>
      <c r="Y276" s="55">
        <v>4.03</v>
      </c>
      <c r="Z276" s="55">
        <v>3.06</v>
      </c>
      <c r="AA276" s="55">
        <v>3.22</v>
      </c>
      <c r="AB276" s="55">
        <v>4.1900000000000004</v>
      </c>
      <c r="AC276" s="55">
        <v>4.32</v>
      </c>
      <c r="AD276" s="55">
        <v>5.18</v>
      </c>
      <c r="AE276" s="55">
        <v>4.3</v>
      </c>
      <c r="AF276" s="55">
        <v>0</v>
      </c>
      <c r="AG276" s="55">
        <v>4.9000000000000004</v>
      </c>
      <c r="AH276" s="55">
        <v>4.9000000000000004</v>
      </c>
      <c r="AI276" s="55">
        <v>4.0999999999999996</v>
      </c>
      <c r="AJ276" s="55">
        <v>5.07</v>
      </c>
      <c r="AK276" s="55">
        <v>4.9800000000000004</v>
      </c>
      <c r="AL276" s="55">
        <v>5.05</v>
      </c>
      <c r="AM276" s="55">
        <v>5.22</v>
      </c>
      <c r="AN276" s="55">
        <v>5.21</v>
      </c>
      <c r="AO276" s="55">
        <v>5.0999999999999996</v>
      </c>
      <c r="AP276" s="55">
        <v>0</v>
      </c>
      <c r="AQ276" s="55">
        <v>4.59</v>
      </c>
      <c r="AR276" s="8">
        <v>0</v>
      </c>
      <c r="AS276" s="8">
        <v>5.22</v>
      </c>
      <c r="AT276" s="8">
        <v>4.5</v>
      </c>
      <c r="AU276" s="50">
        <v>4.2</v>
      </c>
      <c r="AV276" s="50">
        <v>4.32</v>
      </c>
      <c r="AW276" s="50">
        <v>3.95</v>
      </c>
      <c r="AX276" s="50">
        <v>4.8</v>
      </c>
      <c r="AY276" s="50">
        <v>4.49</v>
      </c>
      <c r="AZ276" s="50">
        <v>3.47</v>
      </c>
      <c r="BA276" s="50">
        <v>3</v>
      </c>
      <c r="BB276" s="50">
        <v>3.2</v>
      </c>
      <c r="BC276" s="55">
        <v>3.7</v>
      </c>
      <c r="BD276" s="55">
        <v>3.2</v>
      </c>
      <c r="BE276" s="11">
        <v>4.22</v>
      </c>
      <c r="BF276" s="4">
        <v>0</v>
      </c>
      <c r="BG276" s="4">
        <v>4.1020000000000003</v>
      </c>
      <c r="BH276" s="4">
        <v>4.0119999999999996</v>
      </c>
      <c r="BI276" s="4">
        <v>4.3179999999999996</v>
      </c>
      <c r="BJ276" s="13">
        <v>3.0219999999999998</v>
      </c>
      <c r="BK276" s="13">
        <v>9.2840000000000007</v>
      </c>
      <c r="BL276" s="4">
        <v>6.4</v>
      </c>
      <c r="BM276" s="16">
        <v>5.5170000000000003</v>
      </c>
      <c r="BN276" s="4">
        <v>4.9720000000000004</v>
      </c>
      <c r="BO276" s="4">
        <v>5.2779999999999996</v>
      </c>
      <c r="BP276" s="4">
        <v>4.6479999999999997</v>
      </c>
      <c r="BQ276" s="4">
        <v>2.95</v>
      </c>
      <c r="BR276" s="4">
        <v>3.1190000000000002</v>
      </c>
      <c r="BS276" s="4">
        <v>4.444</v>
      </c>
      <c r="BT276" s="4">
        <v>3.1549999999999998</v>
      </c>
      <c r="BU276" s="4">
        <v>3.5960000000000001</v>
      </c>
      <c r="BV276" s="4">
        <v>3.4180000000000001</v>
      </c>
      <c r="BW276" s="4">
        <v>3.609</v>
      </c>
      <c r="BX276" s="4">
        <v>4.5720000000000001</v>
      </c>
      <c r="BY276" s="4">
        <v>4.3</v>
      </c>
      <c r="BZ276" s="55">
        <v>0</v>
      </c>
      <c r="CA276" s="55">
        <v>3.02</v>
      </c>
      <c r="CB276" s="55">
        <v>2.57</v>
      </c>
      <c r="CC276" s="55">
        <v>0</v>
      </c>
      <c r="CD276" s="55">
        <v>0</v>
      </c>
      <c r="CE276" s="19">
        <v>0</v>
      </c>
      <c r="CF276" s="19">
        <v>3.5</v>
      </c>
      <c r="CG276" s="4">
        <v>0</v>
      </c>
      <c r="CH276" s="4">
        <v>0</v>
      </c>
      <c r="CI276" s="4">
        <v>0</v>
      </c>
      <c r="CJ276" s="34">
        <v>0</v>
      </c>
      <c r="CK276" s="34">
        <v>0</v>
      </c>
      <c r="CL276" s="43">
        <v>0</v>
      </c>
      <c r="CM276" s="4">
        <v>0</v>
      </c>
      <c r="CN276" s="53">
        <v>0</v>
      </c>
      <c r="CO276" s="54">
        <v>0</v>
      </c>
      <c r="CP276" s="54">
        <v>0</v>
      </c>
      <c r="CQ276" s="4">
        <v>0</v>
      </c>
    </row>
    <row r="277" spans="1:95" s="55" customFormat="1" x14ac:dyDescent="0.35">
      <c r="A277" s="55">
        <v>276</v>
      </c>
      <c r="B277" s="55" t="s">
        <v>112</v>
      </c>
      <c r="C277" s="27" t="s">
        <v>725</v>
      </c>
      <c r="D277" s="50" t="s">
        <v>88</v>
      </c>
      <c r="E277" s="33" t="s">
        <v>89</v>
      </c>
      <c r="F277" s="4">
        <f>IFERROR(AVERAGEIF(Table1[[#This Row],[2019-Apr]:[2025-July]],"&lt;&gt;0"),0)</f>
        <v>2.9227580645161293</v>
      </c>
      <c r="G277" s="4">
        <f ca="1">IFERROR(AVERAGEIF(OFFSET(Table1[[#This Row],[Status]],0,COUNT(Table1[[#This Row],[2019-May]:[2025-July]]),1,-12),"&lt;&gt;0"),0)</f>
        <v>3.3633333333333337</v>
      </c>
      <c r="H277" s="55">
        <f>IFERROR(SMALL(Table1[[#This Row],[2019-Apr]:[2025-July]],COUNTIF(Table1[[#This Row],[2019-Apr]:[2025-July]],0)+1),0)</f>
        <v>1.64</v>
      </c>
      <c r="I277" s="55">
        <f>IFERROR(MAX(Table1[[#This Row],[2019-Apr]:[2025-July]]),0)</f>
        <v>13.5</v>
      </c>
      <c r="J277" s="4" cm="1">
        <f t="array" ref="J27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1.7403333333333333</v>
      </c>
      <c r="K277" s="4">
        <v>4.5</v>
      </c>
      <c r="L277" s="4">
        <f>IF(Table1[[#This Row],[Standard as per ISO]]&gt;=Table1[[#This Row],[Avg of best 6]],Table1[[#This Row],[Standard as per ISO]],Table1[[#This Row],[Avg of best 6]])</f>
        <v>4.5</v>
      </c>
      <c r="M277" s="4" cm="1">
        <f t="array" ref="M277">IFERROR(LOOKUP(2,1/(Table1[[#This Row],[2019-May]:[2025-July]]&lt;&gt;0),Table1[[#This Row],[2019-May]:[2025-July]]),0)</f>
        <v>4</v>
      </c>
      <c r="N277" s="4">
        <f>COUNTIF(Table1[[#This Row],[2019-Apr]:[2025-July]],"&gt;="&amp;Table1[[#This Row],[Target]])</f>
        <v>4</v>
      </c>
      <c r="O277" s="4">
        <f>IF(Table1[[#This Row],[Outliers 2Y]]=0,1,0)</f>
        <v>0</v>
      </c>
      <c r="P277" s="4">
        <f>IF(Table1[[#This Row],[Last value]]&gt;1.5*Table1[[#This Row],[Target]],1,0)</f>
        <v>0</v>
      </c>
      <c r="Q277" s="4">
        <f>IF(AND(1.5*Table1[[#This Row],[Target]]&gt;=Table1[[#This Row],[Last value]],Table1[[#This Row],[Last value]]&gt;Table1[[#This Row],[Target]]),1,0)</f>
        <v>0</v>
      </c>
      <c r="R277" s="4">
        <f>IF(Table1[[#This Row],[Target]]&gt;=Table1[[#This Row],[Last value]],1,0)</f>
        <v>1</v>
      </c>
      <c r="S277" s="4" t="str">
        <f t="shared" si="6"/>
        <v>Green</v>
      </c>
      <c r="T277" s="55">
        <v>0</v>
      </c>
      <c r="U277" s="55">
        <v>0</v>
      </c>
      <c r="V277" s="55">
        <v>13.5</v>
      </c>
      <c r="W277" s="55">
        <v>3.7</v>
      </c>
      <c r="X277" s="55">
        <v>3.63</v>
      </c>
      <c r="Y277" s="55">
        <v>3.81</v>
      </c>
      <c r="Z277" s="55">
        <v>3.49</v>
      </c>
      <c r="AA277" s="55">
        <v>4.01</v>
      </c>
      <c r="AB277" s="55">
        <v>2.7</v>
      </c>
      <c r="AC277" s="55">
        <v>1.64</v>
      </c>
      <c r="AD277" s="55">
        <v>2.39</v>
      </c>
      <c r="AE277" s="55">
        <v>2.5</v>
      </c>
      <c r="AF277" s="55">
        <v>0</v>
      </c>
      <c r="AG277" s="55">
        <v>3.3</v>
      </c>
      <c r="AH277" s="55">
        <v>2.2599999999999998</v>
      </c>
      <c r="AI277" s="55">
        <v>3.6</v>
      </c>
      <c r="AJ277" s="55">
        <v>2.42</v>
      </c>
      <c r="AK277" s="55">
        <v>0</v>
      </c>
      <c r="AL277" s="55">
        <v>2.2999999999999998</v>
      </c>
      <c r="AM277" s="55">
        <v>1.8</v>
      </c>
      <c r="AN277" s="55">
        <v>1.87</v>
      </c>
      <c r="AO277" s="55">
        <v>2.13</v>
      </c>
      <c r="AP277" s="55">
        <v>0</v>
      </c>
      <c r="AQ277" s="55">
        <v>1.76</v>
      </c>
      <c r="AR277" s="8">
        <v>0</v>
      </c>
      <c r="AS277" s="8">
        <v>2.2599999999999998</v>
      </c>
      <c r="AT277" s="8">
        <v>2.2000000000000002</v>
      </c>
      <c r="AU277" s="50">
        <v>1.85</v>
      </c>
      <c r="AV277" s="50">
        <v>1.99</v>
      </c>
      <c r="AW277" s="50">
        <v>1.73</v>
      </c>
      <c r="AX277" s="50">
        <v>2.1</v>
      </c>
      <c r="AY277" s="50">
        <v>2.09</v>
      </c>
      <c r="AZ277" s="50">
        <v>1.8</v>
      </c>
      <c r="BA277" s="50">
        <v>2.1</v>
      </c>
      <c r="BB277" s="50">
        <v>1.9</v>
      </c>
      <c r="BC277" s="55">
        <v>6</v>
      </c>
      <c r="BD277" s="55">
        <v>5.2</v>
      </c>
      <c r="BE277" s="11">
        <v>3.7959999999999998</v>
      </c>
      <c r="BF277" s="4">
        <v>0</v>
      </c>
      <c r="BG277" s="4">
        <v>3.4569999999999999</v>
      </c>
      <c r="BH277" s="4">
        <v>2.7480000000000002</v>
      </c>
      <c r="BI277" s="4">
        <v>2.766</v>
      </c>
      <c r="BJ277" s="14">
        <v>2.9550000000000001</v>
      </c>
      <c r="BK277" s="14">
        <v>3.6840000000000002</v>
      </c>
      <c r="BL277" s="4">
        <v>2.54</v>
      </c>
      <c r="BM277" s="17">
        <v>2.625</v>
      </c>
      <c r="BN277" s="4">
        <v>2.4300000000000002</v>
      </c>
      <c r="BO277" s="4">
        <v>2.1829999999999998</v>
      </c>
      <c r="BP277" s="4">
        <v>2.4980000000000002</v>
      </c>
      <c r="BQ277" s="4">
        <v>1.946</v>
      </c>
      <c r="BR277" s="4">
        <v>1.712</v>
      </c>
      <c r="BS277" s="4">
        <v>2.0590000000000002</v>
      </c>
      <c r="BT277" s="4">
        <v>2.0529999999999999</v>
      </c>
      <c r="BU277" s="4">
        <v>2.2429999999999999</v>
      </c>
      <c r="BV277" s="4">
        <v>2.1949999999999998</v>
      </c>
      <c r="BW277" s="4">
        <v>2.1880000000000002</v>
      </c>
      <c r="BX277" s="4">
        <v>2.573</v>
      </c>
      <c r="BY277" s="4">
        <v>2.36</v>
      </c>
      <c r="BZ277" s="55">
        <v>0</v>
      </c>
      <c r="CA277" s="55">
        <v>0</v>
      </c>
      <c r="CB277" s="55">
        <v>0</v>
      </c>
      <c r="CC277" s="55">
        <v>1.9</v>
      </c>
      <c r="CD277" s="55">
        <v>0</v>
      </c>
      <c r="CE277" s="19">
        <v>0</v>
      </c>
      <c r="CF277" s="19">
        <v>2</v>
      </c>
      <c r="CG277" s="4">
        <v>0</v>
      </c>
      <c r="CH277" s="4">
        <v>0</v>
      </c>
      <c r="CI277" s="4">
        <v>2.97</v>
      </c>
      <c r="CJ277" s="34">
        <v>2.6</v>
      </c>
      <c r="CK277" s="34">
        <v>2.8</v>
      </c>
      <c r="CL277" s="43">
        <v>3.3</v>
      </c>
      <c r="CM277" s="4">
        <v>5.3</v>
      </c>
      <c r="CN277" s="53">
        <v>4.2</v>
      </c>
      <c r="CO277" s="54">
        <v>3.6</v>
      </c>
      <c r="CP277" s="54">
        <v>3.5</v>
      </c>
      <c r="CQ277" s="4">
        <v>4</v>
      </c>
    </row>
    <row r="278" spans="1:95" s="55" customFormat="1" x14ac:dyDescent="0.35">
      <c r="A278" s="55">
        <v>277</v>
      </c>
      <c r="B278" s="55" t="s">
        <v>112</v>
      </c>
      <c r="C278" s="27" t="s">
        <v>726</v>
      </c>
      <c r="D278" s="50" t="s">
        <v>88</v>
      </c>
      <c r="E278" s="33" t="s">
        <v>89</v>
      </c>
      <c r="F278" s="4">
        <f>IFERROR(AVERAGEIF(Table1[[#This Row],[2019-Apr]:[2025-July]],"&lt;&gt;0"),0)</f>
        <v>3.3757692307692309</v>
      </c>
      <c r="G278" s="4">
        <f ca="1">IFERROR(AVERAGEIF(OFFSET(Table1[[#This Row],[Status]],0,COUNT(Table1[[#This Row],[2019-May]:[2025-July]]),1,-12),"&lt;&gt;0"),0)</f>
        <v>1.8633333333333333</v>
      </c>
      <c r="H278" s="55">
        <f>IFERROR(SMALL(Table1[[#This Row],[2019-Apr]:[2025-July]],COUNTIF(Table1[[#This Row],[2019-Apr]:[2025-July]],0)+1),0)</f>
        <v>1.57</v>
      </c>
      <c r="I278" s="55">
        <f>IFERROR(MAX(Table1[[#This Row],[2019-Apr]:[2025-July]]),0)</f>
        <v>5.8</v>
      </c>
      <c r="J278" s="4" cm="1">
        <f t="array" ref="J27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1.68</v>
      </c>
      <c r="K278" s="4">
        <v>4.5</v>
      </c>
      <c r="L278" s="4">
        <f>IF(Table1[[#This Row],[Standard as per ISO]]&gt;=Table1[[#This Row],[Avg of best 6]],Table1[[#This Row],[Standard as per ISO]],Table1[[#This Row],[Avg of best 6]])</f>
        <v>4.5</v>
      </c>
      <c r="M278" s="4" cm="1">
        <f t="array" ref="M278">IFERROR(LOOKUP(2,1/(Table1[[#This Row],[2019-May]:[2025-July]]&lt;&gt;0),Table1[[#This Row],[2019-May]:[2025-July]]),0)</f>
        <v>2.2000000000000002</v>
      </c>
      <c r="N278" s="4">
        <f>COUNTIF(Table1[[#This Row],[2019-Apr]:[2025-July]],"&gt;="&amp;Table1[[#This Row],[Target]])</f>
        <v>7</v>
      </c>
      <c r="O278" s="4">
        <f>IF(Table1[[#This Row],[Outliers 2Y]]=0,1,0)</f>
        <v>0</v>
      </c>
      <c r="P278" s="4">
        <f>IF(Table1[[#This Row],[Last value]]&gt;1.5*Table1[[#This Row],[Target]],1,0)</f>
        <v>0</v>
      </c>
      <c r="Q278" s="4">
        <f>IF(AND(1.5*Table1[[#This Row],[Target]]&gt;=Table1[[#This Row],[Last value]],Table1[[#This Row],[Last value]]&gt;Table1[[#This Row],[Target]]),1,0)</f>
        <v>0</v>
      </c>
      <c r="R278" s="4">
        <f>IF(Table1[[#This Row],[Target]]&gt;=Table1[[#This Row],[Last value]],1,0)</f>
        <v>1</v>
      </c>
      <c r="S278" s="4" t="str">
        <f t="shared" si="6"/>
        <v>Green</v>
      </c>
      <c r="T278" s="55">
        <v>0</v>
      </c>
      <c r="U278" s="55">
        <v>4.3499999999999996</v>
      </c>
      <c r="V278" s="55">
        <v>4.1100000000000003</v>
      </c>
      <c r="W278" s="55">
        <v>4.1900000000000004</v>
      </c>
      <c r="X278" s="55">
        <v>5.39</v>
      </c>
      <c r="Y278" s="55">
        <v>4.5599999999999996</v>
      </c>
      <c r="Z278" s="55">
        <v>3.6</v>
      </c>
      <c r="AA278" s="55">
        <v>4.0599999999999996</v>
      </c>
      <c r="AB278" s="55">
        <v>4.47</v>
      </c>
      <c r="AC278" s="55">
        <v>4.22</v>
      </c>
      <c r="AD278" s="55">
        <v>4.17</v>
      </c>
      <c r="AE278" s="55">
        <v>4.4000000000000004</v>
      </c>
      <c r="AF278" s="55">
        <v>4.5</v>
      </c>
      <c r="AG278" s="55">
        <v>4.4000000000000004</v>
      </c>
      <c r="AH278" s="55">
        <v>3.66</v>
      </c>
      <c r="AI278" s="55">
        <v>5.8</v>
      </c>
      <c r="AJ278" s="55">
        <v>3.78</v>
      </c>
      <c r="AK278" s="55">
        <v>0</v>
      </c>
      <c r="AL278" s="55">
        <v>3.8</v>
      </c>
      <c r="AM278" s="55">
        <v>3.34</v>
      </c>
      <c r="AN278" s="55">
        <v>3.45</v>
      </c>
      <c r="AO278" s="55">
        <v>3.89</v>
      </c>
      <c r="AP278" s="55">
        <v>0</v>
      </c>
      <c r="AQ278" s="55">
        <v>3.58</v>
      </c>
      <c r="AR278" s="8">
        <v>0</v>
      </c>
      <c r="AS278" s="8">
        <v>4.68</v>
      </c>
      <c r="AT278" s="8">
        <v>4</v>
      </c>
      <c r="AU278" s="50">
        <v>3.95</v>
      </c>
      <c r="AV278" s="50">
        <v>4.2699999999999996</v>
      </c>
      <c r="AW278" s="50">
        <v>3.87</v>
      </c>
      <c r="AX278" s="50">
        <v>5.3</v>
      </c>
      <c r="AY278" s="50">
        <v>5.1100000000000003</v>
      </c>
      <c r="AZ278" s="50">
        <v>4.43</v>
      </c>
      <c r="BA278" s="50">
        <v>4.2</v>
      </c>
      <c r="BB278" s="50">
        <v>4</v>
      </c>
      <c r="BC278" s="55">
        <v>4.4000000000000004</v>
      </c>
      <c r="BD278" s="55">
        <v>3.9</v>
      </c>
      <c r="BE278" s="11">
        <v>4.0629999999999997</v>
      </c>
      <c r="BF278" s="4">
        <v>0</v>
      </c>
      <c r="BG278" s="4">
        <v>3.5259999999999998</v>
      </c>
      <c r="BH278" s="4">
        <v>3.5750000000000002</v>
      </c>
      <c r="BI278" s="4">
        <v>3.2330000000000001</v>
      </c>
      <c r="BJ278" s="13">
        <v>2.8039999999999998</v>
      </c>
      <c r="BK278" s="13">
        <v>3.3780000000000001</v>
      </c>
      <c r="BL278" s="4">
        <v>3.2109999999999999</v>
      </c>
      <c r="BM278" s="16">
        <v>2.8919999999999999</v>
      </c>
      <c r="BN278" s="4">
        <v>3.5329999999999999</v>
      </c>
      <c r="BO278" s="4">
        <v>3.2850000000000001</v>
      </c>
      <c r="BP278" s="4">
        <v>2.5760000000000001</v>
      </c>
      <c r="BQ278" s="4">
        <v>2.923</v>
      </c>
      <c r="BR278" s="4">
        <v>2.8140000000000001</v>
      </c>
      <c r="BS278" s="4">
        <v>2.2200000000000002</v>
      </c>
      <c r="BT278" s="4">
        <v>2.4009999999999998</v>
      </c>
      <c r="BU278" s="4">
        <v>2.37</v>
      </c>
      <c r="BV278" s="4">
        <v>2.1219999999999999</v>
      </c>
      <c r="BW278" s="4">
        <v>2.036</v>
      </c>
      <c r="BX278" s="4">
        <v>1.923</v>
      </c>
      <c r="BY278" s="4">
        <v>2.0099999999999998</v>
      </c>
      <c r="BZ278" s="55">
        <v>1.92</v>
      </c>
      <c r="CA278" s="55">
        <v>0</v>
      </c>
      <c r="CB278" s="55">
        <v>0</v>
      </c>
      <c r="CC278" s="55">
        <v>1.81</v>
      </c>
      <c r="CD278" s="55">
        <v>0</v>
      </c>
      <c r="CE278" s="19">
        <v>0</v>
      </c>
      <c r="CF278" s="19">
        <v>1.7</v>
      </c>
      <c r="CG278" s="4">
        <v>0</v>
      </c>
      <c r="CH278" s="4">
        <v>0</v>
      </c>
      <c r="CI278" s="4">
        <v>1.57</v>
      </c>
      <c r="CJ278" s="34">
        <v>1.6</v>
      </c>
      <c r="CK278" s="34">
        <v>1.6</v>
      </c>
      <c r="CL278" s="43">
        <v>2</v>
      </c>
      <c r="CM278" s="4">
        <v>1.8</v>
      </c>
      <c r="CN278" s="53">
        <v>2.2999999999999998</v>
      </c>
      <c r="CO278" s="54">
        <v>1.9</v>
      </c>
      <c r="CP278" s="54">
        <v>2.2999999999999998</v>
      </c>
      <c r="CQ278" s="4">
        <v>2.2000000000000002</v>
      </c>
    </row>
    <row r="279" spans="1:95" s="55" customFormat="1" x14ac:dyDescent="0.35">
      <c r="A279" s="55">
        <v>278</v>
      </c>
      <c r="B279" s="55" t="s">
        <v>112</v>
      </c>
      <c r="C279" s="27" t="s">
        <v>727</v>
      </c>
      <c r="D279" s="50" t="s">
        <v>88</v>
      </c>
      <c r="E279" s="33" t="s">
        <v>89</v>
      </c>
      <c r="F279" s="4">
        <f>IFERROR(AVERAGEIF(Table1[[#This Row],[2019-Apr]:[2025-July]],"&lt;&gt;0"),0)</f>
        <v>4.7841343283582107</v>
      </c>
      <c r="G279" s="4">
        <f ca="1">IFERROR(AVERAGEIF(OFFSET(Table1[[#This Row],[Status]],0,COUNT(Table1[[#This Row],[2019-May]:[2025-July]]),1,-12),"&lt;&gt;0"),0)</f>
        <v>3.5733333333333328</v>
      </c>
      <c r="H279" s="55">
        <f>IFERROR(SMALL(Table1[[#This Row],[2019-Apr]:[2025-July]],COUNTIF(Table1[[#This Row],[2019-Apr]:[2025-July]],0)+1),0)</f>
        <v>2.431</v>
      </c>
      <c r="I279" s="55">
        <f>IFERROR(MAX(Table1[[#This Row],[2019-Apr]:[2025-July]]),0)</f>
        <v>6.9</v>
      </c>
      <c r="J279" s="4" cm="1">
        <f t="array" ref="J27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2.9376666666666669</v>
      </c>
      <c r="K279" s="4">
        <v>4.5</v>
      </c>
      <c r="L279" s="4">
        <f>IF(Table1[[#This Row],[Standard as per ISO]]&gt;=Table1[[#This Row],[Avg of best 6]],Table1[[#This Row],[Standard as per ISO]],Table1[[#This Row],[Avg of best 6]])</f>
        <v>4.5</v>
      </c>
      <c r="M279" s="4" cm="1">
        <f t="array" ref="M279">IFERROR(LOOKUP(2,1/(Table1[[#This Row],[2019-May]:[2025-July]]&lt;&gt;0),Table1[[#This Row],[2019-May]:[2025-July]]),0)</f>
        <v>3.6</v>
      </c>
      <c r="N279" s="4">
        <f>COUNTIF(Table1[[#This Row],[2019-Apr]:[2025-July]],"&gt;="&amp;Table1[[#This Row],[Target]])</f>
        <v>38</v>
      </c>
      <c r="O279" s="4">
        <f>IF(Table1[[#This Row],[Outliers 2Y]]=0,1,0)</f>
        <v>0</v>
      </c>
      <c r="P279" s="4">
        <f>IF(Table1[[#This Row],[Last value]]&gt;1.5*Table1[[#This Row],[Target]],1,0)</f>
        <v>0</v>
      </c>
      <c r="Q279" s="4">
        <f>IF(AND(1.5*Table1[[#This Row],[Target]]&gt;=Table1[[#This Row],[Last value]],Table1[[#This Row],[Last value]]&gt;Table1[[#This Row],[Target]]),1,0)</f>
        <v>0</v>
      </c>
      <c r="R279" s="4">
        <f>IF(Table1[[#This Row],[Target]]&gt;=Table1[[#This Row],[Last value]],1,0)</f>
        <v>1</v>
      </c>
      <c r="S279" s="4" t="str">
        <f t="shared" si="6"/>
        <v>Green</v>
      </c>
      <c r="T279" s="55">
        <v>0</v>
      </c>
      <c r="U279" s="55">
        <v>5.85</v>
      </c>
      <c r="V279" s="55">
        <v>6.12</v>
      </c>
      <c r="W279" s="55">
        <v>6.38</v>
      </c>
      <c r="X279" s="55">
        <v>5.9</v>
      </c>
      <c r="Y279" s="55">
        <v>6.14</v>
      </c>
      <c r="Z279" s="55">
        <v>6.37</v>
      </c>
      <c r="AA279" s="55">
        <v>6.59</v>
      </c>
      <c r="AB279" s="55">
        <v>6.28</v>
      </c>
      <c r="AC279" s="55">
        <v>6.3</v>
      </c>
      <c r="AD279" s="55">
        <v>6.58</v>
      </c>
      <c r="AE279" s="55">
        <v>6.8</v>
      </c>
      <c r="AF279" s="55">
        <v>6</v>
      </c>
      <c r="AG279" s="55">
        <v>5.8</v>
      </c>
      <c r="AH279" s="55">
        <v>6.9</v>
      </c>
      <c r="AI279" s="55">
        <v>5.81</v>
      </c>
      <c r="AJ279" s="55">
        <v>5.12</v>
      </c>
      <c r="AK279" s="55">
        <v>0</v>
      </c>
      <c r="AL279" s="55">
        <v>5.7</v>
      </c>
      <c r="AM279" s="55">
        <v>6.03</v>
      </c>
      <c r="AN279" s="55">
        <v>5.99</v>
      </c>
      <c r="AO279" s="55">
        <v>5.96</v>
      </c>
      <c r="AP279" s="55">
        <v>4.62</v>
      </c>
      <c r="AQ279" s="55">
        <v>4.67</v>
      </c>
      <c r="AR279" s="8">
        <v>0</v>
      </c>
      <c r="AS279" s="8">
        <v>4.78</v>
      </c>
      <c r="AT279" s="8">
        <v>4.47</v>
      </c>
      <c r="AU279" s="50">
        <v>4.7699999999999996</v>
      </c>
      <c r="AV279" s="50">
        <v>4.5999999999999996</v>
      </c>
      <c r="AW279" s="50">
        <v>4.79</v>
      </c>
      <c r="AX279" s="50">
        <v>4.22</v>
      </c>
      <c r="AY279" s="50">
        <v>5.56</v>
      </c>
      <c r="AZ279" s="50">
        <v>5.48</v>
      </c>
      <c r="BA279" s="50">
        <v>3.9</v>
      </c>
      <c r="BB279" s="50">
        <v>4.3</v>
      </c>
      <c r="BC279" s="55">
        <v>3.5</v>
      </c>
      <c r="BD279" s="55">
        <v>4.8</v>
      </c>
      <c r="BE279" s="11">
        <v>2.6970000000000001</v>
      </c>
      <c r="BF279" s="4">
        <v>0</v>
      </c>
      <c r="BG279" s="4">
        <v>3.198</v>
      </c>
      <c r="BH279" s="4">
        <v>4.4009999999999998</v>
      </c>
      <c r="BI279" s="4">
        <v>4.819</v>
      </c>
      <c r="BJ279" s="14">
        <v>4.5209999999999999</v>
      </c>
      <c r="BK279" s="14">
        <v>4.43</v>
      </c>
      <c r="BL279" s="4">
        <v>5.3339999999999996</v>
      </c>
      <c r="BM279" s="17">
        <v>3.9849999999999999</v>
      </c>
      <c r="BN279" s="4">
        <v>4.774</v>
      </c>
      <c r="BO279" s="4">
        <v>5.0599999999999996</v>
      </c>
      <c r="BP279" s="4">
        <v>4.1909999999999998</v>
      </c>
      <c r="BQ279" s="4">
        <v>4.3319999999999999</v>
      </c>
      <c r="BR279" s="4">
        <v>4.51</v>
      </c>
      <c r="BS279" s="4">
        <v>4.8600000000000003</v>
      </c>
      <c r="BT279" s="4">
        <v>3.8690000000000002</v>
      </c>
      <c r="BU279" s="4">
        <v>5.68</v>
      </c>
      <c r="BV279" s="4">
        <v>2.431</v>
      </c>
      <c r="BW279" s="4">
        <v>4.0759999999999996</v>
      </c>
      <c r="BX279" s="4">
        <v>4.1689999999999996</v>
      </c>
      <c r="BY279" s="4">
        <v>3.74</v>
      </c>
      <c r="BZ279" s="55">
        <v>4.9400000000000004</v>
      </c>
      <c r="CA279" s="55">
        <v>3.38</v>
      </c>
      <c r="CB279" s="55">
        <v>4.3</v>
      </c>
      <c r="CC279" s="55">
        <v>0</v>
      </c>
      <c r="CD279" s="55">
        <v>0</v>
      </c>
      <c r="CE279" s="19">
        <v>0</v>
      </c>
      <c r="CF279" s="19">
        <v>4.0999999999999996</v>
      </c>
      <c r="CG279" s="4">
        <v>0</v>
      </c>
      <c r="CH279" s="4">
        <v>0</v>
      </c>
      <c r="CI279" s="4">
        <v>4.26</v>
      </c>
      <c r="CJ279" s="34">
        <v>3.3</v>
      </c>
      <c r="CK279" s="34">
        <v>3.3</v>
      </c>
      <c r="CL279" s="43">
        <v>4.4000000000000004</v>
      </c>
      <c r="CM279" s="4">
        <v>3.1</v>
      </c>
      <c r="CN279" s="53">
        <v>2.9</v>
      </c>
      <c r="CO279" s="54">
        <v>3.3</v>
      </c>
      <c r="CP279" s="54">
        <v>3.5</v>
      </c>
      <c r="CQ279" s="4">
        <v>3.6</v>
      </c>
    </row>
    <row r="280" spans="1:95" s="55" customFormat="1" x14ac:dyDescent="0.35">
      <c r="A280" s="55">
        <v>279</v>
      </c>
      <c r="B280" s="55" t="s">
        <v>112</v>
      </c>
      <c r="C280" s="27" t="s">
        <v>728</v>
      </c>
      <c r="D280" s="50" t="s">
        <v>88</v>
      </c>
      <c r="E280" s="33" t="s">
        <v>89</v>
      </c>
      <c r="F280" s="4">
        <f>IFERROR(AVERAGEIF(Table1[[#This Row],[2019-Apr]:[2025-July]],"&lt;&gt;0"),0)</f>
        <v>0.93703225806451629</v>
      </c>
      <c r="G280" s="4">
        <f ca="1">IFERROR(AVERAGEIF(OFFSET(Table1[[#This Row],[Status]],0,COUNT(Table1[[#This Row],[2019-May]:[2025-July]]),1,-12),"&lt;&gt;0"),0)</f>
        <v>0.83333333333333337</v>
      </c>
      <c r="H280" s="55">
        <f>IFERROR(SMALL(Table1[[#This Row],[2019-Apr]:[2025-July]],COUNTIF(Table1[[#This Row],[2019-Apr]:[2025-July]],0)+1),0)</f>
        <v>0.49</v>
      </c>
      <c r="I280" s="55">
        <f>IFERROR(MAX(Table1[[#This Row],[2019-Apr]:[2025-July]]),0)</f>
        <v>3.0539999999999998</v>
      </c>
      <c r="J280" s="4" cm="1">
        <f t="array" ref="J28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0.505</v>
      </c>
      <c r="K280" s="4">
        <v>4.5</v>
      </c>
      <c r="L280" s="4">
        <f>IF(Table1[[#This Row],[Standard as per ISO]]&gt;=Table1[[#This Row],[Avg of best 6]],Table1[[#This Row],[Standard as per ISO]],Table1[[#This Row],[Avg of best 6]])</f>
        <v>4.5</v>
      </c>
      <c r="M280" s="4" cm="1">
        <f t="array" ref="M280">IFERROR(LOOKUP(2,1/(Table1[[#This Row],[2019-May]:[2025-July]]&lt;&gt;0),Table1[[#This Row],[2019-May]:[2025-July]]),0)</f>
        <v>0.7</v>
      </c>
      <c r="N280" s="4">
        <f>COUNTIF(Table1[[#This Row],[2019-Apr]:[2025-July]],"&gt;="&amp;Table1[[#This Row],[Target]])</f>
        <v>0</v>
      </c>
      <c r="O280" s="4">
        <f>IF(Table1[[#This Row],[Outliers 2Y]]=0,1,0)</f>
        <v>1</v>
      </c>
      <c r="P280" s="4">
        <f>IF(Table1[[#This Row],[Last value]]&gt;1.5*Table1[[#This Row],[Target]],1,0)</f>
        <v>0</v>
      </c>
      <c r="Q280" s="4">
        <f>IF(AND(1.5*Table1[[#This Row],[Target]]&gt;=Table1[[#This Row],[Last value]],Table1[[#This Row],[Last value]]&gt;Table1[[#This Row],[Target]]),1,0)</f>
        <v>0</v>
      </c>
      <c r="R280" s="4">
        <f>IF(Table1[[#This Row],[Target]]&gt;=Table1[[#This Row],[Last value]],1,0)</f>
        <v>1</v>
      </c>
      <c r="S280" s="4" t="str">
        <f t="shared" si="6"/>
        <v>Green</v>
      </c>
      <c r="T280" s="55">
        <v>0</v>
      </c>
      <c r="U280" s="55">
        <v>0.79</v>
      </c>
      <c r="V280" s="55">
        <v>0</v>
      </c>
      <c r="W280" s="55">
        <v>0.8</v>
      </c>
      <c r="X280" s="55">
        <v>0.8</v>
      </c>
      <c r="Y280" s="55">
        <v>0.89</v>
      </c>
      <c r="Z280" s="55">
        <v>0.89</v>
      </c>
      <c r="AA280" s="55">
        <v>1.1399999999999999</v>
      </c>
      <c r="AB280" s="55">
        <v>2.23</v>
      </c>
      <c r="AC280" s="55">
        <v>0.83899999999999997</v>
      </c>
      <c r="AD280" s="55">
        <v>0.55000000000000004</v>
      </c>
      <c r="AE280" s="55">
        <v>0.5</v>
      </c>
      <c r="AF280" s="55">
        <v>0</v>
      </c>
      <c r="AG280" s="55">
        <v>0.6</v>
      </c>
      <c r="AH280" s="55">
        <v>0.51</v>
      </c>
      <c r="AI280" s="55">
        <v>1.7</v>
      </c>
      <c r="AJ280" s="55">
        <v>0.7</v>
      </c>
      <c r="AK280" s="55">
        <v>0</v>
      </c>
      <c r="AL280" s="55">
        <v>0.5</v>
      </c>
      <c r="AM280" s="55">
        <v>0.56999999999999995</v>
      </c>
      <c r="AN280" s="55">
        <v>0.49</v>
      </c>
      <c r="AO280" s="55">
        <v>0.8</v>
      </c>
      <c r="AP280" s="55">
        <v>0</v>
      </c>
      <c r="AQ280" s="55">
        <v>0.53</v>
      </c>
      <c r="AR280" s="8">
        <v>0</v>
      </c>
      <c r="AS280" s="8">
        <v>0.55000000000000004</v>
      </c>
      <c r="AT280" s="8">
        <v>0.8</v>
      </c>
      <c r="AU280" s="50">
        <v>0.6</v>
      </c>
      <c r="AV280" s="50">
        <v>0.54</v>
      </c>
      <c r="AW280" s="50">
        <v>0.66</v>
      </c>
      <c r="AX280" s="50">
        <v>0.71</v>
      </c>
      <c r="AY280" s="50">
        <v>0.75</v>
      </c>
      <c r="AZ280" s="50">
        <v>0.67</v>
      </c>
      <c r="BA280" s="50">
        <v>0.5</v>
      </c>
      <c r="BB280" s="50">
        <v>1.2</v>
      </c>
      <c r="BC280" s="55">
        <v>0.6</v>
      </c>
      <c r="BD280" s="55">
        <v>0.6</v>
      </c>
      <c r="BE280" s="11">
        <v>0.77300000000000002</v>
      </c>
      <c r="BF280" s="4">
        <v>0</v>
      </c>
      <c r="BG280" s="4">
        <v>1.5229999999999999</v>
      </c>
      <c r="BH280" s="4">
        <v>1.7669999999999999</v>
      </c>
      <c r="BI280" s="4">
        <v>1.399</v>
      </c>
      <c r="BJ280" s="13">
        <v>1.153</v>
      </c>
      <c r="BK280" s="13">
        <v>1.0449999999999999</v>
      </c>
      <c r="BL280" s="4">
        <v>1.264</v>
      </c>
      <c r="BM280" s="16">
        <v>1.33</v>
      </c>
      <c r="BN280" s="4">
        <v>1.61</v>
      </c>
      <c r="BO280" s="4">
        <v>0.98199999999999998</v>
      </c>
      <c r="BP280" s="4">
        <v>0.746</v>
      </c>
      <c r="BQ280" s="4">
        <v>1.204</v>
      </c>
      <c r="BR280" s="4">
        <v>0.7</v>
      </c>
      <c r="BS280" s="4">
        <v>0.67500000000000004</v>
      </c>
      <c r="BT280" s="4">
        <v>3.0539999999999998</v>
      </c>
      <c r="BU280" s="4">
        <v>0.83599999999999997</v>
      </c>
      <c r="BV280" s="4">
        <v>1.45</v>
      </c>
      <c r="BW280" s="4">
        <v>0.67200000000000004</v>
      </c>
      <c r="BX280" s="4">
        <v>0.70399999999999996</v>
      </c>
      <c r="BY280" s="4">
        <v>1.6</v>
      </c>
      <c r="BZ280" s="55">
        <v>0</v>
      </c>
      <c r="CA280" s="55">
        <v>0</v>
      </c>
      <c r="CB280" s="55">
        <v>0</v>
      </c>
      <c r="CC280" s="55">
        <v>0</v>
      </c>
      <c r="CD280" s="55">
        <v>1.4</v>
      </c>
      <c r="CE280" s="19">
        <v>0</v>
      </c>
      <c r="CF280" s="19">
        <v>0.8</v>
      </c>
      <c r="CG280" s="4">
        <v>0</v>
      </c>
      <c r="CH280" s="4">
        <v>0</v>
      </c>
      <c r="CI280" s="4">
        <v>0.6</v>
      </c>
      <c r="CJ280" s="34">
        <v>1</v>
      </c>
      <c r="CK280" s="34">
        <v>0.7</v>
      </c>
      <c r="CL280" s="43">
        <v>0.6</v>
      </c>
      <c r="CM280" s="4">
        <v>1.3</v>
      </c>
      <c r="CN280" s="53">
        <v>0.8</v>
      </c>
      <c r="CO280" s="54">
        <v>0.6</v>
      </c>
      <c r="CP280" s="54">
        <v>1.1000000000000001</v>
      </c>
      <c r="CQ280" s="4">
        <v>0.7</v>
      </c>
    </row>
    <row r="281" spans="1:95" s="55" customFormat="1" x14ac:dyDescent="0.35">
      <c r="A281" s="55">
        <v>280</v>
      </c>
      <c r="B281" s="55" t="s">
        <v>112</v>
      </c>
      <c r="C281" s="27" t="s">
        <v>729</v>
      </c>
      <c r="D281" s="50" t="s">
        <v>88</v>
      </c>
      <c r="E281" s="33" t="s">
        <v>89</v>
      </c>
      <c r="F281" s="4">
        <f>IFERROR(AVERAGEIF(Table1[[#This Row],[2019-Apr]:[2025-July]],"&lt;&gt;0"),0)</f>
        <v>0.79880303030303024</v>
      </c>
      <c r="G281" s="4">
        <f ca="1">IFERROR(AVERAGEIF(OFFSET(Table1[[#This Row],[Status]],0,COUNT(Table1[[#This Row],[2019-May]:[2025-July]]),1,-12),"&lt;&gt;0"),0)</f>
        <v>0.75555555555555542</v>
      </c>
      <c r="H281" s="55">
        <f>IFERROR(SMALL(Table1[[#This Row],[2019-Apr]:[2025-July]],COUNTIF(Table1[[#This Row],[2019-Apr]:[2025-July]],0)+1),0)</f>
        <v>0.2</v>
      </c>
      <c r="I281" s="55">
        <f>IFERROR(MAX(Table1[[#This Row],[2019-Apr]:[2025-July]]),0)</f>
        <v>2.75</v>
      </c>
      <c r="J281" s="4" cm="1">
        <f t="array" ref="J28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0.35616666666666669</v>
      </c>
      <c r="K281" s="4">
        <v>4.5</v>
      </c>
      <c r="L281" s="4">
        <f>IF(Table1[[#This Row],[Standard as per ISO]]&gt;=Table1[[#This Row],[Avg of best 6]],Table1[[#This Row],[Standard as per ISO]],Table1[[#This Row],[Avg of best 6]])</f>
        <v>4.5</v>
      </c>
      <c r="M281" s="4" cm="1">
        <f t="array" ref="M281">IFERROR(LOOKUP(2,1/(Table1[[#This Row],[2019-May]:[2025-July]]&lt;&gt;0),Table1[[#This Row],[2019-May]:[2025-July]]),0)</f>
        <v>0.6</v>
      </c>
      <c r="N281" s="4">
        <f>COUNTIF(Table1[[#This Row],[2019-Apr]:[2025-July]],"&gt;="&amp;Table1[[#This Row],[Target]])</f>
        <v>0</v>
      </c>
      <c r="O281" s="4">
        <f>IF(Table1[[#This Row],[Outliers 2Y]]=0,1,0)</f>
        <v>1</v>
      </c>
      <c r="P281" s="4">
        <f>IF(Table1[[#This Row],[Last value]]&gt;1.5*Table1[[#This Row],[Target]],1,0)</f>
        <v>0</v>
      </c>
      <c r="Q281" s="4">
        <f>IF(AND(1.5*Table1[[#This Row],[Target]]&gt;=Table1[[#This Row],[Last value]],Table1[[#This Row],[Last value]]&gt;Table1[[#This Row],[Target]]),1,0)</f>
        <v>0</v>
      </c>
      <c r="R281" s="4">
        <f>IF(Table1[[#This Row],[Target]]&gt;=Table1[[#This Row],[Last value]],1,0)</f>
        <v>1</v>
      </c>
      <c r="S281" s="4" t="str">
        <f t="shared" si="6"/>
        <v>Green</v>
      </c>
      <c r="T281" s="55">
        <v>0</v>
      </c>
      <c r="U281" s="55">
        <v>0.77</v>
      </c>
      <c r="V281" s="55">
        <v>0</v>
      </c>
      <c r="W281" s="55">
        <v>0.46</v>
      </c>
      <c r="X281" s="55">
        <v>0.92</v>
      </c>
      <c r="Y281" s="55">
        <v>0.66</v>
      </c>
      <c r="Z281" s="55">
        <v>0.48</v>
      </c>
      <c r="AA281" s="55">
        <v>2.75</v>
      </c>
      <c r="AB281" s="55">
        <v>1.62</v>
      </c>
      <c r="AC281" s="55">
        <v>0.85</v>
      </c>
      <c r="AD281" s="55">
        <v>2.4</v>
      </c>
      <c r="AE281" s="55">
        <v>0.5</v>
      </c>
      <c r="AF281" s="55">
        <v>0</v>
      </c>
      <c r="AG281" s="55">
        <v>0.5</v>
      </c>
      <c r="AH281" s="55">
        <v>2.2999999999999998</v>
      </c>
      <c r="AI281" s="55">
        <v>0.63</v>
      </c>
      <c r="AJ281" s="55">
        <v>0.89</v>
      </c>
      <c r="AK281" s="55">
        <v>0.43</v>
      </c>
      <c r="AL281" s="55">
        <v>0.5</v>
      </c>
      <c r="AM281" s="55">
        <v>0.84</v>
      </c>
      <c r="AN281" s="55">
        <v>0.67</v>
      </c>
      <c r="AO281" s="55">
        <v>0.49</v>
      </c>
      <c r="AP281" s="55">
        <v>0</v>
      </c>
      <c r="AQ281" s="55">
        <v>0.57999999999999996</v>
      </c>
      <c r="AR281" s="8">
        <v>0</v>
      </c>
      <c r="AS281" s="8">
        <v>1.06</v>
      </c>
      <c r="AT281" s="8">
        <v>0.97</v>
      </c>
      <c r="AU281" s="50">
        <v>1.93</v>
      </c>
      <c r="AV281" s="50">
        <v>1.65</v>
      </c>
      <c r="AW281" s="50">
        <v>0.8</v>
      </c>
      <c r="AX281" s="50">
        <v>0.7</v>
      </c>
      <c r="AY281" s="50">
        <v>0.46</v>
      </c>
      <c r="AZ281" s="50">
        <v>0.41</v>
      </c>
      <c r="BA281" s="50">
        <v>0.2</v>
      </c>
      <c r="BB281" s="50">
        <v>0.9</v>
      </c>
      <c r="BC281" s="55">
        <v>0.8</v>
      </c>
      <c r="BD281" s="55">
        <v>0.3</v>
      </c>
      <c r="BE281" s="11">
        <v>0.74</v>
      </c>
      <c r="BF281" s="4">
        <v>0</v>
      </c>
      <c r="BG281" s="4">
        <v>1.06</v>
      </c>
      <c r="BH281" s="4">
        <v>0.58399999999999996</v>
      </c>
      <c r="BI281" s="4">
        <v>0.61</v>
      </c>
      <c r="BJ281" s="14">
        <v>0.88700000000000001</v>
      </c>
      <c r="BK281" s="14">
        <v>0.61299999999999999</v>
      </c>
      <c r="BL281" s="4">
        <v>0.77</v>
      </c>
      <c r="BM281" s="17">
        <v>0.58399999999999996</v>
      </c>
      <c r="BN281" s="4">
        <v>0.56599999999999995</v>
      </c>
      <c r="BO281" s="4">
        <v>0.51</v>
      </c>
      <c r="BP281" s="4">
        <v>0.53600000000000003</v>
      </c>
      <c r="BQ281" s="4">
        <v>0.36</v>
      </c>
      <c r="BR281" s="4">
        <v>0.63900000000000001</v>
      </c>
      <c r="BS281" s="4">
        <v>0.437</v>
      </c>
      <c r="BT281" s="4">
        <v>0.94599999999999995</v>
      </c>
      <c r="BU281" s="4">
        <v>0.65900000000000003</v>
      </c>
      <c r="BV281" s="4">
        <v>0.51100000000000001</v>
      </c>
      <c r="BW281" s="4">
        <v>0.60199999999999998</v>
      </c>
      <c r="BX281" s="4">
        <v>0.57699999999999996</v>
      </c>
      <c r="BY281" s="4">
        <v>0.55000000000000004</v>
      </c>
      <c r="BZ281" s="55">
        <v>0.53</v>
      </c>
      <c r="CA281" s="55">
        <v>0.8</v>
      </c>
      <c r="CB281" s="55">
        <v>0.86</v>
      </c>
      <c r="CC281" s="55">
        <v>0</v>
      </c>
      <c r="CD281" s="55">
        <v>0.97</v>
      </c>
      <c r="CE281" s="19">
        <v>0</v>
      </c>
      <c r="CF281" s="19">
        <v>1</v>
      </c>
      <c r="CG281" s="4">
        <v>0</v>
      </c>
      <c r="CH281" s="4">
        <v>0</v>
      </c>
      <c r="CI281" s="4">
        <v>0.9</v>
      </c>
      <c r="CJ281" s="34">
        <v>0.7</v>
      </c>
      <c r="CK281" s="34">
        <v>0.5</v>
      </c>
      <c r="CL281" s="43">
        <v>0.6</v>
      </c>
      <c r="CM281" s="4">
        <v>1</v>
      </c>
      <c r="CN281" s="53">
        <v>0.8</v>
      </c>
      <c r="CO281" s="54">
        <v>0.6</v>
      </c>
      <c r="CP281" s="54">
        <v>0.7</v>
      </c>
      <c r="CQ281" s="4">
        <v>0.6</v>
      </c>
    </row>
    <row r="282" spans="1:95" s="55" customFormat="1" x14ac:dyDescent="0.35">
      <c r="A282" s="55">
        <v>281</v>
      </c>
      <c r="B282" s="55" t="s">
        <v>112</v>
      </c>
      <c r="C282" s="27" t="s">
        <v>730</v>
      </c>
      <c r="D282" s="50" t="s">
        <v>88</v>
      </c>
      <c r="E282" s="33" t="s">
        <v>89</v>
      </c>
      <c r="F282" s="4">
        <f>IFERROR(AVERAGEIF(Table1[[#This Row],[2019-Apr]:[2025-July]],"&lt;&gt;0"),0)</f>
        <v>0.88695384615384609</v>
      </c>
      <c r="G282" s="4">
        <f ca="1">IFERROR(AVERAGEIF(OFFSET(Table1[[#This Row],[Status]],0,COUNT(Table1[[#This Row],[2019-May]:[2025-July]]),1,-12),"&lt;&gt;0"),0)</f>
        <v>1.1888888888888891</v>
      </c>
      <c r="H282" s="55">
        <f>IFERROR(SMALL(Table1[[#This Row],[2019-Apr]:[2025-July]],COUNTIF(Table1[[#This Row],[2019-Apr]:[2025-July]],0)+1),0)</f>
        <v>0.2</v>
      </c>
      <c r="I282" s="55">
        <f>IFERROR(MAX(Table1[[#This Row],[2019-Apr]:[2025-July]]),0)</f>
        <v>1.8</v>
      </c>
      <c r="J282" s="4" cm="1">
        <f t="array" ref="J28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0.30400000000000005</v>
      </c>
      <c r="K282" s="4">
        <v>4.5</v>
      </c>
      <c r="L282" s="4">
        <f>IF(Table1[[#This Row],[Standard as per ISO]]&gt;=Table1[[#This Row],[Avg of best 6]],Table1[[#This Row],[Standard as per ISO]],Table1[[#This Row],[Avg of best 6]])</f>
        <v>4.5</v>
      </c>
      <c r="M282" s="4" cm="1">
        <f t="array" ref="M282">IFERROR(LOOKUP(2,1/(Table1[[#This Row],[2019-May]:[2025-July]]&lt;&gt;0),Table1[[#This Row],[2019-May]:[2025-July]]),0)</f>
        <v>1</v>
      </c>
      <c r="N282" s="4">
        <f>COUNTIF(Table1[[#This Row],[2019-Apr]:[2025-July]],"&gt;="&amp;Table1[[#This Row],[Target]])</f>
        <v>0</v>
      </c>
      <c r="O282" s="4">
        <f>IF(Table1[[#This Row],[Outliers 2Y]]=0,1,0)</f>
        <v>1</v>
      </c>
      <c r="P282" s="4">
        <f>IF(Table1[[#This Row],[Last value]]&gt;1.5*Table1[[#This Row],[Target]],1,0)</f>
        <v>0</v>
      </c>
      <c r="Q282" s="4">
        <f>IF(AND(1.5*Table1[[#This Row],[Target]]&gt;=Table1[[#This Row],[Last value]],Table1[[#This Row],[Last value]]&gt;Table1[[#This Row],[Target]]),1,0)</f>
        <v>0</v>
      </c>
      <c r="R282" s="4">
        <f>IF(Table1[[#This Row],[Target]]&gt;=Table1[[#This Row],[Last value]],1,0)</f>
        <v>1</v>
      </c>
      <c r="S282" s="4" t="str">
        <f t="shared" si="6"/>
        <v>Green</v>
      </c>
      <c r="T282" s="55">
        <v>0</v>
      </c>
      <c r="U282" s="55">
        <v>0.77</v>
      </c>
      <c r="V282" s="55">
        <v>1.22</v>
      </c>
      <c r="W282" s="55">
        <v>0.6</v>
      </c>
      <c r="X282" s="55">
        <v>0.59</v>
      </c>
      <c r="Y282" s="55">
        <v>0.63</v>
      </c>
      <c r="Z282" s="55">
        <v>0.71</v>
      </c>
      <c r="AA282" s="55">
        <v>0.64</v>
      </c>
      <c r="AB282" s="55">
        <v>0</v>
      </c>
      <c r="AC282" s="55">
        <v>0.374</v>
      </c>
      <c r="AD282" s="55">
        <v>0.86</v>
      </c>
      <c r="AE282" s="55">
        <v>0.4</v>
      </c>
      <c r="AF282" s="55">
        <v>0</v>
      </c>
      <c r="AG282" s="55">
        <v>0.2</v>
      </c>
      <c r="AH282" s="55">
        <v>0.28000000000000003</v>
      </c>
      <c r="AI282" s="55">
        <v>0.38</v>
      </c>
      <c r="AJ282" s="55">
        <v>0.45500000000000002</v>
      </c>
      <c r="AK282" s="55">
        <v>0.3</v>
      </c>
      <c r="AL282" s="55">
        <v>0.63</v>
      </c>
      <c r="AM282" s="55">
        <v>0.85</v>
      </c>
      <c r="AN282" s="55">
        <v>0.83</v>
      </c>
      <c r="AO282" s="55">
        <v>0.73</v>
      </c>
      <c r="AP282" s="55">
        <v>0</v>
      </c>
      <c r="AQ282" s="55">
        <v>0.5</v>
      </c>
      <c r="AR282" s="8">
        <v>0</v>
      </c>
      <c r="AS282" s="8">
        <v>0.3</v>
      </c>
      <c r="AT282" s="8">
        <v>0.43</v>
      </c>
      <c r="AU282" s="50">
        <v>0.83</v>
      </c>
      <c r="AV282" s="50">
        <v>1.06</v>
      </c>
      <c r="AW282" s="50">
        <v>1.1399999999999999</v>
      </c>
      <c r="AX282" s="50">
        <v>0.71</v>
      </c>
      <c r="AY282" s="50">
        <v>0.37</v>
      </c>
      <c r="AZ282" s="50">
        <v>0.52</v>
      </c>
      <c r="BA282" s="50">
        <v>0.4</v>
      </c>
      <c r="BB282" s="50">
        <v>0.9</v>
      </c>
      <c r="BC282" s="55">
        <v>1.2</v>
      </c>
      <c r="BD282" s="55">
        <v>0</v>
      </c>
      <c r="BE282" s="11">
        <v>1.4450000000000001</v>
      </c>
      <c r="BF282" s="4">
        <v>0</v>
      </c>
      <c r="BG282" s="4">
        <v>0.45400000000000001</v>
      </c>
      <c r="BH282" s="4">
        <v>0.83199999999999996</v>
      </c>
      <c r="BI282" s="4">
        <v>0.69699999999999995</v>
      </c>
      <c r="BJ282" s="13">
        <v>0.96299999999999997</v>
      </c>
      <c r="BK282" s="13">
        <v>1.4550000000000001</v>
      </c>
      <c r="BL282" s="4">
        <v>1.3740000000000001</v>
      </c>
      <c r="BM282" s="16">
        <v>1.1619999999999999</v>
      </c>
      <c r="BN282" s="4">
        <v>1.25</v>
      </c>
      <c r="BO282" s="4">
        <v>1.5780000000000001</v>
      </c>
      <c r="BP282" s="4">
        <v>0.73899999999999999</v>
      </c>
      <c r="BQ282" s="4">
        <v>0.94299999999999995</v>
      </c>
      <c r="BR282" s="4">
        <v>1.03</v>
      </c>
      <c r="BS282" s="4">
        <v>1.016</v>
      </c>
      <c r="BT282" s="4">
        <v>1.145</v>
      </c>
      <c r="BU282" s="4">
        <v>0.88800000000000001</v>
      </c>
      <c r="BV282" s="4">
        <v>0.84</v>
      </c>
      <c r="BW282" s="4">
        <v>1.125</v>
      </c>
      <c r="BX282" s="4">
        <v>1.107</v>
      </c>
      <c r="BY282" s="4">
        <v>1</v>
      </c>
      <c r="BZ282" s="55">
        <v>0.9</v>
      </c>
      <c r="CA282" s="55">
        <v>0.9</v>
      </c>
      <c r="CB282" s="55">
        <v>1.5</v>
      </c>
      <c r="CC282" s="55">
        <v>0</v>
      </c>
      <c r="CD282" s="55">
        <v>1.8</v>
      </c>
      <c r="CE282" s="19">
        <v>0</v>
      </c>
      <c r="CF282" s="19">
        <v>1.7</v>
      </c>
      <c r="CG282" s="4">
        <v>0</v>
      </c>
      <c r="CH282" s="4">
        <v>0</v>
      </c>
      <c r="CI282" s="4">
        <v>1.8</v>
      </c>
      <c r="CJ282" s="34">
        <v>1</v>
      </c>
      <c r="CK282" s="34">
        <v>1.2</v>
      </c>
      <c r="CL282" s="43">
        <v>0.8</v>
      </c>
      <c r="CM282" s="4">
        <v>1.5</v>
      </c>
      <c r="CN282" s="53">
        <v>0.9</v>
      </c>
      <c r="CO282" s="54">
        <v>0.8</v>
      </c>
      <c r="CP282" s="54">
        <v>1</v>
      </c>
      <c r="CQ282" s="4">
        <v>1</v>
      </c>
    </row>
    <row r="283" spans="1:95" s="55" customFormat="1" x14ac:dyDescent="0.35">
      <c r="A283" s="55">
        <v>282</v>
      </c>
      <c r="B283" s="55" t="s">
        <v>112</v>
      </c>
      <c r="C283" s="27" t="s">
        <v>731</v>
      </c>
      <c r="D283" s="50" t="s">
        <v>88</v>
      </c>
      <c r="E283" s="33" t="s">
        <v>89</v>
      </c>
      <c r="F283" s="4">
        <f>IFERROR(AVERAGEIF(Table1[[#This Row],[2019-Apr]:[2025-July]],"&lt;&gt;0"),0)</f>
        <v>1.8232424242424246</v>
      </c>
      <c r="G283" s="4">
        <f ca="1">IFERROR(AVERAGEIF(OFFSET(Table1[[#This Row],[Status]],0,COUNT(Table1[[#This Row],[2019-May]:[2025-July]]),1,-12),"&lt;&gt;0"),0)</f>
        <v>1.2666666666666668</v>
      </c>
      <c r="H283" s="55">
        <f>IFERROR(SMALL(Table1[[#This Row],[2019-Apr]:[2025-July]],COUNTIF(Table1[[#This Row],[2019-Apr]:[2025-July]],0)+1),0)</f>
        <v>0.96</v>
      </c>
      <c r="I283" s="55">
        <f>IFERROR(MAX(Table1[[#This Row],[2019-Apr]:[2025-July]]),0)</f>
        <v>4.7300000000000004</v>
      </c>
      <c r="J283" s="4" cm="1">
        <f t="array" ref="J28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1.0666666666666664</v>
      </c>
      <c r="K283" s="4">
        <v>4.5</v>
      </c>
      <c r="L283" s="4">
        <f>IF(Table1[[#This Row],[Standard as per ISO]]&gt;=Table1[[#This Row],[Avg of best 6]],Table1[[#This Row],[Standard as per ISO]],Table1[[#This Row],[Avg of best 6]])</f>
        <v>4.5</v>
      </c>
      <c r="M283" s="4" cm="1">
        <f t="array" ref="M283">IFERROR(LOOKUP(2,1/(Table1[[#This Row],[2019-May]:[2025-July]]&lt;&gt;0),Table1[[#This Row],[2019-May]:[2025-July]]),0)</f>
        <v>2.1</v>
      </c>
      <c r="N283" s="4">
        <f>COUNTIF(Table1[[#This Row],[2019-Apr]:[2025-July]],"&gt;="&amp;Table1[[#This Row],[Target]])</f>
        <v>1</v>
      </c>
      <c r="O283" s="4">
        <f>IF(Table1[[#This Row],[Outliers 2Y]]=0,1,0)</f>
        <v>0</v>
      </c>
      <c r="P283" s="4">
        <f>IF(Table1[[#This Row],[Last value]]&gt;1.5*Table1[[#This Row],[Target]],1,0)</f>
        <v>0</v>
      </c>
      <c r="Q283" s="4">
        <f>IF(AND(1.5*Table1[[#This Row],[Target]]&gt;=Table1[[#This Row],[Last value]],Table1[[#This Row],[Last value]]&gt;Table1[[#This Row],[Target]]),1,0)</f>
        <v>0</v>
      </c>
      <c r="R283" s="4">
        <f>IF(Table1[[#This Row],[Target]]&gt;=Table1[[#This Row],[Last value]],1,0)</f>
        <v>1</v>
      </c>
      <c r="S283" s="4" t="str">
        <f t="shared" si="6"/>
        <v>Green</v>
      </c>
      <c r="T283" s="55">
        <v>0</v>
      </c>
      <c r="U283" s="55">
        <v>2.2999999999999998</v>
      </c>
      <c r="V283" s="55">
        <v>1.0900000000000001</v>
      </c>
      <c r="W283" s="55">
        <v>0.96</v>
      </c>
      <c r="X283" s="55">
        <v>1.05</v>
      </c>
      <c r="Y283" s="55">
        <v>1.88</v>
      </c>
      <c r="Z283" s="55">
        <v>1.76</v>
      </c>
      <c r="AA283" s="55">
        <v>4.7300000000000004</v>
      </c>
      <c r="AB283" s="55">
        <v>1.75</v>
      </c>
      <c r="AC283" s="55">
        <v>2.34</v>
      </c>
      <c r="AD283" s="55">
        <v>2.0099999999999998</v>
      </c>
      <c r="AE283" s="55">
        <v>1.6</v>
      </c>
      <c r="AF283" s="55">
        <v>2.7</v>
      </c>
      <c r="AG283" s="55">
        <v>2.8</v>
      </c>
      <c r="AH283" s="55">
        <v>1.57</v>
      </c>
      <c r="AI283" s="55">
        <v>1.1299999999999999</v>
      </c>
      <c r="AJ283" s="55">
        <v>1.35</v>
      </c>
      <c r="AK283" s="55">
        <v>0</v>
      </c>
      <c r="AL283" s="55">
        <v>3.2</v>
      </c>
      <c r="AM283" s="55">
        <v>1.58</v>
      </c>
      <c r="AN283" s="55">
        <v>1.72</v>
      </c>
      <c r="AO283" s="55">
        <v>1.6</v>
      </c>
      <c r="AP283" s="55">
        <v>0</v>
      </c>
      <c r="AQ283" s="55">
        <v>2.02</v>
      </c>
      <c r="AR283" s="8">
        <v>0</v>
      </c>
      <c r="AS283" s="8">
        <v>1.47</v>
      </c>
      <c r="AT283" s="8">
        <v>1.34</v>
      </c>
      <c r="AU283" s="50">
        <v>1.88</v>
      </c>
      <c r="AV283" s="50">
        <v>2.86</v>
      </c>
      <c r="AW283" s="50">
        <v>2.44</v>
      </c>
      <c r="AX283" s="50">
        <v>1.47</v>
      </c>
      <c r="AY283" s="50">
        <v>1.52</v>
      </c>
      <c r="AZ283" s="50">
        <v>1.82</v>
      </c>
      <c r="BA283" s="50">
        <v>1.1000000000000001</v>
      </c>
      <c r="BB283" s="50">
        <v>1.3</v>
      </c>
      <c r="BC283" s="55">
        <v>1.2</v>
      </c>
      <c r="BD283" s="55">
        <v>3.1</v>
      </c>
      <c r="BE283" s="11">
        <v>1.4470000000000001</v>
      </c>
      <c r="BF283" s="4">
        <v>0</v>
      </c>
      <c r="BG283" s="4">
        <v>2.5510000000000002</v>
      </c>
      <c r="BH283" s="4">
        <v>1.6140000000000001</v>
      </c>
      <c r="BI283" s="4">
        <v>2.129</v>
      </c>
      <c r="BJ283" s="14">
        <v>1.337</v>
      </c>
      <c r="BK283" s="14">
        <v>1.615</v>
      </c>
      <c r="BL283" s="4">
        <v>1.7589999999999999</v>
      </c>
      <c r="BM283" s="17">
        <v>2.085</v>
      </c>
      <c r="BN283" s="4">
        <v>1.929</v>
      </c>
      <c r="BO283" s="4">
        <v>1.8939999999999999</v>
      </c>
      <c r="BP283" s="4">
        <v>1.7569999999999999</v>
      </c>
      <c r="BQ283" s="4">
        <v>2.1850000000000001</v>
      </c>
      <c r="BR283" s="4">
        <v>2.1080000000000001</v>
      </c>
      <c r="BS283" s="4">
        <v>2.206</v>
      </c>
      <c r="BT283" s="4">
        <v>2.4460000000000002</v>
      </c>
      <c r="BU283" s="4">
        <v>1.4790000000000001</v>
      </c>
      <c r="BV283" s="4">
        <v>1.9510000000000001</v>
      </c>
      <c r="BW283" s="4">
        <v>1.895</v>
      </c>
      <c r="BX283" s="4">
        <v>1.5069999999999999</v>
      </c>
      <c r="BY283" s="4">
        <v>1.53</v>
      </c>
      <c r="BZ283" s="55">
        <v>2.1800000000000002</v>
      </c>
      <c r="CA283" s="55">
        <v>2.73</v>
      </c>
      <c r="CB283" s="55">
        <v>1.86</v>
      </c>
      <c r="CC283" s="55">
        <v>0</v>
      </c>
      <c r="CD283" s="55">
        <v>0</v>
      </c>
      <c r="CE283" s="19">
        <v>0</v>
      </c>
      <c r="CF283" s="19">
        <v>1.1000000000000001</v>
      </c>
      <c r="CG283" s="4">
        <v>0</v>
      </c>
      <c r="CH283" s="4">
        <v>0</v>
      </c>
      <c r="CI283" s="4">
        <v>1.1000000000000001</v>
      </c>
      <c r="CJ283" s="34">
        <v>1.2</v>
      </c>
      <c r="CK283" s="34">
        <v>1.2</v>
      </c>
      <c r="CL283" s="43">
        <v>1.1000000000000001</v>
      </c>
      <c r="CM283" s="4">
        <v>1.4</v>
      </c>
      <c r="CN283" s="53">
        <v>1.5</v>
      </c>
      <c r="CO283" s="54">
        <v>1.3</v>
      </c>
      <c r="CP283" s="54">
        <v>1.5</v>
      </c>
      <c r="CQ283" s="4">
        <v>2.1</v>
      </c>
    </row>
    <row r="284" spans="1:95" s="55" customFormat="1" x14ac:dyDescent="0.35">
      <c r="A284" s="55">
        <v>283</v>
      </c>
      <c r="B284" s="55" t="s">
        <v>112</v>
      </c>
      <c r="C284" s="27" t="s">
        <v>732</v>
      </c>
      <c r="D284" s="50" t="s">
        <v>88</v>
      </c>
      <c r="E284" s="33" t="s">
        <v>89</v>
      </c>
      <c r="F284" s="4">
        <f>IFERROR(AVERAGEIF(Table1[[#This Row],[2019-Apr]:[2025-July]],"&lt;&gt;0"),0)</f>
        <v>4.3601666666666663</v>
      </c>
      <c r="G284" s="4">
        <f ca="1">IFERROR(AVERAGEIF(OFFSET(Table1[[#This Row],[Status]],0,COUNT(Table1[[#This Row],[2019-May]:[2025-July]]),1,-12),"&lt;&gt;0"),0)</f>
        <v>4.8211111111111116</v>
      </c>
      <c r="H284" s="55">
        <f>IFERROR(SMALL(Table1[[#This Row],[2019-Apr]:[2025-July]],COUNTIF(Table1[[#This Row],[2019-Apr]:[2025-July]],0)+1),0)</f>
        <v>3.121</v>
      </c>
      <c r="I284" s="55">
        <f>IFERROR(MAX(Table1[[#This Row],[2019-Apr]:[2025-July]]),0)</f>
        <v>6.25</v>
      </c>
      <c r="J284" s="4" cm="1">
        <f t="array" ref="J28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3.5005000000000002</v>
      </c>
      <c r="K284" s="4">
        <v>4.5</v>
      </c>
      <c r="L284" s="4">
        <f>IF(Table1[[#This Row],[Standard as per ISO]]&gt;=Table1[[#This Row],[Avg of best 6]],Table1[[#This Row],[Standard as per ISO]],Table1[[#This Row],[Avg of best 6]])</f>
        <v>4.5</v>
      </c>
      <c r="M284" s="4" cm="1">
        <f t="array" ref="M284">IFERROR(LOOKUP(2,1/(Table1[[#This Row],[2019-May]:[2025-July]]&lt;&gt;0),Table1[[#This Row],[2019-May]:[2025-July]]),0)</f>
        <v>4.9000000000000004</v>
      </c>
      <c r="N284" s="4">
        <f>COUNTIF(Table1[[#This Row],[2019-Apr]:[2025-July]],"&gt;="&amp;Table1[[#This Row],[Target]])</f>
        <v>26</v>
      </c>
      <c r="O284" s="4">
        <f>IF(Table1[[#This Row],[Outliers 2Y]]=0,1,0)</f>
        <v>0</v>
      </c>
      <c r="P284" s="4">
        <f>IF(Table1[[#This Row],[Last value]]&gt;1.5*Table1[[#This Row],[Target]],1,0)</f>
        <v>0</v>
      </c>
      <c r="Q284" s="4">
        <f>IF(AND(1.5*Table1[[#This Row],[Target]]&gt;=Table1[[#This Row],[Last value]],Table1[[#This Row],[Last value]]&gt;Table1[[#This Row],[Target]]),1,0)</f>
        <v>1</v>
      </c>
      <c r="R284" s="4">
        <f>IF(Table1[[#This Row],[Target]]&gt;=Table1[[#This Row],[Last value]],1,0)</f>
        <v>0</v>
      </c>
      <c r="S284" s="4" t="str">
        <f t="shared" si="6"/>
        <v>Yellow</v>
      </c>
      <c r="T284" s="55">
        <v>0</v>
      </c>
      <c r="U284" s="55">
        <v>0</v>
      </c>
      <c r="V284" s="55">
        <v>5.64</v>
      </c>
      <c r="W284" s="55">
        <v>4.0599999999999996</v>
      </c>
      <c r="X284" s="55">
        <v>3.99</v>
      </c>
      <c r="Y284" s="55">
        <v>4.62</v>
      </c>
      <c r="Z284" s="55">
        <v>4.91</v>
      </c>
      <c r="AA284" s="55">
        <v>4.6100000000000003</v>
      </c>
      <c r="AB284" s="55">
        <v>5.39</v>
      </c>
      <c r="AC284" s="55">
        <v>4.67</v>
      </c>
      <c r="AD284" s="55">
        <v>5.01</v>
      </c>
      <c r="AE284" s="55">
        <v>5</v>
      </c>
      <c r="AF284" s="55">
        <v>0</v>
      </c>
      <c r="AG284" s="55">
        <v>5.2</v>
      </c>
      <c r="AH284" s="55">
        <v>6.25</v>
      </c>
      <c r="AI284" s="55">
        <v>4.7699999999999996</v>
      </c>
      <c r="AJ284" s="55">
        <v>4.88</v>
      </c>
      <c r="AK284" s="55">
        <v>3.86</v>
      </c>
      <c r="AL284" s="55">
        <v>4.2</v>
      </c>
      <c r="AM284" s="55">
        <v>3.77</v>
      </c>
      <c r="AN284" s="55">
        <v>3.69</v>
      </c>
      <c r="AO284" s="55">
        <v>4.07</v>
      </c>
      <c r="AP284" s="55">
        <v>0</v>
      </c>
      <c r="AQ284" s="55">
        <v>4.3600000000000003</v>
      </c>
      <c r="AR284" s="8">
        <v>0</v>
      </c>
      <c r="AS284" s="8">
        <v>4.53</v>
      </c>
      <c r="AT284" s="8">
        <v>4.55</v>
      </c>
      <c r="AU284" s="50">
        <v>4.1900000000000004</v>
      </c>
      <c r="AV284" s="50">
        <v>5.65</v>
      </c>
      <c r="AW284" s="50">
        <v>4.97</v>
      </c>
      <c r="AX284" s="50">
        <v>4.28</v>
      </c>
      <c r="AY284" s="50">
        <v>4.28</v>
      </c>
      <c r="AZ284" s="50">
        <v>4.6399999999999997</v>
      </c>
      <c r="BA284" s="50">
        <v>4.4000000000000004</v>
      </c>
      <c r="BB284" s="50">
        <v>3.8</v>
      </c>
      <c r="BC284" s="55">
        <v>3.7</v>
      </c>
      <c r="BD284" s="55">
        <v>4.4000000000000004</v>
      </c>
      <c r="BE284" s="11">
        <v>3.5830000000000002</v>
      </c>
      <c r="BF284" s="4">
        <v>0</v>
      </c>
      <c r="BG284" s="4">
        <v>3.5619999999999998</v>
      </c>
      <c r="BH284" s="4">
        <v>4.5830000000000002</v>
      </c>
      <c r="BI284" s="4">
        <v>3.68</v>
      </c>
      <c r="BJ284" s="13">
        <v>4.1589999999999998</v>
      </c>
      <c r="BK284" s="13">
        <v>4.1289999999999996</v>
      </c>
      <c r="BL284" s="4">
        <v>3.7850000000000001</v>
      </c>
      <c r="BM284" s="16">
        <v>4.4930000000000003</v>
      </c>
      <c r="BN284" s="4">
        <v>4.069</v>
      </c>
      <c r="BO284" s="4">
        <v>3.6949999999999998</v>
      </c>
      <c r="BP284" s="4">
        <v>3.7130000000000001</v>
      </c>
      <c r="BQ284" s="4">
        <v>3.4780000000000002</v>
      </c>
      <c r="BR284" s="4">
        <v>3.121</v>
      </c>
      <c r="BS284" s="4">
        <v>3.609</v>
      </c>
      <c r="BT284" s="4">
        <v>3.6779999999999999</v>
      </c>
      <c r="BU284" s="4">
        <v>4.2359999999999998</v>
      </c>
      <c r="BV284" s="4">
        <v>4.1219999999999999</v>
      </c>
      <c r="BW284" s="4">
        <v>3.83</v>
      </c>
      <c r="BX284" s="4">
        <v>3.6659999999999999</v>
      </c>
      <c r="BY284" s="4">
        <v>3.89</v>
      </c>
      <c r="BZ284" s="55">
        <v>3.65</v>
      </c>
      <c r="CA284" s="55">
        <v>4.33</v>
      </c>
      <c r="CB284" s="55">
        <v>3.65</v>
      </c>
      <c r="CC284" s="55">
        <v>4.43</v>
      </c>
      <c r="CD284" s="55">
        <v>0</v>
      </c>
      <c r="CE284" s="19">
        <v>0</v>
      </c>
      <c r="CF284" s="19">
        <v>0</v>
      </c>
      <c r="CG284" s="4">
        <v>4.6399999999999997</v>
      </c>
      <c r="CH284" s="4">
        <v>0</v>
      </c>
      <c r="CI284" s="4">
        <v>4.05</v>
      </c>
      <c r="CJ284" s="34">
        <v>4.5999999999999996</v>
      </c>
      <c r="CK284" s="34">
        <v>4.4000000000000004</v>
      </c>
      <c r="CL284" s="43">
        <v>4.5</v>
      </c>
      <c r="CM284" s="4">
        <v>5.0999999999999996</v>
      </c>
      <c r="CN284" s="53">
        <v>4.7</v>
      </c>
      <c r="CO284" s="54">
        <v>6.2</v>
      </c>
      <c r="CP284" s="54">
        <v>5.2</v>
      </c>
      <c r="CQ284" s="4">
        <v>4.9000000000000004</v>
      </c>
    </row>
    <row r="285" spans="1:95" s="55" customFormat="1" x14ac:dyDescent="0.35">
      <c r="A285" s="55">
        <v>284</v>
      </c>
      <c r="B285" s="55" t="s">
        <v>112</v>
      </c>
      <c r="C285" s="27" t="s">
        <v>733</v>
      </c>
      <c r="D285" s="50" t="s">
        <v>88</v>
      </c>
      <c r="E285" s="33" t="s">
        <v>89</v>
      </c>
      <c r="F285" s="4">
        <f>IFERROR(AVERAGEIF(Table1[[#This Row],[2019-Apr]:[2025-July]],"&lt;&gt;0"),0)</f>
        <v>5.9082121212121201</v>
      </c>
      <c r="G285" s="4">
        <f ca="1">IFERROR(AVERAGEIF(OFFSET(Table1[[#This Row],[Status]],0,COUNT(Table1[[#This Row],[2019-May]:[2025-July]]),1,-12),"&lt;&gt;0"),0)</f>
        <v>5.1612499999999999</v>
      </c>
      <c r="H285" s="55">
        <f>IFERROR(SMALL(Table1[[#This Row],[2019-Apr]:[2025-July]],COUNTIF(Table1[[#This Row],[2019-Apr]:[2025-July]],0)+1),0)</f>
        <v>2.6</v>
      </c>
      <c r="I285" s="55">
        <f>IFERROR(MAX(Table1[[#This Row],[2019-Apr]:[2025-July]]),0)</f>
        <v>9.15</v>
      </c>
      <c r="J285" s="4" cm="1">
        <f t="array" ref="J28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3.5694999999999997</v>
      </c>
      <c r="K285" s="4">
        <v>4.5</v>
      </c>
      <c r="L285" s="4">
        <f>IF(Table1[[#This Row],[Standard as per ISO]]&gt;=Table1[[#This Row],[Avg of best 6]],Table1[[#This Row],[Standard as per ISO]],Table1[[#This Row],[Avg of best 6]])</f>
        <v>4.5</v>
      </c>
      <c r="M285" s="4" cm="1">
        <f t="array" ref="M285">IFERROR(LOOKUP(2,1/(Table1[[#This Row],[2019-May]:[2025-July]]&lt;&gt;0),Table1[[#This Row],[2019-May]:[2025-July]]),0)</f>
        <v>4.8</v>
      </c>
      <c r="N285" s="4">
        <f>COUNTIF(Table1[[#This Row],[2019-Apr]:[2025-July]],"&gt;="&amp;Table1[[#This Row],[Target]])</f>
        <v>53</v>
      </c>
      <c r="O285" s="4">
        <f>IF(Table1[[#This Row],[Outliers 2Y]]=0,1,0)</f>
        <v>0</v>
      </c>
      <c r="P285" s="4">
        <f>IF(Table1[[#This Row],[Last value]]&gt;1.5*Table1[[#This Row],[Target]],1,0)</f>
        <v>0</v>
      </c>
      <c r="Q285" s="4">
        <f>IF(AND(1.5*Table1[[#This Row],[Target]]&gt;=Table1[[#This Row],[Last value]],Table1[[#This Row],[Last value]]&gt;Table1[[#This Row],[Target]]),1,0)</f>
        <v>1</v>
      </c>
      <c r="R285" s="4">
        <f>IF(Table1[[#This Row],[Target]]&gt;=Table1[[#This Row],[Last value]],1,0)</f>
        <v>0</v>
      </c>
      <c r="S285" s="4" t="str">
        <f t="shared" si="6"/>
        <v>Yellow</v>
      </c>
      <c r="T285" s="55">
        <v>0</v>
      </c>
      <c r="U285" s="55">
        <v>8.93</v>
      </c>
      <c r="V285" s="55">
        <v>8.24</v>
      </c>
      <c r="W285" s="55">
        <v>7.46</v>
      </c>
      <c r="X285" s="55">
        <v>8.39</v>
      </c>
      <c r="Y285" s="55">
        <v>8.77</v>
      </c>
      <c r="Z285" s="55">
        <v>8.49</v>
      </c>
      <c r="AA285" s="55">
        <v>8.43</v>
      </c>
      <c r="AB285" s="55">
        <v>8.81</v>
      </c>
      <c r="AC285" s="55">
        <v>8.18</v>
      </c>
      <c r="AD285" s="55">
        <v>9.15</v>
      </c>
      <c r="AE285" s="55">
        <v>7.9</v>
      </c>
      <c r="AF285" s="55">
        <v>8.84</v>
      </c>
      <c r="AG285" s="55">
        <v>8.6</v>
      </c>
      <c r="AH285" s="55">
        <v>8.6</v>
      </c>
      <c r="AI285" s="55">
        <v>8.33</v>
      </c>
      <c r="AJ285" s="55">
        <v>8.74</v>
      </c>
      <c r="AK285" s="55">
        <v>8.49</v>
      </c>
      <c r="AL285" s="55">
        <v>5.5</v>
      </c>
      <c r="AM285" s="55">
        <v>5.92</v>
      </c>
      <c r="AN285" s="55">
        <v>5.95</v>
      </c>
      <c r="AO285" s="55">
        <v>6.11</v>
      </c>
      <c r="AP285" s="55">
        <v>0</v>
      </c>
      <c r="AQ285" s="55">
        <v>5.74</v>
      </c>
      <c r="AR285" s="8">
        <v>4.95</v>
      </c>
      <c r="AS285" s="8">
        <v>0</v>
      </c>
      <c r="AT285" s="8">
        <v>5.16</v>
      </c>
      <c r="AU285" s="50">
        <v>5.9</v>
      </c>
      <c r="AV285" s="50">
        <v>4.99</v>
      </c>
      <c r="AW285" s="50">
        <v>4.8899999999999997</v>
      </c>
      <c r="AX285" s="50">
        <v>4.2</v>
      </c>
      <c r="AY285" s="50">
        <v>4.5599999999999996</v>
      </c>
      <c r="AZ285" s="50">
        <v>5</v>
      </c>
      <c r="BA285" s="50">
        <v>3.9</v>
      </c>
      <c r="BB285" s="50">
        <v>4.5</v>
      </c>
      <c r="BC285" s="55">
        <v>3.8</v>
      </c>
      <c r="BD285" s="55">
        <v>4.7</v>
      </c>
      <c r="BE285" s="11">
        <v>4.492</v>
      </c>
      <c r="BF285" s="4">
        <v>0</v>
      </c>
      <c r="BG285" s="4">
        <v>4.6929999999999996</v>
      </c>
      <c r="BH285" s="4">
        <v>4.1230000000000002</v>
      </c>
      <c r="BI285" s="4">
        <v>3.653</v>
      </c>
      <c r="BJ285" s="14">
        <v>4.3470000000000004</v>
      </c>
      <c r="BK285" s="14">
        <v>4.3470000000000004</v>
      </c>
      <c r="BL285" s="4">
        <v>5.0940000000000003</v>
      </c>
      <c r="BM285" s="17">
        <v>4.6929999999999996</v>
      </c>
      <c r="BN285" s="4">
        <v>5.3010000000000002</v>
      </c>
      <c r="BO285" s="4">
        <v>4.7270000000000003</v>
      </c>
      <c r="BP285" s="4">
        <v>5.0720000000000001</v>
      </c>
      <c r="BQ285" s="4">
        <v>4.4790000000000001</v>
      </c>
      <c r="BR285" s="4">
        <v>4.0640000000000001</v>
      </c>
      <c r="BS285" s="4">
        <v>4.4160000000000004</v>
      </c>
      <c r="BT285" s="4">
        <v>4.9450000000000003</v>
      </c>
      <c r="BU285" s="4">
        <v>5.085</v>
      </c>
      <c r="BV285" s="4">
        <v>5.7720000000000002</v>
      </c>
      <c r="BW285" s="4">
        <v>5.702</v>
      </c>
      <c r="BX285" s="4">
        <v>5.8769999999999998</v>
      </c>
      <c r="BY285" s="4">
        <v>5.47</v>
      </c>
      <c r="BZ285" s="55">
        <v>5.1100000000000003</v>
      </c>
      <c r="CA285" s="55">
        <v>6.08</v>
      </c>
      <c r="CB285" s="55">
        <v>6.19</v>
      </c>
      <c r="CC285" s="55">
        <v>0</v>
      </c>
      <c r="CD285" s="55">
        <v>0</v>
      </c>
      <c r="CE285" s="19">
        <v>0</v>
      </c>
      <c r="CF285" s="19">
        <v>0</v>
      </c>
      <c r="CG285" s="4">
        <v>5.69</v>
      </c>
      <c r="CH285" s="4">
        <v>0</v>
      </c>
      <c r="CI285" s="4">
        <v>5.4</v>
      </c>
      <c r="CJ285" s="34">
        <v>0</v>
      </c>
      <c r="CK285" s="34">
        <v>5.5</v>
      </c>
      <c r="CL285" s="43">
        <v>6.5</v>
      </c>
      <c r="CM285" s="4">
        <v>6.4</v>
      </c>
      <c r="CN285" s="53">
        <v>5.8</v>
      </c>
      <c r="CO285" s="54">
        <v>3.4</v>
      </c>
      <c r="CP285" s="54">
        <v>2.6</v>
      </c>
      <c r="CQ285" s="4">
        <v>4.8</v>
      </c>
    </row>
    <row r="286" spans="1:95" s="55" customFormat="1" x14ac:dyDescent="0.35">
      <c r="A286" s="55">
        <v>285</v>
      </c>
      <c r="B286" s="55" t="s">
        <v>112</v>
      </c>
      <c r="C286" s="27" t="s">
        <v>734</v>
      </c>
      <c r="D286" s="50" t="s">
        <v>88</v>
      </c>
      <c r="E286" s="33" t="s">
        <v>89</v>
      </c>
      <c r="F286" s="4">
        <f>IFERROR(AVERAGEIF(Table1[[#This Row],[2019-Apr]:[2025-July]],"&lt;&gt;0"),0)</f>
        <v>3.3708787878787874</v>
      </c>
      <c r="G286" s="4">
        <f ca="1">IFERROR(AVERAGEIF(OFFSET(Table1[[#This Row],[Status]],0,COUNT(Table1[[#This Row],[2019-May]:[2025-July]]),1,-12),"&lt;&gt;0"),0)</f>
        <v>3.221111111111111</v>
      </c>
      <c r="H286" s="55">
        <f>IFERROR(SMALL(Table1[[#This Row],[2019-Apr]:[2025-July]],COUNTIF(Table1[[#This Row],[2019-Apr]:[2025-July]],0)+1),0)</f>
        <v>1.99</v>
      </c>
      <c r="I286" s="55">
        <f>IFERROR(MAX(Table1[[#This Row],[2019-Apr]:[2025-July]]),0)</f>
        <v>5.0220000000000002</v>
      </c>
      <c r="J286" s="4" cm="1">
        <f t="array" ref="J28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2.3183333333333334</v>
      </c>
      <c r="K286" s="4">
        <v>4.5</v>
      </c>
      <c r="L286" s="4">
        <f>IF(Table1[[#This Row],[Standard as per ISO]]&gt;=Table1[[#This Row],[Avg of best 6]],Table1[[#This Row],[Standard as per ISO]],Table1[[#This Row],[Avg of best 6]])</f>
        <v>4.5</v>
      </c>
      <c r="M286" s="4" cm="1">
        <f t="array" ref="M286">IFERROR(LOOKUP(2,1/(Table1[[#This Row],[2019-May]:[2025-July]]&lt;&gt;0),Table1[[#This Row],[2019-May]:[2025-July]]),0)</f>
        <v>2.6</v>
      </c>
      <c r="N286" s="4">
        <f>COUNTIF(Table1[[#This Row],[2019-Apr]:[2025-July]],"&gt;="&amp;Table1[[#This Row],[Target]])</f>
        <v>8</v>
      </c>
      <c r="O286" s="4">
        <f>IF(Table1[[#This Row],[Outliers 2Y]]=0,1,0)</f>
        <v>0</v>
      </c>
      <c r="P286" s="4">
        <f>IF(Table1[[#This Row],[Last value]]&gt;1.5*Table1[[#This Row],[Target]],1,0)</f>
        <v>0</v>
      </c>
      <c r="Q286" s="4">
        <f>IF(AND(1.5*Table1[[#This Row],[Target]]&gt;=Table1[[#This Row],[Last value]],Table1[[#This Row],[Last value]]&gt;Table1[[#This Row],[Target]]),1,0)</f>
        <v>0</v>
      </c>
      <c r="R286" s="4">
        <f>IF(Table1[[#This Row],[Target]]&gt;=Table1[[#This Row],[Last value]],1,0)</f>
        <v>1</v>
      </c>
      <c r="S286" s="4" t="str">
        <f t="shared" si="6"/>
        <v>Green</v>
      </c>
      <c r="T286" s="55">
        <v>0</v>
      </c>
      <c r="U286" s="55">
        <v>2.6</v>
      </c>
      <c r="V286" s="55">
        <v>2.7</v>
      </c>
      <c r="W286" s="55">
        <v>2.8</v>
      </c>
      <c r="X286" s="55">
        <v>2.7</v>
      </c>
      <c r="Y286" s="55">
        <v>2.42</v>
      </c>
      <c r="Z286" s="55">
        <v>2.9</v>
      </c>
      <c r="AA286" s="55">
        <v>2.25</v>
      </c>
      <c r="AB286" s="55">
        <v>2.35</v>
      </c>
      <c r="AC286" s="55">
        <v>2.58</v>
      </c>
      <c r="AD286" s="55">
        <v>4.4000000000000004</v>
      </c>
      <c r="AE286" s="55">
        <v>2.4</v>
      </c>
      <c r="AF286" s="55">
        <v>2.5</v>
      </c>
      <c r="AG286" s="55">
        <v>2.5</v>
      </c>
      <c r="AH286" s="55">
        <v>2.5</v>
      </c>
      <c r="AI286" s="55">
        <v>1.99</v>
      </c>
      <c r="AJ286" s="55">
        <v>2.88</v>
      </c>
      <c r="AK286" s="55">
        <v>0</v>
      </c>
      <c r="AL286" s="55">
        <v>2.5</v>
      </c>
      <c r="AM286" s="55">
        <v>2.5099999999999998</v>
      </c>
      <c r="AN286" s="55">
        <v>2.86</v>
      </c>
      <c r="AO286" s="55">
        <v>0</v>
      </c>
      <c r="AP286" s="55">
        <v>2.62</v>
      </c>
      <c r="AQ286" s="55">
        <v>2.6</v>
      </c>
      <c r="AR286" s="8">
        <v>0</v>
      </c>
      <c r="AS286" s="8">
        <v>3.32</v>
      </c>
      <c r="AT286" s="8">
        <v>3.23</v>
      </c>
      <c r="AU286" s="50">
        <v>3</v>
      </c>
      <c r="AV286" s="50">
        <v>3</v>
      </c>
      <c r="AW286" s="50">
        <v>2.76</v>
      </c>
      <c r="AX286" s="50">
        <v>2.74</v>
      </c>
      <c r="AY286" s="50">
        <v>2.85</v>
      </c>
      <c r="AZ286" s="50">
        <v>2.8</v>
      </c>
      <c r="BA286" s="50">
        <v>2.7</v>
      </c>
      <c r="BB286" s="50">
        <v>4.5999999999999996</v>
      </c>
      <c r="BC286" s="55">
        <v>4.0999999999999996</v>
      </c>
      <c r="BD286" s="55">
        <v>4.0999999999999996</v>
      </c>
      <c r="BE286" s="11">
        <v>3.74</v>
      </c>
      <c r="BF286" s="4">
        <v>0</v>
      </c>
      <c r="BG286" s="4">
        <v>3.7570000000000001</v>
      </c>
      <c r="BH286" s="4">
        <v>4.6619999999999999</v>
      </c>
      <c r="BI286" s="4">
        <v>4.6619999999999999</v>
      </c>
      <c r="BJ286" s="13">
        <v>4.2489999999999997</v>
      </c>
      <c r="BK286" s="13">
        <v>4.4619999999999997</v>
      </c>
      <c r="BL286" s="4">
        <v>3.8919999999999999</v>
      </c>
      <c r="BM286" s="16">
        <v>4.57</v>
      </c>
      <c r="BN286" s="4">
        <v>3.3879999999999999</v>
      </c>
      <c r="BO286" s="4">
        <v>4.0880000000000001</v>
      </c>
      <c r="BP286" s="4">
        <v>0</v>
      </c>
      <c r="BQ286" s="4">
        <v>3.22</v>
      </c>
      <c r="BR286" s="4">
        <v>4.7439999999999998</v>
      </c>
      <c r="BS286" s="4">
        <v>4.0999999999999996</v>
      </c>
      <c r="BT286" s="4">
        <v>4.4509999999999996</v>
      </c>
      <c r="BU286" s="4">
        <v>4.2949999999999999</v>
      </c>
      <c r="BV286" s="4">
        <v>4.1989999999999998</v>
      </c>
      <c r="BW286" s="4">
        <v>4.0270000000000001</v>
      </c>
      <c r="BX286" s="4">
        <v>5.0220000000000002</v>
      </c>
      <c r="BY286" s="4">
        <v>4.8</v>
      </c>
      <c r="BZ286" s="55">
        <v>4.5999999999999996</v>
      </c>
      <c r="CA286" s="55">
        <v>4</v>
      </c>
      <c r="CB286" s="55">
        <v>3.7</v>
      </c>
      <c r="CC286" s="55">
        <v>0</v>
      </c>
      <c r="CD286" s="55">
        <v>3.5</v>
      </c>
      <c r="CE286" s="19">
        <v>0</v>
      </c>
      <c r="CF286" s="19">
        <v>0</v>
      </c>
      <c r="CG286" s="4">
        <v>3.5</v>
      </c>
      <c r="CH286" s="4">
        <v>0</v>
      </c>
      <c r="CI286" s="4">
        <v>3.59</v>
      </c>
      <c r="CJ286" s="34">
        <v>3.5</v>
      </c>
      <c r="CK286" s="34">
        <v>3.5</v>
      </c>
      <c r="CL286" s="43">
        <v>2.9</v>
      </c>
      <c r="CM286" s="4">
        <v>2.8</v>
      </c>
      <c r="CN286" s="53">
        <v>3.2</v>
      </c>
      <c r="CO286" s="54">
        <v>3</v>
      </c>
      <c r="CP286" s="54">
        <v>3</v>
      </c>
      <c r="CQ286" s="4">
        <v>2.6</v>
      </c>
    </row>
    <row r="287" spans="1:95" s="55" customFormat="1" x14ac:dyDescent="0.35">
      <c r="A287" s="55">
        <v>286</v>
      </c>
      <c r="B287" s="55" t="s">
        <v>112</v>
      </c>
      <c r="C287" s="27" t="s">
        <v>735</v>
      </c>
      <c r="D287" s="50" t="s">
        <v>88</v>
      </c>
      <c r="E287" s="33" t="s">
        <v>89</v>
      </c>
      <c r="F287" s="4">
        <f>IFERROR(AVERAGEIF(Table1[[#This Row],[2019-Apr]:[2025-July]],"&lt;&gt;0"),0)</f>
        <v>2.3455384615384607</v>
      </c>
      <c r="G287" s="4">
        <f ca="1">IFERROR(AVERAGEIF(OFFSET(Table1[[#This Row],[Status]],0,COUNT(Table1[[#This Row],[2019-May]:[2025-July]]),1,-12),"&lt;&gt;0"),0)</f>
        <v>1.5888888888888892</v>
      </c>
      <c r="H287" s="55">
        <f>IFERROR(SMALL(Table1[[#This Row],[2019-Apr]:[2025-July]],COUNTIF(Table1[[#This Row],[2019-Apr]:[2025-July]],0)+1),0)</f>
        <v>1.1000000000000001</v>
      </c>
      <c r="I287" s="55">
        <f>IFERROR(MAX(Table1[[#This Row],[2019-Apr]:[2025-July]]),0)</f>
        <v>4.1399999999999997</v>
      </c>
      <c r="J287" s="4" cm="1">
        <f t="array" ref="J28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1.4349999999999998</v>
      </c>
      <c r="K287" s="4">
        <v>4.5</v>
      </c>
      <c r="L287" s="4">
        <f>IF(Table1[[#This Row],[Standard as per ISO]]&gt;=Table1[[#This Row],[Avg of best 6]],Table1[[#This Row],[Standard as per ISO]],Table1[[#This Row],[Avg of best 6]])</f>
        <v>4.5</v>
      </c>
      <c r="M287" s="4" cm="1">
        <f t="array" ref="M287">IFERROR(LOOKUP(2,1/(Table1[[#This Row],[2019-May]:[2025-July]]&lt;&gt;0),Table1[[#This Row],[2019-May]:[2025-July]]),0)</f>
        <v>1.6</v>
      </c>
      <c r="N287" s="4">
        <f>COUNTIF(Table1[[#This Row],[2019-Apr]:[2025-July]],"&gt;="&amp;Table1[[#This Row],[Target]])</f>
        <v>0</v>
      </c>
      <c r="O287" s="4">
        <f>IF(Table1[[#This Row],[Outliers 2Y]]=0,1,0)</f>
        <v>1</v>
      </c>
      <c r="P287" s="4">
        <f>IF(Table1[[#This Row],[Last value]]&gt;1.5*Table1[[#This Row],[Target]],1,0)</f>
        <v>0</v>
      </c>
      <c r="Q287" s="4">
        <f>IF(AND(1.5*Table1[[#This Row],[Target]]&gt;=Table1[[#This Row],[Last value]],Table1[[#This Row],[Last value]]&gt;Table1[[#This Row],[Target]]),1,0)</f>
        <v>0</v>
      </c>
      <c r="R287" s="4">
        <f>IF(Table1[[#This Row],[Target]]&gt;=Table1[[#This Row],[Last value]],1,0)</f>
        <v>1</v>
      </c>
      <c r="S287" s="4" t="str">
        <f t="shared" si="6"/>
        <v>Green</v>
      </c>
      <c r="T287" s="55">
        <v>0</v>
      </c>
      <c r="U287" s="55">
        <v>3.42</v>
      </c>
      <c r="V287" s="55">
        <v>2.33</v>
      </c>
      <c r="W287" s="55">
        <v>2.9</v>
      </c>
      <c r="X287" s="55">
        <v>2.17</v>
      </c>
      <c r="Y287" s="55">
        <v>2.13</v>
      </c>
      <c r="Z287" s="55">
        <v>2</v>
      </c>
      <c r="AA287" s="55">
        <v>2</v>
      </c>
      <c r="AB287" s="55">
        <v>2.5099999999999998</v>
      </c>
      <c r="AC287" s="55">
        <v>2.3199999999999998</v>
      </c>
      <c r="AD287" s="55">
        <v>2.2599999999999998</v>
      </c>
      <c r="AE287" s="55">
        <v>2.6</v>
      </c>
      <c r="AF287" s="55">
        <v>3.3</v>
      </c>
      <c r="AG287" s="55">
        <v>2.6</v>
      </c>
      <c r="AH287" s="55">
        <v>2.96</v>
      </c>
      <c r="AI287" s="55">
        <v>3.24</v>
      </c>
      <c r="AJ287" s="55">
        <v>4.1399999999999997</v>
      </c>
      <c r="AK287" s="55">
        <v>0</v>
      </c>
      <c r="AL287" s="55">
        <v>2.7</v>
      </c>
      <c r="AM287" s="55">
        <v>2.65</v>
      </c>
      <c r="AN287" s="55">
        <v>2.81</v>
      </c>
      <c r="AO287" s="55">
        <v>2.61</v>
      </c>
      <c r="AP287" s="55">
        <v>0</v>
      </c>
      <c r="AQ287" s="55">
        <v>2.62</v>
      </c>
      <c r="AR287" s="8">
        <v>0</v>
      </c>
      <c r="AS287" s="8">
        <v>2.04</v>
      </c>
      <c r="AT287" s="8">
        <v>2.1</v>
      </c>
      <c r="AU287" s="50">
        <v>2.72</v>
      </c>
      <c r="AV287" s="50">
        <v>2.06</v>
      </c>
      <c r="AW287" s="50">
        <v>1.85</v>
      </c>
      <c r="AX287" s="50">
        <v>2.04</v>
      </c>
      <c r="AY287" s="50">
        <v>2.21</v>
      </c>
      <c r="AZ287" s="50">
        <v>2.69</v>
      </c>
      <c r="BA287" s="50">
        <v>2.2000000000000002</v>
      </c>
      <c r="BB287" s="50">
        <v>2.1</v>
      </c>
      <c r="BC287" s="55">
        <v>2.2999999999999998</v>
      </c>
      <c r="BD287" s="55">
        <v>2.8</v>
      </c>
      <c r="BE287" s="11">
        <v>2.6280000000000001</v>
      </c>
      <c r="BF287" s="4">
        <v>0</v>
      </c>
      <c r="BG287" s="4">
        <v>3.3809999999999998</v>
      </c>
      <c r="BH287" s="4">
        <v>2.1749999999999998</v>
      </c>
      <c r="BI287" s="4">
        <v>1.6739999999999999</v>
      </c>
      <c r="BJ287" s="14">
        <v>2.125</v>
      </c>
      <c r="BK287" s="14">
        <v>2.5459999999999998</v>
      </c>
      <c r="BL287" s="4">
        <v>2.8479999999999999</v>
      </c>
      <c r="BM287" s="17">
        <v>2.2610000000000001</v>
      </c>
      <c r="BN287" s="4">
        <v>2.7709999999999999</v>
      </c>
      <c r="BO287" s="4">
        <v>3.4129999999999998</v>
      </c>
      <c r="BP287" s="4">
        <v>2.7829999999999999</v>
      </c>
      <c r="BQ287" s="4">
        <v>2.585</v>
      </c>
      <c r="BR287" s="4">
        <v>2.3149999999999999</v>
      </c>
      <c r="BS287" s="4">
        <v>2.177</v>
      </c>
      <c r="BT287" s="4">
        <v>2.3180000000000001</v>
      </c>
      <c r="BU287" s="4">
        <v>2.8130000000000002</v>
      </c>
      <c r="BV287" s="4">
        <v>2.1469999999999998</v>
      </c>
      <c r="BW287" s="4">
        <v>1.96</v>
      </c>
      <c r="BX287" s="4">
        <v>2.16</v>
      </c>
      <c r="BY287" s="4">
        <v>2.04</v>
      </c>
      <c r="BZ287" s="55">
        <v>1.51</v>
      </c>
      <c r="CA287" s="55">
        <v>0</v>
      </c>
      <c r="CB287" s="55">
        <v>0</v>
      </c>
      <c r="CC287" s="55">
        <v>2.5499999999999998</v>
      </c>
      <c r="CD287" s="55">
        <v>0</v>
      </c>
      <c r="CE287" s="19">
        <v>1.6</v>
      </c>
      <c r="CF287" s="19">
        <v>0</v>
      </c>
      <c r="CG287" s="4">
        <v>0</v>
      </c>
      <c r="CH287" s="4">
        <v>0</v>
      </c>
      <c r="CI287" s="4">
        <v>1.7</v>
      </c>
      <c r="CJ287" s="34">
        <v>1.6</v>
      </c>
      <c r="CK287" s="34">
        <v>1.7</v>
      </c>
      <c r="CL287" s="43">
        <v>1.5</v>
      </c>
      <c r="CM287" s="4">
        <v>2</v>
      </c>
      <c r="CN287" s="53">
        <v>1.8</v>
      </c>
      <c r="CO287" s="54">
        <v>1.1000000000000001</v>
      </c>
      <c r="CP287" s="54">
        <v>1.3</v>
      </c>
      <c r="CQ287" s="4">
        <v>1.6</v>
      </c>
    </row>
    <row r="288" spans="1:95" s="55" customFormat="1" x14ac:dyDescent="0.35">
      <c r="A288" s="55">
        <v>287</v>
      </c>
      <c r="B288" s="55" t="s">
        <v>112</v>
      </c>
      <c r="C288" s="27" t="s">
        <v>736</v>
      </c>
      <c r="D288" s="50" t="s">
        <v>88</v>
      </c>
      <c r="E288" s="33" t="s">
        <v>89</v>
      </c>
      <c r="F288" s="4">
        <f>IFERROR(AVERAGEIF(Table1[[#This Row],[2019-Apr]:[2025-July]],"&lt;&gt;0"),0)</f>
        <v>3.4921617647058816</v>
      </c>
      <c r="G288" s="4">
        <f ca="1">IFERROR(AVERAGEIF(OFFSET(Table1[[#This Row],[Status]],0,COUNT(Table1[[#This Row],[2019-May]:[2025-July]]),1,-12),"&lt;&gt;0"),0)</f>
        <v>1.5611111111111109</v>
      </c>
      <c r="H288" s="55">
        <f>IFERROR(SMALL(Table1[[#This Row],[2019-Apr]:[2025-July]],COUNTIF(Table1[[#This Row],[2019-Apr]:[2025-July]],0)+1),0)</f>
        <v>1.2789999999999999</v>
      </c>
      <c r="I288" s="55">
        <f>IFERROR(MAX(Table1[[#This Row],[2019-Apr]:[2025-July]]),0)</f>
        <v>6.5</v>
      </c>
      <c r="J288" s="4" cm="1">
        <f t="array" ref="J28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1.2973333333333332</v>
      </c>
      <c r="K288" s="4">
        <v>4.5</v>
      </c>
      <c r="L288" s="4">
        <f>IF(Table1[[#This Row],[Standard as per ISO]]&gt;=Table1[[#This Row],[Avg of best 6]],Table1[[#This Row],[Standard as per ISO]],Table1[[#This Row],[Avg of best 6]])</f>
        <v>4.5</v>
      </c>
      <c r="M288" s="4" cm="1">
        <f t="array" ref="M288">IFERROR(LOOKUP(2,1/(Table1[[#This Row],[2019-May]:[2025-July]]&lt;&gt;0),Table1[[#This Row],[2019-May]:[2025-July]]),0)</f>
        <v>1.5</v>
      </c>
      <c r="N288" s="4">
        <f>COUNTIF(Table1[[#This Row],[2019-Apr]:[2025-July]],"&gt;="&amp;Table1[[#This Row],[Target]])</f>
        <v>31</v>
      </c>
      <c r="O288" s="4">
        <f>IF(Table1[[#This Row],[Outliers 2Y]]=0,1,0)</f>
        <v>0</v>
      </c>
      <c r="P288" s="4">
        <f>IF(Table1[[#This Row],[Last value]]&gt;1.5*Table1[[#This Row],[Target]],1,0)</f>
        <v>0</v>
      </c>
      <c r="Q288" s="4">
        <f>IF(AND(1.5*Table1[[#This Row],[Target]]&gt;=Table1[[#This Row],[Last value]],Table1[[#This Row],[Last value]]&gt;Table1[[#This Row],[Target]]),1,0)</f>
        <v>0</v>
      </c>
      <c r="R288" s="4">
        <f>IF(Table1[[#This Row],[Target]]&gt;=Table1[[#This Row],[Last value]],1,0)</f>
        <v>1</v>
      </c>
      <c r="S288" s="4" t="str">
        <f t="shared" si="6"/>
        <v>Green</v>
      </c>
      <c r="T288" s="55">
        <v>0</v>
      </c>
      <c r="U288" s="55">
        <v>0</v>
      </c>
      <c r="V288" s="55">
        <v>5.65</v>
      </c>
      <c r="W288" s="55">
        <v>4.57</v>
      </c>
      <c r="X288" s="55">
        <v>5.14</v>
      </c>
      <c r="Y288" s="55">
        <v>5.46</v>
      </c>
      <c r="Z288" s="55">
        <v>5.48</v>
      </c>
      <c r="AA288" s="55">
        <v>5.22</v>
      </c>
      <c r="AB288" s="55">
        <v>5.59</v>
      </c>
      <c r="AC288" s="55">
        <v>5.07</v>
      </c>
      <c r="AD288" s="55">
        <v>5.88</v>
      </c>
      <c r="AE288" s="55">
        <v>5.87</v>
      </c>
      <c r="AF288" s="55">
        <v>5.5</v>
      </c>
      <c r="AG288" s="55">
        <v>5.9</v>
      </c>
      <c r="AH288" s="55">
        <v>5.6</v>
      </c>
      <c r="AI288" s="55">
        <v>3.54</v>
      </c>
      <c r="AJ288" s="55">
        <v>5.0999999999999996</v>
      </c>
      <c r="AK288" s="55">
        <v>4.8600000000000003</v>
      </c>
      <c r="AL288" s="55">
        <v>5.42</v>
      </c>
      <c r="AM288" s="55">
        <v>4.46</v>
      </c>
      <c r="AN288" s="55">
        <v>4.45</v>
      </c>
      <c r="AO288" s="55">
        <v>4.9800000000000004</v>
      </c>
      <c r="AP288" s="55">
        <v>5.43</v>
      </c>
      <c r="AQ288" s="55">
        <v>6.09</v>
      </c>
      <c r="AR288" s="8">
        <v>0</v>
      </c>
      <c r="AS288" s="8">
        <v>5.44</v>
      </c>
      <c r="AT288" s="8">
        <v>5.52</v>
      </c>
      <c r="AU288" s="50">
        <v>5.3</v>
      </c>
      <c r="AV288" s="50">
        <v>5.61</v>
      </c>
      <c r="AW288" s="50">
        <v>5.6</v>
      </c>
      <c r="AX288" s="50">
        <v>5.76</v>
      </c>
      <c r="AY288" s="50">
        <v>5.74</v>
      </c>
      <c r="AZ288" s="50">
        <v>6.2</v>
      </c>
      <c r="BA288" s="50">
        <v>6</v>
      </c>
      <c r="BB288" s="50">
        <v>5</v>
      </c>
      <c r="BC288" s="55">
        <v>6.5</v>
      </c>
      <c r="BD288" s="55">
        <v>6.2</v>
      </c>
      <c r="BE288" s="11">
        <v>3.1269999999999998</v>
      </c>
      <c r="BF288" s="4">
        <v>0</v>
      </c>
      <c r="BG288" s="4">
        <v>0</v>
      </c>
      <c r="BH288" s="4">
        <v>1.3</v>
      </c>
      <c r="BI288" s="4">
        <v>1.3</v>
      </c>
      <c r="BJ288" s="13">
        <v>1.3640000000000001</v>
      </c>
      <c r="BK288" s="13">
        <v>1.3640000000000001</v>
      </c>
      <c r="BL288" s="4">
        <v>1.58</v>
      </c>
      <c r="BM288" s="16">
        <v>1.2849999999999999</v>
      </c>
      <c r="BN288" s="4">
        <v>1.5489999999999999</v>
      </c>
      <c r="BO288" s="4">
        <v>1.2789999999999999</v>
      </c>
      <c r="BP288" s="4">
        <v>1.5</v>
      </c>
      <c r="BQ288" s="4">
        <v>1.32</v>
      </c>
      <c r="BR288" s="4">
        <v>1.5149999999999999</v>
      </c>
      <c r="BS288" s="4">
        <v>1.579</v>
      </c>
      <c r="BT288" s="4">
        <v>1.623</v>
      </c>
      <c r="BU288" s="4">
        <v>1.3680000000000001</v>
      </c>
      <c r="BV288" s="4">
        <v>1.6779999999999999</v>
      </c>
      <c r="BW288" s="4">
        <v>1.929</v>
      </c>
      <c r="BX288" s="4">
        <v>1.4</v>
      </c>
      <c r="BY288" s="4">
        <v>1.617</v>
      </c>
      <c r="BZ288" s="55">
        <v>1.51</v>
      </c>
      <c r="CA288" s="55">
        <v>1.79</v>
      </c>
      <c r="CB288" s="55">
        <v>1.72</v>
      </c>
      <c r="CC288" s="55">
        <v>1.5</v>
      </c>
      <c r="CD288" s="55">
        <v>1.59</v>
      </c>
      <c r="CE288" s="19">
        <v>0</v>
      </c>
      <c r="CF288" s="19">
        <v>0</v>
      </c>
      <c r="CG288" s="4">
        <v>1.48</v>
      </c>
      <c r="CH288" s="4">
        <v>0</v>
      </c>
      <c r="CI288" s="4">
        <v>1.67</v>
      </c>
      <c r="CJ288" s="34">
        <v>1.7</v>
      </c>
      <c r="CK288" s="34">
        <v>1.3</v>
      </c>
      <c r="CL288" s="43">
        <v>1.5</v>
      </c>
      <c r="CM288" s="4">
        <v>1.9</v>
      </c>
      <c r="CN288" s="53">
        <v>1.6</v>
      </c>
      <c r="CO288" s="54">
        <v>1.4</v>
      </c>
      <c r="CP288" s="54">
        <v>1.5</v>
      </c>
      <c r="CQ288" s="4">
        <v>1.5</v>
      </c>
    </row>
    <row r="289" spans="1:95" s="55" customFormat="1" x14ac:dyDescent="0.35">
      <c r="A289" s="55">
        <v>288</v>
      </c>
      <c r="B289" s="55" t="s">
        <v>112</v>
      </c>
      <c r="C289" s="27" t="s">
        <v>737</v>
      </c>
      <c r="D289" s="50" t="s">
        <v>88</v>
      </c>
      <c r="E289" s="33" t="s">
        <v>89</v>
      </c>
      <c r="F289" s="4">
        <f>IFERROR(AVERAGEIF(Table1[[#This Row],[2019-Apr]:[2025-July]],"&lt;&gt;0"),0)</f>
        <v>3.6773636363636375</v>
      </c>
      <c r="G289" s="4">
        <f ca="1">IFERROR(AVERAGEIF(OFFSET(Table1[[#This Row],[Status]],0,COUNT(Table1[[#This Row],[2019-May]:[2025-July]]),1,-12),"&lt;&gt;0"),0)</f>
        <v>4.4000000000000004</v>
      </c>
      <c r="H289" s="55">
        <f>IFERROR(SMALL(Table1[[#This Row],[2019-Apr]:[2025-July]],COUNTIF(Table1[[#This Row],[2019-Apr]:[2025-July]],0)+1),0)</f>
        <v>1.6</v>
      </c>
      <c r="I289" s="55">
        <f>IFERROR(MAX(Table1[[#This Row],[2019-Apr]:[2025-July]]),0)</f>
        <v>6.56</v>
      </c>
      <c r="J289" s="4" cm="1">
        <f t="array" ref="J28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1.8575000000000002</v>
      </c>
      <c r="K289" s="4">
        <v>4.5</v>
      </c>
      <c r="L289" s="4">
        <f>IF(Table1[[#This Row],[Standard as per ISO]]&gt;=Table1[[#This Row],[Avg of best 6]],Table1[[#This Row],[Standard as per ISO]],Table1[[#This Row],[Avg of best 6]])</f>
        <v>4.5</v>
      </c>
      <c r="M289" s="4" cm="1">
        <f t="array" ref="M289">IFERROR(LOOKUP(2,1/(Table1[[#This Row],[2019-May]:[2025-July]]&lt;&gt;0),Table1[[#This Row],[2019-May]:[2025-July]]),0)</f>
        <v>4.5999999999999996</v>
      </c>
      <c r="N289" s="4">
        <f>COUNTIF(Table1[[#This Row],[2019-Apr]:[2025-July]],"&gt;="&amp;Table1[[#This Row],[Target]])</f>
        <v>17</v>
      </c>
      <c r="O289" s="4">
        <f>IF(Table1[[#This Row],[Outliers 2Y]]=0,1,0)</f>
        <v>0</v>
      </c>
      <c r="P289" s="4">
        <f>IF(Table1[[#This Row],[Last value]]&gt;1.5*Table1[[#This Row],[Target]],1,0)</f>
        <v>0</v>
      </c>
      <c r="Q289" s="4">
        <f>IF(AND(1.5*Table1[[#This Row],[Target]]&gt;=Table1[[#This Row],[Last value]],Table1[[#This Row],[Last value]]&gt;Table1[[#This Row],[Target]]),1,0)</f>
        <v>1</v>
      </c>
      <c r="R289" s="4">
        <f>IF(Table1[[#This Row],[Target]]&gt;=Table1[[#This Row],[Last value]],1,0)</f>
        <v>0</v>
      </c>
      <c r="S289" s="4" t="str">
        <f t="shared" si="6"/>
        <v>Yellow</v>
      </c>
      <c r="T289" s="55">
        <v>0</v>
      </c>
      <c r="U289" s="55">
        <v>3.93</v>
      </c>
      <c r="V289" s="55">
        <v>3.13</v>
      </c>
      <c r="W289" s="55">
        <v>3.69</v>
      </c>
      <c r="X289" s="55">
        <v>4.3</v>
      </c>
      <c r="Y289" s="55">
        <v>3.22</v>
      </c>
      <c r="Z289" s="55">
        <v>3.72</v>
      </c>
      <c r="AA289" s="55">
        <v>3.39</v>
      </c>
      <c r="AB289" s="55">
        <v>5.32</v>
      </c>
      <c r="AC289" s="55">
        <v>4.12</v>
      </c>
      <c r="AD289" s="55">
        <v>3.9</v>
      </c>
      <c r="AE289" s="55">
        <v>4.32</v>
      </c>
      <c r="AF289" s="55">
        <v>4.3</v>
      </c>
      <c r="AG289" s="55">
        <v>4.0999999999999996</v>
      </c>
      <c r="AH289" s="55">
        <v>0</v>
      </c>
      <c r="AI289" s="55">
        <v>0</v>
      </c>
      <c r="AJ289" s="55">
        <v>0</v>
      </c>
      <c r="AK289" s="55">
        <v>4.5999999999999996</v>
      </c>
      <c r="AL289" s="55">
        <v>5.45</v>
      </c>
      <c r="AM289" s="55">
        <v>4.7</v>
      </c>
      <c r="AN289" s="55">
        <v>4.28</v>
      </c>
      <c r="AO289" s="55">
        <v>4.37</v>
      </c>
      <c r="AP289" s="55">
        <v>6.37</v>
      </c>
      <c r="AQ289" s="55">
        <v>6.56</v>
      </c>
      <c r="AR289" s="8">
        <v>0</v>
      </c>
      <c r="AS289" s="8">
        <v>5.76</v>
      </c>
      <c r="AT289" s="8">
        <v>5.54</v>
      </c>
      <c r="AU289" s="50">
        <v>4.3899999999999997</v>
      </c>
      <c r="AV289" s="50">
        <v>4.5199999999999996</v>
      </c>
      <c r="AW289" s="50">
        <v>4.55</v>
      </c>
      <c r="AX289" s="50">
        <v>4.53</v>
      </c>
      <c r="AY289" s="50">
        <v>4.5599999999999996</v>
      </c>
      <c r="AZ289" s="50">
        <v>4.5999999999999996</v>
      </c>
      <c r="BA289" s="50">
        <v>1.6</v>
      </c>
      <c r="BB289" s="50">
        <v>2.1</v>
      </c>
      <c r="BC289" s="55">
        <v>2.2000000000000002</v>
      </c>
      <c r="BD289" s="55">
        <v>3.1</v>
      </c>
      <c r="BE289" s="11">
        <v>2.3820000000000001</v>
      </c>
      <c r="BF289" s="4">
        <v>0</v>
      </c>
      <c r="BG289" s="4">
        <v>0</v>
      </c>
      <c r="BH289" s="4">
        <v>2.27</v>
      </c>
      <c r="BI289" s="4">
        <v>2.27</v>
      </c>
      <c r="BJ289" s="14">
        <v>2.5</v>
      </c>
      <c r="BK289" s="14">
        <v>2.7090000000000001</v>
      </c>
      <c r="BL289" s="4">
        <v>2.298</v>
      </c>
      <c r="BM289" s="17">
        <v>2.367</v>
      </c>
      <c r="BN289" s="4">
        <v>2.0529999999999999</v>
      </c>
      <c r="BO289" s="4">
        <v>2.653</v>
      </c>
      <c r="BP289" s="4">
        <v>3.5750000000000002</v>
      </c>
      <c r="BQ289" s="4">
        <v>3.004</v>
      </c>
      <c r="BR289" s="4">
        <v>1.9350000000000001</v>
      </c>
      <c r="BS289" s="4">
        <v>3.1869999999999998</v>
      </c>
      <c r="BT289" s="4">
        <v>3.3090000000000002</v>
      </c>
      <c r="BU289" s="4">
        <v>2.8519999999999999</v>
      </c>
      <c r="BV289" s="4">
        <v>1.627</v>
      </c>
      <c r="BW289" s="4">
        <v>2.7829999999999999</v>
      </c>
      <c r="BX289" s="4">
        <v>2.08</v>
      </c>
      <c r="BY289" s="4">
        <v>2.282</v>
      </c>
      <c r="BZ289" s="55">
        <v>2.82</v>
      </c>
      <c r="CA289" s="55">
        <v>2.5499999999999998</v>
      </c>
      <c r="CB289" s="55">
        <v>1.85</v>
      </c>
      <c r="CC289" s="55">
        <v>4.12</v>
      </c>
      <c r="CD289" s="55">
        <v>3.81</v>
      </c>
      <c r="CE289" s="19">
        <v>0</v>
      </c>
      <c r="CF289" s="19">
        <v>0</v>
      </c>
      <c r="CG289" s="4">
        <v>4.5999999999999996</v>
      </c>
      <c r="CH289" s="4">
        <v>0</v>
      </c>
      <c r="CI289" s="4">
        <v>4.3</v>
      </c>
      <c r="CJ289" s="34">
        <v>4.3</v>
      </c>
      <c r="CK289" s="34">
        <v>3.8</v>
      </c>
      <c r="CL289" s="43">
        <v>4.7</v>
      </c>
      <c r="CM289" s="4">
        <v>3.8</v>
      </c>
      <c r="CN289" s="53">
        <v>5.3</v>
      </c>
      <c r="CO289" s="54">
        <v>4.4000000000000004</v>
      </c>
      <c r="CP289" s="54">
        <v>4.4000000000000004</v>
      </c>
      <c r="CQ289" s="4">
        <v>4.5999999999999996</v>
      </c>
    </row>
    <row r="290" spans="1:95" s="55" customFormat="1" x14ac:dyDescent="0.35">
      <c r="A290" s="55">
        <v>289</v>
      </c>
      <c r="B290" s="55" t="s">
        <v>112</v>
      </c>
      <c r="C290" s="27" t="s">
        <v>738</v>
      </c>
      <c r="D290" s="50" t="s">
        <v>88</v>
      </c>
      <c r="E290" s="33" t="s">
        <v>91</v>
      </c>
      <c r="F290" s="4">
        <f>IFERROR(AVERAGEIF(Table1[[#This Row],[2019-Apr]:[2025-July]],"&lt;&gt;0"),0)</f>
        <v>1.7727833333333332</v>
      </c>
      <c r="G290" s="4">
        <f ca="1">IFERROR(AVERAGEIF(OFFSET(Table1[[#This Row],[Status]],0,COUNT(Table1[[#This Row],[2019-May]:[2025-July]]),1,-12),"&lt;&gt;0"),0)</f>
        <v>2.65</v>
      </c>
      <c r="H290" s="55">
        <f>IFERROR(SMALL(Table1[[#This Row],[2019-Apr]:[2025-July]],COUNTIF(Table1[[#This Row],[2019-Apr]:[2025-July]],0)+1),0)</f>
        <v>0.99</v>
      </c>
      <c r="I290" s="55">
        <f>IFERROR(MAX(Table1[[#This Row],[2019-Apr]:[2025-July]]),0)</f>
        <v>3.1</v>
      </c>
      <c r="J290" s="4" cm="1">
        <f t="array" ref="J29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1.0783333333333334</v>
      </c>
      <c r="K290" s="4">
        <v>4.5</v>
      </c>
      <c r="L290" s="4">
        <f>IF(Table1[[#This Row],[Standard as per ISO]]&gt;=Table1[[#This Row],[Avg of best 6]],Table1[[#This Row],[Standard as per ISO]],Table1[[#This Row],[Avg of best 6]])</f>
        <v>4.5</v>
      </c>
      <c r="M290" s="4" cm="1">
        <f t="array" ref="M290">IFERROR(LOOKUP(2,1/(Table1[[#This Row],[2019-May]:[2025-July]]&lt;&gt;0),Table1[[#This Row],[2019-May]:[2025-July]]),0)</f>
        <v>2.5</v>
      </c>
      <c r="N290" s="4">
        <f>COUNTIF(Table1[[#This Row],[2019-Apr]:[2025-July]],"&gt;="&amp;Table1[[#This Row],[Target]])</f>
        <v>0</v>
      </c>
      <c r="O290" s="4">
        <f>IF(Table1[[#This Row],[Outliers 2Y]]=0,1,0)</f>
        <v>1</v>
      </c>
      <c r="P290" s="4">
        <f>IF(Table1[[#This Row],[Last value]]&gt;1.5*Table1[[#This Row],[Target]],1,0)</f>
        <v>0</v>
      </c>
      <c r="Q290" s="4">
        <f>IF(AND(1.5*Table1[[#This Row],[Target]]&gt;=Table1[[#This Row],[Last value]],Table1[[#This Row],[Last value]]&gt;Table1[[#This Row],[Target]]),1,0)</f>
        <v>0</v>
      </c>
      <c r="R290" s="4">
        <f>IF(Table1[[#This Row],[Target]]&gt;=Table1[[#This Row],[Last value]],1,0)</f>
        <v>1</v>
      </c>
      <c r="S290" s="4" t="str">
        <f t="shared" si="6"/>
        <v>Green</v>
      </c>
      <c r="T290" s="55">
        <v>0</v>
      </c>
      <c r="U290" s="55">
        <v>1.97</v>
      </c>
      <c r="V290" s="55">
        <v>2.1</v>
      </c>
      <c r="W290" s="55">
        <v>1.96</v>
      </c>
      <c r="X290" s="55">
        <v>1.0900000000000001</v>
      </c>
      <c r="Y290" s="55">
        <v>0.99</v>
      </c>
      <c r="Z290" s="55">
        <v>1.23</v>
      </c>
      <c r="AA290" s="55">
        <v>1.1599999999999999</v>
      </c>
      <c r="AB290" s="55">
        <v>1.03</v>
      </c>
      <c r="AC290" s="55">
        <v>1.1299999999999999</v>
      </c>
      <c r="AD290" s="55">
        <v>1.47</v>
      </c>
      <c r="AE290" s="55">
        <v>1.1299999999999999</v>
      </c>
      <c r="AF290" s="55">
        <v>1.6</v>
      </c>
      <c r="AG290" s="55">
        <v>1.2</v>
      </c>
      <c r="AH290" s="55">
        <v>1.2</v>
      </c>
      <c r="AI290" s="55">
        <v>1.32</v>
      </c>
      <c r="AJ290" s="55">
        <v>1.69</v>
      </c>
      <c r="AK290" s="55">
        <v>2.38</v>
      </c>
      <c r="AL290" s="55">
        <v>1.4</v>
      </c>
      <c r="AM290" s="55">
        <v>0</v>
      </c>
      <c r="AN290" s="55">
        <v>1.67</v>
      </c>
      <c r="AO290" s="55">
        <v>1.1299999999999999</v>
      </c>
      <c r="AP290" s="55">
        <v>1.1000000000000001</v>
      </c>
      <c r="AQ290" s="55">
        <v>1.74</v>
      </c>
      <c r="AR290" s="8">
        <v>0</v>
      </c>
      <c r="AS290" s="8">
        <v>1.51</v>
      </c>
      <c r="AT290" s="8">
        <v>1.8</v>
      </c>
      <c r="AU290" s="50">
        <v>1.91</v>
      </c>
      <c r="AV290" s="50">
        <v>1.47</v>
      </c>
      <c r="AW290" s="50">
        <v>1.97</v>
      </c>
      <c r="AX290" s="50">
        <v>1.33</v>
      </c>
      <c r="AY290" s="50">
        <v>1.97</v>
      </c>
      <c r="AZ290" s="50">
        <v>2</v>
      </c>
      <c r="BA290" s="50">
        <v>1.6</v>
      </c>
      <c r="BB290" s="50">
        <v>1.9</v>
      </c>
      <c r="BC290" s="55">
        <v>2</v>
      </c>
      <c r="BD290" s="55">
        <v>1.6</v>
      </c>
      <c r="BE290" s="11">
        <v>2.06</v>
      </c>
      <c r="BF290" s="4">
        <v>0</v>
      </c>
      <c r="BG290" s="4">
        <v>0</v>
      </c>
      <c r="BH290" s="4">
        <v>1.78</v>
      </c>
      <c r="BI290" s="4">
        <v>1.78</v>
      </c>
      <c r="BJ290" s="13">
        <v>1.667</v>
      </c>
      <c r="BK290" s="13">
        <v>1.53</v>
      </c>
      <c r="BL290" s="4">
        <v>1.7629999999999999</v>
      </c>
      <c r="BM290" s="16">
        <v>1.3069999999999999</v>
      </c>
      <c r="BN290" s="4">
        <v>1.8180000000000001</v>
      </c>
      <c r="BO290" s="4">
        <v>2.1280000000000001</v>
      </c>
      <c r="BP290" s="4">
        <v>1.8120000000000001</v>
      </c>
      <c r="BQ290" s="4">
        <v>1.59</v>
      </c>
      <c r="BR290" s="4">
        <v>1.766</v>
      </c>
      <c r="BS290" s="4">
        <v>1.6479999999999999</v>
      </c>
      <c r="BT290" s="4">
        <v>1.6639999999999999</v>
      </c>
      <c r="BU290" s="4">
        <v>1.7689999999999999</v>
      </c>
      <c r="BV290" s="4">
        <v>1.7450000000000001</v>
      </c>
      <c r="BW290" s="4">
        <v>1.5489999999999999</v>
      </c>
      <c r="BX290" s="4">
        <v>2.5</v>
      </c>
      <c r="BY290" s="4">
        <v>2.9409999999999998</v>
      </c>
      <c r="BZ290" s="55">
        <v>2.8</v>
      </c>
      <c r="CA290" s="55">
        <v>2.2000000000000002</v>
      </c>
      <c r="CB290" s="55">
        <v>2.6</v>
      </c>
      <c r="CC290" s="55">
        <v>3.1</v>
      </c>
      <c r="CD290" s="55">
        <v>2.8</v>
      </c>
      <c r="CE290" s="19">
        <v>0</v>
      </c>
      <c r="CF290" s="19">
        <v>0</v>
      </c>
      <c r="CG290" s="4">
        <v>2.8</v>
      </c>
      <c r="CH290" s="4">
        <v>0</v>
      </c>
      <c r="CI290" s="4">
        <v>2.5</v>
      </c>
      <c r="CJ290" s="34">
        <v>0</v>
      </c>
      <c r="CK290" s="34">
        <v>0</v>
      </c>
      <c r="CL290" s="34">
        <v>0</v>
      </c>
      <c r="CM290" s="4">
        <v>0</v>
      </c>
      <c r="CN290" s="53">
        <v>0</v>
      </c>
      <c r="CO290" s="54">
        <v>0</v>
      </c>
      <c r="CP290" s="54">
        <v>0</v>
      </c>
      <c r="CQ290" s="4">
        <v>0</v>
      </c>
    </row>
    <row r="291" spans="1:95" s="55" customFormat="1" x14ac:dyDescent="0.35">
      <c r="A291" s="55">
        <v>290</v>
      </c>
      <c r="B291" s="55" t="s">
        <v>112</v>
      </c>
      <c r="C291" s="27" t="s">
        <v>739</v>
      </c>
      <c r="D291" s="50" t="s">
        <v>88</v>
      </c>
      <c r="E291" s="33" t="s">
        <v>91</v>
      </c>
      <c r="F291" s="4">
        <f>IFERROR(AVERAGEIF(Table1[[#This Row],[2019-Apr]:[2025-July]],"&lt;&gt;0"),0)</f>
        <v>4.2430666666666665</v>
      </c>
      <c r="G291" s="4">
        <f ca="1">IFERROR(AVERAGEIF(OFFSET(Table1[[#This Row],[Status]],0,COUNT(Table1[[#This Row],[2019-May]:[2025-July]]),1,-12),"&lt;&gt;0"),0)</f>
        <v>2.645</v>
      </c>
      <c r="H291" s="55">
        <f>IFERROR(SMALL(Table1[[#This Row],[2019-Apr]:[2025-July]],COUNTIF(Table1[[#This Row],[2019-Apr]:[2025-July]],0)+1),0)</f>
        <v>1.81</v>
      </c>
      <c r="I291" s="55">
        <f>IFERROR(MAX(Table1[[#This Row],[2019-Apr]:[2025-July]]),0)</f>
        <v>10.6</v>
      </c>
      <c r="J291" s="4" cm="1">
        <f t="array" ref="J29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1.9388333333333332</v>
      </c>
      <c r="K291" s="4">
        <v>4.5</v>
      </c>
      <c r="L291" s="4">
        <f>IF(Table1[[#This Row],[Standard as per ISO]]&gt;=Table1[[#This Row],[Avg of best 6]],Table1[[#This Row],[Standard as per ISO]],Table1[[#This Row],[Avg of best 6]])</f>
        <v>4.5</v>
      </c>
      <c r="M291" s="4" cm="1">
        <f t="array" ref="M291">IFERROR(LOOKUP(2,1/(Table1[[#This Row],[2019-May]:[2025-July]]&lt;&gt;0),Table1[[#This Row],[2019-May]:[2025-July]]),0)</f>
        <v>2.0699999999999998</v>
      </c>
      <c r="N291" s="4">
        <f>COUNTIF(Table1[[#This Row],[2019-Apr]:[2025-July]],"&gt;="&amp;Table1[[#This Row],[Target]])</f>
        <v>18</v>
      </c>
      <c r="O291" s="4">
        <f>IF(Table1[[#This Row],[Outliers 2Y]]=0,1,0)</f>
        <v>0</v>
      </c>
      <c r="P291" s="4">
        <f>IF(Table1[[#This Row],[Last value]]&gt;1.5*Table1[[#This Row],[Target]],1,0)</f>
        <v>0</v>
      </c>
      <c r="Q291" s="4">
        <f>IF(AND(1.5*Table1[[#This Row],[Target]]&gt;=Table1[[#This Row],[Last value]],Table1[[#This Row],[Last value]]&gt;Table1[[#This Row],[Target]]),1,0)</f>
        <v>0</v>
      </c>
      <c r="R291" s="4">
        <f>IF(Table1[[#This Row],[Target]]&gt;=Table1[[#This Row],[Last value]],1,0)</f>
        <v>1</v>
      </c>
      <c r="S291" s="4" t="str">
        <f t="shared" si="6"/>
        <v>Green</v>
      </c>
      <c r="T291" s="55">
        <v>0</v>
      </c>
      <c r="U291" s="55">
        <v>3.93</v>
      </c>
      <c r="V291" s="55">
        <v>2.4300000000000002</v>
      </c>
      <c r="W291" s="55">
        <v>1.81</v>
      </c>
      <c r="X291" s="55">
        <v>2.25</v>
      </c>
      <c r="Y291" s="55">
        <v>2.48</v>
      </c>
      <c r="Z291" s="55">
        <v>1.92</v>
      </c>
      <c r="AA291" s="55">
        <v>2.63</v>
      </c>
      <c r="AB291" s="55">
        <v>2.78</v>
      </c>
      <c r="AC291" s="55">
        <v>2.4</v>
      </c>
      <c r="AD291" s="55">
        <v>2.69</v>
      </c>
      <c r="AE291" s="55">
        <v>1.92</v>
      </c>
      <c r="AF291" s="55">
        <v>1.9</v>
      </c>
      <c r="AG291" s="55">
        <v>3.9</v>
      </c>
      <c r="AH291" s="55">
        <v>2.2000000000000002</v>
      </c>
      <c r="AI291" s="55">
        <v>4.33</v>
      </c>
      <c r="AJ291" s="55">
        <v>4.3899999999999997</v>
      </c>
      <c r="AK291" s="55">
        <v>4.2</v>
      </c>
      <c r="AL291" s="55">
        <v>3.88</v>
      </c>
      <c r="AM291" s="55">
        <v>0</v>
      </c>
      <c r="AN291" s="55">
        <v>4.3</v>
      </c>
      <c r="AO291" s="55">
        <v>8.59</v>
      </c>
      <c r="AP291" s="55">
        <v>8.52</v>
      </c>
      <c r="AQ291" s="55">
        <v>8.64</v>
      </c>
      <c r="AR291" s="8">
        <v>0</v>
      </c>
      <c r="AS291" s="8">
        <v>3.55</v>
      </c>
      <c r="AT291" s="8">
        <v>3.68</v>
      </c>
      <c r="AU291" s="50">
        <v>3.77</v>
      </c>
      <c r="AV291" s="50">
        <v>10.1</v>
      </c>
      <c r="AW291" s="50">
        <v>4.3600000000000003</v>
      </c>
      <c r="AX291" s="50">
        <v>8.02</v>
      </c>
      <c r="AY291" s="50">
        <v>10.6</v>
      </c>
      <c r="AZ291" s="50">
        <v>9.1999999999999993</v>
      </c>
      <c r="BA291" s="50">
        <v>9.9</v>
      </c>
      <c r="BB291" s="50">
        <v>4.7</v>
      </c>
      <c r="BC291" s="55">
        <v>5.0999999999999996</v>
      </c>
      <c r="BD291" s="55">
        <v>5.5</v>
      </c>
      <c r="BE291" s="11">
        <v>5.484</v>
      </c>
      <c r="BF291" s="4">
        <v>0</v>
      </c>
      <c r="BG291" s="4">
        <v>0</v>
      </c>
      <c r="BH291" s="4">
        <v>5.2750000000000004</v>
      </c>
      <c r="BI291" s="4">
        <v>5.2750000000000004</v>
      </c>
      <c r="BJ291" s="14">
        <v>4.9089999999999998</v>
      </c>
      <c r="BK291" s="14">
        <v>6.5389999999999997</v>
      </c>
      <c r="BL291" s="4">
        <v>5.8479999999999999</v>
      </c>
      <c r="BM291" s="17">
        <v>4.8239999999999998</v>
      </c>
      <c r="BN291" s="4">
        <v>2.0129999999999999</v>
      </c>
      <c r="BO291" s="4">
        <v>2.5670000000000002</v>
      </c>
      <c r="BP291" s="4">
        <v>2.605</v>
      </c>
      <c r="BQ291" s="4">
        <v>2.65</v>
      </c>
      <c r="BR291" s="4">
        <v>2.9140000000000001</v>
      </c>
      <c r="BS291" s="4">
        <v>3.3889999999999998</v>
      </c>
      <c r="BT291" s="4">
        <v>3.5169999999999999</v>
      </c>
      <c r="BU291" s="4">
        <v>2.419</v>
      </c>
      <c r="BV291" s="4">
        <v>2.5579999999999998</v>
      </c>
      <c r="BW291" s="4">
        <v>2.1909999999999998</v>
      </c>
      <c r="BX291" s="4">
        <v>2.6</v>
      </c>
      <c r="BY291" s="4">
        <v>3.577</v>
      </c>
      <c r="BZ291" s="55">
        <v>3.9</v>
      </c>
      <c r="CA291" s="55">
        <v>3.58</v>
      </c>
      <c r="CB291" s="55">
        <v>3.32</v>
      </c>
      <c r="CC291" s="55">
        <v>2.5</v>
      </c>
      <c r="CD291" s="55">
        <v>4.2699999999999996</v>
      </c>
      <c r="CE291" s="19">
        <v>0</v>
      </c>
      <c r="CF291" s="19">
        <v>0</v>
      </c>
      <c r="CG291" s="4">
        <v>3.22</v>
      </c>
      <c r="CH291" s="4">
        <v>0</v>
      </c>
      <c r="CI291" s="4">
        <v>2.0699999999999998</v>
      </c>
      <c r="CJ291" s="34">
        <v>0</v>
      </c>
      <c r="CK291" s="34">
        <v>0</v>
      </c>
      <c r="CL291" s="34">
        <v>0</v>
      </c>
      <c r="CM291" s="4">
        <v>0</v>
      </c>
      <c r="CN291" s="53">
        <v>0</v>
      </c>
      <c r="CO291" s="54">
        <v>0</v>
      </c>
      <c r="CP291" s="54">
        <v>0</v>
      </c>
      <c r="CQ291" s="4">
        <v>0</v>
      </c>
    </row>
    <row r="292" spans="1:95" s="55" customFormat="1" x14ac:dyDescent="0.35">
      <c r="A292" s="55">
        <v>291</v>
      </c>
      <c r="B292" s="55" t="s">
        <v>112</v>
      </c>
      <c r="C292" s="27" t="s">
        <v>740</v>
      </c>
      <c r="D292" s="50" t="s">
        <v>88</v>
      </c>
      <c r="E292" s="33" t="s">
        <v>91</v>
      </c>
      <c r="F292" s="4">
        <f>IFERROR(AVERAGEIF(Table1[[#This Row],[2019-Apr]:[2025-July]],"&lt;&gt;0"),0)</f>
        <v>3.6442333333333323</v>
      </c>
      <c r="G292" s="4">
        <f ca="1">IFERROR(AVERAGEIF(OFFSET(Table1[[#This Row],[Status]],0,COUNT(Table1[[#This Row],[2019-May]:[2025-July]]),1,-12),"&lt;&gt;0"),0)</f>
        <v>2.145</v>
      </c>
      <c r="H292" s="55">
        <f>IFERROR(SMALL(Table1[[#This Row],[2019-Apr]:[2025-July]],COUNTIF(Table1[[#This Row],[2019-Apr]:[2025-July]],0)+1),0)</f>
        <v>2.0350000000000001</v>
      </c>
      <c r="I292" s="55">
        <f>IFERROR(MAX(Table1[[#This Row],[2019-Apr]:[2025-July]]),0)</f>
        <v>10.25</v>
      </c>
      <c r="J292" s="4" cm="1">
        <f t="array" ref="J29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2.1508333333333334</v>
      </c>
      <c r="K292" s="4">
        <v>4.5</v>
      </c>
      <c r="L292" s="4">
        <f>IF(Table1[[#This Row],[Standard as per ISO]]&gt;=Table1[[#This Row],[Avg of best 6]],Table1[[#This Row],[Standard as per ISO]],Table1[[#This Row],[Avg of best 6]])</f>
        <v>4.5</v>
      </c>
      <c r="M292" s="4" cm="1">
        <f t="array" ref="M292">IFERROR(LOOKUP(2,1/(Table1[[#This Row],[2019-May]:[2025-July]]&lt;&gt;0),Table1[[#This Row],[2019-May]:[2025-July]]),0)</f>
        <v>2.11</v>
      </c>
      <c r="N292" s="4">
        <f>COUNTIF(Table1[[#This Row],[2019-Apr]:[2025-July]],"&gt;="&amp;Table1[[#This Row],[Target]])</f>
        <v>10</v>
      </c>
      <c r="O292" s="4">
        <f>IF(Table1[[#This Row],[Outliers 2Y]]=0,1,0)</f>
        <v>0</v>
      </c>
      <c r="P292" s="4">
        <f>IF(Table1[[#This Row],[Last value]]&gt;1.5*Table1[[#This Row],[Target]],1,0)</f>
        <v>0</v>
      </c>
      <c r="Q292" s="4">
        <f>IF(AND(1.5*Table1[[#This Row],[Target]]&gt;=Table1[[#This Row],[Last value]],Table1[[#This Row],[Last value]]&gt;Table1[[#This Row],[Target]]),1,0)</f>
        <v>0</v>
      </c>
      <c r="R292" s="4">
        <f>IF(Table1[[#This Row],[Target]]&gt;=Table1[[#This Row],[Last value]],1,0)</f>
        <v>1</v>
      </c>
      <c r="S292" s="4" t="str">
        <f t="shared" si="6"/>
        <v>Green</v>
      </c>
      <c r="T292" s="55">
        <v>0</v>
      </c>
      <c r="U292" s="55">
        <v>2.5299999999999998</v>
      </c>
      <c r="V292" s="55">
        <v>2.71</v>
      </c>
      <c r="W292" s="55">
        <v>2.37</v>
      </c>
      <c r="X292" s="55">
        <v>2.77</v>
      </c>
      <c r="Y292" s="55">
        <v>2.86</v>
      </c>
      <c r="Z292" s="55">
        <v>3.39</v>
      </c>
      <c r="AA292" s="55">
        <v>2.69</v>
      </c>
      <c r="AB292" s="55">
        <v>7.96</v>
      </c>
      <c r="AC292" s="55">
        <v>4.2</v>
      </c>
      <c r="AD292" s="55">
        <v>5.03</v>
      </c>
      <c r="AE292" s="55">
        <v>6.82</v>
      </c>
      <c r="AF292" s="55">
        <v>4.8</v>
      </c>
      <c r="AG292" s="55">
        <v>3.6</v>
      </c>
      <c r="AH292" s="55">
        <v>4.87</v>
      </c>
      <c r="AI292" s="55">
        <v>3.22</v>
      </c>
      <c r="AJ292" s="55">
        <v>2.93</v>
      </c>
      <c r="AK292" s="55">
        <v>2.95</v>
      </c>
      <c r="AL292" s="55">
        <v>3.24</v>
      </c>
      <c r="AM292" s="55">
        <v>0</v>
      </c>
      <c r="AN292" s="55">
        <v>3.8</v>
      </c>
      <c r="AO292" s="55">
        <v>3.38</v>
      </c>
      <c r="AP292" s="55">
        <v>3.87</v>
      </c>
      <c r="AQ292" s="55">
        <v>3.9</v>
      </c>
      <c r="AR292" s="8">
        <v>0</v>
      </c>
      <c r="AS292" s="8">
        <v>3.8</v>
      </c>
      <c r="AT292" s="8">
        <v>3.76</v>
      </c>
      <c r="AU292" s="50">
        <v>3.51</v>
      </c>
      <c r="AV292" s="50">
        <v>3.83</v>
      </c>
      <c r="AW292" s="50">
        <v>3.88</v>
      </c>
      <c r="AX292" s="50">
        <v>3.52</v>
      </c>
      <c r="AY292" s="50">
        <v>4.7</v>
      </c>
      <c r="AZ292" s="50">
        <v>3</v>
      </c>
      <c r="BA292" s="50">
        <v>3</v>
      </c>
      <c r="BB292" s="50">
        <v>2.8</v>
      </c>
      <c r="BC292" s="55">
        <v>3.3</v>
      </c>
      <c r="BD292" s="55">
        <v>3.3</v>
      </c>
      <c r="BE292" s="11">
        <v>3.2989999999999999</v>
      </c>
      <c r="BF292" s="4">
        <v>0</v>
      </c>
      <c r="BG292" s="4">
        <v>0</v>
      </c>
      <c r="BH292" s="4">
        <v>10.25</v>
      </c>
      <c r="BI292" s="4">
        <v>10.25</v>
      </c>
      <c r="BJ292" s="13">
        <v>9.9740000000000002</v>
      </c>
      <c r="BK292" s="13">
        <v>3.952</v>
      </c>
      <c r="BL292" s="4">
        <v>3.7669999999999999</v>
      </c>
      <c r="BM292" s="16">
        <v>3.181</v>
      </c>
      <c r="BN292" s="4">
        <v>2.601</v>
      </c>
      <c r="BO292" s="4">
        <v>2.492</v>
      </c>
      <c r="BP292" s="4">
        <v>2.4060000000000001</v>
      </c>
      <c r="BQ292" s="4">
        <v>2.4580000000000002</v>
      </c>
      <c r="BR292" s="4">
        <v>4.548</v>
      </c>
      <c r="BS292" s="4">
        <v>2.5129999999999999</v>
      </c>
      <c r="BT292" s="4">
        <v>2.6259999999999999</v>
      </c>
      <c r="BU292" s="4">
        <v>2.2610000000000001</v>
      </c>
      <c r="BV292" s="4">
        <v>2.0350000000000001</v>
      </c>
      <c r="BW292" s="4">
        <v>2.17</v>
      </c>
      <c r="BX292" s="4">
        <v>2.5</v>
      </c>
      <c r="BY292" s="4">
        <v>3.0510000000000002</v>
      </c>
      <c r="BZ292" s="55">
        <v>2.2200000000000002</v>
      </c>
      <c r="CA292" s="55">
        <v>2.29</v>
      </c>
      <c r="CB292" s="55">
        <v>2.19</v>
      </c>
      <c r="CC292" s="55">
        <v>2.69</v>
      </c>
      <c r="CD292" s="55">
        <v>2.35</v>
      </c>
      <c r="CE292" s="19">
        <v>0</v>
      </c>
      <c r="CF292" s="19">
        <v>0</v>
      </c>
      <c r="CG292" s="4">
        <v>2.1800000000000002</v>
      </c>
      <c r="CH292" s="4">
        <v>0</v>
      </c>
      <c r="CI292" s="4">
        <v>2.11</v>
      </c>
      <c r="CJ292" s="34">
        <v>0</v>
      </c>
      <c r="CK292" s="34">
        <v>0</v>
      </c>
      <c r="CL292" s="34">
        <v>0</v>
      </c>
      <c r="CM292" s="4">
        <v>0</v>
      </c>
      <c r="CN292" s="53">
        <v>0</v>
      </c>
      <c r="CO292" s="54">
        <v>0</v>
      </c>
      <c r="CP292" s="54">
        <v>0</v>
      </c>
      <c r="CQ292" s="4">
        <v>0</v>
      </c>
    </row>
    <row r="293" spans="1:95" s="55" customFormat="1" x14ac:dyDescent="0.35">
      <c r="A293" s="55">
        <v>292</v>
      </c>
      <c r="B293" s="55" t="s">
        <v>112</v>
      </c>
      <c r="C293" s="27" t="s">
        <v>741</v>
      </c>
      <c r="D293" s="50" t="s">
        <v>88</v>
      </c>
      <c r="E293" s="33" t="s">
        <v>91</v>
      </c>
      <c r="F293" s="4">
        <f>IFERROR(AVERAGEIF(Table1[[#This Row],[2019-Apr]:[2025-July]],"&lt;&gt;0"),0)</f>
        <v>1.753933333333334</v>
      </c>
      <c r="G293" s="4">
        <f ca="1">IFERROR(AVERAGEIF(OFFSET(Table1[[#This Row],[Status]],0,COUNT(Table1[[#This Row],[2019-May]:[2025-July]]),1,-12),"&lt;&gt;0"),0)</f>
        <v>1.69</v>
      </c>
      <c r="H293" s="55">
        <f>IFERROR(SMALL(Table1[[#This Row],[2019-Apr]:[2025-July]],COUNTIF(Table1[[#This Row],[2019-Apr]:[2025-July]],0)+1),0)</f>
        <v>1.2</v>
      </c>
      <c r="I293" s="55">
        <f>IFERROR(MAX(Table1[[#This Row],[2019-Apr]:[2025-July]]),0)</f>
        <v>2.6</v>
      </c>
      <c r="J293" s="4" cm="1">
        <f t="array" ref="J29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1.3281666666666665</v>
      </c>
      <c r="K293" s="4">
        <v>4.5</v>
      </c>
      <c r="L293" s="4">
        <f>IF(Table1[[#This Row],[Standard as per ISO]]&gt;=Table1[[#This Row],[Avg of best 6]],Table1[[#This Row],[Standard as per ISO]],Table1[[#This Row],[Avg of best 6]])</f>
        <v>4.5</v>
      </c>
      <c r="M293" s="4" cm="1">
        <f t="array" ref="M293">IFERROR(LOOKUP(2,1/(Table1[[#This Row],[2019-May]:[2025-July]]&lt;&gt;0),Table1[[#This Row],[2019-May]:[2025-July]]),0)</f>
        <v>1.84</v>
      </c>
      <c r="N293" s="4">
        <f>COUNTIF(Table1[[#This Row],[2019-Apr]:[2025-July]],"&gt;="&amp;Table1[[#This Row],[Target]])</f>
        <v>0</v>
      </c>
      <c r="O293" s="4">
        <f>IF(Table1[[#This Row],[Outliers 2Y]]=0,1,0)</f>
        <v>1</v>
      </c>
      <c r="P293" s="4">
        <f>IF(Table1[[#This Row],[Last value]]&gt;1.5*Table1[[#This Row],[Target]],1,0)</f>
        <v>0</v>
      </c>
      <c r="Q293" s="4">
        <f>IF(AND(1.5*Table1[[#This Row],[Target]]&gt;=Table1[[#This Row],[Last value]],Table1[[#This Row],[Last value]]&gt;Table1[[#This Row],[Target]]),1,0)</f>
        <v>0</v>
      </c>
      <c r="R293" s="4">
        <f>IF(Table1[[#This Row],[Target]]&gt;=Table1[[#This Row],[Last value]],1,0)</f>
        <v>1</v>
      </c>
      <c r="S293" s="4" t="str">
        <f t="shared" si="6"/>
        <v>Green</v>
      </c>
      <c r="T293" s="55">
        <v>0</v>
      </c>
      <c r="U293" s="55">
        <v>1.95</v>
      </c>
      <c r="V293" s="55">
        <v>2.38</v>
      </c>
      <c r="W293" s="55">
        <v>1.72</v>
      </c>
      <c r="X293" s="55">
        <v>1.84</v>
      </c>
      <c r="Y293" s="55">
        <v>2.0099999999999998</v>
      </c>
      <c r="Z293" s="55">
        <v>1.87</v>
      </c>
      <c r="AA293" s="55">
        <v>1.96</v>
      </c>
      <c r="AB293" s="55">
        <v>1.96</v>
      </c>
      <c r="AC293" s="55">
        <v>1.8</v>
      </c>
      <c r="AD293" s="55">
        <v>2.2200000000000002</v>
      </c>
      <c r="AE293" s="55">
        <v>1.62</v>
      </c>
      <c r="AF293" s="55">
        <v>2.2000000000000002</v>
      </c>
      <c r="AG293" s="55">
        <v>1.4</v>
      </c>
      <c r="AH293" s="55">
        <v>1.44</v>
      </c>
      <c r="AI293" s="55">
        <v>1.5</v>
      </c>
      <c r="AJ293" s="55">
        <v>1.74</v>
      </c>
      <c r="AK293" s="55">
        <v>1.89</v>
      </c>
      <c r="AL293" s="55">
        <v>1.74</v>
      </c>
      <c r="AM293" s="55">
        <v>0</v>
      </c>
      <c r="AN293" s="55">
        <v>2.12</v>
      </c>
      <c r="AO293" s="55">
        <v>2.4500000000000002</v>
      </c>
      <c r="AP293" s="55">
        <v>1.59</v>
      </c>
      <c r="AQ293" s="55">
        <v>1.84</v>
      </c>
      <c r="AR293" s="8">
        <v>0</v>
      </c>
      <c r="AS293" s="9">
        <v>1.88</v>
      </c>
      <c r="AT293" s="9">
        <v>1.79</v>
      </c>
      <c r="AU293" s="50">
        <v>2.37</v>
      </c>
      <c r="AV293" s="50">
        <v>2.6</v>
      </c>
      <c r="AW293" s="50">
        <v>2.2599999999999998</v>
      </c>
      <c r="AX293" s="50">
        <v>1.97</v>
      </c>
      <c r="AY293" s="50">
        <v>2.13</v>
      </c>
      <c r="AZ293" s="50">
        <v>1.7</v>
      </c>
      <c r="BA293" s="50">
        <v>1.5</v>
      </c>
      <c r="BB293" s="50">
        <v>1.4</v>
      </c>
      <c r="BC293" s="55">
        <v>1.2</v>
      </c>
      <c r="BD293" s="55">
        <v>1.7</v>
      </c>
      <c r="BE293" s="11">
        <v>1.33</v>
      </c>
      <c r="BF293" s="4">
        <v>0</v>
      </c>
      <c r="BG293" s="4">
        <v>0</v>
      </c>
      <c r="BH293" s="4">
        <v>1.554</v>
      </c>
      <c r="BI293" s="4">
        <v>1.9019999999999999</v>
      </c>
      <c r="BJ293" s="14">
        <v>1.48</v>
      </c>
      <c r="BK293" s="14">
        <v>1.43</v>
      </c>
      <c r="BL293" s="4">
        <v>1.627</v>
      </c>
      <c r="BM293" s="17">
        <v>1.7170000000000001</v>
      </c>
      <c r="BN293" s="4">
        <v>1.486</v>
      </c>
      <c r="BO293" s="4">
        <v>1.6950000000000001</v>
      </c>
      <c r="BP293" s="4">
        <v>1.62</v>
      </c>
      <c r="BQ293" s="4">
        <v>1.708</v>
      </c>
      <c r="BR293" s="4">
        <v>1.661</v>
      </c>
      <c r="BS293" s="4">
        <v>1.4159999999999999</v>
      </c>
      <c r="BT293" s="4">
        <v>1.2829999999999999</v>
      </c>
      <c r="BU293" s="4">
        <v>1.444</v>
      </c>
      <c r="BV293" s="4">
        <v>1.9510000000000001</v>
      </c>
      <c r="BW293" s="4">
        <v>1.3859999999999999</v>
      </c>
      <c r="BX293" s="4">
        <v>1.46</v>
      </c>
      <c r="BY293" s="4">
        <v>1.6759999999999999</v>
      </c>
      <c r="BZ293" s="55">
        <v>1.51</v>
      </c>
      <c r="CA293" s="55">
        <v>1.37</v>
      </c>
      <c r="CB293" s="55">
        <v>1.67</v>
      </c>
      <c r="CC293" s="55">
        <v>1.84</v>
      </c>
      <c r="CD293" s="55">
        <v>1.9</v>
      </c>
      <c r="CE293" s="19">
        <v>0</v>
      </c>
      <c r="CF293" s="19">
        <v>0</v>
      </c>
      <c r="CG293" s="4">
        <v>1.54</v>
      </c>
      <c r="CH293" s="4">
        <v>0</v>
      </c>
      <c r="CI293" s="4">
        <v>1.84</v>
      </c>
      <c r="CJ293" s="34">
        <v>0</v>
      </c>
      <c r="CK293" s="34">
        <v>0</v>
      </c>
      <c r="CL293" s="34">
        <v>0</v>
      </c>
      <c r="CM293" s="4">
        <v>0</v>
      </c>
      <c r="CN293" s="53">
        <v>0</v>
      </c>
      <c r="CO293" s="54">
        <v>0</v>
      </c>
      <c r="CP293" s="54">
        <v>0</v>
      </c>
      <c r="CQ293" s="4">
        <v>0</v>
      </c>
    </row>
    <row r="294" spans="1:95" s="55" customFormat="1" x14ac:dyDescent="0.35">
      <c r="A294" s="55">
        <v>293</v>
      </c>
      <c r="B294" s="55" t="s">
        <v>112</v>
      </c>
      <c r="C294" s="27" t="s">
        <v>742</v>
      </c>
      <c r="D294" s="50" t="s">
        <v>88</v>
      </c>
      <c r="E294" s="33" t="s">
        <v>91</v>
      </c>
      <c r="F294" s="4">
        <f>IFERROR(AVERAGEIF(Table1[[#This Row],[2019-Apr]:[2025-July]],"&lt;&gt;0"),0)</f>
        <v>6.6471833333333317</v>
      </c>
      <c r="G294" s="4">
        <f ca="1">IFERROR(AVERAGEIF(OFFSET(Table1[[#This Row],[Status]],0,COUNT(Table1[[#This Row],[2019-May]:[2025-July]]),1,-12),"&lt;&gt;0"),0)</f>
        <v>8.6966666666666654</v>
      </c>
      <c r="H294" s="55">
        <f>IFERROR(SMALL(Table1[[#This Row],[2019-Apr]:[2025-July]],COUNTIF(Table1[[#This Row],[2019-Apr]:[2025-July]],0)+1),0)</f>
        <v>4.16</v>
      </c>
      <c r="I294" s="55">
        <f>IFERROR(MAX(Table1[[#This Row],[2019-Apr]:[2025-July]]),0)</f>
        <v>9.34</v>
      </c>
      <c r="J294" s="4" cm="1">
        <f t="array" ref="J29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4.708333333333333</v>
      </c>
      <c r="K294" s="4">
        <v>4.5</v>
      </c>
      <c r="L294" s="4">
        <f>IF(Table1[[#This Row],[Standard as per ISO]]&gt;=Table1[[#This Row],[Avg of best 6]],Table1[[#This Row],[Standard as per ISO]],Table1[[#This Row],[Avg of best 6]])</f>
        <v>4.708333333333333</v>
      </c>
      <c r="M294" s="4" cm="1">
        <f t="array" ref="M294">IFERROR(LOOKUP(2,1/(Table1[[#This Row],[2019-May]:[2025-July]]&lt;&gt;0),Table1[[#This Row],[2019-May]:[2025-July]]),0)</f>
        <v>9.19</v>
      </c>
      <c r="N294" s="4">
        <f>COUNTIF(Table1[[#This Row],[2019-Apr]:[2025-July]],"&gt;="&amp;Table1[[#This Row],[Target]])</f>
        <v>57</v>
      </c>
      <c r="O294" s="4">
        <f>IF(Table1[[#This Row],[Outliers 2Y]]=0,1,0)</f>
        <v>0</v>
      </c>
      <c r="P294" s="4">
        <f>IF(Table1[[#This Row],[Last value]]&gt;1.5*Table1[[#This Row],[Target]],1,0)</f>
        <v>1</v>
      </c>
      <c r="Q294" s="4">
        <f>IF(AND(1.5*Table1[[#This Row],[Target]]&gt;=Table1[[#This Row],[Last value]],Table1[[#This Row],[Last value]]&gt;Table1[[#This Row],[Target]]),1,0)</f>
        <v>0</v>
      </c>
      <c r="R294" s="4">
        <f>IF(Table1[[#This Row],[Target]]&gt;=Table1[[#This Row],[Last value]],1,0)</f>
        <v>0</v>
      </c>
      <c r="S294" s="4" t="str">
        <f t="shared" si="6"/>
        <v>Red</v>
      </c>
      <c r="T294" s="55">
        <v>0</v>
      </c>
      <c r="U294" s="55">
        <v>6.95</v>
      </c>
      <c r="V294" s="55">
        <v>8.6</v>
      </c>
      <c r="W294" s="55">
        <v>7.31</v>
      </c>
      <c r="X294" s="55">
        <v>5.52</v>
      </c>
      <c r="Y294" s="55">
        <v>5.5</v>
      </c>
      <c r="Z294" s="55">
        <v>6.66</v>
      </c>
      <c r="AA294" s="55">
        <v>5.14</v>
      </c>
      <c r="AB294" s="55">
        <v>5.34</v>
      </c>
      <c r="AC294" s="55">
        <v>4.5999999999999996</v>
      </c>
      <c r="AD294" s="55">
        <v>7.72</v>
      </c>
      <c r="AE294" s="55">
        <v>5.51</v>
      </c>
      <c r="AF294" s="55">
        <v>6</v>
      </c>
      <c r="AG294" s="55">
        <v>7.8</v>
      </c>
      <c r="AH294" s="55">
        <v>5.05</v>
      </c>
      <c r="AI294" s="55">
        <v>6.1</v>
      </c>
      <c r="AJ294" s="55">
        <v>6.02</v>
      </c>
      <c r="AK294" s="55">
        <v>4.99</v>
      </c>
      <c r="AL294" s="55">
        <v>5.58</v>
      </c>
      <c r="AM294" s="55">
        <v>0</v>
      </c>
      <c r="AN294" s="55">
        <v>9.34</v>
      </c>
      <c r="AO294" s="55">
        <v>4.8899999999999997</v>
      </c>
      <c r="AP294" s="55">
        <v>4.16</v>
      </c>
      <c r="AQ294" s="55">
        <v>4.57</v>
      </c>
      <c r="AR294" s="8">
        <v>0</v>
      </c>
      <c r="AS294" s="8">
        <v>5.04</v>
      </c>
      <c r="AT294" s="8">
        <v>5.3</v>
      </c>
      <c r="AU294" s="50">
        <v>6.72</v>
      </c>
      <c r="AV294" s="50">
        <v>5.68</v>
      </c>
      <c r="AW294" s="50">
        <v>6.7</v>
      </c>
      <c r="AX294" s="50">
        <v>5.25</v>
      </c>
      <c r="AY294" s="50">
        <v>6.09</v>
      </c>
      <c r="AZ294" s="50">
        <v>6.4</v>
      </c>
      <c r="BA294" s="50">
        <v>6.1</v>
      </c>
      <c r="BB294" s="50">
        <v>6.6</v>
      </c>
      <c r="BC294" s="55">
        <v>6.4</v>
      </c>
      <c r="BD294" s="55">
        <v>6.6</v>
      </c>
      <c r="BE294" s="11">
        <v>5.9989999999999997</v>
      </c>
      <c r="BF294" s="4">
        <v>0</v>
      </c>
      <c r="BG294" s="4">
        <v>0</v>
      </c>
      <c r="BH294" s="4">
        <v>7.6740000000000004</v>
      </c>
      <c r="BI294" s="4">
        <v>7.4169999999999998</v>
      </c>
      <c r="BJ294" s="13">
        <v>6.5540000000000003</v>
      </c>
      <c r="BK294" s="13">
        <v>6.44</v>
      </c>
      <c r="BL294" s="4">
        <v>6.5069999999999997</v>
      </c>
      <c r="BM294" s="16">
        <v>6.59</v>
      </c>
      <c r="BN294" s="4">
        <v>5.6059999999999999</v>
      </c>
      <c r="BO294" s="4">
        <v>6.3090000000000002</v>
      </c>
      <c r="BP294" s="4">
        <v>7.931</v>
      </c>
      <c r="BQ294" s="4">
        <v>8.0890000000000004</v>
      </c>
      <c r="BR294" s="4">
        <v>7.048</v>
      </c>
      <c r="BS294" s="4">
        <v>7.2649999999999997</v>
      </c>
      <c r="BT294" s="4">
        <v>6.7720000000000002</v>
      </c>
      <c r="BU294" s="4">
        <v>6.9349999999999996</v>
      </c>
      <c r="BV294" s="4">
        <v>7.72</v>
      </c>
      <c r="BW294" s="4">
        <v>6.5339999999999998</v>
      </c>
      <c r="BX294" s="4">
        <v>8.9</v>
      </c>
      <c r="BY294" s="4">
        <v>6.3609999999999998</v>
      </c>
      <c r="BZ294" s="55">
        <v>0</v>
      </c>
      <c r="CA294" s="55">
        <v>7</v>
      </c>
      <c r="CB294" s="55">
        <v>9.27</v>
      </c>
      <c r="CC294" s="55">
        <v>8.57</v>
      </c>
      <c r="CD294" s="55">
        <v>9.02</v>
      </c>
      <c r="CE294" s="19">
        <v>7.7</v>
      </c>
      <c r="CF294" s="19">
        <v>0</v>
      </c>
      <c r="CG294" s="4">
        <v>9.1999999999999993</v>
      </c>
      <c r="CH294" s="4">
        <v>0</v>
      </c>
      <c r="CI294" s="4">
        <v>9.19</v>
      </c>
      <c r="CJ294" s="34">
        <v>0</v>
      </c>
      <c r="CK294" s="34">
        <v>0</v>
      </c>
      <c r="CL294" s="34">
        <v>0</v>
      </c>
      <c r="CM294" s="4">
        <v>0</v>
      </c>
      <c r="CN294" s="53">
        <v>0</v>
      </c>
      <c r="CO294" s="54">
        <v>0</v>
      </c>
      <c r="CP294" s="54">
        <v>0</v>
      </c>
      <c r="CQ294" s="4">
        <v>0</v>
      </c>
    </row>
    <row r="295" spans="1:95" s="55" customFormat="1" x14ac:dyDescent="0.35">
      <c r="A295" s="55">
        <v>294</v>
      </c>
      <c r="B295" s="55" t="s">
        <v>112</v>
      </c>
      <c r="C295" s="27" t="s">
        <v>743</v>
      </c>
      <c r="D295" s="50" t="s">
        <v>88</v>
      </c>
      <c r="E295" s="33" t="s">
        <v>91</v>
      </c>
      <c r="F295" s="4">
        <f>IFERROR(AVERAGEIF(Table1[[#This Row],[2019-Apr]:[2025-July]],"&lt;&gt;0"),0)</f>
        <v>2.2917636363636364</v>
      </c>
      <c r="G295" s="4">
        <f ca="1">IFERROR(AVERAGEIF(OFFSET(Table1[[#This Row],[Status]],0,COUNT(Table1[[#This Row],[2019-May]:[2025-July]]),1,-12),"&lt;&gt;0"),0)</f>
        <v>1.54</v>
      </c>
      <c r="H295" s="55">
        <f>IFERROR(SMALL(Table1[[#This Row],[2019-Apr]:[2025-July]],COUNTIF(Table1[[#This Row],[2019-Apr]:[2025-July]],0)+1),0)</f>
        <v>1.46</v>
      </c>
      <c r="I295" s="55">
        <f>IFERROR(MAX(Table1[[#This Row],[2019-Apr]:[2025-July]]),0)</f>
        <v>3.3010000000000002</v>
      </c>
      <c r="J295" s="4" cm="1">
        <f t="array" ref="J29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1.6050000000000002</v>
      </c>
      <c r="K295" s="4">
        <v>4.5</v>
      </c>
      <c r="L295" s="4">
        <f>IF(Table1[[#This Row],[Standard as per ISO]]&gt;=Table1[[#This Row],[Avg of best 6]],Table1[[#This Row],[Standard as per ISO]],Table1[[#This Row],[Avg of best 6]])</f>
        <v>4.5</v>
      </c>
      <c r="M295" s="4" cm="1">
        <f t="array" ref="M295">IFERROR(LOOKUP(2,1/(Table1[[#This Row],[2019-May]:[2025-July]]&lt;&gt;0),Table1[[#This Row],[2019-May]:[2025-July]]),0)</f>
        <v>1.54</v>
      </c>
      <c r="N295" s="4">
        <f>COUNTIF(Table1[[#This Row],[2019-Apr]:[2025-July]],"&gt;="&amp;Table1[[#This Row],[Target]])</f>
        <v>0</v>
      </c>
      <c r="O295" s="4">
        <f>IF(Table1[[#This Row],[Outliers 2Y]]=0,1,0)</f>
        <v>1</v>
      </c>
      <c r="P295" s="4">
        <f>IF(Table1[[#This Row],[Last value]]&gt;1.5*Table1[[#This Row],[Target]],1,0)</f>
        <v>0</v>
      </c>
      <c r="Q295" s="4">
        <f>IF(AND(1.5*Table1[[#This Row],[Target]]&gt;=Table1[[#This Row],[Last value]],Table1[[#This Row],[Last value]]&gt;Table1[[#This Row],[Target]]),1,0)</f>
        <v>0</v>
      </c>
      <c r="R295" s="4">
        <f>IF(Table1[[#This Row],[Target]]&gt;=Table1[[#This Row],[Last value]],1,0)</f>
        <v>1</v>
      </c>
      <c r="S295" s="4" t="str">
        <f t="shared" si="6"/>
        <v>Green</v>
      </c>
      <c r="T295" s="55">
        <v>0</v>
      </c>
      <c r="U295" s="55">
        <v>1.46</v>
      </c>
      <c r="V295" s="55">
        <v>1.9</v>
      </c>
      <c r="W295" s="55">
        <v>2.11</v>
      </c>
      <c r="X295" s="55">
        <v>1.93</v>
      </c>
      <c r="Y295" s="55">
        <v>2.67</v>
      </c>
      <c r="Z295" s="55">
        <v>1.54</v>
      </c>
      <c r="AA295" s="55">
        <v>2.0099999999999998</v>
      </c>
      <c r="AB295" s="55">
        <v>2.5099999999999998</v>
      </c>
      <c r="AC295" s="55">
        <v>1.9</v>
      </c>
      <c r="AD295" s="55">
        <v>2.16</v>
      </c>
      <c r="AE295" s="55">
        <v>2.21</v>
      </c>
      <c r="AF295" s="55">
        <v>2.5</v>
      </c>
      <c r="AG295" s="55">
        <v>2.2999999999999998</v>
      </c>
      <c r="AH295" s="55">
        <v>1.9</v>
      </c>
      <c r="AI295" s="55">
        <v>2.35</v>
      </c>
      <c r="AJ295" s="55">
        <v>2.4500000000000002</v>
      </c>
      <c r="AK295" s="55">
        <v>2.13</v>
      </c>
      <c r="AL295" s="55">
        <v>2.73</v>
      </c>
      <c r="AM295" s="55">
        <v>0</v>
      </c>
      <c r="AN295" s="55">
        <v>3.25</v>
      </c>
      <c r="AO295" s="55">
        <v>1.92</v>
      </c>
      <c r="AP295" s="55">
        <v>1.94</v>
      </c>
      <c r="AQ295" s="55">
        <v>2.0699999999999998</v>
      </c>
      <c r="AR295" s="8">
        <v>0</v>
      </c>
      <c r="AS295" s="8">
        <v>2.36</v>
      </c>
      <c r="AT295" s="8">
        <v>2.46</v>
      </c>
      <c r="AU295" s="50">
        <v>2.19</v>
      </c>
      <c r="AV295" s="50">
        <v>2.14</v>
      </c>
      <c r="AW295" s="50">
        <v>1.89</v>
      </c>
      <c r="AX295" s="50">
        <v>2.34</v>
      </c>
      <c r="AY295" s="50">
        <v>1.93</v>
      </c>
      <c r="AZ295" s="50">
        <v>2.8</v>
      </c>
      <c r="BA295" s="50">
        <v>1.5</v>
      </c>
      <c r="BB295" s="50">
        <v>1.7</v>
      </c>
      <c r="BC295" s="55">
        <v>2.2999999999999998</v>
      </c>
      <c r="BD295" s="55">
        <v>2.2999999999999998</v>
      </c>
      <c r="BE295" s="11">
        <v>2.62</v>
      </c>
      <c r="BF295" s="4">
        <v>0</v>
      </c>
      <c r="BG295" s="4">
        <v>0</v>
      </c>
      <c r="BH295" s="4">
        <v>3.3010000000000002</v>
      </c>
      <c r="BI295" s="4">
        <v>3.085</v>
      </c>
      <c r="BJ295" s="14">
        <v>2.2679999999999998</v>
      </c>
      <c r="BK295" s="14">
        <v>2.7210000000000001</v>
      </c>
      <c r="BL295" s="4">
        <v>2.1840000000000002</v>
      </c>
      <c r="BM295" s="17">
        <v>2.0299999999999998</v>
      </c>
      <c r="BN295" s="4">
        <v>3.2040000000000002</v>
      </c>
      <c r="BO295" s="4">
        <v>2.5979999999999999</v>
      </c>
      <c r="BP295" s="4">
        <v>2.0880000000000001</v>
      </c>
      <c r="BQ295" s="4">
        <v>2.6320000000000001</v>
      </c>
      <c r="BR295" s="4">
        <v>2.3140000000000001</v>
      </c>
      <c r="BS295" s="4">
        <v>2.157</v>
      </c>
      <c r="BT295" s="4">
        <v>2.177</v>
      </c>
      <c r="BU295" s="4">
        <v>2.8279999999999998</v>
      </c>
      <c r="BV295" s="4">
        <v>2.617</v>
      </c>
      <c r="BW295" s="4">
        <v>2.4940000000000002</v>
      </c>
      <c r="BX295" s="4">
        <v>2.31</v>
      </c>
      <c r="BY295" s="4">
        <v>2.3290000000000002</v>
      </c>
      <c r="BZ295" s="55">
        <v>0</v>
      </c>
      <c r="CA295" s="55">
        <v>0</v>
      </c>
      <c r="CB295" s="55">
        <v>2.7</v>
      </c>
      <c r="CC295" s="55">
        <v>0</v>
      </c>
      <c r="CD295" s="55">
        <v>0</v>
      </c>
      <c r="CE295" s="19">
        <v>0</v>
      </c>
      <c r="CF295" s="19">
        <v>0</v>
      </c>
      <c r="CG295" s="4">
        <v>0</v>
      </c>
      <c r="CH295" s="4">
        <v>0</v>
      </c>
      <c r="CI295" s="4">
        <v>1.54</v>
      </c>
      <c r="CJ295" s="34">
        <v>0</v>
      </c>
      <c r="CK295" s="34">
        <v>0</v>
      </c>
      <c r="CL295" s="34">
        <v>0</v>
      </c>
      <c r="CM295" s="4">
        <v>0</v>
      </c>
      <c r="CN295" s="53">
        <v>0</v>
      </c>
      <c r="CO295" s="54">
        <v>0</v>
      </c>
      <c r="CP295" s="54">
        <v>0</v>
      </c>
      <c r="CQ295" s="4">
        <v>0</v>
      </c>
    </row>
    <row r="296" spans="1:95" s="55" customFormat="1" x14ac:dyDescent="0.35">
      <c r="A296" s="55">
        <v>295</v>
      </c>
      <c r="B296" s="55" t="s">
        <v>112</v>
      </c>
      <c r="C296" s="27" t="s">
        <v>744</v>
      </c>
      <c r="D296" s="50" t="s">
        <v>88</v>
      </c>
      <c r="E296" s="33" t="s">
        <v>91</v>
      </c>
      <c r="F296" s="4">
        <f>IFERROR(AVERAGEIF(Table1[[#This Row],[2019-Apr]:[2025-July]],"&lt;&gt;0"),0)</f>
        <v>4.6634259259259245</v>
      </c>
      <c r="G296" s="4">
        <f ca="1">IFERROR(AVERAGEIF(OFFSET(Table1[[#This Row],[Status]],0,COUNT(Table1[[#This Row],[2019-May]:[2025-July]]),1,-12),"&lt;&gt;0"),0)</f>
        <v>4.4499999999999993</v>
      </c>
      <c r="H296" s="55">
        <f>IFERROR(SMALL(Table1[[#This Row],[2019-Apr]:[2025-July]],COUNTIF(Table1[[#This Row],[2019-Apr]:[2025-July]],0)+1),0)</f>
        <v>2.59</v>
      </c>
      <c r="I296" s="55">
        <f>IFERROR(MAX(Table1[[#This Row],[2019-Apr]:[2025-July]]),0)</f>
        <v>14.4</v>
      </c>
      <c r="J296" s="4" cm="1">
        <f t="array" ref="J29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2.7916666666666665</v>
      </c>
      <c r="K296" s="4">
        <v>4.5</v>
      </c>
      <c r="L296" s="4">
        <f>IF(Table1[[#This Row],[Standard as per ISO]]&gt;=Table1[[#This Row],[Avg of best 6]],Table1[[#This Row],[Standard as per ISO]],Table1[[#This Row],[Avg of best 6]])</f>
        <v>4.5</v>
      </c>
      <c r="M296" s="4" cm="1">
        <f t="array" ref="M296">IFERROR(LOOKUP(2,1/(Table1[[#This Row],[2019-May]:[2025-July]]&lt;&gt;0),Table1[[#This Row],[2019-May]:[2025-July]]),0)</f>
        <v>4.6399999999999997</v>
      </c>
      <c r="N296" s="4">
        <f>COUNTIF(Table1[[#This Row],[2019-Apr]:[2025-July]],"&gt;="&amp;Table1[[#This Row],[Target]])</f>
        <v>11</v>
      </c>
      <c r="O296" s="4">
        <f>IF(Table1[[#This Row],[Outliers 2Y]]=0,1,0)</f>
        <v>0</v>
      </c>
      <c r="P296" s="4">
        <f>IF(Table1[[#This Row],[Last value]]&gt;1.5*Table1[[#This Row],[Target]],1,0)</f>
        <v>0</v>
      </c>
      <c r="Q296" s="4">
        <f>IF(AND(1.5*Table1[[#This Row],[Target]]&gt;=Table1[[#This Row],[Last value]],Table1[[#This Row],[Last value]]&gt;Table1[[#This Row],[Target]]),1,0)</f>
        <v>1</v>
      </c>
      <c r="R296" s="4">
        <f>IF(Table1[[#This Row],[Target]]&gt;=Table1[[#This Row],[Last value]],1,0)</f>
        <v>0</v>
      </c>
      <c r="S296" s="4" t="str">
        <f t="shared" si="6"/>
        <v>Yellow</v>
      </c>
      <c r="T296" s="55">
        <v>0</v>
      </c>
      <c r="U296" s="55">
        <v>10.7</v>
      </c>
      <c r="V296" s="55">
        <v>11.2</v>
      </c>
      <c r="W296" s="55">
        <v>9.92</v>
      </c>
      <c r="X296" s="55">
        <v>12.5</v>
      </c>
      <c r="Y296" s="55">
        <v>12.6</v>
      </c>
      <c r="Z296" s="55">
        <v>14.4</v>
      </c>
      <c r="AA296" s="55">
        <v>3.83</v>
      </c>
      <c r="AB296" s="55">
        <v>4.07</v>
      </c>
      <c r="AC296" s="55">
        <v>3.21</v>
      </c>
      <c r="AD296" s="55">
        <v>3.97</v>
      </c>
      <c r="AE296" s="55">
        <v>4.1100000000000003</v>
      </c>
      <c r="AF296" s="55">
        <v>3.5</v>
      </c>
      <c r="AG296" s="55">
        <v>3.2</v>
      </c>
      <c r="AH296" s="55">
        <v>3.5</v>
      </c>
      <c r="AI296" s="55">
        <v>4.08</v>
      </c>
      <c r="AJ296" s="55">
        <v>3.54</v>
      </c>
      <c r="AK296" s="55">
        <v>0</v>
      </c>
      <c r="AL296" s="55">
        <v>4.01</v>
      </c>
      <c r="AM296" s="55">
        <v>4.25</v>
      </c>
      <c r="AN296" s="55">
        <v>0</v>
      </c>
      <c r="AO296" s="55">
        <v>4.6900000000000004</v>
      </c>
      <c r="AP296" s="55">
        <v>4.12</v>
      </c>
      <c r="AQ296" s="55">
        <v>4.54</v>
      </c>
      <c r="AR296" s="8">
        <v>0</v>
      </c>
      <c r="AS296" s="8">
        <v>5.04</v>
      </c>
      <c r="AT296" s="8">
        <v>4.45</v>
      </c>
      <c r="AU296" s="50">
        <v>4.3499999999999996</v>
      </c>
      <c r="AV296" s="50">
        <v>4.0199999999999996</v>
      </c>
      <c r="AW296" s="50">
        <v>2.84</v>
      </c>
      <c r="AX296" s="50">
        <v>4</v>
      </c>
      <c r="AY296" s="50">
        <v>2.59</v>
      </c>
      <c r="AZ296" s="50">
        <v>5.0999999999999996</v>
      </c>
      <c r="BA296" s="50">
        <v>2.8</v>
      </c>
      <c r="BB296" s="50">
        <v>3.6</v>
      </c>
      <c r="BC296" s="55">
        <v>2.8</v>
      </c>
      <c r="BD296" s="55">
        <v>4</v>
      </c>
      <c r="BE296" s="11">
        <v>3.2759999999999998</v>
      </c>
      <c r="BF296" s="4">
        <v>0</v>
      </c>
      <c r="BG296" s="4">
        <v>0</v>
      </c>
      <c r="BH296" s="4">
        <v>4.0330000000000004</v>
      </c>
      <c r="BI296" s="4">
        <v>3.1520000000000001</v>
      </c>
      <c r="BJ296" s="13">
        <v>3.64</v>
      </c>
      <c r="BK296" s="13">
        <v>2.802</v>
      </c>
      <c r="BL296" s="4">
        <v>3.7210000000000001</v>
      </c>
      <c r="BM296" s="16">
        <v>3.3220000000000001</v>
      </c>
      <c r="BN296" s="4">
        <v>3.617</v>
      </c>
      <c r="BO296" s="4">
        <v>3.008</v>
      </c>
      <c r="BP296" s="4">
        <v>3.5510000000000002</v>
      </c>
      <c r="BQ296" s="4">
        <v>2.9180000000000001</v>
      </c>
      <c r="BR296" s="4">
        <v>4.1150000000000002</v>
      </c>
      <c r="BS296" s="4">
        <v>4.3959999999999999</v>
      </c>
      <c r="BT296" s="4">
        <v>4.2919999999999998</v>
      </c>
      <c r="BU296" s="4">
        <v>0</v>
      </c>
      <c r="BV296" s="4">
        <v>0</v>
      </c>
      <c r="BW296" s="4">
        <v>3.5459999999999998</v>
      </c>
      <c r="BX296" s="4">
        <v>3.1989999999999998</v>
      </c>
      <c r="BY296" s="4">
        <v>3.7469999999999999</v>
      </c>
      <c r="BZ296" s="55">
        <v>3.84</v>
      </c>
      <c r="CA296" s="55">
        <v>0</v>
      </c>
      <c r="CB296" s="55">
        <v>0</v>
      </c>
      <c r="CC296" s="55">
        <v>0</v>
      </c>
      <c r="CD296" s="55">
        <v>3.22</v>
      </c>
      <c r="CE296" s="19">
        <v>0</v>
      </c>
      <c r="CF296" s="19">
        <v>0</v>
      </c>
      <c r="CG296" s="4">
        <v>4.26</v>
      </c>
      <c r="CH296" s="4">
        <v>0</v>
      </c>
      <c r="CI296" s="4">
        <v>4.6399999999999997</v>
      </c>
      <c r="CJ296" s="34">
        <v>0</v>
      </c>
      <c r="CK296" s="34">
        <v>0</v>
      </c>
      <c r="CL296" s="34">
        <v>0</v>
      </c>
      <c r="CM296" s="4">
        <v>0</v>
      </c>
      <c r="CN296" s="53">
        <v>0</v>
      </c>
      <c r="CO296" s="54">
        <v>0</v>
      </c>
      <c r="CP296" s="54">
        <v>0</v>
      </c>
      <c r="CQ296" s="4">
        <v>0</v>
      </c>
    </row>
    <row r="297" spans="1:95" s="55" customFormat="1" x14ac:dyDescent="0.35">
      <c r="A297" s="55">
        <v>296</v>
      </c>
      <c r="B297" s="55" t="s">
        <v>112</v>
      </c>
      <c r="C297" s="27" t="s">
        <v>745</v>
      </c>
      <c r="D297" s="50" t="s">
        <v>88</v>
      </c>
      <c r="E297" s="33" t="s">
        <v>91</v>
      </c>
      <c r="F297" s="4">
        <f>IFERROR(AVERAGEIF(Table1[[#This Row],[2019-Apr]:[2025-July]],"&lt;&gt;0"),0)</f>
        <v>6.4378461538461558</v>
      </c>
      <c r="G297" s="4">
        <f ca="1">IFERROR(AVERAGEIF(OFFSET(Table1[[#This Row],[Status]],0,COUNT(Table1[[#This Row],[2019-May]:[2025-July]]),1,-12),"&lt;&gt;0"),0)</f>
        <v>5.9266666666666667</v>
      </c>
      <c r="H297" s="55">
        <f>IFERROR(SMALL(Table1[[#This Row],[2019-Apr]:[2025-July]],COUNTIF(Table1[[#This Row],[2019-Apr]:[2025-July]],0)+1),0)</f>
        <v>1.8</v>
      </c>
      <c r="I297" s="55">
        <f>IFERROR(MAX(Table1[[#This Row],[2019-Apr]:[2025-July]]),0)</f>
        <v>11</v>
      </c>
      <c r="J297" s="4" cm="1">
        <f t="array" ref="J29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3.3533333333333335</v>
      </c>
      <c r="K297" s="4">
        <v>4.5</v>
      </c>
      <c r="L297" s="4">
        <f>IF(Table1[[#This Row],[Standard as per ISO]]&gt;=Table1[[#This Row],[Avg of best 6]],Table1[[#This Row],[Standard as per ISO]],Table1[[#This Row],[Avg of best 6]])</f>
        <v>4.5</v>
      </c>
      <c r="M297" s="4" cm="1">
        <f t="array" ref="M297">IFERROR(LOOKUP(2,1/(Table1[[#This Row],[2019-May]:[2025-July]]&lt;&gt;0),Table1[[#This Row],[2019-May]:[2025-July]]),0)</f>
        <v>8.44</v>
      </c>
      <c r="N297" s="4">
        <f>COUNTIF(Table1[[#This Row],[2019-Apr]:[2025-July]],"&gt;="&amp;Table1[[#This Row],[Target]])</f>
        <v>44</v>
      </c>
      <c r="O297" s="4">
        <f>IF(Table1[[#This Row],[Outliers 2Y]]=0,1,0)</f>
        <v>0</v>
      </c>
      <c r="P297" s="4">
        <f>IF(Table1[[#This Row],[Last value]]&gt;1.5*Table1[[#This Row],[Target]],1,0)</f>
        <v>1</v>
      </c>
      <c r="Q297" s="4">
        <f>IF(AND(1.5*Table1[[#This Row],[Target]]&gt;=Table1[[#This Row],[Last value]],Table1[[#This Row],[Last value]]&gt;Table1[[#This Row],[Target]]),1,0)</f>
        <v>0</v>
      </c>
      <c r="R297" s="4">
        <f>IF(Table1[[#This Row],[Target]]&gt;=Table1[[#This Row],[Last value]],1,0)</f>
        <v>0</v>
      </c>
      <c r="S297" s="4" t="str">
        <f t="shared" si="6"/>
        <v>Red</v>
      </c>
      <c r="T297" s="55">
        <v>0</v>
      </c>
      <c r="U297" s="55">
        <v>6.39</v>
      </c>
      <c r="V297" s="55">
        <v>4.9800000000000004</v>
      </c>
      <c r="W297" s="55">
        <v>4.6399999999999997</v>
      </c>
      <c r="X297" s="55">
        <v>6.34</v>
      </c>
      <c r="Y297" s="55">
        <v>4.59</v>
      </c>
      <c r="Z297" s="55">
        <v>3.55</v>
      </c>
      <c r="AA297" s="55">
        <v>5.24</v>
      </c>
      <c r="AB297" s="55">
        <v>5.48</v>
      </c>
      <c r="AC297" s="55">
        <v>7.02</v>
      </c>
      <c r="AD297" s="55">
        <v>5.56</v>
      </c>
      <c r="AE297" s="55">
        <v>3.24</v>
      </c>
      <c r="AF297" s="55">
        <v>4.4000000000000004</v>
      </c>
      <c r="AG297" s="55">
        <v>4.3</v>
      </c>
      <c r="AH297" s="55">
        <v>4.4000000000000004</v>
      </c>
      <c r="AI297" s="55">
        <v>5.91</v>
      </c>
      <c r="AJ297" s="55">
        <v>2.84</v>
      </c>
      <c r="AK297" s="55">
        <v>0</v>
      </c>
      <c r="AL297" s="55">
        <v>5.0199999999999996</v>
      </c>
      <c r="AM297" s="55">
        <v>0</v>
      </c>
      <c r="AN297" s="55">
        <v>6</v>
      </c>
      <c r="AO297" s="55">
        <v>6.51</v>
      </c>
      <c r="AP297" s="55">
        <v>7.09</v>
      </c>
      <c r="AQ297" s="55">
        <v>0</v>
      </c>
      <c r="AR297" s="8">
        <v>9.15</v>
      </c>
      <c r="AS297" s="8">
        <v>7.76</v>
      </c>
      <c r="AT297" s="8">
        <v>4.3899999999999997</v>
      </c>
      <c r="AU297" s="50">
        <v>7.44</v>
      </c>
      <c r="AV297" s="50">
        <v>11</v>
      </c>
      <c r="AW297" s="50">
        <v>9.6300000000000008</v>
      </c>
      <c r="AX297" s="50">
        <v>7.58</v>
      </c>
      <c r="AY297" s="50">
        <v>8.93</v>
      </c>
      <c r="AZ297" s="50">
        <v>8.1999999999999993</v>
      </c>
      <c r="BA297" s="50">
        <v>7.4</v>
      </c>
      <c r="BB297" s="50">
        <v>7.4</v>
      </c>
      <c r="BC297" s="55">
        <v>6.6</v>
      </c>
      <c r="BD297" s="55">
        <v>6.7</v>
      </c>
      <c r="BE297" s="11">
        <v>6.085</v>
      </c>
      <c r="BF297" s="4">
        <v>0</v>
      </c>
      <c r="BG297" s="4">
        <v>0</v>
      </c>
      <c r="BH297" s="4">
        <v>8.0510000000000002</v>
      </c>
      <c r="BI297" s="4">
        <v>7.3789999999999996</v>
      </c>
      <c r="BJ297" s="14">
        <v>6.3769999999999998</v>
      </c>
      <c r="BK297" s="14">
        <v>5.4870000000000001</v>
      </c>
      <c r="BL297" s="4">
        <v>7.6820000000000004</v>
      </c>
      <c r="BM297" s="17">
        <v>5.45</v>
      </c>
      <c r="BN297" s="4">
        <v>6.1130000000000004</v>
      </c>
      <c r="BO297" s="4">
        <v>7.2329999999999997</v>
      </c>
      <c r="BP297" s="4">
        <v>8.3539999999999992</v>
      </c>
      <c r="BQ297" s="4">
        <v>6.0880000000000001</v>
      </c>
      <c r="BR297" s="4">
        <v>5.7110000000000003</v>
      </c>
      <c r="BS297" s="4">
        <v>6.1180000000000003</v>
      </c>
      <c r="BT297" s="4">
        <v>6.28</v>
      </c>
      <c r="BU297" s="4">
        <v>0</v>
      </c>
      <c r="BV297" s="4">
        <v>0</v>
      </c>
      <c r="BW297" s="4">
        <v>0</v>
      </c>
      <c r="BX297" s="4">
        <v>10.3</v>
      </c>
      <c r="BY297" s="4">
        <v>0</v>
      </c>
      <c r="BZ297" s="55">
        <v>0</v>
      </c>
      <c r="CA297" s="55">
        <v>0</v>
      </c>
      <c r="CB297" s="55">
        <v>0</v>
      </c>
      <c r="CC297" s="55">
        <v>0</v>
      </c>
      <c r="CD297" s="55">
        <v>8.6</v>
      </c>
      <c r="CE297" s="19">
        <v>1.8</v>
      </c>
      <c r="CF297" s="19">
        <v>0</v>
      </c>
      <c r="CG297" s="4">
        <v>7.54</v>
      </c>
      <c r="CH297" s="4">
        <v>0</v>
      </c>
      <c r="CI297" s="4">
        <v>8.44</v>
      </c>
      <c r="CJ297" s="34">
        <v>0</v>
      </c>
      <c r="CK297" s="34">
        <v>0</v>
      </c>
      <c r="CL297" s="34">
        <v>0</v>
      </c>
      <c r="CM297" s="4">
        <v>0</v>
      </c>
      <c r="CN297" s="53">
        <v>0</v>
      </c>
      <c r="CO297" s="54">
        <v>0</v>
      </c>
      <c r="CP297" s="54">
        <v>0</v>
      </c>
      <c r="CQ297" s="4">
        <v>0</v>
      </c>
    </row>
    <row r="298" spans="1:95" s="55" customFormat="1" x14ac:dyDescent="0.35">
      <c r="A298" s="55">
        <v>297</v>
      </c>
      <c r="B298" s="55" t="s">
        <v>112</v>
      </c>
      <c r="C298" s="27" t="s">
        <v>746</v>
      </c>
      <c r="D298" s="50" t="s">
        <v>88</v>
      </c>
      <c r="E298" s="33" t="s">
        <v>91</v>
      </c>
      <c r="F298" s="4">
        <f>IFERROR(AVERAGEIF(Table1[[#This Row],[2019-Apr]:[2025-July]],"&lt;&gt;0"),0)</f>
        <v>4.7531754385964913</v>
      </c>
      <c r="G298" s="4">
        <f ca="1">IFERROR(AVERAGEIF(OFFSET(Table1[[#This Row],[Status]],0,COUNT(Table1[[#This Row],[2019-May]:[2025-July]]),1,-12),"&lt;&gt;0"),0)</f>
        <v>4.84</v>
      </c>
      <c r="H298" s="55">
        <f>IFERROR(SMALL(Table1[[#This Row],[2019-Apr]:[2025-July]],COUNTIF(Table1[[#This Row],[2019-Apr]:[2025-July]],0)+1),0)</f>
        <v>2.5049999999999999</v>
      </c>
      <c r="I298" s="55">
        <f>IFERROR(MAX(Table1[[#This Row],[2019-Apr]:[2025-July]]),0)</f>
        <v>7.7</v>
      </c>
      <c r="J298" s="4" cm="1">
        <f t="array" ref="J29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2.9073333333333333</v>
      </c>
      <c r="K298" s="4">
        <v>4.5</v>
      </c>
      <c r="L298" s="4">
        <f>IF(Table1[[#This Row],[Standard as per ISO]]&gt;=Table1[[#This Row],[Avg of best 6]],Table1[[#This Row],[Standard as per ISO]],Table1[[#This Row],[Avg of best 6]])</f>
        <v>4.5</v>
      </c>
      <c r="M298" s="4" cm="1">
        <f t="array" ref="M298">IFERROR(LOOKUP(2,1/(Table1[[#This Row],[2019-May]:[2025-July]]&lt;&gt;0),Table1[[#This Row],[2019-May]:[2025-July]]),0)</f>
        <v>4.6900000000000004</v>
      </c>
      <c r="N298" s="4">
        <f>COUNTIF(Table1[[#This Row],[2019-Apr]:[2025-July]],"&gt;="&amp;Table1[[#This Row],[Target]])</f>
        <v>33</v>
      </c>
      <c r="O298" s="4">
        <f>IF(Table1[[#This Row],[Outliers 2Y]]=0,1,0)</f>
        <v>0</v>
      </c>
      <c r="P298" s="4">
        <f>IF(Table1[[#This Row],[Last value]]&gt;1.5*Table1[[#This Row],[Target]],1,0)</f>
        <v>0</v>
      </c>
      <c r="Q298" s="4">
        <f>IF(AND(1.5*Table1[[#This Row],[Target]]&gt;=Table1[[#This Row],[Last value]],Table1[[#This Row],[Last value]]&gt;Table1[[#This Row],[Target]]),1,0)</f>
        <v>1</v>
      </c>
      <c r="R298" s="4">
        <f>IF(Table1[[#This Row],[Target]]&gt;=Table1[[#This Row],[Last value]],1,0)</f>
        <v>0</v>
      </c>
      <c r="S298" s="4" t="str">
        <f t="shared" si="6"/>
        <v>Yellow</v>
      </c>
      <c r="T298" s="55">
        <v>0</v>
      </c>
      <c r="U298" s="55">
        <v>4</v>
      </c>
      <c r="V298" s="55">
        <v>4.09</v>
      </c>
      <c r="W298" s="55">
        <v>3.64</v>
      </c>
      <c r="X298" s="55">
        <v>3.31</v>
      </c>
      <c r="Y298" s="55">
        <v>5.31</v>
      </c>
      <c r="Z298" s="55">
        <v>3.09</v>
      </c>
      <c r="AA298" s="55">
        <v>0</v>
      </c>
      <c r="AB298" s="55">
        <v>3.65</v>
      </c>
      <c r="AC298" s="55">
        <v>5.58</v>
      </c>
      <c r="AD298" s="55">
        <v>5.24</v>
      </c>
      <c r="AE298" s="55">
        <v>6.41</v>
      </c>
      <c r="AF298" s="55">
        <v>6.4</v>
      </c>
      <c r="AG298" s="55">
        <v>7.2</v>
      </c>
      <c r="AH298" s="55">
        <v>7.4</v>
      </c>
      <c r="AI298" s="55">
        <v>4.9400000000000004</v>
      </c>
      <c r="AJ298" s="55">
        <v>4.66</v>
      </c>
      <c r="AK298" s="55">
        <v>5.16</v>
      </c>
      <c r="AL298" s="55">
        <v>7.7</v>
      </c>
      <c r="AM298" s="55">
        <v>5.74</v>
      </c>
      <c r="AN298" s="55">
        <v>0</v>
      </c>
      <c r="AO298" s="55">
        <v>4.9400000000000004</v>
      </c>
      <c r="AP298" s="55">
        <v>6.61</v>
      </c>
      <c r="AQ298" s="55">
        <v>5.58</v>
      </c>
      <c r="AR298" s="8">
        <v>0</v>
      </c>
      <c r="AS298" s="8">
        <v>5.72</v>
      </c>
      <c r="AT298" s="8">
        <v>5.3</v>
      </c>
      <c r="AU298" s="50">
        <v>4.78</v>
      </c>
      <c r="AV298" s="50">
        <v>3.98</v>
      </c>
      <c r="AW298" s="50">
        <v>3.36</v>
      </c>
      <c r="AX298" s="50">
        <v>5.57</v>
      </c>
      <c r="AY298" s="50">
        <v>6.49</v>
      </c>
      <c r="AZ298" s="50">
        <v>5.2</v>
      </c>
      <c r="BA298" s="50">
        <v>5</v>
      </c>
      <c r="BB298" s="50">
        <v>2.7</v>
      </c>
      <c r="BC298" s="55">
        <v>4.4000000000000004</v>
      </c>
      <c r="BD298" s="55">
        <v>5.6</v>
      </c>
      <c r="BE298" s="11">
        <v>4.6719999999999997</v>
      </c>
      <c r="BF298" s="4">
        <v>0</v>
      </c>
      <c r="BG298" s="4">
        <v>0</v>
      </c>
      <c r="BH298" s="4">
        <v>3.74</v>
      </c>
      <c r="BI298" s="4">
        <v>5.9260000000000002</v>
      </c>
      <c r="BJ298" s="13">
        <v>2.5049999999999999</v>
      </c>
      <c r="BK298" s="13">
        <v>3.6469999999999998</v>
      </c>
      <c r="BL298" s="4">
        <v>3.7090000000000001</v>
      </c>
      <c r="BM298" s="16">
        <v>3.7610000000000001</v>
      </c>
      <c r="BN298" s="4">
        <v>4.3559999999999999</v>
      </c>
      <c r="BO298" s="4">
        <v>3.7909999999999999</v>
      </c>
      <c r="BP298" s="4">
        <v>4.9020000000000001</v>
      </c>
      <c r="BQ298" s="4">
        <v>4.4020000000000001</v>
      </c>
      <c r="BR298" s="4">
        <v>3.3540000000000001</v>
      </c>
      <c r="BS298" s="4">
        <v>4.46</v>
      </c>
      <c r="BT298" s="4">
        <v>4.49</v>
      </c>
      <c r="BU298" s="4">
        <v>2.9889999999999999</v>
      </c>
      <c r="BV298" s="4">
        <v>0</v>
      </c>
      <c r="BW298" s="4">
        <v>2.85</v>
      </c>
      <c r="BX298" s="4">
        <v>4.6849999999999996</v>
      </c>
      <c r="BY298" s="4">
        <v>3.8119999999999998</v>
      </c>
      <c r="BZ298" s="55">
        <v>5.51</v>
      </c>
      <c r="CA298" s="55">
        <v>5.47</v>
      </c>
      <c r="CB298" s="55">
        <v>4.54</v>
      </c>
      <c r="CC298" s="55">
        <v>0</v>
      </c>
      <c r="CD298" s="55">
        <v>4.93</v>
      </c>
      <c r="CE298" s="19">
        <v>0</v>
      </c>
      <c r="CF298" s="19">
        <v>0</v>
      </c>
      <c r="CG298" s="4">
        <v>4.99</v>
      </c>
      <c r="CH298" s="4">
        <v>0</v>
      </c>
      <c r="CI298" s="4">
        <v>4.6900000000000004</v>
      </c>
      <c r="CJ298" s="34">
        <v>0</v>
      </c>
      <c r="CK298" s="34">
        <v>0</v>
      </c>
      <c r="CL298" s="34">
        <v>0</v>
      </c>
      <c r="CM298" s="4">
        <v>0</v>
      </c>
      <c r="CN298" s="53">
        <v>0</v>
      </c>
      <c r="CO298" s="54">
        <v>0</v>
      </c>
      <c r="CP298" s="54">
        <v>0</v>
      </c>
      <c r="CQ298" s="4">
        <v>0</v>
      </c>
    </row>
    <row r="299" spans="1:95" s="55" customFormat="1" x14ac:dyDescent="0.35">
      <c r="A299" s="55">
        <v>298</v>
      </c>
      <c r="B299" s="55" t="s">
        <v>112</v>
      </c>
      <c r="C299" s="27" t="s">
        <v>747</v>
      </c>
      <c r="D299" s="50" t="s">
        <v>88</v>
      </c>
      <c r="E299" s="33" t="s">
        <v>91</v>
      </c>
      <c r="F299" s="4">
        <f>IFERROR(AVERAGEIF(Table1[[#This Row],[2019-Apr]:[2025-July]],"&lt;&gt;0"),0)</f>
        <v>5.051758620689653</v>
      </c>
      <c r="G299" s="4">
        <f ca="1">IFERROR(AVERAGEIF(OFFSET(Table1[[#This Row],[Status]],0,COUNT(Table1[[#This Row],[2019-May]:[2025-July]]),1,-12),"&lt;&gt;0"),0)</f>
        <v>4.3550000000000004</v>
      </c>
      <c r="H299" s="55">
        <f>IFERROR(SMALL(Table1[[#This Row],[2019-Apr]:[2025-July]],COUNTIF(Table1[[#This Row],[2019-Apr]:[2025-July]],0)+1),0)</f>
        <v>3.5</v>
      </c>
      <c r="I299" s="55">
        <f>IFERROR(MAX(Table1[[#This Row],[2019-Apr]:[2025-July]]),0)</f>
        <v>7.29</v>
      </c>
      <c r="J299" s="4" cm="1">
        <f t="array" ref="J29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3.7656666666666667</v>
      </c>
      <c r="K299" s="4">
        <v>4.5</v>
      </c>
      <c r="L299" s="4">
        <f>IF(Table1[[#This Row],[Standard as per ISO]]&gt;=Table1[[#This Row],[Avg of best 6]],Table1[[#This Row],[Standard as per ISO]],Table1[[#This Row],[Avg of best 6]])</f>
        <v>4.5</v>
      </c>
      <c r="M299" s="4" cm="1">
        <f t="array" ref="M299">IFERROR(LOOKUP(2,1/(Table1[[#This Row],[2019-May]:[2025-July]]&lt;&gt;0),Table1[[#This Row],[2019-May]:[2025-July]]),0)</f>
        <v>4.28</v>
      </c>
      <c r="N299" s="4">
        <f>COUNTIF(Table1[[#This Row],[2019-Apr]:[2025-July]],"&gt;="&amp;Table1[[#This Row],[Target]])</f>
        <v>39</v>
      </c>
      <c r="O299" s="4">
        <f>IF(Table1[[#This Row],[Outliers 2Y]]=0,1,0)</f>
        <v>0</v>
      </c>
      <c r="P299" s="4">
        <f>IF(Table1[[#This Row],[Last value]]&gt;1.5*Table1[[#This Row],[Target]],1,0)</f>
        <v>0</v>
      </c>
      <c r="Q299" s="4">
        <f>IF(AND(1.5*Table1[[#This Row],[Target]]&gt;=Table1[[#This Row],[Last value]],Table1[[#This Row],[Last value]]&gt;Table1[[#This Row],[Target]]),1,0)</f>
        <v>0</v>
      </c>
      <c r="R299" s="4">
        <f>IF(Table1[[#This Row],[Target]]&gt;=Table1[[#This Row],[Last value]],1,0)</f>
        <v>1</v>
      </c>
      <c r="S299" s="4" t="str">
        <f t="shared" si="6"/>
        <v>Green</v>
      </c>
      <c r="T299" s="55">
        <v>0</v>
      </c>
      <c r="U299" s="55">
        <v>4.42</v>
      </c>
      <c r="V299" s="55">
        <v>6.3</v>
      </c>
      <c r="W299" s="55">
        <v>5.62</v>
      </c>
      <c r="X299" s="55">
        <v>5.83</v>
      </c>
      <c r="Y299" s="55">
        <v>5.85</v>
      </c>
      <c r="Z299" s="55">
        <v>5.64</v>
      </c>
      <c r="AA299" s="55">
        <v>5.0199999999999996</v>
      </c>
      <c r="AB299" s="55">
        <v>5.27</v>
      </c>
      <c r="AC299" s="55">
        <v>5.68</v>
      </c>
      <c r="AD299" s="55">
        <v>5.67</v>
      </c>
      <c r="AE299" s="55">
        <v>4.3099999999999996</v>
      </c>
      <c r="AF299" s="55">
        <v>4.7</v>
      </c>
      <c r="AG299" s="55">
        <v>4.0999999999999996</v>
      </c>
      <c r="AH299" s="55">
        <v>4.2</v>
      </c>
      <c r="AI299" s="55">
        <v>4.13</v>
      </c>
      <c r="AJ299" s="55">
        <v>5.1100000000000003</v>
      </c>
      <c r="AK299" s="55">
        <v>7.29</v>
      </c>
      <c r="AL299" s="55">
        <v>6.88</v>
      </c>
      <c r="AM299" s="55">
        <v>5.0999999999999996</v>
      </c>
      <c r="AN299" s="55">
        <v>0</v>
      </c>
      <c r="AO299" s="55">
        <v>6.52</v>
      </c>
      <c r="AP299" s="55">
        <v>5.72</v>
      </c>
      <c r="AQ299" s="55">
        <v>6.71</v>
      </c>
      <c r="AR299" s="8">
        <v>0</v>
      </c>
      <c r="AS299" s="8">
        <v>4.17</v>
      </c>
      <c r="AT299" s="8">
        <v>4.54</v>
      </c>
      <c r="AU299" s="50">
        <v>5.79</v>
      </c>
      <c r="AV299" s="50">
        <v>4.2699999999999996</v>
      </c>
      <c r="AW299" s="50">
        <v>4.01</v>
      </c>
      <c r="AX299" s="50">
        <v>3.59</v>
      </c>
      <c r="AY299" s="50">
        <v>5.08</v>
      </c>
      <c r="AZ299" s="50">
        <v>4.0999999999999996</v>
      </c>
      <c r="BA299" s="50">
        <v>3.5</v>
      </c>
      <c r="BB299" s="50">
        <v>5.4</v>
      </c>
      <c r="BC299" s="55">
        <v>4.8</v>
      </c>
      <c r="BD299" s="55">
        <v>4.8</v>
      </c>
      <c r="BE299" s="11">
        <v>3.9260000000000002</v>
      </c>
      <c r="BF299" s="4">
        <v>0</v>
      </c>
      <c r="BG299" s="4">
        <v>0</v>
      </c>
      <c r="BH299" s="4">
        <v>6.0890000000000004</v>
      </c>
      <c r="BI299" s="4">
        <v>6.0410000000000004</v>
      </c>
      <c r="BJ299" s="14">
        <v>4.2489999999999997</v>
      </c>
      <c r="BK299" s="14">
        <v>5.8819999999999997</v>
      </c>
      <c r="BL299" s="4">
        <v>5.44</v>
      </c>
      <c r="BM299" s="17">
        <v>5.2039999999999997</v>
      </c>
      <c r="BN299" s="4">
        <v>4.3550000000000004</v>
      </c>
      <c r="BO299" s="4">
        <v>4.6180000000000003</v>
      </c>
      <c r="BP299" s="4">
        <v>5.5010000000000003</v>
      </c>
      <c r="BQ299" s="4">
        <v>4.68</v>
      </c>
      <c r="BR299" s="4">
        <v>5.3280000000000003</v>
      </c>
      <c r="BS299" s="4">
        <v>5.2140000000000004</v>
      </c>
      <c r="BT299" s="4">
        <v>5.7460000000000004</v>
      </c>
      <c r="BU299" s="4">
        <v>3.883</v>
      </c>
      <c r="BV299" s="4">
        <v>0</v>
      </c>
      <c r="BW299" s="4">
        <v>3.6850000000000001</v>
      </c>
      <c r="BX299" s="4">
        <v>5.4020000000000001</v>
      </c>
      <c r="BY299" s="4">
        <v>5.0490000000000004</v>
      </c>
      <c r="BZ299" s="55">
        <v>5.34</v>
      </c>
      <c r="CA299" s="55">
        <v>5.69</v>
      </c>
      <c r="CB299" s="55">
        <v>4.82</v>
      </c>
      <c r="CC299" s="55">
        <v>0</v>
      </c>
      <c r="CD299" s="55">
        <v>4.03</v>
      </c>
      <c r="CE299" s="19">
        <v>0</v>
      </c>
      <c r="CF299" s="19">
        <v>0</v>
      </c>
      <c r="CG299" s="4">
        <v>4.43</v>
      </c>
      <c r="CH299" s="4">
        <v>0</v>
      </c>
      <c r="CI299" s="4">
        <v>4.28</v>
      </c>
      <c r="CJ299" s="34">
        <v>0</v>
      </c>
      <c r="CK299" s="34">
        <v>0</v>
      </c>
      <c r="CL299" s="34">
        <v>0</v>
      </c>
      <c r="CM299" s="4">
        <v>0</v>
      </c>
      <c r="CN299" s="53">
        <v>0</v>
      </c>
      <c r="CO299" s="54">
        <v>0</v>
      </c>
      <c r="CP299" s="54">
        <v>0</v>
      </c>
      <c r="CQ299" s="4">
        <v>0</v>
      </c>
    </row>
    <row r="300" spans="1:95" s="55" customFormat="1" x14ac:dyDescent="0.35">
      <c r="A300" s="55">
        <v>299</v>
      </c>
      <c r="B300" s="55" t="s">
        <v>112</v>
      </c>
      <c r="C300" s="27" t="s">
        <v>748</v>
      </c>
      <c r="D300" s="50" t="s">
        <v>88</v>
      </c>
      <c r="E300" s="33" t="s">
        <v>89</v>
      </c>
      <c r="F300" s="4">
        <f>IFERROR(AVERAGEIF(Table1[[#This Row],[2019-Apr]:[2025-July]],"&lt;&gt;0"),0)</f>
        <v>4.8152676056338022</v>
      </c>
      <c r="G300" s="4">
        <f ca="1">IFERROR(AVERAGEIF(OFFSET(Table1[[#This Row],[Status]],0,COUNT(Table1[[#This Row],[2019-May]:[2025-July]]),1,-12),"&lt;&gt;0"),0)</f>
        <v>3.8291666666666675</v>
      </c>
      <c r="H300" s="55">
        <f>IFERROR(SMALL(Table1[[#This Row],[2019-Apr]:[2025-July]],COUNTIF(Table1[[#This Row],[2019-Apr]:[2025-July]],0)+1),0)</f>
        <v>2.4</v>
      </c>
      <c r="I300" s="55">
        <f>IFERROR(MAX(Table1[[#This Row],[2019-Apr]:[2025-July]]),0)</f>
        <v>8.67</v>
      </c>
      <c r="J300" s="4" cm="1">
        <f t="array" ref="J30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2.6141666666666667</v>
      </c>
      <c r="K300" s="4">
        <v>4.5</v>
      </c>
      <c r="L300" s="4">
        <f>IF(Table1[[#This Row],[Standard as per ISO]]&gt;=Table1[[#This Row],[Avg of best 6]],Table1[[#This Row],[Standard as per ISO]],Table1[[#This Row],[Avg of best 6]])</f>
        <v>4.5</v>
      </c>
      <c r="M300" s="4" cm="1">
        <f t="array" ref="M300">IFERROR(LOOKUP(2,1/(Table1[[#This Row],[2019-May]:[2025-July]]&lt;&gt;0),Table1[[#This Row],[2019-May]:[2025-July]]),0)</f>
        <v>3.2</v>
      </c>
      <c r="N300" s="4">
        <f>COUNTIF(Table1[[#This Row],[2019-Apr]:[2025-July]],"&gt;="&amp;Table1[[#This Row],[Target]])</f>
        <v>35</v>
      </c>
      <c r="O300" s="4">
        <f>IF(Table1[[#This Row],[Outliers 2Y]]=0,1,0)</f>
        <v>0</v>
      </c>
      <c r="P300" s="4">
        <f>IF(Table1[[#This Row],[Last value]]&gt;1.5*Table1[[#This Row],[Target]],1,0)</f>
        <v>0</v>
      </c>
      <c r="Q300" s="4">
        <f>IF(AND(1.5*Table1[[#This Row],[Target]]&gt;=Table1[[#This Row],[Last value]],Table1[[#This Row],[Last value]]&gt;Table1[[#This Row],[Target]]),1,0)</f>
        <v>0</v>
      </c>
      <c r="R300" s="4">
        <f>IF(Table1[[#This Row],[Target]]&gt;=Table1[[#This Row],[Last value]],1,0)</f>
        <v>1</v>
      </c>
      <c r="S300" s="4" t="str">
        <f t="shared" si="6"/>
        <v>Green</v>
      </c>
      <c r="T300" s="55">
        <v>0</v>
      </c>
      <c r="U300" s="55">
        <v>3.8</v>
      </c>
      <c r="V300" s="55">
        <v>2.95</v>
      </c>
      <c r="W300" s="55">
        <v>4.1399999999999997</v>
      </c>
      <c r="X300" s="55">
        <v>3.75</v>
      </c>
      <c r="Y300" s="55">
        <v>2.99</v>
      </c>
      <c r="Z300" s="55">
        <v>2.82</v>
      </c>
      <c r="AA300" s="55">
        <v>3.86</v>
      </c>
      <c r="AB300" s="55">
        <v>7.4</v>
      </c>
      <c r="AC300" s="55">
        <v>0</v>
      </c>
      <c r="AD300" s="55">
        <v>8.17</v>
      </c>
      <c r="AE300" s="55">
        <v>5.97</v>
      </c>
      <c r="AF300" s="55">
        <v>5.3</v>
      </c>
      <c r="AG300" s="55">
        <v>6.2</v>
      </c>
      <c r="AH300" s="55">
        <v>5.8</v>
      </c>
      <c r="AI300" s="55">
        <v>4.82</v>
      </c>
      <c r="AJ300" s="55">
        <v>6.84</v>
      </c>
      <c r="AK300" s="55">
        <v>6.73</v>
      </c>
      <c r="AL300" s="55">
        <v>7.02</v>
      </c>
      <c r="AM300" s="55">
        <v>6.5</v>
      </c>
      <c r="AN300" s="55">
        <v>7.3</v>
      </c>
      <c r="AO300" s="55">
        <v>7.16</v>
      </c>
      <c r="AP300" s="55">
        <v>4.0199999999999996</v>
      </c>
      <c r="AQ300" s="55">
        <v>4.22</v>
      </c>
      <c r="AR300" s="8">
        <v>6</v>
      </c>
      <c r="AS300" s="8">
        <v>0</v>
      </c>
      <c r="AT300" s="8">
        <v>5.74</v>
      </c>
      <c r="AU300" s="50">
        <v>8.67</v>
      </c>
      <c r="AV300" s="50">
        <v>7.11</v>
      </c>
      <c r="AW300" s="50">
        <v>7.27</v>
      </c>
      <c r="AX300" s="50">
        <v>7.3</v>
      </c>
      <c r="AY300" s="50">
        <v>7.54</v>
      </c>
      <c r="AZ300" s="50">
        <v>8.4</v>
      </c>
      <c r="BA300" s="50">
        <v>3.05</v>
      </c>
      <c r="BB300" s="50">
        <v>3.3</v>
      </c>
      <c r="BC300" s="55">
        <v>2.4</v>
      </c>
      <c r="BD300" s="55">
        <v>3</v>
      </c>
      <c r="BE300" s="11">
        <v>3.2360000000000002</v>
      </c>
      <c r="BF300" s="4">
        <v>0</v>
      </c>
      <c r="BG300" s="4">
        <v>0</v>
      </c>
      <c r="BH300" s="4">
        <v>3.7970000000000002</v>
      </c>
      <c r="BI300" s="4">
        <v>3.8860000000000001</v>
      </c>
      <c r="BJ300" s="13">
        <v>2.6949999999999998</v>
      </c>
      <c r="BK300" s="13">
        <v>2.9329999999999998</v>
      </c>
      <c r="BL300" s="4">
        <v>8.4</v>
      </c>
      <c r="BM300" s="16">
        <v>5.4989999999999997</v>
      </c>
      <c r="BN300" s="4">
        <v>5.2140000000000004</v>
      </c>
      <c r="BO300" s="4">
        <v>5.2009999999999996</v>
      </c>
      <c r="BP300" s="4">
        <v>5.8949999999999996</v>
      </c>
      <c r="BQ300" s="4">
        <v>5.4169999999999998</v>
      </c>
      <c r="BR300" s="4">
        <v>4.88</v>
      </c>
      <c r="BS300" s="4">
        <v>3.6840000000000002</v>
      </c>
      <c r="BT300" s="4">
        <v>3.6589999999999998</v>
      </c>
      <c r="BU300" s="4">
        <v>3.391</v>
      </c>
      <c r="BV300" s="4">
        <v>3.0990000000000002</v>
      </c>
      <c r="BW300" s="4">
        <v>2.8780000000000001</v>
      </c>
      <c r="BX300" s="4">
        <v>4.2</v>
      </c>
      <c r="BY300" s="4">
        <v>4.28</v>
      </c>
      <c r="BZ300" s="55">
        <v>4.92</v>
      </c>
      <c r="CA300" s="55">
        <v>4.4800000000000004</v>
      </c>
      <c r="CB300" s="55">
        <v>4.87</v>
      </c>
      <c r="CC300" s="55">
        <v>4.17</v>
      </c>
      <c r="CD300" s="55">
        <v>4.51</v>
      </c>
      <c r="CE300" s="19">
        <v>4.5</v>
      </c>
      <c r="CF300" s="19">
        <v>4.5</v>
      </c>
      <c r="CG300" s="4">
        <v>4.71</v>
      </c>
      <c r="CH300" s="4">
        <v>7.57</v>
      </c>
      <c r="CI300" s="4">
        <v>2.57</v>
      </c>
      <c r="CJ300" s="34">
        <v>2.6</v>
      </c>
      <c r="CK300" s="34">
        <v>2.6</v>
      </c>
      <c r="CL300" s="43">
        <v>3.2</v>
      </c>
      <c r="CM300" s="4">
        <v>3.4</v>
      </c>
      <c r="CN300" s="53">
        <v>3.6</v>
      </c>
      <c r="CO300" s="54">
        <v>3.2</v>
      </c>
      <c r="CP300" s="54">
        <v>3.5</v>
      </c>
      <c r="CQ300" s="4">
        <v>3.2</v>
      </c>
    </row>
    <row r="301" spans="1:95" s="55" customFormat="1" x14ac:dyDescent="0.35">
      <c r="A301" s="55">
        <v>300</v>
      </c>
      <c r="B301" s="55" t="s">
        <v>112</v>
      </c>
      <c r="C301" s="27" t="s">
        <v>749</v>
      </c>
      <c r="D301" s="50" t="s">
        <v>88</v>
      </c>
      <c r="E301" s="33" t="s">
        <v>89</v>
      </c>
      <c r="F301" s="4">
        <f>IFERROR(AVERAGEIF(Table1[[#This Row],[2019-Apr]:[2025-July]],"&lt;&gt;0"),0)</f>
        <v>1.6276338028169011</v>
      </c>
      <c r="G301" s="4">
        <f ca="1">IFERROR(AVERAGEIF(OFFSET(Table1[[#This Row],[Status]],0,COUNT(Table1[[#This Row],[2019-May]:[2025-July]]),1,-12),"&lt;&gt;0"),0)</f>
        <v>1.2733333333333334</v>
      </c>
      <c r="H301" s="55">
        <f>IFERROR(SMALL(Table1[[#This Row],[2019-Apr]:[2025-July]],COUNTIF(Table1[[#This Row],[2019-Apr]:[2025-July]],0)+1),0)</f>
        <v>0.85</v>
      </c>
      <c r="I301" s="55">
        <f>IFERROR(MAX(Table1[[#This Row],[2019-Apr]:[2025-July]]),0)</f>
        <v>2.7930000000000001</v>
      </c>
      <c r="J301" s="4" cm="1">
        <f t="array" ref="J30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0.94</v>
      </c>
      <c r="K301" s="4">
        <v>4.5</v>
      </c>
      <c r="L301" s="4">
        <f>IF(Table1[[#This Row],[Standard as per ISO]]&gt;=Table1[[#This Row],[Avg of best 6]],Table1[[#This Row],[Standard as per ISO]],Table1[[#This Row],[Avg of best 6]])</f>
        <v>4.5</v>
      </c>
      <c r="M301" s="4" cm="1">
        <f t="array" ref="M301">IFERROR(LOOKUP(2,1/(Table1[[#This Row],[2019-May]:[2025-July]]&lt;&gt;0),Table1[[#This Row],[2019-May]:[2025-July]]),0)</f>
        <v>1.2</v>
      </c>
      <c r="N301" s="4">
        <f>COUNTIF(Table1[[#This Row],[2019-Apr]:[2025-July]],"&gt;="&amp;Table1[[#This Row],[Target]])</f>
        <v>0</v>
      </c>
      <c r="O301" s="4">
        <f>IF(Table1[[#This Row],[Outliers 2Y]]=0,1,0)</f>
        <v>1</v>
      </c>
      <c r="P301" s="4">
        <f>IF(Table1[[#This Row],[Last value]]&gt;1.5*Table1[[#This Row],[Target]],1,0)</f>
        <v>0</v>
      </c>
      <c r="Q301" s="4">
        <f>IF(AND(1.5*Table1[[#This Row],[Target]]&gt;=Table1[[#This Row],[Last value]],Table1[[#This Row],[Last value]]&gt;Table1[[#This Row],[Target]]),1,0)</f>
        <v>0</v>
      </c>
      <c r="R301" s="4">
        <f>IF(Table1[[#This Row],[Target]]&gt;=Table1[[#This Row],[Last value]],1,0)</f>
        <v>1</v>
      </c>
      <c r="S301" s="4" t="str">
        <f t="shared" si="6"/>
        <v>Green</v>
      </c>
      <c r="T301" s="55">
        <v>0</v>
      </c>
      <c r="U301" s="55">
        <v>1.82</v>
      </c>
      <c r="V301" s="55">
        <v>1.9</v>
      </c>
      <c r="W301" s="55">
        <v>1.5</v>
      </c>
      <c r="X301" s="55">
        <v>1.74</v>
      </c>
      <c r="Y301" s="55">
        <v>1.44</v>
      </c>
      <c r="Z301" s="55">
        <v>1.27</v>
      </c>
      <c r="AA301" s="55">
        <v>1.75</v>
      </c>
      <c r="AB301" s="55">
        <v>1.39</v>
      </c>
      <c r="AC301" s="55">
        <v>1.8</v>
      </c>
      <c r="AD301" s="55">
        <v>1.69</v>
      </c>
      <c r="AE301" s="55">
        <v>2.33</v>
      </c>
      <c r="AF301" s="55">
        <v>1.2</v>
      </c>
      <c r="AG301" s="55">
        <v>1.4</v>
      </c>
      <c r="AH301" s="55">
        <v>1.3</v>
      </c>
      <c r="AI301" s="55">
        <v>2.08</v>
      </c>
      <c r="AJ301" s="55">
        <v>2.15</v>
      </c>
      <c r="AK301" s="55">
        <v>1.66</v>
      </c>
      <c r="AL301" s="55">
        <v>1.74</v>
      </c>
      <c r="AM301" s="55">
        <v>2</v>
      </c>
      <c r="AN301" s="55">
        <v>0</v>
      </c>
      <c r="AO301" s="55">
        <v>1.31</v>
      </c>
      <c r="AP301" s="55">
        <v>1.39</v>
      </c>
      <c r="AQ301" s="55">
        <v>1.76</v>
      </c>
      <c r="AR301" s="8">
        <v>0</v>
      </c>
      <c r="AS301" s="8">
        <v>2.13</v>
      </c>
      <c r="AT301" s="8">
        <v>2.0299999999999998</v>
      </c>
      <c r="AU301" s="50">
        <v>1.82</v>
      </c>
      <c r="AV301" s="50">
        <v>1.89</v>
      </c>
      <c r="AW301" s="50">
        <v>1.85</v>
      </c>
      <c r="AX301" s="50">
        <v>1.76</v>
      </c>
      <c r="AY301" s="50">
        <v>2.11</v>
      </c>
      <c r="AZ301" s="50">
        <v>1.45</v>
      </c>
      <c r="BA301" s="50">
        <v>1.9</v>
      </c>
      <c r="BB301" s="50">
        <v>2.4</v>
      </c>
      <c r="BC301" s="55">
        <v>1.6</v>
      </c>
      <c r="BD301" s="55">
        <v>2.1</v>
      </c>
      <c r="BE301" s="11">
        <v>2.7930000000000001</v>
      </c>
      <c r="BF301" s="4">
        <v>0</v>
      </c>
      <c r="BG301" s="4">
        <v>0</v>
      </c>
      <c r="BH301" s="4">
        <v>2.1779999999999999</v>
      </c>
      <c r="BI301" s="4">
        <v>2.2250000000000001</v>
      </c>
      <c r="BJ301" s="14">
        <v>2.359</v>
      </c>
      <c r="BK301" s="14">
        <v>2.17</v>
      </c>
      <c r="BL301" s="4">
        <v>2.3410000000000002</v>
      </c>
      <c r="BM301" s="17">
        <v>2.34</v>
      </c>
      <c r="BN301" s="4">
        <v>2.6539999999999999</v>
      </c>
      <c r="BO301" s="4">
        <v>2.2730000000000001</v>
      </c>
      <c r="BP301" s="4">
        <v>1.5049999999999999</v>
      </c>
      <c r="BQ301" s="4">
        <v>1.3260000000000001</v>
      </c>
      <c r="BR301" s="4">
        <v>1.089</v>
      </c>
      <c r="BS301" s="4">
        <v>1.0309999999999999</v>
      </c>
      <c r="BT301" s="4">
        <v>1.1419999999999999</v>
      </c>
      <c r="BU301" s="4">
        <v>1.53</v>
      </c>
      <c r="BV301" s="4">
        <v>1.2569999999999999</v>
      </c>
      <c r="BW301" s="4">
        <v>1.0289999999999999</v>
      </c>
      <c r="BX301" s="4">
        <v>1.01</v>
      </c>
      <c r="BY301" s="4">
        <v>1.03</v>
      </c>
      <c r="BZ301" s="55">
        <v>1.9</v>
      </c>
      <c r="CA301" s="55">
        <v>0.95</v>
      </c>
      <c r="CB301" s="55">
        <v>0.95</v>
      </c>
      <c r="CC301" s="55">
        <v>0.88</v>
      </c>
      <c r="CD301" s="55">
        <v>1.46</v>
      </c>
      <c r="CE301" s="19">
        <v>1.2</v>
      </c>
      <c r="CF301" s="19">
        <v>1</v>
      </c>
      <c r="CG301" s="4">
        <v>1.27</v>
      </c>
      <c r="CH301" s="4">
        <v>1.36</v>
      </c>
      <c r="CI301" s="4">
        <v>0.85</v>
      </c>
      <c r="CJ301" s="34">
        <v>1.7</v>
      </c>
      <c r="CK301" s="34">
        <v>1.4</v>
      </c>
      <c r="CL301" s="43">
        <v>1.4</v>
      </c>
      <c r="CM301" s="4">
        <v>1.4</v>
      </c>
      <c r="CN301" s="53">
        <v>1.1000000000000001</v>
      </c>
      <c r="CO301" s="54">
        <v>1.3</v>
      </c>
      <c r="CP301" s="54">
        <v>1.3</v>
      </c>
      <c r="CQ301" s="4">
        <v>1.2</v>
      </c>
    </row>
    <row r="302" spans="1:95" s="55" customFormat="1" x14ac:dyDescent="0.35">
      <c r="A302" s="55">
        <v>301</v>
      </c>
      <c r="B302" s="55" t="s">
        <v>112</v>
      </c>
      <c r="C302" s="27" t="s">
        <v>750</v>
      </c>
      <c r="D302" s="50" t="s">
        <v>88</v>
      </c>
      <c r="E302" s="33" t="s">
        <v>89</v>
      </c>
      <c r="F302" s="4">
        <f>IFERROR(AVERAGEIF(Table1[[#This Row],[2019-Apr]:[2025-July]],"&lt;&gt;0"),0)</f>
        <v>3.654205882352942</v>
      </c>
      <c r="G302" s="4">
        <f ca="1">IFERROR(AVERAGEIF(OFFSET(Table1[[#This Row],[Status]],0,COUNT(Table1[[#This Row],[2019-May]:[2025-July]]),1,-12),"&lt;&gt;0"),0)</f>
        <v>3.9245454545454548</v>
      </c>
      <c r="H302" s="55">
        <f>IFERROR(SMALL(Table1[[#This Row],[2019-Apr]:[2025-July]],COUNTIF(Table1[[#This Row],[2019-Apr]:[2025-July]],0)+1),0)</f>
        <v>1.5</v>
      </c>
      <c r="I302" s="55">
        <f>IFERROR(MAX(Table1[[#This Row],[2019-Apr]:[2025-July]]),0)</f>
        <v>7.3940000000000001</v>
      </c>
      <c r="J302" s="4" cm="1">
        <f t="array" ref="J30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1.7350000000000001</v>
      </c>
      <c r="K302" s="4">
        <v>4.5</v>
      </c>
      <c r="L302" s="4">
        <f>IF(Table1[[#This Row],[Standard as per ISO]]&gt;=Table1[[#This Row],[Avg of best 6]],Table1[[#This Row],[Standard as per ISO]],Table1[[#This Row],[Avg of best 6]])</f>
        <v>4.5</v>
      </c>
      <c r="M302" s="4" cm="1">
        <f t="array" ref="M302">IFERROR(LOOKUP(2,1/(Table1[[#This Row],[2019-May]:[2025-July]]&lt;&gt;0),Table1[[#This Row],[2019-May]:[2025-July]]),0)</f>
        <v>4</v>
      </c>
      <c r="N302" s="4">
        <f>COUNTIF(Table1[[#This Row],[2019-Apr]:[2025-July]],"&gt;="&amp;Table1[[#This Row],[Target]])</f>
        <v>16</v>
      </c>
      <c r="O302" s="4">
        <f>IF(Table1[[#This Row],[Outliers 2Y]]=0,1,0)</f>
        <v>0</v>
      </c>
      <c r="P302" s="4">
        <f>IF(Table1[[#This Row],[Last value]]&gt;1.5*Table1[[#This Row],[Target]],1,0)</f>
        <v>0</v>
      </c>
      <c r="Q302" s="4">
        <f>IF(AND(1.5*Table1[[#This Row],[Target]]&gt;=Table1[[#This Row],[Last value]],Table1[[#This Row],[Last value]]&gt;Table1[[#This Row],[Target]]),1,0)</f>
        <v>0</v>
      </c>
      <c r="R302" s="4">
        <f>IF(Table1[[#This Row],[Target]]&gt;=Table1[[#This Row],[Last value]],1,0)</f>
        <v>1</v>
      </c>
      <c r="S302" s="4" t="str">
        <f t="shared" si="6"/>
        <v>Green</v>
      </c>
      <c r="T302" s="55">
        <v>0</v>
      </c>
      <c r="U302" s="55">
        <v>3.42</v>
      </c>
      <c r="V302" s="55">
        <v>4.01</v>
      </c>
      <c r="W302" s="55">
        <v>3.81</v>
      </c>
      <c r="X302" s="55">
        <v>3.74</v>
      </c>
      <c r="Y302" s="55">
        <v>5.98</v>
      </c>
      <c r="Z302" s="55">
        <v>6.4</v>
      </c>
      <c r="AA302" s="55">
        <v>6.36</v>
      </c>
      <c r="AB302" s="55">
        <v>1.8</v>
      </c>
      <c r="AC302" s="55">
        <v>2</v>
      </c>
      <c r="AD302" s="55">
        <v>2.09</v>
      </c>
      <c r="AE302" s="55">
        <v>1.74</v>
      </c>
      <c r="AF302" s="55">
        <v>1.5</v>
      </c>
      <c r="AG302" s="55">
        <v>1.8</v>
      </c>
      <c r="AH302" s="55">
        <v>1.74</v>
      </c>
      <c r="AI302" s="55">
        <v>1.83</v>
      </c>
      <c r="AJ302" s="55">
        <v>2.15</v>
      </c>
      <c r="AK302" s="55">
        <v>1.9</v>
      </c>
      <c r="AL302" s="55">
        <v>1.9</v>
      </c>
      <c r="AM302" s="55">
        <v>0</v>
      </c>
      <c r="AN302" s="55">
        <v>3.2</v>
      </c>
      <c r="AO302" s="55">
        <v>3.15</v>
      </c>
      <c r="AP302" s="55">
        <v>2.29</v>
      </c>
      <c r="AQ302" s="55">
        <v>1.98</v>
      </c>
      <c r="AR302" s="8">
        <v>0</v>
      </c>
      <c r="AS302" s="8">
        <v>2.52</v>
      </c>
      <c r="AT302" s="8">
        <v>2.2999999999999998</v>
      </c>
      <c r="AU302" s="50">
        <v>2.42</v>
      </c>
      <c r="AV302" s="50">
        <v>3.65</v>
      </c>
      <c r="AW302" s="50">
        <v>4.01</v>
      </c>
      <c r="AX302" s="50">
        <v>3.63</v>
      </c>
      <c r="AY302" s="50">
        <v>3.49</v>
      </c>
      <c r="AZ302" s="50">
        <v>4.2</v>
      </c>
      <c r="BA302" s="50">
        <v>2.2000000000000002</v>
      </c>
      <c r="BB302" s="50">
        <v>0</v>
      </c>
      <c r="BC302" s="55">
        <v>2.2000000000000002</v>
      </c>
      <c r="BD302" s="55">
        <v>2.2000000000000002</v>
      </c>
      <c r="BE302" s="11">
        <v>2.3010000000000002</v>
      </c>
      <c r="BF302" s="4">
        <v>0</v>
      </c>
      <c r="BG302" s="4">
        <v>0</v>
      </c>
      <c r="BH302" s="4">
        <v>4.6870000000000003</v>
      </c>
      <c r="BI302" s="4">
        <v>2.129</v>
      </c>
      <c r="BJ302" s="13">
        <v>4.8760000000000003</v>
      </c>
      <c r="BK302" s="13">
        <v>3.8889999999999998</v>
      </c>
      <c r="BL302" s="4">
        <v>3.9319999999999999</v>
      </c>
      <c r="BM302" s="16">
        <v>5.298</v>
      </c>
      <c r="BN302" s="4">
        <v>5.8879999999999999</v>
      </c>
      <c r="BO302" s="4">
        <v>4.7910000000000004</v>
      </c>
      <c r="BP302" s="4">
        <v>5.9960000000000004</v>
      </c>
      <c r="BQ302" s="4">
        <v>6.2249999999999996</v>
      </c>
      <c r="BR302" s="4">
        <v>5.1520000000000001</v>
      </c>
      <c r="BS302" s="4">
        <v>6.1340000000000003</v>
      </c>
      <c r="BT302" s="4">
        <v>5.9560000000000004</v>
      </c>
      <c r="BU302" s="4">
        <v>0</v>
      </c>
      <c r="BV302" s="4">
        <v>6.4779999999999998</v>
      </c>
      <c r="BW302" s="4">
        <v>7.3940000000000001</v>
      </c>
      <c r="BX302" s="4">
        <v>2.2999999999999998</v>
      </c>
      <c r="BY302" s="4">
        <v>3.16</v>
      </c>
      <c r="BZ302" s="55">
        <v>2.87</v>
      </c>
      <c r="CA302" s="55">
        <v>4</v>
      </c>
      <c r="CB302" s="55">
        <v>3.35</v>
      </c>
      <c r="CC302" s="55">
        <v>3.7</v>
      </c>
      <c r="CD302" s="55">
        <v>3.2</v>
      </c>
      <c r="CE302" s="19">
        <v>4.3</v>
      </c>
      <c r="CF302" s="19">
        <v>4</v>
      </c>
      <c r="CG302" s="4">
        <v>4.1100000000000003</v>
      </c>
      <c r="CH302" s="4">
        <v>4.03</v>
      </c>
      <c r="CI302" s="4">
        <v>4.07</v>
      </c>
      <c r="CJ302" s="34">
        <v>3.5</v>
      </c>
      <c r="CK302" s="34">
        <v>3.8</v>
      </c>
      <c r="CL302" s="43">
        <v>3</v>
      </c>
      <c r="CM302" s="4">
        <v>4.3</v>
      </c>
      <c r="CN302" s="53">
        <v>0</v>
      </c>
      <c r="CO302" s="54">
        <v>4.7</v>
      </c>
      <c r="CP302" s="54">
        <v>3.36</v>
      </c>
      <c r="CQ302" s="4">
        <v>4</v>
      </c>
    </row>
    <row r="303" spans="1:95" s="55" customFormat="1" x14ac:dyDescent="0.35">
      <c r="A303" s="55">
        <v>302</v>
      </c>
      <c r="B303" s="55" t="s">
        <v>112</v>
      </c>
      <c r="C303" s="27" t="s">
        <v>751</v>
      </c>
      <c r="D303" s="50" t="s">
        <v>88</v>
      </c>
      <c r="E303" s="33" t="s">
        <v>89</v>
      </c>
      <c r="F303" s="4">
        <f>IFERROR(AVERAGEIF(Table1[[#This Row],[2019-Apr]:[2025-July]],"&lt;&gt;0"),0)</f>
        <v>1.8393913043478265</v>
      </c>
      <c r="G303" s="4">
        <f ca="1">IFERROR(AVERAGEIF(OFFSET(Table1[[#This Row],[Status]],0,COUNT(Table1[[#This Row],[2019-May]:[2025-July]]),1,-12),"&lt;&gt;0"),0)</f>
        <v>2.6381818181818177</v>
      </c>
      <c r="H303" s="55">
        <f>IFERROR(SMALL(Table1[[#This Row],[2019-Apr]:[2025-July]],COUNTIF(Table1[[#This Row],[2019-Apr]:[2025-July]],0)+1),0)</f>
        <v>0.92</v>
      </c>
      <c r="I303" s="55">
        <f>IFERROR(MAX(Table1[[#This Row],[2019-Apr]:[2025-July]]),0)</f>
        <v>3.569</v>
      </c>
      <c r="J303" s="4" cm="1">
        <f t="array" ref="J30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0.97499999999999998</v>
      </c>
      <c r="K303" s="4">
        <v>4.5</v>
      </c>
      <c r="L303" s="4">
        <f>IF(Table1[[#This Row],[Standard as per ISO]]&gt;=Table1[[#This Row],[Avg of best 6]],Table1[[#This Row],[Standard as per ISO]],Table1[[#This Row],[Avg of best 6]])</f>
        <v>4.5</v>
      </c>
      <c r="M303" s="4" cm="1">
        <f t="array" ref="M303">IFERROR(LOOKUP(2,1/(Table1[[#This Row],[2019-May]:[2025-July]]&lt;&gt;0),Table1[[#This Row],[2019-May]:[2025-July]]),0)</f>
        <v>2.1</v>
      </c>
      <c r="N303" s="4">
        <f>COUNTIF(Table1[[#This Row],[2019-Apr]:[2025-July]],"&gt;="&amp;Table1[[#This Row],[Target]])</f>
        <v>0</v>
      </c>
      <c r="O303" s="4">
        <f>IF(Table1[[#This Row],[Outliers 2Y]]=0,1,0)</f>
        <v>1</v>
      </c>
      <c r="P303" s="4">
        <f>IF(Table1[[#This Row],[Last value]]&gt;1.5*Table1[[#This Row],[Target]],1,0)</f>
        <v>0</v>
      </c>
      <c r="Q303" s="4">
        <f>IF(AND(1.5*Table1[[#This Row],[Target]]&gt;=Table1[[#This Row],[Last value]],Table1[[#This Row],[Last value]]&gt;Table1[[#This Row],[Target]]),1,0)</f>
        <v>0</v>
      </c>
      <c r="R303" s="4">
        <f>IF(Table1[[#This Row],[Target]]&gt;=Table1[[#This Row],[Last value]],1,0)</f>
        <v>1</v>
      </c>
      <c r="S303" s="4" t="str">
        <f t="shared" si="6"/>
        <v>Green</v>
      </c>
      <c r="T303" s="55">
        <v>0</v>
      </c>
      <c r="U303" s="55">
        <v>1.4</v>
      </c>
      <c r="V303" s="55">
        <v>1.77</v>
      </c>
      <c r="W303" s="55">
        <v>1.64</v>
      </c>
      <c r="X303" s="55">
        <v>0.96</v>
      </c>
      <c r="Y303" s="55">
        <v>0.92</v>
      </c>
      <c r="Z303" s="55">
        <v>1.3</v>
      </c>
      <c r="AA303" s="55">
        <v>1.02</v>
      </c>
      <c r="AB303" s="55">
        <v>1.23</v>
      </c>
      <c r="AC303" s="55">
        <v>2.9</v>
      </c>
      <c r="AD303" s="55">
        <v>1.87</v>
      </c>
      <c r="AE303" s="55">
        <v>0.95</v>
      </c>
      <c r="AF303" s="55">
        <v>1.3</v>
      </c>
      <c r="AG303" s="55">
        <v>1</v>
      </c>
      <c r="AH303" s="55">
        <v>1</v>
      </c>
      <c r="AI303" s="55">
        <v>1.28</v>
      </c>
      <c r="AJ303" s="55">
        <v>1.34</v>
      </c>
      <c r="AK303" s="55">
        <v>1.77</v>
      </c>
      <c r="AL303" s="55">
        <v>1.76</v>
      </c>
      <c r="AM303" s="55">
        <v>0</v>
      </c>
      <c r="AN303" s="55">
        <v>1.8</v>
      </c>
      <c r="AO303" s="55">
        <v>1.87</v>
      </c>
      <c r="AP303" s="55">
        <v>1.5</v>
      </c>
      <c r="AQ303" s="55">
        <v>2.06</v>
      </c>
      <c r="AR303" s="8">
        <v>0</v>
      </c>
      <c r="AS303" s="8">
        <v>2.4</v>
      </c>
      <c r="AT303" s="8">
        <v>2.33</v>
      </c>
      <c r="AU303" s="50">
        <v>1.92</v>
      </c>
      <c r="AV303" s="50">
        <v>1.72</v>
      </c>
      <c r="AW303" s="50">
        <v>1.76</v>
      </c>
      <c r="AX303" s="50">
        <v>1.48</v>
      </c>
      <c r="AY303" s="50">
        <v>1.82</v>
      </c>
      <c r="AZ303" s="50">
        <v>2.9</v>
      </c>
      <c r="BA303" s="50">
        <v>2.1</v>
      </c>
      <c r="BB303" s="50">
        <v>2.1</v>
      </c>
      <c r="BC303" s="55">
        <v>3.4</v>
      </c>
      <c r="BD303" s="55">
        <v>1.6</v>
      </c>
      <c r="BE303" s="11">
        <v>2.0950000000000002</v>
      </c>
      <c r="BF303" s="4">
        <v>0</v>
      </c>
      <c r="BG303" s="4">
        <v>0</v>
      </c>
      <c r="BH303" s="4">
        <v>2.2189999999999999</v>
      </c>
      <c r="BI303" s="4">
        <v>3.569</v>
      </c>
      <c r="BJ303" s="14">
        <v>1.5029999999999999</v>
      </c>
      <c r="BK303" s="14">
        <v>1.5720000000000001</v>
      </c>
      <c r="BL303" s="4">
        <v>1.673</v>
      </c>
      <c r="BM303" s="17">
        <v>2.548</v>
      </c>
      <c r="BN303" s="4">
        <v>1.502</v>
      </c>
      <c r="BO303" s="4">
        <v>1.417</v>
      </c>
      <c r="BP303" s="4">
        <v>1.0920000000000001</v>
      </c>
      <c r="BQ303" s="4">
        <v>1.1040000000000001</v>
      </c>
      <c r="BR303" s="4">
        <v>1.1419999999999999</v>
      </c>
      <c r="BS303" s="4">
        <v>1.093</v>
      </c>
      <c r="BT303" s="4">
        <v>1.0449999999999999</v>
      </c>
      <c r="BU303" s="4">
        <v>0</v>
      </c>
      <c r="BV303" s="4">
        <v>1.2509999999999999</v>
      </c>
      <c r="BW303" s="4">
        <v>1.123</v>
      </c>
      <c r="BX303" s="4">
        <v>1.1000000000000001</v>
      </c>
      <c r="BY303" s="4">
        <v>1.08</v>
      </c>
      <c r="BZ303" s="55">
        <v>1.08</v>
      </c>
      <c r="CA303" s="55">
        <v>1.19</v>
      </c>
      <c r="CB303" s="55">
        <v>1.1100000000000001</v>
      </c>
      <c r="CC303" s="55">
        <v>2.98</v>
      </c>
      <c r="CD303" s="55">
        <v>3.14</v>
      </c>
      <c r="CE303" s="19">
        <v>2.9</v>
      </c>
      <c r="CF303" s="19">
        <v>3.2</v>
      </c>
      <c r="CG303" s="4">
        <v>3.01</v>
      </c>
      <c r="CH303" s="4">
        <v>2.44</v>
      </c>
      <c r="CI303" s="4">
        <v>2.4700000000000002</v>
      </c>
      <c r="CJ303" s="34">
        <v>3</v>
      </c>
      <c r="CK303" s="34">
        <v>2.4</v>
      </c>
      <c r="CL303" s="43">
        <v>2.6</v>
      </c>
      <c r="CM303" s="4">
        <v>0</v>
      </c>
      <c r="CN303" s="53">
        <v>2.2000000000000002</v>
      </c>
      <c r="CO303" s="54">
        <v>2.4</v>
      </c>
      <c r="CP303" s="54">
        <v>2.4</v>
      </c>
      <c r="CQ303" s="4">
        <v>2.1</v>
      </c>
    </row>
    <row r="304" spans="1:95" s="55" customFormat="1" x14ac:dyDescent="0.35">
      <c r="A304" s="55">
        <v>303</v>
      </c>
      <c r="B304" s="55" t="s">
        <v>112</v>
      </c>
      <c r="C304" s="27" t="s">
        <v>752</v>
      </c>
      <c r="D304" s="50" t="s">
        <v>92</v>
      </c>
      <c r="E304" s="33" t="s">
        <v>89</v>
      </c>
      <c r="F304" s="4">
        <f>IFERROR(AVERAGEIF(Table1[[#This Row],[2019-Apr]:[2025-July]],"&lt;&gt;0"),0)</f>
        <v>6.1685384615384615</v>
      </c>
      <c r="G304" s="4">
        <f ca="1">IFERROR(AVERAGEIF(OFFSET(Table1[[#This Row],[Status]],0,COUNT(Table1[[#This Row],[2019-May]:[2025-July]]),1,-12),"&lt;&gt;0"),0)</f>
        <v>3.2166666666666663</v>
      </c>
      <c r="H304" s="55">
        <f>IFERROR(SMALL(Table1[[#This Row],[2019-Apr]:[2025-July]],COUNTIF(Table1[[#This Row],[2019-Apr]:[2025-July]],0)+1),0)</f>
        <v>1.3</v>
      </c>
      <c r="I304" s="55">
        <f>IFERROR(MAX(Table1[[#This Row],[2019-Apr]:[2025-July]]),0)</f>
        <v>46.44</v>
      </c>
      <c r="J304" s="4" cm="1">
        <f t="array" ref="J30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1.7983333333333336</v>
      </c>
      <c r="K304" s="4">
        <v>4.5</v>
      </c>
      <c r="L304" s="4">
        <f>IF(Table1[[#This Row],[Standard as per ISO]]&gt;=Table1[[#This Row],[Avg of best 6]],Table1[[#This Row],[Standard as per ISO]],Table1[[#This Row],[Avg of best 6]])</f>
        <v>4.5</v>
      </c>
      <c r="M304" s="4" cm="1">
        <f t="array" ref="M304">IFERROR(LOOKUP(2,1/(Table1[[#This Row],[2019-May]:[2025-July]]&lt;&gt;0),Table1[[#This Row],[2019-May]:[2025-July]]),0)</f>
        <v>3.1</v>
      </c>
      <c r="N304" s="4">
        <f>COUNTIF(Table1[[#This Row],[2019-Apr]:[2025-July]],"&gt;="&amp;Table1[[#This Row],[Target]])</f>
        <v>17</v>
      </c>
      <c r="O304" s="4">
        <f>IF(Table1[[#This Row],[Outliers 2Y]]=0,1,0)</f>
        <v>0</v>
      </c>
      <c r="P304" s="4">
        <f>IF(Table1[[#This Row],[Last value]]&gt;1.5*Table1[[#This Row],[Target]],1,0)</f>
        <v>0</v>
      </c>
      <c r="Q304" s="4">
        <f>IF(AND(1.5*Table1[[#This Row],[Target]]&gt;=Table1[[#This Row],[Last value]],Table1[[#This Row],[Last value]]&gt;Table1[[#This Row],[Target]]),1,0)</f>
        <v>0</v>
      </c>
      <c r="R304" s="4">
        <f>IF(Table1[[#This Row],[Target]]&gt;=Table1[[#This Row],[Last value]],1,0)</f>
        <v>1</v>
      </c>
      <c r="S304" s="4" t="str">
        <f t="shared" si="6"/>
        <v>Green</v>
      </c>
      <c r="T304" s="55">
        <v>0</v>
      </c>
      <c r="U304" s="55">
        <v>3.87</v>
      </c>
      <c r="V304" s="55">
        <v>4.82</v>
      </c>
      <c r="W304" s="55">
        <v>7.86</v>
      </c>
      <c r="X304" s="55">
        <v>6.39</v>
      </c>
      <c r="Y304" s="55">
        <v>6.56</v>
      </c>
      <c r="Z304" s="55">
        <v>4.4000000000000004</v>
      </c>
      <c r="AA304" s="55">
        <v>5.82</v>
      </c>
      <c r="AB304" s="55">
        <v>3.94</v>
      </c>
      <c r="AC304" s="55">
        <v>4.95</v>
      </c>
      <c r="AD304" s="55">
        <v>4.9800000000000004</v>
      </c>
      <c r="AE304" s="55">
        <v>5.38</v>
      </c>
      <c r="AF304" s="55">
        <v>5</v>
      </c>
      <c r="AG304" s="55">
        <v>4.4000000000000004</v>
      </c>
      <c r="AH304" s="55">
        <v>3.16</v>
      </c>
      <c r="AI304" s="55">
        <v>4.0599999999999996</v>
      </c>
      <c r="AJ304" s="55">
        <v>2.59</v>
      </c>
      <c r="AK304" s="55">
        <v>0</v>
      </c>
      <c r="AL304" s="55">
        <v>3.2</v>
      </c>
      <c r="AM304" s="55">
        <v>3.81</v>
      </c>
      <c r="AN304" s="55">
        <v>0</v>
      </c>
      <c r="AO304" s="55">
        <v>2.38</v>
      </c>
      <c r="AP304" s="55">
        <v>0</v>
      </c>
      <c r="AQ304" s="55">
        <v>2.67</v>
      </c>
      <c r="AR304" s="8">
        <v>0</v>
      </c>
      <c r="AS304" s="9">
        <v>3.3</v>
      </c>
      <c r="AT304" s="9">
        <v>2.37</v>
      </c>
      <c r="AU304" s="50">
        <v>3.41</v>
      </c>
      <c r="AV304" s="50">
        <v>2.5499999999999998</v>
      </c>
      <c r="AW304" s="50">
        <v>3.5</v>
      </c>
      <c r="AX304" s="50">
        <v>4.29</v>
      </c>
      <c r="AY304" s="50">
        <v>1.99</v>
      </c>
      <c r="AZ304" s="50">
        <v>2.67</v>
      </c>
      <c r="BA304" s="50">
        <v>1.7</v>
      </c>
      <c r="BB304" s="50">
        <v>1.3</v>
      </c>
      <c r="BC304" s="55">
        <v>1.7</v>
      </c>
      <c r="BD304" s="55">
        <v>2.1</v>
      </c>
      <c r="BE304" s="11">
        <v>24.96</v>
      </c>
      <c r="BF304" s="4">
        <v>0</v>
      </c>
      <c r="BG304" s="4">
        <v>46.44</v>
      </c>
      <c r="BH304" s="4">
        <v>46.44</v>
      </c>
      <c r="BI304" s="4">
        <v>18.47</v>
      </c>
      <c r="BJ304" s="13">
        <v>25.6</v>
      </c>
      <c r="BK304" s="13">
        <v>3.17</v>
      </c>
      <c r="BL304" s="4">
        <v>36.68</v>
      </c>
      <c r="BM304" s="16">
        <v>3.415</v>
      </c>
      <c r="BN304" s="4">
        <v>2.21</v>
      </c>
      <c r="BO304" s="4">
        <v>2.21</v>
      </c>
      <c r="BP304" s="4">
        <v>2.21</v>
      </c>
      <c r="BQ304" s="4">
        <v>3.4940000000000002</v>
      </c>
      <c r="BR304" s="4">
        <v>2.58</v>
      </c>
      <c r="BS304" s="4">
        <v>3.2559999999999998</v>
      </c>
      <c r="BT304" s="4">
        <v>2.524</v>
      </c>
      <c r="BU304" s="4">
        <v>2.222</v>
      </c>
      <c r="BV304" s="4">
        <v>2.3439999999999999</v>
      </c>
      <c r="BW304" s="4">
        <v>2.6949999999999998</v>
      </c>
      <c r="BX304" s="4">
        <v>2.7320000000000002</v>
      </c>
      <c r="BY304" s="4">
        <v>3.2029999999999998</v>
      </c>
      <c r="BZ304" s="55">
        <v>3.28</v>
      </c>
      <c r="CA304" s="55">
        <v>2.41</v>
      </c>
      <c r="CB304" s="55">
        <v>5.24</v>
      </c>
      <c r="CC304" s="55">
        <v>0</v>
      </c>
      <c r="CD304" s="55">
        <v>0</v>
      </c>
      <c r="CE304" s="19">
        <v>0</v>
      </c>
      <c r="CF304" s="19">
        <v>0</v>
      </c>
      <c r="CG304" s="4">
        <v>2.35</v>
      </c>
      <c r="CH304" s="4">
        <v>0</v>
      </c>
      <c r="CI304" s="4">
        <v>2.6</v>
      </c>
      <c r="CJ304" s="34">
        <v>3.9</v>
      </c>
      <c r="CK304" s="34">
        <v>2.4</v>
      </c>
      <c r="CL304" s="43">
        <v>2</v>
      </c>
      <c r="CM304" s="4">
        <v>2.8</v>
      </c>
      <c r="CN304" s="53">
        <v>3.4</v>
      </c>
      <c r="CO304" s="54">
        <v>3.9</v>
      </c>
      <c r="CP304" s="54">
        <v>5.6</v>
      </c>
      <c r="CQ304" s="4">
        <v>3.1</v>
      </c>
    </row>
    <row r="305" spans="1:95" s="55" customFormat="1" x14ac:dyDescent="0.35">
      <c r="A305" s="55">
        <v>304</v>
      </c>
      <c r="B305" s="55" t="s">
        <v>112</v>
      </c>
      <c r="C305" s="27" t="s">
        <v>753</v>
      </c>
      <c r="D305" s="50" t="s">
        <v>92</v>
      </c>
      <c r="E305" s="33" t="s">
        <v>89</v>
      </c>
      <c r="F305" s="4">
        <f>IFERROR(AVERAGEIF(Table1[[#This Row],[2019-Apr]:[2025-July]],"&lt;&gt;0"),0)</f>
        <v>8.8675156250000011</v>
      </c>
      <c r="G305" s="4">
        <f ca="1">IFERROR(AVERAGEIF(OFFSET(Table1[[#This Row],[Status]],0,COUNT(Table1[[#This Row],[2019-May]:[2025-July]]),1,-12),"&lt;&gt;0"),0)</f>
        <v>4.916666666666667</v>
      </c>
      <c r="H305" s="55">
        <f>IFERROR(SMALL(Table1[[#This Row],[2019-Apr]:[2025-July]],COUNTIF(Table1[[#This Row],[2019-Apr]:[2025-July]],0)+1),0)</f>
        <v>1.7</v>
      </c>
      <c r="I305" s="55">
        <f>IFERROR(MAX(Table1[[#This Row],[2019-Apr]:[2025-July]]),0)</f>
        <v>56.21</v>
      </c>
      <c r="J305" s="4" cm="1">
        <f t="array" ref="J30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2.1421666666666663</v>
      </c>
      <c r="K305" s="4">
        <v>4.5</v>
      </c>
      <c r="L305" s="4">
        <f>IF(Table1[[#This Row],[Standard as per ISO]]&gt;=Table1[[#This Row],[Avg of best 6]],Table1[[#This Row],[Standard as per ISO]],Table1[[#This Row],[Avg of best 6]])</f>
        <v>4.5</v>
      </c>
      <c r="M305" s="4" cm="1">
        <f t="array" ref="M305">IFERROR(LOOKUP(2,1/(Table1[[#This Row],[2019-May]:[2025-July]]&lt;&gt;0),Table1[[#This Row],[2019-May]:[2025-July]]),0)</f>
        <v>3</v>
      </c>
      <c r="N305" s="4">
        <f>COUNTIF(Table1[[#This Row],[2019-Apr]:[2025-July]],"&gt;="&amp;Table1[[#This Row],[Target]])</f>
        <v>39</v>
      </c>
      <c r="O305" s="4">
        <f>IF(Table1[[#This Row],[Outliers 2Y]]=0,1,0)</f>
        <v>0</v>
      </c>
      <c r="P305" s="4">
        <f>IF(Table1[[#This Row],[Last value]]&gt;1.5*Table1[[#This Row],[Target]],1,0)</f>
        <v>0</v>
      </c>
      <c r="Q305" s="4">
        <f>IF(AND(1.5*Table1[[#This Row],[Target]]&gt;=Table1[[#This Row],[Last value]],Table1[[#This Row],[Last value]]&gt;Table1[[#This Row],[Target]]),1,0)</f>
        <v>0</v>
      </c>
      <c r="R305" s="4">
        <f>IF(Table1[[#This Row],[Target]]&gt;=Table1[[#This Row],[Last value]],1,0)</f>
        <v>1</v>
      </c>
      <c r="S305" s="4" t="str">
        <f t="shared" si="6"/>
        <v>Green</v>
      </c>
      <c r="T305" s="55">
        <v>0</v>
      </c>
      <c r="U305" s="55">
        <v>3.58</v>
      </c>
      <c r="V305" s="55">
        <v>6.33</v>
      </c>
      <c r="W305" s="55">
        <v>5.8</v>
      </c>
      <c r="X305" s="55">
        <v>13.3</v>
      </c>
      <c r="Y305" s="55">
        <v>16.899999999999999</v>
      </c>
      <c r="Z305" s="55">
        <v>13.5</v>
      </c>
      <c r="AA305" s="55">
        <v>12.1</v>
      </c>
      <c r="AB305" s="55">
        <v>4.99</v>
      </c>
      <c r="AC305" s="55">
        <v>5.43</v>
      </c>
      <c r="AD305" s="55">
        <v>6.47</v>
      </c>
      <c r="AE305" s="55">
        <v>4.6900000000000004</v>
      </c>
      <c r="AF305" s="55">
        <v>3.3</v>
      </c>
      <c r="AG305" s="55">
        <v>4.5999999999999996</v>
      </c>
      <c r="AH305" s="55">
        <v>4.5999999999999996</v>
      </c>
      <c r="AI305" s="55">
        <v>3.66</v>
      </c>
      <c r="AJ305" s="55">
        <v>4.26</v>
      </c>
      <c r="AK305" s="55">
        <v>0</v>
      </c>
      <c r="AL305" s="55">
        <v>2.8</v>
      </c>
      <c r="AM305" s="55">
        <v>2.11</v>
      </c>
      <c r="AN305" s="55">
        <v>0</v>
      </c>
      <c r="AO305" s="55">
        <v>2.13</v>
      </c>
      <c r="AP305" s="55">
        <v>0</v>
      </c>
      <c r="AQ305" s="55">
        <v>3.16</v>
      </c>
      <c r="AR305" s="8">
        <v>0</v>
      </c>
      <c r="AS305" s="8">
        <v>3.56</v>
      </c>
      <c r="AT305" s="8">
        <v>2.7</v>
      </c>
      <c r="AU305" s="50">
        <v>2.63</v>
      </c>
      <c r="AV305" s="50">
        <v>4.55</v>
      </c>
      <c r="AW305" s="50">
        <v>2.87</v>
      </c>
      <c r="AX305" s="50">
        <v>4.03</v>
      </c>
      <c r="AY305" s="50">
        <v>7.68</v>
      </c>
      <c r="AZ305" s="50">
        <v>7.42</v>
      </c>
      <c r="BA305" s="50">
        <v>1.7</v>
      </c>
      <c r="BB305" s="50">
        <v>6.3</v>
      </c>
      <c r="BC305" s="55">
        <v>10.9</v>
      </c>
      <c r="BD305" s="55">
        <v>13.8</v>
      </c>
      <c r="BE305" s="11">
        <v>41.79</v>
      </c>
      <c r="BF305" s="4">
        <v>0</v>
      </c>
      <c r="BG305" s="4">
        <v>50.3</v>
      </c>
      <c r="BH305" s="4">
        <v>50.3</v>
      </c>
      <c r="BI305" s="4">
        <v>56.21</v>
      </c>
      <c r="BJ305" s="14">
        <v>15.48</v>
      </c>
      <c r="BK305" s="14">
        <v>4.72</v>
      </c>
      <c r="BL305" s="4">
        <v>42.49</v>
      </c>
      <c r="BM305" s="17">
        <v>7.02</v>
      </c>
      <c r="BN305" s="4">
        <v>5.58</v>
      </c>
      <c r="BO305" s="4">
        <v>2.9940000000000002</v>
      </c>
      <c r="BP305" s="4">
        <v>5.4569999999999999</v>
      </c>
      <c r="BQ305" s="4">
        <v>4.9210000000000003</v>
      </c>
      <c r="BR305" s="4">
        <v>5.9089999999999998</v>
      </c>
      <c r="BS305" s="4">
        <v>3.2559999999999998</v>
      </c>
      <c r="BT305" s="4">
        <v>1.7829999999999999</v>
      </c>
      <c r="BU305" s="4">
        <v>0</v>
      </c>
      <c r="BV305" s="4">
        <v>3.0739999999999998</v>
      </c>
      <c r="BW305" s="4">
        <v>4.8479999999999999</v>
      </c>
      <c r="BX305" s="4">
        <v>3.1869999999999998</v>
      </c>
      <c r="BY305" s="4">
        <v>5.6820000000000004</v>
      </c>
      <c r="BZ305" s="55">
        <v>4.38</v>
      </c>
      <c r="CA305" s="55">
        <v>5.6</v>
      </c>
      <c r="CB305" s="55">
        <v>3.44</v>
      </c>
      <c r="CC305" s="55">
        <v>0</v>
      </c>
      <c r="CD305" s="55">
        <v>0</v>
      </c>
      <c r="CE305" s="19">
        <v>0</v>
      </c>
      <c r="CF305" s="19">
        <v>0</v>
      </c>
      <c r="CG305" s="4">
        <v>5.25</v>
      </c>
      <c r="CH305" s="4">
        <v>0</v>
      </c>
      <c r="CI305" s="4">
        <v>2.5</v>
      </c>
      <c r="CJ305" s="34">
        <v>4.5999999999999996</v>
      </c>
      <c r="CK305" s="34">
        <v>6.1</v>
      </c>
      <c r="CL305" s="43">
        <v>6.8</v>
      </c>
      <c r="CM305" s="4">
        <v>3.6</v>
      </c>
      <c r="CN305" s="53">
        <v>4.4000000000000004</v>
      </c>
      <c r="CO305" s="54">
        <v>6.4</v>
      </c>
      <c r="CP305" s="54">
        <v>4.5999999999999996</v>
      </c>
      <c r="CQ305" s="4">
        <v>3</v>
      </c>
    </row>
    <row r="306" spans="1:95" s="55" customFormat="1" x14ac:dyDescent="0.35">
      <c r="A306" s="55">
        <v>305</v>
      </c>
      <c r="B306" s="55" t="s">
        <v>112</v>
      </c>
      <c r="C306" s="27" t="s">
        <v>754</v>
      </c>
      <c r="D306" s="50" t="s">
        <v>92</v>
      </c>
      <c r="E306" s="33" t="s">
        <v>89</v>
      </c>
      <c r="F306" s="4">
        <f>IFERROR(AVERAGEIF(Table1[[#This Row],[2019-Apr]:[2025-July]],"&lt;&gt;0"),0)</f>
        <v>5.6214000000000004</v>
      </c>
      <c r="G306" s="4">
        <f ca="1">IFERROR(AVERAGEIF(OFFSET(Table1[[#This Row],[Status]],0,COUNT(Table1[[#This Row],[2019-May]:[2025-July]]),1,-12),"&lt;&gt;0"),0)</f>
        <v>3.5111111111111111</v>
      </c>
      <c r="H306" s="55">
        <f>IFERROR(SMALL(Table1[[#This Row],[2019-Apr]:[2025-July]],COUNTIF(Table1[[#This Row],[2019-Apr]:[2025-July]],0)+1),0)</f>
        <v>1.25</v>
      </c>
      <c r="I306" s="55">
        <f>IFERROR(MAX(Table1[[#This Row],[2019-Apr]:[2025-July]]),0)</f>
        <v>36.19</v>
      </c>
      <c r="J306" s="4" cm="1">
        <f t="array" ref="J30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1.6166666666666669</v>
      </c>
      <c r="K306" s="4">
        <v>4.5</v>
      </c>
      <c r="L306" s="4">
        <f>IF(Table1[[#This Row],[Standard as per ISO]]&gt;=Table1[[#This Row],[Avg of best 6]],Table1[[#This Row],[Standard as per ISO]],Table1[[#This Row],[Avg of best 6]])</f>
        <v>4.5</v>
      </c>
      <c r="M306" s="4" cm="1">
        <f t="array" ref="M306">IFERROR(LOOKUP(2,1/(Table1[[#This Row],[2019-May]:[2025-July]]&lt;&gt;0),Table1[[#This Row],[2019-May]:[2025-July]]),0)</f>
        <v>2</v>
      </c>
      <c r="N306" s="4">
        <f>COUNTIF(Table1[[#This Row],[2019-Apr]:[2025-July]],"&gt;="&amp;Table1[[#This Row],[Target]])</f>
        <v>14</v>
      </c>
      <c r="O306" s="4">
        <f>IF(Table1[[#This Row],[Outliers 2Y]]=0,1,0)</f>
        <v>0</v>
      </c>
      <c r="P306" s="4">
        <f>IF(Table1[[#This Row],[Last value]]&gt;1.5*Table1[[#This Row],[Target]],1,0)</f>
        <v>0</v>
      </c>
      <c r="Q306" s="4">
        <f>IF(AND(1.5*Table1[[#This Row],[Target]]&gt;=Table1[[#This Row],[Last value]],Table1[[#This Row],[Last value]]&gt;Table1[[#This Row],[Target]]),1,0)</f>
        <v>0</v>
      </c>
      <c r="R306" s="4">
        <f>IF(Table1[[#This Row],[Target]]&gt;=Table1[[#This Row],[Last value]],1,0)</f>
        <v>1</v>
      </c>
      <c r="S306" s="4" t="str">
        <f t="shared" si="6"/>
        <v>Green</v>
      </c>
      <c r="T306" s="55">
        <v>0</v>
      </c>
      <c r="U306" s="55">
        <v>4.3099999999999996</v>
      </c>
      <c r="V306" s="55">
        <v>7.29</v>
      </c>
      <c r="W306" s="55">
        <v>4.97</v>
      </c>
      <c r="X306" s="55">
        <v>4.51</v>
      </c>
      <c r="Y306" s="55">
        <v>10.8</v>
      </c>
      <c r="Z306" s="55">
        <v>11.4</v>
      </c>
      <c r="AA306" s="55">
        <v>12.8</v>
      </c>
      <c r="AB306" s="55">
        <v>3.56</v>
      </c>
      <c r="AC306" s="55">
        <v>2.58</v>
      </c>
      <c r="AD306" s="55">
        <v>3.02</v>
      </c>
      <c r="AE306" s="55">
        <v>3.47</v>
      </c>
      <c r="AF306" s="55">
        <v>3.5</v>
      </c>
      <c r="AG306" s="55">
        <v>3.4</v>
      </c>
      <c r="AH306" s="55">
        <v>3.67</v>
      </c>
      <c r="AI306" s="55">
        <v>3.33</v>
      </c>
      <c r="AJ306" s="55">
        <v>4.4800000000000004</v>
      </c>
      <c r="AK306" s="55">
        <v>0</v>
      </c>
      <c r="AL306" s="55">
        <v>5</v>
      </c>
      <c r="AM306" s="55">
        <v>3.21</v>
      </c>
      <c r="AN306" s="55">
        <v>0</v>
      </c>
      <c r="AO306" s="55">
        <v>1.25</v>
      </c>
      <c r="AP306" s="55">
        <v>0</v>
      </c>
      <c r="AQ306" s="55">
        <v>2.09</v>
      </c>
      <c r="AR306" s="8">
        <v>0</v>
      </c>
      <c r="AS306" s="8">
        <v>2.67</v>
      </c>
      <c r="AT306" s="8">
        <v>2.04</v>
      </c>
      <c r="AU306" s="50">
        <v>2.0299999999999998</v>
      </c>
      <c r="AV306" s="50">
        <v>2.29</v>
      </c>
      <c r="AW306" s="50">
        <v>3</v>
      </c>
      <c r="AX306" s="50">
        <v>2.48</v>
      </c>
      <c r="AY306" s="50">
        <v>1.75</v>
      </c>
      <c r="AZ306" s="50">
        <v>2.41</v>
      </c>
      <c r="BA306" s="50">
        <v>1.6</v>
      </c>
      <c r="BB306" s="50">
        <v>1.6</v>
      </c>
      <c r="BC306" s="55">
        <v>1.9</v>
      </c>
      <c r="BD306" s="55">
        <v>1.6</v>
      </c>
      <c r="BE306" s="11">
        <v>13.82</v>
      </c>
      <c r="BF306" s="4">
        <v>0</v>
      </c>
      <c r="BG306" s="4">
        <v>34.81</v>
      </c>
      <c r="BH306" s="4">
        <v>34.81</v>
      </c>
      <c r="BI306" s="4">
        <v>13.15</v>
      </c>
      <c r="BJ306" s="13">
        <v>24.4</v>
      </c>
      <c r="BK306" s="13">
        <v>2.33</v>
      </c>
      <c r="BL306" s="4">
        <v>36.19</v>
      </c>
      <c r="BM306" s="16">
        <v>2.5830000000000002</v>
      </c>
      <c r="BN306" s="4">
        <v>2.81</v>
      </c>
      <c r="BO306" s="4">
        <v>2.81</v>
      </c>
      <c r="BP306" s="4">
        <v>2.81</v>
      </c>
      <c r="BQ306" s="4">
        <v>2.61</v>
      </c>
      <c r="BR306" s="4">
        <v>2.7709999999999999</v>
      </c>
      <c r="BS306" s="4">
        <v>2.681</v>
      </c>
      <c r="BT306" s="4">
        <v>3.5430000000000001</v>
      </c>
      <c r="BU306" s="4">
        <v>3.07</v>
      </c>
      <c r="BV306" s="4">
        <v>3.1909999999999998</v>
      </c>
      <c r="BW306" s="4">
        <v>2.8149999999999999</v>
      </c>
      <c r="BX306" s="4">
        <v>2.5129999999999999</v>
      </c>
      <c r="BY306" s="4">
        <v>3.6339999999999999</v>
      </c>
      <c r="BZ306" s="55">
        <v>4.07</v>
      </c>
      <c r="CA306" s="55">
        <v>3.2</v>
      </c>
      <c r="CB306" s="55">
        <v>3.16</v>
      </c>
      <c r="CC306" s="55">
        <v>0</v>
      </c>
      <c r="CD306" s="55">
        <v>0</v>
      </c>
      <c r="CE306" s="19">
        <v>0</v>
      </c>
      <c r="CF306" s="19">
        <v>0</v>
      </c>
      <c r="CG306" s="4">
        <v>4.4000000000000004</v>
      </c>
      <c r="CH306" s="4">
        <v>0</v>
      </c>
      <c r="CI306" s="4">
        <v>4.5999999999999996</v>
      </c>
      <c r="CJ306" s="34">
        <v>3.9</v>
      </c>
      <c r="CK306" s="34">
        <v>3.7</v>
      </c>
      <c r="CL306" s="43">
        <v>4.0999999999999996</v>
      </c>
      <c r="CM306" s="4">
        <v>2.9</v>
      </c>
      <c r="CN306" s="53">
        <v>3</v>
      </c>
      <c r="CO306" s="54">
        <v>2.6</v>
      </c>
      <c r="CP306" s="54">
        <v>2.4</v>
      </c>
      <c r="CQ306" s="4">
        <v>2</v>
      </c>
    </row>
    <row r="307" spans="1:95" s="55" customFormat="1" x14ac:dyDescent="0.35">
      <c r="A307" s="55">
        <v>306</v>
      </c>
      <c r="B307" s="55" t="s">
        <v>112</v>
      </c>
      <c r="C307" s="27" t="s">
        <v>755</v>
      </c>
      <c r="D307" s="50" t="s">
        <v>92</v>
      </c>
      <c r="E307" s="33" t="s">
        <v>89</v>
      </c>
      <c r="F307" s="4">
        <f>IFERROR(AVERAGEIF(Table1[[#This Row],[2019-Apr]:[2025-July]],"&lt;&gt;0"),0)</f>
        <v>5.5130634920634929</v>
      </c>
      <c r="G307" s="4">
        <f ca="1">IFERROR(AVERAGEIF(OFFSET(Table1[[#This Row],[Status]],0,COUNT(Table1[[#This Row],[2019-May]:[2025-July]]),1,-12),"&lt;&gt;0"),0)</f>
        <v>3.3533333333333335</v>
      </c>
      <c r="H307" s="55">
        <f>IFERROR(SMALL(Table1[[#This Row],[2019-Apr]:[2025-July]],COUNTIF(Table1[[#This Row],[2019-Apr]:[2025-July]],0)+1),0)</f>
        <v>1.78</v>
      </c>
      <c r="I307" s="55">
        <f>IFERROR(MAX(Table1[[#This Row],[2019-Apr]:[2025-July]]),0)</f>
        <v>47.92</v>
      </c>
      <c r="J307" s="4" cm="1">
        <f t="array" ref="J30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2.0721666666666665</v>
      </c>
      <c r="K307" s="4">
        <v>4.5</v>
      </c>
      <c r="L307" s="4">
        <f>IF(Table1[[#This Row],[Standard as per ISO]]&gt;=Table1[[#This Row],[Avg of best 6]],Table1[[#This Row],[Standard as per ISO]],Table1[[#This Row],[Avg of best 6]])</f>
        <v>4.5</v>
      </c>
      <c r="M307" s="4" cm="1">
        <f t="array" ref="M307">IFERROR(LOOKUP(2,1/(Table1[[#This Row],[2019-May]:[2025-July]]&lt;&gt;0),Table1[[#This Row],[2019-May]:[2025-July]]),0)</f>
        <v>2.8</v>
      </c>
      <c r="N307" s="4">
        <f>COUNTIF(Table1[[#This Row],[2019-Apr]:[2025-July]],"&gt;="&amp;Table1[[#This Row],[Target]])</f>
        <v>13</v>
      </c>
      <c r="O307" s="4">
        <f>IF(Table1[[#This Row],[Outliers 2Y]]=0,1,0)</f>
        <v>0</v>
      </c>
      <c r="P307" s="4">
        <f>IF(Table1[[#This Row],[Last value]]&gt;1.5*Table1[[#This Row],[Target]],1,0)</f>
        <v>0</v>
      </c>
      <c r="Q307" s="4">
        <f>IF(AND(1.5*Table1[[#This Row],[Target]]&gt;=Table1[[#This Row],[Last value]],Table1[[#This Row],[Last value]]&gt;Table1[[#This Row],[Target]]),1,0)</f>
        <v>0</v>
      </c>
      <c r="R307" s="4">
        <f>IF(Table1[[#This Row],[Target]]&gt;=Table1[[#This Row],[Last value]],1,0)</f>
        <v>1</v>
      </c>
      <c r="S307" s="4" t="str">
        <f t="shared" si="6"/>
        <v>Green</v>
      </c>
      <c r="T307" s="55">
        <v>0</v>
      </c>
      <c r="U307" s="55">
        <v>0</v>
      </c>
      <c r="V307" s="55">
        <v>2.76</v>
      </c>
      <c r="W307" s="55">
        <v>2.4500000000000002</v>
      </c>
      <c r="X307" s="55">
        <v>2.64</v>
      </c>
      <c r="Y307" s="55">
        <v>3.06</v>
      </c>
      <c r="Z307" s="55">
        <v>2.46</v>
      </c>
      <c r="AA307" s="55">
        <v>2.1800000000000002</v>
      </c>
      <c r="AB307" s="55">
        <v>3.73</v>
      </c>
      <c r="AC307" s="55">
        <v>6.5</v>
      </c>
      <c r="AD307" s="55">
        <v>3.26</v>
      </c>
      <c r="AE307" s="55">
        <v>2.97</v>
      </c>
      <c r="AF307" s="55">
        <v>3.2</v>
      </c>
      <c r="AG307" s="55">
        <v>2.7</v>
      </c>
      <c r="AH307" s="55">
        <v>2.63</v>
      </c>
      <c r="AI307" s="55">
        <v>2.65</v>
      </c>
      <c r="AJ307" s="55">
        <v>4.53</v>
      </c>
      <c r="AK307" s="55">
        <v>0</v>
      </c>
      <c r="AL307" s="55">
        <v>4.4000000000000004</v>
      </c>
      <c r="AM307" s="55">
        <v>4.97</v>
      </c>
      <c r="AN307" s="55">
        <v>0</v>
      </c>
      <c r="AO307" s="55">
        <v>2.36</v>
      </c>
      <c r="AP307" s="55">
        <v>0</v>
      </c>
      <c r="AQ307" s="55">
        <v>4.8600000000000003</v>
      </c>
      <c r="AR307" s="8">
        <v>0</v>
      </c>
      <c r="AS307" s="9">
        <v>2.94</v>
      </c>
      <c r="AT307" s="9">
        <v>3.9</v>
      </c>
      <c r="AU307" s="50">
        <v>2.2000000000000002</v>
      </c>
      <c r="AV307" s="50">
        <v>4.07</v>
      </c>
      <c r="AW307" s="50">
        <v>4.2</v>
      </c>
      <c r="AX307" s="50">
        <v>2.96</v>
      </c>
      <c r="AY307" s="50">
        <v>3.96</v>
      </c>
      <c r="AZ307" s="50">
        <v>4</v>
      </c>
      <c r="BA307" s="50">
        <v>2.8</v>
      </c>
      <c r="BB307" s="50">
        <v>3.8</v>
      </c>
      <c r="BC307" s="55">
        <v>2.2000000000000002</v>
      </c>
      <c r="BD307" s="55">
        <v>3</v>
      </c>
      <c r="BE307" s="11">
        <v>3.891</v>
      </c>
      <c r="BF307" s="4">
        <v>0</v>
      </c>
      <c r="BG307" s="4">
        <v>30.77</v>
      </c>
      <c r="BH307" s="4">
        <v>30.77</v>
      </c>
      <c r="BI307" s="4">
        <v>7.2590000000000003</v>
      </c>
      <c r="BJ307" s="14">
        <v>47.92</v>
      </c>
      <c r="BK307" s="14">
        <v>2.29</v>
      </c>
      <c r="BL307" s="4">
        <v>40.24</v>
      </c>
      <c r="BM307" s="17">
        <v>2.7050000000000001</v>
      </c>
      <c r="BN307" s="4">
        <v>2.1829999999999998</v>
      </c>
      <c r="BO307" s="4">
        <v>1.99</v>
      </c>
      <c r="BP307" s="4">
        <v>6.9690000000000003</v>
      </c>
      <c r="BQ307" s="4">
        <v>2.5619999999999998</v>
      </c>
      <c r="BR307" s="4">
        <v>3.0619999999999998</v>
      </c>
      <c r="BS307" s="4">
        <v>4.5999999999999996</v>
      </c>
      <c r="BT307" s="4">
        <v>3.4209999999999998</v>
      </c>
      <c r="BU307" s="4">
        <v>0</v>
      </c>
      <c r="BV307" s="4">
        <v>2.528</v>
      </c>
      <c r="BW307" s="4">
        <v>2.6120000000000001</v>
      </c>
      <c r="BX307" s="4">
        <v>3.0339999999999998</v>
      </c>
      <c r="BY307" s="4">
        <v>2.887</v>
      </c>
      <c r="BZ307" s="55">
        <v>1.78</v>
      </c>
      <c r="CA307" s="55">
        <v>2.71</v>
      </c>
      <c r="CB307" s="55">
        <v>3.82</v>
      </c>
      <c r="CC307" s="55">
        <v>0</v>
      </c>
      <c r="CD307" s="55">
        <v>0</v>
      </c>
      <c r="CE307" s="19">
        <v>0</v>
      </c>
      <c r="CF307" s="19">
        <v>0</v>
      </c>
      <c r="CG307" s="4">
        <v>4.75</v>
      </c>
      <c r="CH307" s="4">
        <v>0</v>
      </c>
      <c r="CI307" s="4">
        <v>3.33</v>
      </c>
      <c r="CJ307" s="34">
        <v>2.2000000000000002</v>
      </c>
      <c r="CK307" s="34">
        <v>2.5</v>
      </c>
      <c r="CL307" s="43">
        <v>2.1</v>
      </c>
      <c r="CM307" s="4">
        <v>2.6</v>
      </c>
      <c r="CN307" s="53">
        <v>3.3</v>
      </c>
      <c r="CO307" s="54">
        <v>3.9</v>
      </c>
      <c r="CP307" s="54">
        <v>5.5</v>
      </c>
      <c r="CQ307" s="4">
        <v>2.8</v>
      </c>
    </row>
    <row r="308" spans="1:95" s="55" customFormat="1" x14ac:dyDescent="0.35">
      <c r="A308" s="55">
        <v>307</v>
      </c>
      <c r="B308" s="55" t="s">
        <v>112</v>
      </c>
      <c r="C308" s="27" t="s">
        <v>756</v>
      </c>
      <c r="D308" s="50" t="s">
        <v>113</v>
      </c>
      <c r="E308" s="33" t="s">
        <v>90</v>
      </c>
      <c r="F308" s="4">
        <f>IFERROR(AVERAGEIF(Table1[[#This Row],[2019-Apr]:[2025-July]],"&lt;&gt;0"),0)</f>
        <v>1.4228243243243235</v>
      </c>
      <c r="G308" s="4">
        <f ca="1">IFERROR(AVERAGEIF(OFFSET(Table1[[#This Row],[Status]],0,COUNT(Table1[[#This Row],[2019-May]:[2025-July]]),1,-12),"&lt;&gt;0"),0)</f>
        <v>1.3625</v>
      </c>
      <c r="H308" s="55">
        <f>IFERROR(SMALL(Table1[[#This Row],[2019-Apr]:[2025-July]],COUNTIF(Table1[[#This Row],[2019-Apr]:[2025-July]],0)+1),0)</f>
        <v>0.65900000000000003</v>
      </c>
      <c r="I308" s="55">
        <f>IFERROR(MAX(Table1[[#This Row],[2019-Apr]:[2025-July]]),0)</f>
        <v>2.0099999999999998</v>
      </c>
      <c r="J308" s="4" cm="1">
        <f t="array" ref="J30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0.87750000000000006</v>
      </c>
      <c r="K308" s="4">
        <v>4.5</v>
      </c>
      <c r="L308" s="4">
        <f>IF(Table1[[#This Row],[Standard as per ISO]]&gt;=Table1[[#This Row],[Avg of best 6]],Table1[[#This Row],[Standard as per ISO]],Table1[[#This Row],[Avg of best 6]])</f>
        <v>4.5</v>
      </c>
      <c r="M308" s="4" cm="1">
        <f t="array" ref="M308">IFERROR(LOOKUP(2,1/(Table1[[#This Row],[2019-May]:[2025-July]]&lt;&gt;0),Table1[[#This Row],[2019-May]:[2025-July]]),0)</f>
        <v>1.3</v>
      </c>
      <c r="N308" s="4">
        <f>COUNTIF(Table1[[#This Row],[2019-Apr]:[2025-July]],"&gt;="&amp;Table1[[#This Row],[Target]])</f>
        <v>0</v>
      </c>
      <c r="O308" s="4">
        <f>IF(Table1[[#This Row],[Outliers 2Y]]=0,1,0)</f>
        <v>1</v>
      </c>
      <c r="P308" s="4">
        <f>IF(Table1[[#This Row],[Last value]]&gt;1.5*Table1[[#This Row],[Target]],1,0)</f>
        <v>0</v>
      </c>
      <c r="Q308" s="4">
        <f>IF(AND(1.5*Table1[[#This Row],[Target]]&gt;=Table1[[#This Row],[Last value]],Table1[[#This Row],[Last value]]&gt;Table1[[#This Row],[Target]]),1,0)</f>
        <v>0</v>
      </c>
      <c r="R308" s="4">
        <f>IF(Table1[[#This Row],[Target]]&gt;=Table1[[#This Row],[Last value]],1,0)</f>
        <v>1</v>
      </c>
      <c r="S308" s="4" t="str">
        <f t="shared" si="6"/>
        <v>Green</v>
      </c>
      <c r="T308" s="55">
        <v>0</v>
      </c>
      <c r="U308" s="55">
        <v>1.4</v>
      </c>
      <c r="V308" s="55">
        <v>1.7</v>
      </c>
      <c r="W308" s="55">
        <v>1.59</v>
      </c>
      <c r="X308" s="55">
        <v>1.87</v>
      </c>
      <c r="Y308" s="55">
        <v>1.25</v>
      </c>
      <c r="Z308" s="55">
        <v>1.31</v>
      </c>
      <c r="AA308" s="55">
        <v>1.33</v>
      </c>
      <c r="AB308" s="55">
        <v>1.2</v>
      </c>
      <c r="AC308" s="55">
        <v>1.42</v>
      </c>
      <c r="AD308" s="55">
        <v>1.1200000000000001</v>
      </c>
      <c r="AE308" s="55">
        <v>1</v>
      </c>
      <c r="AF308" s="55">
        <v>1.2</v>
      </c>
      <c r="AG308" s="55">
        <v>0.8</v>
      </c>
      <c r="AH308" s="55">
        <v>1.33</v>
      </c>
      <c r="AI308" s="55">
        <v>1.52</v>
      </c>
      <c r="AJ308" s="55">
        <v>1.55</v>
      </c>
      <c r="AK308" s="55">
        <v>2.0099999999999998</v>
      </c>
      <c r="AL308" s="55">
        <v>1.89</v>
      </c>
      <c r="AM308" s="55">
        <v>1.68</v>
      </c>
      <c r="AN308" s="55">
        <v>1.5</v>
      </c>
      <c r="AO308" s="55">
        <v>1.29</v>
      </c>
      <c r="AP308" s="55">
        <v>1.53</v>
      </c>
      <c r="AQ308" s="55">
        <v>1.65</v>
      </c>
      <c r="AR308" s="8">
        <v>1.44</v>
      </c>
      <c r="AS308" s="8">
        <v>1.48</v>
      </c>
      <c r="AT308" s="8">
        <v>1.71</v>
      </c>
      <c r="AU308" s="50">
        <v>1.52</v>
      </c>
      <c r="AV308" s="50">
        <v>1.31</v>
      </c>
      <c r="AW308" s="50">
        <v>1.78</v>
      </c>
      <c r="AX308" s="50">
        <v>1.69</v>
      </c>
      <c r="AY308" s="50">
        <v>1.27</v>
      </c>
      <c r="AZ308" s="50">
        <v>1.35</v>
      </c>
      <c r="BA308" s="50">
        <v>1.95</v>
      </c>
      <c r="BB308" s="50">
        <v>1.4</v>
      </c>
      <c r="BC308" s="55">
        <v>1.3</v>
      </c>
      <c r="BD308" s="55">
        <v>1.3</v>
      </c>
      <c r="BE308" s="11">
        <v>1.1950000000000001</v>
      </c>
      <c r="BF308" s="4">
        <v>0</v>
      </c>
      <c r="BG308" s="4">
        <v>1.006</v>
      </c>
      <c r="BH308" s="4">
        <v>1.3360000000000001</v>
      </c>
      <c r="BI308" s="4">
        <v>1.9490000000000001</v>
      </c>
      <c r="BJ308" s="13">
        <v>0.65900000000000003</v>
      </c>
      <c r="BK308" s="13">
        <v>1.4650000000000001</v>
      </c>
      <c r="BL308" s="4">
        <v>1.87</v>
      </c>
      <c r="BM308" s="16">
        <v>1.4319999999999999</v>
      </c>
      <c r="BN308" s="4">
        <v>1.097</v>
      </c>
      <c r="BO308" s="4">
        <v>1.59</v>
      </c>
      <c r="BP308" s="4">
        <v>1.329</v>
      </c>
      <c r="BQ308" s="4">
        <v>1.4339999999999999</v>
      </c>
      <c r="BR308" s="4">
        <v>1.4910000000000001</v>
      </c>
      <c r="BS308" s="4">
        <v>1.63</v>
      </c>
      <c r="BT308" s="4">
        <v>1.391</v>
      </c>
      <c r="BU308" s="4">
        <v>1.6850000000000001</v>
      </c>
      <c r="BV308" s="4">
        <v>1.581</v>
      </c>
      <c r="BW308" s="4">
        <v>1.198</v>
      </c>
      <c r="BX308" s="4">
        <v>1.113</v>
      </c>
      <c r="BY308" s="4">
        <v>1.1879999999999999</v>
      </c>
      <c r="BZ308" s="55">
        <v>1.35</v>
      </c>
      <c r="CA308" s="55">
        <v>1.36</v>
      </c>
      <c r="CB308" s="55">
        <v>1.8</v>
      </c>
      <c r="CC308" s="55">
        <v>1.44</v>
      </c>
      <c r="CD308" s="55">
        <v>1.41</v>
      </c>
      <c r="CE308" s="19">
        <v>1</v>
      </c>
      <c r="CF308" s="19">
        <v>0.8</v>
      </c>
      <c r="CG308" s="4">
        <v>1.19</v>
      </c>
      <c r="CH308" s="4">
        <v>1.8</v>
      </c>
      <c r="CI308" s="4">
        <v>1.27</v>
      </c>
      <c r="CJ308" s="34">
        <v>1.1000000000000001</v>
      </c>
      <c r="CK308" s="34">
        <v>1.3</v>
      </c>
      <c r="CL308" s="43">
        <v>1.6</v>
      </c>
      <c r="CM308" s="4">
        <v>1.4</v>
      </c>
      <c r="CN308" s="53">
        <v>1.73</v>
      </c>
      <c r="CO308" s="54">
        <v>1.52</v>
      </c>
      <c r="CP308" s="54">
        <v>1.64</v>
      </c>
      <c r="CQ308" s="4">
        <v>1.3</v>
      </c>
    </row>
    <row r="309" spans="1:95" s="55" customFormat="1" x14ac:dyDescent="0.35">
      <c r="A309" s="55">
        <v>308</v>
      </c>
      <c r="B309" s="55" t="s">
        <v>112</v>
      </c>
      <c r="C309" s="27" t="s">
        <v>757</v>
      </c>
      <c r="D309" s="50" t="s">
        <v>114</v>
      </c>
      <c r="E309" s="33" t="s">
        <v>90</v>
      </c>
      <c r="F309" s="4">
        <f>IFERROR(AVERAGEIF(Table1[[#This Row],[2019-Apr]:[2025-July]],"&lt;&gt;0"),0)</f>
        <v>1.9372739726027393</v>
      </c>
      <c r="G309" s="4">
        <f ca="1">IFERROR(AVERAGEIF(OFFSET(Table1[[#This Row],[Status]],0,COUNT(Table1[[#This Row],[2019-May]:[2025-July]]),1,-12),"&lt;&gt;0"),0)</f>
        <v>1.9908333333333335</v>
      </c>
      <c r="H309" s="55">
        <f>IFERROR(SMALL(Table1[[#This Row],[2019-Apr]:[2025-July]],COUNTIF(Table1[[#This Row],[2019-Apr]:[2025-July]],0)+1),0)</f>
        <v>0.91</v>
      </c>
      <c r="I309" s="55">
        <f>IFERROR(MAX(Table1[[#This Row],[2019-Apr]:[2025-July]]),0)</f>
        <v>3.8</v>
      </c>
      <c r="J309" s="4" cm="1">
        <f t="array" ref="J30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1.075</v>
      </c>
      <c r="K309" s="4">
        <v>4.5</v>
      </c>
      <c r="L309" s="4">
        <f>IF(Table1[[#This Row],[Standard as per ISO]]&gt;=Table1[[#This Row],[Avg of best 6]],Table1[[#This Row],[Standard as per ISO]],Table1[[#This Row],[Avg of best 6]])</f>
        <v>4.5</v>
      </c>
      <c r="M309" s="4" cm="1">
        <f t="array" ref="M309">IFERROR(LOOKUP(2,1/(Table1[[#This Row],[2019-May]:[2025-July]]&lt;&gt;0),Table1[[#This Row],[2019-May]:[2025-July]]),0)</f>
        <v>2.7</v>
      </c>
      <c r="N309" s="4">
        <f>COUNTIF(Table1[[#This Row],[2019-Apr]:[2025-July]],"&gt;="&amp;Table1[[#This Row],[Target]])</f>
        <v>0</v>
      </c>
      <c r="O309" s="4">
        <f>IF(Table1[[#This Row],[Outliers 2Y]]=0,1,0)</f>
        <v>1</v>
      </c>
      <c r="P309" s="4">
        <f>IF(Table1[[#This Row],[Last value]]&gt;1.5*Table1[[#This Row],[Target]],1,0)</f>
        <v>0</v>
      </c>
      <c r="Q309" s="4">
        <f>IF(AND(1.5*Table1[[#This Row],[Target]]&gt;=Table1[[#This Row],[Last value]],Table1[[#This Row],[Last value]]&gt;Table1[[#This Row],[Target]]),1,0)</f>
        <v>0</v>
      </c>
      <c r="R309" s="4">
        <f>IF(Table1[[#This Row],[Target]]&gt;=Table1[[#This Row],[Last value]],1,0)</f>
        <v>1</v>
      </c>
      <c r="S309" s="4" t="str">
        <f t="shared" si="6"/>
        <v>Green</v>
      </c>
      <c r="T309" s="55">
        <v>0</v>
      </c>
      <c r="U309" s="55">
        <v>2.6</v>
      </c>
      <c r="V309" s="55">
        <v>2.38</v>
      </c>
      <c r="W309" s="55">
        <v>3.74</v>
      </c>
      <c r="X309" s="55">
        <v>3.8</v>
      </c>
      <c r="Y309" s="55">
        <v>3.12</v>
      </c>
      <c r="Z309" s="55">
        <v>2.76</v>
      </c>
      <c r="AA309" s="55">
        <v>1.38</v>
      </c>
      <c r="AB309" s="55">
        <v>3.24</v>
      </c>
      <c r="AC309" s="55">
        <v>1.85</v>
      </c>
      <c r="AD309" s="55">
        <v>2.5</v>
      </c>
      <c r="AE309" s="55">
        <v>1.1000000000000001</v>
      </c>
      <c r="AF309" s="55">
        <v>1.1000000000000001</v>
      </c>
      <c r="AG309" s="55">
        <v>1.9</v>
      </c>
      <c r="AH309" s="55">
        <v>2.2000000000000002</v>
      </c>
      <c r="AI309" s="55">
        <v>1.72</v>
      </c>
      <c r="AJ309" s="55">
        <v>1.49</v>
      </c>
      <c r="AK309" s="55">
        <v>1.63</v>
      </c>
      <c r="AL309" s="55">
        <v>1.77</v>
      </c>
      <c r="AM309" s="55">
        <v>2.35</v>
      </c>
      <c r="AN309" s="55">
        <v>3.3</v>
      </c>
      <c r="AO309" s="55">
        <v>1.34</v>
      </c>
      <c r="AP309" s="55">
        <v>1.55</v>
      </c>
      <c r="AQ309" s="55">
        <v>1.68</v>
      </c>
      <c r="AR309" s="8">
        <v>0.91</v>
      </c>
      <c r="AS309" s="8">
        <v>1.29</v>
      </c>
      <c r="AT309" s="8">
        <v>1.49</v>
      </c>
      <c r="AU309" s="50">
        <v>1.39</v>
      </c>
      <c r="AV309" s="50">
        <v>1.31</v>
      </c>
      <c r="AW309" s="50">
        <v>1.66</v>
      </c>
      <c r="AX309" s="50">
        <v>1.05</v>
      </c>
      <c r="AY309" s="50">
        <v>1.41</v>
      </c>
      <c r="AZ309" s="50">
        <v>3.05</v>
      </c>
      <c r="BA309" s="50">
        <v>1.43</v>
      </c>
      <c r="BB309" s="50">
        <v>2.1</v>
      </c>
      <c r="BC309" s="55">
        <v>2.1</v>
      </c>
      <c r="BD309" s="55">
        <v>0</v>
      </c>
      <c r="BE309" s="11">
        <v>2.2999999999999998</v>
      </c>
      <c r="BF309" s="4">
        <v>0</v>
      </c>
      <c r="BG309" s="4">
        <v>1.758</v>
      </c>
      <c r="BH309" s="4">
        <v>1.357</v>
      </c>
      <c r="BI309" s="4">
        <v>1.8779999999999999</v>
      </c>
      <c r="BJ309" s="14">
        <v>1.6379999999999999</v>
      </c>
      <c r="BK309" s="14">
        <v>1.913</v>
      </c>
      <c r="BL309" s="4">
        <v>2.94</v>
      </c>
      <c r="BM309" s="17">
        <v>2.08</v>
      </c>
      <c r="BN309" s="4">
        <v>1.7010000000000001</v>
      </c>
      <c r="BO309" s="4">
        <v>1.5189999999999999</v>
      </c>
      <c r="BP309" s="4">
        <v>1.393</v>
      </c>
      <c r="BQ309" s="4">
        <v>1.7430000000000001</v>
      </c>
      <c r="BR309" s="4">
        <v>1.865</v>
      </c>
      <c r="BS309" s="4">
        <v>1.3580000000000001</v>
      </c>
      <c r="BT309" s="4">
        <v>1.349</v>
      </c>
      <c r="BU309" s="4">
        <v>1.37</v>
      </c>
      <c r="BV309" s="4">
        <v>1.59</v>
      </c>
      <c r="BW309" s="4">
        <v>1.917</v>
      </c>
      <c r="BX309" s="4">
        <v>2.3479999999999999</v>
      </c>
      <c r="BY309" s="4">
        <v>1.954</v>
      </c>
      <c r="BZ309" s="55">
        <v>2.19</v>
      </c>
      <c r="CA309" s="55">
        <v>1.63</v>
      </c>
      <c r="CB309" s="55">
        <v>1.37</v>
      </c>
      <c r="CC309" s="55">
        <v>2.3199999999999998</v>
      </c>
      <c r="CD309" s="55">
        <v>1.66</v>
      </c>
      <c r="CE309" s="19">
        <v>1</v>
      </c>
      <c r="CF309" s="19">
        <v>1.3</v>
      </c>
      <c r="CG309" s="4">
        <v>1.33</v>
      </c>
      <c r="CH309" s="4">
        <v>1.72</v>
      </c>
      <c r="CI309" s="4">
        <v>1.9</v>
      </c>
      <c r="CJ309" s="34">
        <v>2.5</v>
      </c>
      <c r="CK309" s="34">
        <v>1.3</v>
      </c>
      <c r="CL309" s="43">
        <v>1.9</v>
      </c>
      <c r="CM309" s="4">
        <v>3</v>
      </c>
      <c r="CN309" s="53">
        <v>2.71</v>
      </c>
      <c r="CO309" s="54">
        <v>2.34</v>
      </c>
      <c r="CP309" s="54">
        <v>2.89</v>
      </c>
      <c r="CQ309" s="4">
        <v>2.7</v>
      </c>
    </row>
    <row r="310" spans="1:95" s="55" customFormat="1" x14ac:dyDescent="0.35">
      <c r="A310" s="55">
        <v>309</v>
      </c>
      <c r="B310" s="55" t="s">
        <v>112</v>
      </c>
      <c r="C310" s="27" t="s">
        <v>758</v>
      </c>
      <c r="D310" s="50" t="s">
        <v>115</v>
      </c>
      <c r="E310" s="33" t="s">
        <v>89</v>
      </c>
      <c r="F310" s="4">
        <f>IFERROR(AVERAGEIF(Table1[[#This Row],[2019-Apr]:[2025-July]],"&lt;&gt;0"),0)</f>
        <v>0.7341369863013697</v>
      </c>
      <c r="G310" s="4">
        <f ca="1">IFERROR(AVERAGEIF(OFFSET(Table1[[#This Row],[Status]],0,COUNT(Table1[[#This Row],[2019-May]:[2025-July]]),1,-12),"&lt;&gt;0"),0)</f>
        <v>0.71272727272727265</v>
      </c>
      <c r="H310" s="55">
        <f>IFERROR(SMALL(Table1[[#This Row],[2019-Apr]:[2025-July]],COUNTIF(Table1[[#This Row],[2019-Apr]:[2025-July]],0)+1),0)</f>
        <v>0.37</v>
      </c>
      <c r="I310" s="55">
        <f>IFERROR(MAX(Table1[[#This Row],[2019-Apr]:[2025-July]]),0)</f>
        <v>2</v>
      </c>
      <c r="J310" s="4" cm="1">
        <f t="array" ref="J31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0.42499999999999999</v>
      </c>
      <c r="K310" s="4">
        <v>4.5</v>
      </c>
      <c r="L310" s="4">
        <f>IF(Table1[[#This Row],[Standard as per ISO]]&gt;=Table1[[#This Row],[Avg of best 6]],Table1[[#This Row],[Standard as per ISO]],Table1[[#This Row],[Avg of best 6]])</f>
        <v>4.5</v>
      </c>
      <c r="M310" s="4" cm="1">
        <f t="array" ref="M310">IFERROR(LOOKUP(2,1/(Table1[[#This Row],[2019-May]:[2025-July]]&lt;&gt;0),Table1[[#This Row],[2019-May]:[2025-July]]),0)</f>
        <v>0.6</v>
      </c>
      <c r="N310" s="4">
        <f>COUNTIF(Table1[[#This Row],[2019-Apr]:[2025-July]],"&gt;="&amp;Table1[[#This Row],[Target]])</f>
        <v>0</v>
      </c>
      <c r="O310" s="4">
        <f>IF(Table1[[#This Row],[Outliers 2Y]]=0,1,0)</f>
        <v>1</v>
      </c>
      <c r="P310" s="4">
        <f>IF(Table1[[#This Row],[Last value]]&gt;1.5*Table1[[#This Row],[Target]],1,0)</f>
        <v>0</v>
      </c>
      <c r="Q310" s="4">
        <f>IF(AND(1.5*Table1[[#This Row],[Target]]&gt;=Table1[[#This Row],[Last value]],Table1[[#This Row],[Last value]]&gt;Table1[[#This Row],[Target]]),1,0)</f>
        <v>0</v>
      </c>
      <c r="R310" s="4">
        <f>IF(Table1[[#This Row],[Target]]&gt;=Table1[[#This Row],[Last value]],1,0)</f>
        <v>1</v>
      </c>
      <c r="S310" s="4" t="str">
        <f t="shared" ref="S310:S374" si="7">IF(P310=1, "Red", IF(Q310=1, "Yellow", "Green"))</f>
        <v>Green</v>
      </c>
      <c r="T310" s="55">
        <v>0</v>
      </c>
      <c r="U310" s="55">
        <v>1.07</v>
      </c>
      <c r="V310" s="55">
        <v>0.55000000000000004</v>
      </c>
      <c r="W310" s="55">
        <v>0.56000000000000005</v>
      </c>
      <c r="X310" s="55">
        <v>0.56999999999999995</v>
      </c>
      <c r="Y310" s="55">
        <v>0.55000000000000004</v>
      </c>
      <c r="Z310" s="55">
        <v>0.44</v>
      </c>
      <c r="AA310" s="55">
        <v>0.47</v>
      </c>
      <c r="AB310" s="55">
        <v>0.7</v>
      </c>
      <c r="AC310" s="55">
        <v>0.74</v>
      </c>
      <c r="AD310" s="55">
        <v>1.38</v>
      </c>
      <c r="AE310" s="55">
        <v>2</v>
      </c>
      <c r="AF310" s="55">
        <v>0.5</v>
      </c>
      <c r="AG310" s="55">
        <v>0.4</v>
      </c>
      <c r="AH310" s="55">
        <v>0.55000000000000004</v>
      </c>
      <c r="AI310" s="55">
        <v>0.75</v>
      </c>
      <c r="AJ310" s="55">
        <v>0.68</v>
      </c>
      <c r="AK310" s="55">
        <v>0.65</v>
      </c>
      <c r="AL310" s="55">
        <v>0.84</v>
      </c>
      <c r="AM310" s="55">
        <v>0.6</v>
      </c>
      <c r="AN310" s="55">
        <v>0.79</v>
      </c>
      <c r="AO310" s="55">
        <v>0.78</v>
      </c>
      <c r="AP310" s="55">
        <v>0.57999999999999996</v>
      </c>
      <c r="AQ310" s="55">
        <v>0.51</v>
      </c>
      <c r="AR310" s="8">
        <v>1.33</v>
      </c>
      <c r="AS310" s="8">
        <v>0.69</v>
      </c>
      <c r="AT310" s="8">
        <v>0.62</v>
      </c>
      <c r="AU310" s="50">
        <v>0.64</v>
      </c>
      <c r="AV310" s="50">
        <v>0.49</v>
      </c>
      <c r="AW310" s="50">
        <v>0.56000000000000005</v>
      </c>
      <c r="AX310" s="50">
        <v>0.69</v>
      </c>
      <c r="AY310" s="50">
        <v>0.57999999999999996</v>
      </c>
      <c r="AZ310" s="50">
        <v>0.68</v>
      </c>
      <c r="BA310" s="50">
        <v>1.41</v>
      </c>
      <c r="BB310" s="50">
        <v>0.8</v>
      </c>
      <c r="BC310" s="55">
        <v>0.8</v>
      </c>
      <c r="BD310" s="55">
        <v>0.9</v>
      </c>
      <c r="BE310" s="11">
        <v>0.37</v>
      </c>
      <c r="BF310" s="4">
        <v>0</v>
      </c>
      <c r="BG310" s="4">
        <v>0.86199999999999999</v>
      </c>
      <c r="BH310" s="4">
        <v>0.82299999999999995</v>
      </c>
      <c r="BI310" s="4">
        <v>0.82299999999999995</v>
      </c>
      <c r="BJ310" s="13">
        <v>1.05</v>
      </c>
      <c r="BK310" s="13">
        <v>0.66300000000000003</v>
      </c>
      <c r="BL310" s="4">
        <v>0.86099999999999999</v>
      </c>
      <c r="BM310" s="16">
        <v>0.59099999999999997</v>
      </c>
      <c r="BN310" s="4">
        <v>0.60799999999999998</v>
      </c>
      <c r="BO310" s="4">
        <v>0.77700000000000002</v>
      </c>
      <c r="BP310" s="4">
        <v>0.94499999999999995</v>
      </c>
      <c r="BQ310" s="4">
        <v>0.47</v>
      </c>
      <c r="BR310" s="4">
        <v>0.57299999999999995</v>
      </c>
      <c r="BS310" s="4">
        <v>0.64800000000000002</v>
      </c>
      <c r="BT310" s="4">
        <v>0.76800000000000002</v>
      </c>
      <c r="BU310" s="4">
        <v>0.59899999999999998</v>
      </c>
      <c r="BV310" s="4">
        <v>0.73199999999999998</v>
      </c>
      <c r="BW310" s="4">
        <v>0.49299999999999999</v>
      </c>
      <c r="BX310" s="4">
        <v>0.69</v>
      </c>
      <c r="BY310" s="4">
        <v>0.66600000000000004</v>
      </c>
      <c r="BZ310" s="55">
        <v>0.88</v>
      </c>
      <c r="CA310" s="55">
        <v>0.85</v>
      </c>
      <c r="CB310" s="55">
        <v>1.1200000000000001</v>
      </c>
      <c r="CC310" s="55">
        <v>0.73</v>
      </c>
      <c r="CD310" s="55">
        <v>0.71</v>
      </c>
      <c r="CE310" s="19">
        <v>0.6</v>
      </c>
      <c r="CF310" s="19">
        <v>0.4</v>
      </c>
      <c r="CG310" s="4">
        <v>0.85</v>
      </c>
      <c r="CH310" s="4">
        <v>0.72</v>
      </c>
      <c r="CI310" s="4">
        <v>0.9</v>
      </c>
      <c r="CJ310" s="34">
        <v>0.8</v>
      </c>
      <c r="CK310" s="34">
        <v>0.6</v>
      </c>
      <c r="CL310" s="43">
        <v>0.6</v>
      </c>
      <c r="CM310" s="4">
        <v>0.8</v>
      </c>
      <c r="CN310" s="53">
        <v>0</v>
      </c>
      <c r="CO310" s="54">
        <v>0.6</v>
      </c>
      <c r="CP310" s="54">
        <v>0.97</v>
      </c>
      <c r="CQ310" s="4">
        <v>0.6</v>
      </c>
    </row>
    <row r="311" spans="1:95" s="55" customFormat="1" x14ac:dyDescent="0.35">
      <c r="A311" s="55">
        <v>310</v>
      </c>
      <c r="B311" s="55" t="s">
        <v>112</v>
      </c>
      <c r="C311" s="27" t="s">
        <v>759</v>
      </c>
      <c r="D311" s="50" t="s">
        <v>93</v>
      </c>
      <c r="E311" s="33" t="s">
        <v>91</v>
      </c>
      <c r="F311" s="4">
        <f>IFERROR(AVERAGEIF(Table1[[#This Row],[2019-Apr]:[2025-July]],"&lt;&gt;0"),0)</f>
        <v>3.8069999999999991</v>
      </c>
      <c r="G311" s="4">
        <f ca="1">IFERROR(AVERAGEIF(OFFSET(Table1[[#This Row],[Status]],0,COUNT(Table1[[#This Row],[2019-May]:[2025-July]]),1,-12),"&lt;&gt;0"),0)</f>
        <v>2.976</v>
      </c>
      <c r="H311" s="55">
        <f>IFERROR(SMALL(Table1[[#This Row],[2019-Apr]:[2025-July]],COUNTIF(Table1[[#This Row],[2019-Apr]:[2025-July]],0)+1),0)</f>
        <v>1.79</v>
      </c>
      <c r="I311" s="55">
        <f>IFERROR(MAX(Table1[[#This Row],[2019-Apr]:[2025-July]]),0)</f>
        <v>6.49</v>
      </c>
      <c r="J311" s="4" cm="1">
        <f t="array" ref="J31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2.0704999999999996</v>
      </c>
      <c r="K311" s="4">
        <v>4.5</v>
      </c>
      <c r="L311" s="4">
        <f>IF(Table1[[#This Row],[Standard as per ISO]]&gt;=Table1[[#This Row],[Avg of best 6]],Table1[[#This Row],[Standard as per ISO]],Table1[[#This Row],[Avg of best 6]])</f>
        <v>4.5</v>
      </c>
      <c r="M311" s="4" cm="1">
        <f t="array" ref="M311">IFERROR(LOOKUP(2,1/(Table1[[#This Row],[2019-May]:[2025-July]]&lt;&gt;0),Table1[[#This Row],[2019-May]:[2025-July]]),0)</f>
        <v>2.2999999999999998</v>
      </c>
      <c r="N311" s="4">
        <f>COUNTIF(Table1[[#This Row],[2019-Apr]:[2025-July]],"&gt;="&amp;Table1[[#This Row],[Target]])</f>
        <v>11</v>
      </c>
      <c r="O311" s="4">
        <f>IF(Table1[[#This Row],[Outliers 2Y]]=0,1,0)</f>
        <v>0</v>
      </c>
      <c r="P311" s="4">
        <f>IF(Table1[[#This Row],[Last value]]&gt;1.5*Table1[[#This Row],[Target]],1,0)</f>
        <v>0</v>
      </c>
      <c r="Q311" s="4">
        <f>IF(AND(1.5*Table1[[#This Row],[Target]]&gt;=Table1[[#This Row],[Last value]],Table1[[#This Row],[Last value]]&gt;Table1[[#This Row],[Target]]),1,0)</f>
        <v>0</v>
      </c>
      <c r="R311" s="4">
        <f>IF(Table1[[#This Row],[Target]]&gt;=Table1[[#This Row],[Last value]],1,0)</f>
        <v>1</v>
      </c>
      <c r="S311" s="4" t="str">
        <f t="shared" si="7"/>
        <v>Green</v>
      </c>
      <c r="T311" s="55">
        <v>0</v>
      </c>
      <c r="U311" s="55">
        <v>2.2799999999999998</v>
      </c>
      <c r="V311" s="55">
        <v>0</v>
      </c>
      <c r="W311" s="55">
        <v>2.3199999999999998</v>
      </c>
      <c r="X311" s="55">
        <v>2.52</v>
      </c>
      <c r="Y311" s="55">
        <v>0</v>
      </c>
      <c r="Z311" s="55">
        <v>3.46</v>
      </c>
      <c r="AA311" s="55">
        <v>0</v>
      </c>
      <c r="AB311" s="55">
        <v>4.2</v>
      </c>
      <c r="AC311" s="55">
        <v>5.04</v>
      </c>
      <c r="AD311" s="55">
        <v>3.87</v>
      </c>
      <c r="AE311" s="55">
        <v>4.4000000000000004</v>
      </c>
      <c r="AF311" s="55">
        <v>0</v>
      </c>
      <c r="AG311" s="55">
        <v>0</v>
      </c>
      <c r="AH311" s="55">
        <v>0</v>
      </c>
      <c r="AI311" s="55">
        <v>3.83</v>
      </c>
      <c r="AJ311" s="55">
        <v>3.55</v>
      </c>
      <c r="AK311" s="55">
        <v>3.89</v>
      </c>
      <c r="AL311" s="55">
        <v>0</v>
      </c>
      <c r="AM311" s="55">
        <v>0</v>
      </c>
      <c r="AN311" s="55">
        <v>3.08</v>
      </c>
      <c r="AO311" s="55">
        <v>0</v>
      </c>
      <c r="AP311" s="55">
        <v>0</v>
      </c>
      <c r="AQ311" s="55">
        <v>0</v>
      </c>
      <c r="AR311" s="8">
        <v>0</v>
      </c>
      <c r="AS311" s="8">
        <v>5.94</v>
      </c>
      <c r="AT311" s="8">
        <v>0</v>
      </c>
      <c r="AU311" s="50">
        <v>0</v>
      </c>
      <c r="AV311" s="50">
        <v>6.49</v>
      </c>
      <c r="AW311" s="50">
        <v>0</v>
      </c>
      <c r="AX311" s="50">
        <v>0</v>
      </c>
      <c r="AY311" s="50">
        <v>1.91</v>
      </c>
      <c r="AZ311" s="50">
        <v>0</v>
      </c>
      <c r="BA311" s="50">
        <v>3.02</v>
      </c>
      <c r="BB311" s="50">
        <v>3.1</v>
      </c>
      <c r="BC311" s="55">
        <v>4.7</v>
      </c>
      <c r="BD311" s="55">
        <v>4.5999999999999996</v>
      </c>
      <c r="BE311" s="11">
        <v>4.0359999999999996</v>
      </c>
      <c r="BF311" s="4">
        <v>0</v>
      </c>
      <c r="BG311" s="4">
        <v>4.3659999999999997</v>
      </c>
      <c r="BH311" s="4">
        <v>4.984</v>
      </c>
      <c r="BI311" s="4">
        <v>3.919</v>
      </c>
      <c r="BJ311" s="14">
        <v>0</v>
      </c>
      <c r="BK311" s="14">
        <v>4.056</v>
      </c>
      <c r="BL311" s="4">
        <v>4.9139999999999997</v>
      </c>
      <c r="BM311" s="17">
        <v>4.2439999999999998</v>
      </c>
      <c r="BN311" s="4">
        <v>0</v>
      </c>
      <c r="BO311" s="4">
        <v>3.4140000000000001</v>
      </c>
      <c r="BP311" s="4">
        <v>5.4630000000000001</v>
      </c>
      <c r="BQ311" s="4">
        <v>0</v>
      </c>
      <c r="BR311" s="4">
        <v>4.9960000000000004</v>
      </c>
      <c r="BS311" s="4">
        <v>5.5510000000000002</v>
      </c>
      <c r="BT311" s="4">
        <v>0</v>
      </c>
      <c r="BU311" s="4">
        <v>0</v>
      </c>
      <c r="BV311" s="4">
        <v>3.7970000000000002</v>
      </c>
      <c r="BW311" s="4">
        <v>4.1909999999999998</v>
      </c>
      <c r="BX311" s="4">
        <v>2.2629999999999999</v>
      </c>
      <c r="BY311" s="4">
        <v>3.2269999999999999</v>
      </c>
      <c r="BZ311" s="55">
        <v>0</v>
      </c>
      <c r="CA311" s="55">
        <v>3.48</v>
      </c>
      <c r="CB311" s="55">
        <v>3.46</v>
      </c>
      <c r="CC311" s="55">
        <v>2.4700000000000002</v>
      </c>
      <c r="CD311" s="55">
        <v>3.79</v>
      </c>
      <c r="CE311" s="19">
        <v>0</v>
      </c>
      <c r="CF311" s="19">
        <v>4.0999999999999996</v>
      </c>
      <c r="CG311" s="4">
        <v>4.8099999999999996</v>
      </c>
      <c r="CH311" s="4">
        <v>1.79</v>
      </c>
      <c r="CI311" s="4">
        <v>1.88</v>
      </c>
      <c r="CJ311" s="34">
        <v>2.2999999999999998</v>
      </c>
      <c r="CK311" s="34">
        <v>0</v>
      </c>
      <c r="CL311" s="34">
        <v>0</v>
      </c>
      <c r="CM311" s="4">
        <v>0</v>
      </c>
      <c r="CN311" s="53">
        <v>0</v>
      </c>
      <c r="CO311" s="54">
        <v>0</v>
      </c>
      <c r="CP311" s="54">
        <v>0</v>
      </c>
      <c r="CQ311" s="4">
        <v>0</v>
      </c>
    </row>
    <row r="312" spans="1:95" s="55" customFormat="1" x14ac:dyDescent="0.35">
      <c r="A312" s="55">
        <v>311</v>
      </c>
      <c r="B312" s="55" t="s">
        <v>112</v>
      </c>
      <c r="C312" s="27" t="s">
        <v>760</v>
      </c>
      <c r="D312" s="50" t="s">
        <v>93</v>
      </c>
      <c r="E312" s="33" t="s">
        <v>91</v>
      </c>
      <c r="F312" s="4">
        <f>IFERROR(AVERAGEIF(Table1[[#This Row],[2019-Apr]:[2025-July]],"&lt;&gt;0"),0)</f>
        <v>4.5366562499999992</v>
      </c>
      <c r="G312" s="4">
        <f ca="1">IFERROR(AVERAGEIF(OFFSET(Table1[[#This Row],[Status]],0,COUNT(Table1[[#This Row],[2019-May]:[2025-July]]),1,-12),"&lt;&gt;0"),0)</f>
        <v>4.7219999999999995</v>
      </c>
      <c r="H312" s="55">
        <f>IFERROR(SMALL(Table1[[#This Row],[2019-Apr]:[2025-July]],COUNTIF(Table1[[#This Row],[2019-Apr]:[2025-July]],0)+1),0)</f>
        <v>1.85</v>
      </c>
      <c r="I312" s="55">
        <f>IFERROR(MAX(Table1[[#This Row],[2019-Apr]:[2025-July]]),0)</f>
        <v>9.3789999999999996</v>
      </c>
      <c r="J312" s="4" cm="1">
        <f t="array" ref="J31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2.3506666666666667</v>
      </c>
      <c r="K312" s="4">
        <v>4.5</v>
      </c>
      <c r="L312" s="4">
        <f>IF(Table1[[#This Row],[Standard as per ISO]]&gt;=Table1[[#This Row],[Avg of best 6]],Table1[[#This Row],[Standard as per ISO]],Table1[[#This Row],[Avg of best 6]])</f>
        <v>4.5</v>
      </c>
      <c r="M312" s="4" cm="1">
        <f t="array" ref="M312">IFERROR(LOOKUP(2,1/(Table1[[#This Row],[2019-May]:[2025-July]]&lt;&gt;0),Table1[[#This Row],[2019-May]:[2025-July]]),0)</f>
        <v>5.0999999999999996</v>
      </c>
      <c r="N312" s="4">
        <f>COUNTIF(Table1[[#This Row],[2019-Apr]:[2025-July]],"&gt;="&amp;Table1[[#This Row],[Target]])</f>
        <v>14</v>
      </c>
      <c r="O312" s="4">
        <f>IF(Table1[[#This Row],[Outliers 2Y]]=0,1,0)</f>
        <v>0</v>
      </c>
      <c r="P312" s="4">
        <f>IF(Table1[[#This Row],[Last value]]&gt;1.5*Table1[[#This Row],[Target]],1,0)</f>
        <v>0</v>
      </c>
      <c r="Q312" s="4">
        <f>IF(AND(1.5*Table1[[#This Row],[Target]]&gt;=Table1[[#This Row],[Last value]],Table1[[#This Row],[Last value]]&gt;Table1[[#This Row],[Target]]),1,0)</f>
        <v>1</v>
      </c>
      <c r="R312" s="4">
        <f>IF(Table1[[#This Row],[Target]]&gt;=Table1[[#This Row],[Last value]],1,0)</f>
        <v>0</v>
      </c>
      <c r="S312" s="4" t="str">
        <f t="shared" si="7"/>
        <v>Yellow</v>
      </c>
      <c r="T312" s="55">
        <v>0</v>
      </c>
      <c r="U312" s="55">
        <v>0</v>
      </c>
      <c r="V312" s="55">
        <v>7.6</v>
      </c>
      <c r="W312" s="55">
        <v>0</v>
      </c>
      <c r="X312" s="55">
        <v>0</v>
      </c>
      <c r="Y312" s="55">
        <v>3.37</v>
      </c>
      <c r="Z312" s="55">
        <v>0</v>
      </c>
      <c r="AA312" s="55">
        <v>1.85</v>
      </c>
      <c r="AB312" s="55">
        <v>0</v>
      </c>
      <c r="AC312" s="55">
        <v>0</v>
      </c>
      <c r="AD312" s="55">
        <v>0</v>
      </c>
      <c r="AE312" s="55">
        <v>3.8</v>
      </c>
      <c r="AF312" s="55">
        <v>0</v>
      </c>
      <c r="AG312" s="55">
        <v>5.3</v>
      </c>
      <c r="AH312" s="55">
        <v>3.2</v>
      </c>
      <c r="AI312" s="55">
        <v>0</v>
      </c>
      <c r="AJ312" s="55">
        <v>3.46</v>
      </c>
      <c r="AK312" s="55">
        <v>0</v>
      </c>
      <c r="AL312" s="55">
        <v>2.7</v>
      </c>
      <c r="AM312" s="55">
        <v>4.55</v>
      </c>
      <c r="AN312" s="55">
        <v>0</v>
      </c>
      <c r="AO312" s="55">
        <v>4.4400000000000004</v>
      </c>
      <c r="AP312" s="55">
        <v>0</v>
      </c>
      <c r="AQ312" s="55">
        <v>1.87</v>
      </c>
      <c r="AR312" s="8">
        <v>0</v>
      </c>
      <c r="AS312" s="8">
        <v>0</v>
      </c>
      <c r="AT312" s="8">
        <v>1.9</v>
      </c>
      <c r="AU312" s="50">
        <v>4.0999999999999996</v>
      </c>
      <c r="AV312" s="50">
        <v>5.13</v>
      </c>
      <c r="AW312" s="50">
        <v>4.4000000000000004</v>
      </c>
      <c r="AX312" s="50">
        <v>6.11</v>
      </c>
      <c r="AY312" s="50">
        <v>0</v>
      </c>
      <c r="AZ312" s="50">
        <v>3.71</v>
      </c>
      <c r="BA312" s="50">
        <v>0</v>
      </c>
      <c r="BB312" s="50">
        <v>0</v>
      </c>
      <c r="BC312" s="50">
        <v>0</v>
      </c>
      <c r="BD312" s="55">
        <v>0</v>
      </c>
      <c r="BE312" s="11">
        <v>0</v>
      </c>
      <c r="BF312" s="4">
        <v>0</v>
      </c>
      <c r="BG312" s="4">
        <v>0</v>
      </c>
      <c r="BH312" s="4">
        <v>0</v>
      </c>
      <c r="BI312" s="4">
        <v>0</v>
      </c>
      <c r="BJ312" s="13">
        <v>2.6419999999999999</v>
      </c>
      <c r="BK312" s="13">
        <v>0</v>
      </c>
      <c r="BL312" s="4">
        <v>6.9770000000000003</v>
      </c>
      <c r="BM312" s="16">
        <v>8.02</v>
      </c>
      <c r="BN312" s="4">
        <v>9.3789999999999996</v>
      </c>
      <c r="BO312" s="4">
        <v>0</v>
      </c>
      <c r="BP312" s="4">
        <v>6.8789999999999996</v>
      </c>
      <c r="BQ312" s="4">
        <v>3.1419999999999999</v>
      </c>
      <c r="BR312" s="4">
        <v>0</v>
      </c>
      <c r="BS312" s="4">
        <v>0</v>
      </c>
      <c r="BT312" s="4">
        <v>5.2220000000000004</v>
      </c>
      <c r="BU312" s="4">
        <v>4.4320000000000004</v>
      </c>
      <c r="BV312" s="4">
        <v>0</v>
      </c>
      <c r="BW312" s="4">
        <v>0</v>
      </c>
      <c r="BX312" s="4">
        <v>0</v>
      </c>
      <c r="BY312" s="4">
        <v>0</v>
      </c>
      <c r="BZ312" s="55">
        <v>0</v>
      </c>
      <c r="CA312" s="55">
        <v>0</v>
      </c>
      <c r="CB312" s="55">
        <v>0</v>
      </c>
      <c r="CC312" s="55">
        <v>3.45</v>
      </c>
      <c r="CD312" s="55">
        <v>3.93</v>
      </c>
      <c r="CE312" s="19">
        <v>0</v>
      </c>
      <c r="CF312" s="19">
        <v>5</v>
      </c>
      <c r="CG312" s="4">
        <v>4.75</v>
      </c>
      <c r="CH312" s="4">
        <v>4.62</v>
      </c>
      <c r="CI312" s="4">
        <v>4.1399999999999997</v>
      </c>
      <c r="CJ312" s="34">
        <v>5.0999999999999996</v>
      </c>
      <c r="CK312" s="34">
        <v>0</v>
      </c>
      <c r="CL312" s="34">
        <v>0</v>
      </c>
      <c r="CM312" s="4">
        <v>0</v>
      </c>
      <c r="CN312" s="53">
        <v>0</v>
      </c>
      <c r="CO312" s="54">
        <v>0</v>
      </c>
      <c r="CP312" s="54">
        <v>0</v>
      </c>
      <c r="CQ312" s="4">
        <v>0</v>
      </c>
    </row>
    <row r="313" spans="1:95" s="55" customFormat="1" x14ac:dyDescent="0.35">
      <c r="A313" s="55">
        <v>312</v>
      </c>
      <c r="B313" s="55" t="s">
        <v>112</v>
      </c>
      <c r="C313" s="27" t="s">
        <v>761</v>
      </c>
      <c r="D313" s="50" t="s">
        <v>93</v>
      </c>
      <c r="E313" s="33" t="s">
        <v>91</v>
      </c>
      <c r="F313" s="4">
        <f>IFERROR(AVERAGEIF(Table1[[#This Row],[2019-Apr]:[2025-July]],"&lt;&gt;0"),0)</f>
        <v>3.997937499999999</v>
      </c>
      <c r="G313" s="4">
        <f ca="1">IFERROR(AVERAGEIF(OFFSET(Table1[[#This Row],[Status]],0,COUNT(Table1[[#This Row],[2019-May]:[2025-July]]),1,-12),"&lt;&gt;0"),0)</f>
        <v>1.502</v>
      </c>
      <c r="H313" s="55">
        <f>IFERROR(SMALL(Table1[[#This Row],[2019-Apr]:[2025-July]],COUNTIF(Table1[[#This Row],[2019-Apr]:[2025-July]],0)+1),0)</f>
        <v>0.34</v>
      </c>
      <c r="I313" s="55">
        <f>IFERROR(MAX(Table1[[#This Row],[2019-Apr]:[2025-July]]),0)</f>
        <v>13.8</v>
      </c>
      <c r="J313" s="4" cm="1">
        <f t="array" ref="J31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0.56666666666666654</v>
      </c>
      <c r="K313" s="4">
        <v>4.5</v>
      </c>
      <c r="L313" s="4">
        <f>IF(Table1[[#This Row],[Standard as per ISO]]&gt;=Table1[[#This Row],[Avg of best 6]],Table1[[#This Row],[Standard as per ISO]],Table1[[#This Row],[Avg of best 6]])</f>
        <v>4.5</v>
      </c>
      <c r="M313" s="4" cm="1">
        <f t="array" ref="M313">IFERROR(LOOKUP(2,1/(Table1[[#This Row],[2019-May]:[2025-July]]&lt;&gt;0),Table1[[#This Row],[2019-May]:[2025-July]]),0)</f>
        <v>0.7</v>
      </c>
      <c r="N313" s="4">
        <f>COUNTIF(Table1[[#This Row],[2019-Apr]:[2025-July]],"&gt;="&amp;Table1[[#This Row],[Target]])</f>
        <v>12</v>
      </c>
      <c r="O313" s="4">
        <f>IF(Table1[[#This Row],[Outliers 2Y]]=0,1,0)</f>
        <v>0</v>
      </c>
      <c r="P313" s="4">
        <f>IF(Table1[[#This Row],[Last value]]&gt;1.5*Table1[[#This Row],[Target]],1,0)</f>
        <v>0</v>
      </c>
      <c r="Q313" s="4">
        <f>IF(AND(1.5*Table1[[#This Row],[Target]]&gt;=Table1[[#This Row],[Last value]],Table1[[#This Row],[Last value]]&gt;Table1[[#This Row],[Target]]),1,0)</f>
        <v>0</v>
      </c>
      <c r="R313" s="4">
        <f>IF(Table1[[#This Row],[Target]]&gt;=Table1[[#This Row],[Last value]],1,0)</f>
        <v>1</v>
      </c>
      <c r="S313" s="4" t="str">
        <f t="shared" si="7"/>
        <v>Green</v>
      </c>
      <c r="T313" s="55">
        <v>0</v>
      </c>
      <c r="U313" s="55">
        <v>0</v>
      </c>
      <c r="V313" s="55">
        <v>0</v>
      </c>
      <c r="W313" s="55">
        <v>0</v>
      </c>
      <c r="X313" s="55">
        <v>0</v>
      </c>
      <c r="Y313" s="55">
        <v>0</v>
      </c>
      <c r="Z313" s="55">
        <v>0</v>
      </c>
      <c r="AA313" s="55">
        <v>7.1</v>
      </c>
      <c r="AB313" s="55">
        <v>0</v>
      </c>
      <c r="AC313" s="55">
        <v>4.4800000000000004</v>
      </c>
      <c r="AD313" s="55">
        <v>9.35</v>
      </c>
      <c r="AE313" s="55">
        <v>12.3</v>
      </c>
      <c r="AF313" s="55">
        <v>9.4</v>
      </c>
      <c r="AG313" s="55">
        <v>12.5</v>
      </c>
      <c r="AH313" s="55">
        <v>12.1</v>
      </c>
      <c r="AI313" s="55">
        <v>12.5</v>
      </c>
      <c r="AJ313" s="55">
        <v>13.8</v>
      </c>
      <c r="AK313" s="55">
        <v>13.1</v>
      </c>
      <c r="AL313" s="55">
        <v>0</v>
      </c>
      <c r="AM313" s="55">
        <v>0</v>
      </c>
      <c r="AN313" s="55">
        <v>13.3</v>
      </c>
      <c r="AO313" s="55">
        <v>9.11</v>
      </c>
      <c r="AP313" s="55">
        <v>0</v>
      </c>
      <c r="AQ313" s="55">
        <v>9.3000000000000007</v>
      </c>
      <c r="AR313" s="8">
        <v>1.52</v>
      </c>
      <c r="AS313" s="8">
        <v>0</v>
      </c>
      <c r="AT313" s="8">
        <v>1.08</v>
      </c>
      <c r="AU313" s="50">
        <v>0.34</v>
      </c>
      <c r="AV313" s="50">
        <v>2.34</v>
      </c>
      <c r="AW313" s="50">
        <v>2.2200000000000002</v>
      </c>
      <c r="AX313" s="50">
        <v>2.13</v>
      </c>
      <c r="AY313" s="50">
        <v>0.37</v>
      </c>
      <c r="AZ313" s="50">
        <v>0.45</v>
      </c>
      <c r="BA313" s="50">
        <v>1.39</v>
      </c>
      <c r="BB313" s="50">
        <v>1.4</v>
      </c>
      <c r="BC313" s="55">
        <v>2.2000000000000002</v>
      </c>
      <c r="BD313" s="55">
        <v>1.3</v>
      </c>
      <c r="BE313" s="11">
        <v>0</v>
      </c>
      <c r="BF313" s="4">
        <v>0</v>
      </c>
      <c r="BG313" s="4">
        <v>1.6419999999999999</v>
      </c>
      <c r="BH313" s="4">
        <v>1.6419999999999999</v>
      </c>
      <c r="BI313" s="4">
        <v>1.3169999999999999</v>
      </c>
      <c r="BJ313" s="13">
        <v>2.161</v>
      </c>
      <c r="BK313" s="13">
        <v>2.7709999999999999</v>
      </c>
      <c r="BL313" s="4">
        <v>1.982</v>
      </c>
      <c r="BM313" s="16">
        <v>2.3929999999999998</v>
      </c>
      <c r="BN313" s="4">
        <v>2.8239999999999998</v>
      </c>
      <c r="BO313" s="4">
        <v>1.3680000000000001</v>
      </c>
      <c r="BP313" s="4">
        <v>1.3340000000000001</v>
      </c>
      <c r="BQ313" s="4">
        <v>0.73199999999999998</v>
      </c>
      <c r="BR313" s="4">
        <v>0</v>
      </c>
      <c r="BS313" s="4">
        <v>1.014</v>
      </c>
      <c r="BT313" s="4">
        <v>0</v>
      </c>
      <c r="BU313" s="4">
        <v>0</v>
      </c>
      <c r="BV313" s="4">
        <v>0.80800000000000005</v>
      </c>
      <c r="BW313" s="4">
        <v>0</v>
      </c>
      <c r="BX313" s="4">
        <v>0</v>
      </c>
      <c r="BY313" s="4">
        <v>1.8029999999999999</v>
      </c>
      <c r="BZ313" s="55">
        <v>0</v>
      </c>
      <c r="CA313" s="55">
        <v>1.2</v>
      </c>
      <c r="CB313" s="55">
        <v>1.65</v>
      </c>
      <c r="CC313" s="55">
        <v>1.25</v>
      </c>
      <c r="CD313" s="55">
        <v>1.42</v>
      </c>
      <c r="CE313" s="20">
        <v>0</v>
      </c>
      <c r="CF313" s="20">
        <v>1.7</v>
      </c>
      <c r="CG313" s="4">
        <v>1.98</v>
      </c>
      <c r="CH313" s="4">
        <v>1.43</v>
      </c>
      <c r="CI313" s="4">
        <v>1.7</v>
      </c>
      <c r="CJ313" s="34">
        <v>0.7</v>
      </c>
      <c r="CK313" s="34">
        <v>0</v>
      </c>
      <c r="CL313" s="34">
        <v>0</v>
      </c>
      <c r="CM313" s="4">
        <v>0</v>
      </c>
      <c r="CN313" s="53">
        <v>0</v>
      </c>
      <c r="CO313" s="54">
        <v>0</v>
      </c>
      <c r="CP313" s="54">
        <v>0</v>
      </c>
      <c r="CQ313" s="4">
        <v>0</v>
      </c>
    </row>
    <row r="314" spans="1:95" s="55" customFormat="1" x14ac:dyDescent="0.35">
      <c r="A314" s="55">
        <v>313</v>
      </c>
      <c r="B314" s="55" t="s">
        <v>112</v>
      </c>
      <c r="C314" s="27" t="s">
        <v>762</v>
      </c>
      <c r="D314" s="50" t="s">
        <v>93</v>
      </c>
      <c r="E314" s="33" t="s">
        <v>91</v>
      </c>
      <c r="F314" s="4">
        <f>IFERROR(AVERAGEIF(Table1[[#This Row],[2019-Apr]:[2025-July]],"&lt;&gt;0"),0)</f>
        <v>3.6374634146341478</v>
      </c>
      <c r="G314" s="4">
        <f ca="1">IFERROR(AVERAGEIF(OFFSET(Table1[[#This Row],[Status]],0,COUNT(Table1[[#This Row],[2019-May]:[2025-July]]),1,-12),"&lt;&gt;0"),0)</f>
        <v>4.3099999999999996</v>
      </c>
      <c r="H314" s="55">
        <f>IFERROR(SMALL(Table1[[#This Row],[2019-Apr]:[2025-July]],COUNTIF(Table1[[#This Row],[2019-Apr]:[2025-July]],0)+1),0)</f>
        <v>0.69</v>
      </c>
      <c r="I314" s="55">
        <f>IFERROR(MAX(Table1[[#This Row],[2019-Apr]:[2025-July]]),0)</f>
        <v>15.53</v>
      </c>
      <c r="J314" s="4" cm="1">
        <f t="array" ref="J31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0.96166666666666678</v>
      </c>
      <c r="K314" s="4">
        <v>4.5</v>
      </c>
      <c r="L314" s="4">
        <f>IF(Table1[[#This Row],[Standard as per ISO]]&gt;=Table1[[#This Row],[Avg of best 6]],Table1[[#This Row],[Standard as per ISO]],Table1[[#This Row],[Avg of best 6]])</f>
        <v>4.5</v>
      </c>
      <c r="M314" s="4" cm="1">
        <f t="array" ref="M314">IFERROR(LOOKUP(2,1/(Table1[[#This Row],[2019-May]:[2025-July]]&lt;&gt;0),Table1[[#This Row],[2019-May]:[2025-July]]),0)</f>
        <v>1.93</v>
      </c>
      <c r="N314" s="4">
        <f>COUNTIF(Table1[[#This Row],[2019-Apr]:[2025-July]],"&gt;="&amp;Table1[[#This Row],[Target]])</f>
        <v>11</v>
      </c>
      <c r="O314" s="4">
        <f>IF(Table1[[#This Row],[Outliers 2Y]]=0,1,0)</f>
        <v>0</v>
      </c>
      <c r="P314" s="4">
        <f>IF(Table1[[#This Row],[Last value]]&gt;1.5*Table1[[#This Row],[Target]],1,0)</f>
        <v>0</v>
      </c>
      <c r="Q314" s="4">
        <f>IF(AND(1.5*Table1[[#This Row],[Target]]&gt;=Table1[[#This Row],[Last value]],Table1[[#This Row],[Last value]]&gt;Table1[[#This Row],[Target]]),1,0)</f>
        <v>0</v>
      </c>
      <c r="R314" s="4">
        <f>IF(Table1[[#This Row],[Target]]&gt;=Table1[[#This Row],[Last value]],1,0)</f>
        <v>1</v>
      </c>
      <c r="S314" s="4" t="str">
        <f t="shared" si="7"/>
        <v>Green</v>
      </c>
      <c r="T314" s="55">
        <v>0</v>
      </c>
      <c r="U314" s="55">
        <v>3.58</v>
      </c>
      <c r="V314" s="55">
        <v>2.85</v>
      </c>
      <c r="W314" s="55">
        <v>2.66</v>
      </c>
      <c r="X314" s="55">
        <v>6.49</v>
      </c>
      <c r="Y314" s="55">
        <v>4.91</v>
      </c>
      <c r="Z314" s="55">
        <v>1.2</v>
      </c>
      <c r="AA314" s="55">
        <v>5.09</v>
      </c>
      <c r="AB314" s="55">
        <v>1.4</v>
      </c>
      <c r="AC314" s="55">
        <v>0</v>
      </c>
      <c r="AD314" s="55">
        <v>0</v>
      </c>
      <c r="AE314" s="55">
        <v>0</v>
      </c>
      <c r="AF314" s="55">
        <v>3.7</v>
      </c>
      <c r="AG314" s="55">
        <v>0.9</v>
      </c>
      <c r="AH314" s="55">
        <v>1.2</v>
      </c>
      <c r="AI314" s="55">
        <v>0</v>
      </c>
      <c r="AJ314" s="55">
        <v>1.06</v>
      </c>
      <c r="AK314" s="55">
        <v>0</v>
      </c>
      <c r="AL314" s="55">
        <v>0.96</v>
      </c>
      <c r="AM314" s="55">
        <v>0</v>
      </c>
      <c r="AN314" s="55">
        <v>0.96</v>
      </c>
      <c r="AO314" s="55">
        <v>0.69</v>
      </c>
      <c r="AP314" s="55">
        <v>0</v>
      </c>
      <c r="AQ314" s="55">
        <v>1.39</v>
      </c>
      <c r="AR314" s="8">
        <v>0</v>
      </c>
      <c r="AS314" s="8">
        <v>0</v>
      </c>
      <c r="AT314" s="8">
        <v>4.5199999999999996</v>
      </c>
      <c r="AU314" s="50">
        <v>4.37</v>
      </c>
      <c r="AV314" s="50">
        <v>3.53</v>
      </c>
      <c r="AW314" s="50">
        <v>0</v>
      </c>
      <c r="AX314" s="50">
        <v>0</v>
      </c>
      <c r="AY314" s="50">
        <v>1.39</v>
      </c>
      <c r="AZ314" s="50">
        <v>4.99</v>
      </c>
      <c r="BA314" s="50">
        <v>7</v>
      </c>
      <c r="BB314" s="50">
        <v>5.5</v>
      </c>
      <c r="BC314" s="50">
        <v>0</v>
      </c>
      <c r="BD314" s="55">
        <v>0</v>
      </c>
      <c r="BE314" s="11">
        <v>0</v>
      </c>
      <c r="BF314" s="4">
        <v>0</v>
      </c>
      <c r="BG314" s="4">
        <v>2.903</v>
      </c>
      <c r="BH314" s="4">
        <v>2.903</v>
      </c>
      <c r="BI314" s="4">
        <v>1.9339999999999999</v>
      </c>
      <c r="BJ314" s="14">
        <v>3.5470000000000002</v>
      </c>
      <c r="BK314" s="14">
        <v>3.1</v>
      </c>
      <c r="BL314" s="4">
        <v>9.6920000000000002</v>
      </c>
      <c r="BM314" s="17">
        <v>1.298</v>
      </c>
      <c r="BN314" s="4">
        <v>4.2859999999999996</v>
      </c>
      <c r="BO314" s="4">
        <v>2.1880000000000002</v>
      </c>
      <c r="BP314" s="4">
        <v>2.8580000000000001</v>
      </c>
      <c r="BQ314" s="4">
        <v>1.9059999999999999</v>
      </c>
      <c r="BR314" s="4">
        <v>1.62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1.7809999999999999</v>
      </c>
      <c r="BY314" s="4">
        <v>0</v>
      </c>
      <c r="BZ314" s="55">
        <v>0</v>
      </c>
      <c r="CA314" s="55">
        <v>0</v>
      </c>
      <c r="CB314" s="55">
        <v>15.53</v>
      </c>
      <c r="CC314" s="55">
        <v>10.32</v>
      </c>
      <c r="CD314" s="55">
        <v>0</v>
      </c>
      <c r="CE314" s="19">
        <v>4</v>
      </c>
      <c r="CF314" s="19">
        <v>7</v>
      </c>
      <c r="CG314" s="4">
        <v>1.93</v>
      </c>
      <c r="CH314" s="4">
        <v>0</v>
      </c>
      <c r="CI314" s="4">
        <v>0</v>
      </c>
      <c r="CJ314" s="34">
        <v>0</v>
      </c>
      <c r="CK314" s="34">
        <v>0</v>
      </c>
      <c r="CL314" s="34">
        <v>0</v>
      </c>
      <c r="CM314" s="4">
        <v>0</v>
      </c>
      <c r="CN314" s="53">
        <v>0</v>
      </c>
      <c r="CO314" s="54">
        <v>0</v>
      </c>
      <c r="CP314" s="54">
        <v>0</v>
      </c>
      <c r="CQ314" s="4">
        <v>0</v>
      </c>
    </row>
    <row r="315" spans="1:95" s="55" customFormat="1" x14ac:dyDescent="0.35">
      <c r="A315" s="55">
        <v>314</v>
      </c>
      <c r="B315" s="55" t="s">
        <v>112</v>
      </c>
      <c r="C315" s="27" t="s">
        <v>763</v>
      </c>
      <c r="D315" s="50" t="s">
        <v>93</v>
      </c>
      <c r="E315" s="33" t="s">
        <v>91</v>
      </c>
      <c r="F315" s="4">
        <f>IFERROR(AVERAGEIF(Table1[[#This Row],[2019-Apr]:[2025-July]],"&lt;&gt;0"),0)</f>
        <v>2.6126875000000007</v>
      </c>
      <c r="G315" s="4">
        <f ca="1">IFERROR(AVERAGEIF(OFFSET(Table1[[#This Row],[Status]],0,COUNT(Table1[[#This Row],[2019-May]:[2025-July]]),1,-12),"&lt;&gt;0"),0)</f>
        <v>2.4325000000000001</v>
      </c>
      <c r="H315" s="55">
        <f>IFERROR(SMALL(Table1[[#This Row],[2019-Apr]:[2025-July]],COUNTIF(Table1[[#This Row],[2019-Apr]:[2025-July]],0)+1),0)</f>
        <v>1.6759999999999999</v>
      </c>
      <c r="I315" s="55">
        <f>IFERROR(MAX(Table1[[#This Row],[2019-Apr]:[2025-July]]),0)</f>
        <v>5.59</v>
      </c>
      <c r="J315" s="4" cm="1">
        <f t="array" ref="J31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1.7140000000000002</v>
      </c>
      <c r="K315" s="4">
        <v>4.5</v>
      </c>
      <c r="L315" s="4">
        <f>IF(Table1[[#This Row],[Standard as per ISO]]&gt;=Table1[[#This Row],[Avg of best 6]],Table1[[#This Row],[Standard as per ISO]],Table1[[#This Row],[Avg of best 6]])</f>
        <v>4.5</v>
      </c>
      <c r="M315" s="4" cm="1">
        <f t="array" ref="M315">IFERROR(LOOKUP(2,1/(Table1[[#This Row],[2019-May]:[2025-July]]&lt;&gt;0),Table1[[#This Row],[2019-May]:[2025-July]]),0)</f>
        <v>2.1</v>
      </c>
      <c r="N315" s="4">
        <f>COUNTIF(Table1[[#This Row],[2019-Apr]:[2025-July]],"&gt;="&amp;Table1[[#This Row],[Target]])</f>
        <v>2</v>
      </c>
      <c r="O315" s="4">
        <f>IF(Table1[[#This Row],[Outliers 2Y]]=0,1,0)</f>
        <v>0</v>
      </c>
      <c r="P315" s="4">
        <f>IF(Table1[[#This Row],[Last value]]&gt;1.5*Table1[[#This Row],[Target]],1,0)</f>
        <v>0</v>
      </c>
      <c r="Q315" s="4">
        <f>IF(AND(1.5*Table1[[#This Row],[Target]]&gt;=Table1[[#This Row],[Last value]],Table1[[#This Row],[Last value]]&gt;Table1[[#This Row],[Target]]),1,0)</f>
        <v>0</v>
      </c>
      <c r="R315" s="4">
        <f>IF(Table1[[#This Row],[Target]]&gt;=Table1[[#This Row],[Last value]],1,0)</f>
        <v>1</v>
      </c>
      <c r="S315" s="4" t="str">
        <f t="shared" si="7"/>
        <v>Green</v>
      </c>
      <c r="T315" s="55">
        <v>0</v>
      </c>
      <c r="U315" s="55">
        <v>0</v>
      </c>
      <c r="V315" s="55">
        <v>0</v>
      </c>
      <c r="W315" s="55">
        <v>0</v>
      </c>
      <c r="X315" s="55">
        <v>0</v>
      </c>
      <c r="Y315" s="55">
        <v>0</v>
      </c>
      <c r="Z315" s="55">
        <v>0</v>
      </c>
      <c r="AA315" s="55">
        <v>2.1</v>
      </c>
      <c r="AB315" s="55">
        <v>0</v>
      </c>
      <c r="AC315" s="55">
        <v>2.5</v>
      </c>
      <c r="AD315" s="55">
        <v>0</v>
      </c>
      <c r="AE315" s="55">
        <v>4.4000000000000004</v>
      </c>
      <c r="AF315" s="55">
        <v>3.1</v>
      </c>
      <c r="AG315" s="55">
        <v>2.4</v>
      </c>
      <c r="AH315" s="55">
        <v>0</v>
      </c>
      <c r="AI315" s="55">
        <v>1.68</v>
      </c>
      <c r="AJ315" s="55">
        <v>2.73</v>
      </c>
      <c r="AK315" s="55">
        <v>2.0499999999999998</v>
      </c>
      <c r="AL315" s="55">
        <v>0</v>
      </c>
      <c r="AM315" s="55">
        <v>0</v>
      </c>
      <c r="AN315" s="55">
        <v>0</v>
      </c>
      <c r="AO315" s="55">
        <v>0</v>
      </c>
      <c r="AP315" s="55">
        <v>0</v>
      </c>
      <c r="AQ315" s="55">
        <v>2.5299999999999998</v>
      </c>
      <c r="AR315" s="8">
        <v>0</v>
      </c>
      <c r="AS315" s="8">
        <v>2.11</v>
      </c>
      <c r="AT315" s="8">
        <v>0</v>
      </c>
      <c r="AU315" s="50">
        <v>0</v>
      </c>
      <c r="AV315" s="50">
        <v>5.59</v>
      </c>
      <c r="AW315" s="50">
        <v>2.37</v>
      </c>
      <c r="AX315" s="50">
        <v>2.2200000000000002</v>
      </c>
      <c r="AY315" s="50">
        <v>0</v>
      </c>
      <c r="AZ315" s="50">
        <v>0</v>
      </c>
      <c r="BA315" s="50">
        <v>3.7</v>
      </c>
      <c r="BB315" s="50">
        <v>0</v>
      </c>
      <c r="BC315" s="50">
        <v>0</v>
      </c>
      <c r="BD315" s="55">
        <v>2</v>
      </c>
      <c r="BE315" s="11">
        <v>1.6759999999999999</v>
      </c>
      <c r="BF315" s="4">
        <v>0</v>
      </c>
      <c r="BG315" s="4">
        <v>0</v>
      </c>
      <c r="BH315" s="4">
        <v>0</v>
      </c>
      <c r="BI315" s="4">
        <v>0</v>
      </c>
      <c r="BJ315" s="13">
        <v>0</v>
      </c>
      <c r="BK315" s="13">
        <v>0</v>
      </c>
      <c r="BL315" s="4">
        <v>0</v>
      </c>
      <c r="BM315" s="16">
        <v>0</v>
      </c>
      <c r="BN315" s="4">
        <v>0</v>
      </c>
      <c r="BO315" s="4">
        <v>0</v>
      </c>
      <c r="BP315" s="4">
        <v>0</v>
      </c>
      <c r="BQ315" s="4">
        <v>1.6759999999999999</v>
      </c>
      <c r="BR315" s="4">
        <v>1.6759999999999999</v>
      </c>
      <c r="BS315" s="4">
        <v>1.6759999999999999</v>
      </c>
      <c r="BT315" s="4">
        <v>3.0139999999999998</v>
      </c>
      <c r="BU315" s="4">
        <v>3.008</v>
      </c>
      <c r="BV315" s="4">
        <v>1.998</v>
      </c>
      <c r="BW315" s="4">
        <v>2.3199999999999998</v>
      </c>
      <c r="BX315" s="4">
        <v>0</v>
      </c>
      <c r="BY315" s="4">
        <v>2.3220000000000001</v>
      </c>
      <c r="BZ315" s="55">
        <v>0</v>
      </c>
      <c r="CA315" s="55">
        <v>3.03</v>
      </c>
      <c r="CB315" s="55">
        <v>3.45</v>
      </c>
      <c r="CC315" s="55">
        <v>1.9</v>
      </c>
      <c r="CD315" s="55">
        <v>4.6500000000000004</v>
      </c>
      <c r="CE315" s="19">
        <v>0</v>
      </c>
      <c r="CF315" s="19">
        <v>2.6</v>
      </c>
      <c r="CG315" s="4">
        <v>0</v>
      </c>
      <c r="CH315" s="4">
        <v>3.04</v>
      </c>
      <c r="CI315" s="4">
        <v>1.99</v>
      </c>
      <c r="CJ315" s="34">
        <v>2.1</v>
      </c>
      <c r="CK315" s="34">
        <v>0</v>
      </c>
      <c r="CL315" s="34">
        <v>0</v>
      </c>
      <c r="CM315" s="4">
        <v>0</v>
      </c>
      <c r="CN315" s="53">
        <v>0</v>
      </c>
      <c r="CO315" s="54">
        <v>0</v>
      </c>
      <c r="CP315" s="54">
        <v>0</v>
      </c>
      <c r="CQ315" s="4">
        <v>0</v>
      </c>
    </row>
    <row r="316" spans="1:95" s="55" customFormat="1" x14ac:dyDescent="0.35">
      <c r="A316" s="55">
        <v>315</v>
      </c>
      <c r="B316" s="55" t="s">
        <v>112</v>
      </c>
      <c r="C316" s="27" t="s">
        <v>764</v>
      </c>
      <c r="D316" s="50" t="s">
        <v>116</v>
      </c>
      <c r="E316" s="33" t="s">
        <v>89</v>
      </c>
      <c r="F316" s="4">
        <f>IFERROR(AVERAGEIF(Table1[[#This Row],[2019-Apr]:[2025-July]],"&lt;&gt;0"),0)</f>
        <v>4.0581492537313419</v>
      </c>
      <c r="G316" s="4">
        <f ca="1">IFERROR(AVERAGEIF(OFFSET(Table1[[#This Row],[Status]],0,COUNT(Table1[[#This Row],[2019-May]:[2025-July]]),1,-12),"&lt;&gt;0"),0)</f>
        <v>4.923</v>
      </c>
      <c r="H316" s="55">
        <f>IFERROR(SMALL(Table1[[#This Row],[2019-Apr]:[2025-July]],COUNTIF(Table1[[#This Row],[2019-Apr]:[2025-July]],0)+1),0)</f>
        <v>0.85</v>
      </c>
      <c r="I316" s="55">
        <f>IFERROR(MAX(Table1[[#This Row],[2019-Apr]:[2025-July]]),0)</f>
        <v>16.600000000000001</v>
      </c>
      <c r="J316" s="4" cm="1">
        <f t="array" ref="J31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1.125</v>
      </c>
      <c r="K316" s="4">
        <v>4.5</v>
      </c>
      <c r="L316" s="4">
        <f>IF(Table1[[#This Row],[Standard as per ISO]]&gt;=Table1[[#This Row],[Avg of best 6]],Table1[[#This Row],[Standard as per ISO]],Table1[[#This Row],[Avg of best 6]])</f>
        <v>4.5</v>
      </c>
      <c r="M316" s="4" cm="1">
        <f t="array" ref="M316">IFERROR(LOOKUP(2,1/(Table1[[#This Row],[2019-May]:[2025-July]]&lt;&gt;0),Table1[[#This Row],[2019-May]:[2025-July]]),0)</f>
        <v>2.9</v>
      </c>
      <c r="N316" s="4">
        <f>COUNTIF(Table1[[#This Row],[2019-Apr]:[2025-July]],"&gt;="&amp;Table1[[#This Row],[Target]])</f>
        <v>20</v>
      </c>
      <c r="O316" s="4">
        <f>IF(Table1[[#This Row],[Outliers 2Y]]=0,1,0)</f>
        <v>0</v>
      </c>
      <c r="P316" s="4">
        <f>IF(Table1[[#This Row],[Last value]]&gt;1.5*Table1[[#This Row],[Target]],1,0)</f>
        <v>0</v>
      </c>
      <c r="Q316" s="4">
        <f>IF(AND(1.5*Table1[[#This Row],[Target]]&gt;=Table1[[#This Row],[Last value]],Table1[[#This Row],[Last value]]&gt;Table1[[#This Row],[Target]]),1,0)</f>
        <v>0</v>
      </c>
      <c r="R316" s="4">
        <f>IF(Table1[[#This Row],[Target]]&gt;=Table1[[#This Row],[Last value]],1,0)</f>
        <v>1</v>
      </c>
      <c r="S316" s="4" t="str">
        <f t="shared" si="7"/>
        <v>Green</v>
      </c>
      <c r="T316" s="55">
        <v>0</v>
      </c>
      <c r="U316" s="55">
        <v>8</v>
      </c>
      <c r="V316" s="55">
        <v>3.5</v>
      </c>
      <c r="W316" s="55">
        <v>6.34</v>
      </c>
      <c r="X316" s="55">
        <v>2.36</v>
      </c>
      <c r="Y316" s="55">
        <v>7.32</v>
      </c>
      <c r="Z316" s="55">
        <v>4.68</v>
      </c>
      <c r="AA316" s="55">
        <v>3.81</v>
      </c>
      <c r="AB316" s="55">
        <v>3.42</v>
      </c>
      <c r="AC316" s="55">
        <v>6.01</v>
      </c>
      <c r="AD316" s="55">
        <v>6.57</v>
      </c>
      <c r="AE316" s="55">
        <v>1.7</v>
      </c>
      <c r="AF316" s="55">
        <v>0</v>
      </c>
      <c r="AG316" s="55">
        <v>1</v>
      </c>
      <c r="AH316" s="55">
        <v>1.4</v>
      </c>
      <c r="AI316" s="55">
        <v>1.32</v>
      </c>
      <c r="AJ316" s="55">
        <v>1.89</v>
      </c>
      <c r="AK316" s="55">
        <v>1.0900000000000001</v>
      </c>
      <c r="AL316" s="55">
        <v>0.85</v>
      </c>
      <c r="AM316" s="55">
        <v>1.79</v>
      </c>
      <c r="AN316" s="55">
        <v>2.09</v>
      </c>
      <c r="AO316" s="55">
        <v>1.0900000000000001</v>
      </c>
      <c r="AP316" s="55">
        <v>0</v>
      </c>
      <c r="AQ316" s="55">
        <v>3.27</v>
      </c>
      <c r="AR316" s="8">
        <v>0</v>
      </c>
      <c r="AS316" s="8">
        <v>3.73</v>
      </c>
      <c r="AT316" s="8">
        <v>2.68</v>
      </c>
      <c r="AU316" s="50">
        <v>2.92</v>
      </c>
      <c r="AV316" s="50">
        <v>3.99</v>
      </c>
      <c r="AW316" s="50">
        <v>2.52</v>
      </c>
      <c r="AX316" s="50">
        <v>3.12</v>
      </c>
      <c r="AY316" s="50">
        <v>3.11</v>
      </c>
      <c r="AZ316" s="50">
        <v>4.3</v>
      </c>
      <c r="BA316" s="50">
        <v>2.85</v>
      </c>
      <c r="BB316" s="50">
        <v>2.2999999999999998</v>
      </c>
      <c r="BC316" s="55">
        <v>2.8</v>
      </c>
      <c r="BD316" s="55">
        <v>3.5</v>
      </c>
      <c r="BE316" s="11">
        <v>3.1360000000000001</v>
      </c>
      <c r="BF316" s="4">
        <v>0</v>
      </c>
      <c r="BG316" s="4">
        <v>4.8449999999999998</v>
      </c>
      <c r="BH316" s="4">
        <v>4.8449999999999998</v>
      </c>
      <c r="BI316" s="4">
        <v>2.5830000000000002</v>
      </c>
      <c r="BJ316" s="14">
        <v>3.8050000000000002</v>
      </c>
      <c r="BK316" s="14">
        <v>2.6840000000000002</v>
      </c>
      <c r="BL316" s="4">
        <v>3.5790000000000002</v>
      </c>
      <c r="BM316" s="17">
        <v>4.25</v>
      </c>
      <c r="BN316" s="4">
        <v>9.6940000000000008</v>
      </c>
      <c r="BO316" s="4">
        <v>5.9569999999999999</v>
      </c>
      <c r="BP316" s="4">
        <v>11.11</v>
      </c>
      <c r="BQ316" s="4">
        <v>9.0879999999999992</v>
      </c>
      <c r="BR316" s="4">
        <v>6.3259999999999996</v>
      </c>
      <c r="BS316" s="4">
        <v>6.5339999999999998</v>
      </c>
      <c r="BT316" s="4">
        <v>8.4879999999999995</v>
      </c>
      <c r="BU316" s="4">
        <v>5.6760000000000002</v>
      </c>
      <c r="BV316" s="4">
        <v>3.6040000000000001</v>
      </c>
      <c r="BW316" s="4">
        <v>1.712</v>
      </c>
      <c r="BX316" s="4">
        <v>2.84</v>
      </c>
      <c r="BY316" s="4">
        <v>0</v>
      </c>
      <c r="BZ316" s="55">
        <v>2.92</v>
      </c>
      <c r="CA316" s="55">
        <v>2.5099999999999998</v>
      </c>
      <c r="CB316" s="55">
        <v>2.4300000000000002</v>
      </c>
      <c r="CC316" s="55">
        <v>0</v>
      </c>
      <c r="CD316" s="55">
        <v>3.83</v>
      </c>
      <c r="CE316" s="19">
        <v>0</v>
      </c>
      <c r="CF316" s="19">
        <v>4.5999999999999996</v>
      </c>
      <c r="CG316" s="4">
        <v>16.600000000000001</v>
      </c>
      <c r="CH316" s="4">
        <v>0</v>
      </c>
      <c r="CI316" s="4">
        <v>3.73</v>
      </c>
      <c r="CJ316" s="34">
        <v>3.7</v>
      </c>
      <c r="CK316" s="34">
        <v>2.1</v>
      </c>
      <c r="CL316" s="43">
        <v>2.1</v>
      </c>
      <c r="CM316" s="4">
        <v>5.8</v>
      </c>
      <c r="CN316" s="53">
        <v>2.1</v>
      </c>
      <c r="CO316" s="54">
        <v>4.8</v>
      </c>
      <c r="CP316" s="54">
        <v>3.7</v>
      </c>
      <c r="CQ316" s="4">
        <v>2.9</v>
      </c>
    </row>
    <row r="317" spans="1:95" s="55" customFormat="1" x14ac:dyDescent="0.35">
      <c r="A317" s="55">
        <v>316</v>
      </c>
      <c r="B317" s="55" t="s">
        <v>112</v>
      </c>
      <c r="C317" s="27" t="s">
        <v>765</v>
      </c>
      <c r="D317" s="50" t="s">
        <v>104</v>
      </c>
      <c r="E317" s="33" t="s">
        <v>89</v>
      </c>
      <c r="F317" s="4">
        <f>IFERROR(AVERAGEIF(Table1[[#This Row],[2019-Apr]:[2025-July]],"&lt;&gt;0"),0)</f>
        <v>4.3807462686567167</v>
      </c>
      <c r="G317" s="4">
        <f ca="1">IFERROR(AVERAGEIF(OFFSET(Table1[[#This Row],[Status]],0,COUNT(Table1[[#This Row],[2019-May]:[2025-July]]),1,-12),"&lt;&gt;0"),0)</f>
        <v>6.758</v>
      </c>
      <c r="H317" s="55">
        <f>IFERROR(SMALL(Table1[[#This Row],[2019-Apr]:[2025-July]],COUNTIF(Table1[[#This Row],[2019-Apr]:[2025-July]],0)+1),0)</f>
        <v>1.9</v>
      </c>
      <c r="I317" s="55">
        <f>IFERROR(MAX(Table1[[#This Row],[2019-Apr]:[2025-July]]),0)</f>
        <v>14.4</v>
      </c>
      <c r="J317" s="4" cm="1">
        <f t="array" ref="J31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2.2166666666666668</v>
      </c>
      <c r="K317" s="4">
        <v>4.5</v>
      </c>
      <c r="L317" s="4">
        <f>IF(Table1[[#This Row],[Standard as per ISO]]&gt;=Table1[[#This Row],[Avg of best 6]],Table1[[#This Row],[Standard as per ISO]],Table1[[#This Row],[Avg of best 6]])</f>
        <v>4.5</v>
      </c>
      <c r="M317" s="4" cm="1">
        <f t="array" ref="M317">IFERROR(LOOKUP(2,1/(Table1[[#This Row],[2019-May]:[2025-July]]&lt;&gt;0),Table1[[#This Row],[2019-May]:[2025-July]]),0)</f>
        <v>5.6</v>
      </c>
      <c r="N317" s="4">
        <f>COUNTIF(Table1[[#This Row],[2019-Apr]:[2025-July]],"&gt;="&amp;Table1[[#This Row],[Target]])</f>
        <v>26</v>
      </c>
      <c r="O317" s="4">
        <f>IF(Table1[[#This Row],[Outliers 2Y]]=0,1,0)</f>
        <v>0</v>
      </c>
      <c r="P317" s="4">
        <f>IF(Table1[[#This Row],[Last value]]&gt;1.5*Table1[[#This Row],[Target]],1,0)</f>
        <v>0</v>
      </c>
      <c r="Q317" s="4">
        <f>IF(AND(1.5*Table1[[#This Row],[Target]]&gt;=Table1[[#This Row],[Last value]],Table1[[#This Row],[Last value]]&gt;Table1[[#This Row],[Target]]),1,0)</f>
        <v>1</v>
      </c>
      <c r="R317" s="4">
        <f>IF(Table1[[#This Row],[Target]]&gt;=Table1[[#This Row],[Last value]],1,0)</f>
        <v>0</v>
      </c>
      <c r="S317" s="4" t="str">
        <f t="shared" si="7"/>
        <v>Yellow</v>
      </c>
      <c r="T317" s="55">
        <v>0</v>
      </c>
      <c r="U317" s="55">
        <v>6.24</v>
      </c>
      <c r="V317" s="55">
        <v>4.5</v>
      </c>
      <c r="W317" s="55">
        <v>5.52</v>
      </c>
      <c r="X317" s="55">
        <v>6.52</v>
      </c>
      <c r="Y317" s="55">
        <v>3.53</v>
      </c>
      <c r="Z317" s="55">
        <v>0</v>
      </c>
      <c r="AA317" s="55">
        <v>3.46</v>
      </c>
      <c r="AB317" s="55">
        <v>5.59</v>
      </c>
      <c r="AC317" s="55">
        <v>7.85</v>
      </c>
      <c r="AD317" s="55">
        <v>5.73</v>
      </c>
      <c r="AE317" s="55">
        <v>2.5</v>
      </c>
      <c r="AF317" s="55">
        <v>1.9</v>
      </c>
      <c r="AG317" s="55">
        <v>2.2999999999999998</v>
      </c>
      <c r="AH317" s="55">
        <v>2.2999999999999998</v>
      </c>
      <c r="AI317" s="55">
        <v>4.7</v>
      </c>
      <c r="AJ317" s="55">
        <v>4.01</v>
      </c>
      <c r="AK317" s="55">
        <v>0</v>
      </c>
      <c r="AL317" s="55">
        <v>3.4</v>
      </c>
      <c r="AM317" s="55">
        <v>6.09</v>
      </c>
      <c r="AN317" s="55">
        <v>2.68</v>
      </c>
      <c r="AO317" s="55">
        <v>5.23</v>
      </c>
      <c r="AP317" s="55">
        <v>0</v>
      </c>
      <c r="AQ317" s="55">
        <v>3.53</v>
      </c>
      <c r="AR317" s="8">
        <v>2.73</v>
      </c>
      <c r="AS317" s="8">
        <v>0</v>
      </c>
      <c r="AT317" s="8">
        <v>2.83</v>
      </c>
      <c r="AU317" s="50">
        <v>5.7</v>
      </c>
      <c r="AV317" s="50">
        <v>3.89</v>
      </c>
      <c r="AW317" s="50">
        <v>5.09</v>
      </c>
      <c r="AX317" s="50">
        <v>3.94</v>
      </c>
      <c r="AY317" s="50">
        <v>3.33</v>
      </c>
      <c r="AZ317" s="50">
        <v>2.54</v>
      </c>
      <c r="BA317" s="50">
        <v>4.5999999999999996</v>
      </c>
      <c r="BB317" s="50">
        <v>2.4</v>
      </c>
      <c r="BC317" s="55">
        <v>2.4</v>
      </c>
      <c r="BD317" s="55">
        <v>2</v>
      </c>
      <c r="BE317" s="11">
        <v>2.5830000000000002</v>
      </c>
      <c r="BF317" s="4">
        <v>0</v>
      </c>
      <c r="BG317" s="4">
        <v>3.4340000000000002</v>
      </c>
      <c r="BH317" s="4">
        <v>2.5510000000000002</v>
      </c>
      <c r="BI317" s="4">
        <v>4.1980000000000004</v>
      </c>
      <c r="BJ317" s="13">
        <v>2.85</v>
      </c>
      <c r="BK317" s="13">
        <v>3.7839999999999998</v>
      </c>
      <c r="BL317" s="4">
        <v>2.8460000000000001</v>
      </c>
      <c r="BM317" s="16">
        <v>3.2709999999999999</v>
      </c>
      <c r="BN317" s="4">
        <v>4.6189999999999998</v>
      </c>
      <c r="BO317" s="4">
        <v>4.0960000000000001</v>
      </c>
      <c r="BP317" s="4">
        <v>2.9380000000000002</v>
      </c>
      <c r="BQ317" s="4">
        <v>3.859</v>
      </c>
      <c r="BR317" s="4">
        <v>4.7329999999999997</v>
      </c>
      <c r="BS317" s="4">
        <v>4.9829999999999997</v>
      </c>
      <c r="BT317" s="4">
        <v>6.0490000000000004</v>
      </c>
      <c r="BU317" s="4">
        <v>4.2249999999999996</v>
      </c>
      <c r="BV317" s="4">
        <v>3.6509999999999998</v>
      </c>
      <c r="BW317" s="4">
        <v>3.2930000000000001</v>
      </c>
      <c r="BX317" s="4">
        <v>3.0840000000000001</v>
      </c>
      <c r="BY317" s="4">
        <v>3.2130000000000001</v>
      </c>
      <c r="BZ317" s="55">
        <v>3.45</v>
      </c>
      <c r="CA317" s="55">
        <v>3.52</v>
      </c>
      <c r="CB317" s="55">
        <v>4.07</v>
      </c>
      <c r="CC317" s="55">
        <v>0</v>
      </c>
      <c r="CD317" s="55">
        <v>6</v>
      </c>
      <c r="CE317" s="19">
        <v>0</v>
      </c>
      <c r="CF317" s="19">
        <v>5.4</v>
      </c>
      <c r="CG317" s="4">
        <v>6.2</v>
      </c>
      <c r="CH317" s="4">
        <v>0</v>
      </c>
      <c r="CI317" s="4">
        <v>10.68</v>
      </c>
      <c r="CJ317" s="34">
        <v>14.4</v>
      </c>
      <c r="CK317" s="34">
        <v>10.9</v>
      </c>
      <c r="CL317" s="43">
        <v>3.6</v>
      </c>
      <c r="CM317" s="4">
        <v>3.4</v>
      </c>
      <c r="CN317" s="53">
        <v>4.5999999999999996</v>
      </c>
      <c r="CO317" s="54">
        <v>3.7</v>
      </c>
      <c r="CP317" s="54">
        <v>4.7</v>
      </c>
      <c r="CQ317" s="4">
        <v>5.6</v>
      </c>
    </row>
    <row r="318" spans="1:95" s="55" customFormat="1" x14ac:dyDescent="0.35">
      <c r="A318" s="55">
        <v>317</v>
      </c>
      <c r="B318" s="55" t="s">
        <v>112</v>
      </c>
      <c r="C318" s="27" t="s">
        <v>766</v>
      </c>
      <c r="D318" s="50" t="s">
        <v>104</v>
      </c>
      <c r="E318" s="33" t="s">
        <v>89</v>
      </c>
      <c r="F318" s="4">
        <f>IFERROR(AVERAGEIF(Table1[[#This Row],[2019-Apr]:[2025-July]],"&lt;&gt;0"),0)</f>
        <v>10.561260869565215</v>
      </c>
      <c r="G318" s="4">
        <f ca="1">IFERROR(AVERAGEIF(OFFSET(Table1[[#This Row],[Status]],0,COUNT(Table1[[#This Row],[2019-May]:[2025-July]]),1,-12),"&lt;&gt;0"),0)</f>
        <v>9.4527272727272731</v>
      </c>
      <c r="H318" s="55">
        <f>IFERROR(SMALL(Table1[[#This Row],[2019-Apr]:[2025-July]],COUNTIF(Table1[[#This Row],[2019-Apr]:[2025-July]],0)+1),0)</f>
        <v>3.8050000000000002</v>
      </c>
      <c r="I318" s="55">
        <f>IFERROR(MAX(Table1[[#This Row],[2019-Apr]:[2025-July]]),0)</f>
        <v>28.9</v>
      </c>
      <c r="J318" s="4" cm="1">
        <f t="array" ref="J31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4.434166666666667</v>
      </c>
      <c r="K318" s="4">
        <v>4.5</v>
      </c>
      <c r="L318" s="4">
        <f>IF(Table1[[#This Row],[Standard as per ISO]]&gt;=Table1[[#This Row],[Avg of best 6]],Table1[[#This Row],[Standard as per ISO]],Table1[[#This Row],[Avg of best 6]])</f>
        <v>4.5</v>
      </c>
      <c r="M318" s="4" cm="1">
        <f t="array" ref="M318">IFERROR(LOOKUP(2,1/(Table1[[#This Row],[2019-May]:[2025-July]]&lt;&gt;0),Table1[[#This Row],[2019-May]:[2025-July]]),0)</f>
        <v>10.5</v>
      </c>
      <c r="N318" s="4">
        <f>COUNTIF(Table1[[#This Row],[2019-Apr]:[2025-July]],"&gt;="&amp;Table1[[#This Row],[Target]])</f>
        <v>66</v>
      </c>
      <c r="O318" s="4">
        <f>IF(Table1[[#This Row],[Outliers 2Y]]=0,1,0)</f>
        <v>0</v>
      </c>
      <c r="P318" s="4">
        <f>IF(Table1[[#This Row],[Last value]]&gt;1.5*Table1[[#This Row],[Target]],1,0)</f>
        <v>1</v>
      </c>
      <c r="Q318" s="4">
        <f>IF(AND(1.5*Table1[[#This Row],[Target]]&gt;=Table1[[#This Row],[Last value]],Table1[[#This Row],[Last value]]&gt;Table1[[#This Row],[Target]]),1,0)</f>
        <v>0</v>
      </c>
      <c r="R318" s="4">
        <f>IF(Table1[[#This Row],[Target]]&gt;=Table1[[#This Row],[Last value]],1,0)</f>
        <v>0</v>
      </c>
      <c r="S318" s="4" t="str">
        <f t="shared" si="7"/>
        <v>Red</v>
      </c>
      <c r="T318" s="55">
        <v>0</v>
      </c>
      <c r="U318" s="55">
        <v>13.3</v>
      </c>
      <c r="V318" s="55">
        <v>21.1</v>
      </c>
      <c r="W318" s="55">
        <v>15.5</v>
      </c>
      <c r="X318" s="55">
        <v>24.2</v>
      </c>
      <c r="Y318" s="55">
        <v>12.6</v>
      </c>
      <c r="Z318" s="55">
        <v>14.5</v>
      </c>
      <c r="AA318" s="55">
        <v>7.38</v>
      </c>
      <c r="AB318" s="55">
        <v>16.8</v>
      </c>
      <c r="AC318" s="55">
        <v>12.2</v>
      </c>
      <c r="AD318" s="55">
        <v>7.08</v>
      </c>
      <c r="AE318" s="55">
        <v>5.7</v>
      </c>
      <c r="AF318" s="55">
        <v>5.5</v>
      </c>
      <c r="AG318" s="55">
        <v>11.6</v>
      </c>
      <c r="AH318" s="55">
        <v>5.4</v>
      </c>
      <c r="AI318" s="55">
        <v>11.3</v>
      </c>
      <c r="AJ318" s="55">
        <v>5.83</v>
      </c>
      <c r="AK318" s="55">
        <v>0</v>
      </c>
      <c r="AL318" s="55">
        <v>5.88</v>
      </c>
      <c r="AM318" s="55">
        <v>6.87</v>
      </c>
      <c r="AN318" s="55">
        <v>15.1</v>
      </c>
      <c r="AO318" s="55">
        <v>7.3</v>
      </c>
      <c r="AP318" s="55">
        <v>0</v>
      </c>
      <c r="AQ318" s="55">
        <v>5</v>
      </c>
      <c r="AR318" s="8">
        <v>0</v>
      </c>
      <c r="AS318" s="8">
        <v>6.11</v>
      </c>
      <c r="AT318" s="8">
        <v>8.09</v>
      </c>
      <c r="AU318" s="50">
        <v>28.9</v>
      </c>
      <c r="AV318" s="50">
        <v>18.7</v>
      </c>
      <c r="AW318" s="50">
        <v>14.6</v>
      </c>
      <c r="AX318" s="50">
        <v>16</v>
      </c>
      <c r="AY318" s="50">
        <v>10.1</v>
      </c>
      <c r="AZ318" s="50">
        <v>13.9</v>
      </c>
      <c r="BA318" s="50">
        <v>8.1999999999999993</v>
      </c>
      <c r="BB318" s="50">
        <v>12</v>
      </c>
      <c r="BC318" s="55">
        <v>9.4</v>
      </c>
      <c r="BD318" s="55">
        <v>11.5</v>
      </c>
      <c r="BE318" s="11">
        <v>13.95</v>
      </c>
      <c r="BF318" s="4">
        <v>0</v>
      </c>
      <c r="BG318" s="4">
        <v>11.13</v>
      </c>
      <c r="BH318" s="4">
        <v>14.06</v>
      </c>
      <c r="BI318" s="4">
        <v>12.5</v>
      </c>
      <c r="BJ318" s="14">
        <v>9.4580000000000002</v>
      </c>
      <c r="BK318" s="14">
        <v>17.16</v>
      </c>
      <c r="BL318" s="4">
        <v>9.859</v>
      </c>
      <c r="BM318" s="17">
        <v>10.119999999999999</v>
      </c>
      <c r="BN318" s="4">
        <v>16.47</v>
      </c>
      <c r="BO318" s="4">
        <v>13.8</v>
      </c>
      <c r="BP318" s="4">
        <v>7.7930000000000001</v>
      </c>
      <c r="BQ318" s="4">
        <v>6.5709999999999997</v>
      </c>
      <c r="BR318" s="4">
        <v>3.8050000000000002</v>
      </c>
      <c r="BS318" s="4">
        <v>5.3739999999999997</v>
      </c>
      <c r="BT318" s="4">
        <v>4.7889999999999997</v>
      </c>
      <c r="BU318" s="4">
        <v>5.9939999999999998</v>
      </c>
      <c r="BV318" s="4">
        <v>6.4480000000000004</v>
      </c>
      <c r="BW318" s="4">
        <v>4.8410000000000002</v>
      </c>
      <c r="BX318" s="4">
        <v>5.4660000000000002</v>
      </c>
      <c r="BY318" s="4">
        <v>5.2089999999999996</v>
      </c>
      <c r="BZ318" s="55">
        <v>7.47</v>
      </c>
      <c r="CA318" s="55">
        <v>10.49</v>
      </c>
      <c r="CB318" s="55">
        <v>9.5399999999999991</v>
      </c>
      <c r="CC318" s="55">
        <v>0</v>
      </c>
      <c r="CD318" s="55">
        <v>14.31</v>
      </c>
      <c r="CE318" s="19">
        <v>13.2</v>
      </c>
      <c r="CF318" s="19">
        <v>7.8</v>
      </c>
      <c r="CG318" s="4">
        <v>9.51</v>
      </c>
      <c r="CH318" s="4">
        <v>0</v>
      </c>
      <c r="CI318" s="4">
        <v>4.67</v>
      </c>
      <c r="CJ318" s="34">
        <v>4.4000000000000004</v>
      </c>
      <c r="CK318" s="34">
        <v>4.0999999999999996</v>
      </c>
      <c r="CL318" s="43">
        <v>12.5</v>
      </c>
      <c r="CM318" s="4">
        <v>12.2</v>
      </c>
      <c r="CN318" s="53">
        <v>11.7</v>
      </c>
      <c r="CO318" s="54">
        <v>10</v>
      </c>
      <c r="CP318" s="54">
        <v>13.9</v>
      </c>
      <c r="CQ318" s="4">
        <v>10.5</v>
      </c>
    </row>
    <row r="319" spans="1:95" s="55" customFormat="1" x14ac:dyDescent="0.35">
      <c r="A319" s="55">
        <v>318</v>
      </c>
      <c r="B319" s="55" t="s">
        <v>112</v>
      </c>
      <c r="C319" s="27" t="s">
        <v>767</v>
      </c>
      <c r="D319" s="50" t="s">
        <v>93</v>
      </c>
      <c r="E319" s="33" t="s">
        <v>90</v>
      </c>
      <c r="F319" s="4">
        <f>IFERROR(AVERAGEIF(Table1[[#This Row],[2019-Apr]:[2025-July]],"&lt;&gt;0"),0)</f>
        <v>3.2752027027027024</v>
      </c>
      <c r="G319" s="4">
        <f ca="1">IFERROR(AVERAGEIF(OFFSET(Table1[[#This Row],[Status]],0,COUNT(Table1[[#This Row],[2019-May]:[2025-July]]),1,-12),"&lt;&gt;0"),0)</f>
        <v>1.7508333333333332</v>
      </c>
      <c r="H319" s="55">
        <f>IFERROR(SMALL(Table1[[#This Row],[2019-Apr]:[2025-July]],COUNTIF(Table1[[#This Row],[2019-Apr]:[2025-July]],0)+1),0)</f>
        <v>0.59699999999999998</v>
      </c>
      <c r="I319" s="55">
        <f>IFERROR(MAX(Table1[[#This Row],[2019-Apr]:[2025-July]]),0)</f>
        <v>7.44</v>
      </c>
      <c r="J319" s="4" cm="1">
        <f t="array" ref="J31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0.87966666666666671</v>
      </c>
      <c r="K319" s="4">
        <v>4.5</v>
      </c>
      <c r="L319" s="4">
        <f>IF(Table1[[#This Row],[Standard as per ISO]]&gt;=Table1[[#This Row],[Avg of best 6]],Table1[[#This Row],[Standard as per ISO]],Table1[[#This Row],[Avg of best 6]])</f>
        <v>4.5</v>
      </c>
      <c r="M319" s="4" cm="1">
        <f t="array" ref="M319">IFERROR(LOOKUP(2,1/(Table1[[#This Row],[2019-May]:[2025-July]]&lt;&gt;0),Table1[[#This Row],[2019-May]:[2025-July]]),0)</f>
        <v>1.8</v>
      </c>
      <c r="N319" s="4">
        <f>COUNTIF(Table1[[#This Row],[2019-Apr]:[2025-July]],"&gt;="&amp;Table1[[#This Row],[Target]])</f>
        <v>26</v>
      </c>
      <c r="O319" s="4">
        <f>IF(Table1[[#This Row],[Outliers 2Y]]=0,1,0)</f>
        <v>0</v>
      </c>
      <c r="P319" s="4">
        <f>IF(Table1[[#This Row],[Last value]]&gt;1.5*Table1[[#This Row],[Target]],1,0)</f>
        <v>0</v>
      </c>
      <c r="Q319" s="4">
        <f>IF(AND(1.5*Table1[[#This Row],[Target]]&gt;=Table1[[#This Row],[Last value]],Table1[[#This Row],[Last value]]&gt;Table1[[#This Row],[Target]]),1,0)</f>
        <v>0</v>
      </c>
      <c r="R319" s="4">
        <f>IF(Table1[[#This Row],[Target]]&gt;=Table1[[#This Row],[Last value]],1,0)</f>
        <v>1</v>
      </c>
      <c r="S319" s="4" t="str">
        <f t="shared" si="7"/>
        <v>Green</v>
      </c>
      <c r="T319" s="55">
        <v>0</v>
      </c>
      <c r="U319" s="55">
        <v>3.77</v>
      </c>
      <c r="V319" s="55">
        <v>3.7</v>
      </c>
      <c r="W319" s="55">
        <v>5.88</v>
      </c>
      <c r="X319" s="55">
        <v>5.48</v>
      </c>
      <c r="Y319" s="55">
        <v>5.18</v>
      </c>
      <c r="Z319" s="55">
        <v>4.76</v>
      </c>
      <c r="AA319" s="55">
        <v>1.6</v>
      </c>
      <c r="AB319" s="55">
        <v>7.44</v>
      </c>
      <c r="AC319" s="55">
        <v>5.78</v>
      </c>
      <c r="AD319" s="55">
        <v>4.7699999999999996</v>
      </c>
      <c r="AE319" s="55">
        <v>1.7</v>
      </c>
      <c r="AF319" s="55">
        <v>2</v>
      </c>
      <c r="AG319" s="55">
        <v>1.2</v>
      </c>
      <c r="AH319" s="55">
        <v>1.9</v>
      </c>
      <c r="AI319" s="55">
        <v>5.34</v>
      </c>
      <c r="AJ319" s="55">
        <v>4.88</v>
      </c>
      <c r="AK319" s="55">
        <v>5.23</v>
      </c>
      <c r="AL319" s="55">
        <v>6.28</v>
      </c>
      <c r="AM319" s="55">
        <v>6.43</v>
      </c>
      <c r="AN319" s="55">
        <v>2.4900000000000002</v>
      </c>
      <c r="AO319" s="55">
        <v>5.26</v>
      </c>
      <c r="AP319" s="55">
        <v>0.92</v>
      </c>
      <c r="AQ319" s="55">
        <v>2.99</v>
      </c>
      <c r="AR319" s="8">
        <v>3.87</v>
      </c>
      <c r="AS319" s="8">
        <v>2.77</v>
      </c>
      <c r="AT319" s="8">
        <v>1.34</v>
      </c>
      <c r="AU319" s="50">
        <v>2.33</v>
      </c>
      <c r="AV319" s="50">
        <v>4.18</v>
      </c>
      <c r="AW319" s="50">
        <v>1.4</v>
      </c>
      <c r="AX319" s="50">
        <v>4.91</v>
      </c>
      <c r="AY319" s="50">
        <v>3.21</v>
      </c>
      <c r="AZ319" s="50">
        <v>5.9</v>
      </c>
      <c r="BA319" s="50">
        <v>4.0999999999999996</v>
      </c>
      <c r="BB319" s="50">
        <v>4.8</v>
      </c>
      <c r="BC319" s="55">
        <v>5.4</v>
      </c>
      <c r="BD319" s="55">
        <v>4.2</v>
      </c>
      <c r="BE319" s="11">
        <v>1.9</v>
      </c>
      <c r="BF319" s="4">
        <v>0</v>
      </c>
      <c r="BG319" s="4">
        <v>5.5330000000000004</v>
      </c>
      <c r="BH319" s="4">
        <v>5.5330000000000004</v>
      </c>
      <c r="BI319" s="4">
        <v>3.476</v>
      </c>
      <c r="BJ319" s="13">
        <v>4.9619999999999997</v>
      </c>
      <c r="BK319" s="13">
        <v>3.8759999999999999</v>
      </c>
      <c r="BL319" s="4">
        <v>5.524</v>
      </c>
      <c r="BM319" s="16">
        <v>1.871</v>
      </c>
      <c r="BN319" s="4">
        <v>4.9569999999999999</v>
      </c>
      <c r="BO319" s="4">
        <v>5.6180000000000003</v>
      </c>
      <c r="BP319" s="4">
        <v>3.5409999999999999</v>
      </c>
      <c r="BQ319" s="4">
        <v>2.0009999999999999</v>
      </c>
      <c r="BR319" s="4">
        <v>5.2290000000000001</v>
      </c>
      <c r="BS319" s="4">
        <v>5.4180000000000001</v>
      </c>
      <c r="BT319" s="4">
        <v>5.9219999999999997</v>
      </c>
      <c r="BU319" s="4">
        <v>0.96099999999999997</v>
      </c>
      <c r="BV319" s="4">
        <v>1.1659999999999999</v>
      </c>
      <c r="BW319" s="4">
        <v>0.84</v>
      </c>
      <c r="BX319" s="4">
        <v>0.59699999999999998</v>
      </c>
      <c r="BY319" s="4">
        <v>1.76</v>
      </c>
      <c r="BZ319" s="55">
        <v>1.1000000000000001</v>
      </c>
      <c r="CA319" s="55">
        <v>1.1000000000000001</v>
      </c>
      <c r="CB319" s="55">
        <v>1.25</v>
      </c>
      <c r="CC319" s="55">
        <v>0.9</v>
      </c>
      <c r="CD319" s="55">
        <v>1.1299999999999999</v>
      </c>
      <c r="CE319" s="19">
        <v>1.2</v>
      </c>
      <c r="CF319" s="19">
        <v>1.2</v>
      </c>
      <c r="CG319" s="4">
        <v>1.6</v>
      </c>
      <c r="CH319" s="4">
        <v>1.64</v>
      </c>
      <c r="CI319" s="4">
        <v>1.06</v>
      </c>
      <c r="CJ319" s="34">
        <v>1.3</v>
      </c>
      <c r="CK319" s="34">
        <v>1.5</v>
      </c>
      <c r="CL319" s="43">
        <v>2.1</v>
      </c>
      <c r="CM319" s="4">
        <v>1.4</v>
      </c>
      <c r="CN319" s="53">
        <v>2.1</v>
      </c>
      <c r="CO319" s="54">
        <v>3.07</v>
      </c>
      <c r="CP319" s="54">
        <v>2.84</v>
      </c>
      <c r="CQ319" s="4">
        <v>1.8</v>
      </c>
    </row>
    <row r="320" spans="1:95" s="55" customFormat="1" x14ac:dyDescent="0.35">
      <c r="A320" s="55">
        <v>319</v>
      </c>
      <c r="B320" s="55" t="s">
        <v>112</v>
      </c>
      <c r="C320" s="27" t="s">
        <v>768</v>
      </c>
      <c r="D320" s="50" t="s">
        <v>93</v>
      </c>
      <c r="E320" s="33" t="s">
        <v>90</v>
      </c>
      <c r="F320" s="4">
        <f>IFERROR(AVERAGEIF(Table1[[#This Row],[2019-Apr]:[2025-July]],"&lt;&gt;0"),0)</f>
        <v>2.1754189189189179</v>
      </c>
      <c r="G320" s="4">
        <f ca="1">IFERROR(AVERAGEIF(OFFSET(Table1[[#This Row],[Status]],0,COUNT(Table1[[#This Row],[2019-May]:[2025-July]]),1,-12),"&lt;&gt;0"),0)</f>
        <v>1.2891666666666666</v>
      </c>
      <c r="H320" s="55">
        <f>IFERROR(SMALL(Table1[[#This Row],[2019-Apr]:[2025-July]],COUNTIF(Table1[[#This Row],[2019-Apr]:[2025-July]],0)+1),0)</f>
        <v>0.7</v>
      </c>
      <c r="I320" s="55">
        <f>IFERROR(MAX(Table1[[#This Row],[2019-Apr]:[2025-July]]),0)</f>
        <v>4.8570000000000002</v>
      </c>
      <c r="J320" s="4" cm="1">
        <f t="array" ref="J32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1.0016666666666667</v>
      </c>
      <c r="K320" s="4">
        <v>4.5</v>
      </c>
      <c r="L320" s="4">
        <f>IF(Table1[[#This Row],[Standard as per ISO]]&gt;=Table1[[#This Row],[Avg of best 6]],Table1[[#This Row],[Standard as per ISO]],Table1[[#This Row],[Avg of best 6]])</f>
        <v>4.5</v>
      </c>
      <c r="M320" s="4" cm="1">
        <f t="array" ref="M320">IFERROR(LOOKUP(2,1/(Table1[[#This Row],[2019-May]:[2025-July]]&lt;&gt;0),Table1[[#This Row],[2019-May]:[2025-July]]),0)</f>
        <v>1.2</v>
      </c>
      <c r="N320" s="4">
        <f>COUNTIF(Table1[[#This Row],[2019-Apr]:[2025-July]],"&gt;="&amp;Table1[[#This Row],[Target]])</f>
        <v>1</v>
      </c>
      <c r="O320" s="4">
        <f>IF(Table1[[#This Row],[Outliers 2Y]]=0,1,0)</f>
        <v>0</v>
      </c>
      <c r="P320" s="4">
        <f>IF(Table1[[#This Row],[Last value]]&gt;1.5*Table1[[#This Row],[Target]],1,0)</f>
        <v>0</v>
      </c>
      <c r="Q320" s="4">
        <f>IF(AND(1.5*Table1[[#This Row],[Target]]&gt;=Table1[[#This Row],[Last value]],Table1[[#This Row],[Last value]]&gt;Table1[[#This Row],[Target]]),1,0)</f>
        <v>0</v>
      </c>
      <c r="R320" s="4">
        <f>IF(Table1[[#This Row],[Target]]&gt;=Table1[[#This Row],[Last value]],1,0)</f>
        <v>1</v>
      </c>
      <c r="S320" s="4" t="str">
        <f t="shared" si="7"/>
        <v>Green</v>
      </c>
      <c r="T320" s="55">
        <v>0</v>
      </c>
      <c r="U320" s="55">
        <v>1.83</v>
      </c>
      <c r="V320" s="55">
        <v>2.2000000000000002</v>
      </c>
      <c r="W320" s="55">
        <v>1.81</v>
      </c>
      <c r="X320" s="55">
        <v>1.78</v>
      </c>
      <c r="Y320" s="55">
        <v>2.89</v>
      </c>
      <c r="Z320" s="55">
        <v>2.25</v>
      </c>
      <c r="AA320" s="55">
        <v>1.4</v>
      </c>
      <c r="AB320" s="55">
        <v>1.98</v>
      </c>
      <c r="AC320" s="55">
        <v>2.5</v>
      </c>
      <c r="AD320" s="55">
        <v>2.29</v>
      </c>
      <c r="AE320" s="55">
        <v>1.3</v>
      </c>
      <c r="AF320" s="55">
        <v>2.1</v>
      </c>
      <c r="AG320" s="55">
        <v>0.9</v>
      </c>
      <c r="AH320" s="55">
        <v>1.4</v>
      </c>
      <c r="AI320" s="55">
        <v>2.13</v>
      </c>
      <c r="AJ320" s="55">
        <v>2.59</v>
      </c>
      <c r="AK320" s="55">
        <v>2.2999999999999998</v>
      </c>
      <c r="AL320" s="55">
        <v>2.4700000000000002</v>
      </c>
      <c r="AM320" s="55">
        <v>2.52</v>
      </c>
      <c r="AN320" s="55">
        <v>2.25</v>
      </c>
      <c r="AO320" s="55">
        <v>1.42</v>
      </c>
      <c r="AP320" s="55">
        <v>1.68</v>
      </c>
      <c r="AQ320" s="55">
        <v>2.5099999999999998</v>
      </c>
      <c r="AR320" s="8">
        <v>2.81</v>
      </c>
      <c r="AS320" s="8">
        <v>2.63</v>
      </c>
      <c r="AT320" s="8">
        <v>1.89</v>
      </c>
      <c r="AU320" s="50">
        <v>2.2200000000000002</v>
      </c>
      <c r="AV320" s="50">
        <v>2.5</v>
      </c>
      <c r="AW320" s="50">
        <v>1.75</v>
      </c>
      <c r="AX320" s="50">
        <v>2.63</v>
      </c>
      <c r="AY320" s="50">
        <v>2.3199999999999998</v>
      </c>
      <c r="AZ320" s="50">
        <v>2.44</v>
      </c>
      <c r="BA320" s="50">
        <v>2.4</v>
      </c>
      <c r="BB320" s="50">
        <v>2.8</v>
      </c>
      <c r="BC320" s="55">
        <v>2.1</v>
      </c>
      <c r="BD320" s="55">
        <v>2.4</v>
      </c>
      <c r="BE320" s="11">
        <v>1.8</v>
      </c>
      <c r="BF320" s="4">
        <v>0</v>
      </c>
      <c r="BG320" s="4">
        <v>2.6890000000000001</v>
      </c>
      <c r="BH320" s="4">
        <v>2.6890000000000001</v>
      </c>
      <c r="BI320" s="4">
        <v>2.4870000000000001</v>
      </c>
      <c r="BJ320" s="14">
        <v>3.431</v>
      </c>
      <c r="BK320" s="14">
        <v>2.9289999999999998</v>
      </c>
      <c r="BL320" s="4">
        <v>3.0790000000000002</v>
      </c>
      <c r="BM320" s="17">
        <v>2</v>
      </c>
      <c r="BN320" s="4">
        <v>3.6589999999999998</v>
      </c>
      <c r="BO320" s="4">
        <v>2.9289999999999998</v>
      </c>
      <c r="BP320" s="4">
        <v>2.077</v>
      </c>
      <c r="BQ320" s="4">
        <v>1.7310000000000001</v>
      </c>
      <c r="BR320" s="4">
        <v>2.9830000000000001</v>
      </c>
      <c r="BS320" s="4">
        <v>3.2930000000000001</v>
      </c>
      <c r="BT320" s="4">
        <v>3.21</v>
      </c>
      <c r="BU320" s="4">
        <v>4.4809999999999999</v>
      </c>
      <c r="BV320" s="4">
        <v>4.8570000000000002</v>
      </c>
      <c r="BW320" s="4">
        <v>2.9980000000000002</v>
      </c>
      <c r="BX320" s="4">
        <v>1.7889999999999999</v>
      </c>
      <c r="BY320" s="4">
        <v>2.88</v>
      </c>
      <c r="BZ320" s="55">
        <v>3.73</v>
      </c>
      <c r="CA320" s="55">
        <v>1.25</v>
      </c>
      <c r="CB320" s="55">
        <v>1.43</v>
      </c>
      <c r="CC320" s="55">
        <v>1.21</v>
      </c>
      <c r="CD320" s="55">
        <v>1.31</v>
      </c>
      <c r="CE320" s="19">
        <v>1.3</v>
      </c>
      <c r="CF320" s="19">
        <v>1.3</v>
      </c>
      <c r="CG320" s="4">
        <v>1.1100000000000001</v>
      </c>
      <c r="CH320" s="4">
        <v>1.43</v>
      </c>
      <c r="CI320" s="4">
        <v>0.7</v>
      </c>
      <c r="CJ320" s="34">
        <v>1</v>
      </c>
      <c r="CK320" s="34">
        <v>1.4</v>
      </c>
      <c r="CL320" s="43">
        <v>1.7</v>
      </c>
      <c r="CM320" s="4">
        <v>1.1000000000000001</v>
      </c>
      <c r="CN320" s="53">
        <v>1.7</v>
      </c>
      <c r="CO320" s="54">
        <v>1.35</v>
      </c>
      <c r="CP320" s="54">
        <v>1.38</v>
      </c>
      <c r="CQ320" s="4">
        <v>1.2</v>
      </c>
    </row>
    <row r="321" spans="1:95" s="55" customFormat="1" x14ac:dyDescent="0.35">
      <c r="A321" s="55">
        <v>320</v>
      </c>
      <c r="B321" s="55" t="s">
        <v>112</v>
      </c>
      <c r="C321" s="27" t="s">
        <v>769</v>
      </c>
      <c r="D321" s="50" t="s">
        <v>93</v>
      </c>
      <c r="E321" s="33" t="s">
        <v>89</v>
      </c>
      <c r="F321" s="4">
        <f>IFERROR(AVERAGEIF(Table1[[#This Row],[2019-Apr]:[2025-July]],"&lt;&gt;0"),0)</f>
        <v>3.1442285714285703</v>
      </c>
      <c r="G321" s="4">
        <f ca="1">IFERROR(AVERAGEIF(OFFSET(Table1[[#This Row],[Status]],0,COUNT(Table1[[#This Row],[2019-May]:[2025-July]]),1,-12),"&lt;&gt;0"),0)</f>
        <v>3.0527272727272727</v>
      </c>
      <c r="H321" s="55">
        <f>IFERROR(SMALL(Table1[[#This Row],[2019-Apr]:[2025-July]],COUNTIF(Table1[[#This Row],[2019-Apr]:[2025-July]],0)+1),0)</f>
        <v>1.7</v>
      </c>
      <c r="I321" s="55">
        <f>IFERROR(MAX(Table1[[#This Row],[2019-Apr]:[2025-July]]),0)</f>
        <v>4.87</v>
      </c>
      <c r="J321" s="4" cm="1">
        <f t="array" ref="J32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1.8366666666666667</v>
      </c>
      <c r="K321" s="4">
        <v>4.5</v>
      </c>
      <c r="L321" s="4">
        <f>IF(Table1[[#This Row],[Standard as per ISO]]&gt;=Table1[[#This Row],[Avg of best 6]],Table1[[#This Row],[Standard as per ISO]],Table1[[#This Row],[Avg of best 6]])</f>
        <v>4.5</v>
      </c>
      <c r="M321" s="4" cm="1">
        <f t="array" ref="M321">IFERROR(LOOKUP(2,1/(Table1[[#This Row],[2019-May]:[2025-July]]&lt;&gt;0),Table1[[#This Row],[2019-May]:[2025-July]]),0)</f>
        <v>3.5</v>
      </c>
      <c r="N321" s="4">
        <f>COUNTIF(Table1[[#This Row],[2019-Apr]:[2025-July]],"&gt;="&amp;Table1[[#This Row],[Target]])</f>
        <v>2</v>
      </c>
      <c r="O321" s="4">
        <f>IF(Table1[[#This Row],[Outliers 2Y]]=0,1,0)</f>
        <v>0</v>
      </c>
      <c r="P321" s="4">
        <f>IF(Table1[[#This Row],[Last value]]&gt;1.5*Table1[[#This Row],[Target]],1,0)</f>
        <v>0</v>
      </c>
      <c r="Q321" s="4">
        <f>IF(AND(1.5*Table1[[#This Row],[Target]]&gt;=Table1[[#This Row],[Last value]],Table1[[#This Row],[Last value]]&gt;Table1[[#This Row],[Target]]),1,0)</f>
        <v>0</v>
      </c>
      <c r="R321" s="4">
        <f>IF(Table1[[#This Row],[Target]]&gt;=Table1[[#This Row],[Last value]],1,0)</f>
        <v>1</v>
      </c>
      <c r="S321" s="4" t="str">
        <f t="shared" si="7"/>
        <v>Green</v>
      </c>
      <c r="T321" s="55">
        <v>0</v>
      </c>
      <c r="U321" s="55">
        <v>2.5499999999999998</v>
      </c>
      <c r="V321" s="55">
        <v>2.08</v>
      </c>
      <c r="W321" s="55">
        <v>1.88</v>
      </c>
      <c r="X321" s="55">
        <v>1.78</v>
      </c>
      <c r="Y321" s="55">
        <v>2.42</v>
      </c>
      <c r="Z321" s="55">
        <v>2.2999999999999998</v>
      </c>
      <c r="AA321" s="55">
        <v>1.85</v>
      </c>
      <c r="AB321" s="55">
        <v>2.39</v>
      </c>
      <c r="AC321" s="55">
        <v>1.91</v>
      </c>
      <c r="AD321" s="55">
        <v>2.5</v>
      </c>
      <c r="AE321" s="55">
        <v>3.1</v>
      </c>
      <c r="AF321" s="55">
        <v>2.9</v>
      </c>
      <c r="AG321" s="55">
        <v>2.7</v>
      </c>
      <c r="AH321" s="55">
        <v>2.9</v>
      </c>
      <c r="AI321" s="55">
        <v>2.5</v>
      </c>
      <c r="AJ321" s="55">
        <v>2.39</v>
      </c>
      <c r="AK321" s="55">
        <v>2.08</v>
      </c>
      <c r="AL321" s="55">
        <v>2.2599999999999998</v>
      </c>
      <c r="AM321" s="55">
        <v>2.16</v>
      </c>
      <c r="AN321" s="55">
        <v>2.13</v>
      </c>
      <c r="AO321" s="55">
        <v>2.35</v>
      </c>
      <c r="AP321" s="55">
        <v>0</v>
      </c>
      <c r="AQ321" s="55">
        <v>2.93</v>
      </c>
      <c r="AR321" s="8">
        <v>4.87</v>
      </c>
      <c r="AS321" s="8">
        <v>0</v>
      </c>
      <c r="AT321" s="8">
        <v>4.3499999999999996</v>
      </c>
      <c r="AU321" s="50">
        <v>4.54</v>
      </c>
      <c r="AV321" s="50">
        <v>3.97</v>
      </c>
      <c r="AW321" s="50">
        <v>4.37</v>
      </c>
      <c r="AX321" s="50">
        <v>4.4000000000000004</v>
      </c>
      <c r="AY321" s="50">
        <v>4.07</v>
      </c>
      <c r="AZ321" s="50">
        <v>4.4000000000000004</v>
      </c>
      <c r="BA321" s="50">
        <v>3.82</v>
      </c>
      <c r="BB321" s="50">
        <v>3.8</v>
      </c>
      <c r="BC321" s="55">
        <v>3.5</v>
      </c>
      <c r="BD321" s="55">
        <v>0</v>
      </c>
      <c r="BE321" s="11">
        <v>3.3250000000000002</v>
      </c>
      <c r="BF321" s="4">
        <v>0</v>
      </c>
      <c r="BG321" s="4">
        <v>3.2530000000000001</v>
      </c>
      <c r="BH321" s="4">
        <v>3.2530000000000001</v>
      </c>
      <c r="BI321" s="4">
        <v>3.3740000000000001</v>
      </c>
      <c r="BJ321" s="13">
        <v>3.2789999999999999</v>
      </c>
      <c r="BK321" s="13">
        <v>3.2789999999999999</v>
      </c>
      <c r="BL321" s="4">
        <v>3.2789999999999999</v>
      </c>
      <c r="BM321" s="16">
        <v>3.169</v>
      </c>
      <c r="BN321" s="4">
        <v>3.1640000000000001</v>
      </c>
      <c r="BO321" s="4">
        <v>3.9140000000000001</v>
      </c>
      <c r="BP321" s="4">
        <v>4.0720000000000001</v>
      </c>
      <c r="BQ321" s="4">
        <v>3.286</v>
      </c>
      <c r="BR321" s="4">
        <v>3.59</v>
      </c>
      <c r="BS321" s="4">
        <v>3.5859999999999999</v>
      </c>
      <c r="BT321" s="4">
        <v>3.8029999999999999</v>
      </c>
      <c r="BU321" s="4">
        <v>3.6520000000000001</v>
      </c>
      <c r="BV321" s="4">
        <v>3.3330000000000002</v>
      </c>
      <c r="BW321" s="4">
        <v>3.508</v>
      </c>
      <c r="BX321" s="4">
        <v>3.4079999999999999</v>
      </c>
      <c r="BY321" s="4">
        <v>2.9590000000000001</v>
      </c>
      <c r="BZ321" s="55">
        <v>3.21</v>
      </c>
      <c r="CA321" s="55">
        <v>2.79</v>
      </c>
      <c r="CB321" s="55">
        <v>3.17</v>
      </c>
      <c r="CC321" s="55">
        <v>3.64</v>
      </c>
      <c r="CD321" s="55">
        <v>3.57</v>
      </c>
      <c r="CE321" s="19">
        <v>0</v>
      </c>
      <c r="CF321" s="19">
        <v>4.0999999999999996</v>
      </c>
      <c r="CG321" s="4">
        <v>3.52</v>
      </c>
      <c r="CH321" s="4">
        <v>3.18</v>
      </c>
      <c r="CI321" s="4">
        <v>3.98</v>
      </c>
      <c r="CJ321" s="34">
        <v>2.6</v>
      </c>
      <c r="CK321" s="34">
        <v>3.3</v>
      </c>
      <c r="CL321" s="43">
        <v>1.9</v>
      </c>
      <c r="CM321" s="4">
        <v>2.7</v>
      </c>
      <c r="CN321" s="53">
        <v>3.1</v>
      </c>
      <c r="CO321" s="54">
        <v>3.5</v>
      </c>
      <c r="CP321" s="54">
        <v>1.7</v>
      </c>
      <c r="CQ321" s="4">
        <v>3.5</v>
      </c>
    </row>
    <row r="322" spans="1:95" s="55" customFormat="1" x14ac:dyDescent="0.35">
      <c r="A322" s="55">
        <v>321</v>
      </c>
      <c r="B322" s="55" t="s">
        <v>112</v>
      </c>
      <c r="C322" s="27" t="s">
        <v>770</v>
      </c>
      <c r="D322" s="50" t="s">
        <v>93</v>
      </c>
      <c r="E322" s="33" t="s">
        <v>89</v>
      </c>
      <c r="F322" s="4">
        <f>IFERROR(AVERAGEIF(Table1[[#This Row],[2019-Apr]:[2025-July]],"&lt;&gt;0"),0)</f>
        <v>2.2673235294117653</v>
      </c>
      <c r="G322" s="4">
        <f ca="1">IFERROR(AVERAGEIF(OFFSET(Table1[[#This Row],[Status]],0,COUNT(Table1[[#This Row],[2019-May]:[2025-July]]),1,-12),"&lt;&gt;0"),0)</f>
        <v>1.6509090909090909</v>
      </c>
      <c r="H322" s="55">
        <f>IFERROR(SMALL(Table1[[#This Row],[2019-Apr]:[2025-July]],COUNTIF(Table1[[#This Row],[2019-Apr]:[2025-July]],0)+1),0)</f>
        <v>1.05</v>
      </c>
      <c r="I322" s="55">
        <f>IFERROR(MAX(Table1[[#This Row],[2019-Apr]:[2025-July]]),0)</f>
        <v>5.49</v>
      </c>
      <c r="J322" s="4" cm="1">
        <f t="array" ref="J32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1.1293333333333335</v>
      </c>
      <c r="K322" s="4">
        <v>4.5</v>
      </c>
      <c r="L322" s="4">
        <f>IF(Table1[[#This Row],[Standard as per ISO]]&gt;=Table1[[#This Row],[Avg of best 6]],Table1[[#This Row],[Standard as per ISO]],Table1[[#This Row],[Avg of best 6]])</f>
        <v>4.5</v>
      </c>
      <c r="M322" s="4" cm="1">
        <f t="array" ref="M322">IFERROR(LOOKUP(2,1/(Table1[[#This Row],[2019-May]:[2025-July]]&lt;&gt;0),Table1[[#This Row],[2019-May]:[2025-July]]),0)</f>
        <v>1.2</v>
      </c>
      <c r="N322" s="4">
        <f>COUNTIF(Table1[[#This Row],[2019-Apr]:[2025-July]],"&gt;="&amp;Table1[[#This Row],[Target]])</f>
        <v>2</v>
      </c>
      <c r="O322" s="4">
        <f>IF(Table1[[#This Row],[Outliers 2Y]]=0,1,0)</f>
        <v>0</v>
      </c>
      <c r="P322" s="4">
        <f>IF(Table1[[#This Row],[Last value]]&gt;1.5*Table1[[#This Row],[Target]],1,0)</f>
        <v>0</v>
      </c>
      <c r="Q322" s="4">
        <f>IF(AND(1.5*Table1[[#This Row],[Target]]&gt;=Table1[[#This Row],[Last value]],Table1[[#This Row],[Last value]]&gt;Table1[[#This Row],[Target]]),1,0)</f>
        <v>0</v>
      </c>
      <c r="R322" s="4">
        <f>IF(Table1[[#This Row],[Target]]&gt;=Table1[[#This Row],[Last value]],1,0)</f>
        <v>1</v>
      </c>
      <c r="S322" s="4" t="str">
        <f t="shared" si="7"/>
        <v>Green</v>
      </c>
      <c r="T322" s="55">
        <v>0</v>
      </c>
      <c r="U322" s="55">
        <v>0</v>
      </c>
      <c r="V322" s="55">
        <v>4.16</v>
      </c>
      <c r="W322" s="55">
        <v>2.35</v>
      </c>
      <c r="X322" s="55">
        <v>2.27</v>
      </c>
      <c r="Y322" s="55">
        <v>2.66</v>
      </c>
      <c r="Z322" s="55">
        <v>3.03</v>
      </c>
      <c r="AA322" s="55">
        <v>4.01</v>
      </c>
      <c r="AB322" s="55">
        <v>1.78</v>
      </c>
      <c r="AC322" s="55">
        <v>4.84</v>
      </c>
      <c r="AD322" s="55">
        <v>5.49</v>
      </c>
      <c r="AE322" s="55">
        <v>1.9</v>
      </c>
      <c r="AF322" s="55">
        <v>0</v>
      </c>
      <c r="AG322" s="55">
        <v>2.2000000000000002</v>
      </c>
      <c r="AH322" s="55">
        <v>2.1</v>
      </c>
      <c r="AI322" s="55">
        <v>2.63</v>
      </c>
      <c r="AJ322" s="55">
        <v>2.02</v>
      </c>
      <c r="AK322" s="55">
        <v>2.2000000000000002</v>
      </c>
      <c r="AL322" s="55">
        <v>2.7</v>
      </c>
      <c r="AM322" s="55">
        <v>0</v>
      </c>
      <c r="AN322" s="55">
        <v>2.06</v>
      </c>
      <c r="AO322" s="55">
        <v>1.65</v>
      </c>
      <c r="AP322" s="55">
        <v>0</v>
      </c>
      <c r="AQ322" s="55">
        <v>2.38</v>
      </c>
      <c r="AR322" s="8">
        <v>0</v>
      </c>
      <c r="AS322" s="8">
        <v>2.0099999999999998</v>
      </c>
      <c r="AT322" s="8">
        <v>1.82</v>
      </c>
      <c r="AU322" s="50">
        <v>1.91</v>
      </c>
      <c r="AV322" s="50">
        <v>2.7</v>
      </c>
      <c r="AW322" s="50">
        <v>2.57</v>
      </c>
      <c r="AX322" s="50">
        <v>3.66</v>
      </c>
      <c r="AY322" s="50">
        <v>1.98</v>
      </c>
      <c r="AZ322" s="50">
        <v>2.88</v>
      </c>
      <c r="BA322" s="50">
        <v>3.2</v>
      </c>
      <c r="BB322" s="50">
        <v>3.7</v>
      </c>
      <c r="BC322" s="55">
        <v>3.6</v>
      </c>
      <c r="BD322" s="55">
        <v>4.2</v>
      </c>
      <c r="BE322" s="11">
        <v>2.8050000000000002</v>
      </c>
      <c r="BF322" s="4">
        <v>0</v>
      </c>
      <c r="BG322" s="4">
        <v>3.0870000000000002</v>
      </c>
      <c r="BH322" s="4">
        <v>3.0870000000000002</v>
      </c>
      <c r="BI322" s="4">
        <v>2.7309999999999999</v>
      </c>
      <c r="BJ322" s="14">
        <v>2.62</v>
      </c>
      <c r="BK322" s="14">
        <v>2.4620000000000002</v>
      </c>
      <c r="BL322" s="4">
        <v>2.2930000000000001</v>
      </c>
      <c r="BM322" s="17">
        <v>1.7589999999999999</v>
      </c>
      <c r="BN322" s="4">
        <v>2.7829999999999999</v>
      </c>
      <c r="BO322" s="4">
        <v>2.3239999999999998</v>
      </c>
      <c r="BP322" s="4">
        <v>2.8719999999999999</v>
      </c>
      <c r="BQ322" s="4">
        <v>1.1759999999999999</v>
      </c>
      <c r="BR322" s="4">
        <v>1.31</v>
      </c>
      <c r="BS322" s="4">
        <v>1.5509999999999999</v>
      </c>
      <c r="BT322" s="4">
        <v>1.9770000000000001</v>
      </c>
      <c r="BU322" s="4">
        <v>1.7050000000000001</v>
      </c>
      <c r="BV322" s="4">
        <v>1.5629999999999999</v>
      </c>
      <c r="BW322" s="4">
        <v>1.4690000000000001</v>
      </c>
      <c r="BX322" s="4">
        <v>1.226</v>
      </c>
      <c r="BY322" s="4">
        <v>1.218</v>
      </c>
      <c r="BZ322" s="55">
        <v>1.36</v>
      </c>
      <c r="CA322" s="55">
        <v>1.45</v>
      </c>
      <c r="CB322" s="55">
        <v>1.05</v>
      </c>
      <c r="CC322" s="55">
        <v>1.05</v>
      </c>
      <c r="CD322" s="55">
        <v>1.23</v>
      </c>
      <c r="CE322" s="19">
        <v>1.8</v>
      </c>
      <c r="CF322" s="19">
        <v>1.1000000000000001</v>
      </c>
      <c r="CG322" s="4">
        <v>1.28</v>
      </c>
      <c r="CH322" s="4">
        <v>0</v>
      </c>
      <c r="CI322" s="4">
        <v>2.38</v>
      </c>
      <c r="CJ322" s="34">
        <v>2.1</v>
      </c>
      <c r="CK322" s="34">
        <v>1.2</v>
      </c>
      <c r="CL322" s="43">
        <v>1.8</v>
      </c>
      <c r="CM322" s="4">
        <v>1.9</v>
      </c>
      <c r="CN322" s="53">
        <v>1.3</v>
      </c>
      <c r="CO322" s="54">
        <v>1.8</v>
      </c>
      <c r="CP322" s="54">
        <v>1.5</v>
      </c>
      <c r="CQ322" s="4">
        <v>1.2</v>
      </c>
    </row>
    <row r="323" spans="1:95" s="55" customFormat="1" x14ac:dyDescent="0.35">
      <c r="A323" s="55">
        <v>322</v>
      </c>
      <c r="B323" s="55" t="s">
        <v>112</v>
      </c>
      <c r="C323" s="27" t="s">
        <v>771</v>
      </c>
      <c r="D323" s="50" t="s">
        <v>93</v>
      </c>
      <c r="E323" s="33" t="s">
        <v>89</v>
      </c>
      <c r="F323" s="4">
        <f>IFERROR(AVERAGEIF(Table1[[#This Row],[2019-Apr]:[2025-July]],"&lt;&gt;0"),0)</f>
        <v>3.1497826086956517</v>
      </c>
      <c r="G323" s="4">
        <f ca="1">IFERROR(AVERAGEIF(OFFSET(Table1[[#This Row],[Status]],0,COUNT(Table1[[#This Row],[2019-May]:[2025-July]]),1,-12),"&lt;&gt;0"),0)</f>
        <v>2.0166666666666671</v>
      </c>
      <c r="H323" s="55">
        <f>IFERROR(SMALL(Table1[[#This Row],[2019-Apr]:[2025-July]],COUNTIF(Table1[[#This Row],[2019-Apr]:[2025-July]],0)+1),0)</f>
        <v>0.84</v>
      </c>
      <c r="I323" s="55">
        <f>IFERROR(MAX(Table1[[#This Row],[2019-Apr]:[2025-July]]),0)</f>
        <v>6.08</v>
      </c>
      <c r="J323" s="4" cm="1">
        <f t="array" ref="J32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1.0976666666666666</v>
      </c>
      <c r="K323" s="4">
        <v>4.5</v>
      </c>
      <c r="L323" s="4">
        <f>IF(Table1[[#This Row],[Standard as per ISO]]&gt;=Table1[[#This Row],[Avg of best 6]],Table1[[#This Row],[Standard as per ISO]],Table1[[#This Row],[Avg of best 6]])</f>
        <v>4.5</v>
      </c>
      <c r="M323" s="4" cm="1">
        <f t="array" ref="M323">IFERROR(LOOKUP(2,1/(Table1[[#This Row],[2019-May]:[2025-July]]&lt;&gt;0),Table1[[#This Row],[2019-May]:[2025-July]]),0)</f>
        <v>1.9</v>
      </c>
      <c r="N323" s="4">
        <f>COUNTIF(Table1[[#This Row],[2019-Apr]:[2025-July]],"&gt;="&amp;Table1[[#This Row],[Target]])</f>
        <v>16</v>
      </c>
      <c r="O323" s="4">
        <f>IF(Table1[[#This Row],[Outliers 2Y]]=0,1,0)</f>
        <v>0</v>
      </c>
      <c r="P323" s="4">
        <f>IF(Table1[[#This Row],[Last value]]&gt;1.5*Table1[[#This Row],[Target]],1,0)</f>
        <v>0</v>
      </c>
      <c r="Q323" s="4">
        <f>IF(AND(1.5*Table1[[#This Row],[Target]]&gt;=Table1[[#This Row],[Last value]],Table1[[#This Row],[Last value]]&gt;Table1[[#This Row],[Target]]),1,0)</f>
        <v>0</v>
      </c>
      <c r="R323" s="4">
        <f>IF(Table1[[#This Row],[Target]]&gt;=Table1[[#This Row],[Last value]],1,0)</f>
        <v>1</v>
      </c>
      <c r="S323" s="4" t="str">
        <f t="shared" si="7"/>
        <v>Green</v>
      </c>
      <c r="T323" s="55">
        <v>0</v>
      </c>
      <c r="U323" s="55">
        <v>0</v>
      </c>
      <c r="V323" s="55">
        <v>3.9</v>
      </c>
      <c r="W323" s="55">
        <v>3.45</v>
      </c>
      <c r="X323" s="55">
        <v>3.41</v>
      </c>
      <c r="Y323" s="55">
        <v>4.1100000000000003</v>
      </c>
      <c r="Z323" s="55">
        <v>3.93</v>
      </c>
      <c r="AA323" s="55">
        <v>3.98</v>
      </c>
      <c r="AB323" s="55">
        <v>2.82</v>
      </c>
      <c r="AC323" s="55">
        <v>3.25</v>
      </c>
      <c r="AD323" s="55">
        <v>4.25</v>
      </c>
      <c r="AE323" s="55">
        <v>3.7</v>
      </c>
      <c r="AF323" s="55">
        <v>0</v>
      </c>
      <c r="AG323" s="55">
        <v>3.7</v>
      </c>
      <c r="AH323" s="55">
        <v>3.6</v>
      </c>
      <c r="AI323" s="55">
        <v>4.84</v>
      </c>
      <c r="AJ323" s="55">
        <v>4.63</v>
      </c>
      <c r="AK323" s="55">
        <v>4.1500000000000004</v>
      </c>
      <c r="AL323" s="55">
        <v>4.1500000000000004</v>
      </c>
      <c r="AM323" s="55">
        <v>0</v>
      </c>
      <c r="AN323" s="55">
        <v>4.6500000000000004</v>
      </c>
      <c r="AO323" s="55">
        <v>4.5999999999999996</v>
      </c>
      <c r="AP323" s="55">
        <v>0</v>
      </c>
      <c r="AQ323" s="55">
        <v>5.65</v>
      </c>
      <c r="AR323" s="8">
        <v>0</v>
      </c>
      <c r="AS323" s="8">
        <v>5.24</v>
      </c>
      <c r="AT323" s="8">
        <v>5.55</v>
      </c>
      <c r="AU323" s="50">
        <v>5.98</v>
      </c>
      <c r="AV323" s="50">
        <v>5.6</v>
      </c>
      <c r="AW323" s="50">
        <v>4.46</v>
      </c>
      <c r="AX323" s="50">
        <v>5.77</v>
      </c>
      <c r="AY323" s="50">
        <v>5.2</v>
      </c>
      <c r="AZ323" s="50">
        <v>6.08</v>
      </c>
      <c r="BA323" s="50">
        <v>3.5</v>
      </c>
      <c r="BB323" s="50">
        <v>3.4</v>
      </c>
      <c r="BC323" s="55">
        <v>3.3</v>
      </c>
      <c r="BD323" s="55">
        <v>2.9</v>
      </c>
      <c r="BE323" s="11">
        <v>3.343</v>
      </c>
      <c r="BF323" s="4">
        <v>0</v>
      </c>
      <c r="BG323" s="4">
        <v>1.57</v>
      </c>
      <c r="BH323" s="4">
        <v>1.57</v>
      </c>
      <c r="BI323" s="4">
        <v>1.357</v>
      </c>
      <c r="BJ323" s="13">
        <v>2.0409999999999999</v>
      </c>
      <c r="BK323" s="13">
        <v>1.67</v>
      </c>
      <c r="BL323" s="4">
        <v>1.7370000000000001</v>
      </c>
      <c r="BM323" s="16">
        <v>1.6060000000000001</v>
      </c>
      <c r="BN323" s="4">
        <v>1.593</v>
      </c>
      <c r="BO323" s="4">
        <v>3.859</v>
      </c>
      <c r="BP323" s="4">
        <v>4.8979999999999997</v>
      </c>
      <c r="BQ323" s="4">
        <v>4.6050000000000004</v>
      </c>
      <c r="BR323" s="4">
        <v>3.8690000000000002</v>
      </c>
      <c r="BS323" s="4">
        <v>4.577</v>
      </c>
      <c r="BT323" s="4">
        <v>3.6190000000000002</v>
      </c>
      <c r="BU323" s="4">
        <v>1.6120000000000001</v>
      </c>
      <c r="BV323" s="4">
        <v>1.597</v>
      </c>
      <c r="BW323" s="4">
        <v>1.716</v>
      </c>
      <c r="BX323" s="4">
        <v>1.79</v>
      </c>
      <c r="BY323" s="4">
        <v>1.246</v>
      </c>
      <c r="BZ323" s="55">
        <v>1.43</v>
      </c>
      <c r="CA323" s="55">
        <v>1.82</v>
      </c>
      <c r="CB323" s="55">
        <v>1.78</v>
      </c>
      <c r="CC323" s="55">
        <v>0.84</v>
      </c>
      <c r="CD323" s="55">
        <v>1.74</v>
      </c>
      <c r="CE323" s="19">
        <v>1.1000000000000001</v>
      </c>
      <c r="CF323" s="19">
        <v>1</v>
      </c>
      <c r="CG323" s="4">
        <v>1.53</v>
      </c>
      <c r="CH323" s="4">
        <v>5.38</v>
      </c>
      <c r="CI323" s="4">
        <v>2.79</v>
      </c>
      <c r="CJ323" s="34">
        <v>2.2999999999999998</v>
      </c>
      <c r="CK323" s="34">
        <v>1.3</v>
      </c>
      <c r="CL323" s="43">
        <v>2</v>
      </c>
      <c r="CM323" s="4">
        <v>2.1</v>
      </c>
      <c r="CN323" s="53">
        <v>1.1000000000000001</v>
      </c>
      <c r="CO323" s="54">
        <v>1.8</v>
      </c>
      <c r="CP323" s="54">
        <v>1.8</v>
      </c>
      <c r="CQ323" s="4">
        <v>1.9</v>
      </c>
    </row>
    <row r="324" spans="1:95" s="55" customFormat="1" x14ac:dyDescent="0.35">
      <c r="A324" s="55">
        <v>323</v>
      </c>
      <c r="B324" s="55" t="s">
        <v>112</v>
      </c>
      <c r="C324" s="27" t="s">
        <v>772</v>
      </c>
      <c r="D324" s="50" t="s">
        <v>93</v>
      </c>
      <c r="E324" s="33" t="s">
        <v>89</v>
      </c>
      <c r="F324" s="4">
        <f>IFERROR(AVERAGEIF(Table1[[#This Row],[2019-Apr]:[2025-July]],"&lt;&gt;0"),0)</f>
        <v>3.1786142857142852</v>
      </c>
      <c r="G324" s="4">
        <f ca="1">IFERROR(AVERAGEIF(OFFSET(Table1[[#This Row],[Status]],0,COUNT(Table1[[#This Row],[2019-May]:[2025-July]]),1,-12),"&lt;&gt;0"),0)</f>
        <v>3.5033333333333334</v>
      </c>
      <c r="H324" s="55">
        <f>IFERROR(SMALL(Table1[[#This Row],[2019-Apr]:[2025-July]],COUNTIF(Table1[[#This Row],[2019-Apr]:[2025-July]],0)+1),0)</f>
        <v>1.3220000000000001</v>
      </c>
      <c r="I324" s="55">
        <f>IFERROR(MAX(Table1[[#This Row],[2019-Apr]:[2025-July]]),0)</f>
        <v>5.16</v>
      </c>
      <c r="J324" s="4" cm="1">
        <f t="array" ref="J32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1.8181666666666667</v>
      </c>
      <c r="K324" s="4">
        <v>4.5</v>
      </c>
      <c r="L324" s="4">
        <f>IF(Table1[[#This Row],[Standard as per ISO]]&gt;=Table1[[#This Row],[Avg of best 6]],Table1[[#This Row],[Standard as per ISO]],Table1[[#This Row],[Avg of best 6]])</f>
        <v>4.5</v>
      </c>
      <c r="M324" s="4" cm="1">
        <f t="array" ref="M324">IFERROR(LOOKUP(2,1/(Table1[[#This Row],[2019-May]:[2025-July]]&lt;&gt;0),Table1[[#This Row],[2019-May]:[2025-July]]),0)</f>
        <v>3.5</v>
      </c>
      <c r="N324" s="4">
        <f>COUNTIF(Table1[[#This Row],[2019-Apr]:[2025-July]],"&gt;="&amp;Table1[[#This Row],[Target]])</f>
        <v>6</v>
      </c>
      <c r="O324" s="4">
        <f>IF(Table1[[#This Row],[Outliers 2Y]]=0,1,0)</f>
        <v>0</v>
      </c>
      <c r="P324" s="4">
        <f>IF(Table1[[#This Row],[Last value]]&gt;1.5*Table1[[#This Row],[Target]],1,0)</f>
        <v>0</v>
      </c>
      <c r="Q324" s="4">
        <f>IF(AND(1.5*Table1[[#This Row],[Target]]&gt;=Table1[[#This Row],[Last value]],Table1[[#This Row],[Last value]]&gt;Table1[[#This Row],[Target]]),1,0)</f>
        <v>0</v>
      </c>
      <c r="R324" s="4">
        <f>IF(Table1[[#This Row],[Target]]&gt;=Table1[[#This Row],[Last value]],1,0)</f>
        <v>1</v>
      </c>
      <c r="S324" s="4" t="str">
        <f t="shared" si="7"/>
        <v>Green</v>
      </c>
      <c r="T324" s="55">
        <v>0</v>
      </c>
      <c r="U324" s="55">
        <v>3.94</v>
      </c>
      <c r="V324" s="55">
        <v>4.46</v>
      </c>
      <c r="W324" s="55">
        <v>4.12</v>
      </c>
      <c r="X324" s="55">
        <v>3.81</v>
      </c>
      <c r="Y324" s="55">
        <v>4.51</v>
      </c>
      <c r="Z324" s="55">
        <v>4.55</v>
      </c>
      <c r="AA324" s="55">
        <v>4.28</v>
      </c>
      <c r="AB324" s="55">
        <v>2</v>
      </c>
      <c r="AC324" s="55">
        <v>3.29</v>
      </c>
      <c r="AD324" s="55">
        <v>3.41</v>
      </c>
      <c r="AE324" s="55">
        <v>3.3</v>
      </c>
      <c r="AF324" s="55">
        <v>0</v>
      </c>
      <c r="AG324" s="55">
        <v>2.4</v>
      </c>
      <c r="AH324" s="55">
        <v>2</v>
      </c>
      <c r="AI324" s="55">
        <v>2.23</v>
      </c>
      <c r="AJ324" s="55">
        <v>2.3199999999999998</v>
      </c>
      <c r="AK324" s="55">
        <v>2.34</v>
      </c>
      <c r="AL324" s="55">
        <v>4.96</v>
      </c>
      <c r="AM324" s="55">
        <v>0</v>
      </c>
      <c r="AN324" s="55">
        <v>5.16</v>
      </c>
      <c r="AO324" s="55">
        <v>3.68</v>
      </c>
      <c r="AP324" s="55">
        <v>0</v>
      </c>
      <c r="AQ324" s="55">
        <v>3.92</v>
      </c>
      <c r="AR324" s="8">
        <v>0</v>
      </c>
      <c r="AS324" s="8">
        <v>3.19</v>
      </c>
      <c r="AT324" s="8">
        <v>3.56</v>
      </c>
      <c r="AU324" s="50">
        <v>3.5</v>
      </c>
      <c r="AV324" s="50">
        <v>3.1</v>
      </c>
      <c r="AW324" s="50">
        <v>3.5</v>
      </c>
      <c r="AX324" s="50">
        <v>2.38</v>
      </c>
      <c r="AY324" s="50">
        <v>3.78</v>
      </c>
      <c r="AZ324" s="50">
        <v>3.64</v>
      </c>
      <c r="BA324" s="50">
        <v>3.3</v>
      </c>
      <c r="BB324" s="50">
        <v>3.6</v>
      </c>
      <c r="BC324" s="55">
        <v>3.3</v>
      </c>
      <c r="BD324" s="55">
        <v>2.9</v>
      </c>
      <c r="BE324" s="11">
        <v>2.8050000000000002</v>
      </c>
      <c r="BF324" s="4"/>
      <c r="BG324" s="4">
        <v>2.294</v>
      </c>
      <c r="BH324" s="4">
        <v>2.294</v>
      </c>
      <c r="BI324" s="4">
        <v>1.9259999999999999</v>
      </c>
      <c r="BJ324" s="14">
        <v>3.1949999999999998</v>
      </c>
      <c r="BK324" s="14">
        <v>3.0409999999999999</v>
      </c>
      <c r="BL324" s="4">
        <v>3.9159999999999999</v>
      </c>
      <c r="BM324" s="17">
        <v>4.2350000000000003</v>
      </c>
      <c r="BN324" s="4">
        <v>3.8439999999999999</v>
      </c>
      <c r="BO324" s="4">
        <v>2.4780000000000002</v>
      </c>
      <c r="BP324" s="4">
        <v>2.468</v>
      </c>
      <c r="BQ324" s="4">
        <v>2.06</v>
      </c>
      <c r="BR324" s="4">
        <v>1.881</v>
      </c>
      <c r="BS324" s="4">
        <v>2.9420000000000002</v>
      </c>
      <c r="BT324" s="4">
        <v>2.5369999999999999</v>
      </c>
      <c r="BU324" s="4">
        <v>1.98</v>
      </c>
      <c r="BV324" s="4">
        <v>2.13</v>
      </c>
      <c r="BW324" s="4">
        <v>2.2810000000000001</v>
      </c>
      <c r="BX324" s="4">
        <v>2.0939999999999999</v>
      </c>
      <c r="BY324" s="4">
        <v>1.3220000000000001</v>
      </c>
      <c r="BZ324" s="55">
        <v>1.8</v>
      </c>
      <c r="CA324" s="55">
        <v>2.87</v>
      </c>
      <c r="CB324" s="55">
        <v>2.97</v>
      </c>
      <c r="CC324" s="55">
        <v>2.4700000000000002</v>
      </c>
      <c r="CD324" s="55">
        <v>2.48</v>
      </c>
      <c r="CE324" s="19">
        <v>3.4</v>
      </c>
      <c r="CF324" s="19">
        <v>3.1</v>
      </c>
      <c r="CG324" s="4">
        <v>3.57</v>
      </c>
      <c r="CH324" s="4">
        <v>4.72</v>
      </c>
      <c r="CI324" s="4">
        <v>3.67</v>
      </c>
      <c r="CJ324" s="34">
        <v>4.4000000000000004</v>
      </c>
      <c r="CK324" s="34">
        <v>3</v>
      </c>
      <c r="CL324" s="43">
        <v>3.8</v>
      </c>
      <c r="CM324" s="4">
        <v>3.7</v>
      </c>
      <c r="CN324" s="53">
        <v>3.1</v>
      </c>
      <c r="CO324" s="54">
        <v>3.1</v>
      </c>
      <c r="CP324" s="54">
        <v>4.7</v>
      </c>
      <c r="CQ324" s="4">
        <v>3.5</v>
      </c>
    </row>
    <row r="325" spans="1:95" s="55" customFormat="1" x14ac:dyDescent="0.35">
      <c r="A325" s="55">
        <v>324</v>
      </c>
      <c r="B325" s="55" t="s">
        <v>112</v>
      </c>
      <c r="C325" s="27" t="s">
        <v>773</v>
      </c>
      <c r="D325" s="50" t="s">
        <v>117</v>
      </c>
      <c r="E325" s="33" t="s">
        <v>90</v>
      </c>
      <c r="F325" s="4">
        <f>IFERROR(AVERAGEIF(Table1[[#This Row],[2019-Apr]:[2025-July]],"&lt;&gt;0"),0)</f>
        <v>0.74364864864864899</v>
      </c>
      <c r="G325" s="4">
        <f ca="1">IFERROR(AVERAGEIF(OFFSET(Table1[[#This Row],[Status]],0,COUNT(Table1[[#This Row],[2019-May]:[2025-July]]),1,-12),"&lt;&gt;0"),0)</f>
        <v>0.70250000000000001</v>
      </c>
      <c r="H325" s="55">
        <f>IFERROR(SMALL(Table1[[#This Row],[2019-Apr]:[2025-July]],COUNTIF(Table1[[#This Row],[2019-Apr]:[2025-July]],0)+1),0)</f>
        <v>0.32</v>
      </c>
      <c r="I325" s="55">
        <f>IFERROR(MAX(Table1[[#This Row],[2019-Apr]:[2025-July]]),0)</f>
        <v>3.62</v>
      </c>
      <c r="J325" s="4" cm="1">
        <f t="array" ref="J32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0.35666666666666663</v>
      </c>
      <c r="K325" s="4">
        <v>4.5</v>
      </c>
      <c r="L325" s="4">
        <f>IF(Table1[[#This Row],[Standard as per ISO]]&gt;=Table1[[#This Row],[Avg of best 6]],Table1[[#This Row],[Standard as per ISO]],Table1[[#This Row],[Avg of best 6]])</f>
        <v>4.5</v>
      </c>
      <c r="M325" s="4" cm="1">
        <f t="array" ref="M325">IFERROR(LOOKUP(2,1/(Table1[[#This Row],[2019-May]:[2025-July]]&lt;&gt;0),Table1[[#This Row],[2019-May]:[2025-July]]),0)</f>
        <v>1.1000000000000001</v>
      </c>
      <c r="N325" s="4">
        <f>COUNTIF(Table1[[#This Row],[2019-Apr]:[2025-July]],"&gt;="&amp;Table1[[#This Row],[Target]])</f>
        <v>0</v>
      </c>
      <c r="O325" s="4">
        <f>IF(Table1[[#This Row],[Outliers 2Y]]=0,1,0)</f>
        <v>1</v>
      </c>
      <c r="P325" s="4">
        <f>IF(Table1[[#This Row],[Last value]]&gt;1.5*Table1[[#This Row],[Target]],1,0)</f>
        <v>0</v>
      </c>
      <c r="Q325" s="4">
        <f>IF(AND(1.5*Table1[[#This Row],[Target]]&gt;=Table1[[#This Row],[Last value]],Table1[[#This Row],[Last value]]&gt;Table1[[#This Row],[Target]]),1,0)</f>
        <v>0</v>
      </c>
      <c r="R325" s="4">
        <f>IF(Table1[[#This Row],[Target]]&gt;=Table1[[#This Row],[Last value]],1,0)</f>
        <v>1</v>
      </c>
      <c r="S325" s="4" t="str">
        <f t="shared" si="7"/>
        <v>Green</v>
      </c>
      <c r="T325" s="55">
        <v>0</v>
      </c>
      <c r="U325" s="55">
        <v>0.46</v>
      </c>
      <c r="V325" s="55">
        <v>0.78</v>
      </c>
      <c r="W325" s="55">
        <v>0.91</v>
      </c>
      <c r="X325" s="55">
        <v>0.64</v>
      </c>
      <c r="Y325" s="55">
        <v>0.96</v>
      </c>
      <c r="Z325" s="55">
        <v>0.43</v>
      </c>
      <c r="AA325" s="55">
        <v>1.1200000000000001</v>
      </c>
      <c r="AB325" s="55">
        <v>0.76</v>
      </c>
      <c r="AC325" s="55">
        <v>1.01</v>
      </c>
      <c r="AD325" s="55">
        <v>0.67</v>
      </c>
      <c r="AE325" s="55">
        <v>0.6</v>
      </c>
      <c r="AF325" s="55">
        <v>0.5</v>
      </c>
      <c r="AG325" s="55">
        <v>0.5</v>
      </c>
      <c r="AH325" s="55">
        <v>0.51</v>
      </c>
      <c r="AI325" s="55">
        <v>3.62</v>
      </c>
      <c r="AJ325" s="55">
        <v>0.8</v>
      </c>
      <c r="AK325" s="55">
        <v>0.57999999999999996</v>
      </c>
      <c r="AL325" s="55">
        <v>0.6</v>
      </c>
      <c r="AM325" s="55">
        <v>0.54</v>
      </c>
      <c r="AN325" s="55">
        <v>0.46</v>
      </c>
      <c r="AO325" s="55">
        <v>0.33</v>
      </c>
      <c r="AP325" s="55">
        <v>0.43</v>
      </c>
      <c r="AQ325" s="55">
        <v>0.7</v>
      </c>
      <c r="AR325" s="8">
        <v>0.66</v>
      </c>
      <c r="AS325" s="8">
        <v>0.5</v>
      </c>
      <c r="AT325" s="8">
        <v>0.73</v>
      </c>
      <c r="AU325" s="50">
        <v>0.35</v>
      </c>
      <c r="AV325" s="50">
        <v>0.32</v>
      </c>
      <c r="AW325" s="50">
        <v>0.4</v>
      </c>
      <c r="AX325" s="50">
        <v>0.34</v>
      </c>
      <c r="AY325" s="50">
        <v>0.48</v>
      </c>
      <c r="AZ325" s="50">
        <v>0.67</v>
      </c>
      <c r="BA325" s="50">
        <v>0.65</v>
      </c>
      <c r="BB325" s="50">
        <v>1.4</v>
      </c>
      <c r="BC325" s="55">
        <v>0.7</v>
      </c>
      <c r="BD325" s="55">
        <v>0.6</v>
      </c>
      <c r="BE325" s="11">
        <v>0.51700000000000002</v>
      </c>
      <c r="BF325" s="4">
        <v>0</v>
      </c>
      <c r="BG325" s="4">
        <v>0.83399999999999996</v>
      </c>
      <c r="BH325" s="4">
        <v>0.83399999999999996</v>
      </c>
      <c r="BI325" s="4">
        <v>0.85299999999999998</v>
      </c>
      <c r="BJ325" s="13">
        <v>0.9</v>
      </c>
      <c r="BK325" s="13">
        <v>0.60599999999999998</v>
      </c>
      <c r="BL325" s="4">
        <v>0.78700000000000003</v>
      </c>
      <c r="BM325" s="16">
        <v>0.91</v>
      </c>
      <c r="BN325" s="4">
        <v>0.67100000000000004</v>
      </c>
      <c r="BO325" s="4">
        <v>0.622</v>
      </c>
      <c r="BP325" s="4">
        <v>0.56899999999999995</v>
      </c>
      <c r="BQ325" s="4">
        <v>0.82499999999999996</v>
      </c>
      <c r="BR325" s="4">
        <v>0.53</v>
      </c>
      <c r="BS325" s="4">
        <v>1.1439999999999999</v>
      </c>
      <c r="BT325" s="4">
        <v>1.286</v>
      </c>
      <c r="BU325" s="4">
        <v>0.92600000000000005</v>
      </c>
      <c r="BV325" s="4">
        <v>0.60599999999999998</v>
      </c>
      <c r="BW325" s="4">
        <v>0.93899999999999995</v>
      </c>
      <c r="BX325" s="4">
        <v>0.624</v>
      </c>
      <c r="BY325" s="4">
        <v>0.75700000000000001</v>
      </c>
      <c r="BZ325" s="55">
        <v>1.01</v>
      </c>
      <c r="CA325" s="55">
        <v>0.7</v>
      </c>
      <c r="CB325" s="55">
        <v>0.84</v>
      </c>
      <c r="CC325" s="55">
        <v>0.84</v>
      </c>
      <c r="CD325" s="55">
        <v>0.66</v>
      </c>
      <c r="CE325" s="19">
        <v>0.7</v>
      </c>
      <c r="CF325" s="19">
        <v>0.7</v>
      </c>
      <c r="CG325" s="4">
        <v>0.61</v>
      </c>
      <c r="CH325" s="4">
        <v>0.77</v>
      </c>
      <c r="CI325" s="4">
        <v>0.54</v>
      </c>
      <c r="CJ325" s="34">
        <v>0.6</v>
      </c>
      <c r="CK325" s="34">
        <v>0.4</v>
      </c>
      <c r="CL325" s="43">
        <v>0.8</v>
      </c>
      <c r="CM325" s="4">
        <v>0.6</v>
      </c>
      <c r="CN325" s="53">
        <v>1</v>
      </c>
      <c r="CO325" s="54">
        <v>0.7</v>
      </c>
      <c r="CP325" s="54">
        <v>1.01</v>
      </c>
      <c r="CQ325" s="4">
        <v>1.1000000000000001</v>
      </c>
    </row>
    <row r="326" spans="1:95" s="55" customFormat="1" x14ac:dyDescent="0.35">
      <c r="A326" s="55">
        <v>325</v>
      </c>
      <c r="B326" s="55" t="s">
        <v>112</v>
      </c>
      <c r="C326" s="27" t="s">
        <v>774</v>
      </c>
      <c r="D326" s="50" t="s">
        <v>117</v>
      </c>
      <c r="E326" s="33" t="s">
        <v>90</v>
      </c>
      <c r="F326" s="4">
        <f>IFERROR(AVERAGEIF(Table1[[#This Row],[2019-Apr]:[2025-July]],"&lt;&gt;0"),0)</f>
        <v>0.63505405405405402</v>
      </c>
      <c r="G326" s="4">
        <f ca="1">IFERROR(AVERAGEIF(OFFSET(Table1[[#This Row],[Status]],0,COUNT(Table1[[#This Row],[2019-May]:[2025-July]]),1,-12),"&lt;&gt;0"),0)</f>
        <v>0.64083333333333325</v>
      </c>
      <c r="H326" s="55">
        <f>IFERROR(SMALL(Table1[[#This Row],[2019-Apr]:[2025-July]],COUNTIF(Table1[[#This Row],[2019-Apr]:[2025-July]],0)+1),0)</f>
        <v>0.39</v>
      </c>
      <c r="I326" s="55">
        <f>IFERROR(MAX(Table1[[#This Row],[2019-Apr]:[2025-July]]),0)</f>
        <v>1.329</v>
      </c>
      <c r="J326" s="4" cm="1">
        <f t="array" ref="J32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0.41333333333333333</v>
      </c>
      <c r="K326" s="4">
        <v>4.5</v>
      </c>
      <c r="L326" s="4">
        <f>IF(Table1[[#This Row],[Standard as per ISO]]&gt;=Table1[[#This Row],[Avg of best 6]],Table1[[#This Row],[Standard as per ISO]],Table1[[#This Row],[Avg of best 6]])</f>
        <v>4.5</v>
      </c>
      <c r="M326" s="4" cm="1">
        <f t="array" ref="M326">IFERROR(LOOKUP(2,1/(Table1[[#This Row],[2019-May]:[2025-July]]&lt;&gt;0),Table1[[#This Row],[2019-May]:[2025-July]]),0)</f>
        <v>0.9</v>
      </c>
      <c r="N326" s="4">
        <f>COUNTIF(Table1[[#This Row],[2019-Apr]:[2025-July]],"&gt;="&amp;Table1[[#This Row],[Target]])</f>
        <v>0</v>
      </c>
      <c r="O326" s="4">
        <f>IF(Table1[[#This Row],[Outliers 2Y]]=0,1,0)</f>
        <v>1</v>
      </c>
      <c r="P326" s="4">
        <f>IF(Table1[[#This Row],[Last value]]&gt;1.5*Table1[[#This Row],[Target]],1,0)</f>
        <v>0</v>
      </c>
      <c r="Q326" s="4">
        <f>IF(AND(1.5*Table1[[#This Row],[Target]]&gt;=Table1[[#This Row],[Last value]],Table1[[#This Row],[Last value]]&gt;Table1[[#This Row],[Target]]),1,0)</f>
        <v>0</v>
      </c>
      <c r="R326" s="4">
        <f>IF(Table1[[#This Row],[Target]]&gt;=Table1[[#This Row],[Last value]],1,0)</f>
        <v>1</v>
      </c>
      <c r="S326" s="4" t="str">
        <f t="shared" si="7"/>
        <v>Green</v>
      </c>
      <c r="T326" s="55">
        <v>0</v>
      </c>
      <c r="U326" s="55">
        <v>0.46</v>
      </c>
      <c r="V326" s="55">
        <v>0.62</v>
      </c>
      <c r="W326" s="55">
        <v>0.39</v>
      </c>
      <c r="X326" s="55">
        <v>0.53</v>
      </c>
      <c r="Y326" s="55">
        <v>0.55000000000000004</v>
      </c>
      <c r="Z326" s="55">
        <v>0.57999999999999996</v>
      </c>
      <c r="AA326" s="55">
        <v>1</v>
      </c>
      <c r="AB326" s="55">
        <v>0.72</v>
      </c>
      <c r="AC326" s="55">
        <v>0.52</v>
      </c>
      <c r="AD326" s="55">
        <v>0.56000000000000005</v>
      </c>
      <c r="AE326" s="55">
        <v>0.4</v>
      </c>
      <c r="AF326" s="55">
        <v>0.4</v>
      </c>
      <c r="AG326" s="55">
        <v>0.6</v>
      </c>
      <c r="AH326" s="55">
        <v>0.5</v>
      </c>
      <c r="AI326" s="55">
        <v>0.63</v>
      </c>
      <c r="AJ326" s="55">
        <v>0.54</v>
      </c>
      <c r="AK326" s="55">
        <v>0.6</v>
      </c>
      <c r="AL326" s="55">
        <v>0.8</v>
      </c>
      <c r="AM326" s="55">
        <v>0.67</v>
      </c>
      <c r="AN326" s="55">
        <v>0.43</v>
      </c>
      <c r="AO326" s="55">
        <v>0.54</v>
      </c>
      <c r="AP326" s="55">
        <v>0.52</v>
      </c>
      <c r="AQ326" s="55">
        <v>0.9</v>
      </c>
      <c r="AR326" s="8">
        <v>0.52</v>
      </c>
      <c r="AS326" s="8">
        <v>0.53</v>
      </c>
      <c r="AT326" s="8">
        <v>0.56999999999999995</v>
      </c>
      <c r="AU326" s="50">
        <v>0.6</v>
      </c>
      <c r="AV326" s="50">
        <v>0.62</v>
      </c>
      <c r="AW326" s="50">
        <v>0.7</v>
      </c>
      <c r="AX326" s="50">
        <v>0.63</v>
      </c>
      <c r="AY326" s="50">
        <v>0.56000000000000005</v>
      </c>
      <c r="AZ326" s="50">
        <v>0.56999999999999995</v>
      </c>
      <c r="BA326" s="50">
        <v>0.52</v>
      </c>
      <c r="BB326" s="50">
        <v>0.4</v>
      </c>
      <c r="BC326" s="55">
        <v>0.6</v>
      </c>
      <c r="BD326" s="55">
        <v>0.7</v>
      </c>
      <c r="BE326" s="11">
        <v>0.63200000000000001</v>
      </c>
      <c r="BF326" s="4">
        <v>0</v>
      </c>
      <c r="BG326" s="4">
        <v>0.70199999999999996</v>
      </c>
      <c r="BH326" s="4">
        <v>0.70199999999999996</v>
      </c>
      <c r="BI326" s="4">
        <v>0.83799999999999997</v>
      </c>
      <c r="BJ326" s="14">
        <v>0.79200000000000004</v>
      </c>
      <c r="BK326" s="14">
        <v>0.82399999999999995</v>
      </c>
      <c r="BL326" s="4">
        <v>1.0429999999999999</v>
      </c>
      <c r="BM326" s="17">
        <v>0.59099999999999997</v>
      </c>
      <c r="BN326" s="4">
        <v>0.624</v>
      </c>
      <c r="BO326" s="4">
        <v>0.48299999999999998</v>
      </c>
      <c r="BP326" s="4">
        <v>1.329</v>
      </c>
      <c r="BQ326" s="4">
        <v>0.51400000000000001</v>
      </c>
      <c r="BR326" s="4">
        <v>0.60599999999999998</v>
      </c>
      <c r="BS326" s="4">
        <v>0.73799999999999999</v>
      </c>
      <c r="BT326" s="4">
        <v>0.58399999999999996</v>
      </c>
      <c r="BU326" s="4">
        <v>0.72699999999999998</v>
      </c>
      <c r="BV326" s="4">
        <v>0.69299999999999995</v>
      </c>
      <c r="BW326" s="4">
        <v>0.63400000000000001</v>
      </c>
      <c r="BX326" s="4">
        <v>0.62</v>
      </c>
      <c r="BY326" s="4">
        <v>0.53800000000000003</v>
      </c>
      <c r="BZ326" s="55">
        <v>0.53</v>
      </c>
      <c r="CA326" s="55">
        <v>0.6</v>
      </c>
      <c r="CB326" s="55">
        <v>0.6</v>
      </c>
      <c r="CC326" s="55">
        <v>0.82</v>
      </c>
      <c r="CD326" s="55">
        <v>0.66</v>
      </c>
      <c r="CE326" s="19">
        <v>0.6</v>
      </c>
      <c r="CF326" s="19">
        <v>0.6</v>
      </c>
      <c r="CG326" s="4">
        <v>0.72</v>
      </c>
      <c r="CH326" s="4">
        <v>0.6</v>
      </c>
      <c r="CI326" s="4">
        <v>0.53</v>
      </c>
      <c r="CJ326" s="34">
        <v>0.7</v>
      </c>
      <c r="CK326" s="34">
        <v>0.5</v>
      </c>
      <c r="CL326" s="43">
        <v>0.6</v>
      </c>
      <c r="CM326" s="4">
        <v>0.6</v>
      </c>
      <c r="CN326" s="53">
        <v>0.9</v>
      </c>
      <c r="CO326" s="54">
        <v>0.6</v>
      </c>
      <c r="CP326" s="54">
        <v>0.74</v>
      </c>
      <c r="CQ326" s="4">
        <v>0.9</v>
      </c>
    </row>
    <row r="327" spans="1:95" s="55" customFormat="1" x14ac:dyDescent="0.35">
      <c r="A327" s="55">
        <v>326</v>
      </c>
      <c r="B327" s="55" t="s">
        <v>112</v>
      </c>
      <c r="C327" s="27" t="s">
        <v>775</v>
      </c>
      <c r="D327" s="50" t="s">
        <v>94</v>
      </c>
      <c r="E327" s="33" t="s">
        <v>91</v>
      </c>
      <c r="F327" s="4">
        <f>IFERROR(AVERAGEIF(Table1[[#This Row],[2019-Apr]:[2025-July]],"&lt;&gt;0"),0)</f>
        <v>6.2839393939393942</v>
      </c>
      <c r="G327" s="4">
        <f ca="1">IFERROR(AVERAGEIF(OFFSET(Table1[[#This Row],[Status]],0,COUNT(Table1[[#This Row],[2019-May]:[2025-July]]),1,-12),"&lt;&gt;0"),0)</f>
        <v>3</v>
      </c>
      <c r="H327" s="55">
        <f>IFERROR(SMALL(Table1[[#This Row],[2019-Apr]:[2025-July]],COUNTIF(Table1[[#This Row],[2019-Apr]:[2025-July]],0)+1),0)</f>
        <v>2.8660000000000001</v>
      </c>
      <c r="I327" s="55">
        <f>IFERROR(MAX(Table1[[#This Row],[2019-Apr]:[2025-July]]),0)</f>
        <v>14.44</v>
      </c>
      <c r="J327" s="4" cm="1">
        <f t="array" ref="J32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3.4689999999999999</v>
      </c>
      <c r="K327" s="4">
        <v>4.5</v>
      </c>
      <c r="L327" s="4">
        <f>IF(Table1[[#This Row],[Standard as per ISO]]&gt;=Table1[[#This Row],[Avg of best 6]],Table1[[#This Row],[Standard as per ISO]],Table1[[#This Row],[Avg of best 6]])</f>
        <v>4.5</v>
      </c>
      <c r="M327" s="4" cm="1">
        <f t="array" ref="M327">IFERROR(LOOKUP(2,1/(Table1[[#This Row],[2019-May]:[2025-July]]&lt;&gt;0),Table1[[#This Row],[2019-May]:[2025-July]]),0)</f>
        <v>3</v>
      </c>
      <c r="N327" s="4">
        <f>COUNTIF(Table1[[#This Row],[2019-Apr]:[2025-July]],"&gt;="&amp;Table1[[#This Row],[Target]])</f>
        <v>22</v>
      </c>
      <c r="O327" s="4">
        <f>IF(Table1[[#This Row],[Outliers 2Y]]=0,1,0)</f>
        <v>0</v>
      </c>
      <c r="P327" s="4">
        <f>IF(Table1[[#This Row],[Last value]]&gt;1.5*Table1[[#This Row],[Target]],1,0)</f>
        <v>0</v>
      </c>
      <c r="Q327" s="4">
        <f>IF(AND(1.5*Table1[[#This Row],[Target]]&gt;=Table1[[#This Row],[Last value]],Table1[[#This Row],[Last value]]&gt;Table1[[#This Row],[Target]]),1,0)</f>
        <v>0</v>
      </c>
      <c r="R327" s="4">
        <f>IF(Table1[[#This Row],[Target]]&gt;=Table1[[#This Row],[Last value]],1,0)</f>
        <v>1</v>
      </c>
      <c r="S327" s="4" t="str">
        <f t="shared" si="7"/>
        <v>Green</v>
      </c>
      <c r="T327" s="55">
        <v>0</v>
      </c>
      <c r="U327" s="55">
        <v>0</v>
      </c>
      <c r="V327" s="55">
        <v>4.28</v>
      </c>
      <c r="W327" s="55">
        <v>0</v>
      </c>
      <c r="X327" s="55">
        <v>0</v>
      </c>
      <c r="Y327" s="55">
        <v>0</v>
      </c>
      <c r="Z327" s="55">
        <v>0</v>
      </c>
      <c r="AA327" s="55">
        <v>4.08</v>
      </c>
      <c r="AB327" s="55">
        <v>5.0599999999999996</v>
      </c>
      <c r="AC327" s="55">
        <v>0</v>
      </c>
      <c r="AD327" s="55">
        <v>5.22</v>
      </c>
      <c r="AE327" s="55">
        <v>0</v>
      </c>
      <c r="AF327" s="55">
        <v>5.6</v>
      </c>
      <c r="AG327" s="55">
        <v>4.5</v>
      </c>
      <c r="AH327" s="55">
        <v>0</v>
      </c>
      <c r="AI327" s="55">
        <v>0</v>
      </c>
      <c r="AJ327" s="55">
        <v>8.26</v>
      </c>
      <c r="AK327" s="55">
        <v>0</v>
      </c>
      <c r="AL327" s="55">
        <v>5.34</v>
      </c>
      <c r="AM327" s="55">
        <v>9.3000000000000007</v>
      </c>
      <c r="AN327" s="55">
        <v>0</v>
      </c>
      <c r="AO327" s="55">
        <v>6.06</v>
      </c>
      <c r="AP327" s="55">
        <v>0</v>
      </c>
      <c r="AQ327" s="55">
        <v>14.44</v>
      </c>
      <c r="AR327" s="8">
        <v>0</v>
      </c>
      <c r="AS327" s="8">
        <v>5.8</v>
      </c>
      <c r="AT327" s="8">
        <v>0</v>
      </c>
      <c r="AU327" s="50">
        <v>0</v>
      </c>
      <c r="AV327" s="50">
        <v>5.26</v>
      </c>
      <c r="AW327" s="50">
        <v>4.29</v>
      </c>
      <c r="AX327" s="50">
        <v>5.36</v>
      </c>
      <c r="AY327" s="50">
        <v>0</v>
      </c>
      <c r="AZ327" s="50">
        <v>8.1999999999999993</v>
      </c>
      <c r="BA327" s="50">
        <v>4.7</v>
      </c>
      <c r="BB327" s="50">
        <v>0</v>
      </c>
      <c r="BC327" s="55">
        <v>6.7</v>
      </c>
      <c r="BD327" s="55">
        <v>0</v>
      </c>
      <c r="BE327" s="11">
        <v>0</v>
      </c>
      <c r="BF327" s="4">
        <v>0</v>
      </c>
      <c r="BG327" s="4">
        <v>0</v>
      </c>
      <c r="BH327" s="4">
        <v>0</v>
      </c>
      <c r="BI327" s="4">
        <v>0</v>
      </c>
      <c r="BJ327" s="13">
        <v>0</v>
      </c>
      <c r="BK327" s="13">
        <v>13.3</v>
      </c>
      <c r="BL327" s="4">
        <v>13.99</v>
      </c>
      <c r="BM327" s="16">
        <v>4.2220000000000004</v>
      </c>
      <c r="BN327" s="4">
        <v>2.8660000000000001</v>
      </c>
      <c r="BO327" s="4">
        <v>4.423</v>
      </c>
      <c r="BP327" s="4">
        <v>4.9039999999999999</v>
      </c>
      <c r="BQ327" s="4">
        <v>4.891</v>
      </c>
      <c r="BR327" s="4">
        <v>3.702</v>
      </c>
      <c r="BS327" s="4">
        <v>0</v>
      </c>
      <c r="BT327" s="4">
        <v>0</v>
      </c>
      <c r="BU327" s="4">
        <v>3.8620000000000001</v>
      </c>
      <c r="BV327" s="4">
        <v>0</v>
      </c>
      <c r="BW327" s="4">
        <v>4.6360000000000001</v>
      </c>
      <c r="BX327" s="4">
        <v>0</v>
      </c>
      <c r="BY327" s="4">
        <v>3.9540000000000002</v>
      </c>
      <c r="BZ327" s="55">
        <v>3.43</v>
      </c>
      <c r="CA327" s="55">
        <v>9.76</v>
      </c>
      <c r="CB327" s="55">
        <v>13.98</v>
      </c>
      <c r="CC327" s="55">
        <v>0</v>
      </c>
      <c r="CD327" s="55">
        <v>0</v>
      </c>
      <c r="CE327" s="19">
        <v>3</v>
      </c>
      <c r="CF327" s="19">
        <v>0</v>
      </c>
      <c r="CG327" s="4">
        <v>0</v>
      </c>
      <c r="CH327" s="4">
        <v>0</v>
      </c>
      <c r="CI327" s="4">
        <v>0</v>
      </c>
      <c r="CJ327" s="34">
        <v>0</v>
      </c>
      <c r="CK327" s="34">
        <v>0</v>
      </c>
      <c r="CL327" s="34">
        <v>0</v>
      </c>
      <c r="CM327" s="4">
        <v>0</v>
      </c>
      <c r="CN327" s="53">
        <v>0</v>
      </c>
      <c r="CO327" s="54">
        <v>0</v>
      </c>
      <c r="CP327" s="54">
        <v>0</v>
      </c>
      <c r="CQ327" s="4">
        <v>0</v>
      </c>
    </row>
    <row r="328" spans="1:95" s="55" customFormat="1" x14ac:dyDescent="0.35">
      <c r="A328" s="55">
        <v>327</v>
      </c>
      <c r="B328" s="55" t="s">
        <v>112</v>
      </c>
      <c r="C328" s="27" t="s">
        <v>776</v>
      </c>
      <c r="D328" s="50" t="s">
        <v>94</v>
      </c>
      <c r="E328" s="33" t="s">
        <v>91</v>
      </c>
      <c r="F328" s="4">
        <f>IFERROR(AVERAGEIF(Table1[[#This Row],[2019-Apr]:[2025-July]],"&lt;&gt;0"),0)</f>
        <v>5.9776333333333334</v>
      </c>
      <c r="G328" s="4">
        <f ca="1">IFERROR(AVERAGEIF(OFFSET(Table1[[#This Row],[Status]],0,COUNT(Table1[[#This Row],[2019-May]:[2025-July]]),1,-12),"&lt;&gt;0"),0)</f>
        <v>3</v>
      </c>
      <c r="H328" s="55">
        <f>IFERROR(SMALL(Table1[[#This Row],[2019-Apr]:[2025-July]],COUNTIF(Table1[[#This Row],[2019-Apr]:[2025-July]],0)+1),0)</f>
        <v>3</v>
      </c>
      <c r="I328" s="55">
        <f>IFERROR(MAX(Table1[[#This Row],[2019-Apr]:[2025-July]]),0)</f>
        <v>13.4</v>
      </c>
      <c r="J328" s="4" cm="1">
        <f t="array" ref="J32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4.2056666666666667</v>
      </c>
      <c r="K328" s="4">
        <v>4.5</v>
      </c>
      <c r="L328" s="4">
        <f>IF(Table1[[#This Row],[Standard as per ISO]]&gt;=Table1[[#This Row],[Avg of best 6]],Table1[[#This Row],[Standard as per ISO]],Table1[[#This Row],[Avg of best 6]])</f>
        <v>4.5</v>
      </c>
      <c r="M328" s="4" cm="1">
        <f t="array" ref="M328">IFERROR(LOOKUP(2,1/(Table1[[#This Row],[2019-May]:[2025-July]]&lt;&gt;0),Table1[[#This Row],[2019-May]:[2025-July]]),0)</f>
        <v>3</v>
      </c>
      <c r="N328" s="4">
        <f>COUNTIF(Table1[[#This Row],[2019-Apr]:[2025-July]],"&gt;="&amp;Table1[[#This Row],[Target]])</f>
        <v>26</v>
      </c>
      <c r="O328" s="4">
        <f>IF(Table1[[#This Row],[Outliers 2Y]]=0,1,0)</f>
        <v>0</v>
      </c>
      <c r="P328" s="4">
        <f>IF(Table1[[#This Row],[Last value]]&gt;1.5*Table1[[#This Row],[Target]],1,0)</f>
        <v>0</v>
      </c>
      <c r="Q328" s="4">
        <f>IF(AND(1.5*Table1[[#This Row],[Target]]&gt;=Table1[[#This Row],[Last value]],Table1[[#This Row],[Last value]]&gt;Table1[[#This Row],[Target]]),1,0)</f>
        <v>0</v>
      </c>
      <c r="R328" s="4">
        <f>IF(Table1[[#This Row],[Target]]&gt;=Table1[[#This Row],[Last value]],1,0)</f>
        <v>1</v>
      </c>
      <c r="S328" s="4" t="str">
        <f t="shared" si="7"/>
        <v>Green</v>
      </c>
      <c r="T328" s="55">
        <v>0</v>
      </c>
      <c r="U328" s="55">
        <v>4.76</v>
      </c>
      <c r="V328" s="55">
        <v>5.05</v>
      </c>
      <c r="W328" s="55">
        <v>5.65</v>
      </c>
      <c r="X328" s="55">
        <v>5.04</v>
      </c>
      <c r="Y328" s="55">
        <v>6.05</v>
      </c>
      <c r="Z328" s="55">
        <v>5.32</v>
      </c>
      <c r="AA328" s="55">
        <v>0</v>
      </c>
      <c r="AB328" s="55">
        <v>0</v>
      </c>
      <c r="AC328" s="55">
        <v>5.5</v>
      </c>
      <c r="AD328" s="55">
        <v>0</v>
      </c>
      <c r="AE328" s="55">
        <v>6.9</v>
      </c>
      <c r="AF328" s="55">
        <v>0</v>
      </c>
      <c r="AG328" s="55">
        <v>0</v>
      </c>
      <c r="AH328" s="55">
        <v>6.3</v>
      </c>
      <c r="AI328" s="55">
        <v>10.9</v>
      </c>
      <c r="AJ328" s="55">
        <v>0</v>
      </c>
      <c r="AK328" s="55">
        <v>0</v>
      </c>
      <c r="AL328" s="55">
        <v>7.48</v>
      </c>
      <c r="AM328" s="55">
        <v>0</v>
      </c>
      <c r="AN328" s="55">
        <v>13.4</v>
      </c>
      <c r="AO328" s="55">
        <v>12.4</v>
      </c>
      <c r="AP328" s="55">
        <v>0</v>
      </c>
      <c r="AQ328" s="55">
        <v>5.12</v>
      </c>
      <c r="AR328" s="8">
        <v>0</v>
      </c>
      <c r="AS328" s="8">
        <v>0</v>
      </c>
      <c r="AT328" s="8">
        <v>5.0199999999999996</v>
      </c>
      <c r="AU328" s="50">
        <v>5.35</v>
      </c>
      <c r="AV328" s="50">
        <v>0</v>
      </c>
      <c r="AW328" s="50">
        <v>0</v>
      </c>
      <c r="AX328" s="50">
        <v>0</v>
      </c>
      <c r="AY328" s="50">
        <v>4.6100000000000003</v>
      </c>
      <c r="AZ328" s="50">
        <v>0</v>
      </c>
      <c r="BA328" s="50">
        <v>0</v>
      </c>
      <c r="BB328" s="50">
        <v>4.7</v>
      </c>
      <c r="BC328" s="50">
        <v>0</v>
      </c>
      <c r="BD328" s="55">
        <v>5.0999999999999996</v>
      </c>
      <c r="BE328" s="11">
        <v>5.601</v>
      </c>
      <c r="BF328" s="4">
        <v>0</v>
      </c>
      <c r="BG328" s="4">
        <v>4.452</v>
      </c>
      <c r="BH328" s="4">
        <v>4.75</v>
      </c>
      <c r="BI328" s="4">
        <v>5.1710000000000003</v>
      </c>
      <c r="BJ328" s="14">
        <v>5.2409999999999997</v>
      </c>
      <c r="BK328" s="14">
        <v>0</v>
      </c>
      <c r="BL328" s="4">
        <v>0</v>
      </c>
      <c r="BM328" s="17">
        <v>4.3419999999999996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5.0430000000000001</v>
      </c>
      <c r="BT328" s="4">
        <v>6.0750000000000002</v>
      </c>
      <c r="BU328" s="4">
        <v>0</v>
      </c>
      <c r="BV328" s="4">
        <v>6.8739999999999997</v>
      </c>
      <c r="BW328" s="4">
        <v>0</v>
      </c>
      <c r="BX328" s="4">
        <v>4.13</v>
      </c>
      <c r="BY328" s="4">
        <v>0</v>
      </c>
      <c r="BZ328" s="55">
        <v>0</v>
      </c>
      <c r="CA328" s="55">
        <v>0</v>
      </c>
      <c r="CB328" s="55">
        <v>0</v>
      </c>
      <c r="CC328" s="55">
        <v>0</v>
      </c>
      <c r="CD328" s="55">
        <v>0</v>
      </c>
      <c r="CE328" s="19">
        <v>0</v>
      </c>
      <c r="CF328" s="19">
        <v>0</v>
      </c>
      <c r="CG328" s="4">
        <v>0</v>
      </c>
      <c r="CH328" s="4">
        <v>0</v>
      </c>
      <c r="CI328" s="4">
        <v>3</v>
      </c>
      <c r="CJ328" s="34">
        <v>0</v>
      </c>
      <c r="CK328" s="34">
        <v>0</v>
      </c>
      <c r="CL328" s="34">
        <v>0</v>
      </c>
      <c r="CM328" s="4">
        <v>0</v>
      </c>
      <c r="CN328" s="53">
        <v>0</v>
      </c>
      <c r="CO328" s="54">
        <v>0</v>
      </c>
      <c r="CP328" s="54">
        <v>0</v>
      </c>
      <c r="CQ328" s="4">
        <v>0</v>
      </c>
    </row>
    <row r="329" spans="1:95" s="55" customFormat="1" x14ac:dyDescent="0.35">
      <c r="A329" s="55">
        <v>328</v>
      </c>
      <c r="B329" s="55" t="s">
        <v>112</v>
      </c>
      <c r="C329" s="27" t="s">
        <v>777</v>
      </c>
      <c r="D329" s="50" t="s">
        <v>94</v>
      </c>
      <c r="E329" s="33" t="s">
        <v>91</v>
      </c>
      <c r="F329" s="4">
        <f>IFERROR(AVERAGEIF(Table1[[#This Row],[2019-Apr]:[2025-July]],"&lt;&gt;0"),0)</f>
        <v>3.0804</v>
      </c>
      <c r="G329" s="4">
        <f ca="1">IFERROR(AVERAGEIF(OFFSET(Table1[[#This Row],[Status]],0,COUNT(Table1[[#This Row],[2019-May]:[2025-July]]),1,-12),"&lt;&gt;0"),0)</f>
        <v>2</v>
      </c>
      <c r="H329" s="55">
        <f>IFERROR(SMALL(Table1[[#This Row],[2019-Apr]:[2025-July]],COUNTIF(Table1[[#This Row],[2019-Apr]:[2025-July]],0)+1),0)</f>
        <v>1.762</v>
      </c>
      <c r="I329" s="55">
        <f>IFERROR(MAX(Table1[[#This Row],[2019-Apr]:[2025-July]]),0)</f>
        <v>6.2629999999999999</v>
      </c>
      <c r="J329" s="4" cm="1">
        <f t="array" ref="J32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1.8456666666666666</v>
      </c>
      <c r="K329" s="4">
        <v>4.5</v>
      </c>
      <c r="L329" s="4">
        <f>IF(Table1[[#This Row],[Standard as per ISO]]&gt;=Table1[[#This Row],[Avg of best 6]],Table1[[#This Row],[Standard as per ISO]],Table1[[#This Row],[Avg of best 6]])</f>
        <v>4.5</v>
      </c>
      <c r="M329" s="4" cm="1">
        <f t="array" ref="M329">IFERROR(LOOKUP(2,1/(Table1[[#This Row],[2019-May]:[2025-July]]&lt;&gt;0),Table1[[#This Row],[2019-May]:[2025-July]]),0)</f>
        <v>2</v>
      </c>
      <c r="N329" s="4">
        <f>COUNTIF(Table1[[#This Row],[2019-Apr]:[2025-July]],"&gt;="&amp;Table1[[#This Row],[Target]])</f>
        <v>5</v>
      </c>
      <c r="O329" s="4">
        <f>IF(Table1[[#This Row],[Outliers 2Y]]=0,1,0)</f>
        <v>0</v>
      </c>
      <c r="P329" s="4">
        <f>IF(Table1[[#This Row],[Last value]]&gt;1.5*Table1[[#This Row],[Target]],1,0)</f>
        <v>0</v>
      </c>
      <c r="Q329" s="4">
        <f>IF(AND(1.5*Table1[[#This Row],[Target]]&gt;=Table1[[#This Row],[Last value]],Table1[[#This Row],[Last value]]&gt;Table1[[#This Row],[Target]]),1,0)</f>
        <v>0</v>
      </c>
      <c r="R329" s="4">
        <f>IF(Table1[[#This Row],[Target]]&gt;=Table1[[#This Row],[Last value]],1,0)</f>
        <v>1</v>
      </c>
      <c r="S329" s="4" t="str">
        <f t="shared" si="7"/>
        <v>Green</v>
      </c>
      <c r="T329" s="55">
        <v>0</v>
      </c>
      <c r="U329" s="55">
        <v>3.67</v>
      </c>
      <c r="V329" s="55">
        <v>3.3</v>
      </c>
      <c r="W329" s="55">
        <v>2.5299999999999998</v>
      </c>
      <c r="X329" s="55">
        <v>0</v>
      </c>
      <c r="Y329" s="55">
        <v>0</v>
      </c>
      <c r="Z329" s="55">
        <v>0</v>
      </c>
      <c r="AA329" s="55">
        <v>5.54</v>
      </c>
      <c r="AB329" s="55">
        <v>0</v>
      </c>
      <c r="AC329" s="55">
        <v>2.44</v>
      </c>
      <c r="AD329" s="55">
        <v>2.13</v>
      </c>
      <c r="AE329" s="55">
        <v>3.6</v>
      </c>
      <c r="AF329" s="55">
        <v>1.8</v>
      </c>
      <c r="AG329" s="55">
        <v>2.61</v>
      </c>
      <c r="AH329" s="55">
        <v>3.2</v>
      </c>
      <c r="AI329" s="55">
        <v>4.2</v>
      </c>
      <c r="AJ329" s="55">
        <v>2.02</v>
      </c>
      <c r="AK329" s="55">
        <v>0</v>
      </c>
      <c r="AL329" s="55">
        <v>3.1</v>
      </c>
      <c r="AM329" s="55">
        <v>3.05</v>
      </c>
      <c r="AN329" s="55">
        <v>2.63</v>
      </c>
      <c r="AO329" s="55">
        <v>0</v>
      </c>
      <c r="AP329" s="55">
        <v>0</v>
      </c>
      <c r="AQ329" s="55">
        <v>0</v>
      </c>
      <c r="AR329" s="8">
        <v>0</v>
      </c>
      <c r="AS329" s="8">
        <v>5.44</v>
      </c>
      <c r="AT329" s="8">
        <v>2.68</v>
      </c>
      <c r="AU329" s="50">
        <v>2.6</v>
      </c>
      <c r="AV329" s="50">
        <v>5.91</v>
      </c>
      <c r="AW329" s="50">
        <v>4.03</v>
      </c>
      <c r="AX329" s="50">
        <v>2.5299999999999998</v>
      </c>
      <c r="AY329" s="50">
        <v>0</v>
      </c>
      <c r="AZ329" s="50">
        <v>0</v>
      </c>
      <c r="BA329" s="50">
        <v>3.7</v>
      </c>
      <c r="BB329" s="50">
        <v>3</v>
      </c>
      <c r="BC329" s="55">
        <v>1.8</v>
      </c>
      <c r="BD329" s="55">
        <v>2</v>
      </c>
      <c r="BE329" s="11">
        <v>6.2629999999999999</v>
      </c>
      <c r="BF329" s="4">
        <v>0</v>
      </c>
      <c r="BG329" s="4">
        <v>4.2990000000000004</v>
      </c>
      <c r="BH329" s="4">
        <v>5.3550000000000004</v>
      </c>
      <c r="BI329" s="4">
        <v>0</v>
      </c>
      <c r="BJ329" s="13">
        <v>0</v>
      </c>
      <c r="BK329" s="13">
        <v>2.1629999999999998</v>
      </c>
      <c r="BL329" s="4">
        <v>0</v>
      </c>
      <c r="BM329" s="16">
        <v>0</v>
      </c>
      <c r="BN329" s="4">
        <v>1.762</v>
      </c>
      <c r="BO329" s="4">
        <v>3.1520000000000001</v>
      </c>
      <c r="BP329" s="4">
        <v>2.6179999999999999</v>
      </c>
      <c r="BQ329" s="4">
        <v>2.3450000000000002</v>
      </c>
      <c r="BR329" s="4">
        <v>1.897</v>
      </c>
      <c r="BS329" s="4">
        <v>0</v>
      </c>
      <c r="BT329" s="4">
        <v>0</v>
      </c>
      <c r="BU329" s="4">
        <v>0</v>
      </c>
      <c r="BV329" s="4">
        <v>3.0670000000000002</v>
      </c>
      <c r="BW329" s="4">
        <v>2.09</v>
      </c>
      <c r="BX329" s="4">
        <v>2.4900000000000002</v>
      </c>
      <c r="BY329" s="4">
        <v>1.8149999999999999</v>
      </c>
      <c r="BZ329" s="55">
        <v>2.39</v>
      </c>
      <c r="CA329" s="55">
        <v>0</v>
      </c>
      <c r="CB329" s="55">
        <v>0</v>
      </c>
      <c r="CC329" s="55">
        <v>0</v>
      </c>
      <c r="CD329" s="55">
        <v>0</v>
      </c>
      <c r="CE329" s="19">
        <v>2</v>
      </c>
      <c r="CF329" s="19">
        <v>0</v>
      </c>
      <c r="CG329" s="4">
        <v>0</v>
      </c>
      <c r="CH329" s="4">
        <v>0</v>
      </c>
      <c r="CI329" s="4">
        <v>0</v>
      </c>
      <c r="CJ329" s="34">
        <v>0</v>
      </c>
      <c r="CK329" s="34">
        <v>0</v>
      </c>
      <c r="CL329" s="34">
        <v>0</v>
      </c>
      <c r="CM329" s="4">
        <v>0</v>
      </c>
      <c r="CN329" s="53">
        <v>0</v>
      </c>
      <c r="CO329" s="54">
        <v>0</v>
      </c>
      <c r="CP329" s="54">
        <v>0</v>
      </c>
      <c r="CQ329" s="4">
        <v>0</v>
      </c>
    </row>
    <row r="330" spans="1:95" s="55" customFormat="1" x14ac:dyDescent="0.35">
      <c r="A330" s="55">
        <v>329</v>
      </c>
      <c r="B330" s="55" t="s">
        <v>112</v>
      </c>
      <c r="C330" s="27" t="s">
        <v>778</v>
      </c>
      <c r="D330" s="50" t="s">
        <v>94</v>
      </c>
      <c r="E330" s="33" t="s">
        <v>91</v>
      </c>
      <c r="F330" s="4">
        <f>IFERROR(AVERAGEIF(Table1[[#This Row],[2019-Apr]:[2025-July]],"&lt;&gt;0"),0)</f>
        <v>3.3245217391304349</v>
      </c>
      <c r="G330" s="4">
        <f ca="1">IFERROR(AVERAGEIF(OFFSET(Table1[[#This Row],[Status]],0,COUNT(Table1[[#This Row],[2019-May]:[2025-July]]),1,-12),"&lt;&gt;0"),0)</f>
        <v>3.08</v>
      </c>
      <c r="H330" s="55">
        <f>IFERROR(SMALL(Table1[[#This Row],[2019-Apr]:[2025-July]],COUNTIF(Table1[[#This Row],[2019-Apr]:[2025-July]],0)+1),0)</f>
        <v>1.97</v>
      </c>
      <c r="I330" s="55">
        <f>IFERROR(MAX(Table1[[#This Row],[2019-Apr]:[2025-July]]),0)</f>
        <v>7.96</v>
      </c>
      <c r="J330" s="4" cm="1">
        <f t="array" ref="J33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2.1716666666666664</v>
      </c>
      <c r="K330" s="4">
        <v>4.5</v>
      </c>
      <c r="L330" s="4">
        <f>IF(Table1[[#This Row],[Standard as per ISO]]&gt;=Table1[[#This Row],[Avg of best 6]],Table1[[#This Row],[Standard as per ISO]],Table1[[#This Row],[Avg of best 6]])</f>
        <v>4.5</v>
      </c>
      <c r="M330" s="4" cm="1">
        <f t="array" ref="M330">IFERROR(LOOKUP(2,1/(Table1[[#This Row],[2019-May]:[2025-July]]&lt;&gt;0),Table1[[#This Row],[2019-May]:[2025-July]]),0)</f>
        <v>3.08</v>
      </c>
      <c r="N330" s="4">
        <f>COUNTIF(Table1[[#This Row],[2019-Apr]:[2025-July]],"&gt;="&amp;Table1[[#This Row],[Target]])</f>
        <v>4</v>
      </c>
      <c r="O330" s="4">
        <f>IF(Table1[[#This Row],[Outliers 2Y]]=0,1,0)</f>
        <v>0</v>
      </c>
      <c r="P330" s="4">
        <f>IF(Table1[[#This Row],[Last value]]&gt;1.5*Table1[[#This Row],[Target]],1,0)</f>
        <v>0</v>
      </c>
      <c r="Q330" s="4">
        <f>IF(AND(1.5*Table1[[#This Row],[Target]]&gt;=Table1[[#This Row],[Last value]],Table1[[#This Row],[Last value]]&gt;Table1[[#This Row],[Target]]),1,0)</f>
        <v>0</v>
      </c>
      <c r="R330" s="4">
        <f>IF(Table1[[#This Row],[Target]]&gt;=Table1[[#This Row],[Last value]],1,0)</f>
        <v>1</v>
      </c>
      <c r="S330" s="4" t="str">
        <f t="shared" si="7"/>
        <v>Green</v>
      </c>
      <c r="T330" s="55">
        <v>0</v>
      </c>
      <c r="U330" s="55">
        <v>2.44</v>
      </c>
      <c r="V330" s="55">
        <v>2.17</v>
      </c>
      <c r="W330" s="55">
        <v>0</v>
      </c>
      <c r="X330" s="55">
        <v>2.4700000000000002</v>
      </c>
      <c r="Y330" s="55">
        <v>2.77</v>
      </c>
      <c r="Z330" s="55">
        <v>1.97</v>
      </c>
      <c r="AA330" s="55">
        <v>0</v>
      </c>
      <c r="AB330" s="55">
        <v>7.96</v>
      </c>
      <c r="AC330" s="55">
        <v>2.6</v>
      </c>
      <c r="AD330" s="55">
        <v>0</v>
      </c>
      <c r="AE330" s="55">
        <v>0</v>
      </c>
      <c r="AF330" s="55">
        <v>0</v>
      </c>
      <c r="AG330" s="55">
        <v>0</v>
      </c>
      <c r="AH330" s="55">
        <v>0</v>
      </c>
      <c r="AI330" s="55">
        <v>0</v>
      </c>
      <c r="AJ330" s="55">
        <v>2.83</v>
      </c>
      <c r="AK330" s="55">
        <v>0</v>
      </c>
      <c r="AL330" s="55">
        <v>2.3199999999999998</v>
      </c>
      <c r="AM330" s="55">
        <v>0</v>
      </c>
      <c r="AN330" s="55">
        <v>0</v>
      </c>
      <c r="AO330" s="55">
        <v>2.0099999999999998</v>
      </c>
      <c r="AP330" s="55">
        <v>0</v>
      </c>
      <c r="AQ330" s="55">
        <v>3.21</v>
      </c>
      <c r="AR330" s="8">
        <v>0</v>
      </c>
      <c r="AS330" s="8">
        <v>0</v>
      </c>
      <c r="AT330" s="8">
        <v>0</v>
      </c>
      <c r="AU330" s="50">
        <v>0</v>
      </c>
      <c r="AV330" s="50">
        <v>0</v>
      </c>
      <c r="AW330" s="50">
        <v>0</v>
      </c>
      <c r="AX330" s="50">
        <v>0</v>
      </c>
      <c r="AY330" s="50">
        <v>5.84</v>
      </c>
      <c r="AZ330" s="50">
        <v>3.01</v>
      </c>
      <c r="BA330" s="50">
        <v>0</v>
      </c>
      <c r="BB330" s="50">
        <v>0</v>
      </c>
      <c r="BC330" s="50">
        <v>0</v>
      </c>
      <c r="BD330" s="55">
        <v>0</v>
      </c>
      <c r="BE330" s="11">
        <v>0</v>
      </c>
      <c r="BF330" s="4">
        <v>0</v>
      </c>
      <c r="BG330" s="4">
        <v>0</v>
      </c>
      <c r="BH330" s="4">
        <v>0</v>
      </c>
      <c r="BI330" s="4">
        <v>3.9649999999999999</v>
      </c>
      <c r="BJ330" s="14">
        <v>3.677</v>
      </c>
      <c r="BK330" s="14">
        <v>0</v>
      </c>
      <c r="BL330" s="4">
        <v>3.677</v>
      </c>
      <c r="BM330" s="17">
        <v>2.5089999999999999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3.25</v>
      </c>
      <c r="BT330" s="4">
        <v>5.5759999999999996</v>
      </c>
      <c r="BU330" s="4">
        <v>2.2000000000000002</v>
      </c>
      <c r="BV330" s="4">
        <v>0</v>
      </c>
      <c r="BW330" s="4">
        <v>0</v>
      </c>
      <c r="BX330" s="4">
        <v>0</v>
      </c>
      <c r="BY330" s="4">
        <v>0</v>
      </c>
      <c r="BZ330" s="55">
        <v>0</v>
      </c>
      <c r="CA330" s="55">
        <v>4.57</v>
      </c>
      <c r="CB330" s="55">
        <v>2.36</v>
      </c>
      <c r="CC330" s="55">
        <v>0</v>
      </c>
      <c r="CD330" s="55">
        <v>0</v>
      </c>
      <c r="CE330" s="19">
        <v>0</v>
      </c>
      <c r="CF330" s="19">
        <v>0</v>
      </c>
      <c r="CG330" s="4">
        <v>0</v>
      </c>
      <c r="CH330" s="4">
        <v>0</v>
      </c>
      <c r="CI330" s="4">
        <v>3.08</v>
      </c>
      <c r="CJ330" s="34">
        <v>0</v>
      </c>
      <c r="CK330" s="34">
        <v>0</v>
      </c>
      <c r="CL330" s="34">
        <v>0</v>
      </c>
      <c r="CM330" s="4">
        <v>0</v>
      </c>
      <c r="CN330" s="53">
        <v>0</v>
      </c>
      <c r="CO330" s="54">
        <v>0</v>
      </c>
      <c r="CP330" s="54">
        <v>0</v>
      </c>
      <c r="CQ330" s="4">
        <v>0</v>
      </c>
    </row>
    <row r="331" spans="1:95" s="55" customFormat="1" x14ac:dyDescent="0.35">
      <c r="A331" s="55">
        <v>330</v>
      </c>
      <c r="B331" s="55" t="s">
        <v>112</v>
      </c>
      <c r="C331" s="27" t="s">
        <v>779</v>
      </c>
      <c r="D331" s="50" t="s">
        <v>94</v>
      </c>
      <c r="E331" s="33" t="s">
        <v>91</v>
      </c>
      <c r="F331" s="4">
        <f>IFERROR(AVERAGEIF(Table1[[#This Row],[2019-Apr]:[2025-July]],"&lt;&gt;0"),0)</f>
        <v>3.9231538461538467</v>
      </c>
      <c r="G331" s="4">
        <f ca="1">IFERROR(AVERAGEIF(OFFSET(Table1[[#This Row],[Status]],0,COUNT(Table1[[#This Row],[2019-May]:[2025-July]]),1,-12),"&lt;&gt;0"),0)</f>
        <v>2.9749999999999996</v>
      </c>
      <c r="H331" s="55">
        <f>IFERROR(SMALL(Table1[[#This Row],[2019-Apr]:[2025-July]],COUNTIF(Table1[[#This Row],[2019-Apr]:[2025-July]],0)+1),0)</f>
        <v>1.77</v>
      </c>
      <c r="I331" s="55">
        <f>IFERROR(MAX(Table1[[#This Row],[2019-Apr]:[2025-July]]),0)</f>
        <v>7.1</v>
      </c>
      <c r="J331" s="4" cm="1">
        <f t="array" ref="J33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1.9550000000000001</v>
      </c>
      <c r="K331" s="4">
        <v>4.5</v>
      </c>
      <c r="L331" s="4">
        <f>IF(Table1[[#This Row],[Standard as per ISO]]&gt;=Table1[[#This Row],[Avg of best 6]],Table1[[#This Row],[Standard as per ISO]],Table1[[#This Row],[Avg of best 6]])</f>
        <v>4.5</v>
      </c>
      <c r="M331" s="4" cm="1">
        <f t="array" ref="M331">IFERROR(LOOKUP(2,1/(Table1[[#This Row],[2019-May]:[2025-July]]&lt;&gt;0),Table1[[#This Row],[2019-May]:[2025-July]]),0)</f>
        <v>3.15</v>
      </c>
      <c r="N331" s="4">
        <f>COUNTIF(Table1[[#This Row],[2019-Apr]:[2025-July]],"&gt;="&amp;Table1[[#This Row],[Target]])</f>
        <v>17</v>
      </c>
      <c r="O331" s="4">
        <f>IF(Table1[[#This Row],[Outliers 2Y]]=0,1,0)</f>
        <v>0</v>
      </c>
      <c r="P331" s="4">
        <f>IF(Table1[[#This Row],[Last value]]&gt;1.5*Table1[[#This Row],[Target]],1,0)</f>
        <v>0</v>
      </c>
      <c r="Q331" s="4">
        <f>IF(AND(1.5*Table1[[#This Row],[Target]]&gt;=Table1[[#This Row],[Last value]],Table1[[#This Row],[Last value]]&gt;Table1[[#This Row],[Target]]),1,0)</f>
        <v>0</v>
      </c>
      <c r="R331" s="4">
        <f>IF(Table1[[#This Row],[Target]]&gt;=Table1[[#This Row],[Last value]],1,0)</f>
        <v>1</v>
      </c>
      <c r="S331" s="4" t="str">
        <f t="shared" si="7"/>
        <v>Green</v>
      </c>
      <c r="T331" s="55">
        <v>1.77</v>
      </c>
      <c r="U331" s="55">
        <v>2.06</v>
      </c>
      <c r="V331" s="55">
        <v>0</v>
      </c>
      <c r="W331" s="55">
        <v>2.5099999999999998</v>
      </c>
      <c r="X331" s="55">
        <v>2.23</v>
      </c>
      <c r="Y331" s="55">
        <v>2.16</v>
      </c>
      <c r="Z331" s="55">
        <v>2.14</v>
      </c>
      <c r="AA331" s="55">
        <v>2.42</v>
      </c>
      <c r="AB331" s="55">
        <v>1.9</v>
      </c>
      <c r="AC331" s="55">
        <v>0</v>
      </c>
      <c r="AD331" s="55">
        <v>0</v>
      </c>
      <c r="AE331" s="55">
        <v>0</v>
      </c>
      <c r="AF331" s="55">
        <v>0</v>
      </c>
      <c r="AG331" s="55">
        <v>2</v>
      </c>
      <c r="AH331" s="55">
        <v>2.2000000000000002</v>
      </c>
      <c r="AI331" s="55">
        <v>2</v>
      </c>
      <c r="AJ331" s="55">
        <v>0</v>
      </c>
      <c r="AK331" s="55">
        <v>0</v>
      </c>
      <c r="AL331" s="55">
        <v>0</v>
      </c>
      <c r="AM331" s="55">
        <v>0</v>
      </c>
      <c r="AN331" s="55">
        <v>0</v>
      </c>
      <c r="AO331" s="55">
        <v>0</v>
      </c>
      <c r="AP331" s="55">
        <v>0</v>
      </c>
      <c r="AQ331" s="55">
        <v>0</v>
      </c>
      <c r="AR331" s="8">
        <v>1.77</v>
      </c>
      <c r="AS331" s="8">
        <v>2</v>
      </c>
      <c r="AT331" s="8">
        <v>2.2000000000000002</v>
      </c>
      <c r="AU331" s="50">
        <v>6.66</v>
      </c>
      <c r="AV331" s="50">
        <v>5.2</v>
      </c>
      <c r="AW331" s="50">
        <v>0</v>
      </c>
      <c r="AX331" s="50">
        <v>3.07</v>
      </c>
      <c r="AY331" s="50">
        <v>5.19</v>
      </c>
      <c r="AZ331" s="50">
        <v>0</v>
      </c>
      <c r="BA331" s="50">
        <v>5.33</v>
      </c>
      <c r="BB331" s="50">
        <v>4.5999999999999996</v>
      </c>
      <c r="BC331" s="55">
        <v>6.1</v>
      </c>
      <c r="BD331" s="55">
        <v>7.1</v>
      </c>
      <c r="BE331" s="11">
        <v>6.0449999999999999</v>
      </c>
      <c r="BF331" s="4">
        <v>0</v>
      </c>
      <c r="BG331" s="4">
        <v>6.1319999999999997</v>
      </c>
      <c r="BH331" s="4">
        <v>0</v>
      </c>
      <c r="BI331" s="4">
        <v>0</v>
      </c>
      <c r="BJ331" s="13">
        <v>0</v>
      </c>
      <c r="BK331" s="13">
        <v>5.8179999999999996</v>
      </c>
      <c r="BL331" s="4">
        <v>6.6929999999999996</v>
      </c>
      <c r="BM331" s="16">
        <v>0</v>
      </c>
      <c r="BN331" s="4">
        <v>2.2120000000000002</v>
      </c>
      <c r="BO331" s="4">
        <v>2.7970000000000002</v>
      </c>
      <c r="BP331" s="4">
        <v>3.145</v>
      </c>
      <c r="BQ331" s="4">
        <v>5.508</v>
      </c>
      <c r="BR331" s="4">
        <v>0</v>
      </c>
      <c r="BS331" s="4">
        <v>6.734</v>
      </c>
      <c r="BT331" s="4">
        <v>5.1550000000000002</v>
      </c>
      <c r="BU331" s="4">
        <v>5.6580000000000004</v>
      </c>
      <c r="BV331" s="4">
        <v>5.8079999999999998</v>
      </c>
      <c r="BW331" s="4">
        <v>6.2869999999999999</v>
      </c>
      <c r="BX331" s="4">
        <v>3.073</v>
      </c>
      <c r="BY331" s="4">
        <v>3.3780000000000001</v>
      </c>
      <c r="BZ331" s="55">
        <v>0</v>
      </c>
      <c r="CA331" s="55">
        <v>0</v>
      </c>
      <c r="CB331" s="55">
        <v>0</v>
      </c>
      <c r="CC331" s="55">
        <v>0</v>
      </c>
      <c r="CD331" s="55">
        <v>0</v>
      </c>
      <c r="CE331" s="19">
        <v>2.8</v>
      </c>
      <c r="CF331" s="19">
        <v>0</v>
      </c>
      <c r="CG331" s="4">
        <v>0</v>
      </c>
      <c r="CH331" s="4">
        <v>0</v>
      </c>
      <c r="CI331" s="4">
        <v>3.15</v>
      </c>
      <c r="CJ331" s="34">
        <v>0</v>
      </c>
      <c r="CK331" s="34">
        <v>0</v>
      </c>
      <c r="CL331" s="34">
        <v>0</v>
      </c>
      <c r="CM331" s="4">
        <v>0</v>
      </c>
      <c r="CN331" s="53">
        <v>0</v>
      </c>
      <c r="CO331" s="54">
        <v>0</v>
      </c>
      <c r="CP331" s="54">
        <v>0</v>
      </c>
      <c r="CQ331" s="4">
        <v>0</v>
      </c>
    </row>
    <row r="332" spans="1:95" s="55" customFormat="1" x14ac:dyDescent="0.35">
      <c r="A332" s="55">
        <v>331</v>
      </c>
      <c r="B332" s="55" t="s">
        <v>112</v>
      </c>
      <c r="C332" s="27" t="s">
        <v>780</v>
      </c>
      <c r="D332" s="50" t="s">
        <v>94</v>
      </c>
      <c r="E332" s="33" t="s">
        <v>91</v>
      </c>
      <c r="F332" s="4">
        <f>IFERROR(AVERAGEIF(Table1[[#This Row],[2019-Apr]:[2025-July]],"&lt;&gt;0"),0)</f>
        <v>4.4816216216216223</v>
      </c>
      <c r="G332" s="4">
        <f ca="1">IFERROR(AVERAGEIF(OFFSET(Table1[[#This Row],[Status]],0,COUNT(Table1[[#This Row],[2019-May]:[2025-July]]),1,-12),"&lt;&gt;0"),0)</f>
        <v>3.5149999999999997</v>
      </c>
      <c r="H332" s="55">
        <f>IFERROR(SMALL(Table1[[#This Row],[2019-Apr]:[2025-July]],COUNTIF(Table1[[#This Row],[2019-Apr]:[2025-July]],0)+1),0)</f>
        <v>2.1480000000000001</v>
      </c>
      <c r="I332" s="55">
        <f>IFERROR(MAX(Table1[[#This Row],[2019-Apr]:[2025-July]]),0)</f>
        <v>6.83</v>
      </c>
      <c r="J332" s="4" cm="1">
        <f t="array" ref="J33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2.5604999999999998</v>
      </c>
      <c r="K332" s="4">
        <v>4.5</v>
      </c>
      <c r="L332" s="4">
        <f>IF(Table1[[#This Row],[Standard as per ISO]]&gt;=Table1[[#This Row],[Avg of best 6]],Table1[[#This Row],[Standard as per ISO]],Table1[[#This Row],[Avg of best 6]])</f>
        <v>4.5</v>
      </c>
      <c r="M332" s="4" cm="1">
        <f t="array" ref="M332">IFERROR(LOOKUP(2,1/(Table1[[#This Row],[2019-May]:[2025-July]]&lt;&gt;0),Table1[[#This Row],[2019-May]:[2025-July]]),0)</f>
        <v>3.65</v>
      </c>
      <c r="N332" s="4">
        <f>COUNTIF(Table1[[#This Row],[2019-Apr]:[2025-July]],"&gt;="&amp;Table1[[#This Row],[Target]])</f>
        <v>20</v>
      </c>
      <c r="O332" s="4">
        <f>IF(Table1[[#This Row],[Outliers 2Y]]=0,1,0)</f>
        <v>0</v>
      </c>
      <c r="P332" s="4">
        <f>IF(Table1[[#This Row],[Last value]]&gt;1.5*Table1[[#This Row],[Target]],1,0)</f>
        <v>0</v>
      </c>
      <c r="Q332" s="4">
        <f>IF(AND(1.5*Table1[[#This Row],[Target]]&gt;=Table1[[#This Row],[Last value]],Table1[[#This Row],[Last value]]&gt;Table1[[#This Row],[Target]]),1,0)</f>
        <v>0</v>
      </c>
      <c r="R332" s="4">
        <f>IF(Table1[[#This Row],[Target]]&gt;=Table1[[#This Row],[Last value]],1,0)</f>
        <v>1</v>
      </c>
      <c r="S332" s="4" t="str">
        <f t="shared" si="7"/>
        <v>Green</v>
      </c>
      <c r="T332" s="55">
        <v>4.87</v>
      </c>
      <c r="U332" s="55">
        <v>4.6900000000000004</v>
      </c>
      <c r="V332" s="55">
        <v>6.11</v>
      </c>
      <c r="W332" s="55">
        <v>6.69</v>
      </c>
      <c r="X332" s="55">
        <v>0</v>
      </c>
      <c r="Y332" s="55">
        <v>6.83</v>
      </c>
      <c r="Z332" s="55">
        <v>0</v>
      </c>
      <c r="AA332" s="55">
        <v>0</v>
      </c>
      <c r="AB332" s="55">
        <v>0</v>
      </c>
      <c r="AC332" s="55">
        <v>0</v>
      </c>
      <c r="AD332" s="55">
        <v>5.9</v>
      </c>
      <c r="AE332" s="55">
        <v>5</v>
      </c>
      <c r="AF332" s="55">
        <v>0</v>
      </c>
      <c r="AG332" s="55">
        <v>0</v>
      </c>
      <c r="AH332" s="55">
        <v>0</v>
      </c>
      <c r="AI332" s="55">
        <v>0</v>
      </c>
      <c r="AJ332" s="55">
        <v>3.64</v>
      </c>
      <c r="AK332" s="55">
        <v>0</v>
      </c>
      <c r="AL332" s="55">
        <v>5.97</v>
      </c>
      <c r="AM332" s="55">
        <v>0</v>
      </c>
      <c r="AN332" s="55">
        <v>5.07</v>
      </c>
      <c r="AO332" s="55">
        <v>4.8499999999999996</v>
      </c>
      <c r="AP332" s="55">
        <v>0</v>
      </c>
      <c r="AQ332" s="55">
        <v>5.13</v>
      </c>
      <c r="AR332" s="8">
        <v>0</v>
      </c>
      <c r="AS332" s="8">
        <v>6.21</v>
      </c>
      <c r="AT332" s="8">
        <v>0</v>
      </c>
      <c r="AU332" s="50">
        <v>0</v>
      </c>
      <c r="AV332" s="50">
        <v>5.36</v>
      </c>
      <c r="AW332" s="50">
        <v>4.71</v>
      </c>
      <c r="AX332" s="50">
        <v>0</v>
      </c>
      <c r="AY332" s="50">
        <v>0</v>
      </c>
      <c r="AZ332" s="50">
        <v>3.7</v>
      </c>
      <c r="BA332" s="50">
        <v>0</v>
      </c>
      <c r="BB332" s="50">
        <v>4.7</v>
      </c>
      <c r="BC332" s="50">
        <v>0</v>
      </c>
      <c r="BD332" s="55">
        <v>4.5</v>
      </c>
      <c r="BE332" s="11">
        <v>4.4039999999999999</v>
      </c>
      <c r="BF332" s="4">
        <v>0</v>
      </c>
      <c r="BG332" s="4">
        <v>4.3339999999999996</v>
      </c>
      <c r="BH332" s="4">
        <v>4.9329999999999998</v>
      </c>
      <c r="BI332" s="4">
        <v>4.3789999999999996</v>
      </c>
      <c r="BJ332" s="14">
        <v>2.2970000000000002</v>
      </c>
      <c r="BK332" s="14">
        <v>4.1879999999999997</v>
      </c>
      <c r="BL332" s="4">
        <v>4.7880000000000003</v>
      </c>
      <c r="BM332" s="17">
        <v>5.1310000000000002</v>
      </c>
      <c r="BN332" s="4">
        <v>2.1480000000000001</v>
      </c>
      <c r="BO332" s="4">
        <v>2.173</v>
      </c>
      <c r="BP332" s="4">
        <v>2.3450000000000002</v>
      </c>
      <c r="BQ332" s="4">
        <v>5.0199999999999996</v>
      </c>
      <c r="BR332" s="4">
        <v>3.9940000000000002</v>
      </c>
      <c r="BS332" s="4">
        <v>0</v>
      </c>
      <c r="BT332" s="4">
        <v>0</v>
      </c>
      <c r="BU332" s="4">
        <v>3.8860000000000001</v>
      </c>
      <c r="BV332" s="4">
        <v>0</v>
      </c>
      <c r="BW332" s="4">
        <v>0</v>
      </c>
      <c r="BX332" s="4">
        <v>0</v>
      </c>
      <c r="BY332" s="4">
        <v>0</v>
      </c>
      <c r="BZ332" s="55">
        <v>4.26</v>
      </c>
      <c r="CA332" s="55">
        <v>3.02</v>
      </c>
      <c r="CB332" s="55">
        <v>3.56</v>
      </c>
      <c r="CC332" s="55">
        <v>0</v>
      </c>
      <c r="CD332" s="55">
        <v>0</v>
      </c>
      <c r="CE332" s="19">
        <v>0</v>
      </c>
      <c r="CF332" s="19">
        <v>0</v>
      </c>
      <c r="CG332" s="4">
        <v>3.38</v>
      </c>
      <c r="CH332" s="4">
        <v>0</v>
      </c>
      <c r="CI332" s="4">
        <v>3.65</v>
      </c>
      <c r="CJ332" s="34">
        <v>0</v>
      </c>
      <c r="CK332" s="34">
        <v>0</v>
      </c>
      <c r="CL332" s="34">
        <v>0</v>
      </c>
      <c r="CM332" s="4">
        <v>0</v>
      </c>
      <c r="CN332" s="53">
        <v>0</v>
      </c>
      <c r="CO332" s="54">
        <v>0</v>
      </c>
      <c r="CP332" s="54">
        <v>0</v>
      </c>
      <c r="CQ332" s="4">
        <v>0</v>
      </c>
    </row>
    <row r="333" spans="1:95" s="55" customFormat="1" x14ac:dyDescent="0.35">
      <c r="A333" s="55">
        <v>332</v>
      </c>
      <c r="B333" s="55" t="s">
        <v>112</v>
      </c>
      <c r="C333" s="27" t="s">
        <v>781</v>
      </c>
      <c r="D333" s="50" t="s">
        <v>103</v>
      </c>
      <c r="E333" s="33" t="s">
        <v>91</v>
      </c>
      <c r="F333" s="4">
        <f>IFERROR(AVERAGEIF(Table1[[#This Row],[2019-Apr]:[2025-July]],"&lt;&gt;0"),0)</f>
        <v>5.651307692307693</v>
      </c>
      <c r="G333" s="4">
        <f ca="1">IFERROR(AVERAGEIF(OFFSET(Table1[[#This Row],[Status]],0,COUNT(Table1[[#This Row],[2019-May]:[2025-July]]),1,-12),"&lt;&gt;0"),0)</f>
        <v>6.6</v>
      </c>
      <c r="H333" s="55">
        <f>IFERROR(SMALL(Table1[[#This Row],[2019-Apr]:[2025-July]],COUNTIF(Table1[[#This Row],[2019-Apr]:[2025-July]],0)+1),0)</f>
        <v>1.1399999999999999</v>
      </c>
      <c r="I333" s="55">
        <f>IFERROR(MAX(Table1[[#This Row],[2019-Apr]:[2025-July]]),0)</f>
        <v>10.63</v>
      </c>
      <c r="J333" s="4" cm="1">
        <f t="array" ref="J33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3.3283333333333331</v>
      </c>
      <c r="K333" s="4">
        <v>4.5</v>
      </c>
      <c r="L333" s="4">
        <f>IF(Table1[[#This Row],[Standard as per ISO]]&gt;=Table1[[#This Row],[Avg of best 6]],Table1[[#This Row],[Standard as per ISO]],Table1[[#This Row],[Avg of best 6]])</f>
        <v>4.5</v>
      </c>
      <c r="M333" s="4" cm="1">
        <f t="array" ref="M333">IFERROR(LOOKUP(2,1/(Table1[[#This Row],[2019-May]:[2025-July]]&lt;&gt;0),Table1[[#This Row],[2019-May]:[2025-July]]),0)</f>
        <v>6.35</v>
      </c>
      <c r="N333" s="4">
        <f>COUNTIF(Table1[[#This Row],[2019-Apr]:[2025-July]],"&gt;="&amp;Table1[[#This Row],[Target]])</f>
        <v>41</v>
      </c>
      <c r="O333" s="4">
        <f>IF(Table1[[#This Row],[Outliers 2Y]]=0,1,0)</f>
        <v>0</v>
      </c>
      <c r="P333" s="4">
        <f>IF(Table1[[#This Row],[Last value]]&gt;1.5*Table1[[#This Row],[Target]],1,0)</f>
        <v>0</v>
      </c>
      <c r="Q333" s="4">
        <f>IF(AND(1.5*Table1[[#This Row],[Target]]&gt;=Table1[[#This Row],[Last value]],Table1[[#This Row],[Last value]]&gt;Table1[[#This Row],[Target]]),1,0)</f>
        <v>1</v>
      </c>
      <c r="R333" s="4">
        <f>IF(Table1[[#This Row],[Target]]&gt;=Table1[[#This Row],[Last value]],1,0)</f>
        <v>0</v>
      </c>
      <c r="S333" s="4" t="str">
        <f t="shared" si="7"/>
        <v>Yellow</v>
      </c>
      <c r="T333" s="55">
        <v>0</v>
      </c>
      <c r="U333" s="55">
        <v>4.9400000000000004</v>
      </c>
      <c r="V333" s="55">
        <v>4.3499999999999996</v>
      </c>
      <c r="W333" s="55">
        <v>5.28</v>
      </c>
      <c r="X333" s="55">
        <v>3.9</v>
      </c>
      <c r="Y333" s="55">
        <v>4.32</v>
      </c>
      <c r="Z333" s="55">
        <v>4.4800000000000004</v>
      </c>
      <c r="AA333" s="55">
        <v>3.83</v>
      </c>
      <c r="AB333" s="55">
        <v>4.2300000000000004</v>
      </c>
      <c r="AC333" s="55">
        <v>5.15</v>
      </c>
      <c r="AD333" s="55">
        <v>0</v>
      </c>
      <c r="AE333" s="55">
        <v>5.9</v>
      </c>
      <c r="AF333" s="55">
        <v>5.9</v>
      </c>
      <c r="AG333" s="55">
        <v>3.6</v>
      </c>
      <c r="AH333" s="55">
        <v>3.4</v>
      </c>
      <c r="AI333" s="55">
        <v>5.41</v>
      </c>
      <c r="AJ333" s="55">
        <v>0</v>
      </c>
      <c r="AK333" s="55">
        <v>0</v>
      </c>
      <c r="AL333" s="55">
        <v>0</v>
      </c>
      <c r="AM333" s="55">
        <v>0</v>
      </c>
      <c r="AN333" s="55">
        <v>1.1399999999999999</v>
      </c>
      <c r="AO333" s="55">
        <v>4.8600000000000003</v>
      </c>
      <c r="AP333" s="55">
        <v>0</v>
      </c>
      <c r="AQ333" s="55">
        <v>5.71</v>
      </c>
      <c r="AR333" s="8">
        <v>0</v>
      </c>
      <c r="AS333" s="8">
        <v>6.35</v>
      </c>
      <c r="AT333" s="8">
        <v>5.87</v>
      </c>
      <c r="AU333" s="50">
        <v>6.85</v>
      </c>
      <c r="AV333" s="50">
        <v>5.04</v>
      </c>
      <c r="AW333" s="50">
        <v>5.17</v>
      </c>
      <c r="AX333" s="50">
        <v>5.69</v>
      </c>
      <c r="AY333" s="50">
        <v>5.17</v>
      </c>
      <c r="AZ333" s="50">
        <v>4.7</v>
      </c>
      <c r="BA333" s="50">
        <v>4.8</v>
      </c>
      <c r="BB333" s="50">
        <v>4.8</v>
      </c>
      <c r="BC333" s="55">
        <v>4.0999999999999996</v>
      </c>
      <c r="BD333" s="55">
        <v>4.3</v>
      </c>
      <c r="BE333" s="11">
        <v>0</v>
      </c>
      <c r="BF333" s="4">
        <v>0</v>
      </c>
      <c r="BG333" s="4">
        <v>0</v>
      </c>
      <c r="BH333" s="4">
        <v>6.7510000000000003</v>
      </c>
      <c r="BI333" s="4">
        <v>7.0220000000000002</v>
      </c>
      <c r="BJ333" s="13">
        <v>7.8449999999999998</v>
      </c>
      <c r="BK333" s="13">
        <v>10.63</v>
      </c>
      <c r="BL333" s="4">
        <v>6.91</v>
      </c>
      <c r="BM333" s="16">
        <v>4.6829999999999998</v>
      </c>
      <c r="BN333" s="4">
        <v>9.1370000000000005</v>
      </c>
      <c r="BO333" s="4">
        <v>8.6170000000000009</v>
      </c>
      <c r="BP333" s="4">
        <v>7.3650000000000002</v>
      </c>
      <c r="BQ333" s="4">
        <v>5.84</v>
      </c>
      <c r="BR333" s="4">
        <v>5.2350000000000003</v>
      </c>
      <c r="BS333" s="4">
        <v>5.423</v>
      </c>
      <c r="BT333" s="4">
        <v>4.6959999999999997</v>
      </c>
      <c r="BU333" s="4">
        <v>7.5869999999999997</v>
      </c>
      <c r="BV333" s="4">
        <v>5.8979999999999997</v>
      </c>
      <c r="BW333" s="4">
        <v>5.7619999999999996</v>
      </c>
      <c r="BX333" s="4">
        <v>6.1790000000000003</v>
      </c>
      <c r="BY333" s="4">
        <v>6.548</v>
      </c>
      <c r="BZ333" s="55">
        <v>6.29</v>
      </c>
      <c r="CA333" s="55">
        <v>6.49</v>
      </c>
      <c r="CB333" s="55">
        <v>6.52</v>
      </c>
      <c r="CC333" s="55">
        <v>0</v>
      </c>
      <c r="CD333" s="55">
        <v>0</v>
      </c>
      <c r="CE333" s="19">
        <v>0</v>
      </c>
      <c r="CF333" s="19">
        <v>0</v>
      </c>
      <c r="CG333" s="4">
        <v>6.85</v>
      </c>
      <c r="CH333" s="4">
        <v>0</v>
      </c>
      <c r="CI333" s="4">
        <v>6.35</v>
      </c>
      <c r="CJ333" s="34">
        <v>0</v>
      </c>
      <c r="CK333" s="34">
        <v>0</v>
      </c>
      <c r="CL333" s="34">
        <v>0</v>
      </c>
      <c r="CM333" s="4">
        <v>0</v>
      </c>
      <c r="CN333" s="53">
        <v>0</v>
      </c>
      <c r="CO333" s="54">
        <v>0</v>
      </c>
      <c r="CP333" s="54">
        <v>0</v>
      </c>
      <c r="CQ333" s="4">
        <v>0</v>
      </c>
    </row>
    <row r="334" spans="1:95" s="55" customFormat="1" x14ac:dyDescent="0.35">
      <c r="A334" s="55">
        <v>333</v>
      </c>
      <c r="B334" s="55" t="s">
        <v>112</v>
      </c>
      <c r="C334" s="27" t="s">
        <v>782</v>
      </c>
      <c r="D334" s="50" t="s">
        <v>103</v>
      </c>
      <c r="E334" s="33" t="s">
        <v>91</v>
      </c>
      <c r="F334" s="4">
        <f>IFERROR(AVERAGEIF(Table1[[#This Row],[2019-Apr]:[2025-July]],"&lt;&gt;0"),0)</f>
        <v>4.9527169811320748</v>
      </c>
      <c r="G334" s="4">
        <f ca="1">IFERROR(AVERAGEIF(OFFSET(Table1[[#This Row],[Status]],0,COUNT(Table1[[#This Row],[2019-May]:[2025-July]]),1,-12),"&lt;&gt;0"),0)</f>
        <v>5.5299999999999994</v>
      </c>
      <c r="H334" s="55">
        <f>IFERROR(SMALL(Table1[[#This Row],[2019-Apr]:[2025-July]],COUNTIF(Table1[[#This Row],[2019-Apr]:[2025-July]],0)+1),0)</f>
        <v>1.9259999999999999</v>
      </c>
      <c r="I334" s="55">
        <f>IFERROR(MAX(Table1[[#This Row],[2019-Apr]:[2025-July]]),0)</f>
        <v>8.9</v>
      </c>
      <c r="J334" s="4" cm="1">
        <f t="array" ref="J33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2.4755000000000003</v>
      </c>
      <c r="K334" s="4">
        <v>4.5</v>
      </c>
      <c r="L334" s="4">
        <f>IF(Table1[[#This Row],[Standard as per ISO]]&gt;=Table1[[#This Row],[Avg of best 6]],Table1[[#This Row],[Standard as per ISO]],Table1[[#This Row],[Avg of best 6]])</f>
        <v>4.5</v>
      </c>
      <c r="M334" s="4" cm="1">
        <f t="array" ref="M334">IFERROR(LOOKUP(2,1/(Table1[[#This Row],[2019-May]:[2025-July]]&lt;&gt;0),Table1[[#This Row],[2019-May]:[2025-July]]),0)</f>
        <v>4.8099999999999996</v>
      </c>
      <c r="N334" s="4">
        <f>COUNTIF(Table1[[#This Row],[2019-Apr]:[2025-July]],"&gt;="&amp;Table1[[#This Row],[Target]])</f>
        <v>32</v>
      </c>
      <c r="O334" s="4">
        <f>IF(Table1[[#This Row],[Outliers 2Y]]=0,1,0)</f>
        <v>0</v>
      </c>
      <c r="P334" s="4">
        <f>IF(Table1[[#This Row],[Last value]]&gt;1.5*Table1[[#This Row],[Target]],1,0)</f>
        <v>0</v>
      </c>
      <c r="Q334" s="4">
        <f>IF(AND(1.5*Table1[[#This Row],[Target]]&gt;=Table1[[#This Row],[Last value]],Table1[[#This Row],[Last value]]&gt;Table1[[#This Row],[Target]]),1,0)</f>
        <v>1</v>
      </c>
      <c r="R334" s="4">
        <f>IF(Table1[[#This Row],[Target]]&gt;=Table1[[#This Row],[Last value]],1,0)</f>
        <v>0</v>
      </c>
      <c r="S334" s="4" t="str">
        <f t="shared" si="7"/>
        <v>Yellow</v>
      </c>
      <c r="T334" s="55">
        <v>0</v>
      </c>
      <c r="U334" s="55">
        <v>0</v>
      </c>
      <c r="V334" s="55">
        <v>4.5999999999999996</v>
      </c>
      <c r="W334" s="55">
        <v>6.14</v>
      </c>
      <c r="X334" s="55">
        <v>3.5</v>
      </c>
      <c r="Y334" s="55">
        <v>5.25</v>
      </c>
      <c r="Z334" s="55">
        <v>3.49</v>
      </c>
      <c r="AA334" s="55">
        <v>3.85</v>
      </c>
      <c r="AB334" s="55">
        <v>4.24</v>
      </c>
      <c r="AC334" s="55">
        <v>6.1</v>
      </c>
      <c r="AD334" s="55">
        <v>4.0999999999999996</v>
      </c>
      <c r="AE334" s="55">
        <v>2.5</v>
      </c>
      <c r="AF334" s="55">
        <v>8.9</v>
      </c>
      <c r="AG334" s="55">
        <v>3.5</v>
      </c>
      <c r="AH334" s="55">
        <v>4.9000000000000004</v>
      </c>
      <c r="AI334" s="55">
        <v>0</v>
      </c>
      <c r="AJ334" s="55">
        <v>3.46</v>
      </c>
      <c r="AK334" s="55">
        <v>0</v>
      </c>
      <c r="AL334" s="55">
        <v>4.8499999999999996</v>
      </c>
      <c r="AM334" s="55">
        <v>0</v>
      </c>
      <c r="AN334" s="55">
        <v>7.2</v>
      </c>
      <c r="AO334" s="55">
        <v>8.33</v>
      </c>
      <c r="AP334" s="55">
        <v>0</v>
      </c>
      <c r="AQ334" s="55">
        <v>7.62</v>
      </c>
      <c r="AR334" s="8">
        <v>5.77</v>
      </c>
      <c r="AS334" s="8">
        <v>7.32</v>
      </c>
      <c r="AT334" s="8">
        <v>5.31</v>
      </c>
      <c r="AU334" s="50">
        <v>5.2</v>
      </c>
      <c r="AV334" s="50">
        <v>7.33</v>
      </c>
      <c r="AW334" s="50">
        <v>5.39</v>
      </c>
      <c r="AX334" s="50">
        <v>5.87</v>
      </c>
      <c r="AY334" s="50">
        <v>6.07</v>
      </c>
      <c r="AZ334" s="50">
        <v>7.27</v>
      </c>
      <c r="BA334" s="50">
        <v>4.8</v>
      </c>
      <c r="BB334" s="50">
        <v>5.5</v>
      </c>
      <c r="BC334" s="55">
        <v>4.5999999999999996</v>
      </c>
      <c r="BD334" s="55">
        <v>0</v>
      </c>
      <c r="BE334" s="11">
        <v>0</v>
      </c>
      <c r="BF334" s="4">
        <v>0</v>
      </c>
      <c r="BG334" s="4">
        <v>0</v>
      </c>
      <c r="BH334" s="4">
        <v>5.5830000000000002</v>
      </c>
      <c r="BI334" s="4">
        <v>5.9109999999999996</v>
      </c>
      <c r="BJ334" s="14">
        <v>2.2549999999999999</v>
      </c>
      <c r="BK334" s="14">
        <v>4.7060000000000004</v>
      </c>
      <c r="BL334" s="4">
        <v>4.1109999999999998</v>
      </c>
      <c r="BM334" s="17">
        <v>5.1529999999999996</v>
      </c>
      <c r="BN334" s="4">
        <v>3.8769999999999998</v>
      </c>
      <c r="BO334" s="4">
        <v>5.1680000000000001</v>
      </c>
      <c r="BP334" s="4">
        <v>4.8280000000000003</v>
      </c>
      <c r="BQ334" s="4">
        <v>2.8330000000000002</v>
      </c>
      <c r="BR334" s="4">
        <v>3.9220000000000002</v>
      </c>
      <c r="BS334" s="4">
        <v>1.9259999999999999</v>
      </c>
      <c r="BT334" s="4">
        <v>2.5</v>
      </c>
      <c r="BU334" s="4">
        <v>4.2229999999999999</v>
      </c>
      <c r="BV334" s="4">
        <v>2.839</v>
      </c>
      <c r="BW334" s="4">
        <v>3.839</v>
      </c>
      <c r="BX334" s="4">
        <v>3.9830000000000001</v>
      </c>
      <c r="BY334" s="4">
        <v>4.407</v>
      </c>
      <c r="BZ334" s="55">
        <v>5.19</v>
      </c>
      <c r="CA334" s="55">
        <v>4.32</v>
      </c>
      <c r="CB334" s="55">
        <v>6.9</v>
      </c>
      <c r="CC334" s="55">
        <v>0</v>
      </c>
      <c r="CD334" s="55">
        <v>0</v>
      </c>
      <c r="CE334" s="19">
        <v>0</v>
      </c>
      <c r="CF334" s="19">
        <v>0</v>
      </c>
      <c r="CG334" s="4">
        <v>6.25</v>
      </c>
      <c r="CH334" s="4">
        <v>0</v>
      </c>
      <c r="CI334" s="4">
        <v>4.8099999999999996</v>
      </c>
      <c r="CJ334" s="34">
        <v>0</v>
      </c>
      <c r="CK334" s="34">
        <v>0</v>
      </c>
      <c r="CL334" s="34">
        <v>0</v>
      </c>
      <c r="CM334" s="4">
        <v>0</v>
      </c>
      <c r="CN334" s="53">
        <v>0</v>
      </c>
      <c r="CO334" s="54">
        <v>0</v>
      </c>
      <c r="CP334" s="54">
        <v>0</v>
      </c>
      <c r="CQ334" s="4">
        <v>0</v>
      </c>
    </row>
    <row r="335" spans="1:95" s="55" customFormat="1" x14ac:dyDescent="0.35">
      <c r="A335" s="55">
        <v>334</v>
      </c>
      <c r="B335" s="55" t="s">
        <v>112</v>
      </c>
      <c r="C335" s="27" t="s">
        <v>783</v>
      </c>
      <c r="D335" s="50" t="s">
        <v>88</v>
      </c>
      <c r="E335" s="33" t="s">
        <v>91</v>
      </c>
      <c r="F335" s="4">
        <f>IFERROR(AVERAGEIF(Table1[[#This Row],[2019-Apr]:[2025-July]],"&lt;&gt;0"),0)</f>
        <v>2.0157543859649123</v>
      </c>
      <c r="G335" s="4">
        <f ca="1">IFERROR(AVERAGEIF(OFFSET(Table1[[#This Row],[Status]],0,COUNT(Table1[[#This Row],[2019-May]:[2025-July]]),1,-12),"&lt;&gt;0"),0)</f>
        <v>1.4849999999999999</v>
      </c>
      <c r="H335" s="55">
        <f>IFERROR(SMALL(Table1[[#This Row],[2019-Apr]:[2025-July]],COUNTIF(Table1[[#This Row],[2019-Apr]:[2025-July]],0)+1),0)</f>
        <v>0.7</v>
      </c>
      <c r="I335" s="55">
        <f>IFERROR(MAX(Table1[[#This Row],[2019-Apr]:[2025-July]]),0)</f>
        <v>9.5500000000000007</v>
      </c>
      <c r="J335" s="4" cm="1">
        <f t="array" ref="J33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0.82833333333333325</v>
      </c>
      <c r="K335" s="4">
        <v>4.5</v>
      </c>
      <c r="L335" s="4">
        <f>IF(Table1[[#This Row],[Standard as per ISO]]&gt;=Table1[[#This Row],[Avg of best 6]],Table1[[#This Row],[Standard as per ISO]],Table1[[#This Row],[Avg of best 6]])</f>
        <v>4.5</v>
      </c>
      <c r="M335" s="4" cm="1">
        <f t="array" ref="M335">IFERROR(LOOKUP(2,1/(Table1[[#This Row],[2019-May]:[2025-July]]&lt;&gt;0),Table1[[#This Row],[2019-May]:[2025-July]]),0)</f>
        <v>1.57</v>
      </c>
      <c r="N335" s="4">
        <f>COUNTIF(Table1[[#This Row],[2019-Apr]:[2025-July]],"&gt;="&amp;Table1[[#This Row],[Target]])</f>
        <v>1</v>
      </c>
      <c r="O335" s="4">
        <f>IF(Table1[[#This Row],[Outliers 2Y]]=0,1,0)</f>
        <v>0</v>
      </c>
      <c r="P335" s="4">
        <f>IF(Table1[[#This Row],[Last value]]&gt;1.5*Table1[[#This Row],[Target]],1,0)</f>
        <v>0</v>
      </c>
      <c r="Q335" s="4">
        <f>IF(AND(1.5*Table1[[#This Row],[Target]]&gt;=Table1[[#This Row],[Last value]],Table1[[#This Row],[Last value]]&gt;Table1[[#This Row],[Target]]),1,0)</f>
        <v>0</v>
      </c>
      <c r="R335" s="4">
        <f>IF(Table1[[#This Row],[Target]]&gt;=Table1[[#This Row],[Last value]],1,0)</f>
        <v>1</v>
      </c>
      <c r="S335" s="4" t="str">
        <f t="shared" si="7"/>
        <v>Green</v>
      </c>
      <c r="T335" s="55">
        <v>0</v>
      </c>
      <c r="U335" s="55">
        <v>1.0900000000000001</v>
      </c>
      <c r="V335" s="55">
        <v>2.2000000000000002</v>
      </c>
      <c r="W335" s="55">
        <v>1.24</v>
      </c>
      <c r="X335" s="55">
        <v>1.2</v>
      </c>
      <c r="Y335" s="55">
        <v>9.5500000000000007</v>
      </c>
      <c r="Z335" s="55">
        <v>1.01</v>
      </c>
      <c r="AA335" s="55">
        <v>1.19</v>
      </c>
      <c r="AB335" s="55">
        <v>3.38</v>
      </c>
      <c r="AC335" s="55">
        <v>1.18</v>
      </c>
      <c r="AD335" s="55">
        <v>0.74</v>
      </c>
      <c r="AE335" s="55">
        <v>1.9</v>
      </c>
      <c r="AF335" s="55">
        <v>0.7</v>
      </c>
      <c r="AG335" s="55">
        <v>1.4</v>
      </c>
      <c r="AH335" s="55">
        <v>1.02</v>
      </c>
      <c r="AI335" s="55">
        <v>0</v>
      </c>
      <c r="AJ335" s="55">
        <v>0.8</v>
      </c>
      <c r="AK335" s="55">
        <v>1.66</v>
      </c>
      <c r="AL335" s="55">
        <v>0</v>
      </c>
      <c r="AM335" s="55">
        <v>2.41</v>
      </c>
      <c r="AN335" s="55">
        <v>0.72</v>
      </c>
      <c r="AO335" s="55">
        <v>1.62</v>
      </c>
      <c r="AP335" s="55">
        <v>0</v>
      </c>
      <c r="AQ335" s="55">
        <v>2.1</v>
      </c>
      <c r="AR335" s="8">
        <v>1.4</v>
      </c>
      <c r="AS335" s="8">
        <v>3.45</v>
      </c>
      <c r="AT335" s="8">
        <v>1.89</v>
      </c>
      <c r="AU335" s="50">
        <v>2.2200000000000002</v>
      </c>
      <c r="AV335" s="50">
        <v>2</v>
      </c>
      <c r="AW335" s="50">
        <v>1.92</v>
      </c>
      <c r="AX335" s="50">
        <v>1.54</v>
      </c>
      <c r="AY335" s="50">
        <v>1.75</v>
      </c>
      <c r="AZ335" s="50">
        <v>2.72</v>
      </c>
      <c r="BA335" s="50">
        <v>3.2</v>
      </c>
      <c r="BB335" s="50">
        <v>2.2999999999999998</v>
      </c>
      <c r="BC335" s="55">
        <v>1</v>
      </c>
      <c r="BD335" s="55">
        <v>2.5</v>
      </c>
      <c r="BE335" s="11">
        <v>2.12</v>
      </c>
      <c r="BF335" s="4">
        <v>0</v>
      </c>
      <c r="BG335" s="4">
        <v>3.3260000000000001</v>
      </c>
      <c r="BH335" s="4">
        <v>3.7839999999999998</v>
      </c>
      <c r="BI335" s="4">
        <v>3.7839999999999998</v>
      </c>
      <c r="BJ335" s="13">
        <v>1.911</v>
      </c>
      <c r="BK335" s="13">
        <v>1.43</v>
      </c>
      <c r="BL335" s="4">
        <v>4.1280000000000001</v>
      </c>
      <c r="BM335" s="16">
        <v>1.589</v>
      </c>
      <c r="BN335" s="4">
        <v>1.4530000000000001</v>
      </c>
      <c r="BO335" s="4">
        <v>1.681</v>
      </c>
      <c r="BP335" s="4">
        <v>1.548</v>
      </c>
      <c r="BQ335" s="4">
        <v>2.202</v>
      </c>
      <c r="BR335" s="4">
        <v>1.5109999999999999</v>
      </c>
      <c r="BS335" s="4">
        <v>1.827</v>
      </c>
      <c r="BT335" s="4">
        <v>1.72</v>
      </c>
      <c r="BU335" s="4">
        <v>1.5289999999999999</v>
      </c>
      <c r="BV335" s="4">
        <v>2.294</v>
      </c>
      <c r="BW335" s="4">
        <v>2.0910000000000002</v>
      </c>
      <c r="BX335" s="4">
        <v>1.704</v>
      </c>
      <c r="BY335" s="4">
        <v>1.736</v>
      </c>
      <c r="BZ335" s="55">
        <v>2.04</v>
      </c>
      <c r="CA335" s="55">
        <v>0</v>
      </c>
      <c r="CB335" s="55">
        <v>0</v>
      </c>
      <c r="CC335" s="55">
        <v>1.52</v>
      </c>
      <c r="CD335" s="55">
        <v>0</v>
      </c>
      <c r="CE335" s="19">
        <v>0</v>
      </c>
      <c r="CF335" s="19">
        <v>1.4</v>
      </c>
      <c r="CG335" s="4">
        <v>0</v>
      </c>
      <c r="CH335" s="4">
        <v>0</v>
      </c>
      <c r="CI335" s="4">
        <v>1.57</v>
      </c>
      <c r="CJ335" s="34">
        <v>0</v>
      </c>
      <c r="CK335" s="34">
        <v>0</v>
      </c>
      <c r="CL335" s="34">
        <v>0</v>
      </c>
      <c r="CM335" s="4">
        <v>0</v>
      </c>
      <c r="CN335" s="53">
        <v>0</v>
      </c>
      <c r="CO335" s="54">
        <v>0</v>
      </c>
      <c r="CP335" s="54">
        <v>0</v>
      </c>
      <c r="CQ335" s="4">
        <v>0</v>
      </c>
    </row>
    <row r="336" spans="1:95" s="55" customFormat="1" x14ac:dyDescent="0.35">
      <c r="A336" s="55">
        <v>335</v>
      </c>
      <c r="B336" s="55" t="s">
        <v>112</v>
      </c>
      <c r="C336" s="27" t="s">
        <v>784</v>
      </c>
      <c r="D336" s="50" t="s">
        <v>88</v>
      </c>
      <c r="E336" s="33" t="s">
        <v>91</v>
      </c>
      <c r="F336" s="4">
        <f>IFERROR(AVERAGEIF(Table1[[#This Row],[2019-Apr]:[2025-July]],"&lt;&gt;0"),0)</f>
        <v>2.2483333333333335</v>
      </c>
      <c r="G336" s="4">
        <f ca="1">IFERROR(AVERAGEIF(OFFSET(Table1[[#This Row],[Status]],0,COUNT(Table1[[#This Row],[2019-May]:[2025-July]]),1,-12),"&lt;&gt;0"),0)</f>
        <v>1.71</v>
      </c>
      <c r="H336" s="55">
        <f>IFERROR(SMALL(Table1[[#This Row],[2019-Apr]:[2025-July]],COUNTIF(Table1[[#This Row],[2019-Apr]:[2025-July]],0)+1),0)</f>
        <v>1.0129999999999999</v>
      </c>
      <c r="I336" s="55">
        <f>IFERROR(MAX(Table1[[#This Row],[2019-Apr]:[2025-July]]),0)</f>
        <v>5.91</v>
      </c>
      <c r="J336" s="4" cm="1">
        <f t="array" ref="J33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1.0841666666666667</v>
      </c>
      <c r="K336" s="4">
        <v>4.5</v>
      </c>
      <c r="L336" s="4">
        <f>IF(Table1[[#This Row],[Standard as per ISO]]&gt;=Table1[[#This Row],[Avg of best 6]],Table1[[#This Row],[Standard as per ISO]],Table1[[#This Row],[Avg of best 6]])</f>
        <v>4.5</v>
      </c>
      <c r="M336" s="4" cm="1">
        <f t="array" ref="M336">IFERROR(LOOKUP(2,1/(Table1[[#This Row],[2019-May]:[2025-July]]&lt;&gt;0),Table1[[#This Row],[2019-May]:[2025-July]]),0)</f>
        <v>1.62</v>
      </c>
      <c r="N336" s="4">
        <f>COUNTIF(Table1[[#This Row],[2019-Apr]:[2025-July]],"&gt;="&amp;Table1[[#This Row],[Target]])</f>
        <v>1</v>
      </c>
      <c r="O336" s="4">
        <f>IF(Table1[[#This Row],[Outliers 2Y]]=0,1,0)</f>
        <v>0</v>
      </c>
      <c r="P336" s="4">
        <f>IF(Table1[[#This Row],[Last value]]&gt;1.5*Table1[[#This Row],[Target]],1,0)</f>
        <v>0</v>
      </c>
      <c r="Q336" s="4">
        <f>IF(AND(1.5*Table1[[#This Row],[Target]]&gt;=Table1[[#This Row],[Last value]],Table1[[#This Row],[Last value]]&gt;Table1[[#This Row],[Target]]),1,0)</f>
        <v>0</v>
      </c>
      <c r="R336" s="4">
        <f>IF(Table1[[#This Row],[Target]]&gt;=Table1[[#This Row],[Last value]],1,0)</f>
        <v>1</v>
      </c>
      <c r="S336" s="4" t="str">
        <f t="shared" si="7"/>
        <v>Green</v>
      </c>
      <c r="T336" s="55">
        <v>0</v>
      </c>
      <c r="U336" s="55">
        <v>2.25</v>
      </c>
      <c r="V336" s="55">
        <v>2.65</v>
      </c>
      <c r="W336" s="55">
        <v>2.8</v>
      </c>
      <c r="X336" s="55">
        <v>2.14</v>
      </c>
      <c r="Y336" s="55">
        <v>4.34</v>
      </c>
      <c r="Z336" s="55">
        <v>2.23</v>
      </c>
      <c r="AA336" s="55">
        <v>1.31</v>
      </c>
      <c r="AB336" s="55">
        <v>1.43</v>
      </c>
      <c r="AC336" s="55">
        <v>2.02</v>
      </c>
      <c r="AD336" s="55">
        <v>1.66</v>
      </c>
      <c r="AE336" s="55">
        <v>2.2000000000000002</v>
      </c>
      <c r="AF336" s="55">
        <v>1.2</v>
      </c>
      <c r="AG336" s="55">
        <v>2.6</v>
      </c>
      <c r="AH336" s="55">
        <v>1.96</v>
      </c>
      <c r="AI336" s="55">
        <v>0</v>
      </c>
      <c r="AJ336" s="55">
        <v>2.93</v>
      </c>
      <c r="AK336" s="55">
        <v>2.37</v>
      </c>
      <c r="AL336" s="55">
        <v>0</v>
      </c>
      <c r="AM336" s="55">
        <v>1.82</v>
      </c>
      <c r="AN336" s="55">
        <v>1.28</v>
      </c>
      <c r="AO336" s="55">
        <v>1.33</v>
      </c>
      <c r="AP336" s="55">
        <v>0</v>
      </c>
      <c r="AQ336" s="55">
        <v>2.2999999999999998</v>
      </c>
      <c r="AR336" s="8">
        <v>1.84</v>
      </c>
      <c r="AS336" s="8">
        <v>1.95</v>
      </c>
      <c r="AT336" s="8">
        <v>2.02</v>
      </c>
      <c r="AU336" s="50">
        <v>1.57</v>
      </c>
      <c r="AV336" s="50">
        <v>1.9</v>
      </c>
      <c r="AW336" s="50">
        <v>1.98</v>
      </c>
      <c r="AX336" s="50">
        <v>1.95</v>
      </c>
      <c r="AY336" s="50">
        <v>2.0299999999999998</v>
      </c>
      <c r="AZ336" s="50">
        <v>2.09</v>
      </c>
      <c r="BA336" s="50">
        <v>4.3</v>
      </c>
      <c r="BB336" s="50">
        <v>2.2999999999999998</v>
      </c>
      <c r="BC336" s="55">
        <v>1.2</v>
      </c>
      <c r="BD336" s="55">
        <v>3.6</v>
      </c>
      <c r="BE336" s="11">
        <v>2.0579999999999998</v>
      </c>
      <c r="BF336" s="4">
        <v>0</v>
      </c>
      <c r="BG336" s="4">
        <v>1.4470000000000001</v>
      </c>
      <c r="BH336" s="4">
        <v>3.27</v>
      </c>
      <c r="BI336" s="4">
        <v>3.27</v>
      </c>
      <c r="BJ336" s="14">
        <v>2.1070000000000002</v>
      </c>
      <c r="BK336" s="14">
        <v>1.9390000000000001</v>
      </c>
      <c r="BL336" s="4">
        <v>3.0339999999999998</v>
      </c>
      <c r="BM336" s="17">
        <v>1.327</v>
      </c>
      <c r="BN336" s="4">
        <v>3.86</v>
      </c>
      <c r="BO336" s="4">
        <v>4.4020000000000001</v>
      </c>
      <c r="BP336" s="4">
        <v>2.8</v>
      </c>
      <c r="BQ336" s="4">
        <v>1.724</v>
      </c>
      <c r="BR336" s="4">
        <v>1.0129999999999999</v>
      </c>
      <c r="BS336" s="4">
        <v>1.0549999999999999</v>
      </c>
      <c r="BT336" s="4">
        <v>2.7149999999999999</v>
      </c>
      <c r="BU336" s="4">
        <v>1.7849999999999999</v>
      </c>
      <c r="BV336" s="4">
        <v>1.07</v>
      </c>
      <c r="BW336" s="4">
        <v>2.9119999999999999</v>
      </c>
      <c r="BX336" s="4">
        <v>1.022</v>
      </c>
      <c r="BY336" s="4">
        <v>1.145</v>
      </c>
      <c r="BZ336" s="55">
        <v>3.32</v>
      </c>
      <c r="CA336" s="55">
        <v>0</v>
      </c>
      <c r="CB336" s="55">
        <v>0</v>
      </c>
      <c r="CC336" s="55">
        <v>0</v>
      </c>
      <c r="CD336" s="55">
        <v>5.91</v>
      </c>
      <c r="CE336" s="19">
        <v>0</v>
      </c>
      <c r="CF336" s="19">
        <v>1.8</v>
      </c>
      <c r="CG336" s="4">
        <v>0</v>
      </c>
      <c r="CH336" s="4">
        <v>0</v>
      </c>
      <c r="CI336" s="4">
        <v>1.62</v>
      </c>
      <c r="CJ336" s="34">
        <v>0</v>
      </c>
      <c r="CK336" s="34">
        <v>0</v>
      </c>
      <c r="CL336" s="34">
        <v>0</v>
      </c>
      <c r="CM336" s="4">
        <v>0</v>
      </c>
      <c r="CN336" s="53">
        <v>0</v>
      </c>
      <c r="CO336" s="54">
        <v>0</v>
      </c>
      <c r="CP336" s="54">
        <v>0</v>
      </c>
      <c r="CQ336" s="4">
        <v>0</v>
      </c>
    </row>
    <row r="337" spans="1:95" s="55" customFormat="1" x14ac:dyDescent="0.35">
      <c r="A337" s="55">
        <v>336</v>
      </c>
      <c r="B337" s="55" t="s">
        <v>112</v>
      </c>
      <c r="C337" s="27" t="s">
        <v>785</v>
      </c>
      <c r="D337" s="50" t="s">
        <v>88</v>
      </c>
      <c r="E337" s="33" t="s">
        <v>91</v>
      </c>
      <c r="F337" s="4">
        <f>IFERROR(AVERAGEIF(Table1[[#This Row],[2019-Apr]:[2025-July]],"&lt;&gt;0"),0)</f>
        <v>2.1414137931034478</v>
      </c>
      <c r="G337" s="4">
        <f ca="1">IFERROR(AVERAGEIF(OFFSET(Table1[[#This Row],[Status]],0,COUNT(Table1[[#This Row],[2019-May]:[2025-July]]),1,-12),"&lt;&gt;0"),0)</f>
        <v>1.73</v>
      </c>
      <c r="H337" s="55">
        <f>IFERROR(SMALL(Table1[[#This Row],[2019-Apr]:[2025-July]],COUNTIF(Table1[[#This Row],[2019-Apr]:[2025-July]],0)+1),0)</f>
        <v>1.222</v>
      </c>
      <c r="I337" s="55">
        <f>IFERROR(MAX(Table1[[#This Row],[2019-Apr]:[2025-July]]),0)</f>
        <v>3.45</v>
      </c>
      <c r="J337" s="4" cm="1">
        <f t="array" ref="J33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1.5463333333333333</v>
      </c>
      <c r="K337" s="4">
        <v>4.5</v>
      </c>
      <c r="L337" s="4">
        <f>IF(Table1[[#This Row],[Standard as per ISO]]&gt;=Table1[[#This Row],[Avg of best 6]],Table1[[#This Row],[Standard as per ISO]],Table1[[#This Row],[Avg of best 6]])</f>
        <v>4.5</v>
      </c>
      <c r="M337" s="4" cm="1">
        <f t="array" ref="M337">IFERROR(LOOKUP(2,1/(Table1[[#This Row],[2019-May]:[2025-July]]&lt;&gt;0),Table1[[#This Row],[2019-May]:[2025-July]]),0)</f>
        <v>1.8</v>
      </c>
      <c r="N337" s="4">
        <f>COUNTIF(Table1[[#This Row],[2019-Apr]:[2025-July]],"&gt;="&amp;Table1[[#This Row],[Target]])</f>
        <v>0</v>
      </c>
      <c r="O337" s="4">
        <f>IF(Table1[[#This Row],[Outliers 2Y]]=0,1,0)</f>
        <v>1</v>
      </c>
      <c r="P337" s="4">
        <f>IF(Table1[[#This Row],[Last value]]&gt;1.5*Table1[[#This Row],[Target]],1,0)</f>
        <v>0</v>
      </c>
      <c r="Q337" s="4">
        <f>IF(AND(1.5*Table1[[#This Row],[Target]]&gt;=Table1[[#This Row],[Last value]],Table1[[#This Row],[Last value]]&gt;Table1[[#This Row],[Target]]),1,0)</f>
        <v>0</v>
      </c>
      <c r="R337" s="4">
        <f>IF(Table1[[#This Row],[Target]]&gt;=Table1[[#This Row],[Last value]],1,0)</f>
        <v>1</v>
      </c>
      <c r="S337" s="4" t="str">
        <f t="shared" si="7"/>
        <v>Green</v>
      </c>
      <c r="T337" s="55">
        <v>0</v>
      </c>
      <c r="U337" s="55">
        <v>2.1800000000000002</v>
      </c>
      <c r="V337" s="55">
        <v>2.2999999999999998</v>
      </c>
      <c r="W337" s="55">
        <v>2.79</v>
      </c>
      <c r="X337" s="55">
        <v>2.57</v>
      </c>
      <c r="Y337" s="55">
        <v>2.39</v>
      </c>
      <c r="Z337" s="55">
        <v>3.17</v>
      </c>
      <c r="AA337" s="55">
        <v>3.45</v>
      </c>
      <c r="AB337" s="55">
        <v>2.65</v>
      </c>
      <c r="AC337" s="55">
        <v>3.01</v>
      </c>
      <c r="AD337" s="55">
        <v>2.36</v>
      </c>
      <c r="AE337" s="55">
        <v>2.6</v>
      </c>
      <c r="AF337" s="55">
        <v>2.5</v>
      </c>
      <c r="AG337" s="55">
        <v>2.4</v>
      </c>
      <c r="AH337" s="55">
        <v>2.5</v>
      </c>
      <c r="AI337" s="55">
        <v>2.23</v>
      </c>
      <c r="AJ337" s="55">
        <v>2.67</v>
      </c>
      <c r="AK337" s="55">
        <v>2.23</v>
      </c>
      <c r="AL337" s="55">
        <v>2.14</v>
      </c>
      <c r="AM337" s="55">
        <v>0</v>
      </c>
      <c r="AN337" s="55">
        <v>2.2200000000000002</v>
      </c>
      <c r="AO337" s="55">
        <v>2.42</v>
      </c>
      <c r="AP337" s="55">
        <v>2.4900000000000002</v>
      </c>
      <c r="AQ337" s="55">
        <v>0</v>
      </c>
      <c r="AR337" s="8">
        <v>2.5</v>
      </c>
      <c r="AS337" s="8">
        <v>2.36</v>
      </c>
      <c r="AT337" s="8">
        <v>2.29</v>
      </c>
      <c r="AU337" s="50">
        <v>2.2000000000000002</v>
      </c>
      <c r="AV337" s="50">
        <v>2.33</v>
      </c>
      <c r="AW337" s="50">
        <v>2.36</v>
      </c>
      <c r="AX337" s="50">
        <v>2.38</v>
      </c>
      <c r="AY337" s="50">
        <v>2.2400000000000002</v>
      </c>
      <c r="AZ337" s="50">
        <v>2.15</v>
      </c>
      <c r="BA337" s="50">
        <v>1.8</v>
      </c>
      <c r="BB337" s="50">
        <v>1.9</v>
      </c>
      <c r="BC337" s="55">
        <v>1.8</v>
      </c>
      <c r="BD337" s="55">
        <v>1.8</v>
      </c>
      <c r="BE337" s="11">
        <v>1.9019999999999999</v>
      </c>
      <c r="BF337" s="4">
        <v>0</v>
      </c>
      <c r="BG337" s="4">
        <v>1.647</v>
      </c>
      <c r="BH337" s="4">
        <v>2.0579999999999998</v>
      </c>
      <c r="BI337" s="4">
        <v>2.0579999999999998</v>
      </c>
      <c r="BJ337" s="13">
        <v>1.7370000000000001</v>
      </c>
      <c r="BK337" s="13">
        <v>1.7829999999999999</v>
      </c>
      <c r="BL337" s="4">
        <v>2.5070000000000001</v>
      </c>
      <c r="BM337" s="16">
        <v>1.845</v>
      </c>
      <c r="BN337" s="4">
        <v>1.9430000000000001</v>
      </c>
      <c r="BO337" s="4">
        <v>1.6910000000000001</v>
      </c>
      <c r="BP337" s="4">
        <v>1.8580000000000001</v>
      </c>
      <c r="BQ337" s="4">
        <v>1.6950000000000001</v>
      </c>
      <c r="BR337" s="4">
        <v>1.766</v>
      </c>
      <c r="BS337" s="4">
        <v>1.8340000000000001</v>
      </c>
      <c r="BT337" s="4">
        <v>1.766</v>
      </c>
      <c r="BU337" s="4">
        <v>1.7250000000000001</v>
      </c>
      <c r="BV337" s="4">
        <v>1.222</v>
      </c>
      <c r="BW337" s="4">
        <v>1.9019999999999999</v>
      </c>
      <c r="BX337" s="4">
        <v>1.6739999999999999</v>
      </c>
      <c r="BY337" s="4">
        <v>1.579</v>
      </c>
      <c r="BZ337" s="55">
        <v>1.59</v>
      </c>
      <c r="CA337" s="55">
        <v>0</v>
      </c>
      <c r="CB337" s="55">
        <v>0</v>
      </c>
      <c r="CC337" s="55">
        <v>1.58</v>
      </c>
      <c r="CD337" s="55">
        <v>0</v>
      </c>
      <c r="CE337" s="19">
        <v>0</v>
      </c>
      <c r="CF337" s="19">
        <v>0</v>
      </c>
      <c r="CG337" s="4">
        <v>1.66</v>
      </c>
      <c r="CH337" s="4">
        <v>0</v>
      </c>
      <c r="CI337" s="4">
        <v>1.8</v>
      </c>
      <c r="CJ337" s="34">
        <v>0</v>
      </c>
      <c r="CK337" s="34">
        <v>0</v>
      </c>
      <c r="CL337" s="34">
        <v>0</v>
      </c>
      <c r="CM337" s="4">
        <v>0</v>
      </c>
      <c r="CN337" s="53">
        <v>0</v>
      </c>
      <c r="CO337" s="54">
        <v>0</v>
      </c>
      <c r="CP337" s="54">
        <v>0</v>
      </c>
      <c r="CQ337" s="4">
        <v>0</v>
      </c>
    </row>
    <row r="338" spans="1:95" s="55" customFormat="1" x14ac:dyDescent="0.35">
      <c r="A338" s="55">
        <v>337</v>
      </c>
      <c r="B338" s="55" t="s">
        <v>112</v>
      </c>
      <c r="C338" s="27" t="s">
        <v>786</v>
      </c>
      <c r="D338" s="50" t="s">
        <v>88</v>
      </c>
      <c r="E338" s="33" t="s">
        <v>91</v>
      </c>
      <c r="F338" s="4">
        <f>IFERROR(AVERAGEIF(Table1[[#This Row],[2019-Apr]:[2025-July]],"&lt;&gt;0"),0)</f>
        <v>1.9362456140350877</v>
      </c>
      <c r="G338" s="4">
        <f ca="1">IFERROR(AVERAGEIF(OFFSET(Table1[[#This Row],[Status]],0,COUNT(Table1[[#This Row],[2019-May]:[2025-July]]),1,-12),"&lt;&gt;0"),0)</f>
        <v>1.335</v>
      </c>
      <c r="H338" s="55">
        <f>IFERROR(SMALL(Table1[[#This Row],[2019-Apr]:[2025-July]],COUNTIF(Table1[[#This Row],[2019-Apr]:[2025-July]],0)+1),0)</f>
        <v>0.90100000000000002</v>
      </c>
      <c r="I338" s="55">
        <f>IFERROR(MAX(Table1[[#This Row],[2019-Apr]:[2025-July]]),0)</f>
        <v>3.61</v>
      </c>
      <c r="J338" s="4" cm="1">
        <f t="array" ref="J33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1.1568333333333334</v>
      </c>
      <c r="K338" s="4">
        <v>4.5</v>
      </c>
      <c r="L338" s="4">
        <f>IF(Table1[[#This Row],[Standard as per ISO]]&gt;=Table1[[#This Row],[Avg of best 6]],Table1[[#This Row],[Standard as per ISO]],Table1[[#This Row],[Avg of best 6]])</f>
        <v>4.5</v>
      </c>
      <c r="M338" s="4" cm="1">
        <f t="array" ref="M338">IFERROR(LOOKUP(2,1/(Table1[[#This Row],[2019-May]:[2025-July]]&lt;&gt;0),Table1[[#This Row],[2019-May]:[2025-July]]),0)</f>
        <v>1.07</v>
      </c>
      <c r="N338" s="4">
        <f>COUNTIF(Table1[[#This Row],[2019-Apr]:[2025-July]],"&gt;="&amp;Table1[[#This Row],[Target]])</f>
        <v>0</v>
      </c>
      <c r="O338" s="4">
        <f>IF(Table1[[#This Row],[Outliers 2Y]]=0,1,0)</f>
        <v>1</v>
      </c>
      <c r="P338" s="4">
        <f>IF(Table1[[#This Row],[Last value]]&gt;1.5*Table1[[#This Row],[Target]],1,0)</f>
        <v>0</v>
      </c>
      <c r="Q338" s="4">
        <f>IF(AND(1.5*Table1[[#This Row],[Target]]&gt;=Table1[[#This Row],[Last value]],Table1[[#This Row],[Last value]]&gt;Table1[[#This Row],[Target]]),1,0)</f>
        <v>0</v>
      </c>
      <c r="R338" s="4">
        <f>IF(Table1[[#This Row],[Target]]&gt;=Table1[[#This Row],[Last value]],1,0)</f>
        <v>1</v>
      </c>
      <c r="S338" s="4" t="str">
        <f t="shared" si="7"/>
        <v>Green</v>
      </c>
      <c r="T338" s="55">
        <v>0</v>
      </c>
      <c r="U338" s="55">
        <v>1.8</v>
      </c>
      <c r="V338" s="55">
        <v>2.31</v>
      </c>
      <c r="W338" s="55">
        <v>2.27</v>
      </c>
      <c r="X338" s="55">
        <v>2.35</v>
      </c>
      <c r="Y338" s="55">
        <v>2.38</v>
      </c>
      <c r="Z338" s="55">
        <v>3.15</v>
      </c>
      <c r="AA338" s="55">
        <v>2</v>
      </c>
      <c r="AB338" s="55">
        <v>1.78</v>
      </c>
      <c r="AC338" s="55">
        <v>1.82</v>
      </c>
      <c r="AD338" s="55">
        <v>1.9</v>
      </c>
      <c r="AE338" s="55">
        <v>2.5</v>
      </c>
      <c r="AF338" s="55">
        <v>2</v>
      </c>
      <c r="AG338" s="55">
        <v>2.2999999999999998</v>
      </c>
      <c r="AH338" s="55">
        <v>1.82</v>
      </c>
      <c r="AI338" s="55">
        <v>0</v>
      </c>
      <c r="AJ338" s="55">
        <v>2.0099999999999998</v>
      </c>
      <c r="AK338" s="55">
        <v>2.73</v>
      </c>
      <c r="AL338" s="55">
        <v>1.62</v>
      </c>
      <c r="AM338" s="55">
        <v>0</v>
      </c>
      <c r="AN338" s="55">
        <v>3.61</v>
      </c>
      <c r="AO338" s="55">
        <v>1.58</v>
      </c>
      <c r="AP338" s="55">
        <v>1.79</v>
      </c>
      <c r="AQ338" s="55">
        <v>0</v>
      </c>
      <c r="AR338" s="8">
        <v>1.74</v>
      </c>
      <c r="AS338" s="8">
        <v>1.03</v>
      </c>
      <c r="AT338" s="8">
        <v>1.33</v>
      </c>
      <c r="AU338" s="50">
        <v>1.43</v>
      </c>
      <c r="AV338" s="50">
        <v>1.7</v>
      </c>
      <c r="AW338" s="50">
        <v>1.89</v>
      </c>
      <c r="AX338" s="50">
        <v>1.52</v>
      </c>
      <c r="AY338" s="50">
        <v>1.18</v>
      </c>
      <c r="AZ338" s="50">
        <v>2.15</v>
      </c>
      <c r="BA338" s="50">
        <v>1.6</v>
      </c>
      <c r="BB338" s="50">
        <v>1.8</v>
      </c>
      <c r="BC338" s="55">
        <v>1.8</v>
      </c>
      <c r="BD338" s="55">
        <v>2</v>
      </c>
      <c r="BE338" s="11">
        <v>1.907</v>
      </c>
      <c r="BF338" s="4">
        <v>0</v>
      </c>
      <c r="BG338" s="4">
        <v>2.3210000000000002</v>
      </c>
      <c r="BH338" s="4">
        <v>2.2200000000000002</v>
      </c>
      <c r="BI338" s="4">
        <v>2.2200000000000002</v>
      </c>
      <c r="BJ338" s="14">
        <v>1.92</v>
      </c>
      <c r="BK338" s="14">
        <v>1.873</v>
      </c>
      <c r="BL338" s="4">
        <v>2.4580000000000002</v>
      </c>
      <c r="BM338" s="17">
        <v>1.7609999999999999</v>
      </c>
      <c r="BN338" s="4">
        <v>1.7569999999999999</v>
      </c>
      <c r="BO338" s="4">
        <v>2.7949999999999999</v>
      </c>
      <c r="BP338" s="4">
        <v>1.927</v>
      </c>
      <c r="BQ338" s="4">
        <v>1.651</v>
      </c>
      <c r="BR338" s="4">
        <v>1.7350000000000001</v>
      </c>
      <c r="BS338" s="4">
        <v>1.68</v>
      </c>
      <c r="BT338" s="4">
        <v>1.95</v>
      </c>
      <c r="BU338" s="4">
        <v>1.59</v>
      </c>
      <c r="BV338" s="4">
        <v>0.90100000000000002</v>
      </c>
      <c r="BW338" s="4">
        <v>2.0230000000000001</v>
      </c>
      <c r="BX338" s="4">
        <v>1.9239999999999999</v>
      </c>
      <c r="BY338" s="4">
        <v>2.1829999999999998</v>
      </c>
      <c r="BZ338" s="55">
        <v>2.0099999999999998</v>
      </c>
      <c r="CA338" s="55">
        <v>0</v>
      </c>
      <c r="CB338" s="55">
        <v>0</v>
      </c>
      <c r="CC338" s="55">
        <v>2</v>
      </c>
      <c r="CD338" s="55">
        <v>0</v>
      </c>
      <c r="CE338" s="19">
        <v>0</v>
      </c>
      <c r="CF338" s="19">
        <v>1.6</v>
      </c>
      <c r="CG338" s="4">
        <v>0</v>
      </c>
      <c r="CH338" s="4">
        <v>0</v>
      </c>
      <c r="CI338" s="4">
        <v>1.07</v>
      </c>
      <c r="CJ338" s="34">
        <v>0</v>
      </c>
      <c r="CK338" s="34">
        <v>0</v>
      </c>
      <c r="CL338" s="34">
        <v>0</v>
      </c>
      <c r="CM338" s="4">
        <v>0</v>
      </c>
      <c r="CN338" s="53">
        <v>0</v>
      </c>
      <c r="CO338" s="54">
        <v>0</v>
      </c>
      <c r="CP338" s="54">
        <v>0</v>
      </c>
      <c r="CQ338" s="4">
        <v>0</v>
      </c>
    </row>
    <row r="339" spans="1:95" s="55" customFormat="1" x14ac:dyDescent="0.35">
      <c r="A339" s="55">
        <v>338</v>
      </c>
      <c r="B339" s="55" t="s">
        <v>112</v>
      </c>
      <c r="C339" s="27" t="s">
        <v>787</v>
      </c>
      <c r="D339" s="50" t="s">
        <v>88</v>
      </c>
      <c r="E339" s="33" t="s">
        <v>91</v>
      </c>
      <c r="F339" s="4">
        <f>IFERROR(AVERAGEIF(Table1[[#This Row],[2019-Apr]:[2025-July]],"&lt;&gt;0"),0)</f>
        <v>3.4856896551724152</v>
      </c>
      <c r="G339" s="4">
        <f ca="1">IFERROR(AVERAGEIF(OFFSET(Table1[[#This Row],[Status]],0,COUNT(Table1[[#This Row],[2019-May]:[2025-July]]),1,-12),"&lt;&gt;0"),0)</f>
        <v>3.19</v>
      </c>
      <c r="H339" s="55">
        <f>IFERROR(SMALL(Table1[[#This Row],[2019-Apr]:[2025-July]],COUNTIF(Table1[[#This Row],[2019-Apr]:[2025-July]],0)+1),0)</f>
        <v>1.4</v>
      </c>
      <c r="I339" s="55">
        <f>IFERROR(MAX(Table1[[#This Row],[2019-Apr]:[2025-July]]),0)</f>
        <v>9.6159999999999997</v>
      </c>
      <c r="J339" s="4" cm="1">
        <f t="array" ref="J33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1.5325</v>
      </c>
      <c r="K339" s="4">
        <v>4.5</v>
      </c>
      <c r="L339" s="4">
        <f>IF(Table1[[#This Row],[Standard as per ISO]]&gt;=Table1[[#This Row],[Avg of best 6]],Table1[[#This Row],[Standard as per ISO]],Table1[[#This Row],[Avg of best 6]])</f>
        <v>4.5</v>
      </c>
      <c r="M339" s="4" cm="1">
        <f t="array" ref="M339">IFERROR(LOOKUP(2,1/(Table1[[#This Row],[2019-May]:[2025-July]]&lt;&gt;0),Table1[[#This Row],[2019-May]:[2025-July]]),0)</f>
        <v>2.58</v>
      </c>
      <c r="N339" s="4">
        <f>COUNTIF(Table1[[#This Row],[2019-Apr]:[2025-July]],"&gt;="&amp;Table1[[#This Row],[Target]])</f>
        <v>13</v>
      </c>
      <c r="O339" s="4">
        <f>IF(Table1[[#This Row],[Outliers 2Y]]=0,1,0)</f>
        <v>0</v>
      </c>
      <c r="P339" s="4">
        <f>IF(Table1[[#This Row],[Last value]]&gt;1.5*Table1[[#This Row],[Target]],1,0)</f>
        <v>0</v>
      </c>
      <c r="Q339" s="4">
        <f>IF(AND(1.5*Table1[[#This Row],[Target]]&gt;=Table1[[#This Row],[Last value]],Table1[[#This Row],[Last value]]&gt;Table1[[#This Row],[Target]]),1,0)</f>
        <v>0</v>
      </c>
      <c r="R339" s="4">
        <f>IF(Table1[[#This Row],[Target]]&gt;=Table1[[#This Row],[Last value]],1,0)</f>
        <v>1</v>
      </c>
      <c r="S339" s="4" t="str">
        <f t="shared" si="7"/>
        <v>Green</v>
      </c>
      <c r="T339" s="55">
        <v>0</v>
      </c>
      <c r="U339" s="55">
        <v>4.74</v>
      </c>
      <c r="V339" s="55">
        <v>6.76</v>
      </c>
      <c r="W339" s="55">
        <v>6.84</v>
      </c>
      <c r="X339" s="55">
        <v>3.7</v>
      </c>
      <c r="Y339" s="55">
        <v>4.3</v>
      </c>
      <c r="Z339" s="55">
        <v>2.4500000000000002</v>
      </c>
      <c r="AA339" s="55">
        <v>3.22</v>
      </c>
      <c r="AB339" s="55">
        <v>2.5</v>
      </c>
      <c r="AC339" s="55">
        <v>1.98</v>
      </c>
      <c r="AD339" s="55">
        <v>3.53</v>
      </c>
      <c r="AE339" s="55">
        <v>4.5999999999999996</v>
      </c>
      <c r="AF339" s="55">
        <v>3.7</v>
      </c>
      <c r="AG339" s="55">
        <v>3</v>
      </c>
      <c r="AH339" s="55">
        <v>4.38</v>
      </c>
      <c r="AI339" s="55">
        <v>0</v>
      </c>
      <c r="AJ339" s="55">
        <v>1.84</v>
      </c>
      <c r="AK339" s="55">
        <v>1.8</v>
      </c>
      <c r="AL339" s="55">
        <v>1.97</v>
      </c>
      <c r="AM339" s="55">
        <v>0</v>
      </c>
      <c r="AN339" s="55">
        <v>3.56</v>
      </c>
      <c r="AO339" s="55">
        <v>1.83</v>
      </c>
      <c r="AP339" s="55">
        <v>6.12</v>
      </c>
      <c r="AQ339" s="55">
        <v>0</v>
      </c>
      <c r="AR339" s="8">
        <v>2.67</v>
      </c>
      <c r="AS339" s="8">
        <v>7.64</v>
      </c>
      <c r="AT339" s="8">
        <v>0</v>
      </c>
      <c r="AU339" s="50">
        <v>4.7</v>
      </c>
      <c r="AV339" s="50">
        <v>1.96</v>
      </c>
      <c r="AW339" s="50">
        <v>6.01</v>
      </c>
      <c r="AX339" s="50">
        <v>5.34</v>
      </c>
      <c r="AY339" s="50">
        <v>8</v>
      </c>
      <c r="AZ339" s="50">
        <v>1.49</v>
      </c>
      <c r="BA339" s="50">
        <v>3.5</v>
      </c>
      <c r="BB339" s="50">
        <v>1.4</v>
      </c>
      <c r="BC339" s="55">
        <v>3.1</v>
      </c>
      <c r="BD339" s="55">
        <v>1.5</v>
      </c>
      <c r="BE339" s="11">
        <v>4.1470000000000002</v>
      </c>
      <c r="BF339" s="4">
        <v>0</v>
      </c>
      <c r="BG339" s="4">
        <v>3.2450000000000001</v>
      </c>
      <c r="BH339" s="4">
        <v>1.85</v>
      </c>
      <c r="BI339" s="4">
        <v>1.85</v>
      </c>
      <c r="BJ339" s="13">
        <v>4.3739999999999997</v>
      </c>
      <c r="BK339" s="13">
        <v>1.996</v>
      </c>
      <c r="BL339" s="4">
        <v>2.9460000000000002</v>
      </c>
      <c r="BM339" s="16">
        <v>2.3959999999999999</v>
      </c>
      <c r="BN339" s="4">
        <v>2.3330000000000002</v>
      </c>
      <c r="BO339" s="4">
        <v>4.2869999999999999</v>
      </c>
      <c r="BP339" s="4">
        <v>2.1160000000000001</v>
      </c>
      <c r="BQ339" s="4">
        <v>2.609</v>
      </c>
      <c r="BR339" s="4">
        <v>2.081</v>
      </c>
      <c r="BS339" s="4">
        <v>2.6850000000000001</v>
      </c>
      <c r="BT339" s="4">
        <v>2.2509999999999999</v>
      </c>
      <c r="BU339" s="4">
        <v>2.1739999999999999</v>
      </c>
      <c r="BV339" s="4">
        <v>2.1930000000000001</v>
      </c>
      <c r="BW339" s="4">
        <v>6.4260000000000002</v>
      </c>
      <c r="BX339" s="4">
        <v>9.6159999999999997</v>
      </c>
      <c r="BY339" s="4">
        <v>1.655</v>
      </c>
      <c r="BZ339" s="55">
        <v>3.65</v>
      </c>
      <c r="CA339" s="55">
        <v>1.54</v>
      </c>
      <c r="CB339" s="55">
        <v>1.61</v>
      </c>
      <c r="CC339" s="55">
        <v>5.63</v>
      </c>
      <c r="CD339" s="55">
        <v>0</v>
      </c>
      <c r="CE339" s="19">
        <v>0</v>
      </c>
      <c r="CF339" s="19">
        <v>3.8</v>
      </c>
      <c r="CG339" s="4">
        <v>0</v>
      </c>
      <c r="CH339" s="4">
        <v>0</v>
      </c>
      <c r="CI339" s="4">
        <v>2.58</v>
      </c>
      <c r="CJ339" s="34">
        <v>0</v>
      </c>
      <c r="CK339" s="34">
        <v>0</v>
      </c>
      <c r="CL339" s="34">
        <v>0</v>
      </c>
      <c r="CM339" s="4">
        <v>0</v>
      </c>
      <c r="CN339" s="53">
        <v>0</v>
      </c>
      <c r="CO339" s="54">
        <v>0</v>
      </c>
      <c r="CP339" s="54">
        <v>0</v>
      </c>
      <c r="CQ339" s="4">
        <v>0</v>
      </c>
    </row>
    <row r="340" spans="1:95" s="55" customFormat="1" x14ac:dyDescent="0.35">
      <c r="A340" s="55">
        <v>339</v>
      </c>
      <c r="B340" s="55" t="s">
        <v>112</v>
      </c>
      <c r="C340" s="27" t="s">
        <v>788</v>
      </c>
      <c r="D340" s="50" t="s">
        <v>88</v>
      </c>
      <c r="E340" s="33" t="s">
        <v>91</v>
      </c>
      <c r="F340" s="4">
        <f>IFERROR(AVERAGEIF(Table1[[#This Row],[2019-Apr]:[2025-July]],"&lt;&gt;0"),0)</f>
        <v>1.2347192982456143</v>
      </c>
      <c r="G340" s="4">
        <f ca="1">IFERROR(AVERAGEIF(OFFSET(Table1[[#This Row],[Status]],0,COUNT(Table1[[#This Row],[2019-May]:[2025-July]]),1,-12),"&lt;&gt;0"),0)</f>
        <v>0.92499999999999993</v>
      </c>
      <c r="H340" s="55">
        <f>IFERROR(SMALL(Table1[[#This Row],[2019-Apr]:[2025-July]],COUNTIF(Table1[[#This Row],[2019-Apr]:[2025-July]],0)+1),0)</f>
        <v>0.5</v>
      </c>
      <c r="I340" s="55">
        <f>IFERROR(MAX(Table1[[#This Row],[2019-Apr]:[2025-July]]),0)</f>
        <v>3.4</v>
      </c>
      <c r="J340" s="4" cm="1">
        <f t="array" ref="J34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0.57333333333333336</v>
      </c>
      <c r="K340" s="4">
        <v>4.5</v>
      </c>
      <c r="L340" s="4">
        <f>IF(Table1[[#This Row],[Standard as per ISO]]&gt;=Table1[[#This Row],[Avg of best 6]],Table1[[#This Row],[Standard as per ISO]],Table1[[#This Row],[Avg of best 6]])</f>
        <v>4.5</v>
      </c>
      <c r="M340" s="4" cm="1">
        <f t="array" ref="M340">IFERROR(LOOKUP(2,1/(Table1[[#This Row],[2019-May]:[2025-July]]&lt;&gt;0),Table1[[#This Row],[2019-May]:[2025-July]]),0)</f>
        <v>1.1499999999999999</v>
      </c>
      <c r="N340" s="4">
        <f>COUNTIF(Table1[[#This Row],[2019-Apr]:[2025-July]],"&gt;="&amp;Table1[[#This Row],[Target]])</f>
        <v>0</v>
      </c>
      <c r="O340" s="4">
        <f>IF(Table1[[#This Row],[Outliers 2Y]]=0,1,0)</f>
        <v>1</v>
      </c>
      <c r="P340" s="4">
        <f>IF(Table1[[#This Row],[Last value]]&gt;1.5*Table1[[#This Row],[Target]],1,0)</f>
        <v>0</v>
      </c>
      <c r="Q340" s="4">
        <f>IF(AND(1.5*Table1[[#This Row],[Target]]&gt;=Table1[[#This Row],[Last value]],Table1[[#This Row],[Last value]]&gt;Table1[[#This Row],[Target]]),1,0)</f>
        <v>0</v>
      </c>
      <c r="R340" s="4">
        <f>IF(Table1[[#This Row],[Target]]&gt;=Table1[[#This Row],[Last value]],1,0)</f>
        <v>1</v>
      </c>
      <c r="S340" s="4" t="str">
        <f t="shared" si="7"/>
        <v>Green</v>
      </c>
      <c r="T340" s="55">
        <v>0</v>
      </c>
      <c r="U340" s="55">
        <v>1.74</v>
      </c>
      <c r="V340" s="55">
        <v>1.26</v>
      </c>
      <c r="W340" s="55">
        <v>2.2799999999999998</v>
      </c>
      <c r="X340" s="55">
        <v>1.46</v>
      </c>
      <c r="Y340" s="55">
        <v>1.6</v>
      </c>
      <c r="Z340" s="55">
        <v>1.23</v>
      </c>
      <c r="AA340" s="55">
        <v>1.07</v>
      </c>
      <c r="AB340" s="55">
        <v>1.18</v>
      </c>
      <c r="AC340" s="55">
        <v>3.4</v>
      </c>
      <c r="AD340" s="55">
        <v>2.2999999999999998</v>
      </c>
      <c r="AE340" s="55">
        <v>2.33</v>
      </c>
      <c r="AF340" s="55">
        <v>1.7</v>
      </c>
      <c r="AG340" s="55">
        <v>1.3</v>
      </c>
      <c r="AH340" s="55">
        <v>1.5</v>
      </c>
      <c r="AI340" s="55">
        <v>0</v>
      </c>
      <c r="AJ340" s="55">
        <v>1.77</v>
      </c>
      <c r="AK340" s="55">
        <v>0</v>
      </c>
      <c r="AL340" s="55">
        <v>3.07</v>
      </c>
      <c r="AM340" s="55">
        <v>2.66</v>
      </c>
      <c r="AN340" s="55">
        <v>1.49</v>
      </c>
      <c r="AO340" s="55">
        <v>1.53</v>
      </c>
      <c r="AP340" s="55">
        <v>0</v>
      </c>
      <c r="AQ340" s="55">
        <v>1.64</v>
      </c>
      <c r="AR340" s="8">
        <v>0.82</v>
      </c>
      <c r="AS340" s="8">
        <v>0.5</v>
      </c>
      <c r="AT340" s="8">
        <v>0.51</v>
      </c>
      <c r="AU340" s="50">
        <v>0.87</v>
      </c>
      <c r="AV340" s="50">
        <v>0.66</v>
      </c>
      <c r="AW340" s="50">
        <v>0.56999999999999995</v>
      </c>
      <c r="AX340" s="50">
        <v>1.45</v>
      </c>
      <c r="AY340" s="50">
        <v>0.75</v>
      </c>
      <c r="AZ340" s="50">
        <v>0.92</v>
      </c>
      <c r="BA340" s="50">
        <v>0.7</v>
      </c>
      <c r="BB340" s="50">
        <v>0.8</v>
      </c>
      <c r="BC340" s="55">
        <v>0.6</v>
      </c>
      <c r="BD340" s="55">
        <v>0.6</v>
      </c>
      <c r="BE340" s="11">
        <v>0.97799999999999998</v>
      </c>
      <c r="BF340" s="4">
        <v>0</v>
      </c>
      <c r="BG340" s="4">
        <v>0.89500000000000002</v>
      </c>
      <c r="BH340" s="4">
        <v>1.2030000000000001</v>
      </c>
      <c r="BI340" s="4">
        <v>1.2030000000000001</v>
      </c>
      <c r="BJ340" s="14">
        <v>0.81499999999999995</v>
      </c>
      <c r="BK340" s="14">
        <v>0.75900000000000001</v>
      </c>
      <c r="BL340" s="4">
        <v>1.3360000000000001</v>
      </c>
      <c r="BM340" s="17">
        <v>1.1140000000000001</v>
      </c>
      <c r="BN340" s="4">
        <v>0.79600000000000004</v>
      </c>
      <c r="BO340" s="4">
        <v>0.93</v>
      </c>
      <c r="BP340" s="4">
        <v>0.80300000000000005</v>
      </c>
      <c r="BQ340" s="4">
        <v>0.93799999999999994</v>
      </c>
      <c r="BR340" s="4">
        <v>0.93899999999999995</v>
      </c>
      <c r="BS340" s="4">
        <v>0.98</v>
      </c>
      <c r="BT340" s="4">
        <v>0.93</v>
      </c>
      <c r="BU340" s="4">
        <v>0.87</v>
      </c>
      <c r="BV340" s="4">
        <v>1.47</v>
      </c>
      <c r="BW340" s="4">
        <v>0.95699999999999996</v>
      </c>
      <c r="BX340" s="4">
        <v>1.0069999999999999</v>
      </c>
      <c r="BY340" s="4">
        <v>1.1759999999999999</v>
      </c>
      <c r="BZ340" s="55">
        <v>1</v>
      </c>
      <c r="CA340" s="55">
        <v>0</v>
      </c>
      <c r="CB340" s="55">
        <v>0</v>
      </c>
      <c r="CC340" s="55">
        <v>0</v>
      </c>
      <c r="CD340" s="55">
        <v>1.17</v>
      </c>
      <c r="CE340" s="19">
        <v>0</v>
      </c>
      <c r="CF340" s="19">
        <v>0.7</v>
      </c>
      <c r="CG340" s="4">
        <v>0</v>
      </c>
      <c r="CH340" s="4">
        <v>0</v>
      </c>
      <c r="CI340" s="4">
        <v>1.1499999999999999</v>
      </c>
      <c r="CJ340" s="34">
        <v>0</v>
      </c>
      <c r="CK340" s="34">
        <v>0</v>
      </c>
      <c r="CL340" s="34">
        <v>0</v>
      </c>
      <c r="CM340" s="4">
        <v>0</v>
      </c>
      <c r="CN340" s="53">
        <v>0</v>
      </c>
      <c r="CO340" s="54">
        <v>0</v>
      </c>
      <c r="CP340" s="54">
        <v>0</v>
      </c>
      <c r="CQ340" s="4">
        <v>0</v>
      </c>
    </row>
    <row r="341" spans="1:95" s="55" customFormat="1" x14ac:dyDescent="0.35">
      <c r="A341" s="55">
        <v>340</v>
      </c>
      <c r="B341" s="55" t="s">
        <v>112</v>
      </c>
      <c r="C341" s="27" t="s">
        <v>789</v>
      </c>
      <c r="D341" s="50" t="s">
        <v>88</v>
      </c>
      <c r="E341" s="33" t="s">
        <v>91</v>
      </c>
      <c r="F341" s="4">
        <f>IFERROR(AVERAGEIF(Table1[[#This Row],[2019-Apr]:[2025-July]],"&lt;&gt;0"),0)</f>
        <v>1.2363333333333331</v>
      </c>
      <c r="G341" s="4">
        <f ca="1">IFERROR(AVERAGEIF(OFFSET(Table1[[#This Row],[Status]],0,COUNT(Table1[[#This Row],[2019-May]:[2025-July]]),1,-12),"&lt;&gt;0"),0)</f>
        <v>1.78</v>
      </c>
      <c r="H341" s="55">
        <f>IFERROR(SMALL(Table1[[#This Row],[2019-Apr]:[2025-July]],COUNTIF(Table1[[#This Row],[2019-Apr]:[2025-July]],0)+1),0)</f>
        <v>0.69</v>
      </c>
      <c r="I341" s="55">
        <f>IFERROR(MAX(Table1[[#This Row],[2019-Apr]:[2025-July]]),0)</f>
        <v>2.56</v>
      </c>
      <c r="J341" s="4" cm="1">
        <f t="array" ref="J34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0.72933333333333328</v>
      </c>
      <c r="K341" s="4">
        <v>4.5</v>
      </c>
      <c r="L341" s="4">
        <f>IF(Table1[[#This Row],[Standard as per ISO]]&gt;=Table1[[#This Row],[Avg of best 6]],Table1[[#This Row],[Standard as per ISO]],Table1[[#This Row],[Avg of best 6]])</f>
        <v>4.5</v>
      </c>
      <c r="M341" s="4" cm="1">
        <f t="array" ref="M341">IFERROR(LOOKUP(2,1/(Table1[[#This Row],[2019-May]:[2025-July]]&lt;&gt;0),Table1[[#This Row],[2019-May]:[2025-July]]),0)</f>
        <v>2.56</v>
      </c>
      <c r="N341" s="4">
        <f>COUNTIF(Table1[[#This Row],[2019-Apr]:[2025-July]],"&gt;="&amp;Table1[[#This Row],[Target]])</f>
        <v>0</v>
      </c>
      <c r="O341" s="4">
        <f>IF(Table1[[#This Row],[Outliers 2Y]]=0,1,0)</f>
        <v>1</v>
      </c>
      <c r="P341" s="4">
        <f>IF(Table1[[#This Row],[Last value]]&gt;1.5*Table1[[#This Row],[Target]],1,0)</f>
        <v>0</v>
      </c>
      <c r="Q341" s="4">
        <f>IF(AND(1.5*Table1[[#This Row],[Target]]&gt;=Table1[[#This Row],[Last value]],Table1[[#This Row],[Last value]]&gt;Table1[[#This Row],[Target]]),1,0)</f>
        <v>0</v>
      </c>
      <c r="R341" s="4">
        <f>IF(Table1[[#This Row],[Target]]&gt;=Table1[[#This Row],[Last value]],1,0)</f>
        <v>1</v>
      </c>
      <c r="S341" s="4" t="str">
        <f t="shared" si="7"/>
        <v>Green</v>
      </c>
      <c r="T341" s="55">
        <v>0</v>
      </c>
      <c r="U341" s="55">
        <v>0.9</v>
      </c>
      <c r="V341" s="55">
        <v>0.93</v>
      </c>
      <c r="W341" s="55">
        <v>1.65</v>
      </c>
      <c r="X341" s="55">
        <v>0.86</v>
      </c>
      <c r="Y341" s="55">
        <v>0.81</v>
      </c>
      <c r="Z341" s="55">
        <v>0.92</v>
      </c>
      <c r="AA341" s="55">
        <v>1.1200000000000001</v>
      </c>
      <c r="AB341" s="55">
        <v>1.2</v>
      </c>
      <c r="AC341" s="55">
        <v>0.85</v>
      </c>
      <c r="AD341" s="55">
        <v>0.86</v>
      </c>
      <c r="AE341" s="55">
        <v>1.1000000000000001</v>
      </c>
      <c r="AF341" s="55">
        <v>0.9</v>
      </c>
      <c r="AG341" s="55">
        <v>1</v>
      </c>
      <c r="AH341" s="55">
        <v>1.04</v>
      </c>
      <c r="AI341" s="55">
        <v>2.4</v>
      </c>
      <c r="AJ341" s="55">
        <v>1.05</v>
      </c>
      <c r="AK341" s="55">
        <v>0</v>
      </c>
      <c r="AL341" s="55">
        <v>1.18</v>
      </c>
      <c r="AM341" s="55">
        <v>1.1000000000000001</v>
      </c>
      <c r="AN341" s="55">
        <v>1.61</v>
      </c>
      <c r="AO341" s="55">
        <v>0.85</v>
      </c>
      <c r="AP341" s="55">
        <v>0</v>
      </c>
      <c r="AQ341" s="55">
        <v>1</v>
      </c>
      <c r="AR341" s="8">
        <v>0.69</v>
      </c>
      <c r="AS341" s="8">
        <v>0.69</v>
      </c>
      <c r="AT341" s="8">
        <v>0.86</v>
      </c>
      <c r="AU341" s="50">
        <v>0.77</v>
      </c>
      <c r="AV341" s="50">
        <v>0.87</v>
      </c>
      <c r="AW341" s="50">
        <v>1.1200000000000001</v>
      </c>
      <c r="AX341" s="50">
        <v>0.84</v>
      </c>
      <c r="AY341" s="50">
        <v>1.25</v>
      </c>
      <c r="AZ341" s="50">
        <v>1.03</v>
      </c>
      <c r="BA341" s="50">
        <v>1.1000000000000001</v>
      </c>
      <c r="BB341" s="50">
        <v>0.9</v>
      </c>
      <c r="BC341" s="55">
        <v>1.5</v>
      </c>
      <c r="BD341" s="55">
        <v>0.7</v>
      </c>
      <c r="BE341" s="11">
        <v>0.91400000000000003</v>
      </c>
      <c r="BF341" s="4">
        <v>0</v>
      </c>
      <c r="BG341" s="4">
        <v>0.78300000000000003</v>
      </c>
      <c r="BH341" s="4">
        <v>0.76300000000000001</v>
      </c>
      <c r="BI341" s="4">
        <v>0.76300000000000001</v>
      </c>
      <c r="BJ341" s="13">
        <v>1.0429999999999999</v>
      </c>
      <c r="BK341" s="13">
        <v>1.802</v>
      </c>
      <c r="BL341" s="4">
        <v>2.1659999999999999</v>
      </c>
      <c r="BM341" s="16">
        <v>2.0579999999999998</v>
      </c>
      <c r="BN341" s="4">
        <v>1.821</v>
      </c>
      <c r="BO341" s="4">
        <v>1.718</v>
      </c>
      <c r="BP341" s="4">
        <v>1.65</v>
      </c>
      <c r="BQ341" s="4">
        <v>1.36</v>
      </c>
      <c r="BR341" s="4">
        <v>1.544</v>
      </c>
      <c r="BS341" s="4">
        <v>1.8660000000000001</v>
      </c>
      <c r="BT341" s="4">
        <v>1.58</v>
      </c>
      <c r="BU341" s="4">
        <v>1.8420000000000001</v>
      </c>
      <c r="BV341" s="4">
        <v>0.94499999999999995</v>
      </c>
      <c r="BW341" s="4">
        <v>1.482</v>
      </c>
      <c r="BX341" s="4">
        <v>1.806</v>
      </c>
      <c r="BY341" s="4">
        <v>2.2149999999999999</v>
      </c>
      <c r="BZ341" s="55">
        <v>1.1399999999999999</v>
      </c>
      <c r="CA341" s="55">
        <v>0</v>
      </c>
      <c r="CB341" s="55">
        <v>0</v>
      </c>
      <c r="CC341" s="55">
        <v>0</v>
      </c>
      <c r="CD341" s="55">
        <v>0</v>
      </c>
      <c r="CE341" s="19">
        <v>0</v>
      </c>
      <c r="CF341" s="19">
        <v>1</v>
      </c>
      <c r="CG341" s="4">
        <v>0</v>
      </c>
      <c r="CH341" s="4">
        <v>0</v>
      </c>
      <c r="CI341" s="4">
        <v>2.56</v>
      </c>
      <c r="CJ341" s="34">
        <v>0</v>
      </c>
      <c r="CK341" s="34">
        <v>0</v>
      </c>
      <c r="CL341" s="34">
        <v>0</v>
      </c>
      <c r="CM341" s="4">
        <v>0</v>
      </c>
      <c r="CN341" s="53">
        <v>0</v>
      </c>
      <c r="CO341" s="54">
        <v>0</v>
      </c>
      <c r="CP341" s="54">
        <v>0</v>
      </c>
      <c r="CQ341" s="4">
        <v>0</v>
      </c>
    </row>
    <row r="342" spans="1:95" s="55" customFormat="1" x14ac:dyDescent="0.35">
      <c r="A342" s="55">
        <v>341</v>
      </c>
      <c r="B342" s="55" t="s">
        <v>112</v>
      </c>
      <c r="C342" s="27" t="s">
        <v>790</v>
      </c>
      <c r="D342" s="50" t="s">
        <v>88</v>
      </c>
      <c r="E342" s="33" t="s">
        <v>91</v>
      </c>
      <c r="F342" s="4">
        <f>IFERROR(AVERAGEIF(Table1[[#This Row],[2019-Apr]:[2025-July]],"&lt;&gt;0"),0)</f>
        <v>1.1765689655172415</v>
      </c>
      <c r="G342" s="4">
        <f ca="1">IFERROR(AVERAGEIF(OFFSET(Table1[[#This Row],[Status]],0,COUNT(Table1[[#This Row],[2019-May]:[2025-July]]),1,-12),"&lt;&gt;0"),0)</f>
        <v>1.155</v>
      </c>
      <c r="H342" s="55">
        <f>IFERROR(SMALL(Table1[[#This Row],[2019-Apr]:[2025-July]],COUNTIF(Table1[[#This Row],[2019-Apr]:[2025-July]],0)+1),0)</f>
        <v>0.6</v>
      </c>
      <c r="I342" s="55">
        <f>IFERROR(MAX(Table1[[#This Row],[2019-Apr]:[2025-July]]),0)</f>
        <v>2.4660000000000002</v>
      </c>
      <c r="J342" s="4" cm="1">
        <f t="array" ref="J34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0.64</v>
      </c>
      <c r="K342" s="4">
        <v>4.5</v>
      </c>
      <c r="L342" s="4">
        <f>IF(Table1[[#This Row],[Standard as per ISO]]&gt;=Table1[[#This Row],[Avg of best 6]],Table1[[#This Row],[Standard as per ISO]],Table1[[#This Row],[Avg of best 6]])</f>
        <v>4.5</v>
      </c>
      <c r="M342" s="4" cm="1">
        <f t="array" ref="M342">IFERROR(LOOKUP(2,1/(Table1[[#This Row],[2019-May]:[2025-July]]&lt;&gt;0),Table1[[#This Row],[2019-May]:[2025-July]]),0)</f>
        <v>1.22</v>
      </c>
      <c r="N342" s="4">
        <f>COUNTIF(Table1[[#This Row],[2019-Apr]:[2025-July]],"&gt;="&amp;Table1[[#This Row],[Target]])</f>
        <v>0</v>
      </c>
      <c r="O342" s="4">
        <f>IF(Table1[[#This Row],[Outliers 2Y]]=0,1,0)</f>
        <v>1</v>
      </c>
      <c r="P342" s="4">
        <f>IF(Table1[[#This Row],[Last value]]&gt;1.5*Table1[[#This Row],[Target]],1,0)</f>
        <v>0</v>
      </c>
      <c r="Q342" s="4">
        <f>IF(AND(1.5*Table1[[#This Row],[Target]]&gt;=Table1[[#This Row],[Last value]],Table1[[#This Row],[Last value]]&gt;Table1[[#This Row],[Target]]),1,0)</f>
        <v>0</v>
      </c>
      <c r="R342" s="4">
        <f>IF(Table1[[#This Row],[Target]]&gt;=Table1[[#This Row],[Last value]],1,0)</f>
        <v>1</v>
      </c>
      <c r="S342" s="4" t="str">
        <f t="shared" si="7"/>
        <v>Green</v>
      </c>
      <c r="T342" s="55">
        <v>0</v>
      </c>
      <c r="U342" s="55">
        <v>0.68</v>
      </c>
      <c r="V342" s="55">
        <v>0.98</v>
      </c>
      <c r="W342" s="55">
        <v>0.68</v>
      </c>
      <c r="X342" s="55">
        <v>0.75</v>
      </c>
      <c r="Y342" s="55">
        <v>0.66</v>
      </c>
      <c r="Z342" s="55">
        <v>1.26</v>
      </c>
      <c r="AA342" s="55">
        <v>1.66</v>
      </c>
      <c r="AB342" s="55">
        <v>1.88</v>
      </c>
      <c r="AC342" s="55">
        <v>0.6</v>
      </c>
      <c r="AD342" s="55">
        <v>0.6</v>
      </c>
      <c r="AE342" s="55">
        <v>1</v>
      </c>
      <c r="AF342" s="55">
        <v>0.7</v>
      </c>
      <c r="AG342" s="55">
        <v>1.5</v>
      </c>
      <c r="AH342" s="55">
        <v>1.4</v>
      </c>
      <c r="AI342" s="55">
        <v>1.5</v>
      </c>
      <c r="AJ342" s="55">
        <v>1.27</v>
      </c>
      <c r="AK342" s="55">
        <v>0.91</v>
      </c>
      <c r="AL342" s="55">
        <v>0.82</v>
      </c>
      <c r="AM342" s="55">
        <v>0</v>
      </c>
      <c r="AN342" s="55">
        <v>0.81</v>
      </c>
      <c r="AO342" s="55">
        <v>1.06</v>
      </c>
      <c r="AP342" s="55">
        <v>1.37</v>
      </c>
      <c r="AQ342" s="55">
        <v>0</v>
      </c>
      <c r="AR342" s="8">
        <v>1.06</v>
      </c>
      <c r="AS342" s="8">
        <v>0.91</v>
      </c>
      <c r="AT342" s="8">
        <v>1.3</v>
      </c>
      <c r="AU342" s="50">
        <v>1.25</v>
      </c>
      <c r="AV342" s="50">
        <v>0.96</v>
      </c>
      <c r="AW342" s="50">
        <v>0.62</v>
      </c>
      <c r="AX342" s="50">
        <v>0.88</v>
      </c>
      <c r="AY342" s="50">
        <v>1.24</v>
      </c>
      <c r="AZ342" s="50">
        <v>1.06</v>
      </c>
      <c r="BA342" s="50">
        <v>1.1000000000000001</v>
      </c>
      <c r="BB342" s="50">
        <v>1.9</v>
      </c>
      <c r="BC342" s="55">
        <v>1.4</v>
      </c>
      <c r="BD342" s="55">
        <v>1.1000000000000001</v>
      </c>
      <c r="BE342" s="11">
        <v>1.1819999999999999</v>
      </c>
      <c r="BF342" s="4">
        <v>0</v>
      </c>
      <c r="BG342" s="4">
        <v>1.1180000000000001</v>
      </c>
      <c r="BH342" s="4">
        <v>1.0369999999999999</v>
      </c>
      <c r="BI342" s="4">
        <v>1.0369999999999999</v>
      </c>
      <c r="BJ342" s="14">
        <v>1.1279999999999999</v>
      </c>
      <c r="BK342" s="14">
        <v>1.502</v>
      </c>
      <c r="BL342" s="4">
        <v>1.107</v>
      </c>
      <c r="BM342" s="17">
        <v>1.03</v>
      </c>
      <c r="BN342" s="4">
        <v>1.4079999999999999</v>
      </c>
      <c r="BO342" s="4">
        <v>1.296</v>
      </c>
      <c r="BP342" s="4">
        <v>2.0390000000000001</v>
      </c>
      <c r="BQ342" s="4">
        <v>2.4660000000000002</v>
      </c>
      <c r="BR342" s="4">
        <v>1.532</v>
      </c>
      <c r="BS342" s="4">
        <v>1.996</v>
      </c>
      <c r="BT342" s="4">
        <v>1.1299999999999999</v>
      </c>
      <c r="BU342" s="4">
        <v>1.073</v>
      </c>
      <c r="BV342" s="4">
        <v>1.5720000000000001</v>
      </c>
      <c r="BW342" s="4">
        <v>1.085</v>
      </c>
      <c r="BX342" s="4">
        <v>1.028</v>
      </c>
      <c r="BY342" s="4">
        <v>1.105</v>
      </c>
      <c r="BZ342" s="55">
        <v>1.1599999999999999</v>
      </c>
      <c r="CA342" s="55">
        <v>0</v>
      </c>
      <c r="CB342" s="55">
        <v>0</v>
      </c>
      <c r="CC342" s="55">
        <v>0</v>
      </c>
      <c r="CD342" s="55">
        <v>1.03</v>
      </c>
      <c r="CE342" s="19">
        <v>0</v>
      </c>
      <c r="CF342" s="19">
        <v>0</v>
      </c>
      <c r="CG342" s="4">
        <v>1.0900000000000001</v>
      </c>
      <c r="CH342" s="4">
        <v>0</v>
      </c>
      <c r="CI342" s="4">
        <v>1.22</v>
      </c>
      <c r="CJ342" s="34">
        <v>0</v>
      </c>
      <c r="CK342" s="34">
        <v>0</v>
      </c>
      <c r="CL342" s="34">
        <v>0</v>
      </c>
      <c r="CM342" s="4">
        <v>0</v>
      </c>
      <c r="CN342" s="53">
        <v>0</v>
      </c>
      <c r="CO342" s="54">
        <v>0</v>
      </c>
      <c r="CP342" s="54">
        <v>0</v>
      </c>
      <c r="CQ342" s="4">
        <v>0</v>
      </c>
    </row>
    <row r="343" spans="1:95" s="55" customFormat="1" x14ac:dyDescent="0.35">
      <c r="A343" s="55">
        <v>342</v>
      </c>
      <c r="B343" s="55" t="s">
        <v>112</v>
      </c>
      <c r="C343" s="27" t="s">
        <v>791</v>
      </c>
      <c r="D343" s="50" t="s">
        <v>88</v>
      </c>
      <c r="E343" s="33" t="s">
        <v>91</v>
      </c>
      <c r="F343" s="4">
        <f>IFERROR(AVERAGEIF(Table1[[#This Row],[2019-Apr]:[2025-July]],"&lt;&gt;0"),0)</f>
        <v>1.4398750000000002</v>
      </c>
      <c r="G343" s="4">
        <f ca="1">IFERROR(AVERAGEIF(OFFSET(Table1[[#This Row],[Status]],0,COUNT(Table1[[#This Row],[2019-May]:[2025-July]]),1,-12),"&lt;&gt;0"),0)</f>
        <v>1.0349999999999999</v>
      </c>
      <c r="H343" s="55">
        <f>IFERROR(SMALL(Table1[[#This Row],[2019-Apr]:[2025-July]],COUNTIF(Table1[[#This Row],[2019-Apr]:[2025-July]],0)+1),0)</f>
        <v>0.87</v>
      </c>
      <c r="I343" s="55">
        <f>IFERROR(MAX(Table1[[#This Row],[2019-Apr]:[2025-July]]),0)</f>
        <v>3.5</v>
      </c>
      <c r="J343" s="4" cm="1">
        <f t="array" ref="J34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1.0538333333333334</v>
      </c>
      <c r="K343" s="4">
        <v>4.5</v>
      </c>
      <c r="L343" s="4">
        <f>IF(Table1[[#This Row],[Standard as per ISO]]&gt;=Table1[[#This Row],[Avg of best 6]],Table1[[#This Row],[Standard as per ISO]],Table1[[#This Row],[Avg of best 6]])</f>
        <v>4.5</v>
      </c>
      <c r="M343" s="4" cm="1">
        <f t="array" ref="M343">IFERROR(LOOKUP(2,1/(Table1[[#This Row],[2019-May]:[2025-July]]&lt;&gt;0),Table1[[#This Row],[2019-May]:[2025-July]]),0)</f>
        <v>1.2</v>
      </c>
      <c r="N343" s="4">
        <f>COUNTIF(Table1[[#This Row],[2019-Apr]:[2025-July]],"&gt;="&amp;Table1[[#This Row],[Target]])</f>
        <v>0</v>
      </c>
      <c r="O343" s="4">
        <f>IF(Table1[[#This Row],[Outliers 2Y]]=0,1,0)</f>
        <v>1</v>
      </c>
      <c r="P343" s="4">
        <f>IF(Table1[[#This Row],[Last value]]&gt;1.5*Table1[[#This Row],[Target]],1,0)</f>
        <v>0</v>
      </c>
      <c r="Q343" s="4">
        <f>IF(AND(1.5*Table1[[#This Row],[Target]]&gt;=Table1[[#This Row],[Last value]],Table1[[#This Row],[Last value]]&gt;Table1[[#This Row],[Target]]),1,0)</f>
        <v>0</v>
      </c>
      <c r="R343" s="4">
        <f>IF(Table1[[#This Row],[Target]]&gt;=Table1[[#This Row],[Last value]],1,0)</f>
        <v>1</v>
      </c>
      <c r="S343" s="4" t="str">
        <f t="shared" si="7"/>
        <v>Green</v>
      </c>
      <c r="T343" s="55">
        <v>0</v>
      </c>
      <c r="U343" s="55">
        <v>1.33</v>
      </c>
      <c r="V343" s="55">
        <v>1.56</v>
      </c>
      <c r="W343" s="55">
        <v>1.61</v>
      </c>
      <c r="X343" s="55">
        <v>1.26</v>
      </c>
      <c r="Y343" s="55">
        <v>1.52</v>
      </c>
      <c r="Z343" s="55">
        <v>1.54</v>
      </c>
      <c r="AA343" s="55">
        <v>1.38</v>
      </c>
      <c r="AB343" s="55">
        <v>1.3</v>
      </c>
      <c r="AC343" s="55">
        <v>1.32</v>
      </c>
      <c r="AD343" s="55">
        <v>1.35</v>
      </c>
      <c r="AE343" s="55">
        <v>1.25</v>
      </c>
      <c r="AF343" s="55">
        <v>1</v>
      </c>
      <c r="AG343" s="55">
        <v>1.5</v>
      </c>
      <c r="AH343" s="55">
        <v>1.25</v>
      </c>
      <c r="AI343" s="55">
        <v>0</v>
      </c>
      <c r="AJ343" s="55">
        <v>1.35</v>
      </c>
      <c r="AK343" s="55">
        <v>1.28</v>
      </c>
      <c r="AL343" s="55">
        <v>1.1100000000000001</v>
      </c>
      <c r="AM343" s="55">
        <v>3.5</v>
      </c>
      <c r="AN343" s="55">
        <v>1.74</v>
      </c>
      <c r="AO343" s="55">
        <v>1.42</v>
      </c>
      <c r="AP343" s="55">
        <v>1.4</v>
      </c>
      <c r="AQ343" s="55">
        <v>2.78</v>
      </c>
      <c r="AR343" s="8">
        <v>0</v>
      </c>
      <c r="AS343" s="8">
        <v>1.52</v>
      </c>
      <c r="AT343" s="8">
        <v>1.53</v>
      </c>
      <c r="AU343" s="50">
        <v>1.32</v>
      </c>
      <c r="AV343" s="50">
        <v>1.72</v>
      </c>
      <c r="AW343" s="50">
        <v>1.17</v>
      </c>
      <c r="AX343" s="50">
        <v>1.06</v>
      </c>
      <c r="AY343" s="50">
        <v>1.42</v>
      </c>
      <c r="AZ343" s="50">
        <v>1.68</v>
      </c>
      <c r="BA343" s="50">
        <v>1.33</v>
      </c>
      <c r="BB343" s="50">
        <v>1.2</v>
      </c>
      <c r="BC343" s="55">
        <v>1.6</v>
      </c>
      <c r="BD343" s="55">
        <v>0</v>
      </c>
      <c r="BE343" s="11">
        <v>1.716</v>
      </c>
      <c r="BF343" s="4">
        <v>0</v>
      </c>
      <c r="BG343" s="4">
        <v>0</v>
      </c>
      <c r="BH343" s="4">
        <v>1.4470000000000001</v>
      </c>
      <c r="BI343" s="4">
        <v>1.4470000000000001</v>
      </c>
      <c r="BJ343" s="13">
        <v>1.9930000000000001</v>
      </c>
      <c r="BK343" s="13">
        <v>1.635</v>
      </c>
      <c r="BL343" s="4">
        <v>1.4319999999999999</v>
      </c>
      <c r="BM343" s="16">
        <v>1.1259999999999999</v>
      </c>
      <c r="BN343" s="4">
        <v>1.3580000000000001</v>
      </c>
      <c r="BO343" s="4">
        <v>1.5469999999999999</v>
      </c>
      <c r="BP343" s="4">
        <v>1.157</v>
      </c>
      <c r="BQ343" s="4">
        <v>1.377</v>
      </c>
      <c r="BR343" s="4">
        <v>1.409</v>
      </c>
      <c r="BS343" s="4">
        <v>1.1970000000000001</v>
      </c>
      <c r="BT343" s="4">
        <v>1.2849999999999999</v>
      </c>
      <c r="BU343" s="4">
        <v>1.177</v>
      </c>
      <c r="BV343" s="4">
        <v>1.2</v>
      </c>
      <c r="BW343" s="4">
        <v>1.3480000000000001</v>
      </c>
      <c r="BX343" s="4">
        <v>1.335</v>
      </c>
      <c r="BY343" s="4">
        <v>1.377</v>
      </c>
      <c r="BZ343" s="55">
        <v>1.24</v>
      </c>
      <c r="CA343" s="55">
        <v>0</v>
      </c>
      <c r="CB343" s="55">
        <v>0</v>
      </c>
      <c r="CC343" s="55">
        <v>0</v>
      </c>
      <c r="CD343" s="55">
        <v>1.46</v>
      </c>
      <c r="CE343" s="19">
        <v>0</v>
      </c>
      <c r="CF343" s="19">
        <v>0</v>
      </c>
      <c r="CG343" s="4">
        <v>0.87</v>
      </c>
      <c r="CH343" s="4">
        <v>0</v>
      </c>
      <c r="CI343" s="4">
        <v>1.2</v>
      </c>
      <c r="CJ343" s="34">
        <v>0</v>
      </c>
      <c r="CK343" s="34">
        <v>0</v>
      </c>
      <c r="CL343" s="34">
        <v>0</v>
      </c>
      <c r="CM343" s="4">
        <v>0</v>
      </c>
      <c r="CN343" s="53">
        <v>0</v>
      </c>
      <c r="CO343" s="54">
        <v>0</v>
      </c>
      <c r="CP343" s="54">
        <v>0</v>
      </c>
      <c r="CQ343" s="4">
        <v>0</v>
      </c>
    </row>
    <row r="344" spans="1:95" s="55" customFormat="1" x14ac:dyDescent="0.35">
      <c r="A344" s="55">
        <v>343</v>
      </c>
      <c r="B344" s="55" t="s">
        <v>112</v>
      </c>
      <c r="C344" s="27" t="s">
        <v>792</v>
      </c>
      <c r="D344" s="50" t="s">
        <v>88</v>
      </c>
      <c r="E344" s="33" t="s">
        <v>91</v>
      </c>
      <c r="F344" s="4">
        <f>IFERROR(AVERAGEIF(Table1[[#This Row],[2019-Apr]:[2025-July]],"&lt;&gt;0"),0)</f>
        <v>1.7908749999999998</v>
      </c>
      <c r="G344" s="4">
        <f ca="1">IFERROR(AVERAGEIF(OFFSET(Table1[[#This Row],[Status]],0,COUNT(Table1[[#This Row],[2019-May]:[2025-July]]),1,-12),"&lt;&gt;0"),0)</f>
        <v>1.75</v>
      </c>
      <c r="H344" s="55">
        <f>IFERROR(SMALL(Table1[[#This Row],[2019-Apr]:[2025-July]],COUNTIF(Table1[[#This Row],[2019-Apr]:[2025-July]],0)+1),0)</f>
        <v>0.85</v>
      </c>
      <c r="I344" s="55">
        <f>IFERROR(MAX(Table1[[#This Row],[2019-Apr]:[2025-July]]),0)</f>
        <v>3.34</v>
      </c>
      <c r="J344" s="4" cm="1">
        <f t="array" ref="J34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0.97833333333333339</v>
      </c>
      <c r="K344" s="4">
        <v>4.5</v>
      </c>
      <c r="L344" s="4">
        <f>IF(Table1[[#This Row],[Standard as per ISO]]&gt;=Table1[[#This Row],[Avg of best 6]],Table1[[#This Row],[Standard as per ISO]],Table1[[#This Row],[Avg of best 6]])</f>
        <v>4.5</v>
      </c>
      <c r="M344" s="4" cm="1">
        <f t="array" ref="M344">IFERROR(LOOKUP(2,1/(Table1[[#This Row],[2019-May]:[2025-July]]&lt;&gt;0),Table1[[#This Row],[2019-May]:[2025-July]]),0)</f>
        <v>2</v>
      </c>
      <c r="N344" s="4">
        <f>COUNTIF(Table1[[#This Row],[2019-Apr]:[2025-July]],"&gt;="&amp;Table1[[#This Row],[Target]])</f>
        <v>0</v>
      </c>
      <c r="O344" s="4">
        <f>IF(Table1[[#This Row],[Outliers 2Y]]=0,1,0)</f>
        <v>1</v>
      </c>
      <c r="P344" s="4">
        <f>IF(Table1[[#This Row],[Last value]]&gt;1.5*Table1[[#This Row],[Target]],1,0)</f>
        <v>0</v>
      </c>
      <c r="Q344" s="4">
        <f>IF(AND(1.5*Table1[[#This Row],[Target]]&gt;=Table1[[#This Row],[Last value]],Table1[[#This Row],[Last value]]&gt;Table1[[#This Row],[Target]]),1,0)</f>
        <v>0</v>
      </c>
      <c r="R344" s="4">
        <f>IF(Table1[[#This Row],[Target]]&gt;=Table1[[#This Row],[Last value]],1,0)</f>
        <v>1</v>
      </c>
      <c r="S344" s="4" t="str">
        <f t="shared" si="7"/>
        <v>Green</v>
      </c>
      <c r="T344" s="55">
        <v>0</v>
      </c>
      <c r="U344" s="55">
        <v>0.91</v>
      </c>
      <c r="V344" s="55">
        <v>1.1299999999999999</v>
      </c>
      <c r="W344" s="55">
        <v>0.9</v>
      </c>
      <c r="X344" s="55">
        <v>1.08</v>
      </c>
      <c r="Y344" s="55">
        <v>1.6</v>
      </c>
      <c r="Z344" s="55">
        <v>1.75</v>
      </c>
      <c r="AA344" s="55">
        <v>1.46</v>
      </c>
      <c r="AB344" s="55">
        <v>3.19</v>
      </c>
      <c r="AC344" s="55">
        <v>1.58</v>
      </c>
      <c r="AD344" s="55">
        <v>1.38</v>
      </c>
      <c r="AE344" s="55">
        <v>1.02</v>
      </c>
      <c r="AF344" s="55">
        <v>1.76</v>
      </c>
      <c r="AG344" s="55">
        <v>2.5</v>
      </c>
      <c r="AH344" s="55">
        <v>1.94</v>
      </c>
      <c r="AI344" s="55">
        <v>0</v>
      </c>
      <c r="AJ344" s="55">
        <v>3.31</v>
      </c>
      <c r="AK344" s="55">
        <v>1.33</v>
      </c>
      <c r="AL344" s="55">
        <v>0.85</v>
      </c>
      <c r="AM344" s="55">
        <v>1.4</v>
      </c>
      <c r="AN344" s="55">
        <v>1.47</v>
      </c>
      <c r="AO344" s="55">
        <v>2.3199999999999998</v>
      </c>
      <c r="AP344" s="55">
        <v>2.4300000000000002</v>
      </c>
      <c r="AQ344" s="55">
        <v>1.32</v>
      </c>
      <c r="AR344" s="8">
        <v>0</v>
      </c>
      <c r="AS344" s="8">
        <v>3.34</v>
      </c>
      <c r="AT344" s="8">
        <v>2.39</v>
      </c>
      <c r="AU344" s="50">
        <v>1.44</v>
      </c>
      <c r="AV344" s="50">
        <v>1.84</v>
      </c>
      <c r="AW344" s="50">
        <v>1.25</v>
      </c>
      <c r="AX344" s="50">
        <v>1.8</v>
      </c>
      <c r="AY344" s="50">
        <v>2.4</v>
      </c>
      <c r="AZ344" s="50">
        <v>1.59</v>
      </c>
      <c r="BA344" s="50">
        <v>1.34</v>
      </c>
      <c r="BB344" s="50">
        <v>1.2</v>
      </c>
      <c r="BC344" s="55">
        <v>3.3</v>
      </c>
      <c r="BD344" s="55">
        <v>0</v>
      </c>
      <c r="BE344" s="11">
        <v>2.0710000000000002</v>
      </c>
      <c r="BF344" s="4">
        <v>0</v>
      </c>
      <c r="BG344" s="4">
        <v>2.7109999999999999</v>
      </c>
      <c r="BH344" s="4">
        <v>2.6429999999999998</v>
      </c>
      <c r="BI344" s="4">
        <v>2.6429999999999998</v>
      </c>
      <c r="BJ344" s="14">
        <v>1.61</v>
      </c>
      <c r="BK344" s="14">
        <v>1.8149999999999999</v>
      </c>
      <c r="BL344" s="4">
        <v>2.8279999999999998</v>
      </c>
      <c r="BM344" s="17">
        <v>1.643</v>
      </c>
      <c r="BN344" s="4">
        <v>2.0209999999999999</v>
      </c>
      <c r="BO344" s="4">
        <v>1.163</v>
      </c>
      <c r="BP344" s="4">
        <v>2.2130000000000001</v>
      </c>
      <c r="BQ344" s="4">
        <v>2.41</v>
      </c>
      <c r="BR344" s="4">
        <v>1.4179999999999999</v>
      </c>
      <c r="BS344" s="4">
        <v>1.1160000000000001</v>
      </c>
      <c r="BT344" s="4">
        <v>1.877</v>
      </c>
      <c r="BU344" s="4">
        <v>1.224</v>
      </c>
      <c r="BV344" s="4">
        <v>1.6180000000000001</v>
      </c>
      <c r="BW344" s="4">
        <v>1.554</v>
      </c>
      <c r="BX344" s="4">
        <v>1.1100000000000001</v>
      </c>
      <c r="BY344" s="4">
        <v>1.351</v>
      </c>
      <c r="BZ344" s="55">
        <v>1.23</v>
      </c>
      <c r="CA344" s="55">
        <v>0</v>
      </c>
      <c r="CB344" s="55">
        <v>0</v>
      </c>
      <c r="CC344" s="55">
        <v>0</v>
      </c>
      <c r="CD344" s="55">
        <v>0</v>
      </c>
      <c r="CE344" s="19">
        <v>1.5</v>
      </c>
      <c r="CF344" s="19">
        <v>0</v>
      </c>
      <c r="CG344" s="4">
        <v>0</v>
      </c>
      <c r="CH344" s="4">
        <v>0</v>
      </c>
      <c r="CI344" s="4">
        <v>2</v>
      </c>
      <c r="CJ344" s="34">
        <v>0</v>
      </c>
      <c r="CK344" s="34">
        <v>0</v>
      </c>
      <c r="CL344" s="34">
        <v>0</v>
      </c>
      <c r="CM344" s="4">
        <v>0</v>
      </c>
      <c r="CN344" s="53">
        <v>0</v>
      </c>
      <c r="CO344" s="54">
        <v>0</v>
      </c>
      <c r="CP344" s="54">
        <v>0</v>
      </c>
      <c r="CQ344" s="4">
        <v>0</v>
      </c>
    </row>
    <row r="345" spans="1:95" s="55" customFormat="1" x14ac:dyDescent="0.35">
      <c r="A345" s="55">
        <v>344</v>
      </c>
      <c r="B345" s="55" t="s">
        <v>112</v>
      </c>
      <c r="C345" s="27" t="s">
        <v>793</v>
      </c>
      <c r="D345" s="50" t="s">
        <v>88</v>
      </c>
      <c r="E345" s="33" t="s">
        <v>91</v>
      </c>
      <c r="F345" s="4">
        <f>IFERROR(AVERAGEIF(Table1[[#This Row],[2019-Apr]:[2025-July]],"&lt;&gt;0"),0)</f>
        <v>2.0006964285714286</v>
      </c>
      <c r="G345" s="4">
        <f ca="1">IFERROR(AVERAGEIF(OFFSET(Table1[[#This Row],[Status]],0,COUNT(Table1[[#This Row],[2019-May]:[2025-July]]),1,-12),"&lt;&gt;0"),0)</f>
        <v>2.0699999999999998</v>
      </c>
      <c r="H345" s="55">
        <f>IFERROR(SMALL(Table1[[#This Row],[2019-Apr]:[2025-July]],COUNTIF(Table1[[#This Row],[2019-Apr]:[2025-July]],0)+1),0)</f>
        <v>0.62</v>
      </c>
      <c r="I345" s="55">
        <f>IFERROR(MAX(Table1[[#This Row],[2019-Apr]:[2025-July]]),0)</f>
        <v>3.722</v>
      </c>
      <c r="J345" s="4" cm="1">
        <f t="array" ref="J34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0.91866666666666663</v>
      </c>
      <c r="K345" s="4">
        <v>4.5</v>
      </c>
      <c r="L345" s="4">
        <f>IF(Table1[[#This Row],[Standard as per ISO]]&gt;=Table1[[#This Row],[Avg of best 6]],Table1[[#This Row],[Standard as per ISO]],Table1[[#This Row],[Avg of best 6]])</f>
        <v>4.5</v>
      </c>
      <c r="M345" s="4" cm="1">
        <f t="array" ref="M345">IFERROR(LOOKUP(2,1/(Table1[[#This Row],[2019-May]:[2025-July]]&lt;&gt;0),Table1[[#This Row],[2019-May]:[2025-July]]),0)</f>
        <v>2.84</v>
      </c>
      <c r="N345" s="4">
        <f>COUNTIF(Table1[[#This Row],[2019-Apr]:[2025-July]],"&gt;="&amp;Table1[[#This Row],[Target]])</f>
        <v>0</v>
      </c>
      <c r="O345" s="4">
        <f>IF(Table1[[#This Row],[Outliers 2Y]]=0,1,0)</f>
        <v>1</v>
      </c>
      <c r="P345" s="4">
        <f>IF(Table1[[#This Row],[Last value]]&gt;1.5*Table1[[#This Row],[Target]],1,0)</f>
        <v>0</v>
      </c>
      <c r="Q345" s="4">
        <f>IF(AND(1.5*Table1[[#This Row],[Target]]&gt;=Table1[[#This Row],[Last value]],Table1[[#This Row],[Last value]]&gt;Table1[[#This Row],[Target]]),1,0)</f>
        <v>0</v>
      </c>
      <c r="R345" s="4">
        <f>IF(Table1[[#This Row],[Target]]&gt;=Table1[[#This Row],[Last value]],1,0)</f>
        <v>1</v>
      </c>
      <c r="S345" s="4" t="str">
        <f t="shared" si="7"/>
        <v>Green</v>
      </c>
      <c r="T345" s="55">
        <v>0</v>
      </c>
      <c r="U345" s="55">
        <v>1.78</v>
      </c>
      <c r="V345" s="55">
        <v>2.17</v>
      </c>
      <c r="W345" s="55">
        <v>1.9</v>
      </c>
      <c r="X345" s="55">
        <v>1.75</v>
      </c>
      <c r="Y345" s="55">
        <v>2.02</v>
      </c>
      <c r="Z345" s="55">
        <v>1.77</v>
      </c>
      <c r="AA345" s="55">
        <v>1.94</v>
      </c>
      <c r="AB345" s="55">
        <v>2.62</v>
      </c>
      <c r="AC345" s="55">
        <v>2.27</v>
      </c>
      <c r="AD345" s="55">
        <v>2</v>
      </c>
      <c r="AE345" s="55">
        <v>2.48</v>
      </c>
      <c r="AF345" s="55">
        <v>2.0499999999999998</v>
      </c>
      <c r="AG345" s="55">
        <v>2.2999999999999998</v>
      </c>
      <c r="AH345" s="55">
        <v>2.67</v>
      </c>
      <c r="AI345" s="55">
        <v>0</v>
      </c>
      <c r="AJ345" s="55">
        <v>2.42</v>
      </c>
      <c r="AK345" s="55">
        <v>2.62</v>
      </c>
      <c r="AL345" s="55">
        <v>3.06</v>
      </c>
      <c r="AM345" s="55">
        <v>3.17</v>
      </c>
      <c r="AN345" s="55">
        <v>1.6</v>
      </c>
      <c r="AO345" s="55">
        <v>1.7</v>
      </c>
      <c r="AP345" s="55">
        <v>1.44</v>
      </c>
      <c r="AQ345" s="55">
        <v>1.17</v>
      </c>
      <c r="AR345" s="8">
        <v>0</v>
      </c>
      <c r="AS345" s="8">
        <v>0.9</v>
      </c>
      <c r="AT345" s="8">
        <v>1.03</v>
      </c>
      <c r="AU345" s="50">
        <v>1.2</v>
      </c>
      <c r="AV345" s="50">
        <v>0.62</v>
      </c>
      <c r="AW345" s="50">
        <v>1.35</v>
      </c>
      <c r="AX345" s="50">
        <v>0.75</v>
      </c>
      <c r="AY345" s="50">
        <v>1.82</v>
      </c>
      <c r="AZ345" s="50">
        <v>1.76</v>
      </c>
      <c r="BA345" s="50">
        <v>1.95</v>
      </c>
      <c r="BB345" s="50">
        <v>2.6</v>
      </c>
      <c r="BC345" s="55">
        <v>1.7</v>
      </c>
      <c r="BD345" s="55">
        <v>0</v>
      </c>
      <c r="BE345" s="11">
        <v>2.0049999999999999</v>
      </c>
      <c r="BF345" s="4">
        <v>0</v>
      </c>
      <c r="BG345" s="4">
        <v>2.1659999999999999</v>
      </c>
      <c r="BH345" s="4">
        <v>3.7090000000000001</v>
      </c>
      <c r="BI345" s="4">
        <v>3.7090000000000001</v>
      </c>
      <c r="BJ345" s="13">
        <v>1.93</v>
      </c>
      <c r="BK345" s="13">
        <v>1.6639999999999999</v>
      </c>
      <c r="BL345" s="4">
        <v>1.762</v>
      </c>
      <c r="BM345" s="16">
        <v>1.778</v>
      </c>
      <c r="BN345" s="4">
        <v>1.5940000000000001</v>
      </c>
      <c r="BO345" s="4">
        <v>2.0739999999999998</v>
      </c>
      <c r="BP345" s="4">
        <v>3.5830000000000002</v>
      </c>
      <c r="BQ345" s="4">
        <v>3.722</v>
      </c>
      <c r="BR345" s="4">
        <v>2.7690000000000001</v>
      </c>
      <c r="BS345" s="4">
        <v>3.6520000000000001</v>
      </c>
      <c r="BT345" s="4">
        <v>1.042</v>
      </c>
      <c r="BU345" s="4">
        <v>1.196</v>
      </c>
      <c r="BV345" s="4">
        <v>1.3720000000000001</v>
      </c>
      <c r="BW345" s="4">
        <v>1.3</v>
      </c>
      <c r="BX345" s="4">
        <v>1.5269999999999999</v>
      </c>
      <c r="BY345" s="4">
        <v>1.4450000000000001</v>
      </c>
      <c r="BZ345" s="55">
        <v>1.32</v>
      </c>
      <c r="CA345" s="55">
        <v>0</v>
      </c>
      <c r="CB345" s="55">
        <v>0</v>
      </c>
      <c r="CC345" s="55">
        <v>0</v>
      </c>
      <c r="CD345" s="55">
        <v>0</v>
      </c>
      <c r="CE345" s="19">
        <v>1.3</v>
      </c>
      <c r="CF345" s="19">
        <v>0</v>
      </c>
      <c r="CG345" s="4">
        <v>0</v>
      </c>
      <c r="CH345" s="4">
        <v>0</v>
      </c>
      <c r="CI345" s="4">
        <v>2.84</v>
      </c>
      <c r="CJ345" s="34">
        <v>0</v>
      </c>
      <c r="CK345" s="34">
        <v>0</v>
      </c>
      <c r="CL345" s="34">
        <v>0</v>
      </c>
      <c r="CM345" s="4">
        <v>0</v>
      </c>
      <c r="CN345" s="53">
        <v>0</v>
      </c>
      <c r="CO345" s="54">
        <v>0</v>
      </c>
      <c r="CP345" s="54">
        <v>0</v>
      </c>
      <c r="CQ345" s="4">
        <v>0</v>
      </c>
    </row>
    <row r="346" spans="1:95" s="55" customFormat="1" x14ac:dyDescent="0.35">
      <c r="A346" s="55">
        <v>345</v>
      </c>
      <c r="B346" s="55" t="s">
        <v>112</v>
      </c>
      <c r="C346" s="27" t="s">
        <v>794</v>
      </c>
      <c r="D346" s="50" t="s">
        <v>88</v>
      </c>
      <c r="E346" s="33" t="s">
        <v>91</v>
      </c>
      <c r="F346" s="4">
        <f>IFERROR(AVERAGEIF(Table1[[#This Row],[2019-Apr]:[2025-July]],"&lt;&gt;0"),0)</f>
        <v>1.8322678571428568</v>
      </c>
      <c r="G346" s="4">
        <f ca="1">IFERROR(AVERAGEIF(OFFSET(Table1[[#This Row],[Status]],0,COUNT(Table1[[#This Row],[2019-May]:[2025-July]]),1,-12),"&lt;&gt;0"),0)</f>
        <v>2.91</v>
      </c>
      <c r="H346" s="55">
        <f>IFERROR(SMALL(Table1[[#This Row],[2019-Apr]:[2025-July]],COUNTIF(Table1[[#This Row],[2019-Apr]:[2025-July]],0)+1),0)</f>
        <v>0.88</v>
      </c>
      <c r="I346" s="55">
        <f>IFERROR(MAX(Table1[[#This Row],[2019-Apr]:[2025-July]]),0)</f>
        <v>4.28</v>
      </c>
      <c r="J346" s="4" cm="1">
        <f t="array" ref="J34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0.94149999999999989</v>
      </c>
      <c r="K346" s="4">
        <v>4.5</v>
      </c>
      <c r="L346" s="4">
        <f>IF(Table1[[#This Row],[Standard as per ISO]]&gt;=Table1[[#This Row],[Avg of best 6]],Table1[[#This Row],[Standard as per ISO]],Table1[[#This Row],[Avg of best 6]])</f>
        <v>4.5</v>
      </c>
      <c r="M346" s="4" cm="1">
        <f t="array" ref="M346">IFERROR(LOOKUP(2,1/(Table1[[#This Row],[2019-May]:[2025-July]]&lt;&gt;0),Table1[[#This Row],[2019-May]:[2025-July]]),0)</f>
        <v>2.82</v>
      </c>
      <c r="N346" s="4">
        <f>COUNTIF(Table1[[#This Row],[2019-Apr]:[2025-July]],"&gt;="&amp;Table1[[#This Row],[Target]])</f>
        <v>0</v>
      </c>
      <c r="O346" s="4">
        <f>IF(Table1[[#This Row],[Outliers 2Y]]=0,1,0)</f>
        <v>1</v>
      </c>
      <c r="P346" s="4">
        <f>IF(Table1[[#This Row],[Last value]]&gt;1.5*Table1[[#This Row],[Target]],1,0)</f>
        <v>0</v>
      </c>
      <c r="Q346" s="4">
        <f>IF(AND(1.5*Table1[[#This Row],[Target]]&gt;=Table1[[#This Row],[Last value]],Table1[[#This Row],[Last value]]&gt;Table1[[#This Row],[Target]]),1,0)</f>
        <v>0</v>
      </c>
      <c r="R346" s="4">
        <f>IF(Table1[[#This Row],[Target]]&gt;=Table1[[#This Row],[Last value]],1,0)</f>
        <v>1</v>
      </c>
      <c r="S346" s="4" t="str">
        <f t="shared" si="7"/>
        <v>Green</v>
      </c>
      <c r="T346" s="55">
        <v>0</v>
      </c>
      <c r="U346" s="55">
        <v>2.58</v>
      </c>
      <c r="V346" s="55">
        <v>1.84</v>
      </c>
      <c r="W346" s="55">
        <v>2.79</v>
      </c>
      <c r="X346" s="55">
        <v>2.81</v>
      </c>
      <c r="Y346" s="55">
        <v>1.36</v>
      </c>
      <c r="Z346" s="55">
        <v>1.52</v>
      </c>
      <c r="AA346" s="55">
        <v>1.55</v>
      </c>
      <c r="AB346" s="55">
        <v>2.2799999999999998</v>
      </c>
      <c r="AC346" s="55">
        <v>2</v>
      </c>
      <c r="AD346" s="55">
        <v>2.75</v>
      </c>
      <c r="AE346" s="55">
        <v>0.9</v>
      </c>
      <c r="AF346" s="55">
        <v>2.2999999999999998</v>
      </c>
      <c r="AG346" s="55">
        <v>2.9</v>
      </c>
      <c r="AH346" s="55">
        <v>3.54</v>
      </c>
      <c r="AI346" s="55">
        <v>0</v>
      </c>
      <c r="AJ346" s="55">
        <v>2.25</v>
      </c>
      <c r="AK346" s="55">
        <v>1.56</v>
      </c>
      <c r="AL346" s="55">
        <v>3.06</v>
      </c>
      <c r="AM346" s="55">
        <v>2.17</v>
      </c>
      <c r="AN346" s="55">
        <v>1.32</v>
      </c>
      <c r="AO346" s="55">
        <v>1.43</v>
      </c>
      <c r="AP346" s="55">
        <v>2.83</v>
      </c>
      <c r="AQ346" s="55">
        <v>1.5</v>
      </c>
      <c r="AR346" s="8">
        <v>0</v>
      </c>
      <c r="AS346" s="8">
        <v>4.28</v>
      </c>
      <c r="AT346" s="8">
        <v>1.29</v>
      </c>
      <c r="AU346" s="50">
        <v>1.85</v>
      </c>
      <c r="AV346" s="50">
        <v>1.274</v>
      </c>
      <c r="AW346" s="50">
        <v>2.4900000000000002</v>
      </c>
      <c r="AX346" s="50">
        <v>1.68</v>
      </c>
      <c r="AY346" s="50">
        <v>2.0499999999999998</v>
      </c>
      <c r="AZ346" s="50">
        <v>2.35</v>
      </c>
      <c r="BA346" s="50">
        <v>0.88</v>
      </c>
      <c r="BB346" s="50">
        <v>1.3</v>
      </c>
      <c r="BC346" s="55">
        <v>2.2999999999999998</v>
      </c>
      <c r="BD346" s="55">
        <v>0</v>
      </c>
      <c r="BE346" s="11">
        <v>2.1419999999999999</v>
      </c>
      <c r="BF346" s="4">
        <v>0</v>
      </c>
      <c r="BG346" s="4">
        <v>1.446</v>
      </c>
      <c r="BH346" s="4">
        <v>1.054</v>
      </c>
      <c r="BI346" s="4">
        <v>1.054</v>
      </c>
      <c r="BJ346" s="14">
        <v>1.8480000000000001</v>
      </c>
      <c r="BK346" s="14">
        <v>1.6719999999999999</v>
      </c>
      <c r="BL346" s="4">
        <v>2.93</v>
      </c>
      <c r="BM346" s="17">
        <v>1.2070000000000001</v>
      </c>
      <c r="BN346" s="4">
        <v>1.448</v>
      </c>
      <c r="BO346" s="4">
        <v>1.1559999999999999</v>
      </c>
      <c r="BP346" s="4">
        <v>1.101</v>
      </c>
      <c r="BQ346" s="4">
        <v>0.93700000000000006</v>
      </c>
      <c r="BR346" s="4">
        <v>1.1639999999999999</v>
      </c>
      <c r="BS346" s="4">
        <v>0.96799999999999997</v>
      </c>
      <c r="BT346" s="4">
        <v>1.149</v>
      </c>
      <c r="BU346" s="4">
        <v>1.004</v>
      </c>
      <c r="BV346" s="4">
        <v>0.96</v>
      </c>
      <c r="BW346" s="4">
        <v>1.054</v>
      </c>
      <c r="BX346" s="4">
        <v>1.1120000000000001</v>
      </c>
      <c r="BY346" s="4">
        <v>1.2170000000000001</v>
      </c>
      <c r="BZ346" s="55">
        <v>1.18</v>
      </c>
      <c r="CA346" s="55">
        <v>0</v>
      </c>
      <c r="CB346" s="55">
        <v>0</v>
      </c>
      <c r="CC346" s="55">
        <v>0</v>
      </c>
      <c r="CD346" s="55">
        <v>0</v>
      </c>
      <c r="CE346" s="19">
        <v>3</v>
      </c>
      <c r="CF346" s="19">
        <v>0</v>
      </c>
      <c r="CG346" s="4">
        <v>0</v>
      </c>
      <c r="CH346" s="4">
        <v>0</v>
      </c>
      <c r="CI346" s="4">
        <v>2.82</v>
      </c>
      <c r="CJ346" s="34">
        <v>0</v>
      </c>
      <c r="CK346" s="34">
        <v>0</v>
      </c>
      <c r="CL346" s="34">
        <v>0</v>
      </c>
      <c r="CM346" s="4">
        <v>0</v>
      </c>
      <c r="CN346" s="53">
        <v>0</v>
      </c>
      <c r="CO346" s="54">
        <v>0</v>
      </c>
      <c r="CP346" s="54">
        <v>0</v>
      </c>
      <c r="CQ346" s="4">
        <v>0</v>
      </c>
    </row>
    <row r="347" spans="1:95" s="55" customFormat="1" x14ac:dyDescent="0.35">
      <c r="A347" s="55">
        <v>346</v>
      </c>
      <c r="B347" s="55" t="s">
        <v>112</v>
      </c>
      <c r="C347" s="27" t="s">
        <v>795</v>
      </c>
      <c r="D347" s="50" t="s">
        <v>88</v>
      </c>
      <c r="E347" s="33" t="s">
        <v>91</v>
      </c>
      <c r="F347" s="4">
        <f>IFERROR(AVERAGEIF(Table1[[#This Row],[2019-Apr]:[2025-July]],"&lt;&gt;0"),0)</f>
        <v>5.5660689655172408</v>
      </c>
      <c r="G347" s="4">
        <f ca="1">IFERROR(AVERAGEIF(OFFSET(Table1[[#This Row],[Status]],0,COUNT(Table1[[#This Row],[2019-May]:[2025-July]]),1,-12),"&lt;&gt;0"),0)</f>
        <v>2.9699999999999998</v>
      </c>
      <c r="H347" s="55">
        <f>IFERROR(SMALL(Table1[[#This Row],[2019-Apr]:[2025-July]],COUNTIF(Table1[[#This Row],[2019-Apr]:[2025-July]],0)+1),0)</f>
        <v>1.3</v>
      </c>
      <c r="I347" s="55">
        <f>IFERROR(MAX(Table1[[#This Row],[2019-Apr]:[2025-July]]),0)</f>
        <v>8.5399999999999991</v>
      </c>
      <c r="J347" s="4" cm="1">
        <f t="array" ref="J34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2.7524999999999999</v>
      </c>
      <c r="K347" s="4">
        <v>4.5</v>
      </c>
      <c r="L347" s="4">
        <f>IF(Table1[[#This Row],[Standard as per ISO]]&gt;=Table1[[#This Row],[Avg of best 6]],Table1[[#This Row],[Standard as per ISO]],Table1[[#This Row],[Avg of best 6]])</f>
        <v>4.5</v>
      </c>
      <c r="M347" s="4" cm="1">
        <f t="array" ref="M347">IFERROR(LOOKUP(2,1/(Table1[[#This Row],[2019-May]:[2025-July]]&lt;&gt;0),Table1[[#This Row],[2019-May]:[2025-July]]),0)</f>
        <v>3.14</v>
      </c>
      <c r="N347" s="4">
        <f>COUNTIF(Table1[[#This Row],[2019-Apr]:[2025-July]],"&gt;="&amp;Table1[[#This Row],[Target]])</f>
        <v>39</v>
      </c>
      <c r="O347" s="4">
        <f>IF(Table1[[#This Row],[Outliers 2Y]]=0,1,0)</f>
        <v>0</v>
      </c>
      <c r="P347" s="4">
        <f>IF(Table1[[#This Row],[Last value]]&gt;1.5*Table1[[#This Row],[Target]],1,0)</f>
        <v>0</v>
      </c>
      <c r="Q347" s="4">
        <f>IF(AND(1.5*Table1[[#This Row],[Target]]&gt;=Table1[[#This Row],[Last value]],Table1[[#This Row],[Last value]]&gt;Table1[[#This Row],[Target]]),1,0)</f>
        <v>0</v>
      </c>
      <c r="R347" s="4">
        <f>IF(Table1[[#This Row],[Target]]&gt;=Table1[[#This Row],[Last value]],1,0)</f>
        <v>1</v>
      </c>
      <c r="S347" s="4" t="str">
        <f t="shared" si="7"/>
        <v>Green</v>
      </c>
      <c r="T347" s="55">
        <v>0</v>
      </c>
      <c r="U347" s="55">
        <v>4.7300000000000004</v>
      </c>
      <c r="V347" s="55">
        <v>5.52</v>
      </c>
      <c r="W347" s="55">
        <v>5.08</v>
      </c>
      <c r="X347" s="55">
        <v>5.56</v>
      </c>
      <c r="Y347" s="55">
        <v>6.4</v>
      </c>
      <c r="Z347" s="55">
        <v>6.92</v>
      </c>
      <c r="AA347" s="55">
        <v>6.05</v>
      </c>
      <c r="AB347" s="55">
        <v>6.95</v>
      </c>
      <c r="AC347" s="55">
        <v>7.16</v>
      </c>
      <c r="AD347" s="55">
        <v>8.3000000000000007</v>
      </c>
      <c r="AE347" s="55">
        <v>6.6</v>
      </c>
      <c r="AF347" s="55">
        <v>7.1</v>
      </c>
      <c r="AG347" s="55">
        <v>3.9</v>
      </c>
      <c r="AH347" s="55">
        <v>4.74</v>
      </c>
      <c r="AI347" s="55">
        <v>0</v>
      </c>
      <c r="AJ347" s="55">
        <v>7.05</v>
      </c>
      <c r="AK347" s="55">
        <v>7.13</v>
      </c>
      <c r="AL347" s="55">
        <v>6.86</v>
      </c>
      <c r="AM347" s="55">
        <v>6.09</v>
      </c>
      <c r="AN347" s="55">
        <v>7.93</v>
      </c>
      <c r="AO347" s="55">
        <v>8.51</v>
      </c>
      <c r="AP347" s="55">
        <v>6.18</v>
      </c>
      <c r="AQ347" s="55">
        <v>5.65</v>
      </c>
      <c r="AR347" s="8">
        <v>0</v>
      </c>
      <c r="AS347" s="9">
        <v>6.64</v>
      </c>
      <c r="AT347" s="9">
        <v>8.5399999999999991</v>
      </c>
      <c r="AU347" s="50">
        <v>8.5399999999999991</v>
      </c>
      <c r="AV347" s="50">
        <v>7.15</v>
      </c>
      <c r="AW347" s="50">
        <v>6.22</v>
      </c>
      <c r="AX347" s="50">
        <v>7.94</v>
      </c>
      <c r="AY347" s="50">
        <v>5.39</v>
      </c>
      <c r="AZ347" s="50">
        <v>6.84</v>
      </c>
      <c r="BA347" s="50">
        <v>5.3</v>
      </c>
      <c r="BB347" s="50">
        <v>5.5</v>
      </c>
      <c r="BC347" s="55">
        <v>4.5</v>
      </c>
      <c r="BD347" s="55">
        <v>1.3</v>
      </c>
      <c r="BE347" s="11">
        <v>5.8010000000000002</v>
      </c>
      <c r="BF347" s="4">
        <v>0</v>
      </c>
      <c r="BG347" s="4">
        <v>3.4159999999999999</v>
      </c>
      <c r="BH347" s="4">
        <v>3.9089999999999998</v>
      </c>
      <c r="BI347" s="4">
        <v>5.8570000000000002</v>
      </c>
      <c r="BJ347" s="13">
        <v>4.4320000000000004</v>
      </c>
      <c r="BK347" s="13">
        <v>6.8860000000000001</v>
      </c>
      <c r="BL347" s="4">
        <v>7.4960000000000004</v>
      </c>
      <c r="BM347" s="16">
        <v>6.6070000000000002</v>
      </c>
      <c r="BN347" s="4">
        <v>6.9829999999999997</v>
      </c>
      <c r="BO347" s="4">
        <v>3.4929999999999999</v>
      </c>
      <c r="BP347" s="4">
        <v>3.4929999999999999</v>
      </c>
      <c r="BQ347" s="4">
        <v>4.0140000000000002</v>
      </c>
      <c r="BR347" s="4">
        <v>4.1719999999999997</v>
      </c>
      <c r="BS347" s="4">
        <v>3.415</v>
      </c>
      <c r="BT347" s="4">
        <v>3.6070000000000002</v>
      </c>
      <c r="BU347" s="4">
        <v>4.1280000000000001</v>
      </c>
      <c r="BV347" s="4">
        <v>6.8419999999999996</v>
      </c>
      <c r="BW347" s="4">
        <v>4.3029999999999999</v>
      </c>
      <c r="BX347" s="4">
        <v>3.7389999999999999</v>
      </c>
      <c r="BY347" s="4">
        <v>4.1689999999999996</v>
      </c>
      <c r="BZ347" s="55">
        <v>0</v>
      </c>
      <c r="CA347" s="55">
        <v>0</v>
      </c>
      <c r="CB347" s="55">
        <v>0</v>
      </c>
      <c r="CC347" s="55">
        <v>2.81</v>
      </c>
      <c r="CD347" s="55">
        <v>3.05</v>
      </c>
      <c r="CE347" s="19">
        <v>0</v>
      </c>
      <c r="CF347" s="19">
        <v>2.8</v>
      </c>
      <c r="CG347" s="4">
        <v>0</v>
      </c>
      <c r="CH347" s="4">
        <v>0</v>
      </c>
      <c r="CI347" s="4">
        <v>3.14</v>
      </c>
      <c r="CJ347" s="34">
        <v>0</v>
      </c>
      <c r="CK347" s="34">
        <v>0</v>
      </c>
      <c r="CL347" s="34">
        <v>0</v>
      </c>
      <c r="CM347" s="4">
        <v>0</v>
      </c>
      <c r="CN347" s="53">
        <v>0</v>
      </c>
      <c r="CO347" s="54">
        <v>0</v>
      </c>
      <c r="CP347" s="54">
        <v>0</v>
      </c>
      <c r="CQ347" s="4">
        <v>0</v>
      </c>
    </row>
    <row r="348" spans="1:95" s="55" customFormat="1" x14ac:dyDescent="0.35">
      <c r="A348" s="55">
        <v>347</v>
      </c>
      <c r="B348" s="55" t="s">
        <v>112</v>
      </c>
      <c r="C348" s="27" t="s">
        <v>796</v>
      </c>
      <c r="D348" s="50" t="s">
        <v>88</v>
      </c>
      <c r="E348" s="33" t="s">
        <v>91</v>
      </c>
      <c r="F348" s="4">
        <f>IFERROR(AVERAGEIF(Table1[[#This Row],[2019-Apr]:[2025-July]],"&lt;&gt;0"),0)</f>
        <v>4.3207169811320769</v>
      </c>
      <c r="G348" s="4">
        <f ca="1">IFERROR(AVERAGEIF(OFFSET(Table1[[#This Row],[Status]],0,COUNT(Table1[[#This Row],[2019-May]:[2025-July]]),1,-12),"&lt;&gt;0"),0)</f>
        <v>0</v>
      </c>
      <c r="H348" s="55">
        <f>IFERROR(SMALL(Table1[[#This Row],[2019-Apr]:[2025-July]],COUNTIF(Table1[[#This Row],[2019-Apr]:[2025-July]],0)+1),0)</f>
        <v>2.66</v>
      </c>
      <c r="I348" s="55">
        <f>IFERROR(MAX(Table1[[#This Row],[2019-Apr]:[2025-July]]),0)</f>
        <v>7.82</v>
      </c>
      <c r="J348" s="4" cm="1">
        <f t="array" ref="J34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2.7868333333333335</v>
      </c>
      <c r="K348" s="4">
        <v>4.5</v>
      </c>
      <c r="L348" s="4">
        <f>IF(Table1[[#This Row],[Standard as per ISO]]&gt;=Table1[[#This Row],[Avg of best 6]],Table1[[#This Row],[Standard as per ISO]],Table1[[#This Row],[Avg of best 6]])</f>
        <v>4.5</v>
      </c>
      <c r="M348" s="4" cm="1">
        <f t="array" ref="M348">IFERROR(LOOKUP(2,1/(Table1[[#This Row],[2019-May]:[2025-July]]&lt;&gt;0),Table1[[#This Row],[2019-May]:[2025-July]]),0)</f>
        <v>3.2360000000000002</v>
      </c>
      <c r="N348" s="4">
        <f>COUNTIF(Table1[[#This Row],[2019-Apr]:[2025-July]],"&gt;="&amp;Table1[[#This Row],[Target]])</f>
        <v>24</v>
      </c>
      <c r="O348" s="4">
        <f>IF(Table1[[#This Row],[Outliers 2Y]]=0,1,0)</f>
        <v>0</v>
      </c>
      <c r="P348" s="4">
        <f>IF(Table1[[#This Row],[Last value]]&gt;1.5*Table1[[#This Row],[Target]],1,0)</f>
        <v>0</v>
      </c>
      <c r="Q348" s="4">
        <f>IF(AND(1.5*Table1[[#This Row],[Target]]&gt;=Table1[[#This Row],[Last value]],Table1[[#This Row],[Last value]]&gt;Table1[[#This Row],[Target]]),1,0)</f>
        <v>0</v>
      </c>
      <c r="R348" s="4">
        <f>IF(Table1[[#This Row],[Target]]&gt;=Table1[[#This Row],[Last value]],1,0)</f>
        <v>1</v>
      </c>
      <c r="S348" s="4" t="str">
        <f t="shared" si="7"/>
        <v>Green</v>
      </c>
      <c r="T348" s="55">
        <v>0</v>
      </c>
      <c r="U348" s="55">
        <v>4.74</v>
      </c>
      <c r="V348" s="55">
        <v>4.76</v>
      </c>
      <c r="W348" s="55">
        <v>5.39</v>
      </c>
      <c r="X348" s="55">
        <v>4.21</v>
      </c>
      <c r="Y348" s="55">
        <v>4.5999999999999996</v>
      </c>
      <c r="Z348" s="55">
        <v>5.1100000000000003</v>
      </c>
      <c r="AA348" s="55">
        <v>5.22</v>
      </c>
      <c r="AB348" s="55">
        <v>4.7699999999999996</v>
      </c>
      <c r="AC348" s="55">
        <v>4.38</v>
      </c>
      <c r="AD348" s="55">
        <v>5.0999999999999996</v>
      </c>
      <c r="AE348" s="55">
        <v>6.7</v>
      </c>
      <c r="AF348" s="55">
        <v>5.6</v>
      </c>
      <c r="AG348" s="55">
        <v>5.9</v>
      </c>
      <c r="AH348" s="55">
        <v>7.82</v>
      </c>
      <c r="AI348" s="55">
        <v>0</v>
      </c>
      <c r="AJ348" s="55">
        <v>5.79</v>
      </c>
      <c r="AK348" s="55">
        <v>5.23</v>
      </c>
      <c r="AL348" s="55">
        <v>4.42</v>
      </c>
      <c r="AM348" s="55">
        <v>5.13</v>
      </c>
      <c r="AN348" s="55">
        <v>4.79</v>
      </c>
      <c r="AO348" s="55">
        <v>7.29</v>
      </c>
      <c r="AP348" s="55">
        <v>0</v>
      </c>
      <c r="AQ348" s="55">
        <v>5.48</v>
      </c>
      <c r="AR348" s="8">
        <v>0</v>
      </c>
      <c r="AS348" s="8">
        <v>5.82</v>
      </c>
      <c r="AT348" s="8">
        <v>5.1100000000000003</v>
      </c>
      <c r="AU348" s="50">
        <v>4.8499999999999996</v>
      </c>
      <c r="AV348" s="50">
        <v>4.53</v>
      </c>
      <c r="AW348" s="50">
        <v>3.58</v>
      </c>
      <c r="AX348" s="50">
        <v>3.05</v>
      </c>
      <c r="AY348" s="50">
        <v>3.72</v>
      </c>
      <c r="AZ348" s="50">
        <v>2.74</v>
      </c>
      <c r="BA348" s="50">
        <v>3</v>
      </c>
      <c r="BB348" s="50">
        <v>2.8</v>
      </c>
      <c r="BC348" s="55">
        <v>3.1</v>
      </c>
      <c r="BD348" s="55">
        <v>3.2</v>
      </c>
      <c r="BE348" s="11">
        <v>3.355</v>
      </c>
      <c r="BF348" s="4">
        <v>0</v>
      </c>
      <c r="BG348" s="4">
        <v>3.0539999999999998</v>
      </c>
      <c r="BH348" s="4">
        <v>3.0539999999999998</v>
      </c>
      <c r="BI348" s="4">
        <v>4.75</v>
      </c>
      <c r="BJ348" s="14">
        <v>4.6859999999999999</v>
      </c>
      <c r="BK348" s="14">
        <v>3.8580000000000001</v>
      </c>
      <c r="BL348" s="4">
        <v>3.3069999999999999</v>
      </c>
      <c r="BM348" s="17">
        <v>4.1970000000000001</v>
      </c>
      <c r="BN348" s="4">
        <v>4.109</v>
      </c>
      <c r="BO348" s="4">
        <v>3.629</v>
      </c>
      <c r="BP348" s="4">
        <v>2.7759999999999998</v>
      </c>
      <c r="BQ348" s="4">
        <v>3.59</v>
      </c>
      <c r="BR348" s="4">
        <v>2.7450000000000001</v>
      </c>
      <c r="BS348" s="4">
        <v>3.677</v>
      </c>
      <c r="BT348" s="4">
        <v>2.66</v>
      </c>
      <c r="BU348" s="4">
        <v>3.56</v>
      </c>
      <c r="BV348" s="4">
        <v>3.9180000000000001</v>
      </c>
      <c r="BW348" s="4">
        <v>3.298</v>
      </c>
      <c r="BX348" s="4">
        <v>3.609</v>
      </c>
      <c r="BY348" s="4">
        <v>3.2360000000000002</v>
      </c>
      <c r="BZ348" s="55">
        <v>0</v>
      </c>
      <c r="CA348" s="55">
        <v>0</v>
      </c>
      <c r="CB348" s="55">
        <v>0</v>
      </c>
      <c r="CC348" s="55">
        <v>0</v>
      </c>
      <c r="CD348" s="55">
        <v>0</v>
      </c>
      <c r="CE348" s="19">
        <v>0</v>
      </c>
      <c r="CF348" s="19">
        <v>0</v>
      </c>
      <c r="CG348" s="4">
        <v>0</v>
      </c>
      <c r="CH348" s="4">
        <v>0</v>
      </c>
      <c r="CI348" s="4">
        <v>0</v>
      </c>
      <c r="CJ348" s="34">
        <v>0</v>
      </c>
      <c r="CK348" s="34">
        <v>0</v>
      </c>
      <c r="CL348" s="34">
        <v>0</v>
      </c>
      <c r="CM348" s="4">
        <v>0</v>
      </c>
      <c r="CN348" s="53">
        <v>0</v>
      </c>
      <c r="CO348" s="54">
        <v>0</v>
      </c>
      <c r="CP348" s="54">
        <v>0</v>
      </c>
      <c r="CQ348" s="4">
        <v>0</v>
      </c>
    </row>
    <row r="349" spans="1:95" s="55" customFormat="1" x14ac:dyDescent="0.35">
      <c r="A349" s="55">
        <v>348</v>
      </c>
      <c r="B349" s="55" t="s">
        <v>112</v>
      </c>
      <c r="C349" s="27" t="s">
        <v>797</v>
      </c>
      <c r="D349" s="50" t="s">
        <v>88</v>
      </c>
      <c r="E349" s="33" t="s">
        <v>89</v>
      </c>
      <c r="F349" s="4">
        <f>IFERROR(AVERAGEIF(Table1[[#This Row],[2019-Apr]:[2025-July]],"&lt;&gt;0"),0)</f>
        <v>4.3539999999999983</v>
      </c>
      <c r="G349" s="4">
        <f ca="1">IFERROR(AVERAGEIF(OFFSET(Table1[[#This Row],[Status]],0,COUNT(Table1[[#This Row],[2019-May]:[2025-July]]),1,-12),"&lt;&gt;0"),0)</f>
        <v>3.8122222222222217</v>
      </c>
      <c r="H349" s="55">
        <f>IFERROR(SMALL(Table1[[#This Row],[2019-Apr]:[2025-July]],COUNTIF(Table1[[#This Row],[2019-Apr]:[2025-July]],0)+1),0)</f>
        <v>2.1800000000000002</v>
      </c>
      <c r="I349" s="55">
        <f>IFERROR(MAX(Table1[[#This Row],[2019-Apr]:[2025-July]]),0)</f>
        <v>9.58</v>
      </c>
      <c r="J349" s="4" cm="1">
        <f t="array" ref="J34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2.3875000000000002</v>
      </c>
      <c r="K349" s="4">
        <v>4.5</v>
      </c>
      <c r="L349" s="4">
        <f>IF(Table1[[#This Row],[Standard as per ISO]]&gt;=Table1[[#This Row],[Avg of best 6]],Table1[[#This Row],[Standard as per ISO]],Table1[[#This Row],[Avg of best 6]])</f>
        <v>4.5</v>
      </c>
      <c r="M349" s="4" cm="1">
        <f t="array" ref="M349">IFERROR(LOOKUP(2,1/(Table1[[#This Row],[2019-May]:[2025-July]]&lt;&gt;0),Table1[[#This Row],[2019-May]:[2025-July]]),0)</f>
        <v>3.2</v>
      </c>
      <c r="N349" s="4">
        <f>COUNTIF(Table1[[#This Row],[2019-Apr]:[2025-July]],"&gt;="&amp;Table1[[#This Row],[Target]])</f>
        <v>29</v>
      </c>
      <c r="O349" s="4">
        <f>IF(Table1[[#This Row],[Outliers 2Y]]=0,1,0)</f>
        <v>0</v>
      </c>
      <c r="P349" s="4">
        <f>IF(Table1[[#This Row],[Last value]]&gt;1.5*Table1[[#This Row],[Target]],1,0)</f>
        <v>0</v>
      </c>
      <c r="Q349" s="4">
        <f>IF(AND(1.5*Table1[[#This Row],[Target]]&gt;=Table1[[#This Row],[Last value]],Table1[[#This Row],[Last value]]&gt;Table1[[#This Row],[Target]]),1,0)</f>
        <v>0</v>
      </c>
      <c r="R349" s="4">
        <f>IF(Table1[[#This Row],[Target]]&gt;=Table1[[#This Row],[Last value]],1,0)</f>
        <v>1</v>
      </c>
      <c r="S349" s="4" t="str">
        <f t="shared" si="7"/>
        <v>Green</v>
      </c>
      <c r="T349" s="55">
        <v>0</v>
      </c>
      <c r="U349" s="55">
        <v>5.13</v>
      </c>
      <c r="V349" s="55">
        <v>5.66</v>
      </c>
      <c r="W349" s="55">
        <v>9.58</v>
      </c>
      <c r="X349" s="55">
        <v>5.86</v>
      </c>
      <c r="Y349" s="55">
        <v>6.67</v>
      </c>
      <c r="Z349" s="55">
        <v>5.91</v>
      </c>
      <c r="AA349" s="55">
        <v>5.82</v>
      </c>
      <c r="AB349" s="55">
        <v>4.99</v>
      </c>
      <c r="AC349" s="55">
        <v>5.92</v>
      </c>
      <c r="AD349" s="55">
        <v>5.31</v>
      </c>
      <c r="AE349" s="55">
        <v>5.4</v>
      </c>
      <c r="AF349" s="55">
        <v>5.8</v>
      </c>
      <c r="AG349" s="55">
        <v>5.6</v>
      </c>
      <c r="AH349" s="55">
        <v>4.3</v>
      </c>
      <c r="AI349" s="55">
        <v>5.03</v>
      </c>
      <c r="AJ349" s="55">
        <v>4.49</v>
      </c>
      <c r="AK349" s="55">
        <v>4.8899999999999997</v>
      </c>
      <c r="AL349" s="55">
        <v>4.83</v>
      </c>
      <c r="AM349" s="55">
        <v>0</v>
      </c>
      <c r="AN349" s="55">
        <v>4.0599999999999996</v>
      </c>
      <c r="AO349" s="55">
        <v>6.02</v>
      </c>
      <c r="AP349" s="55">
        <v>0</v>
      </c>
      <c r="AQ349" s="55">
        <v>5.65</v>
      </c>
      <c r="AR349" s="8">
        <v>0</v>
      </c>
      <c r="AS349" s="8">
        <v>4.38</v>
      </c>
      <c r="AT349" s="8">
        <v>4.71</v>
      </c>
      <c r="AU349" s="50">
        <v>5.54</v>
      </c>
      <c r="AV349" s="50">
        <v>4.51</v>
      </c>
      <c r="AW349" s="50">
        <v>5.3</v>
      </c>
      <c r="AX349" s="50">
        <v>4.29</v>
      </c>
      <c r="AY349" s="50">
        <v>4.1900000000000004</v>
      </c>
      <c r="AZ349" s="50">
        <v>4</v>
      </c>
      <c r="BA349" s="50">
        <v>3.6</v>
      </c>
      <c r="BB349" s="50">
        <v>4.2</v>
      </c>
      <c r="BC349" s="55">
        <v>5.6</v>
      </c>
      <c r="BD349" s="55">
        <v>2.7</v>
      </c>
      <c r="BE349" s="11">
        <v>0</v>
      </c>
      <c r="BF349" s="4">
        <v>0</v>
      </c>
      <c r="BG349" s="4">
        <v>2.9430000000000001</v>
      </c>
      <c r="BH349" s="4">
        <v>2.964</v>
      </c>
      <c r="BI349" s="4">
        <v>3.63</v>
      </c>
      <c r="BJ349" s="13">
        <v>4.1689999999999996</v>
      </c>
      <c r="BK349" s="13">
        <v>5.3049999999999997</v>
      </c>
      <c r="BL349" s="4">
        <v>2.3849999999999998</v>
      </c>
      <c r="BM349" s="16">
        <v>3.3370000000000002</v>
      </c>
      <c r="BN349" s="4">
        <v>3.0960000000000001</v>
      </c>
      <c r="BO349" s="4">
        <v>3.1179999999999999</v>
      </c>
      <c r="BP349" s="4">
        <v>3.0550000000000002</v>
      </c>
      <c r="BQ349" s="4">
        <v>2.9350000000000001</v>
      </c>
      <c r="BR349" s="4">
        <v>2.8849999999999998</v>
      </c>
      <c r="BS349" s="4">
        <v>4.6269999999999998</v>
      </c>
      <c r="BT349" s="4">
        <v>2.9260000000000002</v>
      </c>
      <c r="BU349" s="4">
        <v>3.395</v>
      </c>
      <c r="BV349" s="4">
        <v>5.8140000000000001</v>
      </c>
      <c r="BW349" s="4">
        <v>2.625</v>
      </c>
      <c r="BX349" s="4">
        <v>3.26</v>
      </c>
      <c r="BY349" s="4">
        <v>3.9969999999999999</v>
      </c>
      <c r="BZ349" s="55">
        <v>2.56</v>
      </c>
      <c r="CA349" s="55">
        <v>0</v>
      </c>
      <c r="CB349" s="55">
        <v>0</v>
      </c>
      <c r="CC349" s="55">
        <v>0</v>
      </c>
      <c r="CD349" s="55">
        <v>2.1800000000000002</v>
      </c>
      <c r="CE349" s="19">
        <v>0</v>
      </c>
      <c r="CF349" s="19">
        <v>2.6</v>
      </c>
      <c r="CG349" s="4">
        <v>0</v>
      </c>
      <c r="CH349" s="4">
        <v>0</v>
      </c>
      <c r="CI349" s="4">
        <v>3.51</v>
      </c>
      <c r="CJ349" s="34">
        <v>6.1</v>
      </c>
      <c r="CK349" s="34">
        <v>2.2000000000000002</v>
      </c>
      <c r="CL349" s="43">
        <v>2.4</v>
      </c>
      <c r="CM349" s="4">
        <v>5</v>
      </c>
      <c r="CN349" s="53">
        <v>4.3</v>
      </c>
      <c r="CO349" s="54">
        <v>5.4</v>
      </c>
      <c r="CP349" s="54">
        <v>2.8</v>
      </c>
      <c r="CQ349" s="4">
        <v>3.2</v>
      </c>
    </row>
    <row r="350" spans="1:95" s="55" customFormat="1" x14ac:dyDescent="0.35">
      <c r="A350" s="55">
        <v>349</v>
      </c>
      <c r="B350" s="55" t="s">
        <v>112</v>
      </c>
      <c r="C350" s="27" t="s">
        <v>798</v>
      </c>
      <c r="D350" s="50" t="s">
        <v>88</v>
      </c>
      <c r="E350" s="33" t="s">
        <v>91</v>
      </c>
      <c r="F350" s="4">
        <f>IFERROR(AVERAGEIF(Table1[[#This Row],[2019-Apr]:[2025-July]],"&lt;&gt;0"),0)</f>
        <v>5.4899473684210518</v>
      </c>
      <c r="G350" s="4">
        <f ca="1">IFERROR(AVERAGEIF(OFFSET(Table1[[#This Row],[Status]],0,COUNT(Table1[[#This Row],[2019-May]:[2025-July]]),1,-12),"&lt;&gt;0"),0)</f>
        <v>3.97</v>
      </c>
      <c r="H350" s="55">
        <f>IFERROR(SMALL(Table1[[#This Row],[2019-Apr]:[2025-July]],COUNTIF(Table1[[#This Row],[2019-Apr]:[2025-July]],0)+1),0)</f>
        <v>1.63</v>
      </c>
      <c r="I350" s="55">
        <f>IFERROR(MAX(Table1[[#This Row],[2019-Apr]:[2025-July]]),0)</f>
        <v>15.8</v>
      </c>
      <c r="J350" s="4" cm="1">
        <f t="array" ref="J35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2.2591666666666668</v>
      </c>
      <c r="K350" s="4">
        <v>4.5</v>
      </c>
      <c r="L350" s="4">
        <f>IF(Table1[[#This Row],[Standard as per ISO]]&gt;=Table1[[#This Row],[Avg of best 6]],Table1[[#This Row],[Standard as per ISO]],Table1[[#This Row],[Avg of best 6]])</f>
        <v>4.5</v>
      </c>
      <c r="M350" s="4" cm="1">
        <f t="array" ref="M350">IFERROR(LOOKUP(2,1/(Table1[[#This Row],[2019-May]:[2025-July]]&lt;&gt;0),Table1[[#This Row],[2019-May]:[2025-July]]),0)</f>
        <v>4.58</v>
      </c>
      <c r="N350" s="4">
        <f>COUNTIF(Table1[[#This Row],[2019-Apr]:[2025-July]],"&gt;="&amp;Table1[[#This Row],[Target]])</f>
        <v>32</v>
      </c>
      <c r="O350" s="4">
        <f>IF(Table1[[#This Row],[Outliers 2Y]]=0,1,0)</f>
        <v>0</v>
      </c>
      <c r="P350" s="4">
        <f>IF(Table1[[#This Row],[Last value]]&gt;1.5*Table1[[#This Row],[Target]],1,0)</f>
        <v>0</v>
      </c>
      <c r="Q350" s="4">
        <f>IF(AND(1.5*Table1[[#This Row],[Target]]&gt;=Table1[[#This Row],[Last value]],Table1[[#This Row],[Last value]]&gt;Table1[[#This Row],[Target]]),1,0)</f>
        <v>1</v>
      </c>
      <c r="R350" s="4">
        <f>IF(Table1[[#This Row],[Target]]&gt;=Table1[[#This Row],[Last value]],1,0)</f>
        <v>0</v>
      </c>
      <c r="S350" s="4" t="str">
        <f t="shared" si="7"/>
        <v>Yellow</v>
      </c>
      <c r="T350" s="55">
        <v>0</v>
      </c>
      <c r="U350" s="55">
        <v>5.81</v>
      </c>
      <c r="V350" s="55">
        <v>3.32</v>
      </c>
      <c r="W350" s="55">
        <v>13.9</v>
      </c>
      <c r="X350" s="55">
        <v>10.6</v>
      </c>
      <c r="Y350" s="55">
        <v>15.8</v>
      </c>
      <c r="Z350" s="55">
        <v>4.7</v>
      </c>
      <c r="AA350" s="55">
        <v>4.3899999999999997</v>
      </c>
      <c r="AB350" s="55">
        <v>4</v>
      </c>
      <c r="AC350" s="55">
        <v>4.42</v>
      </c>
      <c r="AD350" s="55">
        <v>5.62</v>
      </c>
      <c r="AE350" s="55">
        <v>5.3</v>
      </c>
      <c r="AF350" s="55">
        <v>4.8</v>
      </c>
      <c r="AG350" s="55">
        <v>4.5999999999999996</v>
      </c>
      <c r="AH350" s="55">
        <v>12.7</v>
      </c>
      <c r="AI350" s="55">
        <v>4</v>
      </c>
      <c r="AJ350" s="55">
        <v>3.64</v>
      </c>
      <c r="AK350" s="55">
        <v>4.38</v>
      </c>
      <c r="AL350" s="55">
        <v>5.48</v>
      </c>
      <c r="AM350" s="55">
        <v>0</v>
      </c>
      <c r="AN350" s="55">
        <v>11.3</v>
      </c>
      <c r="AO350" s="55">
        <v>2.99</v>
      </c>
      <c r="AP350" s="55">
        <v>0</v>
      </c>
      <c r="AQ350" s="55">
        <v>12.7</v>
      </c>
      <c r="AR350" s="8">
        <v>0</v>
      </c>
      <c r="AS350" s="9">
        <v>6.66</v>
      </c>
      <c r="AT350" s="9">
        <v>6.04</v>
      </c>
      <c r="AU350" s="50">
        <v>10.3</v>
      </c>
      <c r="AV350" s="50">
        <v>5.63</v>
      </c>
      <c r="AW350" s="50">
        <v>5.54</v>
      </c>
      <c r="AX350" s="50">
        <v>4.43</v>
      </c>
      <c r="AY350" s="50">
        <v>5.66</v>
      </c>
      <c r="AZ350" s="50">
        <v>4.4000000000000004</v>
      </c>
      <c r="BA350" s="50">
        <v>1.8</v>
      </c>
      <c r="BB350" s="50">
        <v>4</v>
      </c>
      <c r="BC350" s="55">
        <v>2.8</v>
      </c>
      <c r="BD350" s="55">
        <v>3.3</v>
      </c>
      <c r="BE350" s="11">
        <v>0</v>
      </c>
      <c r="BF350" s="4">
        <v>0</v>
      </c>
      <c r="BG350" s="4">
        <v>3.6240000000000001</v>
      </c>
      <c r="BH350" s="4">
        <v>4.8330000000000002</v>
      </c>
      <c r="BI350" s="4">
        <v>5.1079999999999997</v>
      </c>
      <c r="BJ350" s="14">
        <v>3.9</v>
      </c>
      <c r="BK350" s="14">
        <v>9.7729999999999997</v>
      </c>
      <c r="BL350" s="4">
        <v>2.3170000000000002</v>
      </c>
      <c r="BM350" s="17">
        <v>4.6740000000000004</v>
      </c>
      <c r="BN350" s="4">
        <v>0</v>
      </c>
      <c r="BO350" s="4">
        <v>4.38</v>
      </c>
      <c r="BP350" s="4">
        <v>3.0569999999999999</v>
      </c>
      <c r="BQ350" s="4">
        <v>5.2380000000000004</v>
      </c>
      <c r="BR350" s="4">
        <v>4.8150000000000004</v>
      </c>
      <c r="BS350" s="4">
        <v>3.972</v>
      </c>
      <c r="BT350" s="4">
        <v>2.7629999999999999</v>
      </c>
      <c r="BU350" s="4">
        <v>2.2450000000000001</v>
      </c>
      <c r="BV350" s="4">
        <v>5.0149999999999997</v>
      </c>
      <c r="BW350" s="4">
        <v>4.335</v>
      </c>
      <c r="BX350" s="4">
        <v>5.4249999999999998</v>
      </c>
      <c r="BY350" s="4">
        <v>5.9930000000000003</v>
      </c>
      <c r="BZ350" s="55">
        <v>3.73</v>
      </c>
      <c r="CA350" s="55">
        <v>4.71</v>
      </c>
      <c r="CB350" s="55">
        <v>6.1</v>
      </c>
      <c r="CC350" s="55">
        <v>0</v>
      </c>
      <c r="CD350" s="55">
        <v>0</v>
      </c>
      <c r="CE350" s="19">
        <v>0</v>
      </c>
      <c r="CF350" s="19">
        <v>5.7</v>
      </c>
      <c r="CG350" s="4">
        <v>1.63</v>
      </c>
      <c r="CH350" s="4">
        <v>0</v>
      </c>
      <c r="CI350" s="4">
        <v>4.58</v>
      </c>
      <c r="CJ350" s="34">
        <v>0</v>
      </c>
      <c r="CK350" s="34">
        <v>0</v>
      </c>
      <c r="CL350" s="34">
        <v>0</v>
      </c>
      <c r="CM350" s="4">
        <v>0</v>
      </c>
      <c r="CN350" s="53">
        <v>0</v>
      </c>
      <c r="CO350" s="54">
        <v>0</v>
      </c>
      <c r="CP350" s="54">
        <v>0</v>
      </c>
      <c r="CQ350" s="4">
        <v>0</v>
      </c>
    </row>
    <row r="351" spans="1:95" s="55" customFormat="1" x14ac:dyDescent="0.35">
      <c r="A351" s="55">
        <v>350</v>
      </c>
      <c r="B351" s="55" t="s">
        <v>112</v>
      </c>
      <c r="C351" s="27" t="s">
        <v>799</v>
      </c>
      <c r="D351" s="50" t="s">
        <v>88</v>
      </c>
      <c r="E351" s="33" t="s">
        <v>89</v>
      </c>
      <c r="F351" s="4">
        <f>IFERROR(AVERAGEIF(Table1[[#This Row],[2019-Apr]:[2025-July]],"&lt;&gt;0"),0)</f>
        <v>2.0893432835820906</v>
      </c>
      <c r="G351" s="4">
        <f ca="1">IFERROR(AVERAGEIF(OFFSET(Table1[[#This Row],[Status]],0,COUNT(Table1[[#This Row],[2019-May]:[2025-July]]),1,-12),"&lt;&gt;0"),0)</f>
        <v>1.9588888888888887</v>
      </c>
      <c r="H351" s="55">
        <f>IFERROR(SMALL(Table1[[#This Row],[2019-Apr]:[2025-July]],COUNTIF(Table1[[#This Row],[2019-Apr]:[2025-July]],0)+1),0)</f>
        <v>1.3</v>
      </c>
      <c r="I351" s="55">
        <f>IFERROR(MAX(Table1[[#This Row],[2019-Apr]:[2025-July]]),0)</f>
        <v>3.96</v>
      </c>
      <c r="J351" s="4" cm="1">
        <f t="array" ref="J35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1.3966666666666667</v>
      </c>
      <c r="K351" s="4">
        <v>4.5</v>
      </c>
      <c r="L351" s="4">
        <f>IF(Table1[[#This Row],[Standard as per ISO]]&gt;=Table1[[#This Row],[Avg of best 6]],Table1[[#This Row],[Standard as per ISO]],Table1[[#This Row],[Avg of best 6]])</f>
        <v>4.5</v>
      </c>
      <c r="M351" s="4" cm="1">
        <f t="array" ref="M351">IFERROR(LOOKUP(2,1/(Table1[[#This Row],[2019-May]:[2025-July]]&lt;&gt;0),Table1[[#This Row],[2019-May]:[2025-July]]),0)</f>
        <v>1.8</v>
      </c>
      <c r="N351" s="4">
        <f>COUNTIF(Table1[[#This Row],[2019-Apr]:[2025-July]],"&gt;="&amp;Table1[[#This Row],[Target]])</f>
        <v>0</v>
      </c>
      <c r="O351" s="4">
        <f>IF(Table1[[#This Row],[Outliers 2Y]]=0,1,0)</f>
        <v>1</v>
      </c>
      <c r="P351" s="4">
        <f>IF(Table1[[#This Row],[Last value]]&gt;1.5*Table1[[#This Row],[Target]],1,0)</f>
        <v>0</v>
      </c>
      <c r="Q351" s="4">
        <f>IF(AND(1.5*Table1[[#This Row],[Target]]&gt;=Table1[[#This Row],[Last value]],Table1[[#This Row],[Last value]]&gt;Table1[[#This Row],[Target]]),1,0)</f>
        <v>0</v>
      </c>
      <c r="R351" s="4">
        <f>IF(Table1[[#This Row],[Target]]&gt;=Table1[[#This Row],[Last value]],1,0)</f>
        <v>1</v>
      </c>
      <c r="S351" s="4" t="str">
        <f t="shared" si="7"/>
        <v>Green</v>
      </c>
      <c r="T351" s="55">
        <v>0</v>
      </c>
      <c r="U351" s="55">
        <v>2.42</v>
      </c>
      <c r="V351" s="55">
        <v>3.28</v>
      </c>
      <c r="W351" s="55">
        <v>2.2999999999999998</v>
      </c>
      <c r="X351" s="55">
        <v>3.96</v>
      </c>
      <c r="Y351" s="55">
        <v>2.6</v>
      </c>
      <c r="Z351" s="55">
        <v>2.7</v>
      </c>
      <c r="AA351" s="55">
        <v>2.59</v>
      </c>
      <c r="AB351" s="55">
        <v>3</v>
      </c>
      <c r="AC351" s="55">
        <v>2.58</v>
      </c>
      <c r="AD351" s="55">
        <v>2.27</v>
      </c>
      <c r="AE351" s="55">
        <v>2.6</v>
      </c>
      <c r="AF351" s="55">
        <v>2.5</v>
      </c>
      <c r="AG351" s="55">
        <v>2.2000000000000002</v>
      </c>
      <c r="AH351" s="55">
        <v>2.6</v>
      </c>
      <c r="AI351" s="55">
        <v>2.11</v>
      </c>
      <c r="AJ351" s="55">
        <v>1.7</v>
      </c>
      <c r="AK351" s="55">
        <v>2.23</v>
      </c>
      <c r="AL351" s="55">
        <v>1.91</v>
      </c>
      <c r="AM351" s="55">
        <v>2.11</v>
      </c>
      <c r="AN351" s="55">
        <v>2.66</v>
      </c>
      <c r="AO351" s="55">
        <v>2.59</v>
      </c>
      <c r="AP351" s="55">
        <v>2.1</v>
      </c>
      <c r="AQ351" s="55">
        <v>2.61</v>
      </c>
      <c r="AR351" s="8">
        <v>1.36</v>
      </c>
      <c r="AS351" s="8">
        <v>1.56</v>
      </c>
      <c r="AT351" s="8">
        <v>1.68</v>
      </c>
      <c r="AU351" s="50">
        <v>1.67</v>
      </c>
      <c r="AV351" s="50">
        <v>1.66</v>
      </c>
      <c r="AW351" s="50">
        <v>2.25</v>
      </c>
      <c r="AX351" s="50">
        <v>2.17</v>
      </c>
      <c r="AY351" s="50">
        <v>2.2599999999999998</v>
      </c>
      <c r="AZ351" s="50">
        <v>2.0699999999999998</v>
      </c>
      <c r="BA351" s="50">
        <v>2.2999999999999998</v>
      </c>
      <c r="BB351" s="50">
        <v>1.7</v>
      </c>
      <c r="BC351" s="55">
        <v>1.5</v>
      </c>
      <c r="BD351" s="55">
        <v>1.3</v>
      </c>
      <c r="BE351" s="11">
        <v>1.42</v>
      </c>
      <c r="BF351" s="4">
        <v>0</v>
      </c>
      <c r="BG351" s="4">
        <v>0</v>
      </c>
      <c r="BH351" s="4">
        <v>2.0059999999999998</v>
      </c>
      <c r="BI351" s="4">
        <v>2.09</v>
      </c>
      <c r="BJ351" s="13">
        <v>2.008</v>
      </c>
      <c r="BK351" s="13">
        <v>1.758</v>
      </c>
      <c r="BL351" s="4">
        <v>1.986</v>
      </c>
      <c r="BM351" s="16">
        <v>2.4239999999999999</v>
      </c>
      <c r="BN351" s="4">
        <v>1.806</v>
      </c>
      <c r="BO351" s="4">
        <v>1.9470000000000001</v>
      </c>
      <c r="BP351" s="4">
        <v>1.62</v>
      </c>
      <c r="BQ351" s="4">
        <v>1.9410000000000001</v>
      </c>
      <c r="BR351" s="4">
        <v>2.266</v>
      </c>
      <c r="BS351" s="4">
        <v>1.504</v>
      </c>
      <c r="BT351" s="4">
        <v>1.6120000000000001</v>
      </c>
      <c r="BU351" s="4">
        <v>1.9239999999999999</v>
      </c>
      <c r="BV351" s="4">
        <v>1.8169999999999999</v>
      </c>
      <c r="BW351" s="4">
        <v>2.4089999999999998</v>
      </c>
      <c r="BX351" s="4">
        <v>1.698</v>
      </c>
      <c r="BY351" s="4">
        <v>1.79</v>
      </c>
      <c r="BZ351" s="55">
        <v>1.73</v>
      </c>
      <c r="CA351" s="55">
        <v>0</v>
      </c>
      <c r="CB351" s="55">
        <v>0</v>
      </c>
      <c r="CC351" s="55">
        <v>1.7</v>
      </c>
      <c r="CD351" s="55">
        <v>0</v>
      </c>
      <c r="CE351" s="19">
        <v>0</v>
      </c>
      <c r="CF351" s="19">
        <v>1.4</v>
      </c>
      <c r="CG351" s="4">
        <v>0</v>
      </c>
      <c r="CH351" s="4">
        <v>0</v>
      </c>
      <c r="CI351" s="4">
        <v>2.0299999999999998</v>
      </c>
      <c r="CJ351" s="34">
        <v>1.6</v>
      </c>
      <c r="CK351" s="34">
        <v>2.7</v>
      </c>
      <c r="CL351" s="43">
        <v>2.9</v>
      </c>
      <c r="CM351" s="4">
        <v>1.8</v>
      </c>
      <c r="CN351" s="53">
        <v>1.9</v>
      </c>
      <c r="CO351" s="54">
        <v>1.9</v>
      </c>
      <c r="CP351" s="54">
        <v>1.4</v>
      </c>
      <c r="CQ351" s="4">
        <v>1.8</v>
      </c>
    </row>
    <row r="352" spans="1:95" s="55" customFormat="1" x14ac:dyDescent="0.35">
      <c r="A352" s="55">
        <v>351</v>
      </c>
      <c r="B352" s="55" t="s">
        <v>112</v>
      </c>
      <c r="C352" s="27" t="s">
        <v>800</v>
      </c>
      <c r="D352" s="50" t="s">
        <v>88</v>
      </c>
      <c r="E352" s="33" t="s">
        <v>89</v>
      </c>
      <c r="F352" s="4">
        <f>IFERROR(AVERAGEIF(Table1[[#This Row],[2019-Apr]:[2025-July]],"&lt;&gt;0"),0)</f>
        <v>4.6894117647058815</v>
      </c>
      <c r="G352" s="4">
        <f ca="1">IFERROR(AVERAGEIF(OFFSET(Table1[[#This Row],[Status]],0,COUNT(Table1[[#This Row],[2019-May]:[2025-July]]),1,-12),"&lt;&gt;0"),0)</f>
        <v>5.1289999999999996</v>
      </c>
      <c r="H352" s="55">
        <f>IFERROR(SMALL(Table1[[#This Row],[2019-Apr]:[2025-July]],COUNTIF(Table1[[#This Row],[2019-Apr]:[2025-July]],0)+1),0)</f>
        <v>2.8</v>
      </c>
      <c r="I352" s="55">
        <f>IFERROR(MAX(Table1[[#This Row],[2019-Apr]:[2025-July]]),0)</f>
        <v>6.04</v>
      </c>
      <c r="J352" s="4" cm="1">
        <f t="array" ref="J35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3.3033333333333332</v>
      </c>
      <c r="K352" s="4">
        <v>4.5</v>
      </c>
      <c r="L352" s="4">
        <f>IF(Table1[[#This Row],[Standard as per ISO]]&gt;=Table1[[#This Row],[Avg of best 6]],Table1[[#This Row],[Standard as per ISO]],Table1[[#This Row],[Avg of best 6]])</f>
        <v>4.5</v>
      </c>
      <c r="M352" s="4" cm="1">
        <f t="array" ref="M352">IFERROR(LOOKUP(2,1/(Table1[[#This Row],[2019-May]:[2025-July]]&lt;&gt;0),Table1[[#This Row],[2019-May]:[2025-July]]),0)</f>
        <v>4.5999999999999996</v>
      </c>
      <c r="N352" s="4">
        <f>COUNTIF(Table1[[#This Row],[2019-Apr]:[2025-July]],"&gt;="&amp;Table1[[#This Row],[Target]])</f>
        <v>43</v>
      </c>
      <c r="O352" s="4">
        <f>IF(Table1[[#This Row],[Outliers 2Y]]=0,1,0)</f>
        <v>0</v>
      </c>
      <c r="P352" s="4">
        <f>IF(Table1[[#This Row],[Last value]]&gt;1.5*Table1[[#This Row],[Target]],1,0)</f>
        <v>0</v>
      </c>
      <c r="Q352" s="4">
        <f>IF(AND(1.5*Table1[[#This Row],[Target]]&gt;=Table1[[#This Row],[Last value]],Table1[[#This Row],[Last value]]&gt;Table1[[#This Row],[Target]]),1,0)</f>
        <v>1</v>
      </c>
      <c r="R352" s="4">
        <f>IF(Table1[[#This Row],[Target]]&gt;=Table1[[#This Row],[Last value]],1,0)</f>
        <v>0</v>
      </c>
      <c r="S352" s="4" t="str">
        <f t="shared" si="7"/>
        <v>Yellow</v>
      </c>
      <c r="T352" s="55">
        <v>0</v>
      </c>
      <c r="U352" s="55">
        <v>4.13</v>
      </c>
      <c r="V352" s="55">
        <v>3.17</v>
      </c>
      <c r="W352" s="55">
        <v>3.84</v>
      </c>
      <c r="X352" s="55">
        <v>3.87</v>
      </c>
      <c r="Y352" s="55">
        <v>4.9000000000000004</v>
      </c>
      <c r="Z352" s="55">
        <v>3.89</v>
      </c>
      <c r="AA352" s="55">
        <v>4.37</v>
      </c>
      <c r="AB352" s="55">
        <v>3.46</v>
      </c>
      <c r="AC352" s="55">
        <v>4.03</v>
      </c>
      <c r="AD352" s="55">
        <v>3.97</v>
      </c>
      <c r="AE352" s="55">
        <v>3.97</v>
      </c>
      <c r="AF352" s="55">
        <v>4.3</v>
      </c>
      <c r="AG352" s="55">
        <v>2.8</v>
      </c>
      <c r="AH352" s="55">
        <v>4.91</v>
      </c>
      <c r="AI352" s="55">
        <v>0</v>
      </c>
      <c r="AJ352" s="55">
        <v>4.22</v>
      </c>
      <c r="AK352" s="55">
        <v>3.78</v>
      </c>
      <c r="AL352" s="55">
        <v>3.59</v>
      </c>
      <c r="AM352" s="55">
        <v>4.6100000000000003</v>
      </c>
      <c r="AN352" s="55">
        <v>3.95</v>
      </c>
      <c r="AO352" s="55">
        <v>4.32</v>
      </c>
      <c r="AP352" s="55">
        <v>3.68</v>
      </c>
      <c r="AQ352" s="55">
        <v>3.73</v>
      </c>
      <c r="AR352" s="8">
        <v>0</v>
      </c>
      <c r="AS352" s="8">
        <v>3.12</v>
      </c>
      <c r="AT352" s="8">
        <v>4.08</v>
      </c>
      <c r="AU352" s="50">
        <v>4.91</v>
      </c>
      <c r="AV352" s="50">
        <v>4.9800000000000004</v>
      </c>
      <c r="AW352" s="50">
        <v>5.34</v>
      </c>
      <c r="AX352" s="50">
        <v>5.62</v>
      </c>
      <c r="AY352" s="50">
        <v>5.54</v>
      </c>
      <c r="AZ352" s="50">
        <v>5.74</v>
      </c>
      <c r="BA352" s="50">
        <v>4.0999999999999996</v>
      </c>
      <c r="BB352" s="50">
        <v>4.5999999999999996</v>
      </c>
      <c r="BC352" s="55">
        <v>4.2</v>
      </c>
      <c r="BD352" s="55">
        <v>4.0999999999999996</v>
      </c>
      <c r="BE352" s="11">
        <v>4.3289999999999997</v>
      </c>
      <c r="BF352" s="4">
        <v>0</v>
      </c>
      <c r="BG352" s="4">
        <v>4.5990000000000002</v>
      </c>
      <c r="BH352" s="4">
        <v>4.8719999999999999</v>
      </c>
      <c r="BI352" s="4">
        <v>4.9379999999999997</v>
      </c>
      <c r="BJ352" s="14">
        <v>4.6520000000000001</v>
      </c>
      <c r="BK352" s="14">
        <v>4.8680000000000003</v>
      </c>
      <c r="BL352" s="4">
        <v>5.476</v>
      </c>
      <c r="BM352" s="17">
        <v>4.93</v>
      </c>
      <c r="BN352" s="4">
        <v>4.8499999999999996</v>
      </c>
      <c r="BO352" s="4">
        <v>5.3360000000000003</v>
      </c>
      <c r="BP352" s="4">
        <v>4.9080000000000004</v>
      </c>
      <c r="BQ352" s="4">
        <v>4.92</v>
      </c>
      <c r="BR352" s="4">
        <v>5.1959999999999997</v>
      </c>
      <c r="BS352" s="4">
        <v>5.19</v>
      </c>
      <c r="BT352" s="4">
        <v>5.6390000000000002</v>
      </c>
      <c r="BU352" s="4">
        <v>5.4050000000000002</v>
      </c>
      <c r="BV352" s="4">
        <v>4.9089999999999998</v>
      </c>
      <c r="BW352" s="4">
        <v>5.5949999999999998</v>
      </c>
      <c r="BX352" s="4">
        <v>5.65</v>
      </c>
      <c r="BY352" s="4">
        <v>5.3879999999999999</v>
      </c>
      <c r="BZ352" s="55">
        <v>5.94</v>
      </c>
      <c r="CA352" s="55">
        <v>5.56</v>
      </c>
      <c r="CB352" s="55">
        <v>6.02</v>
      </c>
      <c r="CC352" s="55">
        <v>0</v>
      </c>
      <c r="CD352" s="55">
        <v>0</v>
      </c>
      <c r="CE352" s="19">
        <v>0</v>
      </c>
      <c r="CF352" s="19">
        <v>4.8</v>
      </c>
      <c r="CG352" s="4">
        <v>6.04</v>
      </c>
      <c r="CH352" s="4">
        <v>0</v>
      </c>
      <c r="CI352" s="4">
        <v>5.35</v>
      </c>
      <c r="CJ352" s="34">
        <v>5.3</v>
      </c>
      <c r="CK352" s="34">
        <v>4.9000000000000004</v>
      </c>
      <c r="CL352" s="43">
        <v>4.9000000000000004</v>
      </c>
      <c r="CM352" s="4">
        <v>5.2</v>
      </c>
      <c r="CN352" s="53">
        <v>4.9000000000000004</v>
      </c>
      <c r="CO352" s="54">
        <v>4.9000000000000004</v>
      </c>
      <c r="CP352" s="54">
        <v>5</v>
      </c>
      <c r="CQ352" s="4">
        <v>4.5999999999999996</v>
      </c>
    </row>
    <row r="353" spans="1:95" s="55" customFormat="1" x14ac:dyDescent="0.35">
      <c r="A353" s="55">
        <v>352</v>
      </c>
      <c r="B353" s="55" t="s">
        <v>112</v>
      </c>
      <c r="C353" s="27" t="s">
        <v>801</v>
      </c>
      <c r="D353" s="50" t="s">
        <v>88</v>
      </c>
      <c r="E353" s="33" t="s">
        <v>91</v>
      </c>
      <c r="F353" s="4">
        <f>IFERROR(AVERAGEIF(Table1[[#This Row],[2019-Apr]:[2025-July]],"&lt;&gt;0"),0)</f>
        <v>2.7405517241379305</v>
      </c>
      <c r="G353" s="4">
        <f ca="1">IFERROR(AVERAGEIF(OFFSET(Table1[[#This Row],[Status]],0,COUNT(Table1[[#This Row],[2019-May]:[2025-July]]),1,-12),"&lt;&gt;0"),0)</f>
        <v>3.1666666666666665</v>
      </c>
      <c r="H353" s="55">
        <f>IFERROR(SMALL(Table1[[#This Row],[2019-Apr]:[2025-July]],COUNTIF(Table1[[#This Row],[2019-Apr]:[2025-July]],0)+1),0)</f>
        <v>1.82</v>
      </c>
      <c r="I353" s="55">
        <f>IFERROR(MAX(Table1[[#This Row],[2019-Apr]:[2025-July]]),0)</f>
        <v>4.74</v>
      </c>
      <c r="J353" s="4" cm="1">
        <f t="array" ref="J35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2.0636666666666668</v>
      </c>
      <c r="K353" s="4">
        <v>4.5</v>
      </c>
      <c r="L353" s="4">
        <f>IF(Table1[[#This Row],[Standard as per ISO]]&gt;=Table1[[#This Row],[Avg of best 6]],Table1[[#This Row],[Standard as per ISO]],Table1[[#This Row],[Avg of best 6]])</f>
        <v>4.5</v>
      </c>
      <c r="M353" s="4" cm="1">
        <f t="array" ref="M353">IFERROR(LOOKUP(2,1/(Table1[[#This Row],[2019-May]:[2025-July]]&lt;&gt;0),Table1[[#This Row],[2019-May]:[2025-July]]),0)</f>
        <v>2.5</v>
      </c>
      <c r="N353" s="4">
        <f>COUNTIF(Table1[[#This Row],[2019-Apr]:[2025-July]],"&gt;="&amp;Table1[[#This Row],[Target]])</f>
        <v>1</v>
      </c>
      <c r="O353" s="4">
        <f>IF(Table1[[#This Row],[Outliers 2Y]]=0,1,0)</f>
        <v>0</v>
      </c>
      <c r="P353" s="4">
        <f>IF(Table1[[#This Row],[Last value]]&gt;1.5*Table1[[#This Row],[Target]],1,0)</f>
        <v>0</v>
      </c>
      <c r="Q353" s="4">
        <f>IF(AND(1.5*Table1[[#This Row],[Target]]&gt;=Table1[[#This Row],[Last value]],Table1[[#This Row],[Last value]]&gt;Table1[[#This Row],[Target]]),1,0)</f>
        <v>0</v>
      </c>
      <c r="R353" s="4">
        <f>IF(Table1[[#This Row],[Target]]&gt;=Table1[[#This Row],[Last value]],1,0)</f>
        <v>1</v>
      </c>
      <c r="S353" s="4" t="str">
        <f t="shared" si="7"/>
        <v>Green</v>
      </c>
      <c r="T353" s="55">
        <v>0</v>
      </c>
      <c r="U353" s="55">
        <v>2.57</v>
      </c>
      <c r="V353" s="55">
        <v>2.63</v>
      </c>
      <c r="W353" s="55">
        <v>2.21</v>
      </c>
      <c r="X353" s="55">
        <v>2.19</v>
      </c>
      <c r="Y353" s="55">
        <v>2.2799999999999998</v>
      </c>
      <c r="Z353" s="55">
        <v>2.66</v>
      </c>
      <c r="AA353" s="55">
        <v>2.89</v>
      </c>
      <c r="AB353" s="55">
        <v>4.74</v>
      </c>
      <c r="AC353" s="55">
        <v>2</v>
      </c>
      <c r="AD353" s="55">
        <v>2.29</v>
      </c>
      <c r="AE353" s="55">
        <v>2.9</v>
      </c>
      <c r="AF353" s="55">
        <v>2.5499999999999998</v>
      </c>
      <c r="AG353" s="55">
        <v>2.8</v>
      </c>
      <c r="AH353" s="55">
        <v>3.43</v>
      </c>
      <c r="AI353" s="55">
        <v>0</v>
      </c>
      <c r="AJ353" s="55">
        <v>2.5099999999999998</v>
      </c>
      <c r="AK353" s="55">
        <v>2.48</v>
      </c>
      <c r="AL353" s="55">
        <v>2.0499999999999998</v>
      </c>
      <c r="AM353" s="55">
        <v>3.37</v>
      </c>
      <c r="AN353" s="55">
        <v>3.48</v>
      </c>
      <c r="AO353" s="55">
        <v>2.39</v>
      </c>
      <c r="AP353" s="55">
        <v>3.74</v>
      </c>
      <c r="AQ353" s="55">
        <v>3.73</v>
      </c>
      <c r="AR353" s="8">
        <v>0</v>
      </c>
      <c r="AS353" s="8">
        <v>4.01</v>
      </c>
      <c r="AT353" s="8">
        <v>3.63</v>
      </c>
      <c r="AU353" s="50">
        <v>2.52</v>
      </c>
      <c r="AV353" s="50">
        <v>2.9</v>
      </c>
      <c r="AW353" s="50">
        <v>3.45</v>
      </c>
      <c r="AX353" s="50">
        <v>2.81</v>
      </c>
      <c r="AY353" s="50">
        <v>2.56</v>
      </c>
      <c r="AZ353" s="50">
        <v>3.66</v>
      </c>
      <c r="BA353" s="50">
        <v>2.6</v>
      </c>
      <c r="BB353" s="50">
        <v>2.2999999999999998</v>
      </c>
      <c r="BC353" s="55">
        <v>2.7</v>
      </c>
      <c r="BD353" s="55">
        <v>2.2999999999999998</v>
      </c>
      <c r="BE353" s="11">
        <v>2.7919999999999998</v>
      </c>
      <c r="BF353" s="4">
        <v>0</v>
      </c>
      <c r="BG353" s="4">
        <v>2.597</v>
      </c>
      <c r="BH353" s="4">
        <v>2.4630000000000001</v>
      </c>
      <c r="BI353" s="4">
        <v>2.343</v>
      </c>
      <c r="BJ353" s="13">
        <v>2.7949999999999999</v>
      </c>
      <c r="BK353" s="13">
        <v>2.5270000000000001</v>
      </c>
      <c r="BL353" s="4">
        <v>2.41</v>
      </c>
      <c r="BM353" s="16">
        <v>2.593</v>
      </c>
      <c r="BN353" s="4">
        <v>2.7610000000000001</v>
      </c>
      <c r="BO353" s="4">
        <v>2.544</v>
      </c>
      <c r="BP353" s="4">
        <v>2.411</v>
      </c>
      <c r="BQ353" s="4">
        <v>2.4</v>
      </c>
      <c r="BR353" s="4">
        <v>2.379</v>
      </c>
      <c r="BS353" s="4">
        <v>2.13</v>
      </c>
      <c r="BT353" s="4">
        <v>2.8149999999999999</v>
      </c>
      <c r="BU353" s="4">
        <v>1.82</v>
      </c>
      <c r="BV353" s="4">
        <v>2.3210000000000002</v>
      </c>
      <c r="BW353" s="4">
        <v>2.363</v>
      </c>
      <c r="BX353" s="4">
        <v>2.1920000000000002</v>
      </c>
      <c r="BY353" s="4">
        <v>2.9660000000000002</v>
      </c>
      <c r="BZ353" s="55">
        <v>2.5</v>
      </c>
      <c r="CA353" s="55">
        <v>0</v>
      </c>
      <c r="CB353" s="55">
        <v>0</v>
      </c>
      <c r="CC353" s="55">
        <v>0</v>
      </c>
      <c r="CD353" s="55">
        <v>0</v>
      </c>
      <c r="CE353" s="19">
        <v>3.5</v>
      </c>
      <c r="CF353" s="19">
        <v>3.5</v>
      </c>
      <c r="CG353" s="4">
        <v>0</v>
      </c>
      <c r="CH353" s="4">
        <v>0</v>
      </c>
      <c r="CI353" s="4">
        <v>2.5</v>
      </c>
      <c r="CJ353" s="34">
        <v>0</v>
      </c>
      <c r="CK353" s="34">
        <v>0</v>
      </c>
      <c r="CL353" s="34">
        <v>0</v>
      </c>
      <c r="CM353" s="4">
        <v>0</v>
      </c>
      <c r="CN353" s="53">
        <v>0</v>
      </c>
      <c r="CO353" s="54">
        <v>0</v>
      </c>
      <c r="CP353" s="54">
        <v>0</v>
      </c>
      <c r="CQ353" s="4">
        <v>0</v>
      </c>
    </row>
    <row r="354" spans="1:95" s="55" customFormat="1" x14ac:dyDescent="0.35">
      <c r="A354" s="55">
        <v>353</v>
      </c>
      <c r="B354" s="55" t="s">
        <v>112</v>
      </c>
      <c r="C354" s="27" t="s">
        <v>802</v>
      </c>
      <c r="D354" s="50" t="s">
        <v>88</v>
      </c>
      <c r="E354" s="33" t="s">
        <v>91</v>
      </c>
      <c r="F354" s="4">
        <f>IFERROR(AVERAGEIF(Table1[[#This Row],[2019-Apr]:[2025-July]],"&lt;&gt;0"),0)</f>
        <v>1.5150701754385962</v>
      </c>
      <c r="G354" s="4">
        <f ca="1">IFERROR(AVERAGEIF(OFFSET(Table1[[#This Row],[Status]],0,COUNT(Table1[[#This Row],[2019-May]:[2025-July]]),1,-12),"&lt;&gt;0"),0)</f>
        <v>3.6066666666666669</v>
      </c>
      <c r="H354" s="55">
        <f>IFERROR(SMALL(Table1[[#This Row],[2019-Apr]:[2025-July]],COUNTIF(Table1[[#This Row],[2019-Apr]:[2025-July]],0)+1),0)</f>
        <v>0.45100000000000001</v>
      </c>
      <c r="I354" s="55">
        <f>IFERROR(MAX(Table1[[#This Row],[2019-Apr]:[2025-July]]),0)</f>
        <v>4.4000000000000004</v>
      </c>
      <c r="J354" s="4" cm="1">
        <f t="array" ref="J35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0.77966666666666662</v>
      </c>
      <c r="K354" s="4">
        <v>4.5</v>
      </c>
      <c r="L354" s="4">
        <f>IF(Table1[[#This Row],[Standard as per ISO]]&gt;=Table1[[#This Row],[Avg of best 6]],Table1[[#This Row],[Standard as per ISO]],Table1[[#This Row],[Avg of best 6]])</f>
        <v>4.5</v>
      </c>
      <c r="M354" s="4" cm="1">
        <f t="array" ref="M354">IFERROR(LOOKUP(2,1/(Table1[[#This Row],[2019-May]:[2025-July]]&lt;&gt;0),Table1[[#This Row],[2019-May]:[2025-July]]),0)</f>
        <v>4.0199999999999996</v>
      </c>
      <c r="N354" s="4">
        <f>COUNTIF(Table1[[#This Row],[2019-Apr]:[2025-July]],"&gt;="&amp;Table1[[#This Row],[Target]])</f>
        <v>0</v>
      </c>
      <c r="O354" s="4">
        <f>IF(Table1[[#This Row],[Outliers 2Y]]=0,1,0)</f>
        <v>1</v>
      </c>
      <c r="P354" s="4">
        <f>IF(Table1[[#This Row],[Last value]]&gt;1.5*Table1[[#This Row],[Target]],1,0)</f>
        <v>0</v>
      </c>
      <c r="Q354" s="4">
        <f>IF(AND(1.5*Table1[[#This Row],[Target]]&gt;=Table1[[#This Row],[Last value]],Table1[[#This Row],[Last value]]&gt;Table1[[#This Row],[Target]]),1,0)</f>
        <v>0</v>
      </c>
      <c r="R354" s="4">
        <f>IF(Table1[[#This Row],[Target]]&gt;=Table1[[#This Row],[Last value]],1,0)</f>
        <v>1</v>
      </c>
      <c r="S354" s="4" t="str">
        <f t="shared" si="7"/>
        <v>Green</v>
      </c>
      <c r="T354" s="55">
        <v>0</v>
      </c>
      <c r="U354" s="55">
        <v>2.4700000000000002</v>
      </c>
      <c r="V354" s="55">
        <v>2.6</v>
      </c>
      <c r="W354" s="55">
        <v>1.26</v>
      </c>
      <c r="X354" s="55">
        <v>0</v>
      </c>
      <c r="Y354" s="55">
        <v>1.31</v>
      </c>
      <c r="Z354" s="55">
        <v>2</v>
      </c>
      <c r="AA354" s="55">
        <v>2.14</v>
      </c>
      <c r="AB354" s="55">
        <v>1.35</v>
      </c>
      <c r="AC354" s="55">
        <v>1.5</v>
      </c>
      <c r="AD354" s="55">
        <v>1.37</v>
      </c>
      <c r="AE354" s="55">
        <v>2</v>
      </c>
      <c r="AF354" s="55">
        <v>1.5</v>
      </c>
      <c r="AG354" s="55">
        <v>1.3</v>
      </c>
      <c r="AH354" s="55">
        <v>1.29</v>
      </c>
      <c r="AI354" s="55">
        <v>0</v>
      </c>
      <c r="AJ354" s="55">
        <v>1.26</v>
      </c>
      <c r="AK354" s="55">
        <v>1.31</v>
      </c>
      <c r="AL354" s="55">
        <v>1.37</v>
      </c>
      <c r="AM354" s="55">
        <v>2.04</v>
      </c>
      <c r="AN354" s="55">
        <v>1.47</v>
      </c>
      <c r="AO354" s="55">
        <v>1.51</v>
      </c>
      <c r="AP354" s="55">
        <v>1.48</v>
      </c>
      <c r="AQ354" s="55">
        <v>1.64</v>
      </c>
      <c r="AR354" s="8">
        <v>0</v>
      </c>
      <c r="AS354" s="8">
        <v>1.44</v>
      </c>
      <c r="AT354" s="8">
        <v>1.3440000000000001</v>
      </c>
      <c r="AU354" s="50">
        <v>1.26</v>
      </c>
      <c r="AV354" s="50">
        <v>1.58</v>
      </c>
      <c r="AW354" s="50">
        <v>2.02</v>
      </c>
      <c r="AX354" s="50">
        <v>1.58</v>
      </c>
      <c r="AY354" s="50">
        <v>1.85</v>
      </c>
      <c r="AZ354" s="50">
        <v>1.94</v>
      </c>
      <c r="BA354" s="50">
        <v>0.9</v>
      </c>
      <c r="BB354" s="50">
        <v>1.4</v>
      </c>
      <c r="BC354" s="55">
        <v>0.9</v>
      </c>
      <c r="BD354" s="55">
        <v>0.8</v>
      </c>
      <c r="BE354" s="11">
        <v>1.7210000000000001</v>
      </c>
      <c r="BF354" s="4">
        <v>0</v>
      </c>
      <c r="BG354" s="4">
        <v>0.872</v>
      </c>
      <c r="BH354" s="4">
        <v>0.86</v>
      </c>
      <c r="BI354" s="4">
        <v>0.84599999999999997</v>
      </c>
      <c r="BJ354" s="14">
        <v>0.94699999999999995</v>
      </c>
      <c r="BK354" s="14">
        <v>1.4039999999999999</v>
      </c>
      <c r="BL354" s="4">
        <v>0.90500000000000003</v>
      </c>
      <c r="BM354" s="17">
        <v>0.84899999999999998</v>
      </c>
      <c r="BN354" s="4">
        <v>0.98499999999999999</v>
      </c>
      <c r="BO354" s="4">
        <v>0.98099999999999998</v>
      </c>
      <c r="BP354" s="4">
        <v>1.0449999999999999</v>
      </c>
      <c r="BQ354" s="4">
        <v>0.96399999999999997</v>
      </c>
      <c r="BR354" s="4">
        <v>1.33</v>
      </c>
      <c r="BS354" s="4">
        <v>1.125</v>
      </c>
      <c r="BT354" s="4">
        <v>1.0089999999999999</v>
      </c>
      <c r="BU354" s="4">
        <v>1.708</v>
      </c>
      <c r="BV354" s="4">
        <v>1.905</v>
      </c>
      <c r="BW354" s="4">
        <v>1.2729999999999999</v>
      </c>
      <c r="BX354" s="4">
        <v>1.4450000000000001</v>
      </c>
      <c r="BY354" s="4">
        <v>0.45100000000000001</v>
      </c>
      <c r="BZ354" s="55">
        <v>1.73</v>
      </c>
      <c r="CA354" s="55">
        <v>0</v>
      </c>
      <c r="CB354" s="55">
        <v>0</v>
      </c>
      <c r="CC354" s="55">
        <v>0</v>
      </c>
      <c r="CD354" s="55">
        <v>0</v>
      </c>
      <c r="CE354" s="19">
        <v>4.4000000000000004</v>
      </c>
      <c r="CF354" s="19">
        <v>2.4</v>
      </c>
      <c r="CG354" s="4">
        <v>0</v>
      </c>
      <c r="CH354" s="4">
        <v>0</v>
      </c>
      <c r="CI354" s="4">
        <v>4.0199999999999996</v>
      </c>
      <c r="CJ354" s="34">
        <v>0</v>
      </c>
      <c r="CK354" s="34">
        <v>0</v>
      </c>
      <c r="CL354" s="34">
        <v>0</v>
      </c>
      <c r="CM354" s="4">
        <v>0</v>
      </c>
      <c r="CN354" s="53">
        <v>0</v>
      </c>
      <c r="CO354" s="54">
        <v>0</v>
      </c>
      <c r="CP354" s="54">
        <v>0</v>
      </c>
      <c r="CQ354" s="4">
        <v>0</v>
      </c>
    </row>
    <row r="355" spans="1:95" s="55" customFormat="1" x14ac:dyDescent="0.35">
      <c r="A355" s="55">
        <v>354</v>
      </c>
      <c r="B355" s="55" t="s">
        <v>112</v>
      </c>
      <c r="C355" s="27" t="s">
        <v>803</v>
      </c>
      <c r="D355" s="50" t="s">
        <v>88</v>
      </c>
      <c r="E355" s="33" t="s">
        <v>91</v>
      </c>
      <c r="F355" s="4">
        <f>IFERROR(AVERAGEIF(Table1[[#This Row],[2019-Apr]:[2025-July]],"&lt;&gt;0"),0)</f>
        <v>1.4237413793103453</v>
      </c>
      <c r="G355" s="4">
        <f ca="1">IFERROR(AVERAGEIF(OFFSET(Table1[[#This Row],[Status]],0,COUNT(Table1[[#This Row],[2019-May]:[2025-July]]),1,-12),"&lt;&gt;0"),0)</f>
        <v>1.5649999999999999</v>
      </c>
      <c r="H355" s="55">
        <f>IFERROR(SMALL(Table1[[#This Row],[2019-Apr]:[2025-July]],COUNTIF(Table1[[#This Row],[2019-Apr]:[2025-July]],0)+1),0)</f>
        <v>0.9</v>
      </c>
      <c r="I355" s="55">
        <f>IFERROR(MAX(Table1[[#This Row],[2019-Apr]:[2025-July]]),0)</f>
        <v>1.93</v>
      </c>
      <c r="J355" s="4" cm="1">
        <f t="array" ref="J35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0.99366666666666681</v>
      </c>
      <c r="K355" s="4">
        <v>4.5</v>
      </c>
      <c r="L355" s="4">
        <f>IF(Table1[[#This Row],[Standard as per ISO]]&gt;=Table1[[#This Row],[Avg of best 6]],Table1[[#This Row],[Standard as per ISO]],Table1[[#This Row],[Avg of best 6]])</f>
        <v>4.5</v>
      </c>
      <c r="M355" s="4" cm="1">
        <f t="array" ref="M355">IFERROR(LOOKUP(2,1/(Table1[[#This Row],[2019-May]:[2025-July]]&lt;&gt;0),Table1[[#This Row],[2019-May]:[2025-July]]),0)</f>
        <v>1.93</v>
      </c>
      <c r="N355" s="4">
        <f>COUNTIF(Table1[[#This Row],[2019-Apr]:[2025-July]],"&gt;="&amp;Table1[[#This Row],[Target]])</f>
        <v>0</v>
      </c>
      <c r="O355" s="4">
        <f>IF(Table1[[#This Row],[Outliers 2Y]]=0,1,0)</f>
        <v>1</v>
      </c>
      <c r="P355" s="4">
        <f>IF(Table1[[#This Row],[Last value]]&gt;1.5*Table1[[#This Row],[Target]],1,0)</f>
        <v>0</v>
      </c>
      <c r="Q355" s="4">
        <f>IF(AND(1.5*Table1[[#This Row],[Target]]&gt;=Table1[[#This Row],[Last value]],Table1[[#This Row],[Last value]]&gt;Table1[[#This Row],[Target]]),1,0)</f>
        <v>0</v>
      </c>
      <c r="R355" s="4">
        <f>IF(Table1[[#This Row],[Target]]&gt;=Table1[[#This Row],[Last value]],1,0)</f>
        <v>1</v>
      </c>
      <c r="S355" s="4" t="str">
        <f t="shared" si="7"/>
        <v>Green</v>
      </c>
      <c r="T355" s="55">
        <v>0</v>
      </c>
      <c r="U355" s="55">
        <v>1.59</v>
      </c>
      <c r="V355" s="55">
        <v>1.21</v>
      </c>
      <c r="W355" s="55">
        <v>1.31</v>
      </c>
      <c r="X355" s="55">
        <v>1.64</v>
      </c>
      <c r="Y355" s="55">
        <v>1.35</v>
      </c>
      <c r="Z355" s="55">
        <v>1.25</v>
      </c>
      <c r="AA355" s="55">
        <v>1.24</v>
      </c>
      <c r="AB355" s="55">
        <v>1.83</v>
      </c>
      <c r="AC355" s="55">
        <v>1.25</v>
      </c>
      <c r="AD355" s="55">
        <v>1.43</v>
      </c>
      <c r="AE355" s="55">
        <v>1.56</v>
      </c>
      <c r="AF355" s="55">
        <v>1.4</v>
      </c>
      <c r="AG355" s="55">
        <v>1.6</v>
      </c>
      <c r="AH355" s="55">
        <v>1.32</v>
      </c>
      <c r="AI355" s="55">
        <v>0</v>
      </c>
      <c r="AJ355" s="55">
        <v>1.58</v>
      </c>
      <c r="AK355" s="55">
        <v>1.45</v>
      </c>
      <c r="AL355" s="55">
        <v>1.37</v>
      </c>
      <c r="AM355" s="55">
        <v>1.81</v>
      </c>
      <c r="AN355" s="55">
        <v>1.25</v>
      </c>
      <c r="AO355" s="55">
        <v>1.26</v>
      </c>
      <c r="AP355" s="55">
        <v>1.36</v>
      </c>
      <c r="AQ355" s="55">
        <v>1.1100000000000001</v>
      </c>
      <c r="AR355" s="8">
        <v>0</v>
      </c>
      <c r="AS355" s="8">
        <v>1.32</v>
      </c>
      <c r="AT355" s="8">
        <v>1.04</v>
      </c>
      <c r="AU355" s="50">
        <v>1.55</v>
      </c>
      <c r="AV355" s="50">
        <v>0.92</v>
      </c>
      <c r="AW355" s="50">
        <v>0.9</v>
      </c>
      <c r="AX355" s="50">
        <v>1.54</v>
      </c>
      <c r="AY355" s="50">
        <v>1.26</v>
      </c>
      <c r="AZ355" s="50">
        <v>1.55</v>
      </c>
      <c r="BA355" s="50">
        <v>1.5</v>
      </c>
      <c r="BB355" s="50">
        <v>1.6</v>
      </c>
      <c r="BC355" s="55">
        <v>1.6</v>
      </c>
      <c r="BD355" s="55">
        <v>1.7</v>
      </c>
      <c r="BE355" s="11">
        <v>1.4970000000000001</v>
      </c>
      <c r="BF355" s="4">
        <v>0</v>
      </c>
      <c r="BG355" s="4">
        <v>0.96799999999999997</v>
      </c>
      <c r="BH355" s="4">
        <v>1.4450000000000001</v>
      </c>
      <c r="BI355" s="4">
        <v>1.036</v>
      </c>
      <c r="BJ355" s="13">
        <v>1.294</v>
      </c>
      <c r="BK355" s="13">
        <v>1.879</v>
      </c>
      <c r="BL355" s="4">
        <v>1.609</v>
      </c>
      <c r="BM355" s="16">
        <v>1.54</v>
      </c>
      <c r="BN355" s="4">
        <v>1.6839999999999999</v>
      </c>
      <c r="BO355" s="4">
        <v>1.347</v>
      </c>
      <c r="BP355" s="4">
        <v>1.486</v>
      </c>
      <c r="BQ355" s="4">
        <v>1.5780000000000001</v>
      </c>
      <c r="BR355" s="4">
        <v>1.8069999999999999</v>
      </c>
      <c r="BS355" s="4">
        <v>1.0980000000000001</v>
      </c>
      <c r="BT355" s="4">
        <v>1.6850000000000001</v>
      </c>
      <c r="BU355" s="4">
        <v>1.8140000000000001</v>
      </c>
      <c r="BV355" s="4">
        <v>1.36</v>
      </c>
      <c r="BW355" s="4">
        <v>1.23</v>
      </c>
      <c r="BX355" s="4">
        <v>1.2569999999999999</v>
      </c>
      <c r="BY355" s="4">
        <v>1.2829999999999999</v>
      </c>
      <c r="BZ355" s="55">
        <v>1.29</v>
      </c>
      <c r="CA355" s="55">
        <v>0</v>
      </c>
      <c r="CB355" s="55">
        <v>0</v>
      </c>
      <c r="CC355" s="55">
        <v>0</v>
      </c>
      <c r="CD355" s="55">
        <v>1.61</v>
      </c>
      <c r="CE355" s="19">
        <v>0</v>
      </c>
      <c r="CF355" s="19">
        <v>1.2</v>
      </c>
      <c r="CG355" s="4">
        <v>0</v>
      </c>
      <c r="CH355" s="4">
        <v>0</v>
      </c>
      <c r="CI355" s="4">
        <v>1.93</v>
      </c>
      <c r="CJ355" s="34">
        <v>0</v>
      </c>
      <c r="CK355" s="34">
        <v>0</v>
      </c>
      <c r="CL355" s="34">
        <v>0</v>
      </c>
      <c r="CM355" s="4">
        <v>0</v>
      </c>
      <c r="CN355" s="53">
        <v>0</v>
      </c>
      <c r="CO355" s="54">
        <v>0</v>
      </c>
      <c r="CP355" s="54">
        <v>0</v>
      </c>
      <c r="CQ355" s="4">
        <v>0</v>
      </c>
    </row>
    <row r="356" spans="1:95" s="55" customFormat="1" x14ac:dyDescent="0.35">
      <c r="A356" s="55">
        <v>355</v>
      </c>
      <c r="B356" s="55" t="s">
        <v>112</v>
      </c>
      <c r="C356" s="27" t="s">
        <v>804</v>
      </c>
      <c r="D356" s="50" t="s">
        <v>88</v>
      </c>
      <c r="E356" s="33" t="s">
        <v>91</v>
      </c>
      <c r="F356" s="4">
        <f>IFERROR(AVERAGEIF(Table1[[#This Row],[2019-Apr]:[2025-July]],"&lt;&gt;0"),0)</f>
        <v>1.4600566037735851</v>
      </c>
      <c r="G356" s="4">
        <f ca="1">IFERROR(AVERAGEIF(OFFSET(Table1[[#This Row],[Status]],0,COUNT(Table1[[#This Row],[2019-May]:[2025-July]]),1,-12),"&lt;&gt;0"),0)</f>
        <v>1.17</v>
      </c>
      <c r="H356" s="55">
        <f>IFERROR(SMALL(Table1[[#This Row],[2019-Apr]:[2025-July]],COUNTIF(Table1[[#This Row],[2019-Apr]:[2025-July]],0)+1),0)</f>
        <v>0.76100000000000001</v>
      </c>
      <c r="I356" s="55">
        <f>IFERROR(MAX(Table1[[#This Row],[2019-Apr]:[2025-July]]),0)</f>
        <v>2.82</v>
      </c>
      <c r="J356" s="4" cm="1">
        <f t="array" ref="J35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0.89733333333333321</v>
      </c>
      <c r="K356" s="4">
        <v>4.5</v>
      </c>
      <c r="L356" s="4">
        <f>IF(Table1[[#This Row],[Standard as per ISO]]&gt;=Table1[[#This Row],[Avg of best 6]],Table1[[#This Row],[Standard as per ISO]],Table1[[#This Row],[Avg of best 6]])</f>
        <v>4.5</v>
      </c>
      <c r="M356" s="4" cm="1">
        <f t="array" ref="M356">IFERROR(LOOKUP(2,1/(Table1[[#This Row],[2019-May]:[2025-July]]&lt;&gt;0),Table1[[#This Row],[2019-May]:[2025-July]]),0)</f>
        <v>1.34</v>
      </c>
      <c r="N356" s="4">
        <f>COUNTIF(Table1[[#This Row],[2019-Apr]:[2025-July]],"&gt;="&amp;Table1[[#This Row],[Target]])</f>
        <v>0</v>
      </c>
      <c r="O356" s="4">
        <f>IF(Table1[[#This Row],[Outliers 2Y]]=0,1,0)</f>
        <v>1</v>
      </c>
      <c r="P356" s="4">
        <f>IF(Table1[[#This Row],[Last value]]&gt;1.5*Table1[[#This Row],[Target]],1,0)</f>
        <v>0</v>
      </c>
      <c r="Q356" s="4">
        <f>IF(AND(1.5*Table1[[#This Row],[Target]]&gt;=Table1[[#This Row],[Last value]],Table1[[#This Row],[Last value]]&gt;Table1[[#This Row],[Target]]),1,0)</f>
        <v>0</v>
      </c>
      <c r="R356" s="4">
        <f>IF(Table1[[#This Row],[Target]]&gt;=Table1[[#This Row],[Last value]],1,0)</f>
        <v>1</v>
      </c>
      <c r="S356" s="4" t="str">
        <f t="shared" si="7"/>
        <v>Green</v>
      </c>
      <c r="T356" s="55">
        <v>0</v>
      </c>
      <c r="U356" s="55">
        <v>1.27</v>
      </c>
      <c r="V356" s="55">
        <v>1.54</v>
      </c>
      <c r="W356" s="55">
        <v>1.1399999999999999</v>
      </c>
      <c r="X356" s="55">
        <v>2.1</v>
      </c>
      <c r="Y356" s="55">
        <v>2.0099999999999998</v>
      </c>
      <c r="Z356" s="55">
        <v>1.18</v>
      </c>
      <c r="AA356" s="55">
        <v>1.23</v>
      </c>
      <c r="AB356" s="55">
        <v>0</v>
      </c>
      <c r="AC356" s="55">
        <v>0.94</v>
      </c>
      <c r="AD356" s="55">
        <v>1.1000000000000001</v>
      </c>
      <c r="AE356" s="55">
        <v>2.15</v>
      </c>
      <c r="AF356" s="55">
        <v>1.43</v>
      </c>
      <c r="AG356" s="55">
        <v>1.9</v>
      </c>
      <c r="AH356" s="55">
        <v>1.44</v>
      </c>
      <c r="AI356" s="55">
        <v>0</v>
      </c>
      <c r="AJ356" s="55">
        <v>1.31</v>
      </c>
      <c r="AK356" s="55">
        <v>0</v>
      </c>
      <c r="AL356" s="55">
        <v>1.52</v>
      </c>
      <c r="AM356" s="55">
        <v>1.75</v>
      </c>
      <c r="AN356" s="55">
        <v>1.27</v>
      </c>
      <c r="AO356" s="55">
        <v>1.57</v>
      </c>
      <c r="AP356" s="55">
        <v>0</v>
      </c>
      <c r="AQ356" s="55">
        <v>1.3</v>
      </c>
      <c r="AR356" s="8">
        <v>1.63</v>
      </c>
      <c r="AS356" s="8">
        <v>1.19</v>
      </c>
      <c r="AT356" s="8">
        <v>2.1800000000000002</v>
      </c>
      <c r="AU356" s="50">
        <v>1.5</v>
      </c>
      <c r="AV356" s="50">
        <v>2.82</v>
      </c>
      <c r="AW356" s="50">
        <v>2.0499999999999998</v>
      </c>
      <c r="AX356" s="50">
        <v>2.29</v>
      </c>
      <c r="AY356" s="50">
        <v>1.1599999999999999</v>
      </c>
      <c r="AZ356" s="50">
        <v>1.82</v>
      </c>
      <c r="BA356" s="50">
        <v>0.8</v>
      </c>
      <c r="BB356" s="50">
        <v>1.2</v>
      </c>
      <c r="BC356" s="55">
        <v>1.3</v>
      </c>
      <c r="BD356" s="55">
        <v>0</v>
      </c>
      <c r="BE356" s="11">
        <v>1.5509999999999999</v>
      </c>
      <c r="BF356" s="4">
        <v>0</v>
      </c>
      <c r="BG356" s="4">
        <v>1.3640000000000001</v>
      </c>
      <c r="BH356" s="4">
        <v>1.4279999999999999</v>
      </c>
      <c r="BI356" s="4">
        <v>0.92400000000000004</v>
      </c>
      <c r="BJ356" s="14">
        <v>1.7569999999999999</v>
      </c>
      <c r="BK356" s="14">
        <v>1.784</v>
      </c>
      <c r="BL356" s="4">
        <v>1.43</v>
      </c>
      <c r="BM356" s="17">
        <v>1.462</v>
      </c>
      <c r="BN356" s="4">
        <v>0</v>
      </c>
      <c r="BO356" s="4">
        <v>1.383</v>
      </c>
      <c r="BP356" s="4">
        <v>0.95899999999999996</v>
      </c>
      <c r="BQ356" s="4">
        <v>0.76100000000000001</v>
      </c>
      <c r="BR356" s="4">
        <v>1.3220000000000001</v>
      </c>
      <c r="BS356" s="4">
        <v>1.131</v>
      </c>
      <c r="BT356" s="4">
        <v>1.839</v>
      </c>
      <c r="BU356" s="4">
        <v>1.446</v>
      </c>
      <c r="BV356" s="4">
        <v>1.4239999999999999</v>
      </c>
      <c r="BW356" s="4">
        <v>1.27</v>
      </c>
      <c r="BX356" s="4">
        <v>1.0249999999999999</v>
      </c>
      <c r="BY356" s="4">
        <v>1.1830000000000001</v>
      </c>
      <c r="BZ356" s="55">
        <v>0</v>
      </c>
      <c r="CA356" s="55">
        <v>0</v>
      </c>
      <c r="CB356" s="55">
        <v>0</v>
      </c>
      <c r="CC356" s="55">
        <v>0</v>
      </c>
      <c r="CD356" s="55">
        <v>1.51</v>
      </c>
      <c r="CE356" s="19">
        <v>0</v>
      </c>
      <c r="CF356" s="19">
        <v>1</v>
      </c>
      <c r="CG356" s="4">
        <v>0</v>
      </c>
      <c r="CH356" s="4">
        <v>0</v>
      </c>
      <c r="CI356" s="4">
        <v>1.34</v>
      </c>
      <c r="CJ356" s="34">
        <v>0</v>
      </c>
      <c r="CK356" s="34">
        <v>0</v>
      </c>
      <c r="CL356" s="34">
        <v>0</v>
      </c>
      <c r="CM356" s="4">
        <v>0</v>
      </c>
      <c r="CN356" s="53">
        <v>0</v>
      </c>
      <c r="CO356" s="54">
        <v>0</v>
      </c>
      <c r="CP356" s="54">
        <v>0</v>
      </c>
      <c r="CQ356" s="4">
        <v>0</v>
      </c>
    </row>
    <row r="357" spans="1:95" s="55" customFormat="1" x14ac:dyDescent="0.35">
      <c r="A357" s="55">
        <v>356</v>
      </c>
      <c r="B357" s="55" t="s">
        <v>112</v>
      </c>
      <c r="C357" s="27" t="s">
        <v>805</v>
      </c>
      <c r="D357" s="50" t="s">
        <v>88</v>
      </c>
      <c r="E357" s="33" t="s">
        <v>89</v>
      </c>
      <c r="F357" s="4">
        <f>IFERROR(AVERAGEIF(Table1[[#This Row],[2019-Apr]:[2025-July]],"&lt;&gt;0"),0)</f>
        <v>4.2073181818181817</v>
      </c>
      <c r="G357" s="4">
        <f ca="1">IFERROR(AVERAGEIF(OFFSET(Table1[[#This Row],[Status]],0,COUNT(Table1[[#This Row],[2019-May]:[2025-July]]),1,-12),"&lt;&gt;0"),0)</f>
        <v>2.5266666666666664</v>
      </c>
      <c r="H357" s="55">
        <f>IFERROR(SMALL(Table1[[#This Row],[2019-Apr]:[2025-July]],COUNTIF(Table1[[#This Row],[2019-Apr]:[2025-July]],0)+1),0)</f>
        <v>2.12</v>
      </c>
      <c r="I357" s="55">
        <f>IFERROR(MAX(Table1[[#This Row],[2019-Apr]:[2025-July]]),0)</f>
        <v>7.55</v>
      </c>
      <c r="J357" s="4" cm="1">
        <f t="array" ref="J35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2.2533333333333334</v>
      </c>
      <c r="K357" s="4">
        <v>4.5</v>
      </c>
      <c r="L357" s="4">
        <f>IF(Table1[[#This Row],[Standard as per ISO]]&gt;=Table1[[#This Row],[Avg of best 6]],Table1[[#This Row],[Standard as per ISO]],Table1[[#This Row],[Avg of best 6]])</f>
        <v>4.5</v>
      </c>
      <c r="M357" s="4" cm="1">
        <f t="array" ref="M357">IFERROR(LOOKUP(2,1/(Table1[[#This Row],[2019-May]:[2025-July]]&lt;&gt;0),Table1[[#This Row],[2019-May]:[2025-July]]),0)</f>
        <v>3</v>
      </c>
      <c r="N357" s="4">
        <f>COUNTIF(Table1[[#This Row],[2019-Apr]:[2025-July]],"&gt;="&amp;Table1[[#This Row],[Target]])</f>
        <v>26</v>
      </c>
      <c r="O357" s="4">
        <f>IF(Table1[[#This Row],[Outliers 2Y]]=0,1,0)</f>
        <v>0</v>
      </c>
      <c r="P357" s="4">
        <f>IF(Table1[[#This Row],[Last value]]&gt;1.5*Table1[[#This Row],[Target]],1,0)</f>
        <v>0</v>
      </c>
      <c r="Q357" s="4">
        <f>IF(AND(1.5*Table1[[#This Row],[Target]]&gt;=Table1[[#This Row],[Last value]],Table1[[#This Row],[Last value]]&gt;Table1[[#This Row],[Target]]),1,0)</f>
        <v>0</v>
      </c>
      <c r="R357" s="4">
        <f>IF(Table1[[#This Row],[Target]]&gt;=Table1[[#This Row],[Last value]],1,0)</f>
        <v>1</v>
      </c>
      <c r="S357" s="4" t="str">
        <f t="shared" si="7"/>
        <v>Green</v>
      </c>
      <c r="T357" s="55">
        <v>0</v>
      </c>
      <c r="U357" s="55">
        <v>5.25</v>
      </c>
      <c r="V357" s="55">
        <v>6.4</v>
      </c>
      <c r="W357" s="55">
        <v>5.53</v>
      </c>
      <c r="X357" s="55">
        <v>5.07</v>
      </c>
      <c r="Y357" s="55">
        <v>3.9</v>
      </c>
      <c r="Z357" s="55">
        <v>4.3</v>
      </c>
      <c r="AA357" s="55">
        <v>4.46</v>
      </c>
      <c r="AB357" s="55">
        <v>4.8</v>
      </c>
      <c r="AC357" s="55">
        <v>4.17</v>
      </c>
      <c r="AD357" s="55">
        <v>2.9990000000000001</v>
      </c>
      <c r="AE357" s="55">
        <v>5.1100000000000003</v>
      </c>
      <c r="AF357" s="55">
        <v>4.7</v>
      </c>
      <c r="AG357" s="55">
        <v>3.9</v>
      </c>
      <c r="AH357" s="55">
        <v>2.13</v>
      </c>
      <c r="AI357" s="55">
        <v>0</v>
      </c>
      <c r="AJ357" s="55">
        <v>3.49</v>
      </c>
      <c r="AK357" s="55">
        <v>3.02</v>
      </c>
      <c r="AL357" s="55">
        <v>2.85</v>
      </c>
      <c r="AM357" s="55">
        <v>2.82</v>
      </c>
      <c r="AN357" s="55">
        <v>2.83</v>
      </c>
      <c r="AO357" s="55">
        <v>2.84</v>
      </c>
      <c r="AP357" s="55">
        <v>2.75</v>
      </c>
      <c r="AQ357" s="55">
        <v>2.12</v>
      </c>
      <c r="AR357" s="8">
        <v>6.18</v>
      </c>
      <c r="AS357" s="8">
        <v>5.75</v>
      </c>
      <c r="AT357" s="8">
        <v>4.46</v>
      </c>
      <c r="AU357" s="50">
        <v>5.34</v>
      </c>
      <c r="AV357" s="50">
        <v>5.3</v>
      </c>
      <c r="AW357" s="50">
        <v>4.46</v>
      </c>
      <c r="AX357" s="50">
        <v>5.07</v>
      </c>
      <c r="AY357" s="50">
        <v>5.14</v>
      </c>
      <c r="AZ357" s="50">
        <v>5.45</v>
      </c>
      <c r="BA357" s="50">
        <v>6</v>
      </c>
      <c r="BB357" s="50">
        <v>5.4</v>
      </c>
      <c r="BC357" s="55">
        <v>2.7</v>
      </c>
      <c r="BD357" s="55">
        <v>0</v>
      </c>
      <c r="BE357" s="11">
        <v>5.0839999999999996</v>
      </c>
      <c r="BF357" s="4">
        <v>0</v>
      </c>
      <c r="BG357" s="4">
        <v>6.6820000000000004</v>
      </c>
      <c r="BH357" s="4">
        <v>6.6820000000000004</v>
      </c>
      <c r="BI357" s="4">
        <v>5.9379999999999997</v>
      </c>
      <c r="BJ357" s="13">
        <v>4.4320000000000004</v>
      </c>
      <c r="BK357" s="13">
        <v>4.4960000000000004</v>
      </c>
      <c r="BL357" s="4">
        <v>3.8180000000000001</v>
      </c>
      <c r="BM357" s="16">
        <v>4.1070000000000002</v>
      </c>
      <c r="BN357" s="4">
        <v>5.1459999999999999</v>
      </c>
      <c r="BO357" s="4">
        <v>5.3780000000000001</v>
      </c>
      <c r="BP357" s="4">
        <v>5.1959999999999997</v>
      </c>
      <c r="BQ357" s="4">
        <v>7.55</v>
      </c>
      <c r="BR357" s="4">
        <v>4.6360000000000001</v>
      </c>
      <c r="BS357" s="4">
        <v>3.9969999999999999</v>
      </c>
      <c r="BT357" s="4">
        <v>4.3899999999999997</v>
      </c>
      <c r="BU357" s="4">
        <v>3.589</v>
      </c>
      <c r="BV357" s="4">
        <v>4.4000000000000004</v>
      </c>
      <c r="BW357" s="4">
        <v>4.7919999999999998</v>
      </c>
      <c r="BX357" s="4">
        <v>4.1050000000000004</v>
      </c>
      <c r="BY357" s="4">
        <v>4.1059999999999999</v>
      </c>
      <c r="BZ357" s="55">
        <v>4.16</v>
      </c>
      <c r="CA357" s="55">
        <v>0</v>
      </c>
      <c r="CB357" s="55">
        <v>0</v>
      </c>
      <c r="CC357" s="55">
        <v>0</v>
      </c>
      <c r="CD357" s="55">
        <v>2.57</v>
      </c>
      <c r="CE357" s="19">
        <v>0</v>
      </c>
      <c r="CF357" s="19">
        <v>2.2999999999999998</v>
      </c>
      <c r="CG357" s="4">
        <v>0</v>
      </c>
      <c r="CH357" s="4">
        <v>0</v>
      </c>
      <c r="CI357" s="4">
        <v>2.94</v>
      </c>
      <c r="CJ357" s="34">
        <v>2.6</v>
      </c>
      <c r="CK357" s="34">
        <v>2.2000000000000002</v>
      </c>
      <c r="CL357" s="43">
        <v>2.6</v>
      </c>
      <c r="CM357" s="4">
        <v>2.6</v>
      </c>
      <c r="CN357" s="53">
        <v>2.7</v>
      </c>
      <c r="CO357" s="54">
        <v>2.6</v>
      </c>
      <c r="CP357" s="54">
        <v>2.2000000000000002</v>
      </c>
      <c r="CQ357" s="4">
        <v>3</v>
      </c>
    </row>
    <row r="358" spans="1:95" s="55" customFormat="1" x14ac:dyDescent="0.35">
      <c r="A358" s="55">
        <v>357</v>
      </c>
      <c r="B358" s="55" t="s">
        <v>112</v>
      </c>
      <c r="C358" s="27" t="s">
        <v>806</v>
      </c>
      <c r="D358" s="50" t="s">
        <v>88</v>
      </c>
      <c r="E358" s="33" t="s">
        <v>89</v>
      </c>
      <c r="F358" s="4">
        <f>IFERROR(AVERAGEIF(Table1[[#This Row],[2019-Apr]:[2025-July]],"&lt;&gt;0"),0)</f>
        <v>1.810222222222222</v>
      </c>
      <c r="G358" s="4">
        <f ca="1">IFERROR(AVERAGEIF(OFFSET(Table1[[#This Row],[Status]],0,COUNT(Table1[[#This Row],[2019-May]:[2025-July]]),1,-12),"&lt;&gt;0"),0)</f>
        <v>1.9511111111111115</v>
      </c>
      <c r="H358" s="55">
        <f>IFERROR(SMALL(Table1[[#This Row],[2019-Apr]:[2025-July]],COUNTIF(Table1[[#This Row],[2019-Apr]:[2025-July]],0)+1),0)</f>
        <v>0.96</v>
      </c>
      <c r="I358" s="55">
        <f>IFERROR(MAX(Table1[[#This Row],[2019-Apr]:[2025-July]]),0)</f>
        <v>3.177</v>
      </c>
      <c r="J358" s="4" cm="1">
        <f t="array" ref="J35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1.1133333333333333</v>
      </c>
      <c r="K358" s="4">
        <v>4.5</v>
      </c>
      <c r="L358" s="4">
        <f>IF(Table1[[#This Row],[Standard as per ISO]]&gt;=Table1[[#This Row],[Avg of best 6]],Table1[[#This Row],[Standard as per ISO]],Table1[[#This Row],[Avg of best 6]])</f>
        <v>4.5</v>
      </c>
      <c r="M358" s="4" cm="1">
        <f t="array" ref="M358">IFERROR(LOOKUP(2,1/(Table1[[#This Row],[2019-May]:[2025-July]]&lt;&gt;0),Table1[[#This Row],[2019-May]:[2025-July]]),0)</f>
        <v>2.2000000000000002</v>
      </c>
      <c r="N358" s="4">
        <f>COUNTIF(Table1[[#This Row],[2019-Apr]:[2025-July]],"&gt;="&amp;Table1[[#This Row],[Target]])</f>
        <v>0</v>
      </c>
      <c r="O358" s="4">
        <f>IF(Table1[[#This Row],[Outliers 2Y]]=0,1,0)</f>
        <v>1</v>
      </c>
      <c r="P358" s="4">
        <f>IF(Table1[[#This Row],[Last value]]&gt;1.5*Table1[[#This Row],[Target]],1,0)</f>
        <v>0</v>
      </c>
      <c r="Q358" s="4">
        <f>IF(AND(1.5*Table1[[#This Row],[Target]]&gt;=Table1[[#This Row],[Last value]],Table1[[#This Row],[Last value]]&gt;Table1[[#This Row],[Target]]),1,0)</f>
        <v>0</v>
      </c>
      <c r="R358" s="4">
        <f>IF(Table1[[#This Row],[Target]]&gt;=Table1[[#This Row],[Last value]],1,0)</f>
        <v>1</v>
      </c>
      <c r="S358" s="4" t="str">
        <f t="shared" si="7"/>
        <v>Green</v>
      </c>
      <c r="T358" s="55">
        <v>0</v>
      </c>
      <c r="U358" s="55">
        <v>1.41</v>
      </c>
      <c r="V358" s="55">
        <v>0</v>
      </c>
      <c r="W358" s="55">
        <v>1.18</v>
      </c>
      <c r="X358" s="55">
        <v>2.67</v>
      </c>
      <c r="Y358" s="55">
        <v>0</v>
      </c>
      <c r="Z358" s="55">
        <v>1.81</v>
      </c>
      <c r="AA358" s="55">
        <v>1.17</v>
      </c>
      <c r="AB358" s="55">
        <v>1.2</v>
      </c>
      <c r="AC358" s="55">
        <v>1.35</v>
      </c>
      <c r="AD358" s="55">
        <v>0.96</v>
      </c>
      <c r="AE358" s="55">
        <v>1.1100000000000001</v>
      </c>
      <c r="AF358" s="55">
        <v>1.4</v>
      </c>
      <c r="AG358" s="55">
        <v>1.2</v>
      </c>
      <c r="AH358" s="55">
        <v>2.39</v>
      </c>
      <c r="AI358" s="55">
        <v>0</v>
      </c>
      <c r="AJ358" s="55">
        <v>1.53</v>
      </c>
      <c r="AK358" s="55">
        <v>2.69</v>
      </c>
      <c r="AL358" s="55">
        <v>2.72</v>
      </c>
      <c r="AM358" s="55">
        <v>1.28</v>
      </c>
      <c r="AN358" s="55">
        <v>2.25</v>
      </c>
      <c r="AO358" s="55">
        <v>1.47</v>
      </c>
      <c r="AP358" s="55">
        <v>1.35</v>
      </c>
      <c r="AQ358" s="55">
        <v>1.1599999999999999</v>
      </c>
      <c r="AR358" s="8">
        <v>0</v>
      </c>
      <c r="AS358" s="8">
        <v>1.81</v>
      </c>
      <c r="AT358" s="8">
        <v>1.44</v>
      </c>
      <c r="AU358" s="50">
        <v>2.06</v>
      </c>
      <c r="AV358" s="50">
        <v>1.6</v>
      </c>
      <c r="AW358" s="50">
        <v>1.74</v>
      </c>
      <c r="AX358" s="50">
        <v>1.76</v>
      </c>
      <c r="AY358" s="50">
        <v>1.29</v>
      </c>
      <c r="AZ358" s="50">
        <v>1.65</v>
      </c>
      <c r="BA358" s="50">
        <v>1.4</v>
      </c>
      <c r="BB358" s="50">
        <v>1.2</v>
      </c>
      <c r="BC358" s="55">
        <v>2.2000000000000002</v>
      </c>
      <c r="BD358" s="55">
        <v>0</v>
      </c>
      <c r="BE358" s="11">
        <v>1.536</v>
      </c>
      <c r="BF358" s="4">
        <v>0</v>
      </c>
      <c r="BG358" s="4">
        <v>2.85</v>
      </c>
      <c r="BH358" s="4">
        <v>1.573</v>
      </c>
      <c r="BI358" s="4">
        <v>1.897</v>
      </c>
      <c r="BJ358" s="14">
        <v>2.359</v>
      </c>
      <c r="BK358" s="14">
        <v>1.665</v>
      </c>
      <c r="BL358" s="4">
        <v>1.2829999999999999</v>
      </c>
      <c r="BM358" s="17">
        <v>1.621</v>
      </c>
      <c r="BN358" s="4">
        <v>1.5760000000000001</v>
      </c>
      <c r="BO358" s="4">
        <v>1.6180000000000001</v>
      </c>
      <c r="BP358" s="4">
        <v>1.9750000000000001</v>
      </c>
      <c r="BQ358" s="4">
        <v>1.903</v>
      </c>
      <c r="BR358" s="4">
        <v>2.2330000000000001</v>
      </c>
      <c r="BS358" s="4">
        <v>2.7210000000000001</v>
      </c>
      <c r="BT358" s="4">
        <v>1.901</v>
      </c>
      <c r="BU358" s="4">
        <v>1.9850000000000001</v>
      </c>
      <c r="BV358" s="4">
        <v>1.8620000000000001</v>
      </c>
      <c r="BW358" s="4">
        <v>1.7669999999999999</v>
      </c>
      <c r="BX358" s="4">
        <v>2.1219999999999999</v>
      </c>
      <c r="BY358" s="4">
        <v>3.177</v>
      </c>
      <c r="BZ358" s="55">
        <v>1.66</v>
      </c>
      <c r="CA358" s="55">
        <v>0</v>
      </c>
      <c r="CB358" s="55">
        <v>0</v>
      </c>
      <c r="CC358" s="55">
        <v>0</v>
      </c>
      <c r="CD358" s="55">
        <v>2.5499999999999998</v>
      </c>
      <c r="CE358" s="19">
        <v>0</v>
      </c>
      <c r="CF358" s="19">
        <v>2</v>
      </c>
      <c r="CG358" s="4">
        <v>0</v>
      </c>
      <c r="CH358" s="4">
        <v>0</v>
      </c>
      <c r="CI358" s="4">
        <v>1.56</v>
      </c>
      <c r="CJ358" s="34">
        <v>2.8</v>
      </c>
      <c r="CK358" s="34">
        <v>1.5</v>
      </c>
      <c r="CL358" s="43">
        <v>1.8</v>
      </c>
      <c r="CM358" s="4">
        <v>3</v>
      </c>
      <c r="CN358" s="53">
        <v>1.8</v>
      </c>
      <c r="CO358" s="54">
        <v>2</v>
      </c>
      <c r="CP358" s="54">
        <v>1.1000000000000001</v>
      </c>
      <c r="CQ358" s="4">
        <v>2.2000000000000002</v>
      </c>
    </row>
    <row r="359" spans="1:95" s="55" customFormat="1" x14ac:dyDescent="0.35">
      <c r="A359" s="55">
        <v>358</v>
      </c>
      <c r="B359" s="55" t="s">
        <v>112</v>
      </c>
      <c r="C359" s="27" t="s">
        <v>807</v>
      </c>
      <c r="D359" s="50" t="s">
        <v>88</v>
      </c>
      <c r="E359" s="33" t="s">
        <v>91</v>
      </c>
      <c r="F359" s="4">
        <f>IFERROR(AVERAGEIF(Table1[[#This Row],[2019-Apr]:[2025-July]],"&lt;&gt;0"),0)</f>
        <v>2.3030408163265306</v>
      </c>
      <c r="G359" s="4">
        <f ca="1">IFERROR(AVERAGEIF(OFFSET(Table1[[#This Row],[Status]],0,COUNT(Table1[[#This Row],[2019-May]:[2025-July]]),1,-12),"&lt;&gt;0"),0)</f>
        <v>1.55</v>
      </c>
      <c r="H359" s="55">
        <f>IFERROR(SMALL(Table1[[#This Row],[2019-Apr]:[2025-July]],COUNTIF(Table1[[#This Row],[2019-Apr]:[2025-July]],0)+1),0)</f>
        <v>0.98799999999999999</v>
      </c>
      <c r="I359" s="55">
        <f>IFERROR(MAX(Table1[[#This Row],[2019-Apr]:[2025-July]]),0)</f>
        <v>4.68</v>
      </c>
      <c r="J359" s="4" cm="1">
        <f t="array" ref="J35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1.1399999999999999</v>
      </c>
      <c r="K359" s="4">
        <v>4.5</v>
      </c>
      <c r="L359" s="4">
        <f>IF(Table1[[#This Row],[Standard as per ISO]]&gt;=Table1[[#This Row],[Avg of best 6]],Table1[[#This Row],[Standard as per ISO]],Table1[[#This Row],[Avg of best 6]])</f>
        <v>4.5</v>
      </c>
      <c r="M359" s="4" cm="1">
        <f t="array" ref="M359">IFERROR(LOOKUP(2,1/(Table1[[#This Row],[2019-May]:[2025-July]]&lt;&gt;0),Table1[[#This Row],[2019-May]:[2025-July]]),0)</f>
        <v>1.55</v>
      </c>
      <c r="N359" s="4">
        <f>COUNTIF(Table1[[#This Row],[2019-Apr]:[2025-July]],"&gt;="&amp;Table1[[#This Row],[Target]])</f>
        <v>1</v>
      </c>
      <c r="O359" s="4">
        <f>IF(Table1[[#This Row],[Outliers 2Y]]=0,1,0)</f>
        <v>0</v>
      </c>
      <c r="P359" s="4">
        <f>IF(Table1[[#This Row],[Last value]]&gt;1.5*Table1[[#This Row],[Target]],1,0)</f>
        <v>0</v>
      </c>
      <c r="Q359" s="4">
        <f>IF(AND(1.5*Table1[[#This Row],[Target]]&gt;=Table1[[#This Row],[Last value]],Table1[[#This Row],[Last value]]&gt;Table1[[#This Row],[Target]]),1,0)</f>
        <v>0</v>
      </c>
      <c r="R359" s="4">
        <f>IF(Table1[[#This Row],[Target]]&gt;=Table1[[#This Row],[Last value]],1,0)</f>
        <v>1</v>
      </c>
      <c r="S359" s="4" t="str">
        <f t="shared" si="7"/>
        <v>Green</v>
      </c>
      <c r="T359" s="55">
        <v>0</v>
      </c>
      <c r="U359" s="55">
        <v>2.39</v>
      </c>
      <c r="V359" s="55">
        <v>2.8</v>
      </c>
      <c r="W359" s="55">
        <v>2.4300000000000002</v>
      </c>
      <c r="X359" s="55">
        <v>3</v>
      </c>
      <c r="Y359" s="55">
        <v>3.02</v>
      </c>
      <c r="Z359" s="55">
        <v>2.59</v>
      </c>
      <c r="AA359" s="55">
        <v>0</v>
      </c>
      <c r="AB359" s="55">
        <v>2.71</v>
      </c>
      <c r="AC359" s="55">
        <v>2.91</v>
      </c>
      <c r="AD359" s="55">
        <v>3.24</v>
      </c>
      <c r="AE359" s="55">
        <v>3</v>
      </c>
      <c r="AF359" s="55">
        <v>2.6</v>
      </c>
      <c r="AG359" s="55">
        <v>2.9</v>
      </c>
      <c r="AH359" s="55">
        <v>3.51</v>
      </c>
      <c r="AI359" s="55">
        <v>0</v>
      </c>
      <c r="AJ359" s="55">
        <v>2.56</v>
      </c>
      <c r="AK359" s="55">
        <v>0</v>
      </c>
      <c r="AL359" s="55">
        <v>2.4</v>
      </c>
      <c r="AM359" s="55">
        <v>3.42</v>
      </c>
      <c r="AN359" s="55">
        <v>2.4</v>
      </c>
      <c r="AO359" s="55">
        <v>2.4500000000000002</v>
      </c>
      <c r="AP359" s="55">
        <v>0</v>
      </c>
      <c r="AQ359" s="55">
        <v>1.99</v>
      </c>
      <c r="AR359" s="8">
        <v>0</v>
      </c>
      <c r="AS359" s="8">
        <v>3.37</v>
      </c>
      <c r="AT359" s="8">
        <v>3.82</v>
      </c>
      <c r="AU359" s="50">
        <v>2.93</v>
      </c>
      <c r="AV359" s="50">
        <v>4.3099999999999996</v>
      </c>
      <c r="AW359" s="50">
        <v>3.46</v>
      </c>
      <c r="AX359" s="50">
        <v>4.68</v>
      </c>
      <c r="AY359" s="50">
        <v>3.87</v>
      </c>
      <c r="AZ359" s="50">
        <v>0</v>
      </c>
      <c r="BA359" s="50">
        <v>1.7</v>
      </c>
      <c r="BB359" s="50">
        <v>1.6</v>
      </c>
      <c r="BC359" s="55">
        <v>1.4</v>
      </c>
      <c r="BD359" s="55">
        <v>0</v>
      </c>
      <c r="BE359" s="11">
        <v>1.845</v>
      </c>
      <c r="BF359" s="4">
        <v>0</v>
      </c>
      <c r="BG359" s="4">
        <v>0</v>
      </c>
      <c r="BH359" s="4">
        <v>1.6870000000000001</v>
      </c>
      <c r="BI359" s="4">
        <v>1.526</v>
      </c>
      <c r="BJ359" s="13">
        <v>1.7829999999999999</v>
      </c>
      <c r="BK359" s="13">
        <v>1.319</v>
      </c>
      <c r="BL359" s="4">
        <v>1.4610000000000001</v>
      </c>
      <c r="BM359" s="16">
        <v>1.0740000000000001</v>
      </c>
      <c r="BN359" s="4">
        <v>0.98799999999999999</v>
      </c>
      <c r="BO359" s="4">
        <v>1.46</v>
      </c>
      <c r="BP359" s="4">
        <v>2.2029999999999998</v>
      </c>
      <c r="BQ359" s="4">
        <v>1.417</v>
      </c>
      <c r="BR359" s="4">
        <v>0</v>
      </c>
      <c r="BS359" s="4">
        <v>1.2889999999999999</v>
      </c>
      <c r="BT359" s="4">
        <v>1.5780000000000001</v>
      </c>
      <c r="BU359" s="4">
        <v>1.165</v>
      </c>
      <c r="BV359" s="4">
        <v>1.204</v>
      </c>
      <c r="BW359" s="4">
        <v>1.6679999999999999</v>
      </c>
      <c r="BX359" s="4">
        <v>1.474</v>
      </c>
      <c r="BY359" s="4">
        <v>1.5780000000000001</v>
      </c>
      <c r="BZ359" s="55">
        <v>0</v>
      </c>
      <c r="CA359" s="55">
        <v>0</v>
      </c>
      <c r="CB359" s="55">
        <v>0</v>
      </c>
      <c r="CC359" s="55">
        <v>0</v>
      </c>
      <c r="CD359" s="55">
        <v>1.1200000000000001</v>
      </c>
      <c r="CE359" s="19">
        <v>0</v>
      </c>
      <c r="CF359" s="19">
        <v>0</v>
      </c>
      <c r="CG359" s="4">
        <v>0</v>
      </c>
      <c r="CH359" s="4">
        <v>0</v>
      </c>
      <c r="CI359" s="4">
        <v>1.55</v>
      </c>
      <c r="CJ359" s="34">
        <v>0</v>
      </c>
      <c r="CK359" s="34">
        <v>0</v>
      </c>
      <c r="CL359" s="34">
        <v>0</v>
      </c>
      <c r="CM359" s="4">
        <v>0</v>
      </c>
      <c r="CN359" s="53">
        <v>0</v>
      </c>
      <c r="CO359" s="54">
        <v>0</v>
      </c>
      <c r="CP359" s="54">
        <v>0</v>
      </c>
      <c r="CQ359" s="4">
        <v>0</v>
      </c>
    </row>
    <row r="360" spans="1:95" s="55" customFormat="1" x14ac:dyDescent="0.35">
      <c r="A360" s="55">
        <v>359</v>
      </c>
      <c r="B360" s="55" t="s">
        <v>112</v>
      </c>
      <c r="C360" s="27" t="s">
        <v>808</v>
      </c>
      <c r="D360" s="50" t="s">
        <v>88</v>
      </c>
      <c r="E360" s="33" t="s">
        <v>91</v>
      </c>
      <c r="F360" s="4">
        <f>IFERROR(AVERAGEIF(Table1[[#This Row],[2019-Apr]:[2025-July]],"&lt;&gt;0"),0)</f>
        <v>1.8341851851851845</v>
      </c>
      <c r="G360" s="4">
        <f ca="1">IFERROR(AVERAGEIF(OFFSET(Table1[[#This Row],[Status]],0,COUNT(Table1[[#This Row],[2019-May]:[2025-July]]),1,-12),"&lt;&gt;0"),0)</f>
        <v>1.6</v>
      </c>
      <c r="H360" s="55">
        <f>IFERROR(SMALL(Table1[[#This Row],[2019-Apr]:[2025-July]],COUNTIF(Table1[[#This Row],[2019-Apr]:[2025-July]],0)+1),0)</f>
        <v>1.2849999999999999</v>
      </c>
      <c r="I360" s="55">
        <f>IFERROR(MAX(Table1[[#This Row],[2019-Apr]:[2025-July]]),0)</f>
        <v>2.99</v>
      </c>
      <c r="J360" s="4" cm="1">
        <f t="array" ref="J36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1.3423333333333334</v>
      </c>
      <c r="K360" s="4">
        <v>4.5</v>
      </c>
      <c r="L360" s="4">
        <f>IF(Table1[[#This Row],[Standard as per ISO]]&gt;=Table1[[#This Row],[Avg of best 6]],Table1[[#This Row],[Standard as per ISO]],Table1[[#This Row],[Avg of best 6]])</f>
        <v>4.5</v>
      </c>
      <c r="M360" s="4" cm="1">
        <f t="array" ref="M360">IFERROR(LOOKUP(2,1/(Table1[[#This Row],[2019-May]:[2025-July]]&lt;&gt;0),Table1[[#This Row],[2019-May]:[2025-July]]),0)</f>
        <v>1.6</v>
      </c>
      <c r="N360" s="4">
        <f>COUNTIF(Table1[[#This Row],[2019-Apr]:[2025-July]],"&gt;="&amp;Table1[[#This Row],[Target]])</f>
        <v>0</v>
      </c>
      <c r="O360" s="4">
        <f>IF(Table1[[#This Row],[Outliers 2Y]]=0,1,0)</f>
        <v>1</v>
      </c>
      <c r="P360" s="4">
        <f>IF(Table1[[#This Row],[Last value]]&gt;1.5*Table1[[#This Row],[Target]],1,0)</f>
        <v>0</v>
      </c>
      <c r="Q360" s="4">
        <f>IF(AND(1.5*Table1[[#This Row],[Target]]&gt;=Table1[[#This Row],[Last value]],Table1[[#This Row],[Last value]]&gt;Table1[[#This Row],[Target]]),1,0)</f>
        <v>0</v>
      </c>
      <c r="R360" s="4">
        <f>IF(Table1[[#This Row],[Target]]&gt;=Table1[[#This Row],[Last value]],1,0)</f>
        <v>1</v>
      </c>
      <c r="S360" s="4" t="str">
        <f t="shared" si="7"/>
        <v>Green</v>
      </c>
      <c r="T360" s="55">
        <v>0</v>
      </c>
      <c r="U360" s="55">
        <v>1.69</v>
      </c>
      <c r="V360" s="55">
        <v>1.41</v>
      </c>
      <c r="W360" s="55">
        <v>1.5</v>
      </c>
      <c r="X360" s="55">
        <v>2.99</v>
      </c>
      <c r="Y360" s="55">
        <v>2.99</v>
      </c>
      <c r="Z360" s="55">
        <v>1.3</v>
      </c>
      <c r="AA360" s="55">
        <v>2.13</v>
      </c>
      <c r="AB360" s="55">
        <v>1.55</v>
      </c>
      <c r="AC360" s="55">
        <v>1.52</v>
      </c>
      <c r="AD360" s="55">
        <v>2.04</v>
      </c>
      <c r="AE360" s="55">
        <v>1.9</v>
      </c>
      <c r="AF360" s="55">
        <v>1.6</v>
      </c>
      <c r="AG360" s="55">
        <v>1.8</v>
      </c>
      <c r="AH360" s="55">
        <v>2.1</v>
      </c>
      <c r="AI360" s="55">
        <v>0</v>
      </c>
      <c r="AJ360" s="55">
        <v>2.27</v>
      </c>
      <c r="AK360" s="55">
        <v>1.5</v>
      </c>
      <c r="AL360" s="55">
        <v>1.4</v>
      </c>
      <c r="AM360" s="55">
        <v>0</v>
      </c>
      <c r="AN360" s="55">
        <v>2.2000000000000002</v>
      </c>
      <c r="AO360" s="55">
        <v>1.5</v>
      </c>
      <c r="AP360" s="55">
        <v>1.59</v>
      </c>
      <c r="AQ360" s="55">
        <v>2.31</v>
      </c>
      <c r="AR360" s="8">
        <v>0</v>
      </c>
      <c r="AS360" s="8">
        <v>1.57</v>
      </c>
      <c r="AT360" s="8">
        <v>0</v>
      </c>
      <c r="AU360" s="50">
        <v>2.34</v>
      </c>
      <c r="AV360" s="50">
        <v>1.82</v>
      </c>
      <c r="AW360" s="50">
        <v>1.69</v>
      </c>
      <c r="AX360" s="50">
        <v>1.74</v>
      </c>
      <c r="AY360" s="50">
        <v>1.9</v>
      </c>
      <c r="AZ360" s="50">
        <v>1.94</v>
      </c>
      <c r="BA360" s="50">
        <v>1.6</v>
      </c>
      <c r="BB360" s="50">
        <v>1.4</v>
      </c>
      <c r="BC360" s="55">
        <v>1.3</v>
      </c>
      <c r="BD360" s="55">
        <v>0</v>
      </c>
      <c r="BE360" s="11">
        <v>1.7030000000000001</v>
      </c>
      <c r="BF360" s="4">
        <v>0</v>
      </c>
      <c r="BG360" s="4">
        <v>2.7130000000000001</v>
      </c>
      <c r="BH360" s="4">
        <v>1.897</v>
      </c>
      <c r="BI360" s="4">
        <v>1.417</v>
      </c>
      <c r="BJ360" s="14">
        <v>1.663</v>
      </c>
      <c r="BK360" s="14">
        <v>2.0289999999999999</v>
      </c>
      <c r="BL360" s="4">
        <v>1.5649999999999999</v>
      </c>
      <c r="BM360" s="17">
        <v>1.845</v>
      </c>
      <c r="BN360" s="4">
        <v>2.573</v>
      </c>
      <c r="BO360" s="4">
        <v>1.369</v>
      </c>
      <c r="BP360" s="4">
        <v>1.948</v>
      </c>
      <c r="BQ360" s="4">
        <v>1.86</v>
      </c>
      <c r="BR360" s="4">
        <v>2.3330000000000002</v>
      </c>
      <c r="BS360" s="4">
        <v>1.819</v>
      </c>
      <c r="BT360" s="4">
        <v>1.919</v>
      </c>
      <c r="BU360" s="4">
        <v>1.7330000000000001</v>
      </c>
      <c r="BV360" s="4">
        <v>1.806</v>
      </c>
      <c r="BW360" s="4">
        <v>1.841</v>
      </c>
      <c r="BX360" s="4">
        <v>1.2849999999999999</v>
      </c>
      <c r="BY360" s="4">
        <v>1.8580000000000001</v>
      </c>
      <c r="BZ360" s="55">
        <v>1.73</v>
      </c>
      <c r="CA360" s="55">
        <v>0</v>
      </c>
      <c r="CB360" s="55">
        <v>0</v>
      </c>
      <c r="CC360" s="55">
        <v>0</v>
      </c>
      <c r="CD360" s="55">
        <v>1.95</v>
      </c>
      <c r="CE360" s="19">
        <v>0</v>
      </c>
      <c r="CF360" s="19">
        <v>0</v>
      </c>
      <c r="CG360" s="4">
        <v>0</v>
      </c>
      <c r="CH360" s="4">
        <v>0</v>
      </c>
      <c r="CI360" s="4">
        <v>1.6</v>
      </c>
      <c r="CJ360" s="34">
        <v>0</v>
      </c>
      <c r="CK360" s="34">
        <v>0</v>
      </c>
      <c r="CL360" s="34">
        <v>0</v>
      </c>
      <c r="CM360" s="4">
        <v>0</v>
      </c>
      <c r="CN360" s="53">
        <v>0</v>
      </c>
      <c r="CO360" s="54">
        <v>0</v>
      </c>
      <c r="CP360" s="54">
        <v>0</v>
      </c>
      <c r="CQ360" s="4">
        <v>0</v>
      </c>
    </row>
    <row r="361" spans="1:95" s="55" customFormat="1" x14ac:dyDescent="0.35">
      <c r="A361" s="55">
        <v>360</v>
      </c>
      <c r="B361" s="55" t="s">
        <v>112</v>
      </c>
      <c r="C361" s="27" t="s">
        <v>809</v>
      </c>
      <c r="D361" s="50" t="s">
        <v>88</v>
      </c>
      <c r="E361" s="33" t="s">
        <v>89</v>
      </c>
      <c r="F361" s="4">
        <f>IFERROR(AVERAGEIF(Table1[[#This Row],[2019-Apr]:[2025-July]],"&lt;&gt;0"),0)</f>
        <v>5.4560985915492974</v>
      </c>
      <c r="G361" s="4">
        <f ca="1">IFERROR(AVERAGEIF(OFFSET(Table1[[#This Row],[Status]],0,COUNT(Table1[[#This Row],[2019-May]:[2025-July]]),1,-12),"&lt;&gt;0"),0)</f>
        <v>4.6116666666666672</v>
      </c>
      <c r="H361" s="55">
        <f>IFERROR(SMALL(Table1[[#This Row],[2019-Apr]:[2025-July]],COUNTIF(Table1[[#This Row],[2019-Apr]:[2025-July]],0)+1),0)</f>
        <v>2.1</v>
      </c>
      <c r="I361" s="55">
        <f>IFERROR(MAX(Table1[[#This Row],[2019-Apr]:[2025-July]]),0)</f>
        <v>9</v>
      </c>
      <c r="J361" s="4" cm="1">
        <f t="array" ref="J36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2.6776666666666666</v>
      </c>
      <c r="K361" s="4">
        <v>4.5</v>
      </c>
      <c r="L361" s="4">
        <f>IF(Table1[[#This Row],[Standard as per ISO]]&gt;=Table1[[#This Row],[Avg of best 6]],Table1[[#This Row],[Standard as per ISO]],Table1[[#This Row],[Avg of best 6]])</f>
        <v>4.5</v>
      </c>
      <c r="M361" s="4" cm="1">
        <f t="array" ref="M361">IFERROR(LOOKUP(2,1/(Table1[[#This Row],[2019-May]:[2025-July]]&lt;&gt;0),Table1[[#This Row],[2019-May]:[2025-July]]),0)</f>
        <v>3.1</v>
      </c>
      <c r="N361" s="4">
        <f>COUNTIF(Table1[[#This Row],[2019-Apr]:[2025-July]],"&gt;="&amp;Table1[[#This Row],[Target]])</f>
        <v>48</v>
      </c>
      <c r="O361" s="4">
        <f>IF(Table1[[#This Row],[Outliers 2Y]]=0,1,0)</f>
        <v>0</v>
      </c>
      <c r="P361" s="4">
        <f>IF(Table1[[#This Row],[Last value]]&gt;1.5*Table1[[#This Row],[Target]],1,0)</f>
        <v>0</v>
      </c>
      <c r="Q361" s="4">
        <f>IF(AND(1.5*Table1[[#This Row],[Target]]&gt;=Table1[[#This Row],[Last value]],Table1[[#This Row],[Last value]]&gt;Table1[[#This Row],[Target]]),1,0)</f>
        <v>0</v>
      </c>
      <c r="R361" s="4">
        <f>IF(Table1[[#This Row],[Target]]&gt;=Table1[[#This Row],[Last value]],1,0)</f>
        <v>1</v>
      </c>
      <c r="S361" s="4" t="str">
        <f t="shared" si="7"/>
        <v>Green</v>
      </c>
      <c r="T361" s="55">
        <v>0</v>
      </c>
      <c r="U361" s="55">
        <v>7.75</v>
      </c>
      <c r="V361" s="55">
        <v>8.27</v>
      </c>
      <c r="W361" s="55">
        <v>6.35</v>
      </c>
      <c r="X361" s="55">
        <v>8.2799999999999994</v>
      </c>
      <c r="Y361" s="55">
        <v>7.55</v>
      </c>
      <c r="Z361" s="55">
        <v>7.99</v>
      </c>
      <c r="AA361" s="55">
        <v>7.37</v>
      </c>
      <c r="AB361" s="55">
        <v>0</v>
      </c>
      <c r="AC361" s="55">
        <v>0</v>
      </c>
      <c r="AD361" s="55">
        <v>7.85</v>
      </c>
      <c r="AE361" s="55">
        <v>7.1</v>
      </c>
      <c r="AF361" s="55">
        <v>8.4</v>
      </c>
      <c r="AG361" s="55">
        <v>9</v>
      </c>
      <c r="AH361" s="55">
        <v>7.17</v>
      </c>
      <c r="AI361" s="55">
        <v>0</v>
      </c>
      <c r="AJ361" s="55">
        <v>6.59</v>
      </c>
      <c r="AK361" s="55">
        <v>7.86</v>
      </c>
      <c r="AL361" s="55">
        <v>8.32</v>
      </c>
      <c r="AM361" s="55">
        <v>7.5</v>
      </c>
      <c r="AN361" s="55">
        <v>7.75</v>
      </c>
      <c r="AO361" s="55">
        <v>7.43</v>
      </c>
      <c r="AP361" s="55">
        <v>5.5</v>
      </c>
      <c r="AQ361" s="55">
        <v>4.7699999999999996</v>
      </c>
      <c r="AR361" s="8">
        <v>4.1399999999999997</v>
      </c>
      <c r="AS361" s="8">
        <v>6.75</v>
      </c>
      <c r="AT361" s="8">
        <v>5.03</v>
      </c>
      <c r="AU361" s="50">
        <v>4.09</v>
      </c>
      <c r="AV361" s="50">
        <v>5.12</v>
      </c>
      <c r="AW361" s="50">
        <v>5.97</v>
      </c>
      <c r="AX361" s="50">
        <v>4.8600000000000003</v>
      </c>
      <c r="AY361" s="50">
        <v>6.87</v>
      </c>
      <c r="AZ361" s="50">
        <v>5.77</v>
      </c>
      <c r="BA361" s="50">
        <v>6.5</v>
      </c>
      <c r="BB361" s="50">
        <v>7</v>
      </c>
      <c r="BC361" s="55">
        <v>6.4</v>
      </c>
      <c r="BD361" s="55">
        <v>8.5</v>
      </c>
      <c r="BE361" s="11">
        <v>2.3119999999999998</v>
      </c>
      <c r="BF361" s="4">
        <v>0</v>
      </c>
      <c r="BG361" s="4">
        <v>2.8730000000000002</v>
      </c>
      <c r="BH361" s="4">
        <v>3.1240000000000001</v>
      </c>
      <c r="BI361" s="4">
        <v>3.427</v>
      </c>
      <c r="BJ361" s="13">
        <v>3.73</v>
      </c>
      <c r="BK361" s="13">
        <v>3.5030000000000001</v>
      </c>
      <c r="BL361" s="4">
        <v>5.7679999999999998</v>
      </c>
      <c r="BM361" s="16">
        <v>4.492</v>
      </c>
      <c r="BN361" s="4">
        <v>4.6500000000000004</v>
      </c>
      <c r="BO361" s="4">
        <v>4.3899999999999997</v>
      </c>
      <c r="BP361" s="4">
        <v>3.95</v>
      </c>
      <c r="BQ361" s="4">
        <v>2.851</v>
      </c>
      <c r="BR361" s="4">
        <v>3.956</v>
      </c>
      <c r="BS361" s="4">
        <v>4.25</v>
      </c>
      <c r="BT361" s="4">
        <v>4.7009999999999996</v>
      </c>
      <c r="BU361" s="4">
        <v>4.8380000000000001</v>
      </c>
      <c r="BV361" s="4">
        <v>4.2009999999999996</v>
      </c>
      <c r="BW361" s="4">
        <v>4.3</v>
      </c>
      <c r="BX361" s="4">
        <v>4.7839999999999998</v>
      </c>
      <c r="BY361" s="4">
        <v>4.3630000000000004</v>
      </c>
      <c r="BZ361" s="55">
        <v>4.5599999999999996</v>
      </c>
      <c r="CA361" s="55">
        <v>5.55</v>
      </c>
      <c r="CB361" s="55">
        <v>3.55</v>
      </c>
      <c r="CC361" s="55">
        <v>4.33</v>
      </c>
      <c r="CD361" s="55">
        <v>4.6900000000000004</v>
      </c>
      <c r="CE361" s="19">
        <v>5.3</v>
      </c>
      <c r="CF361" s="19">
        <v>5.5</v>
      </c>
      <c r="CG361" s="4">
        <v>4.88</v>
      </c>
      <c r="CH361" s="4">
        <v>4.8499999999999996</v>
      </c>
      <c r="CI361" s="4">
        <v>4.78</v>
      </c>
      <c r="CJ361" s="34">
        <v>5.0999999999999996</v>
      </c>
      <c r="CK361" s="34">
        <v>5.2</v>
      </c>
      <c r="CL361" s="43">
        <v>5.8</v>
      </c>
      <c r="CM361" s="4">
        <v>5.9</v>
      </c>
      <c r="CN361" s="53">
        <v>3</v>
      </c>
      <c r="CO361" s="54">
        <v>2.1</v>
      </c>
      <c r="CP361" s="54">
        <v>2.93</v>
      </c>
      <c r="CQ361" s="4">
        <v>3.1</v>
      </c>
    </row>
    <row r="362" spans="1:95" s="55" customFormat="1" x14ac:dyDescent="0.35">
      <c r="A362" s="55">
        <v>361</v>
      </c>
      <c r="B362" s="55" t="s">
        <v>112</v>
      </c>
      <c r="C362" s="27" t="s">
        <v>810</v>
      </c>
      <c r="D362" s="50" t="s">
        <v>88</v>
      </c>
      <c r="E362" s="33" t="s">
        <v>89</v>
      </c>
      <c r="F362" s="4">
        <f>IFERROR(AVERAGEIF(Table1[[#This Row],[2019-Apr]:[2025-July]],"&lt;&gt;0"),0)</f>
        <v>1.3068472222222218</v>
      </c>
      <c r="G362" s="4">
        <f ca="1">IFERROR(AVERAGEIF(OFFSET(Table1[[#This Row],[Status]],0,COUNT(Table1[[#This Row],[2019-May]:[2025-July]]),1,-12),"&lt;&gt;0"),0)</f>
        <v>1.0725</v>
      </c>
      <c r="H362" s="55">
        <f>IFERROR(SMALL(Table1[[#This Row],[2019-Apr]:[2025-July]],COUNTIF(Table1[[#This Row],[2019-Apr]:[2025-July]],0)+1),0)</f>
        <v>0.6</v>
      </c>
      <c r="I362" s="55">
        <f>IFERROR(MAX(Table1[[#This Row],[2019-Apr]:[2025-July]]),0)</f>
        <v>3.14</v>
      </c>
      <c r="J362" s="4" cm="1">
        <f t="array" ref="J36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0.62933333333333341</v>
      </c>
      <c r="K362" s="4">
        <v>4.5</v>
      </c>
      <c r="L362" s="4">
        <f>IF(Table1[[#This Row],[Standard as per ISO]]&gt;=Table1[[#This Row],[Avg of best 6]],Table1[[#This Row],[Standard as per ISO]],Table1[[#This Row],[Avg of best 6]])</f>
        <v>4.5</v>
      </c>
      <c r="M362" s="4" cm="1">
        <f t="array" ref="M362">IFERROR(LOOKUP(2,1/(Table1[[#This Row],[2019-May]:[2025-July]]&lt;&gt;0),Table1[[#This Row],[2019-May]:[2025-July]]),0)</f>
        <v>1.6</v>
      </c>
      <c r="N362" s="4">
        <f>COUNTIF(Table1[[#This Row],[2019-Apr]:[2025-July]],"&gt;="&amp;Table1[[#This Row],[Target]])</f>
        <v>0</v>
      </c>
      <c r="O362" s="4">
        <f>IF(Table1[[#This Row],[Outliers 2Y]]=0,1,0)</f>
        <v>1</v>
      </c>
      <c r="P362" s="4">
        <f>IF(Table1[[#This Row],[Last value]]&gt;1.5*Table1[[#This Row],[Target]],1,0)</f>
        <v>0</v>
      </c>
      <c r="Q362" s="4">
        <f>IF(AND(1.5*Table1[[#This Row],[Target]]&gt;=Table1[[#This Row],[Last value]],Table1[[#This Row],[Last value]]&gt;Table1[[#This Row],[Target]]),1,0)</f>
        <v>0</v>
      </c>
      <c r="R362" s="4">
        <f>IF(Table1[[#This Row],[Target]]&gt;=Table1[[#This Row],[Last value]],1,0)</f>
        <v>1</v>
      </c>
      <c r="S362" s="4" t="str">
        <f t="shared" si="7"/>
        <v>Green</v>
      </c>
      <c r="T362" s="55">
        <v>0</v>
      </c>
      <c r="U362" s="55">
        <v>3.14</v>
      </c>
      <c r="V362" s="55">
        <v>3.1</v>
      </c>
      <c r="W362" s="55">
        <v>1.8</v>
      </c>
      <c r="X362" s="55">
        <v>1.01</v>
      </c>
      <c r="Y362" s="55">
        <v>1.02</v>
      </c>
      <c r="Z362" s="55">
        <v>1.74</v>
      </c>
      <c r="AA362" s="55">
        <v>1.7</v>
      </c>
      <c r="AB362" s="55">
        <v>1.93</v>
      </c>
      <c r="AC362" s="55">
        <v>0.68</v>
      </c>
      <c r="AD362" s="55">
        <v>2.74</v>
      </c>
      <c r="AE362" s="55">
        <v>1.1000000000000001</v>
      </c>
      <c r="AF362" s="55">
        <v>1.1000000000000001</v>
      </c>
      <c r="AG362" s="55">
        <v>1.8</v>
      </c>
      <c r="AH362" s="55">
        <v>1.5</v>
      </c>
      <c r="AI362" s="55">
        <v>0</v>
      </c>
      <c r="AJ362" s="55">
        <v>2.35</v>
      </c>
      <c r="AK362" s="55">
        <v>2.17</v>
      </c>
      <c r="AL362" s="55">
        <v>2.92</v>
      </c>
      <c r="AM362" s="55">
        <v>1.98</v>
      </c>
      <c r="AN362" s="55">
        <v>1.71</v>
      </c>
      <c r="AO362" s="55">
        <v>1.51</v>
      </c>
      <c r="AP362" s="55">
        <v>1.57</v>
      </c>
      <c r="AQ362" s="55">
        <v>0</v>
      </c>
      <c r="AR362" s="8">
        <v>1.63</v>
      </c>
      <c r="AS362" s="8">
        <v>0.87</v>
      </c>
      <c r="AT362" s="8">
        <v>1.41</v>
      </c>
      <c r="AU362" s="50">
        <v>0.93</v>
      </c>
      <c r="AV362" s="50">
        <v>1.49</v>
      </c>
      <c r="AW362" s="50">
        <v>0.87</v>
      </c>
      <c r="AX362" s="50">
        <v>1.1100000000000001</v>
      </c>
      <c r="AY362" s="50">
        <v>1.32</v>
      </c>
      <c r="AZ362" s="50">
        <v>0.71</v>
      </c>
      <c r="BA362" s="50">
        <v>0.6</v>
      </c>
      <c r="BB362" s="50">
        <v>0.8</v>
      </c>
      <c r="BC362" s="55">
        <v>0.6</v>
      </c>
      <c r="BD362" s="55">
        <v>0.6</v>
      </c>
      <c r="BE362" s="11">
        <v>0.85499999999999998</v>
      </c>
      <c r="BF362" s="4">
        <v>0</v>
      </c>
      <c r="BG362" s="4">
        <v>0.67600000000000005</v>
      </c>
      <c r="BH362" s="4">
        <v>0.62</v>
      </c>
      <c r="BI362" s="4">
        <v>0.84199999999999997</v>
      </c>
      <c r="BJ362" s="14">
        <v>0.82699999999999996</v>
      </c>
      <c r="BK362" s="14">
        <v>1.0409999999999999</v>
      </c>
      <c r="BL362" s="4">
        <v>1.1459999999999999</v>
      </c>
      <c r="BM362" s="17">
        <v>0.72799999999999998</v>
      </c>
      <c r="BN362" s="4">
        <v>0.92100000000000004</v>
      </c>
      <c r="BO362" s="4">
        <v>1.268</v>
      </c>
      <c r="BP362" s="4">
        <v>2.069</v>
      </c>
      <c r="BQ362" s="4">
        <v>0.996</v>
      </c>
      <c r="BR362" s="4">
        <v>1.607</v>
      </c>
      <c r="BS362" s="4">
        <v>1.3360000000000001</v>
      </c>
      <c r="BT362" s="4">
        <v>1.7509999999999999</v>
      </c>
      <c r="BU362" s="4">
        <v>1.76</v>
      </c>
      <c r="BV362" s="4">
        <v>0.93300000000000005</v>
      </c>
      <c r="BW362" s="4">
        <v>1</v>
      </c>
      <c r="BX362" s="4">
        <v>0.68799999999999994</v>
      </c>
      <c r="BY362" s="4">
        <v>0.84899999999999998</v>
      </c>
      <c r="BZ362" s="55">
        <v>1.05</v>
      </c>
      <c r="CA362" s="55">
        <v>1.52</v>
      </c>
      <c r="CB362" s="55">
        <v>1.67</v>
      </c>
      <c r="CC362" s="55">
        <v>1.22</v>
      </c>
      <c r="CD362" s="55">
        <v>0.74</v>
      </c>
      <c r="CE362" s="19">
        <v>1</v>
      </c>
      <c r="CF362" s="19">
        <v>1.3</v>
      </c>
      <c r="CG362" s="4">
        <v>0.99</v>
      </c>
      <c r="CH362" s="4">
        <v>0.74</v>
      </c>
      <c r="CI362" s="4">
        <v>1.24</v>
      </c>
      <c r="CJ362" s="34">
        <v>1.3</v>
      </c>
      <c r="CK362" s="34">
        <v>1.1000000000000001</v>
      </c>
      <c r="CL362" s="43">
        <v>0.9</v>
      </c>
      <c r="CM362" s="4">
        <v>0.8</v>
      </c>
      <c r="CN362" s="53">
        <v>1.2</v>
      </c>
      <c r="CO362" s="54">
        <v>1.1000000000000001</v>
      </c>
      <c r="CP362" s="54">
        <v>1.2</v>
      </c>
      <c r="CQ362" s="4">
        <v>1.6</v>
      </c>
    </row>
    <row r="363" spans="1:95" s="55" customFormat="1" x14ac:dyDescent="0.35">
      <c r="A363" s="55">
        <v>362</v>
      </c>
      <c r="B363" s="55" t="s">
        <v>112</v>
      </c>
      <c r="C363" s="27" t="s">
        <v>811</v>
      </c>
      <c r="D363" s="50" t="s">
        <v>88</v>
      </c>
      <c r="E363" s="33" t="s">
        <v>89</v>
      </c>
      <c r="F363" s="4">
        <f>IFERROR(AVERAGEIF(Table1[[#This Row],[2019-Apr]:[2025-July]],"&lt;&gt;0"),0)</f>
        <v>5.1380625000000002</v>
      </c>
      <c r="G363" s="4">
        <f ca="1">IFERROR(AVERAGEIF(OFFSET(Table1[[#This Row],[Status]],0,COUNT(Table1[[#This Row],[2019-May]:[2025-July]]),1,-12),"&lt;&gt;0"),0)</f>
        <v>5.1650000000000009</v>
      </c>
      <c r="H363" s="55">
        <f>IFERROR(SMALL(Table1[[#This Row],[2019-Apr]:[2025-July]],COUNTIF(Table1[[#This Row],[2019-Apr]:[2025-July]],0)+1),0)</f>
        <v>1.9990000000000001</v>
      </c>
      <c r="I363" s="55">
        <f>IFERROR(MAX(Table1[[#This Row],[2019-Apr]:[2025-July]]),0)</f>
        <v>10.7</v>
      </c>
      <c r="J363" s="4" cm="1">
        <f t="array" ref="J36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3.1131666666666664</v>
      </c>
      <c r="K363" s="4">
        <v>4.5</v>
      </c>
      <c r="L363" s="4">
        <f>IF(Table1[[#This Row],[Standard as per ISO]]&gt;=Table1[[#This Row],[Avg of best 6]],Table1[[#This Row],[Standard as per ISO]],Table1[[#This Row],[Avg of best 6]])</f>
        <v>4.5</v>
      </c>
      <c r="M363" s="4" cm="1">
        <f t="array" ref="M363">IFERROR(LOOKUP(2,1/(Table1[[#This Row],[2019-May]:[2025-July]]&lt;&gt;0),Table1[[#This Row],[2019-May]:[2025-July]]),0)</f>
        <v>4.0999999999999996</v>
      </c>
      <c r="N363" s="4">
        <f>COUNTIF(Table1[[#This Row],[2019-Apr]:[2025-July]],"&gt;="&amp;Table1[[#This Row],[Target]])</f>
        <v>42</v>
      </c>
      <c r="O363" s="4">
        <f>IF(Table1[[#This Row],[Outliers 2Y]]=0,1,0)</f>
        <v>0</v>
      </c>
      <c r="P363" s="4">
        <f>IF(Table1[[#This Row],[Last value]]&gt;1.5*Table1[[#This Row],[Target]],1,0)</f>
        <v>0</v>
      </c>
      <c r="Q363" s="4">
        <f>IF(AND(1.5*Table1[[#This Row],[Target]]&gt;=Table1[[#This Row],[Last value]],Table1[[#This Row],[Last value]]&gt;Table1[[#This Row],[Target]]),1,0)</f>
        <v>0</v>
      </c>
      <c r="R363" s="4">
        <f>IF(Table1[[#This Row],[Target]]&gt;=Table1[[#This Row],[Last value]],1,0)</f>
        <v>1</v>
      </c>
      <c r="S363" s="4" t="str">
        <f t="shared" si="7"/>
        <v>Green</v>
      </c>
      <c r="T363" s="55">
        <v>0</v>
      </c>
      <c r="U363" s="55">
        <v>5.97</v>
      </c>
      <c r="V363" s="55">
        <v>4.96</v>
      </c>
      <c r="W363" s="55">
        <v>4.4400000000000004</v>
      </c>
      <c r="X363" s="55">
        <v>5.87</v>
      </c>
      <c r="Y363" s="55">
        <v>5.52</v>
      </c>
      <c r="Z363" s="55">
        <v>4.9000000000000004</v>
      </c>
      <c r="AA363" s="55">
        <v>6.4</v>
      </c>
      <c r="AB363" s="55">
        <v>5</v>
      </c>
      <c r="AC363" s="55">
        <v>5.07</v>
      </c>
      <c r="AD363" s="55">
        <v>6.63</v>
      </c>
      <c r="AE363" s="55">
        <v>6.25</v>
      </c>
      <c r="AF363" s="55">
        <v>6.21</v>
      </c>
      <c r="AG363" s="55">
        <v>7.3</v>
      </c>
      <c r="AH363" s="55">
        <v>6.65</v>
      </c>
      <c r="AI363" s="55">
        <v>0</v>
      </c>
      <c r="AJ363" s="55">
        <v>6.56</v>
      </c>
      <c r="AK363" s="55">
        <v>9.7899999999999991</v>
      </c>
      <c r="AL363" s="55">
        <v>9.3699999999999992</v>
      </c>
      <c r="AM363" s="55">
        <v>10.7</v>
      </c>
      <c r="AN363" s="55">
        <v>5.67</v>
      </c>
      <c r="AO363" s="55">
        <v>3.88</v>
      </c>
      <c r="AP363" s="55">
        <v>0</v>
      </c>
      <c r="AQ363" s="55">
        <v>3.56</v>
      </c>
      <c r="AR363" s="8">
        <v>0</v>
      </c>
      <c r="AS363" s="8">
        <v>3.15</v>
      </c>
      <c r="AT363" s="8">
        <v>4.63</v>
      </c>
      <c r="AU363" s="50">
        <v>3.53</v>
      </c>
      <c r="AV363" s="50">
        <v>3.93</v>
      </c>
      <c r="AW363" s="50">
        <v>4.66</v>
      </c>
      <c r="AX363" s="50">
        <v>3.81</v>
      </c>
      <c r="AY363" s="50">
        <v>4.07</v>
      </c>
      <c r="AZ363" s="50">
        <v>4.0999999999999996</v>
      </c>
      <c r="BA363" s="50">
        <v>4.3</v>
      </c>
      <c r="BB363" s="50">
        <v>3.7</v>
      </c>
      <c r="BC363" s="55">
        <v>4.0999999999999996</v>
      </c>
      <c r="BD363" s="55">
        <v>3.4</v>
      </c>
      <c r="BE363" s="11">
        <v>3.04</v>
      </c>
      <c r="BF363" s="4">
        <v>0</v>
      </c>
      <c r="BG363" s="4">
        <v>0</v>
      </c>
      <c r="BH363" s="4">
        <v>6.1980000000000004</v>
      </c>
      <c r="BI363" s="4">
        <v>4.9790000000000001</v>
      </c>
      <c r="BJ363" s="13">
        <v>6.0540000000000003</v>
      </c>
      <c r="BK363" s="13">
        <v>6.3339999999999996</v>
      </c>
      <c r="BL363" s="4">
        <v>4.7850000000000001</v>
      </c>
      <c r="BM363" s="16">
        <v>4.101</v>
      </c>
      <c r="BN363" s="4">
        <v>4.6689999999999996</v>
      </c>
      <c r="BO363" s="4">
        <v>3.895</v>
      </c>
      <c r="BP363" s="4">
        <v>3.895</v>
      </c>
      <c r="BQ363" s="4">
        <v>1.9990000000000001</v>
      </c>
      <c r="BR363" s="4">
        <v>0</v>
      </c>
      <c r="BS363" s="4">
        <v>4.0199999999999996</v>
      </c>
      <c r="BT363" s="4">
        <v>0</v>
      </c>
      <c r="BU363" s="4">
        <v>4.6100000000000003</v>
      </c>
      <c r="BV363" s="4">
        <v>4.9349999999999996</v>
      </c>
      <c r="BW363" s="4">
        <v>4.51</v>
      </c>
      <c r="BX363" s="4">
        <v>4.931</v>
      </c>
      <c r="BY363" s="4">
        <v>5.6310000000000002</v>
      </c>
      <c r="BZ363" s="55">
        <v>5.4</v>
      </c>
      <c r="CA363" s="55">
        <v>5.65</v>
      </c>
      <c r="CB363" s="55">
        <v>5</v>
      </c>
      <c r="CC363" s="55">
        <v>5.54</v>
      </c>
      <c r="CD363" s="55">
        <v>5.16</v>
      </c>
      <c r="CE363" s="19">
        <v>0</v>
      </c>
      <c r="CF363" s="19">
        <v>6.7</v>
      </c>
      <c r="CG363" s="4">
        <v>4.83</v>
      </c>
      <c r="CH363" s="4">
        <v>0</v>
      </c>
      <c r="CI363" s="4">
        <v>5.59</v>
      </c>
      <c r="CJ363" s="34">
        <v>4.9000000000000004</v>
      </c>
      <c r="CK363" s="34">
        <v>0</v>
      </c>
      <c r="CL363" s="43">
        <v>6.1</v>
      </c>
      <c r="CM363" s="4">
        <v>5.2</v>
      </c>
      <c r="CN363" s="53">
        <v>4</v>
      </c>
      <c r="CO363" s="54">
        <v>0</v>
      </c>
      <c r="CP363" s="54">
        <v>4</v>
      </c>
      <c r="CQ363" s="4">
        <v>4.0999999999999996</v>
      </c>
    </row>
    <row r="364" spans="1:95" s="55" customFormat="1" x14ac:dyDescent="0.35">
      <c r="A364" s="55">
        <v>363</v>
      </c>
      <c r="B364" s="55" t="s">
        <v>112</v>
      </c>
      <c r="C364" s="27" t="s">
        <v>812</v>
      </c>
      <c r="D364" s="50" t="s">
        <v>88</v>
      </c>
      <c r="E364" s="33" t="s">
        <v>89</v>
      </c>
      <c r="F364" s="4">
        <f>IFERROR(AVERAGEIF(Table1[[#This Row],[2019-Apr]:[2025-July]],"&lt;&gt;0"),0)</f>
        <v>4.4675636363636357</v>
      </c>
      <c r="G364" s="4">
        <f ca="1">IFERROR(AVERAGEIF(OFFSET(Table1[[#This Row],[Status]],0,COUNT(Table1[[#This Row],[2019-May]:[2025-July]]),1,-12),"&lt;&gt;0"),0)</f>
        <v>4.1199999999999992</v>
      </c>
      <c r="H364" s="55">
        <f>IFERROR(SMALL(Table1[[#This Row],[2019-Apr]:[2025-July]],COUNTIF(Table1[[#This Row],[2019-Apr]:[2025-July]],0)+1),0)</f>
        <v>2.7</v>
      </c>
      <c r="I364" s="55">
        <f>IFERROR(MAX(Table1[[#This Row],[2019-Apr]:[2025-July]]),0)</f>
        <v>7.89</v>
      </c>
      <c r="J364" s="4" cm="1">
        <f t="array" ref="J36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2.9454999999999996</v>
      </c>
      <c r="K364" s="4">
        <v>4.5</v>
      </c>
      <c r="L364" s="4">
        <f>IF(Table1[[#This Row],[Standard as per ISO]]&gt;=Table1[[#This Row],[Avg of best 6]],Table1[[#This Row],[Standard as per ISO]],Table1[[#This Row],[Avg of best 6]])</f>
        <v>4.5</v>
      </c>
      <c r="M364" s="4" cm="1">
        <f t="array" ref="M364">IFERROR(LOOKUP(2,1/(Table1[[#This Row],[2019-May]:[2025-July]]&lt;&gt;0),Table1[[#This Row],[2019-May]:[2025-July]]),0)</f>
        <v>4.5</v>
      </c>
      <c r="N364" s="4">
        <f>COUNTIF(Table1[[#This Row],[2019-Apr]:[2025-July]],"&gt;="&amp;Table1[[#This Row],[Target]])</f>
        <v>19</v>
      </c>
      <c r="O364" s="4">
        <f>IF(Table1[[#This Row],[Outliers 2Y]]=0,1,0)</f>
        <v>0</v>
      </c>
      <c r="P364" s="4">
        <f>IF(Table1[[#This Row],[Last value]]&gt;1.5*Table1[[#This Row],[Target]],1,0)</f>
        <v>0</v>
      </c>
      <c r="Q364" s="4">
        <f>IF(AND(1.5*Table1[[#This Row],[Target]]&gt;=Table1[[#This Row],[Last value]],Table1[[#This Row],[Last value]]&gt;Table1[[#This Row],[Target]]),1,0)</f>
        <v>0</v>
      </c>
      <c r="R364" s="4">
        <f>IF(Table1[[#This Row],[Target]]&gt;=Table1[[#This Row],[Last value]],1,0)</f>
        <v>1</v>
      </c>
      <c r="S364" s="4" t="str">
        <f t="shared" si="7"/>
        <v>Green</v>
      </c>
      <c r="T364" s="55">
        <v>0</v>
      </c>
      <c r="U364" s="55">
        <v>6.13</v>
      </c>
      <c r="V364" s="55">
        <v>5.7</v>
      </c>
      <c r="W364" s="55">
        <v>5.5</v>
      </c>
      <c r="X364" s="55">
        <v>7.89</v>
      </c>
      <c r="Y364" s="55">
        <v>6.25</v>
      </c>
      <c r="Z364" s="55">
        <v>6.54</v>
      </c>
      <c r="AA364" s="55">
        <v>0</v>
      </c>
      <c r="AB364" s="55">
        <v>6.39</v>
      </c>
      <c r="AC364" s="55">
        <v>0</v>
      </c>
      <c r="AD364" s="55">
        <v>6.43</v>
      </c>
      <c r="AE364" s="55">
        <v>7.1</v>
      </c>
      <c r="AF364" s="55">
        <v>6.8</v>
      </c>
      <c r="AG364" s="55">
        <v>6.1</v>
      </c>
      <c r="AH364" s="55">
        <v>7.17</v>
      </c>
      <c r="AI364" s="55">
        <v>0</v>
      </c>
      <c r="AJ364" s="55">
        <v>3.94</v>
      </c>
      <c r="AK364" s="55">
        <v>3.76</v>
      </c>
      <c r="AL364" s="55">
        <v>0</v>
      </c>
      <c r="AM364" s="55">
        <v>3.26</v>
      </c>
      <c r="AN364" s="55">
        <v>3.85</v>
      </c>
      <c r="AO364" s="55">
        <v>3.39</v>
      </c>
      <c r="AP364" s="55">
        <v>3.49</v>
      </c>
      <c r="AQ364" s="55">
        <v>2.96</v>
      </c>
      <c r="AR364" s="8">
        <v>0</v>
      </c>
      <c r="AS364" s="8">
        <v>3.94</v>
      </c>
      <c r="AT364" s="8">
        <v>4.7</v>
      </c>
      <c r="AU364" s="50">
        <v>3.94</v>
      </c>
      <c r="AV364" s="50">
        <v>3.87</v>
      </c>
      <c r="AW364" s="50">
        <v>4.5199999999999996</v>
      </c>
      <c r="AX364" s="50">
        <v>4.6500000000000004</v>
      </c>
      <c r="AY364" s="50">
        <v>4.25</v>
      </c>
      <c r="AZ364" s="50">
        <v>4.13</v>
      </c>
      <c r="BA364" s="50">
        <v>3.1</v>
      </c>
      <c r="BB364" s="50">
        <v>4.2</v>
      </c>
      <c r="BC364" s="55">
        <v>2.7</v>
      </c>
      <c r="BD364" s="55">
        <v>0</v>
      </c>
      <c r="BE364" s="11">
        <v>4.8680000000000003</v>
      </c>
      <c r="BF364" s="4">
        <v>0</v>
      </c>
      <c r="BG364" s="4">
        <v>4.274</v>
      </c>
      <c r="BH364" s="4">
        <v>4.2729999999999997</v>
      </c>
      <c r="BI364" s="4">
        <v>4.04</v>
      </c>
      <c r="BJ364" s="14">
        <v>3.6080000000000001</v>
      </c>
      <c r="BK364" s="14">
        <v>3.3759999999999999</v>
      </c>
      <c r="BL364" s="4">
        <v>3.9550000000000001</v>
      </c>
      <c r="BM364" s="17">
        <v>4.0430000000000001</v>
      </c>
      <c r="BN364" s="4">
        <v>3.867</v>
      </c>
      <c r="BO364" s="4">
        <v>3.4049999999999998</v>
      </c>
      <c r="BP364" s="4">
        <v>2.7109999999999999</v>
      </c>
      <c r="BQ364" s="4">
        <v>3.3879999999999999</v>
      </c>
      <c r="BR364" s="4">
        <v>3.5640000000000001</v>
      </c>
      <c r="BS364" s="4">
        <v>2.9420000000000002</v>
      </c>
      <c r="BT364" s="4">
        <v>4.2969999999999997</v>
      </c>
      <c r="BU364" s="4">
        <v>4.9290000000000003</v>
      </c>
      <c r="BV364" s="4">
        <v>0</v>
      </c>
      <c r="BW364" s="4">
        <v>3.91</v>
      </c>
      <c r="BX364" s="4">
        <v>4.1239999999999997</v>
      </c>
      <c r="BY364" s="4">
        <v>4.3920000000000003</v>
      </c>
      <c r="BZ364" s="55">
        <v>0</v>
      </c>
      <c r="CA364" s="55">
        <v>0</v>
      </c>
      <c r="CB364" s="55">
        <v>0</v>
      </c>
      <c r="CC364" s="55">
        <v>0</v>
      </c>
      <c r="CD364" s="55">
        <v>0</v>
      </c>
      <c r="CE364" s="19">
        <v>4.2</v>
      </c>
      <c r="CF364" s="19">
        <v>3.3</v>
      </c>
      <c r="CG364" s="4">
        <v>0</v>
      </c>
      <c r="CH364" s="4">
        <v>0</v>
      </c>
      <c r="CI364" s="4">
        <v>0</v>
      </c>
      <c r="CJ364" s="34">
        <v>0</v>
      </c>
      <c r="CK364" s="34">
        <v>4.3</v>
      </c>
      <c r="CL364" s="43">
        <v>0</v>
      </c>
      <c r="CM364" s="4">
        <v>0</v>
      </c>
      <c r="CN364" s="53">
        <v>0</v>
      </c>
      <c r="CO364" s="54">
        <v>5.0999999999999996</v>
      </c>
      <c r="CP364" s="54">
        <v>3.7</v>
      </c>
      <c r="CQ364" s="4">
        <v>4.5</v>
      </c>
    </row>
    <row r="365" spans="1:95" s="55" customFormat="1" x14ac:dyDescent="0.35">
      <c r="A365" s="55">
        <v>364</v>
      </c>
      <c r="B365" s="55" t="s">
        <v>112</v>
      </c>
      <c r="C365" s="27" t="s">
        <v>813</v>
      </c>
      <c r="D365" s="50" t="s">
        <v>88</v>
      </c>
      <c r="E365" s="33" t="s">
        <v>89</v>
      </c>
      <c r="F365" s="4">
        <f>IFERROR(AVERAGEIF(Table1[[#This Row],[2019-Apr]:[2025-July]],"&lt;&gt;0"),0)</f>
        <v>1.2619062500000005</v>
      </c>
      <c r="G365" s="4">
        <f ca="1">IFERROR(AVERAGEIF(OFFSET(Table1[[#This Row],[Status]],0,COUNT(Table1[[#This Row],[2019-May]:[2025-July]]),1,-12),"&lt;&gt;0"),0)</f>
        <v>1.6739999999999999</v>
      </c>
      <c r="H365" s="55">
        <f>IFERROR(SMALL(Table1[[#This Row],[2019-Apr]:[2025-July]],COUNTIF(Table1[[#This Row],[2019-Apr]:[2025-July]],0)+1),0)</f>
        <v>0.3</v>
      </c>
      <c r="I365" s="55">
        <f>IFERROR(MAX(Table1[[#This Row],[2019-Apr]:[2025-July]]),0)</f>
        <v>2.11</v>
      </c>
      <c r="J365" s="4" cm="1">
        <f t="array" ref="J36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0.5033333333333333</v>
      </c>
      <c r="K365" s="4">
        <v>4.5</v>
      </c>
      <c r="L365" s="4">
        <f>IF(Table1[[#This Row],[Standard as per ISO]]&gt;=Table1[[#This Row],[Avg of best 6]],Table1[[#This Row],[Standard as per ISO]],Table1[[#This Row],[Avg of best 6]])</f>
        <v>4.5</v>
      </c>
      <c r="M365" s="4" cm="1">
        <f t="array" ref="M365">IFERROR(LOOKUP(2,1/(Table1[[#This Row],[2019-May]:[2025-July]]&lt;&gt;0),Table1[[#This Row],[2019-May]:[2025-July]]),0)</f>
        <v>1.9</v>
      </c>
      <c r="N365" s="4">
        <f>COUNTIF(Table1[[#This Row],[2019-Apr]:[2025-July]],"&gt;="&amp;Table1[[#This Row],[Target]])</f>
        <v>0</v>
      </c>
      <c r="O365" s="4">
        <f>IF(Table1[[#This Row],[Outliers 2Y]]=0,1,0)</f>
        <v>1</v>
      </c>
      <c r="P365" s="4">
        <f>IF(Table1[[#This Row],[Last value]]&gt;1.5*Table1[[#This Row],[Target]],1,0)</f>
        <v>0</v>
      </c>
      <c r="Q365" s="4">
        <f>IF(AND(1.5*Table1[[#This Row],[Target]]&gt;=Table1[[#This Row],[Last value]],Table1[[#This Row],[Last value]]&gt;Table1[[#This Row],[Target]]),1,0)</f>
        <v>0</v>
      </c>
      <c r="R365" s="4">
        <f>IF(Table1[[#This Row],[Target]]&gt;=Table1[[#This Row],[Last value]],1,0)</f>
        <v>1</v>
      </c>
      <c r="S365" s="4" t="str">
        <f t="shared" si="7"/>
        <v>Green</v>
      </c>
      <c r="T365" s="55">
        <v>0</v>
      </c>
      <c r="U365" s="55">
        <v>0.95</v>
      </c>
      <c r="V365" s="55">
        <v>0.8</v>
      </c>
      <c r="W365" s="55">
        <v>1.02</v>
      </c>
      <c r="X365" s="55">
        <v>0.78</v>
      </c>
      <c r="Y365" s="55">
        <v>1</v>
      </c>
      <c r="Z365" s="55">
        <v>0.98</v>
      </c>
      <c r="AA365" s="55">
        <v>0.77</v>
      </c>
      <c r="AB365" s="55">
        <v>0</v>
      </c>
      <c r="AC365" s="55">
        <v>0.45</v>
      </c>
      <c r="AD365" s="55">
        <v>0.85</v>
      </c>
      <c r="AE365" s="55">
        <v>0.3</v>
      </c>
      <c r="AF365" s="55">
        <v>0.9</v>
      </c>
      <c r="AG365" s="55">
        <v>0.6</v>
      </c>
      <c r="AH365" s="55">
        <v>1.37</v>
      </c>
      <c r="AI365" s="55">
        <v>0</v>
      </c>
      <c r="AJ365" s="55">
        <v>0.69</v>
      </c>
      <c r="AK365" s="55">
        <v>0.55000000000000004</v>
      </c>
      <c r="AL365" s="55">
        <v>0.63</v>
      </c>
      <c r="AM365" s="55">
        <v>0</v>
      </c>
      <c r="AN365" s="55">
        <v>0.85</v>
      </c>
      <c r="AO365" s="55">
        <v>0.8</v>
      </c>
      <c r="AP365" s="55">
        <v>0.96</v>
      </c>
      <c r="AQ365" s="55">
        <v>0.49</v>
      </c>
      <c r="AR365" s="8">
        <v>0</v>
      </c>
      <c r="AS365" s="8">
        <v>1.04</v>
      </c>
      <c r="AT365" s="8">
        <v>0.75</v>
      </c>
      <c r="AU365" s="50">
        <v>1.1200000000000001</v>
      </c>
      <c r="AV365" s="50">
        <v>1.43</v>
      </c>
      <c r="AW365" s="50">
        <v>1.9</v>
      </c>
      <c r="AX365" s="50">
        <v>1.33</v>
      </c>
      <c r="AY365" s="50">
        <v>1.24</v>
      </c>
      <c r="AZ365" s="50">
        <v>1.21</v>
      </c>
      <c r="BA365" s="50">
        <v>1.1000000000000001</v>
      </c>
      <c r="BB365" s="50">
        <v>1.7</v>
      </c>
      <c r="BC365" s="55">
        <v>1.3</v>
      </c>
      <c r="BD365" s="55">
        <v>1.2</v>
      </c>
      <c r="BE365" s="11">
        <v>0.95399999999999996</v>
      </c>
      <c r="BF365" s="4">
        <v>0</v>
      </c>
      <c r="BG365" s="4">
        <v>1.4750000000000001</v>
      </c>
      <c r="BH365" s="4">
        <v>1.389</v>
      </c>
      <c r="BI365" s="4">
        <v>1.377</v>
      </c>
      <c r="BJ365" s="13">
        <v>1.2969999999999999</v>
      </c>
      <c r="BK365" s="13">
        <v>1.038</v>
      </c>
      <c r="BL365" s="4">
        <v>1.3460000000000001</v>
      </c>
      <c r="BM365" s="16">
        <v>1.2030000000000001</v>
      </c>
      <c r="BN365" s="4">
        <v>1.913</v>
      </c>
      <c r="BO365" s="4">
        <v>1.482</v>
      </c>
      <c r="BP365" s="4">
        <v>1.4890000000000001</v>
      </c>
      <c r="BQ365" s="4">
        <v>1.268</v>
      </c>
      <c r="BR365" s="4">
        <v>2.0129999999999999</v>
      </c>
      <c r="BS365" s="4">
        <v>1.387</v>
      </c>
      <c r="BT365" s="4">
        <v>2.11</v>
      </c>
      <c r="BU365" s="4">
        <v>1.4259999999999999</v>
      </c>
      <c r="BV365" s="4">
        <v>1.516</v>
      </c>
      <c r="BW365" s="4">
        <v>1.3879999999999999</v>
      </c>
      <c r="BX365" s="4">
        <v>1.476</v>
      </c>
      <c r="BY365" s="4">
        <v>1.7749999999999999</v>
      </c>
      <c r="BZ365" s="55">
        <v>1.74</v>
      </c>
      <c r="CA365" s="55">
        <v>0</v>
      </c>
      <c r="CB365" s="55">
        <v>0</v>
      </c>
      <c r="CC365" s="55">
        <v>0</v>
      </c>
      <c r="CD365" s="55">
        <v>0</v>
      </c>
      <c r="CE365" s="19">
        <v>1.9</v>
      </c>
      <c r="CF365" s="19">
        <v>1.8</v>
      </c>
      <c r="CG365" s="4">
        <v>0</v>
      </c>
      <c r="CH365" s="4">
        <v>0</v>
      </c>
      <c r="CI365" s="4">
        <v>1.64</v>
      </c>
      <c r="CJ365" s="34">
        <v>1.9</v>
      </c>
      <c r="CK365" s="34">
        <v>1.7</v>
      </c>
      <c r="CL365" s="43">
        <v>1.4</v>
      </c>
      <c r="CM365" s="4">
        <v>1.7</v>
      </c>
      <c r="CN365" s="53">
        <v>1.7</v>
      </c>
      <c r="CO365" s="54">
        <v>1.4</v>
      </c>
      <c r="CP365" s="54">
        <v>1.6</v>
      </c>
      <c r="CQ365" s="4">
        <v>1.9</v>
      </c>
    </row>
    <row r="366" spans="1:95" s="55" customFormat="1" x14ac:dyDescent="0.35">
      <c r="A366" s="55">
        <v>365</v>
      </c>
      <c r="B366" s="55" t="s">
        <v>112</v>
      </c>
      <c r="C366" s="27" t="s">
        <v>814</v>
      </c>
      <c r="D366" s="50" t="s">
        <v>88</v>
      </c>
      <c r="E366" s="33" t="s">
        <v>89</v>
      </c>
      <c r="F366" s="4">
        <f>IFERROR(AVERAGEIF(Table1[[#This Row],[2019-Apr]:[2025-July]],"&lt;&gt;0"),0)</f>
        <v>5.362920634920636</v>
      </c>
      <c r="G366" s="4">
        <f ca="1">IFERROR(AVERAGEIF(OFFSET(Table1[[#This Row],[Status]],0,COUNT(Table1[[#This Row],[2019-May]:[2025-July]]),1,-12),"&lt;&gt;0"),0)</f>
        <v>2.726</v>
      </c>
      <c r="H366" s="55">
        <f>IFERROR(SMALL(Table1[[#This Row],[2019-Apr]:[2025-July]],COUNTIF(Table1[[#This Row],[2019-Apr]:[2025-July]],0)+1),0)</f>
        <v>2</v>
      </c>
      <c r="I366" s="55">
        <f>IFERROR(MAX(Table1[[#This Row],[2019-Apr]:[2025-July]]),0)</f>
        <v>11.5</v>
      </c>
      <c r="J366" s="4" cm="1">
        <f t="array" ref="J36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2.2420000000000004</v>
      </c>
      <c r="K366" s="4">
        <v>4.5</v>
      </c>
      <c r="L366" s="4">
        <f>IF(Table1[[#This Row],[Standard as per ISO]]&gt;=Table1[[#This Row],[Avg of best 6]],Table1[[#This Row],[Standard as per ISO]],Table1[[#This Row],[Avg of best 6]])</f>
        <v>4.5</v>
      </c>
      <c r="M366" s="4" cm="1">
        <f t="array" ref="M366">IFERROR(LOOKUP(2,1/(Table1[[#This Row],[2019-May]:[2025-July]]&lt;&gt;0),Table1[[#This Row],[2019-May]:[2025-July]]),0)</f>
        <v>2.9</v>
      </c>
      <c r="N366" s="4">
        <f>COUNTIF(Table1[[#This Row],[2019-Apr]:[2025-July]],"&gt;="&amp;Table1[[#This Row],[Target]])</f>
        <v>26</v>
      </c>
      <c r="O366" s="4">
        <f>IF(Table1[[#This Row],[Outliers 2Y]]=0,1,0)</f>
        <v>0</v>
      </c>
      <c r="P366" s="4">
        <f>IF(Table1[[#This Row],[Last value]]&gt;1.5*Table1[[#This Row],[Target]],1,0)</f>
        <v>0</v>
      </c>
      <c r="Q366" s="4">
        <f>IF(AND(1.5*Table1[[#This Row],[Target]]&gt;=Table1[[#This Row],[Last value]],Table1[[#This Row],[Last value]]&gt;Table1[[#This Row],[Target]]),1,0)</f>
        <v>0</v>
      </c>
      <c r="R366" s="4">
        <f>IF(Table1[[#This Row],[Target]]&gt;=Table1[[#This Row],[Last value]],1,0)</f>
        <v>1</v>
      </c>
      <c r="S366" s="4" t="str">
        <f t="shared" si="7"/>
        <v>Green</v>
      </c>
      <c r="T366" s="55">
        <v>0</v>
      </c>
      <c r="U366" s="55">
        <v>0</v>
      </c>
      <c r="V366" s="55">
        <v>0</v>
      </c>
      <c r="W366" s="55">
        <v>7.1</v>
      </c>
      <c r="X366" s="55">
        <v>9.26</v>
      </c>
      <c r="Y366" s="55">
        <v>8.5</v>
      </c>
      <c r="Z366" s="55">
        <v>7.6</v>
      </c>
      <c r="AA366" s="55">
        <v>7.47</v>
      </c>
      <c r="AB366" s="55">
        <v>6.25</v>
      </c>
      <c r="AC366" s="55">
        <v>7.03</v>
      </c>
      <c r="AD366" s="55">
        <v>6.31</v>
      </c>
      <c r="AE366" s="55">
        <v>7.7</v>
      </c>
      <c r="AF366" s="55">
        <v>6.9</v>
      </c>
      <c r="AG366" s="55">
        <v>8.8000000000000007</v>
      </c>
      <c r="AH366" s="55">
        <v>11.5</v>
      </c>
      <c r="AI366" s="55">
        <v>0</v>
      </c>
      <c r="AJ366" s="55">
        <v>7.51</v>
      </c>
      <c r="AK366" s="55">
        <v>7.38</v>
      </c>
      <c r="AL366" s="55">
        <v>9.5</v>
      </c>
      <c r="AM366" s="55">
        <v>0</v>
      </c>
      <c r="AN366" s="55">
        <v>7.57</v>
      </c>
      <c r="AO366" s="55">
        <v>9.82</v>
      </c>
      <c r="AP366" s="55">
        <v>9.59</v>
      </c>
      <c r="AQ366" s="55">
        <v>8.91</v>
      </c>
      <c r="AR366" s="8">
        <v>0</v>
      </c>
      <c r="AS366" s="8">
        <v>8.2200000000000006</v>
      </c>
      <c r="AT366" s="8">
        <v>8.7100000000000009</v>
      </c>
      <c r="AU366" s="50">
        <v>9.49</v>
      </c>
      <c r="AV366" s="50">
        <v>9.23</v>
      </c>
      <c r="AW366" s="50">
        <v>9.0500000000000007</v>
      </c>
      <c r="AX366" s="50">
        <v>10.8</v>
      </c>
      <c r="AY366" s="50">
        <v>8.7100000000000009</v>
      </c>
      <c r="AZ366" s="50">
        <v>3.84</v>
      </c>
      <c r="BA366" s="50">
        <v>2.6</v>
      </c>
      <c r="BB366" s="50">
        <v>2.2999999999999998</v>
      </c>
      <c r="BC366" s="55">
        <v>2.9</v>
      </c>
      <c r="BD366" s="55">
        <v>2.8</v>
      </c>
      <c r="BE366" s="11">
        <v>3.444</v>
      </c>
      <c r="BF366" s="4">
        <v>0</v>
      </c>
      <c r="BG366" s="4">
        <v>3.077</v>
      </c>
      <c r="BH366" s="4">
        <v>3.722</v>
      </c>
      <c r="BI366" s="4">
        <v>4.4859999999999998</v>
      </c>
      <c r="BJ366" s="14">
        <v>3.64</v>
      </c>
      <c r="BK366" s="14">
        <v>3.6989999999999998</v>
      </c>
      <c r="BL366" s="4">
        <v>3.7719999999999998</v>
      </c>
      <c r="BM366" s="17">
        <v>3.8820000000000001</v>
      </c>
      <c r="BN366" s="4">
        <v>3.089</v>
      </c>
      <c r="BO366" s="4">
        <v>3.7930000000000001</v>
      </c>
      <c r="BP366" s="4">
        <v>3.9710000000000001</v>
      </c>
      <c r="BQ366" s="4">
        <v>3.5049999999999999</v>
      </c>
      <c r="BR366" s="4">
        <v>3.3050000000000002</v>
      </c>
      <c r="BS366" s="4">
        <v>3.6389999999999998</v>
      </c>
      <c r="BT366" s="4">
        <v>3.89</v>
      </c>
      <c r="BU366" s="4">
        <v>3.016</v>
      </c>
      <c r="BV366" s="4">
        <v>2.0920000000000001</v>
      </c>
      <c r="BW366" s="4">
        <v>2.7530000000000001</v>
      </c>
      <c r="BX366" s="4">
        <v>3.355</v>
      </c>
      <c r="BY366" s="4">
        <v>4.0339999999999998</v>
      </c>
      <c r="BZ366" s="55">
        <v>4.1900000000000004</v>
      </c>
      <c r="CA366" s="55">
        <v>0</v>
      </c>
      <c r="CB366" s="55">
        <v>0</v>
      </c>
      <c r="CC366" s="55">
        <v>0</v>
      </c>
      <c r="CD366" s="55">
        <v>0</v>
      </c>
      <c r="CE366" s="19">
        <v>3.6</v>
      </c>
      <c r="CF366" s="19">
        <v>3</v>
      </c>
      <c r="CG366" s="4">
        <v>0</v>
      </c>
      <c r="CH366" s="4">
        <v>0</v>
      </c>
      <c r="CI366" s="4">
        <v>2.56</v>
      </c>
      <c r="CJ366" s="34">
        <v>2.8</v>
      </c>
      <c r="CK366" s="34">
        <v>2.8</v>
      </c>
      <c r="CL366" s="43">
        <v>2.4</v>
      </c>
      <c r="CM366" s="4">
        <v>2</v>
      </c>
      <c r="CN366" s="53">
        <v>2.1</v>
      </c>
      <c r="CO366" s="54">
        <v>2.6</v>
      </c>
      <c r="CP366" s="54">
        <v>3.4</v>
      </c>
      <c r="CQ366" s="4">
        <v>2.9</v>
      </c>
    </row>
    <row r="367" spans="1:95" s="55" customFormat="1" x14ac:dyDescent="0.35">
      <c r="A367" s="55">
        <v>366</v>
      </c>
      <c r="B367" s="55" t="s">
        <v>112</v>
      </c>
      <c r="C367" s="27" t="s">
        <v>815</v>
      </c>
      <c r="D367" s="50" t="s">
        <v>88</v>
      </c>
      <c r="E367" s="33" t="s">
        <v>89</v>
      </c>
      <c r="F367" s="4">
        <f>IFERROR(AVERAGEIF(Table1[[#This Row],[2019-Apr]:[2025-July]],"&lt;&gt;0"),0)</f>
        <v>3.714515151515152</v>
      </c>
      <c r="G367" s="4">
        <f ca="1">IFERROR(AVERAGEIF(OFFSET(Table1[[#This Row],[Status]],0,COUNT(Table1[[#This Row],[2019-May]:[2025-July]]),1,-12),"&lt;&gt;0"),0)</f>
        <v>2.5900000000000003</v>
      </c>
      <c r="H367" s="55">
        <f>IFERROR(SMALL(Table1[[#This Row],[2019-Apr]:[2025-July]],COUNTIF(Table1[[#This Row],[2019-Apr]:[2025-July]],0)+1),0)</f>
        <v>1.8</v>
      </c>
      <c r="I367" s="55">
        <f>IFERROR(MAX(Table1[[#This Row],[2019-Apr]:[2025-July]]),0)</f>
        <v>7</v>
      </c>
      <c r="J367" s="4" cm="1">
        <f t="array" ref="J36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2.1011666666666664</v>
      </c>
      <c r="K367" s="4">
        <v>4.5</v>
      </c>
      <c r="L367" s="4">
        <f>IF(Table1[[#This Row],[Standard as per ISO]]&gt;=Table1[[#This Row],[Avg of best 6]],Table1[[#This Row],[Standard as per ISO]],Table1[[#This Row],[Avg of best 6]])</f>
        <v>4.5</v>
      </c>
      <c r="M367" s="4" cm="1">
        <f t="array" ref="M367">IFERROR(LOOKUP(2,1/(Table1[[#This Row],[2019-May]:[2025-July]]&lt;&gt;0),Table1[[#This Row],[2019-May]:[2025-July]]),0)</f>
        <v>1.8</v>
      </c>
      <c r="N367" s="4">
        <f>COUNTIF(Table1[[#This Row],[2019-Apr]:[2025-July]],"&gt;="&amp;Table1[[#This Row],[Target]])</f>
        <v>21</v>
      </c>
      <c r="O367" s="4">
        <f>IF(Table1[[#This Row],[Outliers 2Y]]=0,1,0)</f>
        <v>0</v>
      </c>
      <c r="P367" s="4">
        <f>IF(Table1[[#This Row],[Last value]]&gt;1.5*Table1[[#This Row],[Target]],1,0)</f>
        <v>0</v>
      </c>
      <c r="Q367" s="4">
        <f>IF(AND(1.5*Table1[[#This Row],[Target]]&gt;=Table1[[#This Row],[Last value]],Table1[[#This Row],[Last value]]&gt;Table1[[#This Row],[Target]]),1,0)</f>
        <v>0</v>
      </c>
      <c r="R367" s="4">
        <f>IF(Table1[[#This Row],[Target]]&gt;=Table1[[#This Row],[Last value]],1,0)</f>
        <v>1</v>
      </c>
      <c r="S367" s="4" t="str">
        <f t="shared" si="7"/>
        <v>Green</v>
      </c>
      <c r="T367" s="55">
        <v>0</v>
      </c>
      <c r="U367" s="55">
        <v>5.61</v>
      </c>
      <c r="V367" s="55">
        <v>4.8899999999999997</v>
      </c>
      <c r="W367" s="55">
        <v>5.23</v>
      </c>
      <c r="X367" s="55">
        <v>4.99</v>
      </c>
      <c r="Y367" s="55">
        <v>5.8</v>
      </c>
      <c r="Z367" s="55">
        <v>5.0999999999999996</v>
      </c>
      <c r="AA367" s="55">
        <v>5.45</v>
      </c>
      <c r="AB367" s="55">
        <v>5.22</v>
      </c>
      <c r="AC367" s="55">
        <v>4.93</v>
      </c>
      <c r="AD367" s="55">
        <v>4.74</v>
      </c>
      <c r="AE367" s="55">
        <v>4.3</v>
      </c>
      <c r="AF367" s="55">
        <v>4.5</v>
      </c>
      <c r="AG367" s="55">
        <v>4.9000000000000004</v>
      </c>
      <c r="AH367" s="55">
        <v>5.29</v>
      </c>
      <c r="AI367" s="55">
        <v>0</v>
      </c>
      <c r="AJ367" s="55">
        <v>4.1399999999999997</v>
      </c>
      <c r="AK367" s="55">
        <v>4.1500000000000004</v>
      </c>
      <c r="AL367" s="55">
        <v>4.5199999999999996</v>
      </c>
      <c r="AM367" s="55">
        <v>0</v>
      </c>
      <c r="AN367" s="55">
        <v>4.1100000000000003</v>
      </c>
      <c r="AO367" s="55">
        <v>5.18</v>
      </c>
      <c r="AP367" s="55">
        <v>4.0999999999999996</v>
      </c>
      <c r="AQ367" s="55">
        <v>4.43</v>
      </c>
      <c r="AR367" s="8">
        <v>0</v>
      </c>
      <c r="AS367" s="8">
        <v>4.43</v>
      </c>
      <c r="AT367" s="8">
        <v>4.62</v>
      </c>
      <c r="AU367" s="50">
        <v>4.82</v>
      </c>
      <c r="AV367" s="50">
        <v>4.12</v>
      </c>
      <c r="AW367" s="50">
        <v>6.02</v>
      </c>
      <c r="AX367" s="50">
        <v>4.24</v>
      </c>
      <c r="AY367" s="50">
        <v>4.46</v>
      </c>
      <c r="AZ367" s="50">
        <v>7</v>
      </c>
      <c r="BA367" s="50">
        <v>3.8</v>
      </c>
      <c r="BB367" s="50">
        <v>4.0999999999999996</v>
      </c>
      <c r="BC367" s="55">
        <v>6</v>
      </c>
      <c r="BD367" s="55">
        <v>4.7</v>
      </c>
      <c r="BE367" s="11">
        <v>2.5070000000000001</v>
      </c>
      <c r="BF367" s="4">
        <v>0</v>
      </c>
      <c r="BG367" s="4">
        <v>2.3769999999999998</v>
      </c>
      <c r="BH367" s="4">
        <v>2.6429999999999998</v>
      </c>
      <c r="BI367" s="4">
        <v>3.0760000000000001</v>
      </c>
      <c r="BJ367" s="13">
        <v>2.577</v>
      </c>
      <c r="BK367" s="13">
        <v>3.056</v>
      </c>
      <c r="BL367" s="4">
        <v>2.3610000000000002</v>
      </c>
      <c r="BM367" s="16">
        <v>2.8839999999999999</v>
      </c>
      <c r="BN367" s="4">
        <v>2.806</v>
      </c>
      <c r="BO367" s="4">
        <v>2.4350000000000001</v>
      </c>
      <c r="BP367" s="4">
        <v>2.5920000000000001</v>
      </c>
      <c r="BQ367" s="4">
        <v>2.9710000000000001</v>
      </c>
      <c r="BR367" s="4">
        <v>2.3239999999999998</v>
      </c>
      <c r="BS367" s="4">
        <v>2.0630000000000002</v>
      </c>
      <c r="BT367" s="4">
        <v>2.452</v>
      </c>
      <c r="BU367" s="4">
        <v>2.1629999999999998</v>
      </c>
      <c r="BV367" s="4">
        <v>2.181</v>
      </c>
      <c r="BW367" s="4">
        <v>2.9089999999999998</v>
      </c>
      <c r="BX367" s="4">
        <v>3.3580000000000001</v>
      </c>
      <c r="BY367" s="4">
        <v>2.7930000000000001</v>
      </c>
      <c r="BZ367" s="55">
        <v>2.4500000000000002</v>
      </c>
      <c r="CA367" s="55">
        <v>0</v>
      </c>
      <c r="CB367" s="55">
        <v>0</v>
      </c>
      <c r="CC367" s="55">
        <v>0</v>
      </c>
      <c r="CD367" s="55">
        <v>0</v>
      </c>
      <c r="CE367" s="19">
        <v>4.0999999999999996</v>
      </c>
      <c r="CF367" s="19">
        <v>2.2999999999999998</v>
      </c>
      <c r="CG367" s="4">
        <v>0</v>
      </c>
      <c r="CH367" s="4">
        <v>3.28</v>
      </c>
      <c r="CI367" s="4">
        <v>2.31</v>
      </c>
      <c r="CJ367" s="34">
        <v>2.2000000000000002</v>
      </c>
      <c r="CK367" s="34">
        <v>2.2000000000000002</v>
      </c>
      <c r="CL367" s="43">
        <v>2.2999999999999998</v>
      </c>
      <c r="CM367" s="4">
        <v>2.7</v>
      </c>
      <c r="CN367" s="53">
        <v>2.6</v>
      </c>
      <c r="CO367" s="54">
        <v>2.2999999999999998</v>
      </c>
      <c r="CP367" s="54">
        <v>2.2000000000000002</v>
      </c>
      <c r="CQ367" s="4">
        <v>1.8</v>
      </c>
    </row>
    <row r="368" spans="1:95" s="55" customFormat="1" x14ac:dyDescent="0.35">
      <c r="A368" s="55">
        <v>367</v>
      </c>
      <c r="B368" s="55" t="s">
        <v>112</v>
      </c>
      <c r="C368" s="27" t="s">
        <v>816</v>
      </c>
      <c r="D368" s="50" t="s">
        <v>88</v>
      </c>
      <c r="E368" s="33" t="s">
        <v>89</v>
      </c>
      <c r="F368" s="4">
        <f>IFERROR(AVERAGEIF(Table1[[#This Row],[2019-Apr]:[2025-July]],"&lt;&gt;0"),0)</f>
        <v>4.6231384615384608</v>
      </c>
      <c r="G368" s="4">
        <f ca="1">IFERROR(AVERAGEIF(OFFSET(Table1[[#This Row],[Status]],0,COUNT(Table1[[#This Row],[2019-May]:[2025-July]]),1,-12),"&lt;&gt;0"),0)</f>
        <v>4.1950000000000003</v>
      </c>
      <c r="H368" s="55">
        <f>IFERROR(SMALL(Table1[[#This Row],[2019-Apr]:[2025-July]],COUNTIF(Table1[[#This Row],[2019-Apr]:[2025-July]],0)+1),0)</f>
        <v>2</v>
      </c>
      <c r="I368" s="55">
        <f>IFERROR(MAX(Table1[[#This Row],[2019-Apr]:[2025-July]]),0)</f>
        <v>6.93</v>
      </c>
      <c r="J368" s="4" cm="1">
        <f t="array" ref="J36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2.9710000000000001</v>
      </c>
      <c r="K368" s="4">
        <v>4.5</v>
      </c>
      <c r="L368" s="4">
        <f>IF(Table1[[#This Row],[Standard as per ISO]]&gt;=Table1[[#This Row],[Avg of best 6]],Table1[[#This Row],[Standard as per ISO]],Table1[[#This Row],[Avg of best 6]])</f>
        <v>4.5</v>
      </c>
      <c r="M368" s="4" cm="1">
        <f t="array" ref="M368">IFERROR(LOOKUP(2,1/(Table1[[#This Row],[2019-May]:[2025-July]]&lt;&gt;0),Table1[[#This Row],[2019-May]:[2025-July]]),0)</f>
        <v>4.9000000000000004</v>
      </c>
      <c r="N368" s="4">
        <f>COUNTIF(Table1[[#This Row],[2019-Apr]:[2025-July]],"&gt;="&amp;Table1[[#This Row],[Target]])</f>
        <v>35</v>
      </c>
      <c r="O368" s="4">
        <f>IF(Table1[[#This Row],[Outliers 2Y]]=0,1,0)</f>
        <v>0</v>
      </c>
      <c r="P368" s="4">
        <f>IF(Table1[[#This Row],[Last value]]&gt;1.5*Table1[[#This Row],[Target]],1,0)</f>
        <v>0</v>
      </c>
      <c r="Q368" s="4">
        <f>IF(AND(1.5*Table1[[#This Row],[Target]]&gt;=Table1[[#This Row],[Last value]],Table1[[#This Row],[Last value]]&gt;Table1[[#This Row],[Target]]),1,0)</f>
        <v>1</v>
      </c>
      <c r="R368" s="4">
        <f>IF(Table1[[#This Row],[Target]]&gt;=Table1[[#This Row],[Last value]],1,0)</f>
        <v>0</v>
      </c>
      <c r="S368" s="4" t="str">
        <f t="shared" si="7"/>
        <v>Yellow</v>
      </c>
      <c r="T368" s="55">
        <v>0</v>
      </c>
      <c r="U368" s="55">
        <v>0</v>
      </c>
      <c r="V368" s="55">
        <v>5</v>
      </c>
      <c r="W368" s="55">
        <v>4.43</v>
      </c>
      <c r="X368" s="55">
        <v>4.5599999999999996</v>
      </c>
      <c r="Y368" s="55">
        <v>4.0999999999999996</v>
      </c>
      <c r="Z368" s="55">
        <v>5.09</v>
      </c>
      <c r="AA368" s="55">
        <v>5.36</v>
      </c>
      <c r="AB368" s="55">
        <v>3.7</v>
      </c>
      <c r="AC368" s="55">
        <v>4.93</v>
      </c>
      <c r="AD368" s="55">
        <v>4.8099999999999996</v>
      </c>
      <c r="AE368" s="55">
        <v>4.8</v>
      </c>
      <c r="AF368" s="55">
        <v>4.5</v>
      </c>
      <c r="AG368" s="55">
        <v>4.4000000000000004</v>
      </c>
      <c r="AH368" s="55">
        <v>4.49</v>
      </c>
      <c r="AI368" s="55">
        <v>0</v>
      </c>
      <c r="AJ368" s="55">
        <v>4.6900000000000004</v>
      </c>
      <c r="AK368" s="55">
        <v>5.74</v>
      </c>
      <c r="AL368" s="55">
        <v>5.29</v>
      </c>
      <c r="AM368" s="55">
        <v>0</v>
      </c>
      <c r="AN368" s="55">
        <v>5.18</v>
      </c>
      <c r="AO368" s="55">
        <v>4.96</v>
      </c>
      <c r="AP368" s="55">
        <v>5.26</v>
      </c>
      <c r="AQ368" s="55">
        <v>5.17</v>
      </c>
      <c r="AR368" s="8">
        <v>0</v>
      </c>
      <c r="AS368" s="8">
        <v>6.55</v>
      </c>
      <c r="AT368" s="8">
        <v>6.37</v>
      </c>
      <c r="AU368" s="50">
        <v>6.93</v>
      </c>
      <c r="AV368" s="50">
        <v>5.64</v>
      </c>
      <c r="AW368" s="50">
        <v>6.77</v>
      </c>
      <c r="AX368" s="50">
        <v>5.92</v>
      </c>
      <c r="AY368" s="50">
        <v>5.65</v>
      </c>
      <c r="AZ368" s="50">
        <v>5.44</v>
      </c>
      <c r="BA368" s="50">
        <v>5.7</v>
      </c>
      <c r="BB368" s="50">
        <v>2</v>
      </c>
      <c r="BC368" s="55">
        <v>3.7</v>
      </c>
      <c r="BD368" s="55">
        <v>4.2</v>
      </c>
      <c r="BE368" s="11">
        <v>4.7729999999999997</v>
      </c>
      <c r="BF368" s="4">
        <v>0</v>
      </c>
      <c r="BG368" s="4">
        <v>5.4450000000000003</v>
      </c>
      <c r="BH368" s="4">
        <v>4.8150000000000004</v>
      </c>
      <c r="BI368" s="4">
        <v>4.7389999999999999</v>
      </c>
      <c r="BJ368" s="14">
        <v>5.4589999999999996</v>
      </c>
      <c r="BK368" s="14">
        <v>5.15</v>
      </c>
      <c r="BL368" s="4">
        <v>4.4420000000000002</v>
      </c>
      <c r="BM368" s="17">
        <v>3.698</v>
      </c>
      <c r="BN368" s="4">
        <v>3.7210000000000001</v>
      </c>
      <c r="BO368" s="4">
        <v>3.7160000000000002</v>
      </c>
      <c r="BP368" s="4">
        <v>3.5680000000000001</v>
      </c>
      <c r="BQ368" s="4">
        <v>2.7949999999999999</v>
      </c>
      <c r="BR368" s="4">
        <v>3.145</v>
      </c>
      <c r="BS368" s="4">
        <v>3.746</v>
      </c>
      <c r="BT368" s="4">
        <v>4.2519999999999998</v>
      </c>
      <c r="BU368" s="4">
        <v>3.1379999999999999</v>
      </c>
      <c r="BV368" s="4">
        <v>3.9460000000000002</v>
      </c>
      <c r="BW368" s="4">
        <v>4.391</v>
      </c>
      <c r="BX368" s="4">
        <v>4.6429999999999998</v>
      </c>
      <c r="BY368" s="4">
        <v>4.0519999999999996</v>
      </c>
      <c r="BZ368" s="55">
        <v>5.1100000000000003</v>
      </c>
      <c r="CA368" s="55">
        <v>4.3899999999999997</v>
      </c>
      <c r="CB368" s="55">
        <v>4.4000000000000004</v>
      </c>
      <c r="CC368" s="55">
        <v>3.18</v>
      </c>
      <c r="CD368" s="55">
        <v>0</v>
      </c>
      <c r="CE368" s="19">
        <v>0</v>
      </c>
      <c r="CF368" s="19">
        <v>0</v>
      </c>
      <c r="CG368" s="4">
        <v>0</v>
      </c>
      <c r="CH368" s="4">
        <v>0</v>
      </c>
      <c r="CI368" s="4">
        <v>4.16</v>
      </c>
      <c r="CJ368" s="34">
        <v>3.7</v>
      </c>
      <c r="CK368" s="34">
        <v>3.7</v>
      </c>
      <c r="CL368" s="43">
        <v>4.2</v>
      </c>
      <c r="CM368" s="4">
        <v>5</v>
      </c>
      <c r="CN368" s="53">
        <v>4.3</v>
      </c>
      <c r="CO368" s="54">
        <v>4.7</v>
      </c>
      <c r="CP368" s="54">
        <v>3.8</v>
      </c>
      <c r="CQ368" s="4">
        <v>4.9000000000000004</v>
      </c>
    </row>
    <row r="369" spans="1:95" s="55" customFormat="1" x14ac:dyDescent="0.35">
      <c r="A369" s="55">
        <v>368</v>
      </c>
      <c r="B369" s="55" t="s">
        <v>112</v>
      </c>
      <c r="C369" s="27" t="s">
        <v>817</v>
      </c>
      <c r="D369" s="50" t="s">
        <v>88</v>
      </c>
      <c r="E369" s="33" t="s">
        <v>89</v>
      </c>
      <c r="F369" s="4">
        <f>IFERROR(AVERAGEIF(Table1[[#This Row],[2019-Apr]:[2025-July]],"&lt;&gt;0"),0)</f>
        <v>3.6940909090909093</v>
      </c>
      <c r="G369" s="4">
        <f ca="1">IFERROR(AVERAGEIF(OFFSET(Table1[[#This Row],[Status]],0,COUNT(Table1[[#This Row],[2019-May]:[2025-July]]),1,-12),"&lt;&gt;0"),0)</f>
        <v>3.7881818181818185</v>
      </c>
      <c r="H369" s="55">
        <f>IFERROR(SMALL(Table1[[#This Row],[2019-Apr]:[2025-July]],COUNTIF(Table1[[#This Row],[2019-Apr]:[2025-July]],0)+1),0)</f>
        <v>2</v>
      </c>
      <c r="I369" s="55">
        <f>IFERROR(MAX(Table1[[#This Row],[2019-Apr]:[2025-July]]),0)</f>
        <v>7.1</v>
      </c>
      <c r="J369" s="4" cm="1">
        <f t="array" ref="J36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2.3666666666666667</v>
      </c>
      <c r="K369" s="4">
        <v>4.5</v>
      </c>
      <c r="L369" s="4">
        <f>IF(Table1[[#This Row],[Standard as per ISO]]&gt;=Table1[[#This Row],[Avg of best 6]],Table1[[#This Row],[Standard as per ISO]],Table1[[#This Row],[Avg of best 6]])</f>
        <v>4.5</v>
      </c>
      <c r="M369" s="4" cm="1">
        <f t="array" ref="M369">IFERROR(LOOKUP(2,1/(Table1[[#This Row],[2019-May]:[2025-July]]&lt;&gt;0),Table1[[#This Row],[2019-May]:[2025-July]]),0)</f>
        <v>2.7</v>
      </c>
      <c r="N369" s="4">
        <f>COUNTIF(Table1[[#This Row],[2019-Apr]:[2025-July]],"&gt;="&amp;Table1[[#This Row],[Target]])</f>
        <v>6</v>
      </c>
      <c r="O369" s="4">
        <f>IF(Table1[[#This Row],[Outliers 2Y]]=0,1,0)</f>
        <v>0</v>
      </c>
      <c r="P369" s="4">
        <f>IF(Table1[[#This Row],[Last value]]&gt;1.5*Table1[[#This Row],[Target]],1,0)</f>
        <v>0</v>
      </c>
      <c r="Q369" s="4">
        <f>IF(AND(1.5*Table1[[#This Row],[Target]]&gt;=Table1[[#This Row],[Last value]],Table1[[#This Row],[Last value]]&gt;Table1[[#This Row],[Target]]),1,0)</f>
        <v>0</v>
      </c>
      <c r="R369" s="4">
        <f>IF(Table1[[#This Row],[Target]]&gt;=Table1[[#This Row],[Last value]],1,0)</f>
        <v>1</v>
      </c>
      <c r="S369" s="4" t="str">
        <f t="shared" si="7"/>
        <v>Green</v>
      </c>
      <c r="T369" s="55">
        <v>0</v>
      </c>
      <c r="U369" s="55">
        <v>3.23</v>
      </c>
      <c r="V369" s="55">
        <v>4.8099999999999996</v>
      </c>
      <c r="W369" s="55">
        <v>3.9</v>
      </c>
      <c r="X369" s="55">
        <v>4.41</v>
      </c>
      <c r="Y369" s="55">
        <v>4.2</v>
      </c>
      <c r="Z369" s="55">
        <v>4.05</v>
      </c>
      <c r="AA369" s="55">
        <v>4.21</v>
      </c>
      <c r="AB369" s="55">
        <v>4.33</v>
      </c>
      <c r="AC369" s="55">
        <v>4.13</v>
      </c>
      <c r="AD369" s="55">
        <v>3.59</v>
      </c>
      <c r="AE369" s="55">
        <v>3.2</v>
      </c>
      <c r="AF369" s="55">
        <v>3.6</v>
      </c>
      <c r="AG369" s="55">
        <v>3.4</v>
      </c>
      <c r="AH369" s="55">
        <v>3.87</v>
      </c>
      <c r="AI369" s="55">
        <v>0</v>
      </c>
      <c r="AJ369" s="55">
        <v>3.66</v>
      </c>
      <c r="AK369" s="55">
        <v>3.94</v>
      </c>
      <c r="AL369" s="55">
        <v>4.22</v>
      </c>
      <c r="AM369" s="55">
        <v>0</v>
      </c>
      <c r="AN369" s="55">
        <v>3.83</v>
      </c>
      <c r="AO369" s="55">
        <v>4.07</v>
      </c>
      <c r="AP369" s="55">
        <v>3.4</v>
      </c>
      <c r="AQ369" s="55">
        <v>4.04</v>
      </c>
      <c r="AR369" s="8">
        <v>0</v>
      </c>
      <c r="AS369" s="8">
        <v>3.79</v>
      </c>
      <c r="AT369" s="8">
        <v>3.74</v>
      </c>
      <c r="AU369" s="50">
        <v>3.91</v>
      </c>
      <c r="AV369" s="50">
        <v>3.5</v>
      </c>
      <c r="AW369" s="50">
        <v>3.74</v>
      </c>
      <c r="AX369" s="50">
        <v>3.91</v>
      </c>
      <c r="AY369" s="50">
        <v>3.8</v>
      </c>
      <c r="AZ369" s="50">
        <v>4.1399999999999997</v>
      </c>
      <c r="BA369" s="50">
        <v>3.7</v>
      </c>
      <c r="BB369" s="50">
        <v>3.6</v>
      </c>
      <c r="BC369" s="55">
        <v>3.1</v>
      </c>
      <c r="BD369" s="55">
        <v>3.8</v>
      </c>
      <c r="BE369" s="11">
        <v>3.0379999999999998</v>
      </c>
      <c r="BF369" s="4">
        <v>0</v>
      </c>
      <c r="BG369" s="4">
        <v>3.2069999999999999</v>
      </c>
      <c r="BH369" s="4">
        <v>2.7280000000000002</v>
      </c>
      <c r="BI369" s="4">
        <v>3.4649999999999999</v>
      </c>
      <c r="BJ369" s="13">
        <v>3.3380000000000001</v>
      </c>
      <c r="BK369" s="13">
        <v>2.8460000000000001</v>
      </c>
      <c r="BL369" s="4">
        <v>3.3879999999999999</v>
      </c>
      <c r="BM369" s="16">
        <v>3.4220000000000002</v>
      </c>
      <c r="BN369" s="4">
        <v>3.0680000000000001</v>
      </c>
      <c r="BO369" s="4">
        <v>2.8479999999999999</v>
      </c>
      <c r="BP369" s="4">
        <v>2.867</v>
      </c>
      <c r="BQ369" s="4">
        <v>3.302</v>
      </c>
      <c r="BR369" s="4">
        <v>3.9449999999999998</v>
      </c>
      <c r="BS369" s="4">
        <v>3.2280000000000002</v>
      </c>
      <c r="BT369" s="4">
        <v>3.0270000000000001</v>
      </c>
      <c r="BU369" s="4">
        <v>2.7320000000000002</v>
      </c>
      <c r="BV369" s="4">
        <v>5.9050000000000002</v>
      </c>
      <c r="BW369" s="4">
        <v>5.6760000000000002</v>
      </c>
      <c r="BX369" s="4">
        <v>3.43</v>
      </c>
      <c r="BY369" s="4">
        <v>3.8</v>
      </c>
      <c r="BZ369" s="55">
        <v>3.36</v>
      </c>
      <c r="CA369" s="55">
        <v>0</v>
      </c>
      <c r="CB369" s="55">
        <v>0</v>
      </c>
      <c r="CC369" s="55">
        <v>0</v>
      </c>
      <c r="CD369" s="55">
        <v>0</v>
      </c>
      <c r="CE369" s="19">
        <v>7.1</v>
      </c>
      <c r="CF369" s="19">
        <v>6.9</v>
      </c>
      <c r="CG369" s="4">
        <v>6.64</v>
      </c>
      <c r="CH369" s="4">
        <v>0</v>
      </c>
      <c r="CI369" s="4">
        <v>3.43</v>
      </c>
      <c r="CJ369" s="34">
        <v>2.5</v>
      </c>
      <c r="CK369" s="34">
        <v>2.2999999999999998</v>
      </c>
      <c r="CL369" s="43">
        <v>2.9</v>
      </c>
      <c r="CM369" s="4">
        <v>2.2000000000000002</v>
      </c>
      <c r="CN369" s="53">
        <v>2.5</v>
      </c>
      <c r="CO369" s="54">
        <v>2</v>
      </c>
      <c r="CP369" s="54">
        <v>3.2</v>
      </c>
      <c r="CQ369" s="4">
        <v>2.7</v>
      </c>
    </row>
    <row r="370" spans="1:95" s="55" customFormat="1" x14ac:dyDescent="0.35">
      <c r="A370" s="55">
        <v>369</v>
      </c>
      <c r="B370" s="55" t="s">
        <v>112</v>
      </c>
      <c r="C370" s="27" t="s">
        <v>818</v>
      </c>
      <c r="D370" s="50" t="s">
        <v>88</v>
      </c>
      <c r="E370" s="33" t="s">
        <v>89</v>
      </c>
      <c r="F370" s="4">
        <f>IFERROR(AVERAGEIF(Table1[[#This Row],[2019-Apr]:[2025-July]],"&lt;&gt;0"),0)</f>
        <v>4.2198823529411777</v>
      </c>
      <c r="G370" s="4">
        <f ca="1">IFERROR(AVERAGEIF(OFFSET(Table1[[#This Row],[Status]],0,COUNT(Table1[[#This Row],[2019-May]:[2025-July]]),1,-12),"&lt;&gt;0"),0)</f>
        <v>2.5588888888888892</v>
      </c>
      <c r="H370" s="55">
        <f>IFERROR(SMALL(Table1[[#This Row],[2019-Apr]:[2025-July]],COUNTIF(Table1[[#This Row],[2019-Apr]:[2025-July]],0)+1),0)</f>
        <v>1.8</v>
      </c>
      <c r="I370" s="55">
        <f>IFERROR(MAX(Table1[[#This Row],[2019-Apr]:[2025-July]]),0)</f>
        <v>11.3</v>
      </c>
      <c r="J370" s="4" cm="1">
        <f t="array" ref="J37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1.9625000000000001</v>
      </c>
      <c r="K370" s="4">
        <v>4.5</v>
      </c>
      <c r="L370" s="4">
        <f>IF(Table1[[#This Row],[Standard as per ISO]]&gt;=Table1[[#This Row],[Avg of best 6]],Table1[[#This Row],[Standard as per ISO]],Table1[[#This Row],[Avg of best 6]])</f>
        <v>4.5</v>
      </c>
      <c r="M370" s="4" cm="1">
        <f t="array" ref="M370">IFERROR(LOOKUP(2,1/(Table1[[#This Row],[2019-May]:[2025-July]]&lt;&gt;0),Table1[[#This Row],[2019-May]:[2025-July]]),0)</f>
        <v>2.7</v>
      </c>
      <c r="N370" s="4">
        <f>COUNTIF(Table1[[#This Row],[2019-Apr]:[2025-July]],"&gt;="&amp;Table1[[#This Row],[Target]])</f>
        <v>17</v>
      </c>
      <c r="O370" s="4">
        <f>IF(Table1[[#This Row],[Outliers 2Y]]=0,1,0)</f>
        <v>0</v>
      </c>
      <c r="P370" s="4">
        <f>IF(Table1[[#This Row],[Last value]]&gt;1.5*Table1[[#This Row],[Target]],1,0)</f>
        <v>0</v>
      </c>
      <c r="Q370" s="4">
        <f>IF(AND(1.5*Table1[[#This Row],[Target]]&gt;=Table1[[#This Row],[Last value]],Table1[[#This Row],[Last value]]&gt;Table1[[#This Row],[Target]]),1,0)</f>
        <v>0</v>
      </c>
      <c r="R370" s="4">
        <f>IF(Table1[[#This Row],[Target]]&gt;=Table1[[#This Row],[Last value]],1,0)</f>
        <v>1</v>
      </c>
      <c r="S370" s="4" t="str">
        <f t="shared" si="7"/>
        <v>Green</v>
      </c>
      <c r="T370" s="55">
        <v>0</v>
      </c>
      <c r="U370" s="55">
        <v>4.24</v>
      </c>
      <c r="V370" s="55">
        <v>4.3</v>
      </c>
      <c r="W370" s="55">
        <v>4.45</v>
      </c>
      <c r="X370" s="55">
        <v>5.31</v>
      </c>
      <c r="Y370" s="55">
        <v>4.8</v>
      </c>
      <c r="Z370" s="55">
        <v>4.33</v>
      </c>
      <c r="AA370" s="55">
        <v>5.72</v>
      </c>
      <c r="AB370" s="55">
        <v>0</v>
      </c>
      <c r="AC370" s="55">
        <v>7.04</v>
      </c>
      <c r="AD370" s="55">
        <v>8.86</v>
      </c>
      <c r="AE370" s="55">
        <v>6.3</v>
      </c>
      <c r="AF370" s="55">
        <v>7</v>
      </c>
      <c r="AG370" s="55">
        <v>7.6</v>
      </c>
      <c r="AH370" s="55">
        <v>6.73</v>
      </c>
      <c r="AI370" s="55">
        <v>9.6</v>
      </c>
      <c r="AJ370" s="55">
        <v>5.28</v>
      </c>
      <c r="AK370" s="55">
        <v>6.91</v>
      </c>
      <c r="AL370" s="55">
        <v>11.3</v>
      </c>
      <c r="AM370" s="55">
        <v>9.6199999999999992</v>
      </c>
      <c r="AN370" s="55">
        <v>4.2699999999999996</v>
      </c>
      <c r="AO370" s="55">
        <v>4.2300000000000004</v>
      </c>
      <c r="AP370" s="55">
        <v>4.05</v>
      </c>
      <c r="AQ370" s="55">
        <v>3.24</v>
      </c>
      <c r="AR370" s="8">
        <v>0</v>
      </c>
      <c r="AS370" s="8">
        <v>3.31</v>
      </c>
      <c r="AT370" s="8">
        <v>3.56</v>
      </c>
      <c r="AU370" s="50">
        <v>7.3</v>
      </c>
      <c r="AV370" s="50">
        <v>3.9</v>
      </c>
      <c r="AW370" s="50">
        <v>3.83</v>
      </c>
      <c r="AX370" s="50">
        <v>3.91</v>
      </c>
      <c r="AY370" s="50">
        <v>4.2699999999999996</v>
      </c>
      <c r="AZ370" s="50">
        <v>4.28</v>
      </c>
      <c r="BA370" s="50">
        <v>5.4</v>
      </c>
      <c r="BB370" s="50">
        <v>2.7</v>
      </c>
      <c r="BC370" s="55">
        <v>3.3</v>
      </c>
      <c r="BD370" s="55">
        <v>3.4</v>
      </c>
      <c r="BE370" s="11">
        <v>3.5870000000000002</v>
      </c>
      <c r="BF370" s="4">
        <v>0</v>
      </c>
      <c r="BG370" s="4">
        <v>2.88</v>
      </c>
      <c r="BH370" s="4">
        <v>2.4900000000000002</v>
      </c>
      <c r="BI370" s="4">
        <v>2.3109999999999999</v>
      </c>
      <c r="BJ370" s="14">
        <v>2.5070000000000001</v>
      </c>
      <c r="BK370" s="14">
        <v>2.2149999999999999</v>
      </c>
      <c r="BL370" s="4">
        <v>4.3620000000000001</v>
      </c>
      <c r="BM370" s="17">
        <v>3.2109999999999999</v>
      </c>
      <c r="BN370" s="4">
        <v>2.4590000000000001</v>
      </c>
      <c r="BO370" s="4">
        <v>4.2519999999999998</v>
      </c>
      <c r="BP370" s="4">
        <v>2.7189999999999999</v>
      </c>
      <c r="BQ370" s="4">
        <v>2.0960000000000001</v>
      </c>
      <c r="BR370" s="4">
        <v>1.879</v>
      </c>
      <c r="BS370" s="4">
        <v>4.4249999999999998</v>
      </c>
      <c r="BT370" s="4">
        <v>4.1980000000000004</v>
      </c>
      <c r="BU370" s="4">
        <v>3.4780000000000002</v>
      </c>
      <c r="BV370" s="4">
        <v>3.1040000000000001</v>
      </c>
      <c r="BW370" s="4">
        <v>3.9009999999999998</v>
      </c>
      <c r="BX370" s="4">
        <v>3.7349999999999999</v>
      </c>
      <c r="BY370" s="4">
        <v>4.7629999999999999</v>
      </c>
      <c r="BZ370" s="55">
        <v>2.21</v>
      </c>
      <c r="CA370" s="55">
        <v>4.2</v>
      </c>
      <c r="CB370" s="55">
        <v>2.3199999999999998</v>
      </c>
      <c r="CC370" s="55">
        <v>3.58</v>
      </c>
      <c r="CD370" s="55">
        <v>0</v>
      </c>
      <c r="CE370" s="19">
        <v>0</v>
      </c>
      <c r="CF370" s="19">
        <v>3.8</v>
      </c>
      <c r="CG370" s="4">
        <v>0</v>
      </c>
      <c r="CH370" s="4">
        <v>0</v>
      </c>
      <c r="CI370" s="4">
        <v>2.83</v>
      </c>
      <c r="CJ370" s="34">
        <v>2.4</v>
      </c>
      <c r="CK370" s="34">
        <v>4</v>
      </c>
      <c r="CL370" s="43">
        <v>2.2000000000000002</v>
      </c>
      <c r="CM370" s="4">
        <v>1.8</v>
      </c>
      <c r="CN370" s="53">
        <v>1.9</v>
      </c>
      <c r="CO370" s="54">
        <v>2.1</v>
      </c>
      <c r="CP370" s="54">
        <v>2</v>
      </c>
      <c r="CQ370" s="4">
        <v>2.7</v>
      </c>
    </row>
    <row r="371" spans="1:95" s="55" customFormat="1" x14ac:dyDescent="0.35">
      <c r="A371" s="55">
        <v>370</v>
      </c>
      <c r="B371" s="55" t="s">
        <v>112</v>
      </c>
      <c r="C371" s="27" t="s">
        <v>819</v>
      </c>
      <c r="D371" s="50" t="s">
        <v>88</v>
      </c>
      <c r="E371" s="33" t="s">
        <v>89</v>
      </c>
      <c r="F371" s="4">
        <f>IFERROR(AVERAGEIF(Table1[[#This Row],[2019-Apr]:[2025-July]],"&lt;&gt;0"),0)</f>
        <v>3.6463064516129036</v>
      </c>
      <c r="G371" s="4">
        <f ca="1">IFERROR(AVERAGEIF(OFFSET(Table1[[#This Row],[Status]],0,COUNT(Table1[[#This Row],[2019-May]:[2025-July]]),1,-12),"&lt;&gt;0"),0)</f>
        <v>3.6499999999999995</v>
      </c>
      <c r="H371" s="55">
        <f>IFERROR(SMALL(Table1[[#This Row],[2019-Apr]:[2025-July]],COUNTIF(Table1[[#This Row],[2019-Apr]:[2025-July]],0)+1),0)</f>
        <v>2.2330000000000001</v>
      </c>
      <c r="I371" s="55">
        <f>IFERROR(MAX(Table1[[#This Row],[2019-Apr]:[2025-July]]),0)</f>
        <v>5.94</v>
      </c>
      <c r="J371" s="4" cm="1">
        <f t="array" ref="J37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2.5909999999999997</v>
      </c>
      <c r="K371" s="4">
        <v>4.5</v>
      </c>
      <c r="L371" s="4">
        <f>IF(Table1[[#This Row],[Standard as per ISO]]&gt;=Table1[[#This Row],[Avg of best 6]],Table1[[#This Row],[Standard as per ISO]],Table1[[#This Row],[Avg of best 6]])</f>
        <v>4.5</v>
      </c>
      <c r="M371" s="4" cm="1">
        <f t="array" ref="M371">IFERROR(LOOKUP(2,1/(Table1[[#This Row],[2019-May]:[2025-July]]&lt;&gt;0),Table1[[#This Row],[2019-May]:[2025-July]]),0)</f>
        <v>3.7</v>
      </c>
      <c r="N371" s="4">
        <f>COUNTIF(Table1[[#This Row],[2019-Apr]:[2025-July]],"&gt;="&amp;Table1[[#This Row],[Target]])</f>
        <v>9</v>
      </c>
      <c r="O371" s="4">
        <f>IF(Table1[[#This Row],[Outliers 2Y]]=0,1,0)</f>
        <v>0</v>
      </c>
      <c r="P371" s="4">
        <f>IF(Table1[[#This Row],[Last value]]&gt;1.5*Table1[[#This Row],[Target]],1,0)</f>
        <v>0</v>
      </c>
      <c r="Q371" s="4">
        <f>IF(AND(1.5*Table1[[#This Row],[Target]]&gt;=Table1[[#This Row],[Last value]],Table1[[#This Row],[Last value]]&gt;Table1[[#This Row],[Target]]),1,0)</f>
        <v>0</v>
      </c>
      <c r="R371" s="4">
        <f>IF(Table1[[#This Row],[Target]]&gt;=Table1[[#This Row],[Last value]],1,0)</f>
        <v>1</v>
      </c>
      <c r="S371" s="4" t="str">
        <f t="shared" si="7"/>
        <v>Green</v>
      </c>
      <c r="T371" s="55">
        <v>0</v>
      </c>
      <c r="U371" s="55">
        <v>3.84</v>
      </c>
      <c r="V371" s="55">
        <v>4.1500000000000004</v>
      </c>
      <c r="W371" s="55">
        <v>2.74</v>
      </c>
      <c r="X371" s="55">
        <v>3.23</v>
      </c>
      <c r="Y371" s="55">
        <v>5.45</v>
      </c>
      <c r="Z371" s="55">
        <v>3.33</v>
      </c>
      <c r="AA371" s="55">
        <v>3.61</v>
      </c>
      <c r="AB371" s="55">
        <v>3.87</v>
      </c>
      <c r="AC371" s="55">
        <v>3.42</v>
      </c>
      <c r="AD371" s="55">
        <v>2.73</v>
      </c>
      <c r="AE371" s="55">
        <v>4.08</v>
      </c>
      <c r="AF371" s="55">
        <v>3</v>
      </c>
      <c r="AG371" s="55">
        <v>2.8</v>
      </c>
      <c r="AH371" s="55">
        <v>3.85</v>
      </c>
      <c r="AI371" s="55">
        <v>0</v>
      </c>
      <c r="AJ371" s="55">
        <v>4.9400000000000004</v>
      </c>
      <c r="AK371" s="55">
        <v>0</v>
      </c>
      <c r="AL371" s="55">
        <v>3.84</v>
      </c>
      <c r="AM371" s="55">
        <v>0</v>
      </c>
      <c r="AN371" s="55">
        <v>2.99</v>
      </c>
      <c r="AO371" s="55">
        <v>3.16</v>
      </c>
      <c r="AP371" s="55">
        <v>4.08</v>
      </c>
      <c r="AQ371" s="55">
        <v>3.42</v>
      </c>
      <c r="AR371" s="8">
        <v>0</v>
      </c>
      <c r="AS371" s="8">
        <v>3.45</v>
      </c>
      <c r="AT371" s="8">
        <v>4.3899999999999997</v>
      </c>
      <c r="AU371" s="50">
        <v>3.41</v>
      </c>
      <c r="AV371" s="50">
        <v>3.31</v>
      </c>
      <c r="AW371" s="50">
        <v>5.94</v>
      </c>
      <c r="AX371" s="50">
        <v>4.95</v>
      </c>
      <c r="AY371" s="50">
        <v>4.79</v>
      </c>
      <c r="AZ371" s="50">
        <v>4.4000000000000004</v>
      </c>
      <c r="BA371" s="50">
        <v>3.6</v>
      </c>
      <c r="BB371" s="50">
        <v>3.5</v>
      </c>
      <c r="BC371" s="55">
        <v>3.6</v>
      </c>
      <c r="BD371" s="55">
        <v>2.8</v>
      </c>
      <c r="BE371" s="11">
        <v>4.1360000000000001</v>
      </c>
      <c r="BF371" s="4">
        <v>0</v>
      </c>
      <c r="BG371" s="4">
        <v>3.8740000000000001</v>
      </c>
      <c r="BH371" s="4">
        <v>3.6789999999999998</v>
      </c>
      <c r="BI371" s="4">
        <v>2.9889999999999999</v>
      </c>
      <c r="BJ371" s="13">
        <v>5.2859999999999996</v>
      </c>
      <c r="BK371" s="13">
        <v>4.7990000000000004</v>
      </c>
      <c r="BL371" s="4">
        <v>3.5310000000000001</v>
      </c>
      <c r="BM371" s="16">
        <v>3.1629999999999998</v>
      </c>
      <c r="BN371" s="4">
        <v>3.9470000000000001</v>
      </c>
      <c r="BO371" s="4">
        <v>3.9049999999999998</v>
      </c>
      <c r="BP371" s="4">
        <v>3.6349999999999998</v>
      </c>
      <c r="BQ371" s="4">
        <v>2.9329999999999998</v>
      </c>
      <c r="BR371" s="4">
        <v>2.883</v>
      </c>
      <c r="BS371" s="4">
        <v>2.89</v>
      </c>
      <c r="BT371" s="4">
        <v>2.2330000000000001</v>
      </c>
      <c r="BU371" s="4">
        <v>3.1110000000000002</v>
      </c>
      <c r="BV371" s="4">
        <v>3.9340000000000002</v>
      </c>
      <c r="BW371" s="4">
        <v>3.9049999999999998</v>
      </c>
      <c r="BX371" s="4">
        <v>3.0150000000000001</v>
      </c>
      <c r="BY371" s="4">
        <v>2.7930000000000001</v>
      </c>
      <c r="BZ371" s="55">
        <v>2.96</v>
      </c>
      <c r="CA371" s="55">
        <v>0</v>
      </c>
      <c r="CB371" s="55">
        <v>0</v>
      </c>
      <c r="CC371" s="55">
        <v>2.5499999999999998</v>
      </c>
      <c r="CD371" s="55">
        <v>0</v>
      </c>
      <c r="CE371" s="19">
        <v>0</v>
      </c>
      <c r="CF371" s="19">
        <v>0</v>
      </c>
      <c r="CG371" s="4">
        <v>0</v>
      </c>
      <c r="CH371" s="4">
        <v>0</v>
      </c>
      <c r="CI371" s="4">
        <v>3.05</v>
      </c>
      <c r="CJ371" s="34">
        <v>2.5</v>
      </c>
      <c r="CK371" s="34">
        <v>4.5999999999999996</v>
      </c>
      <c r="CL371" s="43">
        <v>4.3</v>
      </c>
      <c r="CM371" s="4">
        <v>3.6</v>
      </c>
      <c r="CN371" s="53">
        <v>4.5999999999999996</v>
      </c>
      <c r="CO371" s="54">
        <v>0</v>
      </c>
      <c r="CP371" s="54">
        <v>2.9</v>
      </c>
      <c r="CQ371" s="4">
        <v>3.7</v>
      </c>
    </row>
    <row r="372" spans="1:95" s="55" customFormat="1" x14ac:dyDescent="0.35">
      <c r="A372" s="55">
        <v>371</v>
      </c>
      <c r="B372" s="55" t="s">
        <v>112</v>
      </c>
      <c r="C372" s="27" t="s">
        <v>820</v>
      </c>
      <c r="D372" s="50" t="s">
        <v>88</v>
      </c>
      <c r="E372" s="33" t="s">
        <v>91</v>
      </c>
      <c r="F372" s="4">
        <f>IFERROR(AVERAGEIF(Table1[[#This Row],[2019-Apr]:[2025-July]],"&lt;&gt;0"),0)</f>
        <v>2.0376304347826086</v>
      </c>
      <c r="G372" s="4">
        <f ca="1">IFERROR(AVERAGEIF(OFFSET(Table1[[#This Row],[Status]],0,COUNT(Table1[[#This Row],[2019-May]:[2025-July]]),1,-12),"&lt;&gt;0"),0)</f>
        <v>1.8266666666666664</v>
      </c>
      <c r="H372" s="55">
        <f>IFERROR(SMALL(Table1[[#This Row],[2019-Apr]:[2025-July]],COUNTIF(Table1[[#This Row],[2019-Apr]:[2025-July]],0)+1),0)</f>
        <v>0.98599999999999999</v>
      </c>
      <c r="I372" s="55">
        <f>IFERROR(MAX(Table1[[#This Row],[2019-Apr]:[2025-July]]),0)</f>
        <v>3.93</v>
      </c>
      <c r="J372" s="4" cm="1">
        <f t="array" ref="J37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1.161</v>
      </c>
      <c r="K372" s="4">
        <v>4.5</v>
      </c>
      <c r="L372" s="4">
        <f>IF(Table1[[#This Row],[Standard as per ISO]]&gt;=Table1[[#This Row],[Avg of best 6]],Table1[[#This Row],[Standard as per ISO]],Table1[[#This Row],[Avg of best 6]])</f>
        <v>4.5</v>
      </c>
      <c r="M372" s="4" cm="1">
        <f t="array" ref="M372">IFERROR(LOOKUP(2,1/(Table1[[#This Row],[2019-May]:[2025-July]]&lt;&gt;0),Table1[[#This Row],[2019-May]:[2025-July]]),0)</f>
        <v>1.88</v>
      </c>
      <c r="N372" s="4">
        <f>COUNTIF(Table1[[#This Row],[2019-Apr]:[2025-July]],"&gt;="&amp;Table1[[#This Row],[Target]])</f>
        <v>0</v>
      </c>
      <c r="O372" s="4">
        <f>IF(Table1[[#This Row],[Outliers 2Y]]=0,1,0)</f>
        <v>1</v>
      </c>
      <c r="P372" s="4">
        <f>IF(Table1[[#This Row],[Last value]]&gt;1.5*Table1[[#This Row],[Target]],1,0)</f>
        <v>0</v>
      </c>
      <c r="Q372" s="4">
        <f>IF(AND(1.5*Table1[[#This Row],[Target]]&gt;=Table1[[#This Row],[Last value]],Table1[[#This Row],[Last value]]&gt;Table1[[#This Row],[Target]]),1,0)</f>
        <v>0</v>
      </c>
      <c r="R372" s="4">
        <f>IF(Table1[[#This Row],[Target]]&gt;=Table1[[#This Row],[Last value]],1,0)</f>
        <v>1</v>
      </c>
      <c r="S372" s="4" t="str">
        <f t="shared" si="7"/>
        <v>Green</v>
      </c>
      <c r="T372" s="55">
        <v>0</v>
      </c>
      <c r="U372" s="55">
        <v>2.31</v>
      </c>
      <c r="V372" s="55">
        <v>1.63</v>
      </c>
      <c r="W372" s="55">
        <v>2.87</v>
      </c>
      <c r="X372" s="55">
        <v>3.3</v>
      </c>
      <c r="Y372" s="55">
        <v>2.48</v>
      </c>
      <c r="Z372" s="55">
        <v>2.11</v>
      </c>
      <c r="AA372" s="55">
        <v>1.39</v>
      </c>
      <c r="AB372" s="55">
        <v>2.4</v>
      </c>
      <c r="AC372" s="55">
        <v>2.0699999999999998</v>
      </c>
      <c r="AD372" s="55">
        <v>0</v>
      </c>
      <c r="AE372" s="55">
        <v>2.11</v>
      </c>
      <c r="AF372" s="55">
        <v>1.8</v>
      </c>
      <c r="AG372" s="55">
        <v>1.1000000000000001</v>
      </c>
      <c r="AH372" s="55">
        <v>2.8</v>
      </c>
      <c r="AI372" s="55">
        <v>1.49</v>
      </c>
      <c r="AJ372" s="55">
        <v>1.24</v>
      </c>
      <c r="AK372" s="55">
        <v>1.34</v>
      </c>
      <c r="AL372" s="55">
        <v>3.93</v>
      </c>
      <c r="AM372" s="55">
        <v>0</v>
      </c>
      <c r="AN372" s="55">
        <v>0</v>
      </c>
      <c r="AO372" s="55">
        <v>2.06</v>
      </c>
      <c r="AP372" s="55">
        <v>0</v>
      </c>
      <c r="AQ372" s="55">
        <v>1.67</v>
      </c>
      <c r="AR372" s="8">
        <v>0</v>
      </c>
      <c r="AS372" s="8">
        <v>1.1399999999999999</v>
      </c>
      <c r="AT372" s="8">
        <v>2.4700000000000002</v>
      </c>
      <c r="AU372" s="50">
        <v>2.58</v>
      </c>
      <c r="AV372" s="50">
        <v>2.2999999999999998</v>
      </c>
      <c r="AW372" s="50">
        <v>1.81</v>
      </c>
      <c r="AX372" s="50">
        <v>3.09</v>
      </c>
      <c r="AY372" s="50">
        <v>3.15</v>
      </c>
      <c r="AZ372" s="50">
        <v>1.73</v>
      </c>
      <c r="BA372" s="50">
        <v>2</v>
      </c>
      <c r="BB372" s="50">
        <v>0</v>
      </c>
      <c r="BC372" s="50">
        <v>0</v>
      </c>
      <c r="BD372" s="55">
        <v>2.4</v>
      </c>
      <c r="BE372" s="11">
        <v>0</v>
      </c>
      <c r="BF372" s="4">
        <v>0</v>
      </c>
      <c r="BG372" s="4">
        <v>0</v>
      </c>
      <c r="BH372" s="4">
        <v>1.5209999999999999</v>
      </c>
      <c r="BI372" s="4">
        <v>2.3490000000000002</v>
      </c>
      <c r="BJ372" s="14">
        <v>1.5309999999999999</v>
      </c>
      <c r="BK372" s="14">
        <v>0</v>
      </c>
      <c r="BL372" s="4">
        <v>1.504</v>
      </c>
      <c r="BM372" s="17">
        <v>1.6240000000000001</v>
      </c>
      <c r="BN372" s="4">
        <v>2.3420000000000001</v>
      </c>
      <c r="BO372" s="4">
        <v>1.32</v>
      </c>
      <c r="BP372" s="4">
        <v>0</v>
      </c>
      <c r="BQ372" s="4">
        <v>0</v>
      </c>
      <c r="BR372" s="4">
        <v>0.98599999999999999</v>
      </c>
      <c r="BS372" s="4">
        <v>0</v>
      </c>
      <c r="BT372" s="4">
        <v>3.4060000000000001</v>
      </c>
      <c r="BU372" s="4">
        <v>1.944</v>
      </c>
      <c r="BV372" s="4">
        <v>3.0640000000000001</v>
      </c>
      <c r="BW372" s="4">
        <v>1.2</v>
      </c>
      <c r="BX372" s="4">
        <v>1.39</v>
      </c>
      <c r="BY372" s="4">
        <v>1.3</v>
      </c>
      <c r="BZ372" s="55">
        <v>0</v>
      </c>
      <c r="CA372" s="55">
        <v>0</v>
      </c>
      <c r="CB372" s="55">
        <v>0</v>
      </c>
      <c r="CC372" s="55">
        <v>0</v>
      </c>
      <c r="CD372" s="55">
        <v>0</v>
      </c>
      <c r="CE372" s="19">
        <v>1.7</v>
      </c>
      <c r="CF372" s="19">
        <v>1.9</v>
      </c>
      <c r="CG372" s="4">
        <v>0</v>
      </c>
      <c r="CH372" s="4">
        <v>0</v>
      </c>
      <c r="CI372" s="4">
        <v>1.88</v>
      </c>
      <c r="CJ372" s="34">
        <v>0</v>
      </c>
      <c r="CK372" s="34">
        <v>0</v>
      </c>
      <c r="CL372" s="34">
        <v>0</v>
      </c>
      <c r="CM372" s="4">
        <v>0</v>
      </c>
      <c r="CN372" s="53">
        <v>0</v>
      </c>
      <c r="CO372" s="54">
        <v>0</v>
      </c>
      <c r="CP372" s="54">
        <v>0</v>
      </c>
      <c r="CQ372" s="4">
        <v>0</v>
      </c>
    </row>
    <row r="373" spans="1:95" s="55" customFormat="1" x14ac:dyDescent="0.35">
      <c r="A373" s="55">
        <v>372</v>
      </c>
      <c r="B373" s="55" t="s">
        <v>112</v>
      </c>
      <c r="C373" s="27" t="s">
        <v>821</v>
      </c>
      <c r="D373" s="50" t="s">
        <v>88</v>
      </c>
      <c r="E373" s="33" t="s">
        <v>91</v>
      </c>
      <c r="F373" s="4">
        <f>IFERROR(AVERAGEIF(Table1[[#This Row],[2019-Apr]:[2025-July]],"&lt;&gt;0"),0)</f>
        <v>2.586973684210526</v>
      </c>
      <c r="G373" s="4">
        <f ca="1">IFERROR(AVERAGEIF(OFFSET(Table1[[#This Row],[Status]],0,COUNT(Table1[[#This Row],[2019-May]:[2025-July]]),1,-12),"&lt;&gt;0"),0)</f>
        <v>2.6349999999999998</v>
      </c>
      <c r="H373" s="55">
        <f>IFERROR(SMALL(Table1[[#This Row],[2019-Apr]:[2025-July]],COUNTIF(Table1[[#This Row],[2019-Apr]:[2025-July]],0)+1),0)</f>
        <v>1.1599999999999999</v>
      </c>
      <c r="I373" s="55">
        <f>IFERROR(MAX(Table1[[#This Row],[2019-Apr]:[2025-July]]),0)</f>
        <v>5.93</v>
      </c>
      <c r="J373" s="4" cm="1">
        <f t="array" ref="J37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1.3166666666666667</v>
      </c>
      <c r="K373" s="4">
        <v>4.5</v>
      </c>
      <c r="L373" s="4">
        <f>IF(Table1[[#This Row],[Standard as per ISO]]&gt;=Table1[[#This Row],[Avg of best 6]],Table1[[#This Row],[Standard as per ISO]],Table1[[#This Row],[Avg of best 6]])</f>
        <v>4.5</v>
      </c>
      <c r="M373" s="4" cm="1">
        <f t="array" ref="M373">IFERROR(LOOKUP(2,1/(Table1[[#This Row],[2019-May]:[2025-July]]&lt;&gt;0),Table1[[#This Row],[2019-May]:[2025-July]]),0)</f>
        <v>2.77</v>
      </c>
      <c r="N373" s="4">
        <f>COUNTIF(Table1[[#This Row],[2019-Apr]:[2025-July]],"&gt;="&amp;Table1[[#This Row],[Target]])</f>
        <v>2</v>
      </c>
      <c r="O373" s="4">
        <f>IF(Table1[[#This Row],[Outliers 2Y]]=0,1,0)</f>
        <v>0</v>
      </c>
      <c r="P373" s="4">
        <f>IF(Table1[[#This Row],[Last value]]&gt;1.5*Table1[[#This Row],[Target]],1,0)</f>
        <v>0</v>
      </c>
      <c r="Q373" s="4">
        <f>IF(AND(1.5*Table1[[#This Row],[Target]]&gt;=Table1[[#This Row],[Last value]],Table1[[#This Row],[Last value]]&gt;Table1[[#This Row],[Target]]),1,0)</f>
        <v>0</v>
      </c>
      <c r="R373" s="4">
        <f>IF(Table1[[#This Row],[Target]]&gt;=Table1[[#This Row],[Last value]],1,0)</f>
        <v>1</v>
      </c>
      <c r="S373" s="4" t="str">
        <f t="shared" si="7"/>
        <v>Green</v>
      </c>
      <c r="T373" s="55">
        <v>0</v>
      </c>
      <c r="U373" s="55">
        <v>1.87</v>
      </c>
      <c r="V373" s="55">
        <v>3.17</v>
      </c>
      <c r="W373" s="55">
        <v>1.1599999999999999</v>
      </c>
      <c r="X373" s="55">
        <v>0</v>
      </c>
      <c r="Y373" s="55">
        <v>1.88</v>
      </c>
      <c r="Z373" s="55">
        <v>2.21</v>
      </c>
      <c r="AA373" s="55">
        <v>1.27</v>
      </c>
      <c r="AB373" s="55">
        <v>2</v>
      </c>
      <c r="AC373" s="55">
        <v>1.21</v>
      </c>
      <c r="AD373" s="55">
        <v>4.3899999999999997</v>
      </c>
      <c r="AE373" s="55">
        <v>0</v>
      </c>
      <c r="AF373" s="55">
        <v>1.56</v>
      </c>
      <c r="AG373" s="55">
        <v>0</v>
      </c>
      <c r="AH373" s="55">
        <v>2</v>
      </c>
      <c r="AI373" s="55">
        <v>1.42</v>
      </c>
      <c r="AJ373" s="55">
        <v>1.78</v>
      </c>
      <c r="AK373" s="55">
        <v>1.31</v>
      </c>
      <c r="AL373" s="55">
        <v>4.18</v>
      </c>
      <c r="AM373" s="55">
        <v>2.76</v>
      </c>
      <c r="AN373" s="55">
        <v>1.82</v>
      </c>
      <c r="AO373" s="55">
        <v>3.87</v>
      </c>
      <c r="AP373" s="55">
        <v>0</v>
      </c>
      <c r="AQ373" s="55">
        <v>2.77</v>
      </c>
      <c r="AR373" s="8">
        <v>0</v>
      </c>
      <c r="AS373" s="8">
        <v>0</v>
      </c>
      <c r="AT373" s="8">
        <v>0</v>
      </c>
      <c r="AU373" s="50">
        <v>1.53</v>
      </c>
      <c r="AV373" s="50">
        <v>0</v>
      </c>
      <c r="AW373" s="50">
        <v>3.87</v>
      </c>
      <c r="AX373" s="50">
        <v>5.01</v>
      </c>
      <c r="AY373" s="50">
        <v>5.93</v>
      </c>
      <c r="AZ373" s="50">
        <v>0</v>
      </c>
      <c r="BA373" s="50">
        <v>0</v>
      </c>
      <c r="BB373" s="50">
        <v>0</v>
      </c>
      <c r="BC373" s="50">
        <v>0</v>
      </c>
      <c r="BD373" s="55">
        <v>1.9</v>
      </c>
      <c r="BE373" s="11">
        <v>0</v>
      </c>
      <c r="BF373" s="4">
        <v>0</v>
      </c>
      <c r="BG373" s="4">
        <v>0</v>
      </c>
      <c r="BH373" s="4">
        <v>1.8839999999999999</v>
      </c>
      <c r="BI373" s="4">
        <v>3.6880000000000002</v>
      </c>
      <c r="BJ373" s="13">
        <v>0</v>
      </c>
      <c r="BK373" s="13">
        <v>0</v>
      </c>
      <c r="BL373" s="4">
        <v>3.6880000000000002</v>
      </c>
      <c r="BM373" s="16">
        <v>2.282</v>
      </c>
      <c r="BN373" s="4">
        <v>3.3940000000000001</v>
      </c>
      <c r="BO373" s="4">
        <v>2.7679999999999998</v>
      </c>
      <c r="BP373" s="4">
        <v>0</v>
      </c>
      <c r="BQ373" s="4">
        <v>0</v>
      </c>
      <c r="BR373" s="4">
        <v>1.851</v>
      </c>
      <c r="BS373" s="4">
        <v>0</v>
      </c>
      <c r="BT373" s="4">
        <v>2.6680000000000001</v>
      </c>
      <c r="BU373" s="4">
        <v>2.8439999999999999</v>
      </c>
      <c r="BV373" s="4">
        <v>2.7189999999999999</v>
      </c>
      <c r="BW373" s="4">
        <v>0</v>
      </c>
      <c r="BX373" s="4">
        <v>2.1040000000000001</v>
      </c>
      <c r="BY373" s="4">
        <v>2.2749999999999999</v>
      </c>
      <c r="BZ373" s="55">
        <v>0</v>
      </c>
      <c r="CA373" s="55">
        <v>0</v>
      </c>
      <c r="CB373" s="55">
        <v>0</v>
      </c>
      <c r="CC373" s="55">
        <v>0</v>
      </c>
      <c r="CD373" s="55">
        <v>0</v>
      </c>
      <c r="CE373" s="19">
        <v>0</v>
      </c>
      <c r="CF373" s="19">
        <v>2.5</v>
      </c>
      <c r="CG373" s="4">
        <v>0</v>
      </c>
      <c r="CH373" s="4">
        <v>0</v>
      </c>
      <c r="CI373" s="4">
        <v>2.77</v>
      </c>
      <c r="CJ373" s="34">
        <v>0</v>
      </c>
      <c r="CK373" s="34">
        <v>0</v>
      </c>
      <c r="CL373" s="34">
        <v>0</v>
      </c>
      <c r="CM373" s="4">
        <v>0</v>
      </c>
      <c r="CN373" s="53">
        <v>0</v>
      </c>
      <c r="CO373" s="54">
        <v>0</v>
      </c>
      <c r="CP373" s="54">
        <v>0</v>
      </c>
      <c r="CQ373" s="4">
        <v>0</v>
      </c>
    </row>
    <row r="374" spans="1:95" s="55" customFormat="1" x14ac:dyDescent="0.35">
      <c r="A374" s="55">
        <v>373</v>
      </c>
      <c r="B374" s="55" t="s">
        <v>112</v>
      </c>
      <c r="C374" s="27" t="s">
        <v>822</v>
      </c>
      <c r="D374" s="50" t="s">
        <v>88</v>
      </c>
      <c r="E374" s="33" t="s">
        <v>91</v>
      </c>
      <c r="F374" s="4">
        <f>IFERROR(AVERAGEIF(Table1[[#This Row],[2019-Apr]:[2025-July]],"&lt;&gt;0"),0)</f>
        <v>2.7629743589743585</v>
      </c>
      <c r="G374" s="4">
        <f ca="1">IFERROR(AVERAGEIF(OFFSET(Table1[[#This Row],[Status]],0,COUNT(Table1[[#This Row],[2019-May]:[2025-July]]),1,-12),"&lt;&gt;0"),0)</f>
        <v>2.08</v>
      </c>
      <c r="H374" s="55">
        <f>IFERROR(SMALL(Table1[[#This Row],[2019-Apr]:[2025-July]],COUNTIF(Table1[[#This Row],[2019-Apr]:[2025-July]],0)+1),0)</f>
        <v>1.32</v>
      </c>
      <c r="I374" s="55">
        <f>IFERROR(MAX(Table1[[#This Row],[2019-Apr]:[2025-July]]),0)</f>
        <v>6.89</v>
      </c>
      <c r="J374" s="4" cm="1">
        <f t="array" ref="J37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1.5283333333333333</v>
      </c>
      <c r="K374" s="4">
        <v>4.5</v>
      </c>
      <c r="L374" s="4">
        <f>IF(Table1[[#This Row],[Standard as per ISO]]&gt;=Table1[[#This Row],[Avg of best 6]],Table1[[#This Row],[Standard as per ISO]],Table1[[#This Row],[Avg of best 6]])</f>
        <v>4.5</v>
      </c>
      <c r="M374" s="4" cm="1">
        <f t="array" ref="M374">IFERROR(LOOKUP(2,1/(Table1[[#This Row],[2019-May]:[2025-July]]&lt;&gt;0),Table1[[#This Row],[2019-May]:[2025-July]]),0)</f>
        <v>2.46</v>
      </c>
      <c r="N374" s="4">
        <f>COUNTIF(Table1[[#This Row],[2019-Apr]:[2025-July]],"&gt;="&amp;Table1[[#This Row],[Target]])</f>
        <v>3</v>
      </c>
      <c r="O374" s="4">
        <f>IF(Table1[[#This Row],[Outliers 2Y]]=0,1,0)</f>
        <v>0</v>
      </c>
      <c r="P374" s="4">
        <f>IF(Table1[[#This Row],[Last value]]&gt;1.5*Table1[[#This Row],[Target]],1,0)</f>
        <v>0</v>
      </c>
      <c r="Q374" s="4">
        <f>IF(AND(1.5*Table1[[#This Row],[Target]]&gt;=Table1[[#This Row],[Last value]],Table1[[#This Row],[Last value]]&gt;Table1[[#This Row],[Target]]),1,0)</f>
        <v>0</v>
      </c>
      <c r="R374" s="4">
        <f>IF(Table1[[#This Row],[Target]]&gt;=Table1[[#This Row],[Last value]],1,0)</f>
        <v>1</v>
      </c>
      <c r="S374" s="4" t="str">
        <f t="shared" si="7"/>
        <v>Green</v>
      </c>
      <c r="T374" s="55">
        <v>0</v>
      </c>
      <c r="U374" s="55">
        <v>2.1</v>
      </c>
      <c r="V374" s="55">
        <v>3.17</v>
      </c>
      <c r="W374" s="55">
        <v>2.12</v>
      </c>
      <c r="X374" s="55">
        <v>2.2000000000000002</v>
      </c>
      <c r="Y374" s="55">
        <v>3.74</v>
      </c>
      <c r="Z374" s="55">
        <v>2.48</v>
      </c>
      <c r="AA374" s="55">
        <v>0</v>
      </c>
      <c r="AB374" s="55">
        <v>2.2999999999999998</v>
      </c>
      <c r="AC374" s="55">
        <v>3.66</v>
      </c>
      <c r="AD374" s="55">
        <v>1.37</v>
      </c>
      <c r="AE374" s="55">
        <v>0</v>
      </c>
      <c r="AF374" s="55">
        <v>2.2000000000000002</v>
      </c>
      <c r="AG374" s="55">
        <v>2.4</v>
      </c>
      <c r="AH374" s="55">
        <v>2.44</v>
      </c>
      <c r="AI374" s="55">
        <v>0</v>
      </c>
      <c r="AJ374" s="55">
        <v>1.75</v>
      </c>
      <c r="AK374" s="55">
        <v>0</v>
      </c>
      <c r="AL374" s="55">
        <v>1.63</v>
      </c>
      <c r="AM374" s="55">
        <v>0</v>
      </c>
      <c r="AN374" s="55">
        <v>2.34</v>
      </c>
      <c r="AO374" s="55">
        <v>3.11</v>
      </c>
      <c r="AP374" s="55">
        <v>5.21</v>
      </c>
      <c r="AQ374" s="55">
        <v>0</v>
      </c>
      <c r="AR374" s="8">
        <v>6.89</v>
      </c>
      <c r="AS374" s="8">
        <v>0</v>
      </c>
      <c r="AT374" s="8">
        <v>2.4500000000000002</v>
      </c>
      <c r="AU374" s="50">
        <v>1.91</v>
      </c>
      <c r="AV374" s="50">
        <v>2.73</v>
      </c>
      <c r="AW374" s="50">
        <v>1.32</v>
      </c>
      <c r="AX374" s="50">
        <v>2.29</v>
      </c>
      <c r="AY374" s="50">
        <v>2.21</v>
      </c>
      <c r="AZ374" s="50">
        <v>3.3</v>
      </c>
      <c r="BA374" s="50">
        <v>0</v>
      </c>
      <c r="BB374" s="50">
        <v>1.4</v>
      </c>
      <c r="BC374" s="50">
        <v>0</v>
      </c>
      <c r="BD374" s="55">
        <v>0</v>
      </c>
      <c r="BE374" s="11">
        <v>0</v>
      </c>
      <c r="BF374" s="4">
        <v>0</v>
      </c>
      <c r="BG374" s="4">
        <v>0</v>
      </c>
      <c r="BH374" s="4">
        <v>3.3140000000000001</v>
      </c>
      <c r="BI374" s="4">
        <v>2.883</v>
      </c>
      <c r="BJ374" s="14">
        <v>3.512</v>
      </c>
      <c r="BK374" s="14">
        <v>2.4340000000000002</v>
      </c>
      <c r="BL374" s="4">
        <v>2.9279999999999999</v>
      </c>
      <c r="BM374" s="17">
        <v>2.5790000000000002</v>
      </c>
      <c r="BN374" s="4">
        <v>0</v>
      </c>
      <c r="BO374" s="4">
        <v>0</v>
      </c>
      <c r="BP374" s="4">
        <v>0</v>
      </c>
      <c r="BQ374" s="4">
        <v>5.8170000000000002</v>
      </c>
      <c r="BR374" s="4">
        <v>0</v>
      </c>
      <c r="BS374" s="4">
        <v>0</v>
      </c>
      <c r="BT374" s="4">
        <v>2.6739999999999999</v>
      </c>
      <c r="BU374" s="4">
        <v>2.36</v>
      </c>
      <c r="BV374" s="4">
        <v>3.6819999999999999</v>
      </c>
      <c r="BW374" s="4">
        <v>0</v>
      </c>
      <c r="BX374" s="4">
        <v>0</v>
      </c>
      <c r="BY374" s="4">
        <v>2.6930000000000001</v>
      </c>
      <c r="BZ374" s="55">
        <v>0</v>
      </c>
      <c r="CA374" s="55">
        <v>0</v>
      </c>
      <c r="CB374" s="55">
        <v>0</v>
      </c>
      <c r="CC374" s="55">
        <v>0</v>
      </c>
      <c r="CD374" s="55">
        <v>0</v>
      </c>
      <c r="CE374" s="19">
        <v>0</v>
      </c>
      <c r="CF374" s="19">
        <v>1.7</v>
      </c>
      <c r="CG374" s="4">
        <v>0</v>
      </c>
      <c r="CH374" s="4">
        <v>0</v>
      </c>
      <c r="CI374" s="4">
        <v>2.46</v>
      </c>
      <c r="CJ374" s="34">
        <v>0</v>
      </c>
      <c r="CK374" s="34">
        <v>0</v>
      </c>
      <c r="CL374" s="34">
        <v>0</v>
      </c>
      <c r="CM374" s="4">
        <v>0</v>
      </c>
      <c r="CN374" s="53">
        <v>0</v>
      </c>
      <c r="CO374" s="54">
        <v>0</v>
      </c>
      <c r="CP374" s="54">
        <v>0</v>
      </c>
      <c r="CQ374" s="4">
        <v>0</v>
      </c>
    </row>
    <row r="375" spans="1:95" s="55" customFormat="1" x14ac:dyDescent="0.35">
      <c r="A375" s="55">
        <v>374</v>
      </c>
      <c r="B375" s="55" t="s">
        <v>112</v>
      </c>
      <c r="C375" s="27" t="s">
        <v>823</v>
      </c>
      <c r="D375" s="50" t="s">
        <v>88</v>
      </c>
      <c r="E375" s="33" t="s">
        <v>91</v>
      </c>
      <c r="F375" s="4">
        <f>IFERROR(AVERAGEIF(Table1[[#This Row],[2019-Apr]:[2025-July]],"&lt;&gt;0"),0)</f>
        <v>3.1015882352941184</v>
      </c>
      <c r="G375" s="4">
        <f ca="1">IFERROR(AVERAGEIF(OFFSET(Table1[[#This Row],[Status]],0,COUNT(Table1[[#This Row],[2019-May]:[2025-July]]),1,-12),"&lt;&gt;0"),0)</f>
        <v>2.2000000000000002</v>
      </c>
      <c r="H375" s="55">
        <f>IFERROR(SMALL(Table1[[#This Row],[2019-Apr]:[2025-July]],COUNTIF(Table1[[#This Row],[2019-Apr]:[2025-July]],0)+1),0)</f>
        <v>1.25</v>
      </c>
      <c r="I375" s="55">
        <f>IFERROR(MAX(Table1[[#This Row],[2019-Apr]:[2025-July]]),0)</f>
        <v>6.5960000000000001</v>
      </c>
      <c r="J375" s="4" cm="1">
        <f t="array" ref="J37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1.7526666666666666</v>
      </c>
      <c r="K375" s="4">
        <v>4.5</v>
      </c>
      <c r="L375" s="4">
        <f>IF(Table1[[#This Row],[Standard as per ISO]]&gt;=Table1[[#This Row],[Avg of best 6]],Table1[[#This Row],[Standard as per ISO]],Table1[[#This Row],[Avg of best 6]])</f>
        <v>4.5</v>
      </c>
      <c r="M375" s="4" cm="1">
        <f t="array" ref="M375">IFERROR(LOOKUP(2,1/(Table1[[#This Row],[2019-May]:[2025-July]]&lt;&gt;0),Table1[[#This Row],[2019-May]:[2025-July]]),0)</f>
        <v>2.2000000000000002</v>
      </c>
      <c r="N375" s="4">
        <f>COUNTIF(Table1[[#This Row],[2019-Apr]:[2025-July]],"&gt;="&amp;Table1[[#This Row],[Target]])</f>
        <v>3</v>
      </c>
      <c r="O375" s="4">
        <f>IF(Table1[[#This Row],[Outliers 2Y]]=0,1,0)</f>
        <v>0</v>
      </c>
      <c r="P375" s="4">
        <f>IF(Table1[[#This Row],[Last value]]&gt;1.5*Table1[[#This Row],[Target]],1,0)</f>
        <v>0</v>
      </c>
      <c r="Q375" s="4">
        <f>IF(AND(1.5*Table1[[#This Row],[Target]]&gt;=Table1[[#This Row],[Last value]],Table1[[#This Row],[Last value]]&gt;Table1[[#This Row],[Target]]),1,0)</f>
        <v>0</v>
      </c>
      <c r="R375" s="4">
        <f>IF(Table1[[#This Row],[Target]]&gt;=Table1[[#This Row],[Last value]],1,0)</f>
        <v>1</v>
      </c>
      <c r="S375" s="4" t="str">
        <f t="shared" ref="S375:S410" si="8">IF(P375=1, "Red", IF(Q375=1, "Yellow", "Green"))</f>
        <v>Green</v>
      </c>
      <c r="T375" s="55">
        <v>0</v>
      </c>
      <c r="U375" s="55">
        <v>2.66</v>
      </c>
      <c r="V375" s="55">
        <v>0</v>
      </c>
      <c r="W375" s="55">
        <v>0</v>
      </c>
      <c r="X375" s="55">
        <v>1.25</v>
      </c>
      <c r="Y375" s="55">
        <v>1.91</v>
      </c>
      <c r="Z375" s="55">
        <v>0</v>
      </c>
      <c r="AA375" s="55">
        <v>0</v>
      </c>
      <c r="AB375" s="55">
        <v>4.17</v>
      </c>
      <c r="AC375" s="55">
        <v>3.9</v>
      </c>
      <c r="AD375" s="55">
        <v>2.04</v>
      </c>
      <c r="AE375" s="55">
        <v>4.4000000000000004</v>
      </c>
      <c r="AF375" s="55">
        <v>2.1</v>
      </c>
      <c r="AG375" s="55">
        <v>2.2000000000000002</v>
      </c>
      <c r="AH375" s="55">
        <v>3.27</v>
      </c>
      <c r="AI375" s="55">
        <v>0</v>
      </c>
      <c r="AJ375" s="55">
        <v>3.96</v>
      </c>
      <c r="AK375" s="55">
        <v>0</v>
      </c>
      <c r="AL375" s="55">
        <v>0</v>
      </c>
      <c r="AM375" s="55">
        <v>0</v>
      </c>
      <c r="AN375" s="55">
        <v>1.99</v>
      </c>
      <c r="AO375" s="55">
        <v>2.2799999999999998</v>
      </c>
      <c r="AP375" s="55">
        <v>0</v>
      </c>
      <c r="AQ375" s="55">
        <v>0</v>
      </c>
      <c r="AR375" s="8">
        <v>0</v>
      </c>
      <c r="AS375" s="8">
        <v>5.52</v>
      </c>
      <c r="AT375" s="8">
        <v>3.63</v>
      </c>
      <c r="AU375" s="50">
        <v>0</v>
      </c>
      <c r="AV375" s="50">
        <v>2.2000000000000002</v>
      </c>
      <c r="AW375" s="50">
        <v>0</v>
      </c>
      <c r="AX375" s="50">
        <v>0</v>
      </c>
      <c r="AY375" s="50">
        <v>0</v>
      </c>
      <c r="AZ375" s="50">
        <v>0</v>
      </c>
      <c r="BA375" s="50">
        <v>5.9</v>
      </c>
      <c r="BB375" s="50">
        <v>3</v>
      </c>
      <c r="BC375" s="55">
        <v>3.4</v>
      </c>
      <c r="BD375" s="55">
        <v>0</v>
      </c>
      <c r="BE375" s="11">
        <v>0</v>
      </c>
      <c r="BF375" s="4">
        <v>0</v>
      </c>
      <c r="BG375" s="4">
        <v>1.431</v>
      </c>
      <c r="BH375" s="4">
        <v>0</v>
      </c>
      <c r="BI375" s="4">
        <v>2.169</v>
      </c>
      <c r="BJ375" s="13">
        <v>2.5329999999999999</v>
      </c>
      <c r="BK375" s="13">
        <v>3.0219999999999998</v>
      </c>
      <c r="BL375" s="4">
        <v>6.5960000000000001</v>
      </c>
      <c r="BM375" s="16">
        <v>3.0840000000000001</v>
      </c>
      <c r="BN375" s="4">
        <v>3.9529999999999998</v>
      </c>
      <c r="BO375" s="4">
        <v>3.7149999999999999</v>
      </c>
      <c r="BP375" s="4">
        <v>0</v>
      </c>
      <c r="BQ375" s="4">
        <v>3.9390000000000001</v>
      </c>
      <c r="BR375" s="4">
        <v>0</v>
      </c>
      <c r="BS375" s="4">
        <v>3.26</v>
      </c>
      <c r="BT375" s="4">
        <v>3.6070000000000002</v>
      </c>
      <c r="BU375" s="4">
        <v>0</v>
      </c>
      <c r="BV375" s="4">
        <v>0</v>
      </c>
      <c r="BW375" s="4">
        <v>2.23</v>
      </c>
      <c r="BX375" s="4">
        <v>1.905</v>
      </c>
      <c r="BY375" s="4">
        <v>0</v>
      </c>
      <c r="BZ375" s="55">
        <v>2.0299999999999998</v>
      </c>
      <c r="CA375" s="55">
        <v>0</v>
      </c>
      <c r="CB375" s="55">
        <v>0</v>
      </c>
      <c r="CC375" s="55">
        <v>0</v>
      </c>
      <c r="CD375" s="55">
        <v>0</v>
      </c>
      <c r="CE375" s="19">
        <v>2.2000000000000002</v>
      </c>
      <c r="CF375" s="19">
        <v>0</v>
      </c>
      <c r="CG375" s="4">
        <v>0</v>
      </c>
      <c r="CH375" s="4">
        <v>0</v>
      </c>
      <c r="CI375" s="4">
        <v>0</v>
      </c>
      <c r="CJ375" s="34">
        <v>0</v>
      </c>
      <c r="CK375" s="34">
        <v>0</v>
      </c>
      <c r="CL375" s="34">
        <v>0</v>
      </c>
      <c r="CM375" s="4">
        <v>0</v>
      </c>
      <c r="CN375" s="53">
        <v>0</v>
      </c>
      <c r="CO375" s="54">
        <v>0</v>
      </c>
      <c r="CP375" s="54">
        <v>0</v>
      </c>
      <c r="CQ375" s="4">
        <v>0</v>
      </c>
    </row>
    <row r="376" spans="1:95" s="55" customFormat="1" x14ac:dyDescent="0.35">
      <c r="A376" s="55">
        <v>375</v>
      </c>
      <c r="B376" s="55" t="s">
        <v>112</v>
      </c>
      <c r="C376" s="27" t="s">
        <v>824</v>
      </c>
      <c r="D376" s="50" t="s">
        <v>88</v>
      </c>
      <c r="E376" s="33" t="s">
        <v>91</v>
      </c>
      <c r="F376" s="4">
        <f>IFERROR(AVERAGEIF(Table1[[#This Row],[2019-Apr]:[2025-July]],"&lt;&gt;0"),0)</f>
        <v>2.4965517241379311</v>
      </c>
      <c r="G376" s="4">
        <f ca="1">IFERROR(AVERAGEIF(OFFSET(Table1[[#This Row],[Status]],0,COUNT(Table1[[#This Row],[2019-May]:[2025-July]]),1,-12),"&lt;&gt;0"),0)</f>
        <v>1.7999999999999998</v>
      </c>
      <c r="H376" s="55">
        <f>IFERROR(SMALL(Table1[[#This Row],[2019-Apr]:[2025-July]],COUNTIF(Table1[[#This Row],[2019-Apr]:[2025-July]],0)+1),0)</f>
        <v>0.91</v>
      </c>
      <c r="I376" s="55">
        <f>IFERROR(MAX(Table1[[#This Row],[2019-Apr]:[2025-July]]),0)</f>
        <v>6.24</v>
      </c>
      <c r="J376" s="4" cm="1">
        <f t="array" ref="J37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1.1968333333333334</v>
      </c>
      <c r="K376" s="4">
        <v>4.5</v>
      </c>
      <c r="L376" s="4">
        <f>IF(Table1[[#This Row],[Standard as per ISO]]&gt;=Table1[[#This Row],[Avg of best 6]],Table1[[#This Row],[Standard as per ISO]],Table1[[#This Row],[Avg of best 6]])</f>
        <v>4.5</v>
      </c>
      <c r="M376" s="4" cm="1">
        <f t="array" ref="M376">IFERROR(LOOKUP(2,1/(Table1[[#This Row],[2019-May]:[2025-July]]&lt;&gt;0),Table1[[#This Row],[2019-May]:[2025-July]]),0)</f>
        <v>1.9</v>
      </c>
      <c r="N376" s="4">
        <f>COUNTIF(Table1[[#This Row],[2019-Apr]:[2025-July]],"&gt;="&amp;Table1[[#This Row],[Target]])</f>
        <v>3</v>
      </c>
      <c r="O376" s="4">
        <f>IF(Table1[[#This Row],[Outliers 2Y]]=0,1,0)</f>
        <v>0</v>
      </c>
      <c r="P376" s="4">
        <f>IF(Table1[[#This Row],[Last value]]&gt;1.5*Table1[[#This Row],[Target]],1,0)</f>
        <v>0</v>
      </c>
      <c r="Q376" s="4">
        <f>IF(AND(1.5*Table1[[#This Row],[Target]]&gt;=Table1[[#This Row],[Last value]],Table1[[#This Row],[Last value]]&gt;Table1[[#This Row],[Target]]),1,0)</f>
        <v>0</v>
      </c>
      <c r="R376" s="4">
        <f>IF(Table1[[#This Row],[Target]]&gt;=Table1[[#This Row],[Last value]],1,0)</f>
        <v>1</v>
      </c>
      <c r="S376" s="4" t="str">
        <f t="shared" si="8"/>
        <v>Green</v>
      </c>
      <c r="T376" s="55">
        <v>0</v>
      </c>
      <c r="U376" s="55">
        <v>0</v>
      </c>
      <c r="V376" s="55">
        <v>3.99</v>
      </c>
      <c r="W376" s="55">
        <v>3.7</v>
      </c>
      <c r="X376" s="55">
        <v>2.5499999999999998</v>
      </c>
      <c r="Y376" s="55">
        <v>0</v>
      </c>
      <c r="Z376" s="55">
        <v>1.64</v>
      </c>
      <c r="AA376" s="55">
        <v>0</v>
      </c>
      <c r="AB376" s="55">
        <v>0</v>
      </c>
      <c r="AC376" s="55">
        <v>0</v>
      </c>
      <c r="AD376" s="55">
        <v>0</v>
      </c>
      <c r="AE376" s="55">
        <v>6.24</v>
      </c>
      <c r="AF376" s="55">
        <v>0</v>
      </c>
      <c r="AG376" s="55">
        <v>0</v>
      </c>
      <c r="AH376" s="55">
        <v>0</v>
      </c>
      <c r="AI376" s="55">
        <v>0</v>
      </c>
      <c r="AJ376" s="55">
        <v>1.68</v>
      </c>
      <c r="AK376" s="55">
        <v>0</v>
      </c>
      <c r="AL376" s="55">
        <v>0.91</v>
      </c>
      <c r="AM376" s="55">
        <v>0</v>
      </c>
      <c r="AN376" s="55">
        <v>1.38</v>
      </c>
      <c r="AO376" s="55">
        <v>0</v>
      </c>
      <c r="AP376" s="55">
        <v>0.93</v>
      </c>
      <c r="AQ376" s="55">
        <v>0</v>
      </c>
      <c r="AR376" s="8">
        <v>0</v>
      </c>
      <c r="AS376" s="8">
        <v>5.87</v>
      </c>
      <c r="AT376" s="8">
        <v>0</v>
      </c>
      <c r="AU376" s="50">
        <v>0</v>
      </c>
      <c r="AV376" s="50">
        <v>0</v>
      </c>
      <c r="AW376" s="50">
        <v>0</v>
      </c>
      <c r="AX376" s="50">
        <v>0</v>
      </c>
      <c r="AY376" s="50">
        <v>0</v>
      </c>
      <c r="AZ376" s="50">
        <v>1.9</v>
      </c>
      <c r="BA376" s="50">
        <v>1.1000000000000001</v>
      </c>
      <c r="BB376" s="50">
        <v>2.2999999999999998</v>
      </c>
      <c r="BC376" s="55">
        <v>5.0999999999999996</v>
      </c>
      <c r="BD376" s="55">
        <v>0</v>
      </c>
      <c r="BE376" s="11">
        <v>0</v>
      </c>
      <c r="BF376" s="4">
        <v>0</v>
      </c>
      <c r="BG376" s="4">
        <v>0</v>
      </c>
      <c r="BH376" s="4">
        <v>3.9209999999999998</v>
      </c>
      <c r="BI376" s="4">
        <v>3.63</v>
      </c>
      <c r="BJ376" s="14">
        <v>0</v>
      </c>
      <c r="BK376" s="14">
        <v>2.0489999999999999</v>
      </c>
      <c r="BL376" s="4">
        <v>3.25</v>
      </c>
      <c r="BM376" s="17">
        <v>1.79</v>
      </c>
      <c r="BN376" s="4">
        <v>2.5870000000000002</v>
      </c>
      <c r="BO376" s="4">
        <v>2.3130000000000002</v>
      </c>
      <c r="BP376" s="4">
        <v>1.7909999999999999</v>
      </c>
      <c r="BQ376" s="4">
        <v>1.4159999999999999</v>
      </c>
      <c r="BR376" s="4">
        <v>1.6910000000000001</v>
      </c>
      <c r="BS376" s="4">
        <v>1.4450000000000001</v>
      </c>
      <c r="BT376" s="4">
        <v>0</v>
      </c>
      <c r="BU376" s="4">
        <v>0</v>
      </c>
      <c r="BV376" s="4">
        <v>0</v>
      </c>
      <c r="BW376" s="4">
        <v>1.931</v>
      </c>
      <c r="BX376" s="4">
        <v>1.696</v>
      </c>
      <c r="BY376" s="4">
        <v>0</v>
      </c>
      <c r="BZ376" s="55">
        <v>0</v>
      </c>
      <c r="CA376" s="55">
        <v>0</v>
      </c>
      <c r="CB376" s="55">
        <v>0</v>
      </c>
      <c r="CC376" s="55">
        <v>0</v>
      </c>
      <c r="CD376" s="55">
        <v>0</v>
      </c>
      <c r="CE376" s="19">
        <v>1.7</v>
      </c>
      <c r="CF376" s="19">
        <v>0</v>
      </c>
      <c r="CG376" s="4">
        <v>0</v>
      </c>
      <c r="CH376" s="4">
        <v>0</v>
      </c>
      <c r="CI376" s="4">
        <v>1.9</v>
      </c>
      <c r="CJ376" s="34">
        <v>0</v>
      </c>
      <c r="CK376" s="34">
        <v>0</v>
      </c>
      <c r="CL376" s="34">
        <v>0</v>
      </c>
      <c r="CM376" s="4">
        <v>0</v>
      </c>
      <c r="CN376" s="53">
        <v>0</v>
      </c>
      <c r="CO376" s="54">
        <v>0</v>
      </c>
      <c r="CP376" s="54">
        <v>0</v>
      </c>
      <c r="CQ376" s="4">
        <v>0</v>
      </c>
    </row>
    <row r="377" spans="1:95" s="55" customFormat="1" x14ac:dyDescent="0.35">
      <c r="A377" s="55">
        <v>376</v>
      </c>
      <c r="B377" s="55" t="s">
        <v>112</v>
      </c>
      <c r="C377" s="27" t="s">
        <v>825</v>
      </c>
      <c r="D377" s="50" t="s">
        <v>88</v>
      </c>
      <c r="E377" s="33" t="s">
        <v>91</v>
      </c>
      <c r="F377" s="4">
        <f>IFERROR(AVERAGEIF(Table1[[#This Row],[2019-Apr]:[2025-July]],"&lt;&gt;0"),0)</f>
        <v>0.77365384615384614</v>
      </c>
      <c r="G377" s="4">
        <f ca="1">IFERROR(AVERAGEIF(OFFSET(Table1[[#This Row],[Status]],0,COUNT(Table1[[#This Row],[2019-May]:[2025-July]]),1,-12),"&lt;&gt;0"),0)</f>
        <v>0.54</v>
      </c>
      <c r="H377" s="55">
        <f>IFERROR(SMALL(Table1[[#This Row],[2019-Apr]:[2025-July]],COUNTIF(Table1[[#This Row],[2019-Apr]:[2025-July]],0)+1),0)</f>
        <v>0.5</v>
      </c>
      <c r="I377" s="55">
        <f>IFERROR(MAX(Table1[[#This Row],[2019-Apr]:[2025-July]]),0)</f>
        <v>1.22</v>
      </c>
      <c r="J377" s="4" cm="1">
        <f t="array" ref="J37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0.54966666666666664</v>
      </c>
      <c r="K377" s="4">
        <v>4.5</v>
      </c>
      <c r="L377" s="4">
        <f>IF(Table1[[#This Row],[Standard as per ISO]]&gt;=Table1[[#This Row],[Avg of best 6]],Table1[[#This Row],[Standard as per ISO]],Table1[[#This Row],[Avg of best 6]])</f>
        <v>4.5</v>
      </c>
      <c r="M377" s="4" cm="1">
        <f t="array" ref="M377">IFERROR(LOOKUP(2,1/(Table1[[#This Row],[2019-May]:[2025-July]]&lt;&gt;0),Table1[[#This Row],[2019-May]:[2025-July]]),0)</f>
        <v>0.57999999999999996</v>
      </c>
      <c r="N377" s="4">
        <f>COUNTIF(Table1[[#This Row],[2019-Apr]:[2025-July]],"&gt;="&amp;Table1[[#This Row],[Target]])</f>
        <v>0</v>
      </c>
      <c r="O377" s="4">
        <f>IF(Table1[[#This Row],[Outliers 2Y]]=0,1,0)</f>
        <v>1</v>
      </c>
      <c r="P377" s="4">
        <f>IF(Table1[[#This Row],[Last value]]&gt;1.5*Table1[[#This Row],[Target]],1,0)</f>
        <v>0</v>
      </c>
      <c r="Q377" s="4">
        <f>IF(AND(1.5*Table1[[#This Row],[Target]]&gt;=Table1[[#This Row],[Last value]],Table1[[#This Row],[Last value]]&gt;Table1[[#This Row],[Target]]),1,0)</f>
        <v>0</v>
      </c>
      <c r="R377" s="4">
        <f>IF(Table1[[#This Row],[Target]]&gt;=Table1[[#This Row],[Last value]],1,0)</f>
        <v>1</v>
      </c>
      <c r="S377" s="4" t="str">
        <f t="shared" si="8"/>
        <v>Green</v>
      </c>
      <c r="T377" s="55">
        <v>0</v>
      </c>
      <c r="U377" s="55">
        <v>0</v>
      </c>
      <c r="V377" s="55">
        <v>0.86</v>
      </c>
      <c r="W377" s="55">
        <v>0.73</v>
      </c>
      <c r="X377" s="55">
        <v>0.74</v>
      </c>
      <c r="Y377" s="55">
        <v>0.79</v>
      </c>
      <c r="Z377" s="55">
        <v>0</v>
      </c>
      <c r="AA377" s="55">
        <v>0</v>
      </c>
      <c r="AB377" s="55">
        <v>0</v>
      </c>
      <c r="AC377" s="55">
        <v>0</v>
      </c>
      <c r="AD377" s="55">
        <v>0</v>
      </c>
      <c r="AE377" s="55">
        <v>0</v>
      </c>
      <c r="AF377" s="55">
        <v>0</v>
      </c>
      <c r="AG377" s="55">
        <v>0</v>
      </c>
      <c r="AH377" s="55">
        <v>0</v>
      </c>
      <c r="AI377" s="55">
        <v>0.66</v>
      </c>
      <c r="AJ377" s="55">
        <v>0</v>
      </c>
      <c r="AK377" s="55">
        <v>0</v>
      </c>
      <c r="AL377" s="55">
        <v>0.6</v>
      </c>
      <c r="AM377" s="55">
        <v>0</v>
      </c>
      <c r="AN377" s="55">
        <v>0</v>
      </c>
      <c r="AO377" s="55">
        <v>0.5</v>
      </c>
      <c r="AP377" s="55">
        <v>0</v>
      </c>
      <c r="AQ377" s="55">
        <v>0</v>
      </c>
      <c r="AR377" s="8">
        <v>0.72</v>
      </c>
      <c r="AS377" s="8">
        <v>0.68</v>
      </c>
      <c r="AT377" s="8">
        <v>1.01</v>
      </c>
      <c r="AU377" s="50">
        <v>0.84</v>
      </c>
      <c r="AV377" s="50">
        <v>0</v>
      </c>
      <c r="AW377" s="50">
        <v>1.01</v>
      </c>
      <c r="AX377" s="50">
        <v>1.22</v>
      </c>
      <c r="AY377" s="50">
        <v>1.06</v>
      </c>
      <c r="AZ377" s="50">
        <v>0</v>
      </c>
      <c r="BA377" s="50">
        <v>1.1000000000000001</v>
      </c>
      <c r="BB377" s="50">
        <v>0</v>
      </c>
      <c r="BC377" s="55">
        <v>0.8</v>
      </c>
      <c r="BD377" s="55">
        <v>0</v>
      </c>
      <c r="BE377" s="11">
        <v>0</v>
      </c>
      <c r="BF377" s="4">
        <v>0</v>
      </c>
      <c r="BG377" s="4">
        <v>0</v>
      </c>
      <c r="BH377" s="4">
        <v>0.51100000000000001</v>
      </c>
      <c r="BI377" s="4">
        <v>0</v>
      </c>
      <c r="BJ377" s="13">
        <v>0</v>
      </c>
      <c r="BK377" s="13">
        <v>0</v>
      </c>
      <c r="BL377" s="4">
        <v>0</v>
      </c>
      <c r="BM377" s="16">
        <v>0</v>
      </c>
      <c r="BN377" s="4">
        <v>0.753</v>
      </c>
      <c r="BO377" s="4">
        <v>0.81399999999999995</v>
      </c>
      <c r="BP377" s="4">
        <v>0.60699999999999998</v>
      </c>
      <c r="BQ377" s="4">
        <v>0.66100000000000003</v>
      </c>
      <c r="BR377" s="4">
        <v>0</v>
      </c>
      <c r="BS377" s="4">
        <v>0.79600000000000004</v>
      </c>
      <c r="BT377" s="4">
        <v>0</v>
      </c>
      <c r="BU377" s="4">
        <v>0</v>
      </c>
      <c r="BV377" s="4">
        <v>0.88500000000000001</v>
      </c>
      <c r="BW377" s="4">
        <v>0.68799999999999994</v>
      </c>
      <c r="BX377" s="4">
        <v>0</v>
      </c>
      <c r="BY377" s="4">
        <v>0</v>
      </c>
      <c r="BZ377" s="55">
        <v>0</v>
      </c>
      <c r="CA377" s="55">
        <v>0</v>
      </c>
      <c r="CB377" s="55">
        <v>0</v>
      </c>
      <c r="CC377" s="55">
        <v>0</v>
      </c>
      <c r="CD377" s="55">
        <v>0</v>
      </c>
      <c r="CE377" s="19">
        <v>0.5</v>
      </c>
      <c r="CF377" s="19">
        <v>0</v>
      </c>
      <c r="CG377" s="4">
        <v>0</v>
      </c>
      <c r="CH377" s="4">
        <v>0</v>
      </c>
      <c r="CI377" s="4">
        <v>0.57999999999999996</v>
      </c>
      <c r="CJ377" s="34">
        <v>0</v>
      </c>
      <c r="CK377" s="34">
        <v>0</v>
      </c>
      <c r="CL377" s="34">
        <v>0</v>
      </c>
      <c r="CM377" s="4">
        <v>0</v>
      </c>
      <c r="CN377" s="53">
        <v>0</v>
      </c>
      <c r="CO377" s="54">
        <v>0</v>
      </c>
      <c r="CP377" s="54">
        <v>0</v>
      </c>
      <c r="CQ377" s="4">
        <v>0</v>
      </c>
    </row>
    <row r="378" spans="1:95" s="55" customFormat="1" x14ac:dyDescent="0.35">
      <c r="A378" s="55">
        <v>377</v>
      </c>
      <c r="B378" s="55" t="s">
        <v>112</v>
      </c>
      <c r="C378" s="27" t="s">
        <v>826</v>
      </c>
      <c r="D378" s="50" t="s">
        <v>88</v>
      </c>
      <c r="E378" s="33" t="s">
        <v>91</v>
      </c>
      <c r="F378" s="4">
        <f>IFERROR(AVERAGEIF(Table1[[#This Row],[2019-Apr]:[2025-July]],"&lt;&gt;0"),0)</f>
        <v>0.85340909090909067</v>
      </c>
      <c r="G378" s="4">
        <f ca="1">IFERROR(AVERAGEIF(OFFSET(Table1[[#This Row],[Status]],0,COUNT(Table1[[#This Row],[2019-May]:[2025-July]]),1,-12),"&lt;&gt;0"),0)</f>
        <v>0.9</v>
      </c>
      <c r="H378" s="55">
        <f>IFERROR(SMALL(Table1[[#This Row],[2019-Apr]:[2025-July]],COUNTIF(Table1[[#This Row],[2019-Apr]:[2025-July]],0)+1),0)</f>
        <v>0.59</v>
      </c>
      <c r="I378" s="55">
        <f>IFERROR(MAX(Table1[[#This Row],[2019-Apr]:[2025-July]]),0)</f>
        <v>1.456</v>
      </c>
      <c r="J378" s="4" cm="1">
        <f t="array" ref="J37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0.61899999999999999</v>
      </c>
      <c r="K378" s="4">
        <v>4.5</v>
      </c>
      <c r="L378" s="4">
        <f>IF(Table1[[#This Row],[Standard as per ISO]]&gt;=Table1[[#This Row],[Avg of best 6]],Table1[[#This Row],[Standard as per ISO]],Table1[[#This Row],[Avg of best 6]])</f>
        <v>4.5</v>
      </c>
      <c r="M378" s="4" cm="1">
        <f t="array" ref="M378">IFERROR(LOOKUP(2,1/(Table1[[#This Row],[2019-May]:[2025-July]]&lt;&gt;0),Table1[[#This Row],[2019-May]:[2025-July]]),0)</f>
        <v>1</v>
      </c>
      <c r="N378" s="4">
        <f>COUNTIF(Table1[[#This Row],[2019-Apr]:[2025-July]],"&gt;="&amp;Table1[[#This Row],[Target]])</f>
        <v>0</v>
      </c>
      <c r="O378" s="4">
        <f>IF(Table1[[#This Row],[Outliers 2Y]]=0,1,0)</f>
        <v>1</v>
      </c>
      <c r="P378" s="4">
        <f>IF(Table1[[#This Row],[Last value]]&gt;1.5*Table1[[#This Row],[Target]],1,0)</f>
        <v>0</v>
      </c>
      <c r="Q378" s="4">
        <f>IF(AND(1.5*Table1[[#This Row],[Target]]&gt;=Table1[[#This Row],[Last value]],Table1[[#This Row],[Last value]]&gt;Table1[[#This Row],[Target]]),1,0)</f>
        <v>0</v>
      </c>
      <c r="R378" s="4">
        <f>IF(Table1[[#This Row],[Target]]&gt;=Table1[[#This Row],[Last value]],1,0)</f>
        <v>1</v>
      </c>
      <c r="S378" s="4" t="str">
        <f t="shared" si="8"/>
        <v>Green</v>
      </c>
      <c r="T378" s="55">
        <v>0</v>
      </c>
      <c r="U378" s="55">
        <v>0.68</v>
      </c>
      <c r="V378" s="55">
        <v>0.72</v>
      </c>
      <c r="W378" s="55">
        <v>0.83</v>
      </c>
      <c r="X378" s="55">
        <v>0.65</v>
      </c>
      <c r="Y378" s="55">
        <v>0.8</v>
      </c>
      <c r="Z378" s="55">
        <v>0.67</v>
      </c>
      <c r="AA378" s="55">
        <v>0.78</v>
      </c>
      <c r="AB378" s="55">
        <v>1.36</v>
      </c>
      <c r="AC378" s="55">
        <v>0.68</v>
      </c>
      <c r="AD378" s="55">
        <v>0</v>
      </c>
      <c r="AE378" s="55">
        <v>0.9</v>
      </c>
      <c r="AF378" s="55">
        <v>0.8</v>
      </c>
      <c r="AG378" s="55">
        <v>0.8</v>
      </c>
      <c r="AH378" s="55">
        <v>1.1000000000000001</v>
      </c>
      <c r="AI378" s="55">
        <v>0.74</v>
      </c>
      <c r="AJ378" s="55">
        <v>0.96</v>
      </c>
      <c r="AK378" s="55">
        <v>0</v>
      </c>
      <c r="AL378" s="55">
        <v>0</v>
      </c>
      <c r="AM378" s="55">
        <v>1.05</v>
      </c>
      <c r="AN378" s="55">
        <v>0.59</v>
      </c>
      <c r="AO378" s="55">
        <v>0.6</v>
      </c>
      <c r="AP378" s="55">
        <v>0</v>
      </c>
      <c r="AQ378" s="55">
        <v>0.73</v>
      </c>
      <c r="AR378" s="8">
        <v>0</v>
      </c>
      <c r="AS378" s="8">
        <v>0.79</v>
      </c>
      <c r="AT378" s="8">
        <v>1</v>
      </c>
      <c r="AU378" s="50">
        <v>0.95</v>
      </c>
      <c r="AV378" s="50">
        <v>0.84</v>
      </c>
      <c r="AW378" s="50">
        <v>1.06</v>
      </c>
      <c r="AX378" s="50">
        <v>0.84</v>
      </c>
      <c r="AY378" s="50">
        <v>0.6</v>
      </c>
      <c r="AZ378" s="50">
        <v>0.77</v>
      </c>
      <c r="BA378" s="50">
        <v>0</v>
      </c>
      <c r="BB378" s="50">
        <v>0.9</v>
      </c>
      <c r="BC378" s="50">
        <v>0</v>
      </c>
      <c r="BD378" s="55">
        <v>1.4</v>
      </c>
      <c r="BE378" s="11">
        <v>1.456</v>
      </c>
      <c r="BF378" s="4">
        <v>0</v>
      </c>
      <c r="BG378" s="4">
        <v>0</v>
      </c>
      <c r="BH378" s="4">
        <v>0</v>
      </c>
      <c r="BI378" s="4">
        <v>0.92700000000000005</v>
      </c>
      <c r="BJ378" s="14">
        <v>0.73</v>
      </c>
      <c r="BK378" s="14">
        <v>0.92600000000000005</v>
      </c>
      <c r="BL378" s="4">
        <v>0.92600000000000005</v>
      </c>
      <c r="BM378" s="17">
        <v>0.76900000000000002</v>
      </c>
      <c r="BN378" s="4">
        <v>0.76900000000000002</v>
      </c>
      <c r="BO378" s="4">
        <v>0</v>
      </c>
      <c r="BP378" s="4">
        <v>0.82399999999999995</v>
      </c>
      <c r="BQ378" s="4">
        <v>0</v>
      </c>
      <c r="BR378" s="4">
        <v>0.74199999999999999</v>
      </c>
      <c r="BS378" s="4">
        <v>0</v>
      </c>
      <c r="BT378" s="4">
        <v>0.67400000000000004</v>
      </c>
      <c r="BU378" s="4">
        <v>0</v>
      </c>
      <c r="BV378" s="4">
        <v>0.88300000000000001</v>
      </c>
      <c r="BW378" s="4">
        <v>0.93</v>
      </c>
      <c r="BX378" s="4">
        <v>0</v>
      </c>
      <c r="BY378" s="4">
        <v>0.60399999999999998</v>
      </c>
      <c r="BZ378" s="55">
        <v>0</v>
      </c>
      <c r="CA378" s="55">
        <v>0</v>
      </c>
      <c r="CB378" s="55">
        <v>0</v>
      </c>
      <c r="CC378" s="55">
        <v>0</v>
      </c>
      <c r="CD378" s="55">
        <v>0</v>
      </c>
      <c r="CE378" s="19">
        <v>0.8</v>
      </c>
      <c r="CF378" s="19">
        <v>1</v>
      </c>
      <c r="CG378" s="4">
        <v>0</v>
      </c>
      <c r="CH378" s="4">
        <v>0</v>
      </c>
      <c r="CI378" s="4">
        <v>0</v>
      </c>
      <c r="CJ378" s="34">
        <v>0</v>
      </c>
      <c r="CK378" s="34">
        <v>0</v>
      </c>
      <c r="CL378" s="34">
        <v>0</v>
      </c>
      <c r="CM378" s="4">
        <v>0</v>
      </c>
      <c r="CN378" s="53">
        <v>0</v>
      </c>
      <c r="CO378" s="54">
        <v>0</v>
      </c>
      <c r="CP378" s="54">
        <v>0</v>
      </c>
      <c r="CQ378" s="4">
        <v>0</v>
      </c>
    </row>
    <row r="379" spans="1:95" s="55" customFormat="1" x14ac:dyDescent="0.35">
      <c r="A379" s="55">
        <v>378</v>
      </c>
      <c r="B379" s="55" t="s">
        <v>112</v>
      </c>
      <c r="C379" s="27" t="s">
        <v>827</v>
      </c>
      <c r="D379" s="50" t="s">
        <v>88</v>
      </c>
      <c r="E379" s="33" t="s">
        <v>91</v>
      </c>
      <c r="F379" s="4">
        <f>IFERROR(AVERAGEIF(Table1[[#This Row],[2019-Apr]:[2025-July]],"&lt;&gt;0"),0)</f>
        <v>0.76248484848484821</v>
      </c>
      <c r="G379" s="4">
        <f ca="1">IFERROR(AVERAGEIF(OFFSET(Table1[[#This Row],[Status]],0,COUNT(Table1[[#This Row],[2019-May]:[2025-July]]),1,-12),"&lt;&gt;0"),0)</f>
        <v>1.1000000000000001</v>
      </c>
      <c r="H379" s="55">
        <f>IFERROR(SMALL(Table1[[#This Row],[2019-Apr]:[2025-July]],COUNTIF(Table1[[#This Row],[2019-Apr]:[2025-July]],0)+1),0)</f>
        <v>0.46300000000000002</v>
      </c>
      <c r="I379" s="55">
        <f>IFERROR(MAX(Table1[[#This Row],[2019-Apr]:[2025-July]]),0)</f>
        <v>1.52</v>
      </c>
      <c r="J379" s="4" cm="1">
        <f t="array" ref="J37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0.50833333333333341</v>
      </c>
      <c r="K379" s="4">
        <v>4.5</v>
      </c>
      <c r="L379" s="4">
        <f>IF(Table1[[#This Row],[Standard as per ISO]]&gt;=Table1[[#This Row],[Avg of best 6]],Table1[[#This Row],[Standard as per ISO]],Table1[[#This Row],[Avg of best 6]])</f>
        <v>4.5</v>
      </c>
      <c r="M379" s="4" cm="1">
        <f t="array" ref="M379">IFERROR(LOOKUP(2,1/(Table1[[#This Row],[2019-May]:[2025-July]]&lt;&gt;0),Table1[[#This Row],[2019-May]:[2025-July]]),0)</f>
        <v>1.1000000000000001</v>
      </c>
      <c r="N379" s="4">
        <f>COUNTIF(Table1[[#This Row],[2019-Apr]:[2025-July]],"&gt;="&amp;Table1[[#This Row],[Target]])</f>
        <v>0</v>
      </c>
      <c r="O379" s="4">
        <f>IF(Table1[[#This Row],[Outliers 2Y]]=0,1,0)</f>
        <v>1</v>
      </c>
      <c r="P379" s="4">
        <f>IF(Table1[[#This Row],[Last value]]&gt;1.5*Table1[[#This Row],[Target]],1,0)</f>
        <v>0</v>
      </c>
      <c r="Q379" s="4">
        <f>IF(AND(1.5*Table1[[#This Row],[Target]]&gt;=Table1[[#This Row],[Last value]],Table1[[#This Row],[Last value]]&gt;Table1[[#This Row],[Target]]),1,0)</f>
        <v>0</v>
      </c>
      <c r="R379" s="4">
        <f>IF(Table1[[#This Row],[Target]]&gt;=Table1[[#This Row],[Last value]],1,0)</f>
        <v>1</v>
      </c>
      <c r="S379" s="4" t="str">
        <f t="shared" si="8"/>
        <v>Green</v>
      </c>
      <c r="T379" s="55">
        <v>0</v>
      </c>
      <c r="U379" s="55">
        <v>0</v>
      </c>
      <c r="V379" s="55">
        <v>0</v>
      </c>
      <c r="W379" s="55">
        <v>0</v>
      </c>
      <c r="X379" s="55">
        <v>0</v>
      </c>
      <c r="Y379" s="55">
        <v>0</v>
      </c>
      <c r="Z379" s="55">
        <v>0.73</v>
      </c>
      <c r="AA379" s="55">
        <v>0</v>
      </c>
      <c r="AB379" s="55">
        <v>1</v>
      </c>
      <c r="AC379" s="55">
        <v>0.82</v>
      </c>
      <c r="AD379" s="55">
        <v>1.21</v>
      </c>
      <c r="AE379" s="55">
        <v>0.8</v>
      </c>
      <c r="AF379" s="55">
        <v>0.8</v>
      </c>
      <c r="AG379" s="55">
        <v>1</v>
      </c>
      <c r="AH379" s="55">
        <v>0.77</v>
      </c>
      <c r="AI379" s="55">
        <v>0</v>
      </c>
      <c r="AJ379" s="55">
        <v>1.52</v>
      </c>
      <c r="AK379" s="55">
        <v>0</v>
      </c>
      <c r="AL379" s="55">
        <v>0.71</v>
      </c>
      <c r="AM379" s="55">
        <v>0</v>
      </c>
      <c r="AN379" s="55">
        <v>0.63</v>
      </c>
      <c r="AO379" s="55">
        <v>0.7</v>
      </c>
      <c r="AP379" s="55">
        <v>0.68</v>
      </c>
      <c r="AQ379" s="55">
        <v>1.03</v>
      </c>
      <c r="AR379" s="8">
        <v>0</v>
      </c>
      <c r="AS379" s="8">
        <v>0</v>
      </c>
      <c r="AT379" s="8">
        <v>0</v>
      </c>
      <c r="AU379" s="50">
        <v>0</v>
      </c>
      <c r="AV379" s="50">
        <v>0.85</v>
      </c>
      <c r="AW379" s="50">
        <v>0.84</v>
      </c>
      <c r="AX379" s="50">
        <v>0</v>
      </c>
      <c r="AY379" s="50">
        <v>0.52</v>
      </c>
      <c r="AZ379" s="50">
        <v>0.52</v>
      </c>
      <c r="BA379" s="50">
        <v>0.6</v>
      </c>
      <c r="BB379" s="50">
        <v>0.5</v>
      </c>
      <c r="BC379" s="50">
        <v>0</v>
      </c>
      <c r="BD379" s="55">
        <v>0</v>
      </c>
      <c r="BE379" s="11">
        <v>0.7</v>
      </c>
      <c r="BF379" s="4">
        <v>0</v>
      </c>
      <c r="BG379" s="4">
        <v>0</v>
      </c>
      <c r="BH379" s="4">
        <v>0.52900000000000003</v>
      </c>
      <c r="BI379" s="4">
        <v>0.72299999999999998</v>
      </c>
      <c r="BJ379" s="14">
        <v>0</v>
      </c>
      <c r="BK379" s="14">
        <v>0.72</v>
      </c>
      <c r="BL379" s="4">
        <v>0</v>
      </c>
      <c r="BM379" s="17">
        <v>0</v>
      </c>
      <c r="BN379" s="4">
        <v>0</v>
      </c>
      <c r="BO379" s="4">
        <v>0.54</v>
      </c>
      <c r="BP379" s="4">
        <v>0.54</v>
      </c>
      <c r="BQ379" s="4">
        <v>0.51800000000000002</v>
      </c>
      <c r="BR379" s="4">
        <v>0.78400000000000003</v>
      </c>
      <c r="BS379" s="4">
        <v>0.73499999999999999</v>
      </c>
      <c r="BT379" s="4">
        <v>0</v>
      </c>
      <c r="BU379" s="4">
        <v>0</v>
      </c>
      <c r="BV379" s="4">
        <v>0</v>
      </c>
      <c r="BW379" s="4">
        <v>0</v>
      </c>
      <c r="BX379" s="4">
        <v>0.46300000000000002</v>
      </c>
      <c r="BY379" s="4">
        <v>0.7</v>
      </c>
      <c r="BZ379" s="55">
        <v>0.88</v>
      </c>
      <c r="CA379" s="55">
        <v>0</v>
      </c>
      <c r="CB379" s="55">
        <v>0</v>
      </c>
      <c r="CC379" s="55">
        <v>0</v>
      </c>
      <c r="CD379" s="55">
        <v>0</v>
      </c>
      <c r="CE379" s="20">
        <v>0</v>
      </c>
      <c r="CF379" s="20">
        <v>1.1000000000000001</v>
      </c>
      <c r="CG379" s="4">
        <v>0</v>
      </c>
      <c r="CH379" s="4">
        <v>0</v>
      </c>
      <c r="CI379" s="4">
        <v>0</v>
      </c>
      <c r="CJ379" s="34">
        <v>0</v>
      </c>
      <c r="CK379" s="34">
        <v>0</v>
      </c>
      <c r="CL379" s="34">
        <v>0</v>
      </c>
      <c r="CM379" s="4">
        <v>0</v>
      </c>
      <c r="CN379" s="53">
        <v>0</v>
      </c>
      <c r="CO379" s="54">
        <v>0</v>
      </c>
      <c r="CP379" s="54">
        <v>0</v>
      </c>
      <c r="CQ379" s="4">
        <v>0</v>
      </c>
    </row>
    <row r="380" spans="1:95" s="55" customFormat="1" x14ac:dyDescent="0.35">
      <c r="A380" s="55">
        <v>379</v>
      </c>
      <c r="B380" s="55" t="s">
        <v>112</v>
      </c>
      <c r="C380" s="27" t="s">
        <v>828</v>
      </c>
      <c r="D380" s="50" t="s">
        <v>104</v>
      </c>
      <c r="E380" s="33" t="s">
        <v>91</v>
      </c>
      <c r="F380" s="4">
        <f>IFERROR(AVERAGEIF(Table1[[#This Row],[2019-Apr]:[2025-July]],"&lt;&gt;0"),0)</f>
        <v>5.6933333333333334</v>
      </c>
      <c r="G380" s="4">
        <f ca="1">IFERROR(AVERAGEIF(OFFSET(Table1[[#This Row],[Status]],0,COUNT(Table1[[#This Row],[2019-May]:[2025-July]]),1,-12),"&lt;&gt;0"),0)</f>
        <v>4.6500000000000004</v>
      </c>
      <c r="H380" s="55">
        <f>IFERROR(SMALL(Table1[[#This Row],[2019-Apr]:[2025-July]],COUNTIF(Table1[[#This Row],[2019-Apr]:[2025-July]],0)+1),0)</f>
        <v>3.5049999999999999</v>
      </c>
      <c r="I380" s="55">
        <f>IFERROR(MAX(Table1[[#This Row],[2019-Apr]:[2025-July]]),0)</f>
        <v>8.7200000000000006</v>
      </c>
      <c r="J380" s="4" cm="1">
        <f t="array" ref="J38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3.7648333333333333</v>
      </c>
      <c r="K380" s="4">
        <v>4.5</v>
      </c>
      <c r="L380" s="4">
        <f>IF(Table1[[#This Row],[Standard as per ISO]]&gt;=Table1[[#This Row],[Avg of best 6]],Table1[[#This Row],[Standard as per ISO]],Table1[[#This Row],[Avg of best 6]])</f>
        <v>4.5</v>
      </c>
      <c r="M380" s="4" cm="1">
        <f t="array" ref="M380">IFERROR(LOOKUP(2,1/(Table1[[#This Row],[2019-May]:[2025-July]]&lt;&gt;0),Table1[[#This Row],[2019-May]:[2025-July]]),0)</f>
        <v>3.8</v>
      </c>
      <c r="N380" s="4">
        <f>COUNTIF(Table1[[#This Row],[2019-Apr]:[2025-July]],"&gt;="&amp;Table1[[#This Row],[Target]])</f>
        <v>37</v>
      </c>
      <c r="O380" s="4">
        <f>IF(Table1[[#This Row],[Outliers 2Y]]=0,1,0)</f>
        <v>0</v>
      </c>
      <c r="P380" s="4">
        <f>IF(Table1[[#This Row],[Last value]]&gt;1.5*Table1[[#This Row],[Target]],1,0)</f>
        <v>0</v>
      </c>
      <c r="Q380" s="4">
        <f>IF(AND(1.5*Table1[[#This Row],[Target]]&gt;=Table1[[#This Row],[Last value]],Table1[[#This Row],[Last value]]&gt;Table1[[#This Row],[Target]]),1,0)</f>
        <v>0</v>
      </c>
      <c r="R380" s="4">
        <f>IF(Table1[[#This Row],[Target]]&gt;=Table1[[#This Row],[Last value]],1,0)</f>
        <v>1</v>
      </c>
      <c r="S380" s="4" t="str">
        <f t="shared" si="8"/>
        <v>Green</v>
      </c>
      <c r="T380" s="55">
        <v>0</v>
      </c>
      <c r="U380" s="55">
        <v>4.38</v>
      </c>
      <c r="V380" s="55">
        <v>5.29</v>
      </c>
      <c r="W380" s="55">
        <v>5.63</v>
      </c>
      <c r="X380" s="55">
        <v>6.3</v>
      </c>
      <c r="Y380" s="55">
        <v>6.97</v>
      </c>
      <c r="Z380" s="55">
        <v>4.79</v>
      </c>
      <c r="AA380" s="55">
        <v>5.72</v>
      </c>
      <c r="AB380" s="55">
        <v>6</v>
      </c>
      <c r="AC380" s="55">
        <v>5.36</v>
      </c>
      <c r="AD380" s="55">
        <v>7.37</v>
      </c>
      <c r="AE380" s="55">
        <v>5.3</v>
      </c>
      <c r="AF380" s="55">
        <v>8.1999999999999993</v>
      </c>
      <c r="AG380" s="55">
        <v>7.5</v>
      </c>
      <c r="AH380" s="55">
        <v>7.2</v>
      </c>
      <c r="AI380" s="55">
        <v>6.81</v>
      </c>
      <c r="AJ380" s="55">
        <v>6.58</v>
      </c>
      <c r="AK380" s="55">
        <v>5.7</v>
      </c>
      <c r="AL380" s="55">
        <v>4.8099999999999996</v>
      </c>
      <c r="AM380" s="55">
        <v>0</v>
      </c>
      <c r="AN380" s="55">
        <v>6.27</v>
      </c>
      <c r="AO380" s="55">
        <v>5.55</v>
      </c>
      <c r="AP380" s="55">
        <v>0</v>
      </c>
      <c r="AQ380" s="55">
        <v>6.33</v>
      </c>
      <c r="AR380" s="8">
        <v>0</v>
      </c>
      <c r="AS380" s="8">
        <v>5.58</v>
      </c>
      <c r="AT380" s="8">
        <v>8.09</v>
      </c>
      <c r="AU380" s="50">
        <v>5.38</v>
      </c>
      <c r="AV380" s="50">
        <v>7.61</v>
      </c>
      <c r="AW380" s="50">
        <v>8.3800000000000008</v>
      </c>
      <c r="AX380" s="50">
        <v>5.56</v>
      </c>
      <c r="AY380" s="50">
        <v>5</v>
      </c>
      <c r="AZ380" s="50">
        <v>5.67</v>
      </c>
      <c r="BA380" s="50">
        <v>4.0999999999999996</v>
      </c>
      <c r="BB380" s="50">
        <v>3.9</v>
      </c>
      <c r="BC380" s="50">
        <v>0</v>
      </c>
      <c r="BD380" s="55">
        <v>6.2</v>
      </c>
      <c r="BE380" s="11">
        <v>0</v>
      </c>
      <c r="BF380" s="4">
        <v>0</v>
      </c>
      <c r="BG380" s="4">
        <v>0</v>
      </c>
      <c r="BH380" s="4">
        <v>5.2690000000000001</v>
      </c>
      <c r="BI380" s="4">
        <v>8.7200000000000006</v>
      </c>
      <c r="BJ380" s="13">
        <v>3.5289999999999999</v>
      </c>
      <c r="BK380" s="13">
        <v>0</v>
      </c>
      <c r="BL380" s="4">
        <v>0</v>
      </c>
      <c r="BM380" s="16">
        <v>4.8310000000000004</v>
      </c>
      <c r="BN380" s="4">
        <v>0</v>
      </c>
      <c r="BO380" s="4">
        <v>5.0209999999999999</v>
      </c>
      <c r="BP380" s="4">
        <v>0</v>
      </c>
      <c r="BQ380" s="4">
        <v>0</v>
      </c>
      <c r="BR380" s="4">
        <v>0</v>
      </c>
      <c r="BS380" s="4">
        <v>0</v>
      </c>
      <c r="BT380" s="4">
        <v>4.3460000000000001</v>
      </c>
      <c r="BU380" s="4">
        <v>4.8040000000000003</v>
      </c>
      <c r="BV380" s="4">
        <v>3.7549999999999999</v>
      </c>
      <c r="BW380" s="4">
        <v>4.8230000000000004</v>
      </c>
      <c r="BX380" s="4">
        <v>4.7670000000000003</v>
      </c>
      <c r="BY380" s="4">
        <v>3.5049999999999999</v>
      </c>
      <c r="BZ380" s="55">
        <v>0</v>
      </c>
      <c r="CA380" s="55">
        <v>0</v>
      </c>
      <c r="CB380" s="55">
        <v>0</v>
      </c>
      <c r="CC380" s="55">
        <v>0</v>
      </c>
      <c r="CD380" s="55">
        <v>0</v>
      </c>
      <c r="CE380" s="19">
        <v>5.5</v>
      </c>
      <c r="CF380" s="19">
        <v>3.8</v>
      </c>
      <c r="CG380" s="4">
        <v>0</v>
      </c>
      <c r="CH380" s="4">
        <v>0</v>
      </c>
      <c r="CI380" s="4">
        <v>0</v>
      </c>
      <c r="CJ380" s="34">
        <v>0</v>
      </c>
      <c r="CK380" s="34">
        <v>0</v>
      </c>
      <c r="CL380" s="34">
        <v>0</v>
      </c>
      <c r="CM380" s="4">
        <v>0</v>
      </c>
      <c r="CN380" s="53">
        <v>0</v>
      </c>
      <c r="CO380" s="54">
        <v>0</v>
      </c>
      <c r="CP380" s="54">
        <v>0</v>
      </c>
      <c r="CQ380" s="4">
        <v>0</v>
      </c>
    </row>
    <row r="381" spans="1:95" s="55" customFormat="1" x14ac:dyDescent="0.35">
      <c r="A381" s="55">
        <v>380</v>
      </c>
      <c r="B381" s="55" t="s">
        <v>112</v>
      </c>
      <c r="C381" s="27" t="s">
        <v>829</v>
      </c>
      <c r="D381" s="50" t="s">
        <v>104</v>
      </c>
      <c r="E381" s="33" t="s">
        <v>91</v>
      </c>
      <c r="F381" s="4">
        <f>IFERROR(AVERAGEIF(Table1[[#This Row],[2019-Apr]:[2025-July]],"&lt;&gt;0"),0)</f>
        <v>4.6064799999999995</v>
      </c>
      <c r="G381" s="4">
        <f ca="1">IFERROR(AVERAGEIF(OFFSET(Table1[[#This Row],[Status]],0,COUNT(Table1[[#This Row],[2019-May]:[2025-July]]),1,-12),"&lt;&gt;0"),0)</f>
        <v>4.4066666666666663</v>
      </c>
      <c r="H381" s="55">
        <f>IFERROR(SMALL(Table1[[#This Row],[2019-Apr]:[2025-July]],COUNTIF(Table1[[#This Row],[2019-Apr]:[2025-July]],0)+1),0)</f>
        <v>1.89</v>
      </c>
      <c r="I381" s="55">
        <f>IFERROR(MAX(Table1[[#This Row],[2019-Apr]:[2025-July]]),0)</f>
        <v>9.9480000000000004</v>
      </c>
      <c r="J381" s="4" cm="1">
        <f t="array" ref="J38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2.8533333333333335</v>
      </c>
      <c r="K381" s="4">
        <v>4.5</v>
      </c>
      <c r="L381" s="4">
        <f>IF(Table1[[#This Row],[Standard as per ISO]]&gt;=Table1[[#This Row],[Avg of best 6]],Table1[[#This Row],[Standard as per ISO]],Table1[[#This Row],[Avg of best 6]])</f>
        <v>4.5</v>
      </c>
      <c r="M381" s="4" cm="1">
        <f t="array" ref="M381">IFERROR(LOOKUP(2,1/(Table1[[#This Row],[2019-May]:[2025-July]]&lt;&gt;0),Table1[[#This Row],[2019-May]:[2025-July]]),0)</f>
        <v>4.32</v>
      </c>
      <c r="N381" s="4">
        <f>COUNTIF(Table1[[#This Row],[2019-Apr]:[2025-July]],"&gt;="&amp;Table1[[#This Row],[Target]])</f>
        <v>21</v>
      </c>
      <c r="O381" s="4">
        <f>IF(Table1[[#This Row],[Outliers 2Y]]=0,1,0)</f>
        <v>0</v>
      </c>
      <c r="P381" s="4">
        <f>IF(Table1[[#This Row],[Last value]]&gt;1.5*Table1[[#This Row],[Target]],1,0)</f>
        <v>0</v>
      </c>
      <c r="Q381" s="4">
        <f>IF(AND(1.5*Table1[[#This Row],[Target]]&gt;=Table1[[#This Row],[Last value]],Table1[[#This Row],[Last value]]&gt;Table1[[#This Row],[Target]]),1,0)</f>
        <v>0</v>
      </c>
      <c r="R381" s="4">
        <f>IF(Table1[[#This Row],[Target]]&gt;=Table1[[#This Row],[Last value]],1,0)</f>
        <v>1</v>
      </c>
      <c r="S381" s="4" t="str">
        <f t="shared" si="8"/>
        <v>Green</v>
      </c>
      <c r="T381" s="55">
        <v>0</v>
      </c>
      <c r="U381" s="55">
        <v>3.68</v>
      </c>
      <c r="V381" s="55">
        <v>3.93</v>
      </c>
      <c r="W381" s="55">
        <v>4.5999999999999996</v>
      </c>
      <c r="X381" s="55">
        <v>6.5</v>
      </c>
      <c r="Y381" s="55">
        <v>4.79</v>
      </c>
      <c r="Z381" s="55">
        <v>4.18</v>
      </c>
      <c r="AA381" s="55">
        <v>4.82</v>
      </c>
      <c r="AB381" s="55">
        <v>4.5</v>
      </c>
      <c r="AC381" s="55">
        <v>4.97</v>
      </c>
      <c r="AD381" s="55">
        <v>7.26</v>
      </c>
      <c r="AE381" s="55">
        <v>5</v>
      </c>
      <c r="AF381" s="55">
        <v>2.9</v>
      </c>
      <c r="AG381" s="55">
        <v>3.5</v>
      </c>
      <c r="AH381" s="55">
        <v>4.7</v>
      </c>
      <c r="AI381" s="55">
        <v>4</v>
      </c>
      <c r="AJ381" s="55">
        <v>5.63</v>
      </c>
      <c r="AK381" s="55">
        <v>3.99</v>
      </c>
      <c r="AL381" s="55">
        <v>5.26</v>
      </c>
      <c r="AM381" s="55">
        <v>4.45</v>
      </c>
      <c r="AN381" s="55">
        <v>0</v>
      </c>
      <c r="AO381" s="55">
        <v>5.95</v>
      </c>
      <c r="AP381" s="55">
        <v>0</v>
      </c>
      <c r="AQ381" s="55">
        <v>4.42</v>
      </c>
      <c r="AR381" s="8">
        <v>0</v>
      </c>
      <c r="AS381" s="8">
        <v>1.89</v>
      </c>
      <c r="AT381" s="8">
        <v>5.23</v>
      </c>
      <c r="AU381" s="50">
        <v>3.02</v>
      </c>
      <c r="AV381" s="50">
        <v>3.9</v>
      </c>
      <c r="AW381" s="50">
        <v>3.56</v>
      </c>
      <c r="AX381" s="50">
        <v>2.93</v>
      </c>
      <c r="AY381" s="50">
        <v>9</v>
      </c>
      <c r="AZ381" s="50">
        <v>0</v>
      </c>
      <c r="BA381" s="50">
        <v>3.9</v>
      </c>
      <c r="BB381" s="50">
        <v>3.6</v>
      </c>
      <c r="BC381" s="50">
        <v>0</v>
      </c>
      <c r="BD381" s="55">
        <v>5</v>
      </c>
      <c r="BE381" s="11">
        <v>4.226</v>
      </c>
      <c r="BF381" s="4">
        <v>0</v>
      </c>
      <c r="BG381" s="4">
        <v>0</v>
      </c>
      <c r="BH381" s="4">
        <v>3.516</v>
      </c>
      <c r="BI381" s="4">
        <v>3.28</v>
      </c>
      <c r="BJ381" s="14">
        <v>0</v>
      </c>
      <c r="BK381" s="14">
        <v>3.976</v>
      </c>
      <c r="BL381" s="4">
        <v>5.1509999999999998</v>
      </c>
      <c r="BM381" s="17">
        <v>7.0890000000000004</v>
      </c>
      <c r="BN381" s="4">
        <v>0</v>
      </c>
      <c r="BO381" s="4">
        <v>3.7770000000000001</v>
      </c>
      <c r="BP381" s="4">
        <v>3.621</v>
      </c>
      <c r="BQ381" s="4">
        <v>0</v>
      </c>
      <c r="BR381" s="4">
        <v>3.548</v>
      </c>
      <c r="BS381" s="4">
        <v>3.548</v>
      </c>
      <c r="BT381" s="4">
        <v>9.9480000000000004</v>
      </c>
      <c r="BU381" s="4">
        <v>6.601</v>
      </c>
      <c r="BV381" s="4">
        <v>7.4619999999999997</v>
      </c>
      <c r="BW381" s="4">
        <v>3.8879999999999999</v>
      </c>
      <c r="BX381" s="4">
        <v>3.3130000000000002</v>
      </c>
      <c r="BY381" s="4">
        <v>3.1</v>
      </c>
      <c r="BZ381" s="55">
        <v>0</v>
      </c>
      <c r="CA381" s="55">
        <v>0</v>
      </c>
      <c r="CB381" s="55">
        <v>0</v>
      </c>
      <c r="CC381" s="55">
        <v>0</v>
      </c>
      <c r="CD381" s="55">
        <v>0</v>
      </c>
      <c r="CE381" s="19">
        <v>4.3</v>
      </c>
      <c r="CF381" s="19">
        <v>4.5999999999999996</v>
      </c>
      <c r="CG381" s="4">
        <v>0</v>
      </c>
      <c r="CH381" s="4">
        <v>0</v>
      </c>
      <c r="CI381" s="4">
        <v>4.32</v>
      </c>
      <c r="CJ381" s="34">
        <v>0</v>
      </c>
      <c r="CK381" s="34">
        <v>0</v>
      </c>
      <c r="CL381" s="34">
        <v>0</v>
      </c>
      <c r="CM381" s="4">
        <v>0</v>
      </c>
      <c r="CN381" s="53">
        <v>0</v>
      </c>
      <c r="CO381" s="54">
        <v>0</v>
      </c>
      <c r="CP381" s="54">
        <v>0</v>
      </c>
      <c r="CQ381" s="4">
        <v>0</v>
      </c>
    </row>
    <row r="382" spans="1:95" s="55" customFormat="1" x14ac:dyDescent="0.35">
      <c r="A382" s="55">
        <v>381</v>
      </c>
      <c r="B382" s="55" t="s">
        <v>112</v>
      </c>
      <c r="C382" s="27" t="s">
        <v>830</v>
      </c>
      <c r="D382" s="50" t="s">
        <v>104</v>
      </c>
      <c r="E382" s="33" t="s">
        <v>91</v>
      </c>
      <c r="F382" s="4">
        <f>IFERROR(AVERAGEIF(Table1[[#This Row],[2019-Apr]:[2025-July]],"&lt;&gt;0"),0)</f>
        <v>5.9364883720930219</v>
      </c>
      <c r="G382" s="4">
        <f ca="1">IFERROR(AVERAGEIF(OFFSET(Table1[[#This Row],[Status]],0,COUNT(Table1[[#This Row],[2019-May]:[2025-July]]),1,-12),"&lt;&gt;0"),0)</f>
        <v>3.5350000000000001</v>
      </c>
      <c r="H382" s="55">
        <f>IFERROR(SMALL(Table1[[#This Row],[2019-Apr]:[2025-July]],COUNTIF(Table1[[#This Row],[2019-Apr]:[2025-July]],0)+1),0)</f>
        <v>2.222</v>
      </c>
      <c r="I382" s="55">
        <f>IFERROR(MAX(Table1[[#This Row],[2019-Apr]:[2025-July]]),0)</f>
        <v>13.37</v>
      </c>
      <c r="J382" s="4" cm="1">
        <f t="array" ref="J38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2.9750000000000001</v>
      </c>
      <c r="K382" s="4">
        <v>4.5</v>
      </c>
      <c r="L382" s="4">
        <f>IF(Table1[[#This Row],[Standard as per ISO]]&gt;=Table1[[#This Row],[Avg of best 6]],Table1[[#This Row],[Standard as per ISO]],Table1[[#This Row],[Avg of best 6]])</f>
        <v>4.5</v>
      </c>
      <c r="M382" s="4" cm="1">
        <f t="array" ref="M382">IFERROR(LOOKUP(2,1/(Table1[[#This Row],[2019-May]:[2025-July]]&lt;&gt;0),Table1[[#This Row],[2019-May]:[2025-July]]),0)</f>
        <v>3.51</v>
      </c>
      <c r="N382" s="4">
        <f>COUNTIF(Table1[[#This Row],[2019-Apr]:[2025-July]],"&gt;="&amp;Table1[[#This Row],[Target]])</f>
        <v>29</v>
      </c>
      <c r="O382" s="4">
        <f>IF(Table1[[#This Row],[Outliers 2Y]]=0,1,0)</f>
        <v>0</v>
      </c>
      <c r="P382" s="4">
        <f>IF(Table1[[#This Row],[Last value]]&gt;1.5*Table1[[#This Row],[Target]],1,0)</f>
        <v>0</v>
      </c>
      <c r="Q382" s="4">
        <f>IF(AND(1.5*Table1[[#This Row],[Target]]&gt;=Table1[[#This Row],[Last value]],Table1[[#This Row],[Last value]]&gt;Table1[[#This Row],[Target]]),1,0)</f>
        <v>0</v>
      </c>
      <c r="R382" s="4">
        <f>IF(Table1[[#This Row],[Target]]&gt;=Table1[[#This Row],[Last value]],1,0)</f>
        <v>1</v>
      </c>
      <c r="S382" s="4" t="str">
        <f t="shared" si="8"/>
        <v>Green</v>
      </c>
      <c r="T382" s="55">
        <v>0</v>
      </c>
      <c r="U382" s="55">
        <v>5.39</v>
      </c>
      <c r="V382" s="55">
        <v>6.7</v>
      </c>
      <c r="W382" s="55">
        <v>4.47</v>
      </c>
      <c r="X382" s="55">
        <v>4.2</v>
      </c>
      <c r="Y382" s="55">
        <v>4.37</v>
      </c>
      <c r="Z382" s="55">
        <v>5.97</v>
      </c>
      <c r="AA382" s="55">
        <v>0</v>
      </c>
      <c r="AB382" s="55">
        <v>6.88</v>
      </c>
      <c r="AC382" s="55">
        <v>6.88</v>
      </c>
      <c r="AD382" s="55">
        <v>7.01</v>
      </c>
      <c r="AE382" s="55">
        <v>0</v>
      </c>
      <c r="AF382" s="55">
        <v>6.3</v>
      </c>
      <c r="AG382" s="55">
        <v>6.7</v>
      </c>
      <c r="AH382" s="55">
        <v>4.7300000000000004</v>
      </c>
      <c r="AI382" s="55">
        <v>0</v>
      </c>
      <c r="AJ382" s="55">
        <v>5.33</v>
      </c>
      <c r="AK382" s="55">
        <v>0</v>
      </c>
      <c r="AL382" s="55">
        <v>4.3499999999999996</v>
      </c>
      <c r="AM382" s="55">
        <v>4.01</v>
      </c>
      <c r="AN382" s="55">
        <v>8.9</v>
      </c>
      <c r="AO382" s="55">
        <v>6.75</v>
      </c>
      <c r="AP382" s="55">
        <v>5.6</v>
      </c>
      <c r="AQ382" s="55">
        <v>0</v>
      </c>
      <c r="AR382" s="8">
        <v>12</v>
      </c>
      <c r="AS382" s="8">
        <v>0</v>
      </c>
      <c r="AT382" s="8">
        <v>3.99</v>
      </c>
      <c r="AU382" s="50">
        <v>7.75</v>
      </c>
      <c r="AV382" s="50">
        <v>5.29</v>
      </c>
      <c r="AW382" s="50">
        <v>5.0199999999999996</v>
      </c>
      <c r="AX382" s="50">
        <v>6.9</v>
      </c>
      <c r="AY382" s="50">
        <v>5.51</v>
      </c>
      <c r="AZ382" s="50">
        <v>10.1</v>
      </c>
      <c r="BA382" s="50">
        <v>3.7</v>
      </c>
      <c r="BB382" s="50">
        <v>5.3</v>
      </c>
      <c r="BC382" s="50">
        <v>0</v>
      </c>
      <c r="BD382" s="55">
        <v>0</v>
      </c>
      <c r="BE382" s="11">
        <v>0</v>
      </c>
      <c r="BF382" s="4">
        <v>0</v>
      </c>
      <c r="BG382" s="4">
        <v>0</v>
      </c>
      <c r="BH382" s="4">
        <v>4.9359999999999999</v>
      </c>
      <c r="BI382" s="4">
        <v>5.8410000000000002</v>
      </c>
      <c r="BJ382" s="13">
        <v>3.331</v>
      </c>
      <c r="BK382" s="13">
        <v>10.09</v>
      </c>
      <c r="BL382" s="4">
        <v>5.4870000000000001</v>
      </c>
      <c r="BM382" s="16">
        <v>7.774</v>
      </c>
      <c r="BN382" s="4">
        <v>0</v>
      </c>
      <c r="BO382" s="4">
        <v>2.7789999999999999</v>
      </c>
      <c r="BP382" s="4">
        <v>0</v>
      </c>
      <c r="BQ382" s="4">
        <v>13.37</v>
      </c>
      <c r="BR382" s="4">
        <v>0</v>
      </c>
      <c r="BS382" s="4">
        <v>3.153</v>
      </c>
      <c r="BT382" s="4">
        <v>2.855</v>
      </c>
      <c r="BU382" s="4">
        <v>7.7389999999999999</v>
      </c>
      <c r="BV382" s="4">
        <v>8.5220000000000002</v>
      </c>
      <c r="BW382" s="4">
        <v>0</v>
      </c>
      <c r="BX382" s="4">
        <v>0</v>
      </c>
      <c r="BY382" s="4">
        <v>2.222</v>
      </c>
      <c r="BZ382" s="55">
        <v>0</v>
      </c>
      <c r="CA382" s="55">
        <v>0</v>
      </c>
      <c r="CB382" s="55">
        <v>0</v>
      </c>
      <c r="CC382" s="55">
        <v>0</v>
      </c>
      <c r="CD382" s="55">
        <v>0</v>
      </c>
      <c r="CE382" s="19">
        <v>0</v>
      </c>
      <c r="CF382" s="19">
        <v>0</v>
      </c>
      <c r="CG382" s="4">
        <v>3.56</v>
      </c>
      <c r="CH382" s="4">
        <v>0</v>
      </c>
      <c r="CI382" s="4">
        <v>3.51</v>
      </c>
      <c r="CJ382" s="34">
        <v>0</v>
      </c>
      <c r="CK382" s="34">
        <v>0</v>
      </c>
      <c r="CL382" s="34">
        <v>0</v>
      </c>
      <c r="CM382" s="4">
        <v>0</v>
      </c>
      <c r="CN382" s="53">
        <v>0</v>
      </c>
      <c r="CO382" s="54">
        <v>0</v>
      </c>
      <c r="CP382" s="54">
        <v>0</v>
      </c>
      <c r="CQ382" s="4">
        <v>0</v>
      </c>
    </row>
    <row r="383" spans="1:95" s="55" customFormat="1" x14ac:dyDescent="0.35">
      <c r="A383" s="55">
        <v>382</v>
      </c>
      <c r="B383" s="55" t="s">
        <v>112</v>
      </c>
      <c r="C383" s="27" t="s">
        <v>831</v>
      </c>
      <c r="D383" s="50" t="s">
        <v>104</v>
      </c>
      <c r="E383" s="33" t="s">
        <v>91</v>
      </c>
      <c r="F383" s="4">
        <f>IFERROR(AVERAGEIF(Table1[[#This Row],[2019-Apr]:[2025-July]],"&lt;&gt;0"),0)</f>
        <v>6.1997555555555559</v>
      </c>
      <c r="G383" s="4">
        <f ca="1">IFERROR(AVERAGEIF(OFFSET(Table1[[#This Row],[Status]],0,COUNT(Table1[[#This Row],[2019-May]:[2025-July]]),1,-12),"&lt;&gt;0"),0)</f>
        <v>6.91</v>
      </c>
      <c r="H383" s="55">
        <f>IFERROR(SMALL(Table1[[#This Row],[2019-Apr]:[2025-July]],COUNTIF(Table1[[#This Row],[2019-Apr]:[2025-July]],0)+1),0)</f>
        <v>3.536</v>
      </c>
      <c r="I383" s="55">
        <f>IFERROR(MAX(Table1[[#This Row],[2019-Apr]:[2025-July]]),0)</f>
        <v>13.01</v>
      </c>
      <c r="J383" s="4" cm="1">
        <f t="array" ref="J38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3.8001666666666662</v>
      </c>
      <c r="K383" s="4">
        <v>4.5</v>
      </c>
      <c r="L383" s="4">
        <f>IF(Table1[[#This Row],[Standard as per ISO]]&gt;=Table1[[#This Row],[Avg of best 6]],Table1[[#This Row],[Standard as per ISO]],Table1[[#This Row],[Avg of best 6]])</f>
        <v>4.5</v>
      </c>
      <c r="M383" s="4" cm="1">
        <f t="array" ref="M383">IFERROR(LOOKUP(2,1/(Table1[[#This Row],[2019-May]:[2025-July]]&lt;&gt;0),Table1[[#This Row],[2019-May]:[2025-July]]),0)</f>
        <v>6.34</v>
      </c>
      <c r="N383" s="4">
        <f>COUNTIF(Table1[[#This Row],[2019-Apr]:[2025-July]],"&gt;="&amp;Table1[[#This Row],[Target]])</f>
        <v>38</v>
      </c>
      <c r="O383" s="4">
        <f>IF(Table1[[#This Row],[Outliers 2Y]]=0,1,0)</f>
        <v>0</v>
      </c>
      <c r="P383" s="4">
        <f>IF(Table1[[#This Row],[Last value]]&gt;1.5*Table1[[#This Row],[Target]],1,0)</f>
        <v>0</v>
      </c>
      <c r="Q383" s="4">
        <f>IF(AND(1.5*Table1[[#This Row],[Target]]&gt;=Table1[[#This Row],[Last value]],Table1[[#This Row],[Last value]]&gt;Table1[[#This Row],[Target]]),1,0)</f>
        <v>1</v>
      </c>
      <c r="R383" s="4">
        <f>IF(Table1[[#This Row],[Target]]&gt;=Table1[[#This Row],[Last value]],1,0)</f>
        <v>0</v>
      </c>
      <c r="S383" s="4" t="str">
        <f t="shared" si="8"/>
        <v>Yellow</v>
      </c>
      <c r="T383" s="55">
        <v>0</v>
      </c>
      <c r="U383" s="55">
        <v>5.94</v>
      </c>
      <c r="V383" s="55">
        <v>0</v>
      </c>
      <c r="W383" s="55">
        <v>5.32</v>
      </c>
      <c r="X383" s="55">
        <v>0</v>
      </c>
      <c r="Y383" s="55">
        <v>4.3099999999999996</v>
      </c>
      <c r="Z383" s="55">
        <v>0</v>
      </c>
      <c r="AA383" s="55">
        <v>0</v>
      </c>
      <c r="AB383" s="55">
        <v>7.8</v>
      </c>
      <c r="AC383" s="55">
        <v>3.81</v>
      </c>
      <c r="AD383" s="55">
        <v>5.4</v>
      </c>
      <c r="AE383" s="55">
        <v>13.01</v>
      </c>
      <c r="AF383" s="55">
        <v>5.7</v>
      </c>
      <c r="AG383" s="55">
        <v>4.9000000000000004</v>
      </c>
      <c r="AH383" s="55">
        <v>4.38</v>
      </c>
      <c r="AI383" s="55">
        <v>0</v>
      </c>
      <c r="AJ383" s="55">
        <v>4.9000000000000004</v>
      </c>
      <c r="AK383" s="55">
        <v>0</v>
      </c>
      <c r="AL383" s="55">
        <v>0</v>
      </c>
      <c r="AM383" s="55">
        <v>5.65</v>
      </c>
      <c r="AN383" s="55">
        <v>0</v>
      </c>
      <c r="AO383" s="55">
        <v>5.52</v>
      </c>
      <c r="AP383" s="55">
        <v>0</v>
      </c>
      <c r="AQ383" s="55">
        <v>0</v>
      </c>
      <c r="AR383" s="8">
        <v>5.72</v>
      </c>
      <c r="AS383" s="8">
        <v>9.75</v>
      </c>
      <c r="AT383" s="8">
        <v>7.76</v>
      </c>
      <c r="AU383" s="50">
        <v>3.9</v>
      </c>
      <c r="AV383" s="50">
        <v>5.32</v>
      </c>
      <c r="AW383" s="50">
        <v>5.96</v>
      </c>
      <c r="AX383" s="50">
        <v>4.84</v>
      </c>
      <c r="AY383" s="50">
        <v>4.84</v>
      </c>
      <c r="AZ383" s="50">
        <v>0</v>
      </c>
      <c r="BA383" s="50">
        <v>5.9</v>
      </c>
      <c r="BB383" s="50">
        <v>6.1</v>
      </c>
      <c r="BC383" s="55">
        <v>5.5</v>
      </c>
      <c r="BD383" s="55">
        <v>0</v>
      </c>
      <c r="BE383" s="11">
        <v>10.93</v>
      </c>
      <c r="BF383" s="4">
        <v>0</v>
      </c>
      <c r="BG383" s="4">
        <v>5.367</v>
      </c>
      <c r="BH383" s="4">
        <v>0</v>
      </c>
      <c r="BI383" s="4">
        <v>3.536</v>
      </c>
      <c r="BJ383" s="14">
        <v>7.8680000000000003</v>
      </c>
      <c r="BK383" s="14">
        <v>6.2729999999999997</v>
      </c>
      <c r="BL383" s="4">
        <v>6.2409999999999997</v>
      </c>
      <c r="BM383" s="17">
        <v>7.6349999999999998</v>
      </c>
      <c r="BN383" s="4">
        <v>9.3840000000000003</v>
      </c>
      <c r="BO383" s="4">
        <v>5.7089999999999996</v>
      </c>
      <c r="BP383" s="4">
        <v>6.5620000000000003</v>
      </c>
      <c r="BQ383" s="4">
        <v>4.8650000000000002</v>
      </c>
      <c r="BR383" s="4">
        <v>4.8259999999999996</v>
      </c>
      <c r="BS383" s="4">
        <v>3.5950000000000002</v>
      </c>
      <c r="BT383" s="4">
        <v>10.8</v>
      </c>
      <c r="BU383" s="4">
        <v>0</v>
      </c>
      <c r="BV383" s="4">
        <v>0</v>
      </c>
      <c r="BW383" s="4">
        <v>7.4420000000000002</v>
      </c>
      <c r="BX383" s="4">
        <v>7.0359999999999996</v>
      </c>
      <c r="BY383" s="4">
        <v>0</v>
      </c>
      <c r="BZ383" s="55">
        <v>5.25</v>
      </c>
      <c r="CA383" s="55">
        <v>3.65</v>
      </c>
      <c r="CB383" s="55">
        <v>5.97</v>
      </c>
      <c r="CC383" s="55">
        <v>0</v>
      </c>
      <c r="CD383" s="55">
        <v>0</v>
      </c>
      <c r="CE383" s="19">
        <v>0</v>
      </c>
      <c r="CF383" s="19">
        <v>0</v>
      </c>
      <c r="CG383" s="4">
        <v>7.48</v>
      </c>
      <c r="CH383" s="4">
        <v>0</v>
      </c>
      <c r="CI383" s="4">
        <v>6.34</v>
      </c>
      <c r="CJ383" s="34">
        <v>0</v>
      </c>
      <c r="CK383" s="34">
        <v>0</v>
      </c>
      <c r="CL383" s="34">
        <v>0</v>
      </c>
      <c r="CM383" s="4">
        <v>0</v>
      </c>
      <c r="CN383" s="53">
        <v>0</v>
      </c>
      <c r="CO383" s="54">
        <v>0</v>
      </c>
      <c r="CP383" s="54">
        <v>0</v>
      </c>
      <c r="CQ383" s="4">
        <v>0</v>
      </c>
    </row>
    <row r="384" spans="1:95" s="55" customFormat="1" x14ac:dyDescent="0.35">
      <c r="A384" s="55">
        <v>383</v>
      </c>
      <c r="B384" s="55" t="s">
        <v>112</v>
      </c>
      <c r="C384" s="27" t="s">
        <v>832</v>
      </c>
      <c r="D384" s="50" t="s">
        <v>104</v>
      </c>
      <c r="E384" s="33" t="s">
        <v>91</v>
      </c>
      <c r="F384" s="4">
        <f>IFERROR(AVERAGEIF(Table1[[#This Row],[2019-Apr]:[2025-July]],"&lt;&gt;0"),0)</f>
        <v>5.3773947368421053</v>
      </c>
      <c r="G384" s="4">
        <f ca="1">IFERROR(AVERAGEIF(OFFSET(Table1[[#This Row],[Status]],0,COUNT(Table1[[#This Row],[2019-May]:[2025-July]]),1,-12),"&lt;&gt;0"),0)</f>
        <v>5.93</v>
      </c>
      <c r="H384" s="55">
        <f>IFERROR(SMALL(Table1[[#This Row],[2019-Apr]:[2025-July]],COUNTIF(Table1[[#This Row],[2019-Apr]:[2025-July]],0)+1),0)</f>
        <v>2.17</v>
      </c>
      <c r="I384" s="55">
        <f>IFERROR(MAX(Table1[[#This Row],[2019-Apr]:[2025-July]]),0)</f>
        <v>16.760000000000002</v>
      </c>
      <c r="J384" s="4" cm="1">
        <f t="array" ref="J38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2.6485000000000003</v>
      </c>
      <c r="K384" s="4">
        <v>4.5</v>
      </c>
      <c r="L384" s="4">
        <f>IF(Table1[[#This Row],[Standard as per ISO]]&gt;=Table1[[#This Row],[Avg of best 6]],Table1[[#This Row],[Standard as per ISO]],Table1[[#This Row],[Avg of best 6]])</f>
        <v>4.5</v>
      </c>
      <c r="M384" s="4" cm="1">
        <f t="array" ref="M384">IFERROR(LOOKUP(2,1/(Table1[[#This Row],[2019-May]:[2025-July]]&lt;&gt;0),Table1[[#This Row],[2019-May]:[2025-July]]),0)</f>
        <v>4.96</v>
      </c>
      <c r="N384" s="4">
        <f>COUNTIF(Table1[[#This Row],[2019-Apr]:[2025-July]],"&gt;="&amp;Table1[[#This Row],[Target]])</f>
        <v>22</v>
      </c>
      <c r="O384" s="4">
        <f>IF(Table1[[#This Row],[Outliers 2Y]]=0,1,0)</f>
        <v>0</v>
      </c>
      <c r="P384" s="4">
        <f>IF(Table1[[#This Row],[Last value]]&gt;1.5*Table1[[#This Row],[Target]],1,0)</f>
        <v>0</v>
      </c>
      <c r="Q384" s="4">
        <f>IF(AND(1.5*Table1[[#This Row],[Target]]&gt;=Table1[[#This Row],[Last value]],Table1[[#This Row],[Last value]]&gt;Table1[[#This Row],[Target]]),1,0)</f>
        <v>1</v>
      </c>
      <c r="R384" s="4">
        <f>IF(Table1[[#This Row],[Target]]&gt;=Table1[[#This Row],[Last value]],1,0)</f>
        <v>0</v>
      </c>
      <c r="S384" s="4" t="str">
        <f t="shared" si="8"/>
        <v>Yellow</v>
      </c>
      <c r="T384" s="55">
        <v>0</v>
      </c>
      <c r="U384" s="55">
        <v>0</v>
      </c>
      <c r="V384" s="55">
        <v>4.2</v>
      </c>
      <c r="W384" s="55">
        <v>4.49</v>
      </c>
      <c r="X384" s="55">
        <v>7.56</v>
      </c>
      <c r="Y384" s="55">
        <v>0</v>
      </c>
      <c r="Z384" s="55">
        <v>5.4</v>
      </c>
      <c r="AA384" s="55">
        <v>0</v>
      </c>
      <c r="AB384" s="55">
        <v>2.6</v>
      </c>
      <c r="AC384" s="55">
        <v>0</v>
      </c>
      <c r="AD384" s="55">
        <v>0</v>
      </c>
      <c r="AE384" s="55">
        <v>7.6</v>
      </c>
      <c r="AF384" s="55">
        <v>0</v>
      </c>
      <c r="AG384" s="55">
        <v>0</v>
      </c>
      <c r="AH384" s="55">
        <v>0</v>
      </c>
      <c r="AI384" s="55">
        <v>4.08</v>
      </c>
      <c r="AJ384" s="55">
        <v>2.17</v>
      </c>
      <c r="AK384" s="55">
        <v>0</v>
      </c>
      <c r="AL384" s="55">
        <v>2.56</v>
      </c>
      <c r="AM384" s="55">
        <v>0</v>
      </c>
      <c r="AN384" s="55">
        <v>3.65</v>
      </c>
      <c r="AO384" s="55">
        <v>3.98</v>
      </c>
      <c r="AP384" s="55">
        <v>4.76</v>
      </c>
      <c r="AQ384" s="55">
        <v>0</v>
      </c>
      <c r="AR384" s="8">
        <v>0</v>
      </c>
      <c r="AS384" s="8">
        <v>4.99</v>
      </c>
      <c r="AT384" s="8">
        <v>0</v>
      </c>
      <c r="AU384" s="50">
        <v>5.59</v>
      </c>
      <c r="AV384" s="50">
        <v>0</v>
      </c>
      <c r="AW384" s="50">
        <v>4.66</v>
      </c>
      <c r="AX384" s="50">
        <v>0</v>
      </c>
      <c r="AY384" s="50">
        <v>5.65</v>
      </c>
      <c r="AZ384" s="50">
        <v>3.7</v>
      </c>
      <c r="BA384" s="50">
        <v>2.8</v>
      </c>
      <c r="BB384" s="50">
        <v>8.1</v>
      </c>
      <c r="BC384" s="55">
        <v>7.7</v>
      </c>
      <c r="BD384" s="55">
        <v>0</v>
      </c>
      <c r="BE384" s="11">
        <v>0</v>
      </c>
      <c r="BF384" s="4">
        <v>0</v>
      </c>
      <c r="BG384" s="4">
        <v>6.9470000000000001</v>
      </c>
      <c r="BH384" s="4">
        <v>7.4349999999999996</v>
      </c>
      <c r="BI384" s="4">
        <v>7.29</v>
      </c>
      <c r="BJ384" s="13">
        <v>5.8739999999999997</v>
      </c>
      <c r="BK384" s="13">
        <v>8.3000000000000007</v>
      </c>
      <c r="BL384" s="4">
        <v>6.6529999999999996</v>
      </c>
      <c r="BM384" s="16">
        <v>16.760000000000002</v>
      </c>
      <c r="BN384" s="4">
        <v>3.5880000000000001</v>
      </c>
      <c r="BO384" s="4">
        <v>2.798</v>
      </c>
      <c r="BP384" s="4">
        <v>7.36</v>
      </c>
      <c r="BQ384" s="4">
        <v>4.9880000000000004</v>
      </c>
      <c r="BR384" s="4">
        <v>2.9630000000000001</v>
      </c>
      <c r="BS384" s="4">
        <v>3.5680000000000001</v>
      </c>
      <c r="BT384" s="4">
        <v>0</v>
      </c>
      <c r="BU384" s="4">
        <v>0</v>
      </c>
      <c r="BV384" s="4">
        <v>0</v>
      </c>
      <c r="BW384" s="4">
        <v>3.7669999999999999</v>
      </c>
      <c r="BX384" s="4">
        <v>3.26</v>
      </c>
      <c r="BY384" s="4">
        <v>0</v>
      </c>
      <c r="BZ384" s="55">
        <v>0</v>
      </c>
      <c r="CA384" s="55">
        <v>4.6900000000000004</v>
      </c>
      <c r="CB384" s="55">
        <v>0</v>
      </c>
      <c r="CC384" s="55">
        <v>0</v>
      </c>
      <c r="CD384" s="55">
        <v>0</v>
      </c>
      <c r="CE384" s="19">
        <v>6.9</v>
      </c>
      <c r="CF384" s="19">
        <v>0</v>
      </c>
      <c r="CG384" s="4">
        <v>0</v>
      </c>
      <c r="CH384" s="4">
        <v>0</v>
      </c>
      <c r="CI384" s="4">
        <v>4.96</v>
      </c>
      <c r="CJ384" s="34">
        <v>0</v>
      </c>
      <c r="CK384" s="34">
        <v>0</v>
      </c>
      <c r="CL384" s="34">
        <v>0</v>
      </c>
      <c r="CM384" s="4">
        <v>0</v>
      </c>
      <c r="CN384" s="53">
        <v>0</v>
      </c>
      <c r="CO384" s="54">
        <v>0</v>
      </c>
      <c r="CP384" s="54">
        <v>0</v>
      </c>
      <c r="CQ384" s="4">
        <v>0</v>
      </c>
    </row>
    <row r="385" spans="1:95" s="55" customFormat="1" x14ac:dyDescent="0.35">
      <c r="A385" s="55">
        <v>384</v>
      </c>
      <c r="B385" s="55" t="s">
        <v>112</v>
      </c>
      <c r="C385" s="27" t="s">
        <v>833</v>
      </c>
      <c r="D385" s="50" t="s">
        <v>92</v>
      </c>
      <c r="E385" s="33" t="s">
        <v>91</v>
      </c>
      <c r="F385" s="4">
        <f>IFERROR(AVERAGEIF(Table1[[#This Row],[2019-Apr]:[2025-July]],"&lt;&gt;0"),0)</f>
        <v>8.1009268292682943</v>
      </c>
      <c r="G385" s="4">
        <f ca="1">IFERROR(AVERAGEIF(OFFSET(Table1[[#This Row],[Status]],0,COUNT(Table1[[#This Row],[2019-May]:[2025-July]]),1,-12),"&lt;&gt;0"),0)</f>
        <v>7.95</v>
      </c>
      <c r="H385" s="55">
        <f>IFERROR(SMALL(Table1[[#This Row],[2019-Apr]:[2025-July]],COUNTIF(Table1[[#This Row],[2019-Apr]:[2025-July]],0)+1),0)</f>
        <v>2.6930000000000001</v>
      </c>
      <c r="I385" s="55">
        <f>IFERROR(MAX(Table1[[#This Row],[2019-Apr]:[2025-July]]),0)</f>
        <v>19.5</v>
      </c>
      <c r="J385" s="4" cm="1">
        <f t="array" ref="J38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3.547166666666667</v>
      </c>
      <c r="K385" s="4">
        <v>4.5</v>
      </c>
      <c r="L385" s="4">
        <f>IF(Table1[[#This Row],[Standard as per ISO]]&gt;=Table1[[#This Row],[Avg of best 6]],Table1[[#This Row],[Standard as per ISO]],Table1[[#This Row],[Avg of best 6]])</f>
        <v>4.5</v>
      </c>
      <c r="M385" s="4" cm="1">
        <f t="array" ref="M385">IFERROR(LOOKUP(2,1/(Table1[[#This Row],[2019-May]:[2025-July]]&lt;&gt;0),Table1[[#This Row],[2019-May]:[2025-July]]),0)</f>
        <v>7.95</v>
      </c>
      <c r="N385" s="4">
        <f>COUNTIF(Table1[[#This Row],[2019-Apr]:[2025-July]],"&gt;="&amp;Table1[[#This Row],[Target]])</f>
        <v>33</v>
      </c>
      <c r="O385" s="4">
        <f>IF(Table1[[#This Row],[Outliers 2Y]]=0,1,0)</f>
        <v>0</v>
      </c>
      <c r="P385" s="4">
        <f>IF(Table1[[#This Row],[Last value]]&gt;1.5*Table1[[#This Row],[Target]],1,0)</f>
        <v>1</v>
      </c>
      <c r="Q385" s="4">
        <f>IF(AND(1.5*Table1[[#This Row],[Target]]&gt;=Table1[[#This Row],[Last value]],Table1[[#This Row],[Last value]]&gt;Table1[[#This Row],[Target]]),1,0)</f>
        <v>0</v>
      </c>
      <c r="R385" s="4">
        <f>IF(Table1[[#This Row],[Target]]&gt;=Table1[[#This Row],[Last value]],1,0)</f>
        <v>0</v>
      </c>
      <c r="S385" s="4" t="str">
        <f t="shared" si="8"/>
        <v>Red</v>
      </c>
      <c r="T385" s="55">
        <v>0</v>
      </c>
      <c r="U385" s="55">
        <v>4.74</v>
      </c>
      <c r="V385" s="55">
        <v>0</v>
      </c>
      <c r="W385" s="55">
        <v>0</v>
      </c>
      <c r="X385" s="55">
        <v>2.72</v>
      </c>
      <c r="Y385" s="55">
        <v>4.25</v>
      </c>
      <c r="Z385" s="55">
        <v>4.55</v>
      </c>
      <c r="AA385" s="55">
        <v>0</v>
      </c>
      <c r="AB385" s="55">
        <v>4.2</v>
      </c>
      <c r="AC385" s="55">
        <v>10.4</v>
      </c>
      <c r="AD385" s="55">
        <v>5.17</v>
      </c>
      <c r="AE385" s="55">
        <v>10.1</v>
      </c>
      <c r="AF385" s="55">
        <v>9.15</v>
      </c>
      <c r="AG385" s="55">
        <v>6.6</v>
      </c>
      <c r="AH385" s="55">
        <v>0</v>
      </c>
      <c r="AI385" s="55">
        <v>5.5</v>
      </c>
      <c r="AJ385" s="55">
        <v>10.199999999999999</v>
      </c>
      <c r="AK385" s="55">
        <v>0</v>
      </c>
      <c r="AL385" s="55">
        <v>4</v>
      </c>
      <c r="AM385" s="55">
        <v>0</v>
      </c>
      <c r="AN385" s="55">
        <v>4.83</v>
      </c>
      <c r="AO385" s="55">
        <v>4.38</v>
      </c>
      <c r="AP385" s="55">
        <v>0</v>
      </c>
      <c r="AQ385" s="55">
        <v>0</v>
      </c>
      <c r="AR385" s="8">
        <v>0</v>
      </c>
      <c r="AS385" s="8">
        <v>8.3699999999999992</v>
      </c>
      <c r="AT385" s="8">
        <v>10.1</v>
      </c>
      <c r="AU385" s="50">
        <v>6.96</v>
      </c>
      <c r="AV385" s="50">
        <v>6.19</v>
      </c>
      <c r="AW385" s="50">
        <v>8.6999999999999993</v>
      </c>
      <c r="AX385" s="50">
        <v>19.5</v>
      </c>
      <c r="AY385" s="50">
        <v>10.9</v>
      </c>
      <c r="AZ385" s="50">
        <v>0</v>
      </c>
      <c r="BA385" s="50">
        <v>9.8000000000000007</v>
      </c>
      <c r="BB385" s="50">
        <v>8.9</v>
      </c>
      <c r="BC385" s="55">
        <v>10.9</v>
      </c>
      <c r="BD385" s="55">
        <v>10.6</v>
      </c>
      <c r="BE385" s="11">
        <v>0</v>
      </c>
      <c r="BF385" s="4">
        <v>0</v>
      </c>
      <c r="BG385" s="4">
        <v>0</v>
      </c>
      <c r="BH385" s="4">
        <v>8.7219999999999995</v>
      </c>
      <c r="BI385" s="4">
        <v>10.34</v>
      </c>
      <c r="BJ385" s="14">
        <v>8.3650000000000002</v>
      </c>
      <c r="BK385" s="14">
        <v>0</v>
      </c>
      <c r="BL385" s="4">
        <v>0</v>
      </c>
      <c r="BM385" s="17">
        <v>7.516</v>
      </c>
      <c r="BN385" s="4">
        <v>2.6930000000000001</v>
      </c>
      <c r="BO385" s="4">
        <v>10.52</v>
      </c>
      <c r="BP385" s="4">
        <v>0</v>
      </c>
      <c r="BQ385" s="4">
        <v>0</v>
      </c>
      <c r="BR385" s="4">
        <v>0</v>
      </c>
      <c r="BS385" s="4">
        <v>10.89</v>
      </c>
      <c r="BT385" s="4">
        <v>10.11</v>
      </c>
      <c r="BU385" s="4">
        <v>0</v>
      </c>
      <c r="BV385" s="4">
        <v>4.3499999999999996</v>
      </c>
      <c r="BW385" s="4">
        <v>17.73</v>
      </c>
      <c r="BX385" s="4">
        <v>0</v>
      </c>
      <c r="BY385" s="4">
        <v>6.3120000000000003</v>
      </c>
      <c r="BZ385" s="55">
        <v>10.94</v>
      </c>
      <c r="CA385" s="55">
        <v>10.57</v>
      </c>
      <c r="CB385" s="55">
        <v>3.42</v>
      </c>
      <c r="CC385" s="55">
        <v>0</v>
      </c>
      <c r="CD385" s="55">
        <v>0</v>
      </c>
      <c r="CE385" s="19">
        <v>0</v>
      </c>
      <c r="CF385" s="19">
        <v>0</v>
      </c>
      <c r="CG385" s="4">
        <v>0</v>
      </c>
      <c r="CH385" s="4">
        <v>0</v>
      </c>
      <c r="CI385" s="4">
        <v>7.95</v>
      </c>
      <c r="CJ385" s="34">
        <v>0</v>
      </c>
      <c r="CK385" s="34">
        <v>0</v>
      </c>
      <c r="CL385" s="34">
        <v>0</v>
      </c>
      <c r="CM385" s="4">
        <v>0</v>
      </c>
      <c r="CN385" s="53">
        <v>0</v>
      </c>
      <c r="CO385" s="54">
        <v>0</v>
      </c>
      <c r="CP385" s="54">
        <v>0</v>
      </c>
      <c r="CQ385" s="4">
        <v>0</v>
      </c>
    </row>
    <row r="386" spans="1:95" s="55" customFormat="1" x14ac:dyDescent="0.35">
      <c r="A386" s="55">
        <v>385</v>
      </c>
      <c r="B386" s="55" t="s">
        <v>112</v>
      </c>
      <c r="C386" s="27" t="s">
        <v>834</v>
      </c>
      <c r="D386" s="50" t="s">
        <v>92</v>
      </c>
      <c r="E386" s="33" t="s">
        <v>91</v>
      </c>
      <c r="F386" s="4">
        <f>IFERROR(AVERAGEIF(Table1[[#This Row],[2019-Apr]:[2025-July]],"&lt;&gt;0"),0)</f>
        <v>6.2012888888888886</v>
      </c>
      <c r="G386" s="4">
        <f ca="1">IFERROR(AVERAGEIF(OFFSET(Table1[[#This Row],[Status]],0,COUNT(Table1[[#This Row],[2019-May]:[2025-July]]),1,-12),"&lt;&gt;0"),0)</f>
        <v>7.44</v>
      </c>
      <c r="H386" s="55">
        <f>IFERROR(SMALL(Table1[[#This Row],[2019-Apr]:[2025-July]],COUNTIF(Table1[[#This Row],[2019-Apr]:[2025-July]],0)+1),0)</f>
        <v>3</v>
      </c>
      <c r="I386" s="55">
        <f>IFERROR(MAX(Table1[[#This Row],[2019-Apr]:[2025-July]]),0)</f>
        <v>11.4</v>
      </c>
      <c r="J386" s="4" cm="1">
        <f t="array" ref="J38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3.7116666666666673</v>
      </c>
      <c r="K386" s="4">
        <v>4.5</v>
      </c>
      <c r="L386" s="4">
        <f>IF(Table1[[#This Row],[Standard as per ISO]]&gt;=Table1[[#This Row],[Avg of best 6]],Table1[[#This Row],[Standard as per ISO]],Table1[[#This Row],[Avg of best 6]])</f>
        <v>4.5</v>
      </c>
      <c r="M386" s="4" cm="1">
        <f t="array" ref="M386">IFERROR(LOOKUP(2,1/(Table1[[#This Row],[2019-May]:[2025-July]]&lt;&gt;0),Table1[[#This Row],[2019-May]:[2025-July]]),0)</f>
        <v>9.27</v>
      </c>
      <c r="N386" s="4">
        <f>COUNTIF(Table1[[#This Row],[2019-Apr]:[2025-July]],"&gt;="&amp;Table1[[#This Row],[Target]])</f>
        <v>33</v>
      </c>
      <c r="O386" s="4">
        <f>IF(Table1[[#This Row],[Outliers 2Y]]=0,1,0)</f>
        <v>0</v>
      </c>
      <c r="P386" s="4">
        <f>IF(Table1[[#This Row],[Last value]]&gt;1.5*Table1[[#This Row],[Target]],1,0)</f>
        <v>1</v>
      </c>
      <c r="Q386" s="4">
        <f>IF(AND(1.5*Table1[[#This Row],[Target]]&gt;=Table1[[#This Row],[Last value]],Table1[[#This Row],[Last value]]&gt;Table1[[#This Row],[Target]]),1,0)</f>
        <v>0</v>
      </c>
      <c r="R386" s="4">
        <f>IF(Table1[[#This Row],[Target]]&gt;=Table1[[#This Row],[Last value]],1,0)</f>
        <v>0</v>
      </c>
      <c r="S386" s="4" t="str">
        <f t="shared" si="8"/>
        <v>Red</v>
      </c>
      <c r="T386" s="55">
        <v>0</v>
      </c>
      <c r="U386" s="55">
        <v>4.49</v>
      </c>
      <c r="V386" s="55">
        <v>3.89</v>
      </c>
      <c r="W386" s="55">
        <v>5.97</v>
      </c>
      <c r="X386" s="55">
        <v>0</v>
      </c>
      <c r="Y386" s="55">
        <v>0</v>
      </c>
      <c r="Z386" s="55">
        <v>5.76</v>
      </c>
      <c r="AA386" s="55">
        <v>0</v>
      </c>
      <c r="AB386" s="55">
        <v>5.2</v>
      </c>
      <c r="AC386" s="55">
        <v>0</v>
      </c>
      <c r="AD386" s="55">
        <v>11.4</v>
      </c>
      <c r="AE386" s="55">
        <v>3</v>
      </c>
      <c r="AF386" s="55">
        <v>4.22</v>
      </c>
      <c r="AG386" s="55">
        <v>4.5</v>
      </c>
      <c r="AH386" s="55">
        <v>4.95</v>
      </c>
      <c r="AI386" s="55">
        <v>3.46</v>
      </c>
      <c r="AJ386" s="55">
        <v>10.5</v>
      </c>
      <c r="AK386" s="55">
        <v>7.16</v>
      </c>
      <c r="AL386" s="55">
        <v>4.82</v>
      </c>
      <c r="AM386" s="55">
        <v>0</v>
      </c>
      <c r="AN386" s="55">
        <v>8.51</v>
      </c>
      <c r="AO386" s="55">
        <v>7.76</v>
      </c>
      <c r="AP386" s="55">
        <v>0</v>
      </c>
      <c r="AQ386" s="55">
        <v>0</v>
      </c>
      <c r="AR386" s="8">
        <v>0</v>
      </c>
      <c r="AS386" s="8">
        <v>4.08</v>
      </c>
      <c r="AT386" s="8">
        <v>6.73</v>
      </c>
      <c r="AU386" s="50">
        <v>6.32</v>
      </c>
      <c r="AV386" s="50">
        <v>4.12</v>
      </c>
      <c r="AW386" s="50">
        <v>4.12</v>
      </c>
      <c r="AX386" s="50">
        <v>4.0999999999999996</v>
      </c>
      <c r="AY386" s="50">
        <v>0</v>
      </c>
      <c r="AZ386" s="50">
        <v>0</v>
      </c>
      <c r="BA386" s="50">
        <v>0</v>
      </c>
      <c r="BB386" s="50">
        <v>0</v>
      </c>
      <c r="BC386" s="55">
        <v>3.8</v>
      </c>
      <c r="BD386" s="55">
        <v>4.2</v>
      </c>
      <c r="BE386" s="11">
        <v>0</v>
      </c>
      <c r="BF386" s="4">
        <v>0</v>
      </c>
      <c r="BG386" s="4">
        <v>8.9369999999999994</v>
      </c>
      <c r="BH386" s="4">
        <v>5.1360000000000001</v>
      </c>
      <c r="BI386" s="4">
        <v>9.8439999999999994</v>
      </c>
      <c r="BJ386" s="13">
        <v>0</v>
      </c>
      <c r="BK386" s="13">
        <v>0</v>
      </c>
      <c r="BL386" s="4">
        <v>5.8209999999999997</v>
      </c>
      <c r="BM386" s="16">
        <v>6.1459999999999999</v>
      </c>
      <c r="BN386" s="4">
        <v>6.61</v>
      </c>
      <c r="BO386" s="4">
        <v>6.9850000000000003</v>
      </c>
      <c r="BP386" s="4">
        <v>6.1459999999999999</v>
      </c>
      <c r="BQ386" s="4">
        <v>5.0750000000000002</v>
      </c>
      <c r="BR386" s="4">
        <v>10.45</v>
      </c>
      <c r="BS386" s="4">
        <v>8.2349999999999994</v>
      </c>
      <c r="BT386" s="4">
        <v>7.7169999999999996</v>
      </c>
      <c r="BU386" s="4">
        <v>0</v>
      </c>
      <c r="BV386" s="4">
        <v>4.8760000000000003</v>
      </c>
      <c r="BW386" s="4">
        <v>0</v>
      </c>
      <c r="BX386" s="4">
        <v>5.0330000000000004</v>
      </c>
      <c r="BY386" s="4">
        <v>6.907</v>
      </c>
      <c r="BZ386" s="55">
        <v>8.24</v>
      </c>
      <c r="CA386" s="55">
        <v>7.48</v>
      </c>
      <c r="CB386" s="55">
        <v>4.04</v>
      </c>
      <c r="CC386" s="55">
        <v>0</v>
      </c>
      <c r="CD386" s="55">
        <v>0</v>
      </c>
      <c r="CE386" s="19">
        <v>0</v>
      </c>
      <c r="CF386" s="19">
        <v>7.1</v>
      </c>
      <c r="CG386" s="4">
        <v>5.95</v>
      </c>
      <c r="CH386" s="4">
        <v>0</v>
      </c>
      <c r="CI386" s="4">
        <v>9.27</v>
      </c>
      <c r="CJ386" s="34">
        <v>0</v>
      </c>
      <c r="CK386" s="34">
        <v>0</v>
      </c>
      <c r="CL386" s="34">
        <v>0</v>
      </c>
      <c r="CM386" s="4">
        <v>0</v>
      </c>
      <c r="CN386" s="53">
        <v>0</v>
      </c>
      <c r="CO386" s="54">
        <v>0</v>
      </c>
      <c r="CP386" s="54">
        <v>0</v>
      </c>
      <c r="CQ386" s="4">
        <v>0</v>
      </c>
    </row>
    <row r="387" spans="1:95" s="55" customFormat="1" x14ac:dyDescent="0.35">
      <c r="A387" s="55">
        <v>386</v>
      </c>
      <c r="B387" s="55" t="s">
        <v>112</v>
      </c>
      <c r="C387" s="27" t="s">
        <v>835</v>
      </c>
      <c r="D387" s="50" t="s">
        <v>92</v>
      </c>
      <c r="E387" s="33" t="s">
        <v>91</v>
      </c>
      <c r="F387" s="4">
        <f>IFERROR(AVERAGEIF(Table1[[#This Row],[2019-Apr]:[2025-July]],"&lt;&gt;0"),0)</f>
        <v>7.5709756097560996</v>
      </c>
      <c r="G387" s="4">
        <f ca="1">IFERROR(AVERAGEIF(OFFSET(Table1[[#This Row],[Status]],0,COUNT(Table1[[#This Row],[2019-May]:[2025-July]]),1,-12),"&lt;&gt;0"),0)</f>
        <v>6.46</v>
      </c>
      <c r="H387" s="55">
        <f>IFERROR(SMALL(Table1[[#This Row],[2019-Apr]:[2025-July]],COUNTIF(Table1[[#This Row],[2019-Apr]:[2025-July]],0)+1),0)</f>
        <v>1.8</v>
      </c>
      <c r="I387" s="55">
        <f>IFERROR(MAX(Table1[[#This Row],[2019-Apr]:[2025-July]]),0)</f>
        <v>15.46</v>
      </c>
      <c r="J387" s="4" cm="1">
        <f t="array" ref="J38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3.044</v>
      </c>
      <c r="K387" s="4">
        <v>4.5</v>
      </c>
      <c r="L387" s="4">
        <f>IF(Table1[[#This Row],[Standard as per ISO]]&gt;=Table1[[#This Row],[Avg of best 6]],Table1[[#This Row],[Standard as per ISO]],Table1[[#This Row],[Avg of best 6]])</f>
        <v>4.5</v>
      </c>
      <c r="M387" s="4" cm="1">
        <f t="array" ref="M387">IFERROR(LOOKUP(2,1/(Table1[[#This Row],[2019-May]:[2025-July]]&lt;&gt;0),Table1[[#This Row],[2019-May]:[2025-July]]),0)</f>
        <v>6.12</v>
      </c>
      <c r="N387" s="4">
        <f>COUNTIF(Table1[[#This Row],[2019-Apr]:[2025-July]],"&gt;="&amp;Table1[[#This Row],[Target]])</f>
        <v>33</v>
      </c>
      <c r="O387" s="4">
        <f>IF(Table1[[#This Row],[Outliers 2Y]]=0,1,0)</f>
        <v>0</v>
      </c>
      <c r="P387" s="4">
        <f>IF(Table1[[#This Row],[Last value]]&gt;1.5*Table1[[#This Row],[Target]],1,0)</f>
        <v>0</v>
      </c>
      <c r="Q387" s="4">
        <f>IF(AND(1.5*Table1[[#This Row],[Target]]&gt;=Table1[[#This Row],[Last value]],Table1[[#This Row],[Last value]]&gt;Table1[[#This Row],[Target]]),1,0)</f>
        <v>1</v>
      </c>
      <c r="R387" s="4">
        <f>IF(Table1[[#This Row],[Target]]&gt;=Table1[[#This Row],[Last value]],1,0)</f>
        <v>0</v>
      </c>
      <c r="S387" s="4" t="str">
        <f t="shared" si="8"/>
        <v>Yellow</v>
      </c>
      <c r="T387" s="55">
        <v>0</v>
      </c>
      <c r="U387" s="55">
        <v>11.9</v>
      </c>
      <c r="V387" s="55">
        <v>10.7</v>
      </c>
      <c r="W387" s="55">
        <v>8.5299999999999994</v>
      </c>
      <c r="X387" s="55">
        <v>7.65</v>
      </c>
      <c r="Y387" s="55">
        <v>6.8</v>
      </c>
      <c r="Z387" s="55">
        <v>0</v>
      </c>
      <c r="AA387" s="55">
        <v>0</v>
      </c>
      <c r="AB387" s="55">
        <v>0</v>
      </c>
      <c r="AC387" s="55">
        <v>10.7</v>
      </c>
      <c r="AD387" s="55">
        <v>2.99</v>
      </c>
      <c r="AE387" s="55">
        <v>3.6</v>
      </c>
      <c r="AF387" s="55">
        <v>6</v>
      </c>
      <c r="AG387" s="55">
        <v>0</v>
      </c>
      <c r="AH387" s="55">
        <v>6.74</v>
      </c>
      <c r="AI387" s="55">
        <v>0</v>
      </c>
      <c r="AJ387" s="55">
        <v>8.1999999999999993</v>
      </c>
      <c r="AK387" s="55">
        <v>7.14</v>
      </c>
      <c r="AL387" s="55">
        <v>0</v>
      </c>
      <c r="AM387" s="55">
        <v>0</v>
      </c>
      <c r="AN387" s="55">
        <v>8.5</v>
      </c>
      <c r="AO387" s="55">
        <v>0</v>
      </c>
      <c r="AP387" s="55">
        <v>0</v>
      </c>
      <c r="AQ387" s="55">
        <v>6.96</v>
      </c>
      <c r="AR387" s="8">
        <v>0</v>
      </c>
      <c r="AS387" s="8">
        <v>9.0399999999999991</v>
      </c>
      <c r="AT387" s="8">
        <v>7.06</v>
      </c>
      <c r="AU387" s="50">
        <v>9.3000000000000007</v>
      </c>
      <c r="AV387" s="50">
        <v>14.1</v>
      </c>
      <c r="AW387" s="50">
        <v>14.1</v>
      </c>
      <c r="AX387" s="50">
        <v>0</v>
      </c>
      <c r="AY387" s="50">
        <v>0</v>
      </c>
      <c r="AZ387" s="50">
        <v>0</v>
      </c>
      <c r="BA387" s="50">
        <v>3.1</v>
      </c>
      <c r="BB387" s="50">
        <v>0</v>
      </c>
      <c r="BC387" s="55">
        <v>3</v>
      </c>
      <c r="BD387" s="55">
        <v>6.5</v>
      </c>
      <c r="BE387" s="11">
        <v>0</v>
      </c>
      <c r="BF387" s="4">
        <v>0</v>
      </c>
      <c r="BG387" s="4">
        <v>15.46</v>
      </c>
      <c r="BH387" s="4">
        <v>5.1980000000000004</v>
      </c>
      <c r="BI387" s="4">
        <v>4.9880000000000004</v>
      </c>
      <c r="BJ387" s="14">
        <v>4.306</v>
      </c>
      <c r="BK387" s="14">
        <v>4.056</v>
      </c>
      <c r="BL387" s="4">
        <v>0</v>
      </c>
      <c r="BM387" s="17">
        <v>9.7629999999999999</v>
      </c>
      <c r="BN387" s="4">
        <v>13.96</v>
      </c>
      <c r="BO387" s="4">
        <v>6.5739999999999998</v>
      </c>
      <c r="BP387" s="4">
        <v>10.18</v>
      </c>
      <c r="BQ387" s="4">
        <v>7.1130000000000004</v>
      </c>
      <c r="BR387" s="4">
        <v>10.8</v>
      </c>
      <c r="BS387" s="4">
        <v>6.0289999999999999</v>
      </c>
      <c r="BT387" s="4">
        <v>9.6750000000000007</v>
      </c>
      <c r="BU387" s="4">
        <v>0</v>
      </c>
      <c r="BV387" s="4">
        <v>3.774</v>
      </c>
      <c r="BW387" s="4">
        <v>6.45</v>
      </c>
      <c r="BX387" s="4">
        <v>4.7539999999999996</v>
      </c>
      <c r="BY387" s="4">
        <v>0</v>
      </c>
      <c r="BZ387" s="55">
        <v>1.8</v>
      </c>
      <c r="CA387" s="55">
        <v>0</v>
      </c>
      <c r="CB387" s="55">
        <v>0</v>
      </c>
      <c r="CC387" s="55">
        <v>0</v>
      </c>
      <c r="CD387" s="55">
        <v>0</v>
      </c>
      <c r="CE387" s="19">
        <v>0</v>
      </c>
      <c r="CF387" s="19">
        <v>6.8</v>
      </c>
      <c r="CG387" s="4">
        <v>0</v>
      </c>
      <c r="CH387" s="4">
        <v>0</v>
      </c>
      <c r="CI387" s="4">
        <v>6.12</v>
      </c>
      <c r="CJ387" s="34">
        <v>0</v>
      </c>
      <c r="CK387" s="34">
        <v>0</v>
      </c>
      <c r="CL387" s="34">
        <v>0</v>
      </c>
      <c r="CM387" s="4">
        <v>0</v>
      </c>
      <c r="CN387" s="53">
        <v>0</v>
      </c>
      <c r="CO387" s="54">
        <v>0</v>
      </c>
      <c r="CP387" s="54">
        <v>0</v>
      </c>
      <c r="CQ387" s="4">
        <v>0</v>
      </c>
    </row>
    <row r="388" spans="1:95" s="55" customFormat="1" x14ac:dyDescent="0.35">
      <c r="A388" s="55">
        <v>387</v>
      </c>
      <c r="B388" s="55" t="s">
        <v>112</v>
      </c>
      <c r="C388" s="27" t="s">
        <v>836</v>
      </c>
      <c r="D388" s="50" t="s">
        <v>92</v>
      </c>
      <c r="E388" s="33" t="s">
        <v>91</v>
      </c>
      <c r="F388" s="4">
        <f>IFERROR(AVERAGEIF(Table1[[#This Row],[2019-Apr]:[2025-July]],"&lt;&gt;0"),0)</f>
        <v>6.2964750000000009</v>
      </c>
      <c r="G388" s="4">
        <f ca="1">IFERROR(AVERAGEIF(OFFSET(Table1[[#This Row],[Status]],0,COUNT(Table1[[#This Row],[2019-May]:[2025-July]]),1,-12),"&lt;&gt;0"),0)</f>
        <v>6.5449999999999999</v>
      </c>
      <c r="H388" s="55">
        <f>IFERROR(SMALL(Table1[[#This Row],[2019-Apr]:[2025-July]],COUNTIF(Table1[[#This Row],[2019-Apr]:[2025-July]],0)+1),0)</f>
        <v>2.2999999999999998</v>
      </c>
      <c r="I388" s="55">
        <f>IFERROR(MAX(Table1[[#This Row],[2019-Apr]:[2025-July]]),0)</f>
        <v>13.3</v>
      </c>
      <c r="J388" s="4" cm="1">
        <f t="array" ref="J38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2.782833333333333</v>
      </c>
      <c r="K388" s="4">
        <v>4.5</v>
      </c>
      <c r="L388" s="4">
        <f>IF(Table1[[#This Row],[Standard as per ISO]]&gt;=Table1[[#This Row],[Avg of best 6]],Table1[[#This Row],[Standard as per ISO]],Table1[[#This Row],[Avg of best 6]])</f>
        <v>4.5</v>
      </c>
      <c r="M388" s="4" cm="1">
        <f t="array" ref="M388">IFERROR(LOOKUP(2,1/(Table1[[#This Row],[2019-May]:[2025-July]]&lt;&gt;0),Table1[[#This Row],[2019-May]:[2025-July]]),0)</f>
        <v>4.74</v>
      </c>
      <c r="N388" s="4">
        <f>COUNTIF(Table1[[#This Row],[2019-Apr]:[2025-July]],"&gt;="&amp;Table1[[#This Row],[Target]])</f>
        <v>30</v>
      </c>
      <c r="O388" s="4">
        <f>IF(Table1[[#This Row],[Outliers 2Y]]=0,1,0)</f>
        <v>0</v>
      </c>
      <c r="P388" s="4">
        <f>IF(Table1[[#This Row],[Last value]]&gt;1.5*Table1[[#This Row],[Target]],1,0)</f>
        <v>0</v>
      </c>
      <c r="Q388" s="4">
        <f>IF(AND(1.5*Table1[[#This Row],[Target]]&gt;=Table1[[#This Row],[Last value]],Table1[[#This Row],[Last value]]&gt;Table1[[#This Row],[Target]]),1,0)</f>
        <v>1</v>
      </c>
      <c r="R388" s="4">
        <f>IF(Table1[[#This Row],[Target]]&gt;=Table1[[#This Row],[Last value]],1,0)</f>
        <v>0</v>
      </c>
      <c r="S388" s="4" t="str">
        <f t="shared" si="8"/>
        <v>Yellow</v>
      </c>
      <c r="T388" s="55">
        <v>0</v>
      </c>
      <c r="U388" s="55">
        <v>0</v>
      </c>
      <c r="V388" s="55">
        <v>6.17</v>
      </c>
      <c r="W388" s="55">
        <v>12.8</v>
      </c>
      <c r="X388" s="55">
        <v>6.55</v>
      </c>
      <c r="Y388" s="55">
        <v>7.97</v>
      </c>
      <c r="Z388" s="55">
        <v>4.62</v>
      </c>
      <c r="AA388" s="55">
        <v>7.06</v>
      </c>
      <c r="AB388" s="55">
        <v>6.13</v>
      </c>
      <c r="AC388" s="55">
        <v>3.63</v>
      </c>
      <c r="AD388" s="55">
        <v>0</v>
      </c>
      <c r="AE388" s="55">
        <v>0</v>
      </c>
      <c r="AF388" s="55">
        <v>0</v>
      </c>
      <c r="AG388" s="55">
        <v>3.7</v>
      </c>
      <c r="AH388" s="55">
        <v>7.2</v>
      </c>
      <c r="AI388" s="55">
        <v>0</v>
      </c>
      <c r="AJ388" s="55">
        <v>4.29</v>
      </c>
      <c r="AK388" s="55">
        <v>0</v>
      </c>
      <c r="AL388" s="55">
        <v>4.7300000000000004</v>
      </c>
      <c r="AM388" s="55">
        <v>0</v>
      </c>
      <c r="AN388" s="55">
        <v>0</v>
      </c>
      <c r="AO388" s="55">
        <v>5.98</v>
      </c>
      <c r="AP388" s="55">
        <v>0</v>
      </c>
      <c r="AQ388" s="55">
        <v>7.96</v>
      </c>
      <c r="AR388" s="8">
        <v>0</v>
      </c>
      <c r="AS388" s="8">
        <v>0</v>
      </c>
      <c r="AT388" s="8">
        <v>0</v>
      </c>
      <c r="AU388" s="50">
        <v>9.18</v>
      </c>
      <c r="AV388" s="50">
        <v>4.53</v>
      </c>
      <c r="AW388" s="50">
        <v>6.75</v>
      </c>
      <c r="AX388" s="50">
        <v>7.22</v>
      </c>
      <c r="AY388" s="50">
        <v>7.61</v>
      </c>
      <c r="AZ388" s="50">
        <v>13.3</v>
      </c>
      <c r="BA388" s="50">
        <v>2.2999999999999998</v>
      </c>
      <c r="BB388" s="50">
        <v>6.1</v>
      </c>
      <c r="BC388" s="55">
        <v>8.6</v>
      </c>
      <c r="BD388" s="55">
        <v>0</v>
      </c>
      <c r="BE388" s="11">
        <v>9.3819999999999997</v>
      </c>
      <c r="BF388" s="4">
        <v>0</v>
      </c>
      <c r="BG388" s="4">
        <v>0</v>
      </c>
      <c r="BH388" s="4">
        <v>3.1</v>
      </c>
      <c r="BI388" s="4">
        <v>5.234</v>
      </c>
      <c r="BJ388" s="13">
        <v>8.1769999999999996</v>
      </c>
      <c r="BK388" s="13">
        <v>5.8879999999999999</v>
      </c>
      <c r="BL388" s="4">
        <v>3.851</v>
      </c>
      <c r="BM388" s="16">
        <v>6.8239999999999998</v>
      </c>
      <c r="BN388" s="4">
        <v>2.371</v>
      </c>
      <c r="BO388" s="4">
        <v>3.6970000000000001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6.5209999999999999</v>
      </c>
      <c r="BX388" s="4">
        <v>5.3179999999999996</v>
      </c>
      <c r="BY388" s="4">
        <v>2.456</v>
      </c>
      <c r="BZ388" s="55">
        <v>0</v>
      </c>
      <c r="CA388" s="55">
        <v>0</v>
      </c>
      <c r="CB388" s="55">
        <v>8.48</v>
      </c>
      <c r="CC388" s="55">
        <v>0</v>
      </c>
      <c r="CD388" s="55">
        <v>0</v>
      </c>
      <c r="CE388" s="19">
        <v>11.9</v>
      </c>
      <c r="CF388" s="19">
        <v>6.7</v>
      </c>
      <c r="CG388" s="4">
        <v>2.84</v>
      </c>
      <c r="CH388" s="4">
        <v>0</v>
      </c>
      <c r="CI388" s="4">
        <v>4.74</v>
      </c>
      <c r="CJ388" s="34">
        <v>0</v>
      </c>
      <c r="CK388" s="34">
        <v>0</v>
      </c>
      <c r="CL388" s="34">
        <v>0</v>
      </c>
      <c r="CM388" s="4">
        <v>0</v>
      </c>
      <c r="CN388" s="53">
        <v>0</v>
      </c>
      <c r="CO388" s="54">
        <v>0</v>
      </c>
      <c r="CP388" s="54">
        <v>0</v>
      </c>
      <c r="CQ388" s="4">
        <v>0</v>
      </c>
    </row>
    <row r="389" spans="1:95" s="55" customFormat="1" x14ac:dyDescent="0.35">
      <c r="A389" s="55">
        <v>388</v>
      </c>
      <c r="B389" s="55" t="s">
        <v>112</v>
      </c>
      <c r="C389" s="27" t="s">
        <v>837</v>
      </c>
      <c r="D389" s="50" t="s">
        <v>92</v>
      </c>
      <c r="E389" s="33" t="s">
        <v>91</v>
      </c>
      <c r="F389" s="4">
        <f>IFERROR(AVERAGEIF(Table1[[#This Row],[2019-Apr]:[2025-July]],"&lt;&gt;0"),0)</f>
        <v>7.7812843137254868</v>
      </c>
      <c r="G389" s="4">
        <f ca="1">IFERROR(AVERAGEIF(OFFSET(Table1[[#This Row],[Status]],0,COUNT(Table1[[#This Row],[2019-May]:[2025-July]]),1,-12),"&lt;&gt;0"),0)</f>
        <v>9.0299999999999994</v>
      </c>
      <c r="H389" s="55">
        <f>IFERROR(SMALL(Table1[[#This Row],[2019-Apr]:[2025-July]],COUNTIF(Table1[[#This Row],[2019-Apr]:[2025-July]],0)+1),0)</f>
        <v>2.31</v>
      </c>
      <c r="I389" s="55">
        <f>IFERROR(MAX(Table1[[#This Row],[2019-Apr]:[2025-July]]),0)</f>
        <v>16.7</v>
      </c>
      <c r="J389" s="4" cm="1">
        <f t="array" ref="J38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3.3348333333333335</v>
      </c>
      <c r="K389" s="4">
        <v>4.5</v>
      </c>
      <c r="L389" s="4">
        <f>IF(Table1[[#This Row],[Standard as per ISO]]&gt;=Table1[[#This Row],[Avg of best 6]],Table1[[#This Row],[Standard as per ISO]],Table1[[#This Row],[Avg of best 6]])</f>
        <v>4.5</v>
      </c>
      <c r="M389" s="4" cm="1">
        <f t="array" ref="M389">IFERROR(LOOKUP(2,1/(Table1[[#This Row],[2019-May]:[2025-July]]&lt;&gt;0),Table1[[#This Row],[2019-May]:[2025-July]]),0)</f>
        <v>2.46</v>
      </c>
      <c r="N389" s="4">
        <f>COUNTIF(Table1[[#This Row],[2019-Apr]:[2025-July]],"&gt;="&amp;Table1[[#This Row],[Target]])</f>
        <v>28</v>
      </c>
      <c r="O389" s="4">
        <f>IF(Table1[[#This Row],[Outliers 2Y]]=0,1,0)</f>
        <v>0</v>
      </c>
      <c r="P389" s="4">
        <f>IF(Table1[[#This Row],[Last value]]&gt;1.5*Table1[[#This Row],[Target]],1,0)</f>
        <v>0</v>
      </c>
      <c r="Q389" s="4">
        <f>IF(AND(1.5*Table1[[#This Row],[Target]]&gt;=Table1[[#This Row],[Last value]],Table1[[#This Row],[Last value]]&gt;Table1[[#This Row],[Target]]),1,0)</f>
        <v>0</v>
      </c>
      <c r="R389" s="4">
        <f>IF(Table1[[#This Row],[Target]]&gt;=Table1[[#This Row],[Last value]],1,0)</f>
        <v>1</v>
      </c>
      <c r="S389" s="4" t="str">
        <f t="shared" si="8"/>
        <v>Green</v>
      </c>
      <c r="T389" s="55">
        <v>0</v>
      </c>
      <c r="U389" s="55">
        <v>5.36</v>
      </c>
      <c r="V389" s="55">
        <v>4.7699999999999996</v>
      </c>
      <c r="W389" s="55">
        <v>3.73</v>
      </c>
      <c r="X389" s="55">
        <v>0</v>
      </c>
      <c r="Y389" s="55">
        <v>10.1</v>
      </c>
      <c r="Z389" s="55">
        <v>0</v>
      </c>
      <c r="AA389" s="55">
        <v>0</v>
      </c>
      <c r="AB389" s="55">
        <v>4.7699999999999996</v>
      </c>
      <c r="AC389" s="55">
        <v>2.31</v>
      </c>
      <c r="AD389" s="55">
        <v>0</v>
      </c>
      <c r="AE389" s="55">
        <v>0</v>
      </c>
      <c r="AF389" s="55">
        <v>7.34</v>
      </c>
      <c r="AG389" s="55">
        <v>5.2266666666666666</v>
      </c>
      <c r="AH389" s="55">
        <v>16.7</v>
      </c>
      <c r="AI389" s="55">
        <v>0</v>
      </c>
      <c r="AJ389" s="55">
        <v>6.35</v>
      </c>
      <c r="AK389" s="55">
        <v>0</v>
      </c>
      <c r="AL389" s="55">
        <v>7.44</v>
      </c>
      <c r="AM389" s="55">
        <v>0</v>
      </c>
      <c r="AN389" s="55">
        <v>7.95</v>
      </c>
      <c r="AO389" s="55">
        <v>0</v>
      </c>
      <c r="AP389" s="55">
        <v>0</v>
      </c>
      <c r="AQ389" s="55">
        <v>8.4600000000000009</v>
      </c>
      <c r="AR389" s="8">
        <v>0</v>
      </c>
      <c r="AS389" s="8">
        <v>0</v>
      </c>
      <c r="AT389" s="8">
        <v>0</v>
      </c>
      <c r="AU389" s="50">
        <v>0</v>
      </c>
      <c r="AV389" s="50">
        <v>3.75</v>
      </c>
      <c r="AW389" s="50">
        <v>9.9</v>
      </c>
      <c r="AX389" s="50">
        <v>14.1</v>
      </c>
      <c r="AY389" s="50">
        <v>4.6900000000000004</v>
      </c>
      <c r="AZ389" s="50">
        <v>7.6</v>
      </c>
      <c r="BA389" s="50">
        <v>0</v>
      </c>
      <c r="BB389" s="50">
        <v>4.2</v>
      </c>
      <c r="BC389" s="55">
        <v>4.8</v>
      </c>
      <c r="BD389" s="55">
        <v>0</v>
      </c>
      <c r="BE389" s="11">
        <v>0</v>
      </c>
      <c r="BF389" s="4">
        <v>0</v>
      </c>
      <c r="BG389" s="4">
        <v>0</v>
      </c>
      <c r="BH389" s="4">
        <v>14.19</v>
      </c>
      <c r="BI389" s="4">
        <v>9.6489999999999991</v>
      </c>
      <c r="BJ389" s="14">
        <v>6.016</v>
      </c>
      <c r="BK389" s="14">
        <v>15.28</v>
      </c>
      <c r="BL389" s="4">
        <v>6.3550000000000004</v>
      </c>
      <c r="BM389" s="17">
        <v>7.3609999999999998</v>
      </c>
      <c r="BN389" s="4">
        <v>0</v>
      </c>
      <c r="BO389" s="4">
        <v>3.5590000000000002</v>
      </c>
      <c r="BP389" s="4">
        <v>11.57</v>
      </c>
      <c r="BQ389" s="4">
        <v>7.0510000000000002</v>
      </c>
      <c r="BR389" s="4">
        <v>9.0359999999999996</v>
      </c>
      <c r="BS389" s="4">
        <v>7.47</v>
      </c>
      <c r="BT389" s="4">
        <v>9.42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55">
        <v>0</v>
      </c>
      <c r="CA389" s="55">
        <v>0</v>
      </c>
      <c r="CB389" s="55">
        <v>0</v>
      </c>
      <c r="CC389" s="55">
        <v>0</v>
      </c>
      <c r="CD389" s="55">
        <v>0</v>
      </c>
      <c r="CE389" s="19">
        <v>15.6</v>
      </c>
      <c r="CF389" s="19">
        <v>0</v>
      </c>
      <c r="CG389" s="4">
        <v>2.46</v>
      </c>
      <c r="CH389" s="4">
        <v>0</v>
      </c>
      <c r="CI389" s="4">
        <v>0</v>
      </c>
      <c r="CJ389" s="34">
        <v>0</v>
      </c>
      <c r="CK389" s="34">
        <v>0</v>
      </c>
      <c r="CL389" s="34">
        <v>0</v>
      </c>
      <c r="CM389" s="4">
        <v>0</v>
      </c>
      <c r="CN389" s="53">
        <v>0</v>
      </c>
      <c r="CO389" s="54">
        <v>0</v>
      </c>
      <c r="CP389" s="54">
        <v>0</v>
      </c>
      <c r="CQ389" s="4">
        <v>0</v>
      </c>
    </row>
    <row r="390" spans="1:95" s="55" customFormat="1" x14ac:dyDescent="0.35">
      <c r="A390" s="55">
        <v>389</v>
      </c>
      <c r="B390" s="55" t="s">
        <v>112</v>
      </c>
      <c r="C390" s="27" t="s">
        <v>838</v>
      </c>
      <c r="D390" s="50" t="s">
        <v>92</v>
      </c>
      <c r="E390" s="33" t="s">
        <v>91</v>
      </c>
      <c r="F390" s="4">
        <f>IFERROR(AVERAGEIF(Table1[[#This Row],[2019-Apr]:[2025-July]],"&lt;&gt;0"),0)</f>
        <v>12.473348837209306</v>
      </c>
      <c r="G390" s="4">
        <f ca="1">IFERROR(AVERAGEIF(OFFSET(Table1[[#This Row],[Status]],0,COUNT(Table1[[#This Row],[2019-May]:[2025-July]]),1,-12),"&lt;&gt;0"),0)</f>
        <v>9.11</v>
      </c>
      <c r="H390" s="55">
        <f>IFERROR(SMALL(Table1[[#This Row],[2019-Apr]:[2025-July]],COUNTIF(Table1[[#This Row],[2019-Apr]:[2025-July]],0)+1),0)</f>
        <v>4.75</v>
      </c>
      <c r="I390" s="55">
        <f>IFERROR(MAX(Table1[[#This Row],[2019-Apr]:[2025-July]]),0)</f>
        <v>22.48</v>
      </c>
      <c r="J390" s="4" cm="1">
        <f t="array" ref="J39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6.4753333333333325</v>
      </c>
      <c r="K390" s="4">
        <v>4.5</v>
      </c>
      <c r="L390" s="4">
        <f>IF(Table1[[#This Row],[Standard as per ISO]]&gt;=Table1[[#This Row],[Avg of best 6]],Table1[[#This Row],[Standard as per ISO]],Table1[[#This Row],[Avg of best 6]])</f>
        <v>6.4753333333333325</v>
      </c>
      <c r="M390" s="4" cm="1">
        <f t="array" ref="M390">IFERROR(LOOKUP(2,1/(Table1[[#This Row],[2019-May]:[2025-July]]&lt;&gt;0),Table1[[#This Row],[2019-May]:[2025-July]]),0)</f>
        <v>9.11</v>
      </c>
      <c r="N390" s="4">
        <f>COUNTIF(Table1[[#This Row],[2019-Apr]:[2025-July]],"&gt;="&amp;Table1[[#This Row],[Target]])</f>
        <v>41</v>
      </c>
      <c r="O390" s="4">
        <f>IF(Table1[[#This Row],[Outliers 2Y]]=0,1,0)</f>
        <v>0</v>
      </c>
      <c r="P390" s="4">
        <f>IF(Table1[[#This Row],[Last value]]&gt;1.5*Table1[[#This Row],[Target]],1,0)</f>
        <v>0</v>
      </c>
      <c r="Q390" s="4">
        <f>IF(AND(1.5*Table1[[#This Row],[Target]]&gt;=Table1[[#This Row],[Last value]],Table1[[#This Row],[Last value]]&gt;Table1[[#This Row],[Target]]),1,0)</f>
        <v>1</v>
      </c>
      <c r="R390" s="4">
        <f>IF(Table1[[#This Row],[Target]]&gt;=Table1[[#This Row],[Last value]],1,0)</f>
        <v>0</v>
      </c>
      <c r="S390" s="4" t="str">
        <f t="shared" si="8"/>
        <v>Yellow</v>
      </c>
      <c r="T390" s="55">
        <v>0</v>
      </c>
      <c r="U390" s="55">
        <v>5.46</v>
      </c>
      <c r="V390" s="55">
        <v>0</v>
      </c>
      <c r="W390" s="55">
        <v>13.7</v>
      </c>
      <c r="X390" s="55">
        <v>14.9</v>
      </c>
      <c r="Y390" s="55">
        <v>12.7</v>
      </c>
      <c r="Z390" s="55">
        <v>12.5</v>
      </c>
      <c r="AA390" s="55">
        <v>12.2</v>
      </c>
      <c r="AB390" s="55">
        <v>0</v>
      </c>
      <c r="AC390" s="55">
        <v>13.3</v>
      </c>
      <c r="AD390" s="55">
        <v>17.2</v>
      </c>
      <c r="AE390" s="55">
        <v>16.7</v>
      </c>
      <c r="AF390" s="55">
        <v>13.8</v>
      </c>
      <c r="AG390" s="55">
        <v>0</v>
      </c>
      <c r="AH390" s="55">
        <v>0</v>
      </c>
      <c r="AI390" s="55">
        <v>9.69</v>
      </c>
      <c r="AJ390" s="55">
        <v>8.31</v>
      </c>
      <c r="AK390" s="55">
        <v>0</v>
      </c>
      <c r="AL390" s="55">
        <v>12.5</v>
      </c>
      <c r="AM390" s="55">
        <v>0</v>
      </c>
      <c r="AN390" s="55">
        <v>10.1</v>
      </c>
      <c r="AO390" s="55">
        <v>4.75</v>
      </c>
      <c r="AP390" s="55">
        <v>0</v>
      </c>
      <c r="AQ390" s="55">
        <v>0</v>
      </c>
      <c r="AR390" s="8">
        <v>0</v>
      </c>
      <c r="AS390" s="8">
        <v>11</v>
      </c>
      <c r="AT390" s="8">
        <v>9.83</v>
      </c>
      <c r="AU390" s="50">
        <v>8.77</v>
      </c>
      <c r="AV390" s="50">
        <v>8.16</v>
      </c>
      <c r="AW390" s="50">
        <v>10.7</v>
      </c>
      <c r="AX390" s="50">
        <v>15.5</v>
      </c>
      <c r="AY390" s="50">
        <v>7.55</v>
      </c>
      <c r="AZ390" s="50">
        <v>6.5</v>
      </c>
      <c r="BA390" s="50">
        <v>11.9</v>
      </c>
      <c r="BB390" s="50">
        <v>15.5</v>
      </c>
      <c r="BC390" s="55">
        <v>9</v>
      </c>
      <c r="BD390" s="55">
        <v>19.3</v>
      </c>
      <c r="BE390" s="11">
        <v>0</v>
      </c>
      <c r="BF390" s="4">
        <v>0</v>
      </c>
      <c r="BG390" s="4">
        <v>0</v>
      </c>
      <c r="BH390" s="4">
        <v>7.4820000000000002</v>
      </c>
      <c r="BI390" s="4">
        <v>8.343</v>
      </c>
      <c r="BJ390" s="13">
        <v>9.5790000000000006</v>
      </c>
      <c r="BK390" s="13">
        <v>0</v>
      </c>
      <c r="BL390" s="4">
        <v>0</v>
      </c>
      <c r="BM390" s="16">
        <v>19.64</v>
      </c>
      <c r="BN390" s="4">
        <v>12.95</v>
      </c>
      <c r="BO390" s="4">
        <v>22.48</v>
      </c>
      <c r="BP390" s="4">
        <v>22.4</v>
      </c>
      <c r="BQ390" s="4">
        <v>0</v>
      </c>
      <c r="BR390" s="4">
        <v>0</v>
      </c>
      <c r="BS390" s="4">
        <v>12.73</v>
      </c>
      <c r="BT390" s="4">
        <v>14.35</v>
      </c>
      <c r="BU390" s="4">
        <v>0</v>
      </c>
      <c r="BV390" s="4">
        <v>15.28</v>
      </c>
      <c r="BW390" s="4">
        <v>11.43</v>
      </c>
      <c r="BX390" s="4">
        <v>0</v>
      </c>
      <c r="BY390" s="4">
        <v>13.11</v>
      </c>
      <c r="BZ390" s="55">
        <v>19.52</v>
      </c>
      <c r="CA390" s="55">
        <v>19.32</v>
      </c>
      <c r="CB390" s="55">
        <v>7.11</v>
      </c>
      <c r="CC390" s="55">
        <v>0</v>
      </c>
      <c r="CD390" s="55">
        <v>0</v>
      </c>
      <c r="CE390" s="19">
        <v>0</v>
      </c>
      <c r="CF390" s="19">
        <v>0</v>
      </c>
      <c r="CG390" s="4">
        <v>0</v>
      </c>
      <c r="CH390" s="4">
        <v>0</v>
      </c>
      <c r="CI390" s="4">
        <v>9.11</v>
      </c>
      <c r="CJ390" s="34">
        <v>0</v>
      </c>
      <c r="CK390" s="34">
        <v>0</v>
      </c>
      <c r="CL390" s="34">
        <v>0</v>
      </c>
      <c r="CM390" s="4">
        <v>0</v>
      </c>
      <c r="CN390" s="53">
        <v>0</v>
      </c>
      <c r="CO390" s="54">
        <v>0</v>
      </c>
      <c r="CP390" s="54">
        <v>0</v>
      </c>
      <c r="CQ390" s="4">
        <v>0</v>
      </c>
    </row>
    <row r="391" spans="1:95" s="55" customFormat="1" x14ac:dyDescent="0.35">
      <c r="A391" s="55">
        <v>390</v>
      </c>
      <c r="B391" s="55" t="s">
        <v>112</v>
      </c>
      <c r="C391" s="27" t="s">
        <v>839</v>
      </c>
      <c r="D391" s="50" t="s">
        <v>92</v>
      </c>
      <c r="E391" s="33" t="s">
        <v>91</v>
      </c>
      <c r="F391" s="4">
        <f>IFERROR(AVERAGEIF(Table1[[#This Row],[2019-Apr]:[2025-July]],"&lt;&gt;0"),0)</f>
        <v>13.247592592592595</v>
      </c>
      <c r="G391" s="4">
        <f ca="1">IFERROR(AVERAGEIF(OFFSET(Table1[[#This Row],[Status]],0,COUNT(Table1[[#This Row],[2019-May]:[2025-July]]),1,-12),"&lt;&gt;0"),0)</f>
        <v>11.01</v>
      </c>
      <c r="H391" s="55">
        <f>IFERROR(SMALL(Table1[[#This Row],[2019-Apr]:[2025-July]],COUNTIF(Table1[[#This Row],[2019-Apr]:[2025-July]],0)+1),0)</f>
        <v>8.65</v>
      </c>
      <c r="I391" s="55">
        <f>IFERROR(MAX(Table1[[#This Row],[2019-Apr]:[2025-July]]),0)</f>
        <v>24.64</v>
      </c>
      <c r="J391" s="4" cm="1">
        <f t="array" ref="J39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9.711666666666666</v>
      </c>
      <c r="K391" s="4">
        <v>4.5</v>
      </c>
      <c r="L391" s="4">
        <f>IF(Table1[[#This Row],[Standard as per ISO]]&gt;=Table1[[#This Row],[Avg of best 6]],Table1[[#This Row],[Standard as per ISO]],Table1[[#This Row],[Avg of best 6]])</f>
        <v>9.711666666666666</v>
      </c>
      <c r="M391" s="4" cm="1">
        <f t="array" ref="M391">IFERROR(LOOKUP(2,1/(Table1[[#This Row],[2019-May]:[2025-July]]&lt;&gt;0),Table1[[#This Row],[2019-May]:[2025-July]]),0)</f>
        <v>11.45</v>
      </c>
      <c r="N391" s="4">
        <f>COUNTIF(Table1[[#This Row],[2019-Apr]:[2025-July]],"&gt;="&amp;Table1[[#This Row],[Target]])</f>
        <v>52</v>
      </c>
      <c r="O391" s="4">
        <f>IF(Table1[[#This Row],[Outliers 2Y]]=0,1,0)</f>
        <v>0</v>
      </c>
      <c r="P391" s="4">
        <f>IF(Table1[[#This Row],[Last value]]&gt;1.5*Table1[[#This Row],[Target]],1,0)</f>
        <v>0</v>
      </c>
      <c r="Q391" s="4">
        <f>IF(AND(1.5*Table1[[#This Row],[Target]]&gt;=Table1[[#This Row],[Last value]],Table1[[#This Row],[Last value]]&gt;Table1[[#This Row],[Target]]),1,0)</f>
        <v>1</v>
      </c>
      <c r="R391" s="4">
        <f>IF(Table1[[#This Row],[Target]]&gt;=Table1[[#This Row],[Last value]],1,0)</f>
        <v>0</v>
      </c>
      <c r="S391" s="4" t="str">
        <f t="shared" si="8"/>
        <v>Yellow</v>
      </c>
      <c r="T391" s="55">
        <v>0</v>
      </c>
      <c r="U391" s="55">
        <v>14.8</v>
      </c>
      <c r="V391" s="55">
        <v>14.3</v>
      </c>
      <c r="W391" s="55">
        <v>13.3</v>
      </c>
      <c r="X391" s="55">
        <v>13.4</v>
      </c>
      <c r="Y391" s="55">
        <v>0</v>
      </c>
      <c r="Z391" s="55">
        <v>12.1</v>
      </c>
      <c r="AA391" s="55">
        <v>10.7</v>
      </c>
      <c r="AB391" s="55">
        <v>12.1</v>
      </c>
      <c r="AC391" s="55">
        <v>14.2</v>
      </c>
      <c r="AD391" s="55">
        <v>9.82</v>
      </c>
      <c r="AE391" s="55">
        <v>12.3</v>
      </c>
      <c r="AF391" s="55">
        <v>8.65</v>
      </c>
      <c r="AG391" s="55">
        <v>12.9</v>
      </c>
      <c r="AH391" s="55">
        <v>11.8</v>
      </c>
      <c r="AI391" s="55">
        <v>0</v>
      </c>
      <c r="AJ391" s="55">
        <v>9.82</v>
      </c>
      <c r="AK391" s="55">
        <v>11</v>
      </c>
      <c r="AL391" s="55">
        <v>11.4</v>
      </c>
      <c r="AM391" s="55">
        <v>0</v>
      </c>
      <c r="AN391" s="55">
        <v>10.3</v>
      </c>
      <c r="AO391" s="55">
        <v>10.5</v>
      </c>
      <c r="AP391" s="55">
        <v>0</v>
      </c>
      <c r="AQ391" s="55">
        <v>12.9</v>
      </c>
      <c r="AR391" s="8">
        <v>13.8</v>
      </c>
      <c r="AS391" s="8">
        <v>13</v>
      </c>
      <c r="AT391" s="8">
        <v>13.2</v>
      </c>
      <c r="AU391" s="50">
        <v>12</v>
      </c>
      <c r="AV391" s="50">
        <v>10.7</v>
      </c>
      <c r="AW391" s="50">
        <v>11.5</v>
      </c>
      <c r="AX391" s="50">
        <v>13.9</v>
      </c>
      <c r="AY391" s="50">
        <v>10.6</v>
      </c>
      <c r="AZ391" s="50">
        <v>9.5</v>
      </c>
      <c r="BA391" s="50">
        <v>15.6</v>
      </c>
      <c r="BB391" s="50">
        <v>14.6</v>
      </c>
      <c r="BC391" s="55">
        <v>11.6</v>
      </c>
      <c r="BD391" s="55">
        <v>15.2</v>
      </c>
      <c r="BE391" s="11">
        <v>0</v>
      </c>
      <c r="BF391" s="4">
        <v>0</v>
      </c>
      <c r="BG391" s="4">
        <v>12.49</v>
      </c>
      <c r="BH391" s="4">
        <v>13.56</v>
      </c>
      <c r="BI391" s="4">
        <v>13.77</v>
      </c>
      <c r="BJ391" s="14">
        <v>0</v>
      </c>
      <c r="BK391" s="14">
        <v>18.579999999999998</v>
      </c>
      <c r="BL391" s="4">
        <v>11.94</v>
      </c>
      <c r="BM391" s="17">
        <v>18.04</v>
      </c>
      <c r="BN391" s="4">
        <v>17.47</v>
      </c>
      <c r="BO391" s="4">
        <v>18.940000000000001</v>
      </c>
      <c r="BP391" s="4">
        <v>13.21</v>
      </c>
      <c r="BQ391" s="4">
        <v>19.920000000000002</v>
      </c>
      <c r="BR391" s="4">
        <v>13.76</v>
      </c>
      <c r="BS391" s="4">
        <v>12.84</v>
      </c>
      <c r="BT391" s="4">
        <v>21.4</v>
      </c>
      <c r="BU391" s="4">
        <v>0</v>
      </c>
      <c r="BV391" s="4">
        <v>11.44</v>
      </c>
      <c r="BW391" s="4">
        <v>0</v>
      </c>
      <c r="BX391" s="4">
        <v>11.12</v>
      </c>
      <c r="BY391" s="4">
        <v>12.71</v>
      </c>
      <c r="BZ391" s="55">
        <v>11.75</v>
      </c>
      <c r="CA391" s="55">
        <v>13.27</v>
      </c>
      <c r="CB391" s="55">
        <v>24.64</v>
      </c>
      <c r="CC391" s="55">
        <v>0</v>
      </c>
      <c r="CD391" s="55">
        <v>0</v>
      </c>
      <c r="CE391" s="19">
        <v>0</v>
      </c>
      <c r="CF391" s="19">
        <v>11.4</v>
      </c>
      <c r="CG391" s="4">
        <v>10.18</v>
      </c>
      <c r="CH391" s="4">
        <v>0</v>
      </c>
      <c r="CI391" s="4">
        <v>11.45</v>
      </c>
      <c r="CJ391" s="34">
        <v>0</v>
      </c>
      <c r="CK391" s="34">
        <v>0</v>
      </c>
      <c r="CL391" s="34">
        <v>0</v>
      </c>
      <c r="CM391" s="4">
        <v>0</v>
      </c>
      <c r="CN391" s="53">
        <v>0</v>
      </c>
      <c r="CO391" s="54">
        <v>0</v>
      </c>
      <c r="CP391" s="54">
        <v>0</v>
      </c>
      <c r="CQ391" s="4">
        <v>0</v>
      </c>
    </row>
    <row r="392" spans="1:95" s="55" customFormat="1" x14ac:dyDescent="0.35">
      <c r="A392" s="55">
        <v>391</v>
      </c>
      <c r="B392" s="55" t="s">
        <v>112</v>
      </c>
      <c r="C392" s="27" t="s">
        <v>840</v>
      </c>
      <c r="D392" s="50" t="s">
        <v>92</v>
      </c>
      <c r="E392" s="33" t="s">
        <v>91</v>
      </c>
      <c r="F392" s="4">
        <f>IFERROR(AVERAGEIF(Table1[[#This Row],[2019-Apr]:[2025-July]],"&lt;&gt;0"),0)</f>
        <v>12.935219999999997</v>
      </c>
      <c r="G392" s="4">
        <f ca="1">IFERROR(AVERAGEIF(OFFSET(Table1[[#This Row],[Status]],0,COUNT(Table1[[#This Row],[2019-May]:[2025-July]]),1,-12),"&lt;&gt;0"),0)</f>
        <v>9.995000000000001</v>
      </c>
      <c r="H392" s="55">
        <f>IFERROR(SMALL(Table1[[#This Row],[2019-Apr]:[2025-July]],COUNTIF(Table1[[#This Row],[2019-Apr]:[2025-July]],0)+1),0)</f>
        <v>5.0999999999999996</v>
      </c>
      <c r="I392" s="55">
        <f>IFERROR(MAX(Table1[[#This Row],[2019-Apr]:[2025-July]]),0)</f>
        <v>20.92</v>
      </c>
      <c r="J392" s="4" cm="1">
        <f t="array" ref="J39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7.4074999999999998</v>
      </c>
      <c r="K392" s="4">
        <v>4.5</v>
      </c>
      <c r="L392" s="4">
        <f>IF(Table1[[#This Row],[Standard as per ISO]]&gt;=Table1[[#This Row],[Avg of best 6]],Table1[[#This Row],[Standard as per ISO]],Table1[[#This Row],[Avg of best 6]])</f>
        <v>7.4074999999999998</v>
      </c>
      <c r="M392" s="4" cm="1">
        <f t="array" ref="M392">IFERROR(LOOKUP(2,1/(Table1[[#This Row],[2019-May]:[2025-July]]&lt;&gt;0),Table1[[#This Row],[2019-May]:[2025-July]]),0)</f>
        <v>8.49</v>
      </c>
      <c r="N392" s="4">
        <f>COUNTIF(Table1[[#This Row],[2019-Apr]:[2025-July]],"&gt;="&amp;Table1[[#This Row],[Target]])</f>
        <v>48</v>
      </c>
      <c r="O392" s="4">
        <f>IF(Table1[[#This Row],[Outliers 2Y]]=0,1,0)</f>
        <v>0</v>
      </c>
      <c r="P392" s="4">
        <f>IF(Table1[[#This Row],[Last value]]&gt;1.5*Table1[[#This Row],[Target]],1,0)</f>
        <v>0</v>
      </c>
      <c r="Q392" s="4">
        <f>IF(AND(1.5*Table1[[#This Row],[Target]]&gt;=Table1[[#This Row],[Last value]],Table1[[#This Row],[Last value]]&gt;Table1[[#This Row],[Target]]),1,0)</f>
        <v>1</v>
      </c>
      <c r="R392" s="4">
        <f>IF(Table1[[#This Row],[Target]]&gt;=Table1[[#This Row],[Last value]],1,0)</f>
        <v>0</v>
      </c>
      <c r="S392" s="4" t="str">
        <f t="shared" si="8"/>
        <v>Yellow</v>
      </c>
      <c r="T392" s="55">
        <v>0</v>
      </c>
      <c r="U392" s="55">
        <v>13.7</v>
      </c>
      <c r="V392" s="55">
        <v>14</v>
      </c>
      <c r="W392" s="55">
        <v>14</v>
      </c>
      <c r="X392" s="55">
        <v>13.8</v>
      </c>
      <c r="Y392" s="55">
        <v>14.3</v>
      </c>
      <c r="Z392" s="55">
        <v>14</v>
      </c>
      <c r="AA392" s="55">
        <v>0</v>
      </c>
      <c r="AB392" s="55">
        <v>14</v>
      </c>
      <c r="AC392" s="55">
        <v>13</v>
      </c>
      <c r="AD392" s="55">
        <v>11.7</v>
      </c>
      <c r="AE392" s="55">
        <v>11.1</v>
      </c>
      <c r="AF392" s="55">
        <v>11.7</v>
      </c>
      <c r="AG392" s="55">
        <v>12.3</v>
      </c>
      <c r="AH392" s="55">
        <v>12.7</v>
      </c>
      <c r="AI392" s="55">
        <v>0</v>
      </c>
      <c r="AJ392" s="55">
        <v>13.8</v>
      </c>
      <c r="AK392" s="55">
        <v>13.1</v>
      </c>
      <c r="AL392" s="55">
        <v>0</v>
      </c>
      <c r="AM392" s="55">
        <v>0</v>
      </c>
      <c r="AN392" s="55">
        <v>12.7</v>
      </c>
      <c r="AO392" s="55">
        <v>14</v>
      </c>
      <c r="AP392" s="55">
        <v>0</v>
      </c>
      <c r="AQ392" s="55">
        <v>15.6</v>
      </c>
      <c r="AR392" s="8">
        <v>0</v>
      </c>
      <c r="AS392" s="8">
        <v>13.6</v>
      </c>
      <c r="AT392" s="8">
        <v>17.3</v>
      </c>
      <c r="AU392" s="50">
        <v>12.2</v>
      </c>
      <c r="AV392" s="50">
        <v>13.1</v>
      </c>
      <c r="AW392" s="50">
        <v>14.5</v>
      </c>
      <c r="AX392" s="50">
        <v>0</v>
      </c>
      <c r="AY392" s="50">
        <v>0</v>
      </c>
      <c r="AZ392" s="50">
        <v>10.199999999999999</v>
      </c>
      <c r="BA392" s="50">
        <v>11.2</v>
      </c>
      <c r="BB392" s="50">
        <v>10.4</v>
      </c>
      <c r="BC392" s="55">
        <v>10.4</v>
      </c>
      <c r="BD392" s="55">
        <v>8.1999999999999993</v>
      </c>
      <c r="BE392" s="11">
        <v>0</v>
      </c>
      <c r="BF392" s="4">
        <v>0</v>
      </c>
      <c r="BG392" s="4">
        <v>10.76</v>
      </c>
      <c r="BH392" s="4">
        <v>10.07</v>
      </c>
      <c r="BI392" s="4">
        <v>8.4830000000000005</v>
      </c>
      <c r="BJ392" s="13">
        <v>10.99</v>
      </c>
      <c r="BK392" s="13">
        <v>9.1159999999999997</v>
      </c>
      <c r="BL392" s="4">
        <v>10.26</v>
      </c>
      <c r="BM392" s="16">
        <v>7.8819999999999997</v>
      </c>
      <c r="BN392" s="4">
        <v>10.050000000000001</v>
      </c>
      <c r="BO392" s="4">
        <v>15.91</v>
      </c>
      <c r="BP392" s="4">
        <v>15.78</v>
      </c>
      <c r="BQ392" s="4">
        <v>20.92</v>
      </c>
      <c r="BR392" s="4">
        <v>18.46</v>
      </c>
      <c r="BS392" s="4">
        <v>14.41</v>
      </c>
      <c r="BT392" s="4">
        <v>17.600000000000001</v>
      </c>
      <c r="BU392" s="4">
        <v>0</v>
      </c>
      <c r="BV392" s="4">
        <v>11.42</v>
      </c>
      <c r="BW392" s="4">
        <v>20.29</v>
      </c>
      <c r="BX392" s="4">
        <v>18.05</v>
      </c>
      <c r="BY392" s="4">
        <v>0</v>
      </c>
      <c r="BZ392" s="55">
        <v>15.73</v>
      </c>
      <c r="CA392" s="55">
        <v>0</v>
      </c>
      <c r="CB392" s="55">
        <v>0</v>
      </c>
      <c r="CC392" s="55">
        <v>0</v>
      </c>
      <c r="CD392" s="55">
        <v>0</v>
      </c>
      <c r="CE392" s="19">
        <v>20.100000000000001</v>
      </c>
      <c r="CF392" s="19">
        <v>5.0999999999999996</v>
      </c>
      <c r="CG392" s="4">
        <v>6.29</v>
      </c>
      <c r="CH392" s="4">
        <v>0</v>
      </c>
      <c r="CI392" s="4">
        <v>8.49</v>
      </c>
      <c r="CJ392" s="34">
        <v>0</v>
      </c>
      <c r="CK392" s="34">
        <v>0</v>
      </c>
      <c r="CL392" s="34">
        <v>0</v>
      </c>
      <c r="CM392" s="4">
        <v>0</v>
      </c>
      <c r="CN392" s="53">
        <v>0</v>
      </c>
      <c r="CO392" s="54">
        <v>0</v>
      </c>
      <c r="CP392" s="54">
        <v>0</v>
      </c>
      <c r="CQ392" s="4">
        <v>0</v>
      </c>
    </row>
    <row r="393" spans="1:95" s="55" customFormat="1" x14ac:dyDescent="0.35">
      <c r="A393" s="55">
        <v>392</v>
      </c>
      <c r="B393" s="55" t="s">
        <v>112</v>
      </c>
      <c r="C393" s="27" t="s">
        <v>841</v>
      </c>
      <c r="D393" s="50" t="s">
        <v>92</v>
      </c>
      <c r="E393" s="33" t="s">
        <v>91</v>
      </c>
      <c r="F393" s="4">
        <f>IFERROR(AVERAGEIF(Table1[[#This Row],[2019-Apr]:[2025-July]],"&lt;&gt;0"),0)</f>
        <v>13.991565217391301</v>
      </c>
      <c r="G393" s="4">
        <f ca="1">IFERROR(AVERAGEIF(OFFSET(Table1[[#This Row],[Status]],0,COUNT(Table1[[#This Row],[2019-May]:[2025-July]]),1,-12),"&lt;&gt;0"),0)</f>
        <v>15.06</v>
      </c>
      <c r="H393" s="55">
        <f>IFERROR(SMALL(Table1[[#This Row],[2019-Apr]:[2025-July]],COUNTIF(Table1[[#This Row],[2019-Apr]:[2025-July]],0)+1),0)</f>
        <v>8.51</v>
      </c>
      <c r="I393" s="55">
        <f>IFERROR(MAX(Table1[[#This Row],[2019-Apr]:[2025-July]]),0)</f>
        <v>28.95</v>
      </c>
      <c r="J393" s="4" cm="1">
        <f t="array" ref="J39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9.0739999999999998</v>
      </c>
      <c r="K393" s="4">
        <v>4.5</v>
      </c>
      <c r="L393" s="4">
        <f>IF(Table1[[#This Row],[Standard as per ISO]]&gt;=Table1[[#This Row],[Avg of best 6]],Table1[[#This Row],[Standard as per ISO]],Table1[[#This Row],[Avg of best 6]])</f>
        <v>9.0739999999999998</v>
      </c>
      <c r="M393" s="4" cm="1">
        <f t="array" ref="M393">IFERROR(LOOKUP(2,1/(Table1[[#This Row],[2019-May]:[2025-July]]&lt;&gt;0),Table1[[#This Row],[2019-May]:[2025-July]]),0)</f>
        <v>18.559999999999999</v>
      </c>
      <c r="N393" s="4">
        <f>COUNTIF(Table1[[#This Row],[2019-Apr]:[2025-July]],"&gt;="&amp;Table1[[#This Row],[Target]])</f>
        <v>43</v>
      </c>
      <c r="O393" s="4">
        <f>IF(Table1[[#This Row],[Outliers 2Y]]=0,1,0)</f>
        <v>0</v>
      </c>
      <c r="P393" s="4">
        <f>IF(Table1[[#This Row],[Last value]]&gt;1.5*Table1[[#This Row],[Target]],1,0)</f>
        <v>1</v>
      </c>
      <c r="Q393" s="4">
        <f>IF(AND(1.5*Table1[[#This Row],[Target]]&gt;=Table1[[#This Row],[Last value]],Table1[[#This Row],[Last value]]&gt;Table1[[#This Row],[Target]]),1,0)</f>
        <v>0</v>
      </c>
      <c r="R393" s="4">
        <f>IF(Table1[[#This Row],[Target]]&gt;=Table1[[#This Row],[Last value]],1,0)</f>
        <v>0</v>
      </c>
      <c r="S393" s="4" t="str">
        <f t="shared" si="8"/>
        <v>Red</v>
      </c>
      <c r="T393" s="55">
        <v>0</v>
      </c>
      <c r="U393" s="55">
        <v>0</v>
      </c>
      <c r="V393" s="55">
        <v>17.100000000000001</v>
      </c>
      <c r="W393" s="55">
        <v>17.7</v>
      </c>
      <c r="X393" s="55">
        <v>14.7</v>
      </c>
      <c r="Y393" s="55">
        <v>13.4</v>
      </c>
      <c r="Z393" s="55">
        <v>13.42</v>
      </c>
      <c r="AA393" s="55">
        <v>12.5</v>
      </c>
      <c r="AB393" s="55">
        <v>15.2</v>
      </c>
      <c r="AC393" s="55">
        <v>8.51</v>
      </c>
      <c r="AD393" s="55">
        <v>11.8</v>
      </c>
      <c r="AE393" s="55">
        <v>13</v>
      </c>
      <c r="AF393" s="55">
        <v>0</v>
      </c>
      <c r="AG393" s="55">
        <v>11</v>
      </c>
      <c r="AH393" s="55">
        <v>11.9</v>
      </c>
      <c r="AI393" s="55">
        <v>0</v>
      </c>
      <c r="AJ393" s="55">
        <v>11.3</v>
      </c>
      <c r="AK393" s="55">
        <v>0</v>
      </c>
      <c r="AL393" s="55">
        <v>11.6</v>
      </c>
      <c r="AM393" s="55">
        <v>0</v>
      </c>
      <c r="AN393" s="55">
        <v>0</v>
      </c>
      <c r="AO393" s="55">
        <v>10.4</v>
      </c>
      <c r="AP393" s="55">
        <v>0</v>
      </c>
      <c r="AQ393" s="55">
        <v>14.3</v>
      </c>
      <c r="AR393" s="8">
        <v>0</v>
      </c>
      <c r="AS393" s="8">
        <v>10.11</v>
      </c>
      <c r="AT393" s="8">
        <v>0</v>
      </c>
      <c r="AU393" s="50">
        <v>15.5</v>
      </c>
      <c r="AV393" s="50">
        <v>10.9</v>
      </c>
      <c r="AW393" s="50">
        <v>12.6</v>
      </c>
      <c r="AX393" s="50">
        <v>12.5</v>
      </c>
      <c r="AY393" s="50">
        <v>15.6</v>
      </c>
      <c r="AZ393" s="50">
        <v>15.4</v>
      </c>
      <c r="BA393" s="50">
        <v>9.5</v>
      </c>
      <c r="BB393" s="50">
        <v>9.6</v>
      </c>
      <c r="BC393" s="55">
        <v>12.2</v>
      </c>
      <c r="BD393" s="55">
        <v>0</v>
      </c>
      <c r="BE393" s="11">
        <v>15.14</v>
      </c>
      <c r="BF393" s="4">
        <v>0</v>
      </c>
      <c r="BG393" s="4">
        <v>0</v>
      </c>
      <c r="BH393" s="4">
        <v>18.13</v>
      </c>
      <c r="BI393" s="4">
        <v>8.58</v>
      </c>
      <c r="BJ393" s="14">
        <v>9.5790000000000006</v>
      </c>
      <c r="BK393" s="14">
        <v>8.6750000000000007</v>
      </c>
      <c r="BL393" s="4">
        <v>9.7279999999999998</v>
      </c>
      <c r="BM393" s="17">
        <v>16.04</v>
      </c>
      <c r="BN393" s="4">
        <v>13.89</v>
      </c>
      <c r="BO393" s="4">
        <v>12.26</v>
      </c>
      <c r="BP393" s="4">
        <v>25.8</v>
      </c>
      <c r="BQ393" s="4">
        <v>14.8</v>
      </c>
      <c r="BR393" s="4">
        <v>18.39</v>
      </c>
      <c r="BS393" s="4">
        <v>0</v>
      </c>
      <c r="BT393" s="4">
        <v>0</v>
      </c>
      <c r="BU393" s="4">
        <v>0</v>
      </c>
      <c r="BV393" s="4">
        <v>0</v>
      </c>
      <c r="BW393" s="4">
        <v>20.86</v>
      </c>
      <c r="BX393" s="4">
        <v>18.559999999999999</v>
      </c>
      <c r="BY393" s="4">
        <v>28.95</v>
      </c>
      <c r="BZ393" s="55">
        <v>13.89</v>
      </c>
      <c r="CA393" s="55">
        <v>13.42</v>
      </c>
      <c r="CB393" s="55">
        <v>0</v>
      </c>
      <c r="CC393" s="55">
        <v>0</v>
      </c>
      <c r="CD393" s="55">
        <v>0</v>
      </c>
      <c r="CE393" s="19">
        <v>0</v>
      </c>
      <c r="CF393" s="19">
        <v>10.5</v>
      </c>
      <c r="CG393" s="4">
        <v>16.12</v>
      </c>
      <c r="CH393" s="4">
        <v>0</v>
      </c>
      <c r="CI393" s="4">
        <v>18.559999999999999</v>
      </c>
      <c r="CJ393" s="34">
        <v>0</v>
      </c>
      <c r="CK393" s="34">
        <v>0</v>
      </c>
      <c r="CL393" s="34">
        <v>0</v>
      </c>
      <c r="CM393" s="4">
        <v>0</v>
      </c>
      <c r="CN393" s="53">
        <v>0</v>
      </c>
      <c r="CO393" s="54">
        <v>0</v>
      </c>
      <c r="CP393" s="54">
        <v>0</v>
      </c>
      <c r="CQ393" s="4">
        <v>0</v>
      </c>
    </row>
    <row r="394" spans="1:95" s="55" customFormat="1" x14ac:dyDescent="0.35">
      <c r="A394" s="55">
        <v>393</v>
      </c>
      <c r="B394" s="55" t="s">
        <v>112</v>
      </c>
      <c r="C394" s="27" t="s">
        <v>842</v>
      </c>
      <c r="D394" s="50" t="s">
        <v>92</v>
      </c>
      <c r="E394" s="33" t="s">
        <v>91</v>
      </c>
      <c r="F394" s="4">
        <f>IFERROR(AVERAGEIF(Table1[[#This Row],[2019-Apr]:[2025-July]],"&lt;&gt;0"),0)</f>
        <v>13.206486486486488</v>
      </c>
      <c r="G394" s="4">
        <f ca="1">IFERROR(AVERAGEIF(OFFSET(Table1[[#This Row],[Status]],0,COUNT(Table1[[#This Row],[2019-May]:[2025-July]]),1,-12),"&lt;&gt;0"),0)</f>
        <v>13.675000000000001</v>
      </c>
      <c r="H394" s="55">
        <f>IFERROR(SMALL(Table1[[#This Row],[2019-Apr]:[2025-July]],COUNTIF(Table1[[#This Row],[2019-Apr]:[2025-July]],0)+1),0)</f>
        <v>8.2799999999999994</v>
      </c>
      <c r="I394" s="55">
        <f>IFERROR(MAX(Table1[[#This Row],[2019-Apr]:[2025-July]]),0)</f>
        <v>17.47</v>
      </c>
      <c r="J394" s="4" cm="1">
        <f t="array" ref="J39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9.9333333333333336</v>
      </c>
      <c r="K394" s="4">
        <v>4.5</v>
      </c>
      <c r="L394" s="4">
        <f>IF(Table1[[#This Row],[Standard as per ISO]]&gt;=Table1[[#This Row],[Avg of best 6]],Table1[[#This Row],[Standard as per ISO]],Table1[[#This Row],[Avg of best 6]])</f>
        <v>9.9333333333333336</v>
      </c>
      <c r="M394" s="4" cm="1">
        <f t="array" ref="M394">IFERROR(LOOKUP(2,1/(Table1[[#This Row],[2019-May]:[2025-July]]&lt;&gt;0),Table1[[#This Row],[2019-May]:[2025-July]]),0)</f>
        <v>11.25</v>
      </c>
      <c r="N394" s="4">
        <f>COUNTIF(Table1[[#This Row],[2019-Apr]:[2025-July]],"&gt;="&amp;Table1[[#This Row],[Target]])</f>
        <v>36</v>
      </c>
      <c r="O394" s="4">
        <f>IF(Table1[[#This Row],[Outliers 2Y]]=0,1,0)</f>
        <v>0</v>
      </c>
      <c r="P394" s="4">
        <f>IF(Table1[[#This Row],[Last value]]&gt;1.5*Table1[[#This Row],[Target]],1,0)</f>
        <v>0</v>
      </c>
      <c r="Q394" s="4">
        <f>IF(AND(1.5*Table1[[#This Row],[Target]]&gt;=Table1[[#This Row],[Last value]],Table1[[#This Row],[Last value]]&gt;Table1[[#This Row],[Target]]),1,0)</f>
        <v>1</v>
      </c>
      <c r="R394" s="4">
        <f>IF(Table1[[#This Row],[Target]]&gt;=Table1[[#This Row],[Last value]],1,0)</f>
        <v>0</v>
      </c>
      <c r="S394" s="4" t="str">
        <f t="shared" si="8"/>
        <v>Yellow</v>
      </c>
      <c r="T394" s="55">
        <v>0</v>
      </c>
      <c r="U394" s="55">
        <v>8.2799999999999994</v>
      </c>
      <c r="V394" s="55">
        <v>11.4</v>
      </c>
      <c r="W394" s="55">
        <v>0</v>
      </c>
      <c r="X394" s="55">
        <v>0</v>
      </c>
      <c r="Y394" s="55">
        <v>10.7</v>
      </c>
      <c r="Z394" s="55">
        <v>10.3</v>
      </c>
      <c r="AA394" s="55">
        <v>0</v>
      </c>
      <c r="AB394" s="55">
        <v>10.3</v>
      </c>
      <c r="AC394" s="55">
        <v>0</v>
      </c>
      <c r="AD394" s="55">
        <v>0</v>
      </c>
      <c r="AE394" s="55">
        <v>0</v>
      </c>
      <c r="AF394" s="55">
        <v>10.1</v>
      </c>
      <c r="AG394" s="55">
        <v>0</v>
      </c>
      <c r="AH394" s="55">
        <v>15.1</v>
      </c>
      <c r="AI394" s="55">
        <v>10</v>
      </c>
      <c r="AJ394" s="55">
        <v>15.5</v>
      </c>
      <c r="AK394" s="55">
        <v>0</v>
      </c>
      <c r="AL394" s="55">
        <v>13.2</v>
      </c>
      <c r="AM394" s="55">
        <v>12.2</v>
      </c>
      <c r="AN394" s="55">
        <v>11.6</v>
      </c>
      <c r="AO394" s="55">
        <v>0</v>
      </c>
      <c r="AP394" s="55">
        <v>0</v>
      </c>
      <c r="AQ394" s="55">
        <v>12.9</v>
      </c>
      <c r="AR394" s="8">
        <v>0</v>
      </c>
      <c r="AS394" s="8">
        <v>0</v>
      </c>
      <c r="AT394" s="8">
        <v>13.1</v>
      </c>
      <c r="AU394" s="50">
        <v>0</v>
      </c>
      <c r="AV394" s="50">
        <v>11.3</v>
      </c>
      <c r="AW394" s="50">
        <v>14.4</v>
      </c>
      <c r="AX394" s="50">
        <v>13.6</v>
      </c>
      <c r="AY394" s="50">
        <v>13.2</v>
      </c>
      <c r="AZ394" s="50">
        <v>16.8</v>
      </c>
      <c r="BA394" s="50">
        <v>14.2</v>
      </c>
      <c r="BB394" s="50">
        <v>15.5</v>
      </c>
      <c r="BC394" s="55">
        <v>14.4</v>
      </c>
      <c r="BD394" s="55">
        <v>0</v>
      </c>
      <c r="BE394" s="11">
        <v>0</v>
      </c>
      <c r="BF394" s="4">
        <v>0</v>
      </c>
      <c r="BG394" s="4">
        <v>12.8</v>
      </c>
      <c r="BH394" s="4">
        <v>14.24</v>
      </c>
      <c r="BI394" s="4">
        <v>12.8</v>
      </c>
      <c r="BJ394" s="13">
        <v>14.47</v>
      </c>
      <c r="BK394" s="13">
        <v>15.76</v>
      </c>
      <c r="BL394" s="4">
        <v>13.68</v>
      </c>
      <c r="BM394" s="16">
        <v>16.77</v>
      </c>
      <c r="BN394" s="4">
        <v>0</v>
      </c>
      <c r="BO394" s="4">
        <v>11.9</v>
      </c>
      <c r="BP394" s="4">
        <v>17.47</v>
      </c>
      <c r="BQ394" s="4">
        <v>13</v>
      </c>
      <c r="BR394" s="4">
        <v>14.36</v>
      </c>
      <c r="BS394" s="4">
        <v>15.34</v>
      </c>
      <c r="BT394" s="4">
        <v>10.62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55">
        <v>0</v>
      </c>
      <c r="CA394" s="55">
        <v>0</v>
      </c>
      <c r="CB394" s="55">
        <v>0</v>
      </c>
      <c r="CC394" s="55">
        <v>0</v>
      </c>
      <c r="CD394" s="55">
        <v>0</v>
      </c>
      <c r="CE394" s="19">
        <v>16.100000000000001</v>
      </c>
      <c r="CF394" s="19">
        <v>0</v>
      </c>
      <c r="CG394" s="4">
        <v>11.25</v>
      </c>
      <c r="CH394" s="4">
        <v>0</v>
      </c>
      <c r="CI394" s="4">
        <v>0</v>
      </c>
      <c r="CJ394" s="34">
        <v>0</v>
      </c>
      <c r="CK394" s="34">
        <v>0</v>
      </c>
      <c r="CL394" s="34">
        <v>0</v>
      </c>
      <c r="CM394" s="4">
        <v>0</v>
      </c>
      <c r="CN394" s="53">
        <v>0</v>
      </c>
      <c r="CO394" s="54">
        <v>0</v>
      </c>
      <c r="CP394" s="54">
        <v>0</v>
      </c>
      <c r="CQ394" s="4">
        <v>0</v>
      </c>
    </row>
    <row r="395" spans="1:95" s="55" customFormat="1" x14ac:dyDescent="0.35">
      <c r="A395" s="55">
        <v>394</v>
      </c>
      <c r="B395" s="55" t="s">
        <v>112</v>
      </c>
      <c r="C395" s="27" t="s">
        <v>843</v>
      </c>
      <c r="D395" s="50" t="s">
        <v>118</v>
      </c>
      <c r="E395" s="33" t="s">
        <v>89</v>
      </c>
      <c r="F395" s="4">
        <f>IFERROR(AVERAGEIF(Table1[[#This Row],[2019-Apr]:[2025-July]],"&lt;&gt;0"),0)</f>
        <v>5.6323333333333334</v>
      </c>
      <c r="G395" s="4">
        <f ca="1">IFERROR(AVERAGEIF(OFFSET(Table1[[#This Row],[Status]],0,COUNT(Table1[[#This Row],[2019-May]:[2025-July]]),1,-12),"&lt;&gt;0"),0)</f>
        <v>4.2283333333333344</v>
      </c>
      <c r="H395" s="55">
        <f>IFERROR(SMALL(Table1[[#This Row],[2019-Apr]:[2025-July]],COUNTIF(Table1[[#This Row],[2019-Apr]:[2025-July]],0)+1),0)</f>
        <v>2.62</v>
      </c>
      <c r="I395" s="55">
        <f>IFERROR(MAX(Table1[[#This Row],[2019-Apr]:[2025-July]]),0)</f>
        <v>8.6050000000000004</v>
      </c>
      <c r="J395" s="4" cm="1">
        <f t="array" ref="J39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3.5166666666666671</v>
      </c>
      <c r="K395" s="4">
        <v>4.5</v>
      </c>
      <c r="L395" s="4">
        <f>IF(Table1[[#This Row],[Standard as per ISO]]&gt;=Table1[[#This Row],[Avg of best 6]],Table1[[#This Row],[Standard as per ISO]],Table1[[#This Row],[Avg of best 6]])</f>
        <v>4.5</v>
      </c>
      <c r="M395" s="4" cm="1">
        <f t="array" ref="M395">IFERROR(LOOKUP(2,1/(Table1[[#This Row],[2019-May]:[2025-July]]&lt;&gt;0),Table1[[#This Row],[2019-May]:[2025-July]]),0)</f>
        <v>4</v>
      </c>
      <c r="N395" s="4">
        <f>COUNTIF(Table1[[#This Row],[2019-Apr]:[2025-July]],"&gt;="&amp;Table1[[#This Row],[Target]])</f>
        <v>30</v>
      </c>
      <c r="O395" s="4">
        <f>IF(Table1[[#This Row],[Outliers 2Y]]=0,1,0)</f>
        <v>0</v>
      </c>
      <c r="P395" s="4">
        <f>IF(Table1[[#This Row],[Last value]]&gt;1.5*Table1[[#This Row],[Target]],1,0)</f>
        <v>0</v>
      </c>
      <c r="Q395" s="4">
        <f>IF(AND(1.5*Table1[[#This Row],[Target]]&gt;=Table1[[#This Row],[Last value]],Table1[[#This Row],[Last value]]&gt;Table1[[#This Row],[Target]]),1,0)</f>
        <v>0</v>
      </c>
      <c r="R395" s="4">
        <f>IF(Table1[[#This Row],[Target]]&gt;=Table1[[#This Row],[Last value]],1,0)</f>
        <v>1</v>
      </c>
      <c r="S395" s="4" t="str">
        <f t="shared" si="8"/>
        <v>Green</v>
      </c>
      <c r="T395" s="55">
        <v>0</v>
      </c>
      <c r="U395" s="55">
        <v>6.76</v>
      </c>
      <c r="V395" s="55">
        <v>5.71</v>
      </c>
      <c r="W395" s="55">
        <v>6.05</v>
      </c>
      <c r="X395" s="55">
        <v>3.52</v>
      </c>
      <c r="Y395" s="55">
        <v>3.86</v>
      </c>
      <c r="Z395" s="55">
        <v>4.0999999999999996</v>
      </c>
      <c r="AA395" s="55">
        <v>4.26</v>
      </c>
      <c r="AB395" s="55">
        <v>0</v>
      </c>
      <c r="AC395" s="55">
        <v>0</v>
      </c>
      <c r="AD395" s="55">
        <v>5.6</v>
      </c>
      <c r="AE395" s="55">
        <v>0</v>
      </c>
      <c r="AF395" s="55">
        <v>0</v>
      </c>
      <c r="AG395" s="55">
        <v>0</v>
      </c>
      <c r="AH395" s="55">
        <v>0</v>
      </c>
      <c r="AI395" s="55">
        <v>4.67</v>
      </c>
      <c r="AJ395" s="55">
        <v>0</v>
      </c>
      <c r="AK395" s="55">
        <v>0</v>
      </c>
      <c r="AL395" s="55">
        <v>4.24</v>
      </c>
      <c r="AM395" s="55">
        <v>0</v>
      </c>
      <c r="AN395" s="55">
        <v>0</v>
      </c>
      <c r="AO395" s="55">
        <v>0</v>
      </c>
      <c r="AP395" s="55">
        <v>0</v>
      </c>
      <c r="AQ395" s="55">
        <v>6.09</v>
      </c>
      <c r="AR395" s="8">
        <v>5.16</v>
      </c>
      <c r="AS395" s="8">
        <v>6.41</v>
      </c>
      <c r="AT395" s="8">
        <v>6.19</v>
      </c>
      <c r="AU395" s="50">
        <v>5.16</v>
      </c>
      <c r="AV395" s="50">
        <v>0</v>
      </c>
      <c r="AW395" s="50">
        <v>7.39</v>
      </c>
      <c r="AX395" s="50">
        <v>6.39</v>
      </c>
      <c r="AY395" s="50">
        <v>5.94</v>
      </c>
      <c r="AZ395" s="50">
        <v>0</v>
      </c>
      <c r="BA395" s="50">
        <v>5.6</v>
      </c>
      <c r="BB395" s="50">
        <v>0</v>
      </c>
      <c r="BC395" s="55">
        <v>6.7</v>
      </c>
      <c r="BD395" s="55">
        <v>0</v>
      </c>
      <c r="BE395" s="11">
        <v>0</v>
      </c>
      <c r="BF395" s="4">
        <v>0</v>
      </c>
      <c r="BG395" s="4">
        <v>0</v>
      </c>
      <c r="BH395" s="4">
        <v>8.2729999999999997</v>
      </c>
      <c r="BI395" s="4">
        <v>0</v>
      </c>
      <c r="BJ395" s="14">
        <v>0</v>
      </c>
      <c r="BK395" s="14">
        <v>0</v>
      </c>
      <c r="BL395" s="4">
        <v>6.6319999999999997</v>
      </c>
      <c r="BM395" s="17">
        <v>0</v>
      </c>
      <c r="BN395" s="4">
        <v>6.7380000000000004</v>
      </c>
      <c r="BO395" s="4">
        <v>8.0530000000000008</v>
      </c>
      <c r="BP395" s="4">
        <v>7.56</v>
      </c>
      <c r="BQ395" s="4">
        <v>8.5280000000000005</v>
      </c>
      <c r="BR395" s="4">
        <v>0</v>
      </c>
      <c r="BS395" s="4">
        <v>8.6050000000000004</v>
      </c>
      <c r="BT395" s="4">
        <v>0</v>
      </c>
      <c r="BU395" s="4">
        <v>0</v>
      </c>
      <c r="BV395" s="4">
        <v>7.9690000000000003</v>
      </c>
      <c r="BW395" s="4">
        <v>6.9770000000000003</v>
      </c>
      <c r="BX395" s="4">
        <v>0</v>
      </c>
      <c r="BY395" s="4">
        <v>5.4829999999999997</v>
      </c>
      <c r="BZ395" s="55">
        <v>5.86</v>
      </c>
      <c r="CA395" s="55">
        <v>2.62</v>
      </c>
      <c r="CB395" s="55">
        <v>3.83</v>
      </c>
      <c r="CC395" s="55">
        <v>5.61</v>
      </c>
      <c r="CD395" s="55">
        <v>4.6500000000000004</v>
      </c>
      <c r="CE395" s="19">
        <v>5.5</v>
      </c>
      <c r="CF395" s="19">
        <v>3.9</v>
      </c>
      <c r="CG395" s="4">
        <v>0</v>
      </c>
      <c r="CH395" s="4">
        <v>0</v>
      </c>
      <c r="CI395" s="4">
        <v>3.57</v>
      </c>
      <c r="CJ395" s="34">
        <v>0</v>
      </c>
      <c r="CK395" s="34">
        <v>3.7</v>
      </c>
      <c r="CL395" s="43">
        <v>0</v>
      </c>
      <c r="CM395" s="4">
        <v>4.5999999999999996</v>
      </c>
      <c r="CN395" s="53">
        <v>4.0999999999999996</v>
      </c>
      <c r="CO395" s="54">
        <v>0</v>
      </c>
      <c r="CP395" s="54">
        <v>0</v>
      </c>
      <c r="CQ395" s="4">
        <v>4</v>
      </c>
    </row>
    <row r="396" spans="1:95" s="55" customFormat="1" x14ac:dyDescent="0.35">
      <c r="A396" s="55">
        <v>395</v>
      </c>
      <c r="B396" s="55" t="s">
        <v>112</v>
      </c>
      <c r="C396" s="27" t="s">
        <v>844</v>
      </c>
      <c r="D396" s="50" t="s">
        <v>118</v>
      </c>
      <c r="E396" s="33" t="s">
        <v>89</v>
      </c>
      <c r="F396" s="4">
        <f>IFERROR(AVERAGEIF(Table1[[#This Row],[2019-Apr]:[2025-July]],"&lt;&gt;0"),0)</f>
        <v>6.3843725490196057</v>
      </c>
      <c r="G396" s="4">
        <f ca="1">IFERROR(AVERAGEIF(OFFSET(Table1[[#This Row],[Status]],0,COUNT(Table1[[#This Row],[2019-May]:[2025-July]]),1,-12),"&lt;&gt;0"),0)</f>
        <v>6.7333333333333334</v>
      </c>
      <c r="H396" s="55">
        <f>IFERROR(SMALL(Table1[[#This Row],[2019-Apr]:[2025-July]],COUNTIF(Table1[[#This Row],[2019-Apr]:[2025-July]],0)+1),0)</f>
        <v>2.9</v>
      </c>
      <c r="I396" s="55">
        <f>IFERROR(MAX(Table1[[#This Row],[2019-Apr]:[2025-July]]),0)</f>
        <v>11.3</v>
      </c>
      <c r="J396" s="4" cm="1">
        <f t="array" ref="J39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3.5666666666666664</v>
      </c>
      <c r="K396" s="4">
        <v>4.5</v>
      </c>
      <c r="L396" s="4">
        <f>IF(Table1[[#This Row],[Standard as per ISO]]&gt;=Table1[[#This Row],[Avg of best 6]],Table1[[#This Row],[Standard as per ISO]],Table1[[#This Row],[Avg of best 6]])</f>
        <v>4.5</v>
      </c>
      <c r="M396" s="4" cm="1">
        <f t="array" ref="M396">IFERROR(LOOKUP(2,1/(Table1[[#This Row],[2019-May]:[2025-July]]&lt;&gt;0),Table1[[#This Row],[2019-May]:[2025-July]]),0)</f>
        <v>2.9</v>
      </c>
      <c r="N396" s="4">
        <f>COUNTIF(Table1[[#This Row],[2019-Apr]:[2025-July]],"&gt;="&amp;Table1[[#This Row],[Target]])</f>
        <v>42</v>
      </c>
      <c r="O396" s="4">
        <f>IF(Table1[[#This Row],[Outliers 2Y]]=0,1,0)</f>
        <v>0</v>
      </c>
      <c r="P396" s="4">
        <f>IF(Table1[[#This Row],[Last value]]&gt;1.5*Table1[[#This Row],[Target]],1,0)</f>
        <v>0</v>
      </c>
      <c r="Q396" s="4">
        <f>IF(AND(1.5*Table1[[#This Row],[Target]]&gt;=Table1[[#This Row],[Last value]],Table1[[#This Row],[Last value]]&gt;Table1[[#This Row],[Target]]),1,0)</f>
        <v>0</v>
      </c>
      <c r="R396" s="4">
        <f>IF(Table1[[#This Row],[Target]]&gt;=Table1[[#This Row],[Last value]],1,0)</f>
        <v>1</v>
      </c>
      <c r="S396" s="4" t="str">
        <f t="shared" si="8"/>
        <v>Green</v>
      </c>
      <c r="T396" s="55">
        <v>0</v>
      </c>
      <c r="U396" s="55">
        <v>6.88</v>
      </c>
      <c r="V396" s="55">
        <v>7.76</v>
      </c>
      <c r="W396" s="55">
        <v>7.36</v>
      </c>
      <c r="X396" s="55">
        <v>5.56</v>
      </c>
      <c r="Y396" s="55">
        <v>7.78</v>
      </c>
      <c r="Z396" s="55">
        <v>7.29</v>
      </c>
      <c r="AA396" s="55">
        <v>7.2</v>
      </c>
      <c r="AB396" s="55">
        <v>11</v>
      </c>
      <c r="AC396" s="55">
        <v>11.3</v>
      </c>
      <c r="AD396" s="55">
        <v>0</v>
      </c>
      <c r="AE396" s="55">
        <v>7.5</v>
      </c>
      <c r="AF396" s="55">
        <v>7</v>
      </c>
      <c r="AG396" s="55">
        <v>7.9</v>
      </c>
      <c r="AH396" s="55">
        <v>9.1999999999999993</v>
      </c>
      <c r="AI396" s="55">
        <v>9.59</v>
      </c>
      <c r="AJ396" s="55">
        <v>9.85</v>
      </c>
      <c r="AK396" s="55">
        <v>0</v>
      </c>
      <c r="AL396" s="55">
        <v>0</v>
      </c>
      <c r="AM396" s="55">
        <v>10.6</v>
      </c>
      <c r="AN396" s="55">
        <v>10.7</v>
      </c>
      <c r="AO396" s="55">
        <v>3.52</v>
      </c>
      <c r="AP396" s="55">
        <v>0</v>
      </c>
      <c r="AQ396" s="55">
        <v>4.95</v>
      </c>
      <c r="AR396" s="8">
        <v>0</v>
      </c>
      <c r="AS396" s="8">
        <v>3.76</v>
      </c>
      <c r="AT396" s="8">
        <v>3.53</v>
      </c>
      <c r="AU396" s="50">
        <v>4.54</v>
      </c>
      <c r="AV396" s="50">
        <v>3.72</v>
      </c>
      <c r="AW396" s="50">
        <v>4.45</v>
      </c>
      <c r="AX396" s="50">
        <v>4.5</v>
      </c>
      <c r="AY396" s="50">
        <v>0</v>
      </c>
      <c r="AZ396" s="50">
        <v>5</v>
      </c>
      <c r="BA396" s="50">
        <v>0</v>
      </c>
      <c r="BB396" s="50">
        <v>4.5999999999999996</v>
      </c>
      <c r="BC396" s="50">
        <v>0</v>
      </c>
      <c r="BD396" s="55">
        <v>4.5</v>
      </c>
      <c r="BE396" s="11">
        <v>5.15</v>
      </c>
      <c r="BF396" s="4">
        <v>0</v>
      </c>
      <c r="BG396" s="4">
        <v>6.7359999999999998</v>
      </c>
      <c r="BH396" s="4">
        <v>0</v>
      </c>
      <c r="BI396" s="4">
        <v>7.03</v>
      </c>
      <c r="BJ396" s="13">
        <v>6.944</v>
      </c>
      <c r="BK396" s="13">
        <v>6.7060000000000004</v>
      </c>
      <c r="BL396" s="4">
        <v>5.3810000000000002</v>
      </c>
      <c r="BM396" s="16">
        <v>5.5</v>
      </c>
      <c r="BN396" s="4">
        <v>5.12</v>
      </c>
      <c r="BO396" s="4">
        <v>5.2249999999999996</v>
      </c>
      <c r="BP396" s="4">
        <v>5.3150000000000004</v>
      </c>
      <c r="BQ396" s="4">
        <v>0</v>
      </c>
      <c r="BR396" s="4">
        <v>5.21</v>
      </c>
      <c r="BS396" s="4">
        <v>0</v>
      </c>
      <c r="BT396" s="4">
        <v>5.5369999999999999</v>
      </c>
      <c r="BU396" s="4">
        <v>0</v>
      </c>
      <c r="BV396" s="4">
        <v>6.4550000000000001</v>
      </c>
      <c r="BW396" s="4">
        <v>4.3239999999999998</v>
      </c>
      <c r="BX396" s="4">
        <v>0</v>
      </c>
      <c r="BY396" s="4">
        <v>0</v>
      </c>
      <c r="BZ396" s="55">
        <v>0</v>
      </c>
      <c r="CA396" s="55">
        <v>0</v>
      </c>
      <c r="CB396" s="55">
        <v>3.97</v>
      </c>
      <c r="CC396" s="55">
        <v>4.4400000000000004</v>
      </c>
      <c r="CD396" s="55">
        <v>4.62</v>
      </c>
      <c r="CE396" s="19">
        <v>0</v>
      </c>
      <c r="CF396" s="19">
        <v>6</v>
      </c>
      <c r="CG396" s="4">
        <v>0</v>
      </c>
      <c r="CH396" s="4">
        <v>0</v>
      </c>
      <c r="CI396" s="4">
        <v>0</v>
      </c>
      <c r="CJ396" s="34">
        <v>5.9</v>
      </c>
      <c r="CK396" s="34">
        <v>6.4</v>
      </c>
      <c r="CL396" s="43">
        <v>8</v>
      </c>
      <c r="CM396" s="4">
        <v>0</v>
      </c>
      <c r="CN396" s="53">
        <v>0</v>
      </c>
      <c r="CO396" s="54">
        <v>11.2</v>
      </c>
      <c r="CP396" s="54">
        <v>2.9</v>
      </c>
      <c r="CQ396" s="4">
        <v>0</v>
      </c>
    </row>
    <row r="397" spans="1:95" s="55" customFormat="1" x14ac:dyDescent="0.35">
      <c r="A397" s="55">
        <v>396</v>
      </c>
      <c r="B397" s="55" t="s">
        <v>112</v>
      </c>
      <c r="C397" s="27" t="s">
        <v>845</v>
      </c>
      <c r="D397" s="50" t="s">
        <v>118</v>
      </c>
      <c r="E397" s="33" t="s">
        <v>89</v>
      </c>
      <c r="F397" s="4">
        <f>IFERROR(AVERAGEIF(Table1[[#This Row],[2019-Apr]:[2025-July]],"&lt;&gt;0"),0)</f>
        <v>5.0047111111111118</v>
      </c>
      <c r="G397" s="4">
        <f ca="1">IFERROR(AVERAGEIF(OFFSET(Table1[[#This Row],[Status]],0,COUNT(Table1[[#This Row],[2019-May]:[2025-July]]),1,-12),"&lt;&gt;0"),0)</f>
        <v>4.4466666666666663</v>
      </c>
      <c r="H397" s="55">
        <f>IFERROR(SMALL(Table1[[#This Row],[2019-Apr]:[2025-July]],COUNTIF(Table1[[#This Row],[2019-Apr]:[2025-July]],0)+1),0)</f>
        <v>2.4</v>
      </c>
      <c r="I397" s="55">
        <f>IFERROR(MAX(Table1[[#This Row],[2019-Apr]:[2025-July]]),0)</f>
        <v>12.2</v>
      </c>
      <c r="J397" s="4" cm="1">
        <f t="array" ref="J39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2.7970000000000002</v>
      </c>
      <c r="K397" s="4">
        <v>4.5</v>
      </c>
      <c r="L397" s="4">
        <f>IF(Table1[[#This Row],[Standard as per ISO]]&gt;=Table1[[#This Row],[Avg of best 6]],Table1[[#This Row],[Standard as per ISO]],Table1[[#This Row],[Avg of best 6]])</f>
        <v>4.5</v>
      </c>
      <c r="M397" s="4" cm="1">
        <f t="array" ref="M397">IFERROR(LOOKUP(2,1/(Table1[[#This Row],[2019-May]:[2025-July]]&lt;&gt;0),Table1[[#This Row],[2019-May]:[2025-July]]),0)</f>
        <v>4.8</v>
      </c>
      <c r="N397" s="4">
        <f>COUNTIF(Table1[[#This Row],[2019-Apr]:[2025-July]],"&gt;="&amp;Table1[[#This Row],[Target]])</f>
        <v>25</v>
      </c>
      <c r="O397" s="4">
        <f>IF(Table1[[#This Row],[Outliers 2Y]]=0,1,0)</f>
        <v>0</v>
      </c>
      <c r="P397" s="4">
        <f>IF(Table1[[#This Row],[Last value]]&gt;1.5*Table1[[#This Row],[Target]],1,0)</f>
        <v>0</v>
      </c>
      <c r="Q397" s="4">
        <f>IF(AND(1.5*Table1[[#This Row],[Target]]&gt;=Table1[[#This Row],[Last value]],Table1[[#This Row],[Last value]]&gt;Table1[[#This Row],[Target]]),1,0)</f>
        <v>1</v>
      </c>
      <c r="R397" s="4">
        <f>IF(Table1[[#This Row],[Target]]&gt;=Table1[[#This Row],[Last value]],1,0)</f>
        <v>0</v>
      </c>
      <c r="S397" s="4" t="str">
        <f t="shared" si="8"/>
        <v>Yellow</v>
      </c>
      <c r="T397" s="55">
        <v>0</v>
      </c>
      <c r="U397" s="55">
        <v>0</v>
      </c>
      <c r="V397" s="55">
        <v>0</v>
      </c>
      <c r="W397" s="55">
        <v>0</v>
      </c>
      <c r="X397" s="55">
        <v>0</v>
      </c>
      <c r="Y397" s="55">
        <v>0</v>
      </c>
      <c r="Z397" s="55">
        <v>3.31</v>
      </c>
      <c r="AA397" s="55">
        <v>0</v>
      </c>
      <c r="AB397" s="55">
        <v>2.4</v>
      </c>
      <c r="AC397" s="55">
        <v>2.42</v>
      </c>
      <c r="AD397" s="55">
        <v>7.3</v>
      </c>
      <c r="AE397" s="55">
        <v>3.54</v>
      </c>
      <c r="AF397" s="55">
        <v>2.7</v>
      </c>
      <c r="AG397" s="55">
        <v>3</v>
      </c>
      <c r="AH397" s="55">
        <v>3.7</v>
      </c>
      <c r="AI397" s="55">
        <v>0</v>
      </c>
      <c r="AJ397" s="55">
        <v>4.5599999999999996</v>
      </c>
      <c r="AK397" s="55">
        <v>0</v>
      </c>
      <c r="AL397" s="55">
        <v>3.04</v>
      </c>
      <c r="AM397" s="55">
        <v>0</v>
      </c>
      <c r="AN397" s="55">
        <v>3.49</v>
      </c>
      <c r="AO397" s="55">
        <v>6.6</v>
      </c>
      <c r="AP397" s="55">
        <v>5.7</v>
      </c>
      <c r="AQ397" s="55">
        <v>6.05</v>
      </c>
      <c r="AR397" s="8">
        <v>0</v>
      </c>
      <c r="AS397" s="8">
        <v>0</v>
      </c>
      <c r="AT397" s="8">
        <v>0</v>
      </c>
      <c r="AU397" s="50">
        <v>0</v>
      </c>
      <c r="AV397" s="50">
        <v>9.32</v>
      </c>
      <c r="AW397" s="50">
        <v>8.2100000000000009</v>
      </c>
      <c r="AX397" s="50">
        <v>12.2</v>
      </c>
      <c r="AY397" s="50">
        <v>3.222</v>
      </c>
      <c r="AZ397" s="50">
        <v>5.35</v>
      </c>
      <c r="BA397" s="50">
        <v>6.2</v>
      </c>
      <c r="BB397" s="50">
        <v>6.4</v>
      </c>
      <c r="BC397" s="55">
        <v>9.3000000000000007</v>
      </c>
      <c r="BD397" s="55">
        <v>5.8</v>
      </c>
      <c r="BE397" s="11">
        <v>0</v>
      </c>
      <c r="BF397" s="4">
        <v>0</v>
      </c>
      <c r="BG397" s="4">
        <v>5.4349999999999996</v>
      </c>
      <c r="BH397" s="4">
        <v>6.2370000000000001</v>
      </c>
      <c r="BI397" s="4">
        <v>6.23</v>
      </c>
      <c r="BJ397" s="13">
        <v>0</v>
      </c>
      <c r="BK397" s="13">
        <v>5.2089999999999996</v>
      </c>
      <c r="BL397" s="4">
        <v>0</v>
      </c>
      <c r="BM397" s="16">
        <v>0</v>
      </c>
      <c r="BN397" s="4">
        <v>0</v>
      </c>
      <c r="BO397" s="4">
        <v>4.819</v>
      </c>
      <c r="BP397" s="4">
        <v>4.016</v>
      </c>
      <c r="BQ397" s="4">
        <v>4.5599999999999996</v>
      </c>
      <c r="BR397" s="4">
        <v>4.5599999999999996</v>
      </c>
      <c r="BS397" s="4">
        <v>3.3660000000000001</v>
      </c>
      <c r="BT397" s="4">
        <v>0</v>
      </c>
      <c r="BU397" s="4">
        <v>5.2519999999999998</v>
      </c>
      <c r="BV397" s="4">
        <v>0</v>
      </c>
      <c r="BW397" s="4">
        <v>0</v>
      </c>
      <c r="BX397" s="4">
        <v>3.5539999999999998</v>
      </c>
      <c r="BY397" s="4">
        <v>4.4420000000000002</v>
      </c>
      <c r="BZ397" s="55">
        <v>4.78</v>
      </c>
      <c r="CA397" s="55">
        <v>3.72</v>
      </c>
      <c r="CB397" s="55">
        <v>0</v>
      </c>
      <c r="CC397" s="55">
        <v>3.74</v>
      </c>
      <c r="CD397" s="55">
        <v>0</v>
      </c>
      <c r="CE397" s="20">
        <v>0</v>
      </c>
      <c r="CF397" s="20">
        <v>3.7</v>
      </c>
      <c r="CG397" s="4">
        <v>4.4800000000000004</v>
      </c>
      <c r="CH397" s="4">
        <v>0</v>
      </c>
      <c r="CI397" s="4">
        <v>0</v>
      </c>
      <c r="CJ397" s="34">
        <v>5.3</v>
      </c>
      <c r="CK397" s="34">
        <v>0</v>
      </c>
      <c r="CL397" s="43">
        <v>4</v>
      </c>
      <c r="CM397" s="4">
        <v>0</v>
      </c>
      <c r="CN397" s="53">
        <v>0</v>
      </c>
      <c r="CO397" s="54">
        <v>4.3</v>
      </c>
      <c r="CP397" s="54">
        <v>4.9000000000000004</v>
      </c>
      <c r="CQ397" s="4">
        <v>4.8</v>
      </c>
    </row>
    <row r="398" spans="1:95" s="55" customFormat="1" x14ac:dyDescent="0.35">
      <c r="A398" s="55">
        <v>397</v>
      </c>
      <c r="B398" s="55" t="s">
        <v>112</v>
      </c>
      <c r="C398" s="27" t="s">
        <v>846</v>
      </c>
      <c r="D398" s="50" t="s">
        <v>92</v>
      </c>
      <c r="E398" s="33" t="s">
        <v>89</v>
      </c>
      <c r="F398" s="4">
        <f>IFERROR(AVERAGEIF(Table1[[#This Row],[2019-Apr]:[2025-July]],"&lt;&gt;0"),0)</f>
        <v>7.5600937500000001</v>
      </c>
      <c r="G398" s="4">
        <f ca="1">IFERROR(AVERAGEIF(OFFSET(Table1[[#This Row],[Status]],0,COUNT(Table1[[#This Row],[2019-May]:[2025-July]]),1,-12),"&lt;&gt;0"),0)</f>
        <v>6.0449999999999999</v>
      </c>
      <c r="H398" s="55">
        <f>IFERROR(SMALL(Table1[[#This Row],[2019-Apr]:[2025-July]],COUNTIF(Table1[[#This Row],[2019-Apr]:[2025-July]],0)+1),0)</f>
        <v>3.6</v>
      </c>
      <c r="I398" s="55">
        <f>IFERROR(MAX(Table1[[#This Row],[2019-Apr]:[2025-July]]),0)</f>
        <v>17.5</v>
      </c>
      <c r="J398" s="4" cm="1">
        <f t="array" ref="J39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4.9061666666666675</v>
      </c>
      <c r="K398" s="4">
        <v>4.5</v>
      </c>
      <c r="L398" s="4">
        <f>IF(Table1[[#This Row],[Standard as per ISO]]&gt;=Table1[[#This Row],[Avg of best 6]],Table1[[#This Row],[Standard as per ISO]],Table1[[#This Row],[Avg of best 6]])</f>
        <v>4.9061666666666675</v>
      </c>
      <c r="M398" s="4" cm="1">
        <f t="array" ref="M398">IFERROR(LOOKUP(2,1/(Table1[[#This Row],[2019-May]:[2025-July]]&lt;&gt;0),Table1[[#This Row],[2019-May]:[2025-July]]),0)</f>
        <v>3.6</v>
      </c>
      <c r="N398" s="4">
        <f>COUNTIF(Table1[[#This Row],[2019-Apr]:[2025-July]],"&gt;="&amp;Table1[[#This Row],[Target]])</f>
        <v>62</v>
      </c>
      <c r="O398" s="4">
        <f>IF(Table1[[#This Row],[Outliers 2Y]]=0,1,0)</f>
        <v>0</v>
      </c>
      <c r="P398" s="4">
        <f>IF(Table1[[#This Row],[Last value]]&gt;1.5*Table1[[#This Row],[Target]],1,0)</f>
        <v>0</v>
      </c>
      <c r="Q398" s="4">
        <f>IF(AND(1.5*Table1[[#This Row],[Target]]&gt;=Table1[[#This Row],[Last value]],Table1[[#This Row],[Last value]]&gt;Table1[[#This Row],[Target]]),1,0)</f>
        <v>0</v>
      </c>
      <c r="R398" s="4">
        <f>IF(Table1[[#This Row],[Target]]&gt;=Table1[[#This Row],[Last value]],1,0)</f>
        <v>1</v>
      </c>
      <c r="S398" s="4" t="str">
        <f t="shared" si="8"/>
        <v>Green</v>
      </c>
      <c r="T398" s="55">
        <v>0</v>
      </c>
      <c r="U398" s="55">
        <v>11.7</v>
      </c>
      <c r="V398" s="55">
        <v>17.5</v>
      </c>
      <c r="W398" s="55">
        <v>12.2</v>
      </c>
      <c r="X398" s="55">
        <v>11.4</v>
      </c>
      <c r="Y398" s="55">
        <v>9.85</v>
      </c>
      <c r="Z398" s="55">
        <v>9.1</v>
      </c>
      <c r="AA398" s="55">
        <v>10.7</v>
      </c>
      <c r="AB398" s="55">
        <v>5.42</v>
      </c>
      <c r="AC398" s="55">
        <v>6.66</v>
      </c>
      <c r="AD398" s="55">
        <v>9.6199999999999992</v>
      </c>
      <c r="AE398" s="55">
        <v>6.3</v>
      </c>
      <c r="AF398" s="55">
        <v>6.8</v>
      </c>
      <c r="AG398" s="55">
        <v>6.4</v>
      </c>
      <c r="AH398" s="55">
        <v>7.82</v>
      </c>
      <c r="AI398" s="55">
        <v>0</v>
      </c>
      <c r="AJ398" s="55">
        <v>7.8</v>
      </c>
      <c r="AK398" s="55">
        <v>7.68</v>
      </c>
      <c r="AL398" s="55">
        <v>7.66</v>
      </c>
      <c r="AM398" s="55">
        <v>6.79</v>
      </c>
      <c r="AN398" s="55">
        <v>7.51</v>
      </c>
      <c r="AO398" s="55">
        <v>5.95</v>
      </c>
      <c r="AP398" s="55">
        <v>0</v>
      </c>
      <c r="AQ398" s="55">
        <v>6.19</v>
      </c>
      <c r="AR398" s="8">
        <v>7.52</v>
      </c>
      <c r="AS398" s="8">
        <v>7.57</v>
      </c>
      <c r="AT398" s="8">
        <v>5.69</v>
      </c>
      <c r="AU398" s="50">
        <v>9.43</v>
      </c>
      <c r="AV398" s="50">
        <v>7.3</v>
      </c>
      <c r="AW398" s="50">
        <v>6.36</v>
      </c>
      <c r="AX398" s="50">
        <v>9.14</v>
      </c>
      <c r="AY398" s="50">
        <v>9.2899999999999991</v>
      </c>
      <c r="AZ398" s="50">
        <v>12</v>
      </c>
      <c r="BA398" s="50">
        <v>10.4</v>
      </c>
      <c r="BB398" s="50">
        <v>7.6</v>
      </c>
      <c r="BC398" s="50">
        <v>0</v>
      </c>
      <c r="BD398" s="55">
        <v>0</v>
      </c>
      <c r="BE398" s="11">
        <v>7.7119999999999997</v>
      </c>
      <c r="BF398" s="4">
        <v>0</v>
      </c>
      <c r="BG398" s="4">
        <v>6.9640000000000004</v>
      </c>
      <c r="BH398" s="4">
        <v>5.9729999999999999</v>
      </c>
      <c r="BI398" s="4">
        <v>9.827</v>
      </c>
      <c r="BJ398" s="14">
        <v>7.0670000000000002</v>
      </c>
      <c r="BK398" s="14">
        <v>6.6289999999999996</v>
      </c>
      <c r="BL398" s="4">
        <v>6.6219999999999999</v>
      </c>
      <c r="BM398" s="17">
        <v>9.0719999999999992</v>
      </c>
      <c r="BN398" s="4">
        <v>0</v>
      </c>
      <c r="BO398" s="4">
        <v>8.6690000000000005</v>
      </c>
      <c r="BP398" s="4">
        <v>6.1280000000000001</v>
      </c>
      <c r="BQ398" s="4">
        <v>6.9560000000000004</v>
      </c>
      <c r="BR398" s="4">
        <v>7.1849999999999996</v>
      </c>
      <c r="BS398" s="4">
        <v>7.657</v>
      </c>
      <c r="BT398" s="4">
        <v>5.5960000000000001</v>
      </c>
      <c r="BU398" s="4">
        <v>0</v>
      </c>
      <c r="BV398" s="4">
        <v>5.2670000000000003</v>
      </c>
      <c r="BW398" s="4">
        <v>6.6289999999999996</v>
      </c>
      <c r="BX398" s="4">
        <v>6.1139999999999999</v>
      </c>
      <c r="BY398" s="4">
        <v>6.4889999999999999</v>
      </c>
      <c r="BZ398" s="55">
        <v>6.52</v>
      </c>
      <c r="CA398" s="55">
        <v>6.71</v>
      </c>
      <c r="CB398" s="55">
        <v>6.66</v>
      </c>
      <c r="CC398" s="55">
        <v>0</v>
      </c>
      <c r="CD398" s="55">
        <v>0</v>
      </c>
      <c r="CE398" s="19">
        <v>0</v>
      </c>
      <c r="CF398" s="19">
        <v>7.1</v>
      </c>
      <c r="CG398" s="4">
        <v>5.7</v>
      </c>
      <c r="CH398" s="4">
        <v>0</v>
      </c>
      <c r="CI398" s="4">
        <v>4.25</v>
      </c>
      <c r="CJ398" s="34">
        <v>6.6</v>
      </c>
      <c r="CK398" s="34">
        <v>5.4</v>
      </c>
      <c r="CL398" s="43">
        <v>8.5</v>
      </c>
      <c r="CM398" s="4">
        <v>6</v>
      </c>
      <c r="CN398" s="53">
        <v>5.9</v>
      </c>
      <c r="CO398" s="54">
        <v>5.5</v>
      </c>
      <c r="CP398" s="54">
        <v>5.5</v>
      </c>
      <c r="CQ398" s="4">
        <v>3.6</v>
      </c>
    </row>
    <row r="399" spans="1:95" s="55" customFormat="1" x14ac:dyDescent="0.35">
      <c r="A399" s="55">
        <v>398</v>
      </c>
      <c r="B399" s="55" t="s">
        <v>112</v>
      </c>
      <c r="C399" s="27" t="s">
        <v>847</v>
      </c>
      <c r="D399" s="50" t="s">
        <v>92</v>
      </c>
      <c r="E399" s="33" t="s">
        <v>89</v>
      </c>
      <c r="F399" s="4">
        <f>IFERROR(AVERAGEIF(Table1[[#This Row],[2019-Apr]:[2025-July]],"&lt;&gt;0"),0)</f>
        <v>6.6368177083333331</v>
      </c>
      <c r="G399" s="4">
        <f ca="1">IFERROR(AVERAGEIF(OFFSET(Table1[[#This Row],[Status]],0,COUNT(Table1[[#This Row],[2019-May]:[2025-July]]),1,-12),"&lt;&gt;0"),0)</f>
        <v>4.4530000000000003</v>
      </c>
      <c r="H399" s="55">
        <f>IFERROR(SMALL(Table1[[#This Row],[2019-Apr]:[2025-July]],COUNTIF(Table1[[#This Row],[2019-Apr]:[2025-July]],0)+1),0)</f>
        <v>3.3</v>
      </c>
      <c r="I399" s="55">
        <f>IFERROR(MAX(Table1[[#This Row],[2019-Apr]:[2025-July]]),0)</f>
        <v>12.5</v>
      </c>
      <c r="J399" s="4" cm="1">
        <f t="array" ref="J39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3.6741666666666668</v>
      </c>
      <c r="K399" s="4">
        <v>4.5</v>
      </c>
      <c r="L399" s="4">
        <f>IF(Table1[[#This Row],[Standard as per ISO]]&gt;=Table1[[#This Row],[Avg of best 6]],Table1[[#This Row],[Standard as per ISO]],Table1[[#This Row],[Avg of best 6]])</f>
        <v>4.5</v>
      </c>
      <c r="M399" s="4" cm="1">
        <f t="array" ref="M399">IFERROR(LOOKUP(2,1/(Table1[[#This Row],[2019-May]:[2025-July]]&lt;&gt;0),Table1[[#This Row],[2019-May]:[2025-July]]),0)</f>
        <v>4.2</v>
      </c>
      <c r="N399" s="4">
        <f>COUNTIF(Table1[[#This Row],[2019-Apr]:[2025-July]],"&gt;="&amp;Table1[[#This Row],[Target]])</f>
        <v>57</v>
      </c>
      <c r="O399" s="4">
        <f>IF(Table1[[#This Row],[Outliers 2Y]]=0,1,0)</f>
        <v>0</v>
      </c>
      <c r="P399" s="4">
        <f>IF(Table1[[#This Row],[Last value]]&gt;1.5*Table1[[#This Row],[Target]],1,0)</f>
        <v>0</v>
      </c>
      <c r="Q399" s="4">
        <f>IF(AND(1.5*Table1[[#This Row],[Target]]&gt;=Table1[[#This Row],[Last value]],Table1[[#This Row],[Last value]]&gt;Table1[[#This Row],[Target]]),1,0)</f>
        <v>0</v>
      </c>
      <c r="R399" s="4">
        <f>IF(Table1[[#This Row],[Target]]&gt;=Table1[[#This Row],[Last value]],1,0)</f>
        <v>1</v>
      </c>
      <c r="S399" s="4" t="str">
        <f t="shared" si="8"/>
        <v>Green</v>
      </c>
      <c r="T399" s="55">
        <v>0</v>
      </c>
      <c r="U399" s="55">
        <v>7.55</v>
      </c>
      <c r="V399" s="55">
        <v>8.8000000000000007</v>
      </c>
      <c r="W399" s="55">
        <v>7.26</v>
      </c>
      <c r="X399" s="55">
        <v>5.8</v>
      </c>
      <c r="Y399" s="55">
        <v>12.4</v>
      </c>
      <c r="Z399" s="55">
        <v>5.42</v>
      </c>
      <c r="AA399" s="55">
        <v>5.72</v>
      </c>
      <c r="AB399" s="55">
        <v>6.32</v>
      </c>
      <c r="AC399" s="55">
        <v>6.75</v>
      </c>
      <c r="AD399" s="55">
        <v>6.2</v>
      </c>
      <c r="AE399" s="55">
        <v>7.6</v>
      </c>
      <c r="AF399" s="55">
        <v>12</v>
      </c>
      <c r="AG399" s="55">
        <v>6.7533333333333339</v>
      </c>
      <c r="AH399" s="55">
        <v>5.85</v>
      </c>
      <c r="AI399" s="55">
        <v>0</v>
      </c>
      <c r="AJ399" s="55">
        <v>5.9</v>
      </c>
      <c r="AK399" s="55">
        <v>4.76</v>
      </c>
      <c r="AL399" s="55">
        <v>5.24</v>
      </c>
      <c r="AM399" s="55">
        <v>6.6</v>
      </c>
      <c r="AN399" s="55">
        <v>4.8600000000000003</v>
      </c>
      <c r="AO399" s="55">
        <v>12.5</v>
      </c>
      <c r="AP399" s="55">
        <v>6.72</v>
      </c>
      <c r="AQ399" s="55">
        <v>6.3</v>
      </c>
      <c r="AR399" s="8">
        <v>7.79</v>
      </c>
      <c r="AS399" s="8">
        <v>5</v>
      </c>
      <c r="AT399" s="8">
        <v>9.0500000000000007</v>
      </c>
      <c r="AU399" s="50">
        <v>8.83</v>
      </c>
      <c r="AV399" s="50">
        <v>8.9700000000000006</v>
      </c>
      <c r="AW399" s="50">
        <v>7.24</v>
      </c>
      <c r="AX399" s="50">
        <v>8.8699999999999992</v>
      </c>
      <c r="AY399" s="50">
        <v>8.82</v>
      </c>
      <c r="AZ399" s="50">
        <v>9.67</v>
      </c>
      <c r="BA399" s="50">
        <v>6.7</v>
      </c>
      <c r="BB399" s="50">
        <v>6.3</v>
      </c>
      <c r="BC399" s="50">
        <v>0</v>
      </c>
      <c r="BD399" s="55">
        <v>6.8</v>
      </c>
      <c r="BE399" s="11">
        <v>8.2850000000000001</v>
      </c>
      <c r="BF399" s="4">
        <v>0</v>
      </c>
      <c r="BG399" s="4">
        <v>0</v>
      </c>
      <c r="BH399" s="4">
        <v>6.4329999999999998</v>
      </c>
      <c r="BI399" s="4">
        <v>6.5869999999999997</v>
      </c>
      <c r="BJ399" s="13">
        <v>6.4580000000000002</v>
      </c>
      <c r="BK399" s="13">
        <v>6.8869999999999996</v>
      </c>
      <c r="BL399" s="4">
        <v>5.7430000000000003</v>
      </c>
      <c r="BM399" s="16">
        <v>7.8769999999999998</v>
      </c>
      <c r="BN399" s="4">
        <v>8.4060000000000006</v>
      </c>
      <c r="BO399" s="4">
        <v>9.1809999999999992</v>
      </c>
      <c r="BP399" s="4">
        <v>7.19</v>
      </c>
      <c r="BQ399" s="4">
        <v>7.3250000000000002</v>
      </c>
      <c r="BR399" s="4">
        <v>0</v>
      </c>
      <c r="BS399" s="4">
        <v>6.5069999999999997</v>
      </c>
      <c r="BT399" s="4">
        <v>3.7829999999999999</v>
      </c>
      <c r="BU399" s="4">
        <v>3.3319999999999999</v>
      </c>
      <c r="BV399" s="4">
        <v>5.4119999999999999</v>
      </c>
      <c r="BW399" s="4">
        <v>0</v>
      </c>
      <c r="BX399" s="4">
        <v>4.6379999999999999</v>
      </c>
      <c r="BY399" s="4">
        <v>6.9989999999999997</v>
      </c>
      <c r="BZ399" s="55">
        <v>0</v>
      </c>
      <c r="CA399" s="55">
        <v>7.24</v>
      </c>
      <c r="CB399" s="55">
        <v>6.4</v>
      </c>
      <c r="CC399" s="55">
        <v>0</v>
      </c>
      <c r="CD399" s="55">
        <v>0</v>
      </c>
      <c r="CE399" s="19">
        <v>0</v>
      </c>
      <c r="CF399" s="19">
        <v>4.4000000000000004</v>
      </c>
      <c r="CG399" s="4">
        <v>4.9000000000000004</v>
      </c>
      <c r="CH399" s="4">
        <v>0</v>
      </c>
      <c r="CI399" s="4">
        <v>3.73</v>
      </c>
      <c r="CJ399" s="34">
        <v>5</v>
      </c>
      <c r="CK399" s="34">
        <v>4.7</v>
      </c>
      <c r="CL399" s="43">
        <v>5.0999999999999996</v>
      </c>
      <c r="CM399" s="4">
        <v>4.7</v>
      </c>
      <c r="CN399" s="53">
        <v>5</v>
      </c>
      <c r="CO399" s="54">
        <v>3.7</v>
      </c>
      <c r="CP399" s="54">
        <v>3.3</v>
      </c>
      <c r="CQ399" s="4">
        <v>4.2</v>
      </c>
    </row>
    <row r="400" spans="1:95" s="55" customFormat="1" x14ac:dyDescent="0.35">
      <c r="A400" s="55">
        <v>399</v>
      </c>
      <c r="B400" s="55" t="s">
        <v>112</v>
      </c>
      <c r="C400" s="27" t="s">
        <v>848</v>
      </c>
      <c r="D400" s="50" t="s">
        <v>88</v>
      </c>
      <c r="E400" s="33" t="s">
        <v>89</v>
      </c>
      <c r="F400" s="4">
        <f>IFERROR(AVERAGEIF(Table1[[#This Row],[2019-Apr]:[2025-July]],"&lt;&gt;0"),0)</f>
        <v>11.089920000000001</v>
      </c>
      <c r="G400" s="4">
        <f ca="1">IFERROR(AVERAGEIF(OFFSET(Table1[[#This Row],[Status]],0,COUNT(Table1[[#This Row],[2019-May]:[2025-July]]),1,-12),"&lt;&gt;0"),0)</f>
        <v>6.6174999999999997</v>
      </c>
      <c r="H400" s="55">
        <f>IFERROR(SMALL(Table1[[#This Row],[2019-Apr]:[2025-July]],COUNTIF(Table1[[#This Row],[2019-Apr]:[2025-July]],0)+1),0)</f>
        <v>3.66</v>
      </c>
      <c r="I400" s="55">
        <f>IFERROR(MAX(Table1[[#This Row],[2019-Apr]:[2025-July]]),0)</f>
        <v>28</v>
      </c>
      <c r="J400" s="4" cm="1">
        <f t="array" ref="J40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5.333333333333333</v>
      </c>
      <c r="K400" s="4">
        <v>4.5</v>
      </c>
      <c r="L400" s="4">
        <f>IF(Table1[[#This Row],[Standard as per ISO]]&gt;=Table1[[#This Row],[Avg of best 6]],Table1[[#This Row],[Standard as per ISO]],Table1[[#This Row],[Avg of best 6]])</f>
        <v>5.333333333333333</v>
      </c>
      <c r="M400" s="4" cm="1">
        <f t="array" ref="M400">IFERROR(LOOKUP(2,1/(Table1[[#This Row],[2019-May]:[2025-July]]&lt;&gt;0),Table1[[#This Row],[2019-May]:[2025-July]]),0)</f>
        <v>6.57</v>
      </c>
      <c r="N400" s="4">
        <f>COUNTIF(Table1[[#This Row],[2019-Apr]:[2025-July]],"&gt;="&amp;Table1[[#This Row],[Target]])</f>
        <v>49</v>
      </c>
      <c r="O400" s="4">
        <f>IF(Table1[[#This Row],[Outliers 2Y]]=0,1,0)</f>
        <v>0</v>
      </c>
      <c r="P400" s="4">
        <f>IF(Table1[[#This Row],[Last value]]&gt;1.5*Table1[[#This Row],[Target]],1,0)</f>
        <v>0</v>
      </c>
      <c r="Q400" s="4">
        <f>IF(AND(1.5*Table1[[#This Row],[Target]]&gt;=Table1[[#This Row],[Last value]],Table1[[#This Row],[Last value]]&gt;Table1[[#This Row],[Target]]),1,0)</f>
        <v>1</v>
      </c>
      <c r="R400" s="4">
        <f>IF(Table1[[#This Row],[Target]]&gt;=Table1[[#This Row],[Last value]],1,0)</f>
        <v>0</v>
      </c>
      <c r="S400" s="4" t="str">
        <f t="shared" si="8"/>
        <v>Yellow</v>
      </c>
      <c r="T400" s="55">
        <v>0</v>
      </c>
      <c r="U400" s="55">
        <v>3.66</v>
      </c>
      <c r="V400" s="55">
        <v>12.1</v>
      </c>
      <c r="W400" s="55">
        <v>6.87</v>
      </c>
      <c r="X400" s="55">
        <v>9.32</v>
      </c>
      <c r="Y400" s="55">
        <v>9.42</v>
      </c>
      <c r="Z400" s="55">
        <v>0</v>
      </c>
      <c r="AA400" s="55">
        <v>24.3</v>
      </c>
      <c r="AB400" s="55">
        <v>28</v>
      </c>
      <c r="AC400" s="55">
        <v>22.8</v>
      </c>
      <c r="AD400" s="55">
        <v>23</v>
      </c>
      <c r="AE400" s="55">
        <v>26.8</v>
      </c>
      <c r="AF400" s="55">
        <v>17</v>
      </c>
      <c r="AG400" s="55">
        <v>26.8</v>
      </c>
      <c r="AH400" s="55">
        <v>24.5</v>
      </c>
      <c r="AI400" s="55">
        <v>0</v>
      </c>
      <c r="AJ400" s="55">
        <v>9.36</v>
      </c>
      <c r="AK400" s="55">
        <v>11.7</v>
      </c>
      <c r="AL400" s="55">
        <v>8.2899999999999991</v>
      </c>
      <c r="AM400" s="55">
        <v>0</v>
      </c>
      <c r="AN400" s="55">
        <v>6.04</v>
      </c>
      <c r="AO400" s="55">
        <v>5.8</v>
      </c>
      <c r="AP400" s="55">
        <v>10.1</v>
      </c>
      <c r="AQ400" s="55">
        <v>10.9</v>
      </c>
      <c r="AR400" s="8">
        <v>10.6</v>
      </c>
      <c r="AS400" s="8">
        <v>11.4</v>
      </c>
      <c r="AT400" s="8">
        <v>12.7</v>
      </c>
      <c r="AU400" s="50">
        <v>11.4</v>
      </c>
      <c r="AV400" s="50">
        <v>10.9</v>
      </c>
      <c r="AW400" s="50">
        <v>10.5</v>
      </c>
      <c r="AX400" s="50">
        <v>10.199999999999999</v>
      </c>
      <c r="AY400" s="50">
        <v>11.2</v>
      </c>
      <c r="AZ400" s="50">
        <v>9.82</v>
      </c>
      <c r="BA400" s="50">
        <v>10.3</v>
      </c>
      <c r="BB400" s="50">
        <v>9.9</v>
      </c>
      <c r="BC400" s="55">
        <v>10.5</v>
      </c>
      <c r="BD400" s="55">
        <v>0</v>
      </c>
      <c r="BE400" s="11">
        <v>7.2279999999999998</v>
      </c>
      <c r="BF400" s="4">
        <v>0</v>
      </c>
      <c r="BG400" s="4">
        <v>9.3840000000000003</v>
      </c>
      <c r="BH400" s="4">
        <v>9.4610000000000003</v>
      </c>
      <c r="BI400" s="4">
        <v>8.859</v>
      </c>
      <c r="BJ400" s="14">
        <v>9.3219999999999992</v>
      </c>
      <c r="BK400" s="14">
        <v>7.4169999999999998</v>
      </c>
      <c r="BL400" s="4">
        <v>6.9249999999999998</v>
      </c>
      <c r="BM400" s="17">
        <v>6.4560000000000004</v>
      </c>
      <c r="BN400" s="4">
        <v>5.67</v>
      </c>
      <c r="BO400" s="4">
        <v>6.7530000000000001</v>
      </c>
      <c r="BP400" s="4">
        <v>0</v>
      </c>
      <c r="BQ400" s="4">
        <v>5.85</v>
      </c>
      <c r="BR400" s="4">
        <v>7.0910000000000002</v>
      </c>
      <c r="BS400" s="4">
        <v>0</v>
      </c>
      <c r="BT400" s="4">
        <v>5.52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55">
        <v>0</v>
      </c>
      <c r="CA400" s="55">
        <v>5.91</v>
      </c>
      <c r="CB400" s="55">
        <v>0</v>
      </c>
      <c r="CC400" s="55">
        <v>0</v>
      </c>
      <c r="CD400" s="55">
        <v>0</v>
      </c>
      <c r="CE400" s="19">
        <v>0</v>
      </c>
      <c r="CF400" s="19">
        <v>0</v>
      </c>
      <c r="CG400" s="4">
        <v>0</v>
      </c>
      <c r="CH400" s="4">
        <v>0</v>
      </c>
      <c r="CI400" s="4">
        <v>0</v>
      </c>
      <c r="CJ400" s="34">
        <v>7.7</v>
      </c>
      <c r="CK400" s="34">
        <v>0</v>
      </c>
      <c r="CL400" s="43">
        <v>0</v>
      </c>
      <c r="CM400" s="4">
        <v>0</v>
      </c>
      <c r="CN400" s="53">
        <v>6.7</v>
      </c>
      <c r="CO400" s="54">
        <v>5.5</v>
      </c>
      <c r="CP400" s="54">
        <v>6.57</v>
      </c>
      <c r="CQ400" s="4">
        <v>0</v>
      </c>
    </row>
    <row r="401" spans="1:95" s="55" customFormat="1" x14ac:dyDescent="0.35">
      <c r="A401" s="55">
        <v>400</v>
      </c>
      <c r="B401" s="55" t="s">
        <v>112</v>
      </c>
      <c r="C401" s="27" t="s">
        <v>849</v>
      </c>
      <c r="D401" s="50" t="s">
        <v>88</v>
      </c>
      <c r="E401" s="33" t="s">
        <v>89</v>
      </c>
      <c r="F401" s="4">
        <f>IFERROR(AVERAGEIF(Table1[[#This Row],[2019-Apr]:[2025-July]],"&lt;&gt;0"),0)</f>
        <v>7.811893617021278</v>
      </c>
      <c r="G401" s="4">
        <f ca="1">IFERROR(AVERAGEIF(OFFSET(Table1[[#This Row],[Status]],0,COUNT(Table1[[#This Row],[2019-May]:[2025-July]]),1,-12),"&lt;&gt;0"),0)</f>
        <v>6.3260000000000005</v>
      </c>
      <c r="H401" s="55">
        <f>IFERROR(SMALL(Table1[[#This Row],[2019-Apr]:[2025-July]],COUNTIF(Table1[[#This Row],[2019-Apr]:[2025-July]],0)+1),0)</f>
        <v>2.98</v>
      </c>
      <c r="I401" s="55">
        <f>IFERROR(MAX(Table1[[#This Row],[2019-Apr]:[2025-July]]),0)</f>
        <v>21.9</v>
      </c>
      <c r="J401" s="4" cm="1">
        <f t="array" ref="J40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4.1949999999999994</v>
      </c>
      <c r="K401" s="4">
        <v>4.5</v>
      </c>
      <c r="L401" s="4">
        <f>IF(Table1[[#This Row],[Standard as per ISO]]&gt;=Table1[[#This Row],[Avg of best 6]],Table1[[#This Row],[Standard as per ISO]],Table1[[#This Row],[Avg of best 6]])</f>
        <v>4.5</v>
      </c>
      <c r="M401" s="4" cm="1">
        <f t="array" ref="M401">IFERROR(LOOKUP(2,1/(Table1[[#This Row],[2019-May]:[2025-July]]&lt;&gt;0),Table1[[#This Row],[2019-May]:[2025-July]]),0)</f>
        <v>5.8</v>
      </c>
      <c r="N401" s="4">
        <f>COUNTIF(Table1[[#This Row],[2019-Apr]:[2025-July]],"&gt;="&amp;Table1[[#This Row],[Target]])</f>
        <v>44</v>
      </c>
      <c r="O401" s="4">
        <f>IF(Table1[[#This Row],[Outliers 2Y]]=0,1,0)</f>
        <v>0</v>
      </c>
      <c r="P401" s="4">
        <f>IF(Table1[[#This Row],[Last value]]&gt;1.5*Table1[[#This Row],[Target]],1,0)</f>
        <v>0</v>
      </c>
      <c r="Q401" s="4">
        <f>IF(AND(1.5*Table1[[#This Row],[Target]]&gt;=Table1[[#This Row],[Last value]],Table1[[#This Row],[Last value]]&gt;Table1[[#This Row],[Target]]),1,0)</f>
        <v>1</v>
      </c>
      <c r="R401" s="4">
        <f>IF(Table1[[#This Row],[Target]]&gt;=Table1[[#This Row],[Last value]],1,0)</f>
        <v>0</v>
      </c>
      <c r="S401" s="4" t="str">
        <f t="shared" si="8"/>
        <v>Yellow</v>
      </c>
      <c r="T401" s="55">
        <v>0</v>
      </c>
      <c r="U401" s="55">
        <v>6.66</v>
      </c>
      <c r="V401" s="55">
        <v>5.44</v>
      </c>
      <c r="W401" s="55">
        <v>2.98</v>
      </c>
      <c r="X401" s="55">
        <v>9.4700000000000006</v>
      </c>
      <c r="Y401" s="55">
        <v>4.67</v>
      </c>
      <c r="Z401" s="55">
        <v>5.1100000000000003</v>
      </c>
      <c r="AA401" s="55">
        <v>0</v>
      </c>
      <c r="AB401" s="55">
        <v>4.5</v>
      </c>
      <c r="AC401" s="55">
        <v>5.38</v>
      </c>
      <c r="AD401" s="55">
        <v>4.54</v>
      </c>
      <c r="AE401" s="55">
        <v>6.9</v>
      </c>
      <c r="AF401" s="55">
        <v>16.2</v>
      </c>
      <c r="AG401" s="55">
        <v>18.5</v>
      </c>
      <c r="AH401" s="55">
        <v>8.5</v>
      </c>
      <c r="AI401" s="55">
        <v>6.29</v>
      </c>
      <c r="AJ401" s="55">
        <v>0</v>
      </c>
      <c r="AK401" s="55">
        <v>0</v>
      </c>
      <c r="AL401" s="55">
        <v>5.14</v>
      </c>
      <c r="AM401" s="55">
        <v>7.52</v>
      </c>
      <c r="AN401" s="55">
        <v>0</v>
      </c>
      <c r="AO401" s="55">
        <v>15.3</v>
      </c>
      <c r="AP401" s="55">
        <v>20.9</v>
      </c>
      <c r="AQ401" s="55">
        <v>18.3</v>
      </c>
      <c r="AR401" s="8">
        <v>16</v>
      </c>
      <c r="AS401" s="8">
        <v>21.9</v>
      </c>
      <c r="AT401" s="8">
        <v>4.9000000000000004</v>
      </c>
      <c r="AU401" s="50">
        <v>4.0999999999999996</v>
      </c>
      <c r="AV401" s="50">
        <v>4.43</v>
      </c>
      <c r="AW401" s="50">
        <v>5.65</v>
      </c>
      <c r="AX401" s="50">
        <v>4.62</v>
      </c>
      <c r="AY401" s="50">
        <v>4.8600000000000003</v>
      </c>
      <c r="AZ401" s="50">
        <v>5.5</v>
      </c>
      <c r="BA401" s="50">
        <v>7.1</v>
      </c>
      <c r="BB401" s="50">
        <v>5.5</v>
      </c>
      <c r="BC401" s="55">
        <v>7.4</v>
      </c>
      <c r="BD401" s="55">
        <v>0</v>
      </c>
      <c r="BE401" s="11">
        <v>0</v>
      </c>
      <c r="BF401" s="4">
        <v>0</v>
      </c>
      <c r="BG401" s="4">
        <v>0</v>
      </c>
      <c r="BH401" s="4">
        <v>8.2620000000000005</v>
      </c>
      <c r="BI401" s="4">
        <v>6.0410000000000004</v>
      </c>
      <c r="BJ401" s="13">
        <v>7.5439999999999996</v>
      </c>
      <c r="BK401" s="13">
        <v>5.57</v>
      </c>
      <c r="BL401" s="4">
        <v>4.992</v>
      </c>
      <c r="BM401" s="16">
        <v>0</v>
      </c>
      <c r="BN401" s="4">
        <v>0</v>
      </c>
      <c r="BO401" s="4">
        <v>6.5869999999999997</v>
      </c>
      <c r="BP401" s="4">
        <v>6.6749999999999998</v>
      </c>
      <c r="BQ401" s="4">
        <v>0</v>
      </c>
      <c r="BR401" s="4">
        <v>0</v>
      </c>
      <c r="BS401" s="4">
        <v>5.4720000000000004</v>
      </c>
      <c r="BT401" s="4">
        <v>0</v>
      </c>
      <c r="BU401" s="4">
        <v>0</v>
      </c>
      <c r="BV401" s="4">
        <v>0</v>
      </c>
      <c r="BW401" s="4">
        <v>0</v>
      </c>
      <c r="BX401" s="4">
        <v>6.7060000000000004</v>
      </c>
      <c r="BY401" s="4">
        <v>0</v>
      </c>
      <c r="BZ401" s="55">
        <v>0</v>
      </c>
      <c r="CA401" s="55">
        <v>0</v>
      </c>
      <c r="CB401" s="55">
        <v>0</v>
      </c>
      <c r="CC401" s="55">
        <v>0</v>
      </c>
      <c r="CD401" s="55">
        <v>7.62</v>
      </c>
      <c r="CE401" s="19">
        <v>0</v>
      </c>
      <c r="CF401" s="19">
        <v>6.5</v>
      </c>
      <c r="CG401" s="4">
        <v>0</v>
      </c>
      <c r="CH401" s="4">
        <v>0</v>
      </c>
      <c r="CI401" s="4">
        <v>6.43</v>
      </c>
      <c r="CJ401" s="34">
        <v>0</v>
      </c>
      <c r="CK401" s="34">
        <v>6.1</v>
      </c>
      <c r="CL401" s="43">
        <v>4.7</v>
      </c>
      <c r="CM401" s="4">
        <v>7.9</v>
      </c>
      <c r="CN401" s="53">
        <v>0</v>
      </c>
      <c r="CO401" s="54">
        <v>0</v>
      </c>
      <c r="CP401" s="54">
        <v>0</v>
      </c>
      <c r="CQ401" s="4">
        <v>5.8</v>
      </c>
    </row>
    <row r="402" spans="1:95" s="55" customFormat="1" x14ac:dyDescent="0.35">
      <c r="A402" s="55">
        <v>401</v>
      </c>
      <c r="B402" s="55" t="s">
        <v>112</v>
      </c>
      <c r="C402" s="27" t="s">
        <v>850</v>
      </c>
      <c r="D402" s="50" t="s">
        <v>88</v>
      </c>
      <c r="E402" s="33" t="s">
        <v>89</v>
      </c>
      <c r="F402" s="4">
        <f>IFERROR(AVERAGEIF(Table1[[#This Row],[2019-Apr]:[2025-July]],"&lt;&gt;0"),0)</f>
        <v>5.2362727272727261</v>
      </c>
      <c r="G402" s="4">
        <f ca="1">IFERROR(AVERAGEIF(OFFSET(Table1[[#This Row],[Status]],0,COUNT(Table1[[#This Row],[2019-May]:[2025-July]]),1,-12),"&lt;&gt;0"),0)</f>
        <v>6.55</v>
      </c>
      <c r="H402" s="55">
        <f>IFERROR(SMALL(Table1[[#This Row],[2019-Apr]:[2025-July]],COUNTIF(Table1[[#This Row],[2019-Apr]:[2025-July]],0)+1),0)</f>
        <v>0.4</v>
      </c>
      <c r="I402" s="55">
        <f>IFERROR(MAX(Table1[[#This Row],[2019-Apr]:[2025-July]]),0)</f>
        <v>10.8</v>
      </c>
      <c r="J402" s="4" cm="1">
        <f t="array" ref="J40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2.12</v>
      </c>
      <c r="K402" s="4">
        <v>4.5</v>
      </c>
      <c r="L402" s="4">
        <f>IF(Table1[[#This Row],[Standard as per ISO]]&gt;=Table1[[#This Row],[Avg of best 6]],Table1[[#This Row],[Standard as per ISO]],Table1[[#This Row],[Avg of best 6]])</f>
        <v>4.5</v>
      </c>
      <c r="M402" s="4" cm="1">
        <f t="array" ref="M402">IFERROR(LOOKUP(2,1/(Table1[[#This Row],[2019-May]:[2025-July]]&lt;&gt;0),Table1[[#This Row],[2019-May]:[2025-July]]),0)</f>
        <v>5.5</v>
      </c>
      <c r="N402" s="4">
        <f>COUNTIF(Table1[[#This Row],[2019-Apr]:[2025-July]],"&gt;="&amp;Table1[[#This Row],[Target]])</f>
        <v>28</v>
      </c>
      <c r="O402" s="4">
        <f>IF(Table1[[#This Row],[Outliers 2Y]]=0,1,0)</f>
        <v>0</v>
      </c>
      <c r="P402" s="4">
        <f>IF(Table1[[#This Row],[Last value]]&gt;1.5*Table1[[#This Row],[Target]],1,0)</f>
        <v>0</v>
      </c>
      <c r="Q402" s="4">
        <f>IF(AND(1.5*Table1[[#This Row],[Target]]&gt;=Table1[[#This Row],[Last value]],Table1[[#This Row],[Last value]]&gt;Table1[[#This Row],[Target]]),1,0)</f>
        <v>1</v>
      </c>
      <c r="R402" s="4">
        <f>IF(Table1[[#This Row],[Target]]&gt;=Table1[[#This Row],[Last value]],1,0)</f>
        <v>0</v>
      </c>
      <c r="S402" s="4" t="str">
        <f t="shared" si="8"/>
        <v>Yellow</v>
      </c>
      <c r="T402" s="55">
        <v>0</v>
      </c>
      <c r="U402" s="55">
        <v>5.31</v>
      </c>
      <c r="V402" s="55">
        <v>2</v>
      </c>
      <c r="W402" s="55">
        <v>3.79</v>
      </c>
      <c r="X402" s="55">
        <v>0.4</v>
      </c>
      <c r="Y402" s="55">
        <v>7.51</v>
      </c>
      <c r="Z402" s="55">
        <v>7.04</v>
      </c>
      <c r="AA402" s="55">
        <v>0</v>
      </c>
      <c r="AB402" s="55">
        <v>7.75</v>
      </c>
      <c r="AC402" s="55">
        <v>7.8</v>
      </c>
      <c r="AD402" s="55">
        <v>7.94</v>
      </c>
      <c r="AE402" s="55">
        <v>3.3</v>
      </c>
      <c r="AF402" s="55">
        <v>3.9</v>
      </c>
      <c r="AG402" s="55">
        <v>4.0999999999999996</v>
      </c>
      <c r="AH402" s="55">
        <v>4.38</v>
      </c>
      <c r="AI402" s="55">
        <v>0</v>
      </c>
      <c r="AJ402" s="55">
        <v>3.33</v>
      </c>
      <c r="AK402" s="55">
        <v>3.77</v>
      </c>
      <c r="AL402" s="55">
        <v>2.89</v>
      </c>
      <c r="AM402" s="55">
        <v>3.09</v>
      </c>
      <c r="AN402" s="55">
        <v>0</v>
      </c>
      <c r="AO402" s="55">
        <v>2.81</v>
      </c>
      <c r="AP402" s="55">
        <v>1.64</v>
      </c>
      <c r="AQ402" s="55">
        <v>10.8</v>
      </c>
      <c r="AR402" s="8">
        <v>4.38</v>
      </c>
      <c r="AS402" s="8">
        <v>5.55</v>
      </c>
      <c r="AT402" s="8">
        <v>6.34</v>
      </c>
      <c r="AU402" s="50">
        <v>0</v>
      </c>
      <c r="AV402" s="50">
        <v>5.33</v>
      </c>
      <c r="AW402" s="50">
        <v>4.34</v>
      </c>
      <c r="AX402" s="50">
        <v>2.98</v>
      </c>
      <c r="AY402" s="50">
        <v>5.05</v>
      </c>
      <c r="AZ402" s="50">
        <v>0</v>
      </c>
      <c r="BA402" s="50">
        <v>9</v>
      </c>
      <c r="BB402" s="50">
        <v>4.9000000000000004</v>
      </c>
      <c r="BC402" s="55">
        <v>5.2</v>
      </c>
      <c r="BD402" s="55">
        <v>0</v>
      </c>
      <c r="BE402" s="11">
        <v>0</v>
      </c>
      <c r="BF402" s="4">
        <v>0</v>
      </c>
      <c r="BG402" s="4">
        <v>4.55</v>
      </c>
      <c r="BH402" s="4">
        <v>4.55</v>
      </c>
      <c r="BI402" s="4">
        <v>5.39</v>
      </c>
      <c r="BJ402" s="14">
        <v>0</v>
      </c>
      <c r="BK402" s="14">
        <v>5.5</v>
      </c>
      <c r="BL402" s="4">
        <v>0</v>
      </c>
      <c r="BM402" s="17">
        <v>6.5229999999999997</v>
      </c>
      <c r="BN402" s="4">
        <v>5.4690000000000003</v>
      </c>
      <c r="BO402" s="4">
        <v>6.6459999999999999</v>
      </c>
      <c r="BP402" s="4">
        <v>0</v>
      </c>
      <c r="BQ402" s="4">
        <v>0</v>
      </c>
      <c r="BR402" s="4">
        <v>6.7880000000000003</v>
      </c>
      <c r="BS402" s="4">
        <v>6.67</v>
      </c>
      <c r="BT402" s="4">
        <v>6.45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55">
        <v>0</v>
      </c>
      <c r="CA402" s="55">
        <v>6.64</v>
      </c>
      <c r="CB402" s="55">
        <v>0</v>
      </c>
      <c r="CC402" s="55">
        <v>0</v>
      </c>
      <c r="CD402" s="55">
        <v>0</v>
      </c>
      <c r="CE402" s="19">
        <v>0</v>
      </c>
      <c r="CF402" s="19">
        <v>0</v>
      </c>
      <c r="CG402" s="4">
        <v>0</v>
      </c>
      <c r="CH402" s="4">
        <v>0</v>
      </c>
      <c r="CI402" s="4">
        <v>0</v>
      </c>
      <c r="CJ402" s="34">
        <v>0</v>
      </c>
      <c r="CK402" s="34">
        <v>0</v>
      </c>
      <c r="CL402" s="43">
        <v>0</v>
      </c>
      <c r="CM402" s="4">
        <v>0</v>
      </c>
      <c r="CN402" s="53">
        <v>6.8</v>
      </c>
      <c r="CO402" s="54">
        <v>0</v>
      </c>
      <c r="CP402" s="54">
        <v>6.3</v>
      </c>
      <c r="CQ402" s="4">
        <v>5.5</v>
      </c>
    </row>
    <row r="403" spans="1:95" s="55" customFormat="1" x14ac:dyDescent="0.35">
      <c r="A403" s="55">
        <v>402</v>
      </c>
      <c r="B403" s="55" t="s">
        <v>112</v>
      </c>
      <c r="C403" s="27" t="s">
        <v>851</v>
      </c>
      <c r="D403" s="50" t="s">
        <v>88</v>
      </c>
      <c r="E403" s="33" t="s">
        <v>89</v>
      </c>
      <c r="F403" s="4">
        <f>IFERROR(AVERAGEIF(Table1[[#This Row],[2019-Apr]:[2025-July]],"&lt;&gt;0"),0)</f>
        <v>4.2021904761904763</v>
      </c>
      <c r="G403" s="4">
        <f ca="1">IFERROR(AVERAGEIF(OFFSET(Table1[[#This Row],[Status]],0,COUNT(Table1[[#This Row],[2019-May]:[2025-July]]),1,-12),"&lt;&gt;0"),0)</f>
        <v>3.9233333333333338</v>
      </c>
      <c r="H403" s="55">
        <f>IFERROR(SMALL(Table1[[#This Row],[2019-Apr]:[2025-July]],COUNTIF(Table1[[#This Row],[2019-Apr]:[2025-July]],0)+1),0)</f>
        <v>2.718</v>
      </c>
      <c r="I403" s="55">
        <f>IFERROR(MAX(Table1[[#This Row],[2019-Apr]:[2025-July]]),0)</f>
        <v>8</v>
      </c>
      <c r="J403" s="4" cm="1">
        <f t="array" ref="J40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2.9704999999999999</v>
      </c>
      <c r="K403" s="4">
        <v>4.5</v>
      </c>
      <c r="L403" s="4">
        <f>IF(Table1[[#This Row],[Standard as per ISO]]&gt;=Table1[[#This Row],[Avg of best 6]],Table1[[#This Row],[Standard as per ISO]],Table1[[#This Row],[Avg of best 6]])</f>
        <v>4.5</v>
      </c>
      <c r="M403" s="4" cm="1">
        <f t="array" ref="M403">IFERROR(LOOKUP(2,1/(Table1[[#This Row],[2019-May]:[2025-July]]&lt;&gt;0),Table1[[#This Row],[2019-May]:[2025-July]]),0)</f>
        <v>3.4</v>
      </c>
      <c r="N403" s="4">
        <f>COUNTIF(Table1[[#This Row],[2019-Apr]:[2025-July]],"&gt;="&amp;Table1[[#This Row],[Target]])</f>
        <v>7</v>
      </c>
      <c r="O403" s="4">
        <f>IF(Table1[[#This Row],[Outliers 2Y]]=0,1,0)</f>
        <v>0</v>
      </c>
      <c r="P403" s="4">
        <f>IF(Table1[[#This Row],[Last value]]&gt;1.5*Table1[[#This Row],[Target]],1,0)</f>
        <v>0</v>
      </c>
      <c r="Q403" s="4">
        <f>IF(AND(1.5*Table1[[#This Row],[Target]]&gt;=Table1[[#This Row],[Last value]],Table1[[#This Row],[Last value]]&gt;Table1[[#This Row],[Target]]),1,0)</f>
        <v>0</v>
      </c>
      <c r="R403" s="4">
        <f>IF(Table1[[#This Row],[Target]]&gt;=Table1[[#This Row],[Last value]],1,0)</f>
        <v>1</v>
      </c>
      <c r="S403" s="4" t="str">
        <f t="shared" si="8"/>
        <v>Green</v>
      </c>
      <c r="T403" s="55">
        <v>0</v>
      </c>
      <c r="U403" s="55">
        <v>0</v>
      </c>
      <c r="V403" s="55">
        <v>0</v>
      </c>
      <c r="W403" s="55">
        <v>0</v>
      </c>
      <c r="X403" s="55">
        <v>0</v>
      </c>
      <c r="Y403" s="55">
        <v>0</v>
      </c>
      <c r="Z403" s="55">
        <v>0</v>
      </c>
      <c r="AA403" s="55">
        <v>0</v>
      </c>
      <c r="AB403" s="55">
        <v>0</v>
      </c>
      <c r="AC403" s="55">
        <v>0</v>
      </c>
      <c r="AD403" s="55">
        <v>0</v>
      </c>
      <c r="AE403" s="55">
        <v>7</v>
      </c>
      <c r="AF403" s="55">
        <v>0</v>
      </c>
      <c r="AG403" s="55">
        <v>0</v>
      </c>
      <c r="AH403" s="55">
        <v>3.03</v>
      </c>
      <c r="AI403" s="55">
        <v>0</v>
      </c>
      <c r="AJ403" s="55">
        <v>0</v>
      </c>
      <c r="AK403" s="55">
        <v>0</v>
      </c>
      <c r="AL403" s="55">
        <v>0</v>
      </c>
      <c r="AM403" s="55">
        <v>0</v>
      </c>
      <c r="AN403" s="55">
        <v>0</v>
      </c>
      <c r="AO403" s="55">
        <v>0</v>
      </c>
      <c r="AP403" s="55">
        <v>0</v>
      </c>
      <c r="AQ403" s="55">
        <v>0</v>
      </c>
      <c r="AR403" s="8">
        <v>0</v>
      </c>
      <c r="AS403" s="8">
        <v>0</v>
      </c>
      <c r="AT403" s="8">
        <v>0</v>
      </c>
      <c r="AU403" s="50">
        <v>0</v>
      </c>
      <c r="AV403" s="50">
        <v>3.85</v>
      </c>
      <c r="AW403" s="50">
        <v>3.43</v>
      </c>
      <c r="AX403" s="50">
        <v>3.57</v>
      </c>
      <c r="AY403" s="50">
        <v>4.7</v>
      </c>
      <c r="AZ403" s="50">
        <v>8</v>
      </c>
      <c r="BA403" s="50">
        <v>4.8</v>
      </c>
      <c r="BB403" s="50">
        <v>5.8</v>
      </c>
      <c r="BC403" s="55">
        <v>4.8</v>
      </c>
      <c r="BD403" s="55">
        <v>0</v>
      </c>
      <c r="BE403" s="11">
        <v>5.2480000000000002</v>
      </c>
      <c r="BF403" s="4">
        <v>0</v>
      </c>
      <c r="BG403" s="4">
        <v>0</v>
      </c>
      <c r="BH403" s="4">
        <v>3.0720000000000001</v>
      </c>
      <c r="BI403" s="4">
        <v>0</v>
      </c>
      <c r="BJ403" s="14">
        <v>0</v>
      </c>
      <c r="BK403" s="14">
        <v>0</v>
      </c>
      <c r="BL403" s="4">
        <v>2.742</v>
      </c>
      <c r="BM403" s="17">
        <v>0</v>
      </c>
      <c r="BN403" s="4">
        <v>0</v>
      </c>
      <c r="BO403" s="4">
        <v>3.9350000000000001</v>
      </c>
      <c r="BP403" s="4">
        <v>3.07</v>
      </c>
      <c r="BQ403" s="4">
        <v>3.52</v>
      </c>
      <c r="BR403" s="4">
        <v>0</v>
      </c>
      <c r="BS403" s="4"/>
      <c r="BT403" s="4">
        <v>0</v>
      </c>
      <c r="BU403" s="4">
        <v>0</v>
      </c>
      <c r="BV403" s="4">
        <v>0</v>
      </c>
      <c r="BW403" s="4">
        <v>3.1909999999999998</v>
      </c>
      <c r="BX403" s="4">
        <v>2.718</v>
      </c>
      <c r="BY403" s="4">
        <v>0</v>
      </c>
      <c r="BZ403" s="55">
        <v>0</v>
      </c>
      <c r="CA403" s="55">
        <v>0</v>
      </c>
      <c r="CB403" s="55">
        <v>0</v>
      </c>
      <c r="CC403" s="55">
        <v>0</v>
      </c>
      <c r="CD403" s="55">
        <v>0</v>
      </c>
      <c r="CE403" s="20">
        <v>0</v>
      </c>
      <c r="CF403" s="20">
        <v>0</v>
      </c>
      <c r="CG403" s="4">
        <v>0</v>
      </c>
      <c r="CH403" s="4">
        <v>0</v>
      </c>
      <c r="CI403" s="4">
        <v>4.07</v>
      </c>
      <c r="CJ403" s="34">
        <v>0</v>
      </c>
      <c r="CK403" s="34">
        <v>4.3</v>
      </c>
      <c r="CL403" s="43">
        <v>0</v>
      </c>
      <c r="CM403" s="4">
        <v>3.4</v>
      </c>
      <c r="CN403" s="53">
        <v>0</v>
      </c>
      <c r="CO403" s="54">
        <v>0</v>
      </c>
      <c r="CP403" s="54">
        <v>0</v>
      </c>
      <c r="CQ403" s="4">
        <v>0</v>
      </c>
    </row>
    <row r="404" spans="1:95" s="55" customFormat="1" x14ac:dyDescent="0.35">
      <c r="A404" s="55">
        <v>403</v>
      </c>
      <c r="B404" s="55" t="s">
        <v>112</v>
      </c>
      <c r="C404" s="27" t="s">
        <v>852</v>
      </c>
      <c r="D404" s="50" t="s">
        <v>93</v>
      </c>
      <c r="E404" s="33" t="s">
        <v>91</v>
      </c>
      <c r="F404" s="4">
        <f>IFERROR(AVERAGEIF(Table1[[#This Row],[2019-Apr]:[2025-July]],"&lt;&gt;0"),0)</f>
        <v>6.2363833333333343</v>
      </c>
      <c r="G404" s="4">
        <f ca="1">IFERROR(AVERAGEIF(OFFSET(Table1[[#This Row],[Status]],0,COUNT(Table1[[#This Row],[2019-May]:[2025-July]]),1,-12),"&lt;&gt;0"),0)</f>
        <v>6.1160000000000005</v>
      </c>
      <c r="H404" s="55">
        <f>IFERROR(SMALL(Table1[[#This Row],[2019-Apr]:[2025-July]],COUNTIF(Table1[[#This Row],[2019-Apr]:[2025-July]],0)+1),0)</f>
        <v>1.99</v>
      </c>
      <c r="I404" s="55">
        <f>IFERROR(MAX(Table1[[#This Row],[2019-Apr]:[2025-July]]),0)</f>
        <v>16</v>
      </c>
      <c r="J404" s="4" cm="1">
        <f t="array" ref="J40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2.7251666666666665</v>
      </c>
      <c r="K404" s="4">
        <v>4.5</v>
      </c>
      <c r="L404" s="4">
        <f>IF(Table1[[#This Row],[Standard as per ISO]]&gt;=Table1[[#This Row],[Avg of best 6]],Table1[[#This Row],[Standard as per ISO]],Table1[[#This Row],[Avg of best 6]])</f>
        <v>4.5</v>
      </c>
      <c r="M404" s="4" cm="1">
        <f t="array" ref="M404">IFERROR(LOOKUP(2,1/(Table1[[#This Row],[2019-May]:[2025-July]]&lt;&gt;0),Table1[[#This Row],[2019-May]:[2025-July]]),0)</f>
        <v>2.2999999999999998</v>
      </c>
      <c r="N404" s="4">
        <f>COUNTIF(Table1[[#This Row],[2019-Apr]:[2025-July]],"&gt;="&amp;Table1[[#This Row],[Target]])</f>
        <v>47</v>
      </c>
      <c r="O404" s="4">
        <f>IF(Table1[[#This Row],[Outliers 2Y]]=0,1,0)</f>
        <v>0</v>
      </c>
      <c r="P404" s="4">
        <f>IF(Table1[[#This Row],[Last value]]&gt;1.5*Table1[[#This Row],[Target]],1,0)</f>
        <v>0</v>
      </c>
      <c r="Q404" s="4">
        <f>IF(AND(1.5*Table1[[#This Row],[Target]]&gt;=Table1[[#This Row],[Last value]],Table1[[#This Row],[Last value]]&gt;Table1[[#This Row],[Target]]),1,0)</f>
        <v>0</v>
      </c>
      <c r="R404" s="4">
        <f>IF(Table1[[#This Row],[Target]]&gt;=Table1[[#This Row],[Last value]],1,0)</f>
        <v>1</v>
      </c>
      <c r="S404" s="4" t="str">
        <f t="shared" si="8"/>
        <v>Green</v>
      </c>
      <c r="T404" s="55">
        <v>0</v>
      </c>
      <c r="U404" s="55">
        <v>0</v>
      </c>
      <c r="V404" s="55">
        <v>4.9400000000000004</v>
      </c>
      <c r="W404" s="55">
        <v>5.77</v>
      </c>
      <c r="X404" s="55">
        <v>6.02</v>
      </c>
      <c r="Y404" s="55">
        <v>7.07</v>
      </c>
      <c r="Z404" s="55">
        <v>6.44</v>
      </c>
      <c r="AA404" s="55">
        <v>5.55</v>
      </c>
      <c r="AB404" s="55">
        <v>5.48</v>
      </c>
      <c r="AC404" s="55">
        <v>4.1399999999999997</v>
      </c>
      <c r="AD404" s="55">
        <v>7.2</v>
      </c>
      <c r="AE404" s="55">
        <v>5.3</v>
      </c>
      <c r="AF404" s="55">
        <v>9.6999999999999993</v>
      </c>
      <c r="AG404" s="55">
        <v>6.84</v>
      </c>
      <c r="AH404" s="55">
        <v>7.15</v>
      </c>
      <c r="AI404" s="55">
        <v>6.31</v>
      </c>
      <c r="AJ404" s="55">
        <v>8.5399999999999991</v>
      </c>
      <c r="AK404" s="55">
        <v>0</v>
      </c>
      <c r="AL404" s="55">
        <v>9.44</v>
      </c>
      <c r="AM404" s="55">
        <v>7.42</v>
      </c>
      <c r="AN404" s="55">
        <v>16</v>
      </c>
      <c r="AO404" s="55">
        <v>5.73</v>
      </c>
      <c r="AP404" s="55">
        <v>5</v>
      </c>
      <c r="AQ404" s="55">
        <v>5.83</v>
      </c>
      <c r="AR404" s="8">
        <v>0</v>
      </c>
      <c r="AS404" s="8">
        <v>5.86</v>
      </c>
      <c r="AT404" s="8">
        <v>6.44</v>
      </c>
      <c r="AU404" s="50">
        <v>8.6999999999999993</v>
      </c>
      <c r="AV404" s="50">
        <v>6.3</v>
      </c>
      <c r="AW404" s="50">
        <v>6.47</v>
      </c>
      <c r="AX404" s="50">
        <v>7.34</v>
      </c>
      <c r="AY404" s="50">
        <v>2.9</v>
      </c>
      <c r="AZ404" s="50">
        <v>6.44</v>
      </c>
      <c r="BA404" s="50">
        <v>4.8</v>
      </c>
      <c r="BB404" s="50">
        <v>5.0999999999999996</v>
      </c>
      <c r="BC404" s="55">
        <v>5.5</v>
      </c>
      <c r="BD404" s="55">
        <v>3.2</v>
      </c>
      <c r="BE404" s="11">
        <v>6.3550000000000004</v>
      </c>
      <c r="BF404" s="4">
        <v>0</v>
      </c>
      <c r="BG404" s="4">
        <v>0</v>
      </c>
      <c r="BH404" s="4">
        <v>6.3179999999999996</v>
      </c>
      <c r="BI404" s="4">
        <v>6.6870000000000003</v>
      </c>
      <c r="BJ404" s="14">
        <v>7.5039999999999996</v>
      </c>
      <c r="BK404" s="14">
        <v>12.11</v>
      </c>
      <c r="BL404" s="4">
        <v>8.1739999999999995</v>
      </c>
      <c r="BM404" s="17">
        <v>7.6550000000000002</v>
      </c>
      <c r="BN404" s="4">
        <v>11.35</v>
      </c>
      <c r="BO404" s="4">
        <v>3.621</v>
      </c>
      <c r="BP404" s="4">
        <v>0</v>
      </c>
      <c r="BQ404" s="4">
        <v>3.887</v>
      </c>
      <c r="BR404" s="4">
        <v>3.1019999999999999</v>
      </c>
      <c r="BS404" s="4">
        <v>3.1389999999999998</v>
      </c>
      <c r="BT404" s="4">
        <v>5.7270000000000003</v>
      </c>
      <c r="BU404" s="4">
        <v>0</v>
      </c>
      <c r="BV404" s="4">
        <v>4.5359999999999996</v>
      </c>
      <c r="BW404" s="4">
        <v>4.923</v>
      </c>
      <c r="BX404" s="4">
        <v>5.7949999999999999</v>
      </c>
      <c r="BY404" s="4">
        <v>2.92</v>
      </c>
      <c r="BZ404" s="55">
        <v>1.99</v>
      </c>
      <c r="CA404" s="55">
        <v>3.86</v>
      </c>
      <c r="CB404" s="55">
        <v>4.0999999999999996</v>
      </c>
      <c r="CC404" s="55">
        <v>3.94</v>
      </c>
      <c r="CD404" s="55">
        <v>10.99</v>
      </c>
      <c r="CE404" s="19">
        <v>5.8</v>
      </c>
      <c r="CF404" s="19">
        <v>5.5</v>
      </c>
      <c r="CG404" s="4">
        <v>0</v>
      </c>
      <c r="CH404" s="4">
        <v>10.55</v>
      </c>
      <c r="CI404" s="4">
        <v>6.43</v>
      </c>
      <c r="CJ404" s="34">
        <v>2.2999999999999998</v>
      </c>
      <c r="CK404" s="34">
        <v>0</v>
      </c>
      <c r="CL404" s="34">
        <v>0</v>
      </c>
      <c r="CM404" s="4">
        <v>0</v>
      </c>
      <c r="CN404" s="53">
        <v>0</v>
      </c>
      <c r="CO404" s="54">
        <v>0</v>
      </c>
      <c r="CP404" s="54">
        <v>0</v>
      </c>
      <c r="CQ404" s="4">
        <v>0</v>
      </c>
    </row>
    <row r="405" spans="1:95" s="55" customFormat="1" x14ac:dyDescent="0.35">
      <c r="A405" s="55">
        <v>404</v>
      </c>
      <c r="B405" s="55" t="s">
        <v>112</v>
      </c>
      <c r="C405" s="27" t="s">
        <v>853</v>
      </c>
      <c r="D405" s="50" t="s">
        <v>93</v>
      </c>
      <c r="E405" s="33" t="s">
        <v>91</v>
      </c>
      <c r="F405" s="4">
        <f>IFERROR(AVERAGEIF(Table1[[#This Row],[2019-Apr]:[2025-July]],"&lt;&gt;0"),0)</f>
        <v>5.1359444444444442</v>
      </c>
      <c r="G405" s="4">
        <f ca="1">IFERROR(AVERAGEIF(OFFSET(Table1[[#This Row],[Status]],0,COUNT(Table1[[#This Row],[2019-May]:[2025-July]]),1,-12),"&lt;&gt;0"),0)</f>
        <v>5.2619999999999996</v>
      </c>
      <c r="H405" s="55">
        <f>IFERROR(SMALL(Table1[[#This Row],[2019-Apr]:[2025-July]],COUNTIF(Table1[[#This Row],[2019-Apr]:[2025-July]],0)+1),0)</f>
        <v>2.4500000000000002</v>
      </c>
      <c r="I405" s="55">
        <f>IFERROR(MAX(Table1[[#This Row],[2019-Apr]:[2025-July]]),0)</f>
        <v>12.95</v>
      </c>
      <c r="J405" s="4" cm="1">
        <f t="array" ref="J40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2.9483333333333337</v>
      </c>
      <c r="K405" s="4">
        <v>4.5</v>
      </c>
      <c r="L405" s="4">
        <f>IF(Table1[[#This Row],[Standard as per ISO]]&gt;=Table1[[#This Row],[Avg of best 6]],Table1[[#This Row],[Standard as per ISO]],Table1[[#This Row],[Avg of best 6]])</f>
        <v>4.5</v>
      </c>
      <c r="M405" s="4" cm="1">
        <f t="array" ref="M405">IFERROR(LOOKUP(2,1/(Table1[[#This Row],[2019-May]:[2025-July]]&lt;&gt;0),Table1[[#This Row],[2019-May]:[2025-July]]),0)</f>
        <v>2.8</v>
      </c>
      <c r="N405" s="4">
        <f>COUNTIF(Table1[[#This Row],[2019-Apr]:[2025-July]],"&gt;="&amp;Table1[[#This Row],[Target]])</f>
        <v>35</v>
      </c>
      <c r="O405" s="4">
        <f>IF(Table1[[#This Row],[Outliers 2Y]]=0,1,0)</f>
        <v>0</v>
      </c>
      <c r="P405" s="4">
        <f>IF(Table1[[#This Row],[Last value]]&gt;1.5*Table1[[#This Row],[Target]],1,0)</f>
        <v>0</v>
      </c>
      <c r="Q405" s="4">
        <f>IF(AND(1.5*Table1[[#This Row],[Target]]&gt;=Table1[[#This Row],[Last value]],Table1[[#This Row],[Last value]]&gt;Table1[[#This Row],[Target]]),1,0)</f>
        <v>0</v>
      </c>
      <c r="R405" s="4">
        <f>IF(Table1[[#This Row],[Target]]&gt;=Table1[[#This Row],[Last value]],1,0)</f>
        <v>1</v>
      </c>
      <c r="S405" s="4" t="str">
        <f t="shared" si="8"/>
        <v>Green</v>
      </c>
      <c r="T405" s="55">
        <v>0</v>
      </c>
      <c r="U405" s="55">
        <v>0</v>
      </c>
      <c r="V405" s="55">
        <v>0</v>
      </c>
      <c r="W405" s="55">
        <v>0</v>
      </c>
      <c r="X405" s="55">
        <v>0</v>
      </c>
      <c r="Y405" s="55">
        <v>2.83</v>
      </c>
      <c r="Z405" s="55">
        <v>3.22</v>
      </c>
      <c r="AA405" s="55">
        <v>3.24</v>
      </c>
      <c r="AB405" s="55">
        <v>3.82</v>
      </c>
      <c r="AC405" s="55">
        <v>3.15</v>
      </c>
      <c r="AD405" s="55">
        <v>3.71</v>
      </c>
      <c r="AE405" s="55">
        <v>3.8</v>
      </c>
      <c r="AF405" s="55">
        <v>4.0999999999999996</v>
      </c>
      <c r="AG405" s="55">
        <v>3.5</v>
      </c>
      <c r="AH405" s="55">
        <v>4.7</v>
      </c>
      <c r="AI405" s="55">
        <v>4.9000000000000004</v>
      </c>
      <c r="AJ405" s="55">
        <v>4.91</v>
      </c>
      <c r="AK405" s="55">
        <v>3.5</v>
      </c>
      <c r="AL405" s="55">
        <v>8.0299999999999994</v>
      </c>
      <c r="AM405" s="55">
        <v>0</v>
      </c>
      <c r="AN405" s="55">
        <v>5.46</v>
      </c>
      <c r="AO405" s="55">
        <v>4.5599999999999996</v>
      </c>
      <c r="AP405" s="55">
        <v>4.3099999999999996</v>
      </c>
      <c r="AQ405" s="55">
        <v>4.5199999999999996</v>
      </c>
      <c r="AR405" s="8">
        <v>0</v>
      </c>
      <c r="AS405" s="8">
        <v>5.7</v>
      </c>
      <c r="AT405" s="8">
        <v>0</v>
      </c>
      <c r="AU405" s="50">
        <v>5.81</v>
      </c>
      <c r="AV405" s="50">
        <v>5.09</v>
      </c>
      <c r="AW405" s="50">
        <v>5.48</v>
      </c>
      <c r="AX405" s="50">
        <v>4.13</v>
      </c>
      <c r="AY405" s="50">
        <v>5.74</v>
      </c>
      <c r="AZ405" s="50">
        <v>5.14</v>
      </c>
      <c r="BA405" s="50">
        <v>4.5999999999999996</v>
      </c>
      <c r="BB405" s="50">
        <v>4.9000000000000004</v>
      </c>
      <c r="BC405" s="55">
        <v>4.7</v>
      </c>
      <c r="BD405" s="55">
        <v>0</v>
      </c>
      <c r="BE405" s="11">
        <v>0</v>
      </c>
      <c r="BF405" s="4">
        <v>0</v>
      </c>
      <c r="BG405" s="4">
        <v>0</v>
      </c>
      <c r="BH405" s="4">
        <v>5.2539999999999996</v>
      </c>
      <c r="BI405" s="4">
        <v>11.08</v>
      </c>
      <c r="BJ405" s="13">
        <v>6.8029999999999999</v>
      </c>
      <c r="BK405" s="13">
        <v>6.6719999999999997</v>
      </c>
      <c r="BL405" s="4">
        <v>6.5810000000000004</v>
      </c>
      <c r="BM405" s="16">
        <v>6.0650000000000004</v>
      </c>
      <c r="BN405" s="4">
        <v>5.7</v>
      </c>
      <c r="BO405" s="4">
        <v>6.0049999999999999</v>
      </c>
      <c r="BP405" s="4">
        <v>6.6550000000000002</v>
      </c>
      <c r="BQ405" s="4">
        <v>5.843</v>
      </c>
      <c r="BR405" s="4">
        <v>3.6280000000000001</v>
      </c>
      <c r="BS405" s="4">
        <v>12.95</v>
      </c>
      <c r="BT405" s="4">
        <v>0</v>
      </c>
      <c r="BU405" s="4">
        <v>0</v>
      </c>
      <c r="BV405" s="4">
        <v>4.5979999999999999</v>
      </c>
      <c r="BW405" s="4">
        <v>4.5759999999999996</v>
      </c>
      <c r="BX405" s="4">
        <v>4.2690000000000001</v>
      </c>
      <c r="BY405" s="4">
        <v>6.1619999999999999</v>
      </c>
      <c r="BZ405" s="55">
        <v>4.78</v>
      </c>
      <c r="CA405" s="55">
        <v>4.9800000000000004</v>
      </c>
      <c r="CB405" s="55">
        <v>3.86</v>
      </c>
      <c r="CC405" s="55">
        <v>2.4500000000000002</v>
      </c>
      <c r="CD405" s="55">
        <v>4.57</v>
      </c>
      <c r="CE405" s="19">
        <v>0</v>
      </c>
      <c r="CF405" s="19">
        <v>3.4</v>
      </c>
      <c r="CG405" s="4">
        <v>8.26</v>
      </c>
      <c r="CH405" s="4">
        <v>8.24</v>
      </c>
      <c r="CI405" s="4">
        <v>3.61</v>
      </c>
      <c r="CJ405" s="34">
        <v>2.8</v>
      </c>
      <c r="CK405" s="34">
        <v>0</v>
      </c>
      <c r="CL405" s="34">
        <v>0</v>
      </c>
      <c r="CM405" s="4">
        <v>0</v>
      </c>
      <c r="CN405" s="53">
        <v>0</v>
      </c>
      <c r="CO405" s="54">
        <v>0</v>
      </c>
      <c r="CP405" s="54">
        <v>0</v>
      </c>
      <c r="CQ405" s="4">
        <v>0</v>
      </c>
    </row>
    <row r="406" spans="1:95" s="55" customFormat="1" x14ac:dyDescent="0.35">
      <c r="A406" s="55">
        <v>405</v>
      </c>
      <c r="B406" s="55" t="s">
        <v>112</v>
      </c>
      <c r="C406" s="27" t="s">
        <v>854</v>
      </c>
      <c r="D406" s="50" t="s">
        <v>93</v>
      </c>
      <c r="E406" s="33" t="s">
        <v>91</v>
      </c>
      <c r="F406" s="4">
        <f>IFERROR(AVERAGEIF(Table1[[#This Row],[2019-Apr]:[2025-July]],"&lt;&gt;0"),0)</f>
        <v>3.8308125000000008</v>
      </c>
      <c r="G406" s="4">
        <f ca="1">IFERROR(AVERAGEIF(OFFSET(Table1[[#This Row],[Status]],0,COUNT(Table1[[#This Row],[2019-May]:[2025-July]]),1,-12),"&lt;&gt;0"),0)</f>
        <v>3.6280000000000001</v>
      </c>
      <c r="H406" s="55">
        <f>IFERROR(SMALL(Table1[[#This Row],[2019-Apr]:[2025-July]],COUNTIF(Table1[[#This Row],[2019-Apr]:[2025-July]],0)+1),0)</f>
        <v>2.27</v>
      </c>
      <c r="I406" s="55">
        <f>IFERROR(MAX(Table1[[#This Row],[2019-Apr]:[2025-July]]),0)</f>
        <v>9.81</v>
      </c>
      <c r="J406" s="4" cm="1">
        <f t="array" ref="J40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2.3383333333333334</v>
      </c>
      <c r="K406" s="4">
        <v>4.5</v>
      </c>
      <c r="L406" s="4">
        <f>IF(Table1[[#This Row],[Standard as per ISO]]&gt;=Table1[[#This Row],[Avg of best 6]],Table1[[#This Row],[Standard as per ISO]],Table1[[#This Row],[Avg of best 6]])</f>
        <v>4.5</v>
      </c>
      <c r="M406" s="4" cm="1">
        <f t="array" ref="M406">IFERROR(LOOKUP(2,1/(Table1[[#This Row],[2019-May]:[2025-July]]&lt;&gt;0),Table1[[#This Row],[2019-May]:[2025-July]]),0)</f>
        <v>3.9</v>
      </c>
      <c r="N406" s="4">
        <f>COUNTIF(Table1[[#This Row],[2019-Apr]:[2025-July]],"&gt;="&amp;Table1[[#This Row],[Target]])</f>
        <v>7</v>
      </c>
      <c r="O406" s="4">
        <f>IF(Table1[[#This Row],[Outliers 2Y]]=0,1,0)</f>
        <v>0</v>
      </c>
      <c r="P406" s="4">
        <f>IF(Table1[[#This Row],[Last value]]&gt;1.5*Table1[[#This Row],[Target]],1,0)</f>
        <v>0</v>
      </c>
      <c r="Q406" s="4">
        <f>IF(AND(1.5*Table1[[#This Row],[Target]]&gt;=Table1[[#This Row],[Last value]],Table1[[#This Row],[Last value]]&gt;Table1[[#This Row],[Target]]),1,0)</f>
        <v>0</v>
      </c>
      <c r="R406" s="4">
        <f>IF(Table1[[#This Row],[Target]]&gt;=Table1[[#This Row],[Last value]],1,0)</f>
        <v>1</v>
      </c>
      <c r="S406" s="4" t="str">
        <f t="shared" si="8"/>
        <v>Green</v>
      </c>
      <c r="T406" s="55">
        <v>0</v>
      </c>
      <c r="U406" s="55">
        <v>0</v>
      </c>
      <c r="V406" s="55">
        <v>0</v>
      </c>
      <c r="W406" s="55">
        <v>0</v>
      </c>
      <c r="X406" s="55">
        <v>0</v>
      </c>
      <c r="Y406" s="55">
        <v>3.96</v>
      </c>
      <c r="Z406" s="55">
        <v>3.04</v>
      </c>
      <c r="AA406" s="55">
        <v>2.86</v>
      </c>
      <c r="AB406" s="55">
        <v>2.27</v>
      </c>
      <c r="AC406" s="55">
        <v>2.38</v>
      </c>
      <c r="AD406" s="55">
        <v>0</v>
      </c>
      <c r="AE406" s="55">
        <v>2.31</v>
      </c>
      <c r="AF406" s="55">
        <v>2.5</v>
      </c>
      <c r="AG406" s="55">
        <v>2.6</v>
      </c>
      <c r="AH406" s="55">
        <v>0</v>
      </c>
      <c r="AI406" s="55">
        <v>2.44</v>
      </c>
      <c r="AJ406" s="55">
        <v>2.33</v>
      </c>
      <c r="AK406" s="55">
        <v>0</v>
      </c>
      <c r="AL406" s="55">
        <v>2.72</v>
      </c>
      <c r="AM406" s="55">
        <v>2.93</v>
      </c>
      <c r="AN406" s="55">
        <v>5.28</v>
      </c>
      <c r="AO406" s="55">
        <v>7.02</v>
      </c>
      <c r="AP406" s="55">
        <v>3.05</v>
      </c>
      <c r="AQ406" s="55">
        <v>3.69</v>
      </c>
      <c r="AR406" s="8">
        <v>0</v>
      </c>
      <c r="AS406" s="8">
        <v>4.96</v>
      </c>
      <c r="AT406" s="8">
        <v>0</v>
      </c>
      <c r="AU406" s="50">
        <v>4.26</v>
      </c>
      <c r="AV406" s="50">
        <v>3.87</v>
      </c>
      <c r="AW406" s="50">
        <v>3.74</v>
      </c>
      <c r="AX406" s="50">
        <v>3.68</v>
      </c>
      <c r="AY406" s="50">
        <v>3.6</v>
      </c>
      <c r="AZ406" s="50">
        <v>3.89</v>
      </c>
      <c r="BA406" s="50">
        <v>3</v>
      </c>
      <c r="BB406" s="50">
        <v>2.2999999999999998</v>
      </c>
      <c r="BC406" s="50">
        <v>0</v>
      </c>
      <c r="BD406" s="55">
        <v>0</v>
      </c>
      <c r="BE406" s="11">
        <v>3.194</v>
      </c>
      <c r="BF406" s="4">
        <v>0</v>
      </c>
      <c r="BG406" s="4">
        <v>0</v>
      </c>
      <c r="BH406" s="4">
        <v>3.194</v>
      </c>
      <c r="BI406" s="4">
        <v>3.569</v>
      </c>
      <c r="BJ406" s="14">
        <v>3.2240000000000002</v>
      </c>
      <c r="BK406" s="14">
        <v>4.1459999999999999</v>
      </c>
      <c r="BL406" s="4">
        <v>4.1740000000000004</v>
      </c>
      <c r="BM406" s="17">
        <v>4.056</v>
      </c>
      <c r="BN406" s="4">
        <v>4.3520000000000003</v>
      </c>
      <c r="BO406" s="4">
        <v>4.452</v>
      </c>
      <c r="BP406" s="4">
        <v>4.4950000000000001</v>
      </c>
      <c r="BQ406" s="4">
        <v>4.46</v>
      </c>
      <c r="BR406" s="4">
        <v>0</v>
      </c>
      <c r="BS406" s="4">
        <v>0</v>
      </c>
      <c r="BT406" s="4">
        <v>0</v>
      </c>
      <c r="BU406" s="4">
        <v>0</v>
      </c>
      <c r="BV406" s="4">
        <v>6.4379999999999997</v>
      </c>
      <c r="BW406" s="4">
        <v>6.5</v>
      </c>
      <c r="BX406" s="4">
        <v>5.9249999999999998</v>
      </c>
      <c r="BY406" s="4">
        <v>0</v>
      </c>
      <c r="BZ406" s="55">
        <v>0</v>
      </c>
      <c r="CA406" s="55">
        <v>9.81</v>
      </c>
      <c r="CB406" s="55">
        <v>2.96</v>
      </c>
      <c r="CC406" s="55">
        <v>2.65</v>
      </c>
      <c r="CD406" s="55">
        <v>3.46</v>
      </c>
      <c r="CE406" s="19">
        <v>0</v>
      </c>
      <c r="CF406" s="19">
        <v>3.1</v>
      </c>
      <c r="CG406" s="4">
        <v>3.3</v>
      </c>
      <c r="CH406" s="4">
        <v>3.72</v>
      </c>
      <c r="CI406" s="4">
        <v>4.12</v>
      </c>
      <c r="CJ406" s="34">
        <v>3.9</v>
      </c>
      <c r="CK406" s="34">
        <v>0</v>
      </c>
      <c r="CL406" s="34">
        <v>0</v>
      </c>
      <c r="CM406" s="4">
        <v>0</v>
      </c>
      <c r="CN406" s="53">
        <v>0</v>
      </c>
      <c r="CO406" s="54">
        <v>0</v>
      </c>
      <c r="CP406" s="54">
        <v>0</v>
      </c>
      <c r="CQ406" s="4">
        <v>0</v>
      </c>
    </row>
    <row r="407" spans="1:95" s="55" customFormat="1" x14ac:dyDescent="0.35">
      <c r="A407" s="55">
        <v>406</v>
      </c>
      <c r="B407" s="55" t="s">
        <v>112</v>
      </c>
      <c r="C407" s="27" t="s">
        <v>855</v>
      </c>
      <c r="D407" s="50" t="s">
        <v>93</v>
      </c>
      <c r="E407" s="33" t="s">
        <v>91</v>
      </c>
      <c r="F407" s="4">
        <f>IFERROR(AVERAGEIF(Table1[[#This Row],[2019-Apr]:[2025-July]],"&lt;&gt;0"),0)</f>
        <v>8.3550624999999972</v>
      </c>
      <c r="G407" s="4">
        <f ca="1">IFERROR(AVERAGEIF(OFFSET(Table1[[#This Row],[Status]],0,COUNT(Table1[[#This Row],[2019-May]:[2025-July]]),1,-12),"&lt;&gt;0"),0)</f>
        <v>4.9000000000000004</v>
      </c>
      <c r="H407" s="55">
        <f>IFERROR(SMALL(Table1[[#This Row],[2019-Apr]:[2025-July]],COUNTIF(Table1[[#This Row],[2019-Apr]:[2025-July]],0)+1),0)</f>
        <v>2.9929999999999999</v>
      </c>
      <c r="I407" s="55">
        <f>IFERROR(MAX(Table1[[#This Row],[2019-Apr]:[2025-July]]),0)</f>
        <v>14.5</v>
      </c>
      <c r="J407" s="4" cm="1">
        <f t="array" ref="J40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4.6855000000000002</v>
      </c>
      <c r="K407" s="4">
        <v>4.5</v>
      </c>
      <c r="L407" s="4">
        <f>IF(Table1[[#This Row],[Standard as per ISO]]&gt;=Table1[[#This Row],[Avg of best 6]],Table1[[#This Row],[Standard as per ISO]],Table1[[#This Row],[Avg of best 6]])</f>
        <v>4.6855000000000002</v>
      </c>
      <c r="M407" s="4" cm="1">
        <f t="array" ref="M407">IFERROR(LOOKUP(2,1/(Table1[[#This Row],[2019-May]:[2025-July]]&lt;&gt;0),Table1[[#This Row],[2019-May]:[2025-July]]),0)</f>
        <v>5.4</v>
      </c>
      <c r="N407" s="4">
        <f>COUNTIF(Table1[[#This Row],[2019-Apr]:[2025-July]],"&gt;="&amp;Table1[[#This Row],[Target]])</f>
        <v>29</v>
      </c>
      <c r="O407" s="4">
        <f>IF(Table1[[#This Row],[Outliers 2Y]]=0,1,0)</f>
        <v>0</v>
      </c>
      <c r="P407" s="4">
        <f>IF(Table1[[#This Row],[Last value]]&gt;1.5*Table1[[#This Row],[Target]],1,0)</f>
        <v>0</v>
      </c>
      <c r="Q407" s="4">
        <f>IF(AND(1.5*Table1[[#This Row],[Target]]&gt;=Table1[[#This Row],[Last value]],Table1[[#This Row],[Last value]]&gt;Table1[[#This Row],[Target]]),1,0)</f>
        <v>1</v>
      </c>
      <c r="R407" s="4">
        <f>IF(Table1[[#This Row],[Target]]&gt;=Table1[[#This Row],[Last value]],1,0)</f>
        <v>0</v>
      </c>
      <c r="S407" s="4" t="str">
        <f t="shared" si="8"/>
        <v>Yellow</v>
      </c>
      <c r="T407" s="55">
        <v>0</v>
      </c>
      <c r="U407" s="55">
        <v>0</v>
      </c>
      <c r="V407" s="55">
        <v>0</v>
      </c>
      <c r="W407" s="55">
        <v>9.9</v>
      </c>
      <c r="X407" s="55">
        <v>0</v>
      </c>
      <c r="Y407" s="55">
        <v>0</v>
      </c>
      <c r="Z407" s="55">
        <v>6</v>
      </c>
      <c r="AA407" s="55">
        <v>0</v>
      </c>
      <c r="AB407" s="55">
        <v>11.9</v>
      </c>
      <c r="AC407" s="55">
        <v>0</v>
      </c>
      <c r="AD407" s="55">
        <v>0</v>
      </c>
      <c r="AE407" s="55">
        <v>10.199999999999999</v>
      </c>
      <c r="AF407" s="55">
        <v>0</v>
      </c>
      <c r="AG407" s="55">
        <v>9.9</v>
      </c>
      <c r="AH407" s="55">
        <v>8.1</v>
      </c>
      <c r="AI407" s="55">
        <v>14.5</v>
      </c>
      <c r="AJ407" s="55">
        <v>14.1</v>
      </c>
      <c r="AK407" s="55">
        <v>0</v>
      </c>
      <c r="AL407" s="55">
        <v>8.7799999999999994</v>
      </c>
      <c r="AM407" s="55">
        <v>0</v>
      </c>
      <c r="AN407" s="55">
        <v>0</v>
      </c>
      <c r="AO407" s="55">
        <v>9.1999999999999993</v>
      </c>
      <c r="AP407" s="55">
        <v>6.46</v>
      </c>
      <c r="AQ407" s="55">
        <v>0</v>
      </c>
      <c r="AR407" s="8">
        <v>0</v>
      </c>
      <c r="AS407" s="8">
        <v>5.57</v>
      </c>
      <c r="AT407" s="8">
        <v>0</v>
      </c>
      <c r="AU407" s="50">
        <v>0</v>
      </c>
      <c r="AV407" s="50">
        <v>11.5</v>
      </c>
      <c r="AW407" s="50">
        <v>0</v>
      </c>
      <c r="AX407" s="50">
        <v>11.2</v>
      </c>
      <c r="AY407" s="50">
        <v>9.1</v>
      </c>
      <c r="AZ407" s="50">
        <v>8.5</v>
      </c>
      <c r="BA407" s="50">
        <v>0</v>
      </c>
      <c r="BB407" s="50">
        <v>8.1</v>
      </c>
      <c r="BC407" s="55">
        <v>7.5</v>
      </c>
      <c r="BD407" s="55">
        <v>0</v>
      </c>
      <c r="BE407" s="11">
        <v>7.1319999999999997</v>
      </c>
      <c r="BF407" s="4">
        <v>0</v>
      </c>
      <c r="BG407" s="4">
        <v>0</v>
      </c>
      <c r="BH407" s="4">
        <v>0</v>
      </c>
      <c r="BI407" s="4">
        <v>0</v>
      </c>
      <c r="BJ407" s="13">
        <v>6.6390000000000002</v>
      </c>
      <c r="BK407" s="13">
        <v>0</v>
      </c>
      <c r="BL407" s="4">
        <v>7.6760000000000002</v>
      </c>
      <c r="BM407" s="16">
        <v>0</v>
      </c>
      <c r="BN407" s="4">
        <v>6.8949999999999996</v>
      </c>
      <c r="BO407" s="4">
        <v>6.798</v>
      </c>
      <c r="BP407" s="4">
        <v>8.1120000000000001</v>
      </c>
      <c r="BQ407" s="4">
        <v>8.4359999999999999</v>
      </c>
      <c r="BR407" s="4">
        <v>0</v>
      </c>
      <c r="BS407" s="4">
        <v>8.8070000000000004</v>
      </c>
      <c r="BT407" s="4">
        <v>8.9939999999999998</v>
      </c>
      <c r="BU407" s="4">
        <v>0</v>
      </c>
      <c r="BV407" s="4">
        <v>10.82</v>
      </c>
      <c r="BW407" s="4">
        <v>2.9929999999999999</v>
      </c>
      <c r="BX407" s="4">
        <v>0</v>
      </c>
      <c r="BY407" s="4">
        <v>0</v>
      </c>
      <c r="BZ407" s="55">
        <v>3.75</v>
      </c>
      <c r="CA407" s="55">
        <v>0</v>
      </c>
      <c r="CB407" s="55">
        <v>0</v>
      </c>
      <c r="CC407" s="55">
        <v>0</v>
      </c>
      <c r="CD407" s="55">
        <v>0</v>
      </c>
      <c r="CE407" s="19">
        <v>4.4000000000000004</v>
      </c>
      <c r="CF407" s="19">
        <v>5.4</v>
      </c>
      <c r="CG407" s="4">
        <v>0</v>
      </c>
      <c r="CH407" s="4">
        <v>0</v>
      </c>
      <c r="CI407" s="4">
        <v>0</v>
      </c>
      <c r="CJ407" s="34">
        <v>0</v>
      </c>
      <c r="CK407" s="34">
        <v>0</v>
      </c>
      <c r="CL407" s="34">
        <v>0</v>
      </c>
      <c r="CM407" s="4">
        <v>0</v>
      </c>
      <c r="CN407" s="53">
        <v>0</v>
      </c>
      <c r="CO407" s="54">
        <v>0</v>
      </c>
      <c r="CP407" s="54">
        <v>0</v>
      </c>
      <c r="CQ407" s="4">
        <v>0</v>
      </c>
    </row>
    <row r="408" spans="1:95" s="55" customFormat="1" x14ac:dyDescent="0.35">
      <c r="A408" s="55">
        <v>407</v>
      </c>
      <c r="B408" s="55" t="s">
        <v>112</v>
      </c>
      <c r="C408" s="27" t="s">
        <v>856</v>
      </c>
      <c r="D408" s="50" t="s">
        <v>93</v>
      </c>
      <c r="E408" s="33" t="s">
        <v>91</v>
      </c>
      <c r="F408" s="4">
        <f>IFERROR(AVERAGEIF(Table1[[#This Row],[2019-Apr]:[2025-July]],"&lt;&gt;0"),0)</f>
        <v>5.2041944444444432</v>
      </c>
      <c r="G408" s="4">
        <f ca="1">IFERROR(AVERAGEIF(OFFSET(Table1[[#This Row],[Status]],0,COUNT(Table1[[#This Row],[2019-May]:[2025-July]]),1,-12),"&lt;&gt;0"),0)</f>
        <v>3.395</v>
      </c>
      <c r="H408" s="55">
        <f>IFERROR(SMALL(Table1[[#This Row],[2019-Apr]:[2025-July]],COUNTIF(Table1[[#This Row],[2019-Apr]:[2025-July]],0)+1),0)</f>
        <v>3.32</v>
      </c>
      <c r="I408" s="55">
        <f>IFERROR(MAX(Table1[[#This Row],[2019-Apr]:[2025-July]]),0)</f>
        <v>8.73</v>
      </c>
      <c r="J408" s="4" cm="1">
        <f t="array" ref="J40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3.5449999999999999</v>
      </c>
      <c r="K408" s="4">
        <v>4.5</v>
      </c>
      <c r="L408" s="4">
        <f>IF(Table1[[#This Row],[Standard as per ISO]]&gt;=Table1[[#This Row],[Avg of best 6]],Table1[[#This Row],[Standard as per ISO]],Table1[[#This Row],[Avg of best 6]])</f>
        <v>4.5</v>
      </c>
      <c r="M408" s="4" cm="1">
        <f t="array" ref="M408">IFERROR(LOOKUP(2,1/(Table1[[#This Row],[2019-May]:[2025-July]]&lt;&gt;0),Table1[[#This Row],[2019-May]:[2025-July]]),0)</f>
        <v>3.44</v>
      </c>
      <c r="N408" s="4">
        <f>COUNTIF(Table1[[#This Row],[2019-Apr]:[2025-July]],"&gt;="&amp;Table1[[#This Row],[Target]])</f>
        <v>26</v>
      </c>
      <c r="O408" s="4">
        <f>IF(Table1[[#This Row],[Outliers 2Y]]=0,1,0)</f>
        <v>0</v>
      </c>
      <c r="P408" s="4">
        <f>IF(Table1[[#This Row],[Last value]]&gt;1.5*Table1[[#This Row],[Target]],1,0)</f>
        <v>0</v>
      </c>
      <c r="Q408" s="4">
        <f>IF(AND(1.5*Table1[[#This Row],[Target]]&gt;=Table1[[#This Row],[Last value]],Table1[[#This Row],[Last value]]&gt;Table1[[#This Row],[Target]]),1,0)</f>
        <v>0</v>
      </c>
      <c r="R408" s="4">
        <f>IF(Table1[[#This Row],[Target]]&gt;=Table1[[#This Row],[Last value]],1,0)</f>
        <v>1</v>
      </c>
      <c r="S408" s="4" t="str">
        <f t="shared" si="8"/>
        <v>Green</v>
      </c>
      <c r="T408" s="55">
        <v>0</v>
      </c>
      <c r="U408" s="55">
        <v>0</v>
      </c>
      <c r="V408" s="55">
        <v>0</v>
      </c>
      <c r="W408" s="55">
        <v>0</v>
      </c>
      <c r="X408" s="55">
        <v>0</v>
      </c>
      <c r="Y408" s="55">
        <v>7.02</v>
      </c>
      <c r="Z408" s="55">
        <v>4.1900000000000004</v>
      </c>
      <c r="AA408" s="55">
        <v>7.74</v>
      </c>
      <c r="AB408" s="55">
        <v>0</v>
      </c>
      <c r="AC408" s="55">
        <v>6.35</v>
      </c>
      <c r="AD408" s="55">
        <v>6.45</v>
      </c>
      <c r="AE408" s="55">
        <v>6.46</v>
      </c>
      <c r="AF408" s="55">
        <v>0</v>
      </c>
      <c r="AG408" s="55">
        <v>0</v>
      </c>
      <c r="AH408" s="55">
        <v>4.5999999999999996</v>
      </c>
      <c r="AI408" s="55">
        <v>6.31</v>
      </c>
      <c r="AJ408" s="55">
        <v>4.84</v>
      </c>
      <c r="AK408" s="55">
        <v>0</v>
      </c>
      <c r="AL408" s="55">
        <v>3.32</v>
      </c>
      <c r="AM408" s="55">
        <v>0</v>
      </c>
      <c r="AN408" s="55">
        <v>5.68</v>
      </c>
      <c r="AO408" s="55">
        <v>4.38</v>
      </c>
      <c r="AP408" s="55">
        <v>6</v>
      </c>
      <c r="AQ408" s="55">
        <v>8.73</v>
      </c>
      <c r="AR408" s="8">
        <v>0</v>
      </c>
      <c r="AS408" s="8">
        <v>6.23</v>
      </c>
      <c r="AT408" s="8">
        <v>0</v>
      </c>
      <c r="AU408" s="50">
        <v>5.75</v>
      </c>
      <c r="AV408" s="50">
        <v>4.55</v>
      </c>
      <c r="AW408" s="50">
        <v>5.3</v>
      </c>
      <c r="AX408" s="50">
        <v>6.21</v>
      </c>
      <c r="AY408" s="50">
        <v>5.72</v>
      </c>
      <c r="AZ408" s="50">
        <v>5.25</v>
      </c>
      <c r="BA408" s="50">
        <v>3.8</v>
      </c>
      <c r="BB408" s="50">
        <v>4</v>
      </c>
      <c r="BC408" s="50">
        <v>0</v>
      </c>
      <c r="BD408" s="55">
        <v>0</v>
      </c>
      <c r="BE408" s="11">
        <v>5.0860000000000003</v>
      </c>
      <c r="BF408" s="4">
        <v>0</v>
      </c>
      <c r="BG408" s="4">
        <v>0</v>
      </c>
      <c r="BH408" s="4">
        <v>5.74</v>
      </c>
      <c r="BI408" s="4">
        <v>4.9059999999999997</v>
      </c>
      <c r="BJ408" s="14">
        <v>5.0220000000000002</v>
      </c>
      <c r="BK408" s="14">
        <v>4.7229999999999999</v>
      </c>
      <c r="BL408" s="4">
        <v>4.5220000000000002</v>
      </c>
      <c r="BM408" s="17">
        <v>5.0570000000000004</v>
      </c>
      <c r="BN408" s="4">
        <v>0</v>
      </c>
      <c r="BO408" s="4">
        <v>4.4560000000000004</v>
      </c>
      <c r="BP408" s="4">
        <v>0</v>
      </c>
      <c r="BQ408" s="4">
        <v>0</v>
      </c>
      <c r="BR408" s="4">
        <v>0</v>
      </c>
      <c r="BS408" s="4">
        <v>0</v>
      </c>
      <c r="BT408" s="4">
        <v>4.8090000000000002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55">
        <v>0</v>
      </c>
      <c r="CA408" s="55">
        <v>0</v>
      </c>
      <c r="CB408" s="55">
        <v>3.97</v>
      </c>
      <c r="CC408" s="55">
        <v>3.39</v>
      </c>
      <c r="CD408" s="55">
        <v>0</v>
      </c>
      <c r="CE408" s="19">
        <v>0</v>
      </c>
      <c r="CF408" s="19">
        <v>0</v>
      </c>
      <c r="CG408" s="4">
        <v>0</v>
      </c>
      <c r="CH408" s="4">
        <v>3.35</v>
      </c>
      <c r="CI408" s="4">
        <v>3.44</v>
      </c>
      <c r="CJ408" s="34">
        <v>0</v>
      </c>
      <c r="CK408" s="34">
        <v>0</v>
      </c>
      <c r="CL408" s="34">
        <v>0</v>
      </c>
      <c r="CM408" s="4">
        <v>0</v>
      </c>
      <c r="CN408" s="53">
        <v>0</v>
      </c>
      <c r="CO408" s="54">
        <v>0</v>
      </c>
      <c r="CP408" s="54">
        <v>0</v>
      </c>
      <c r="CQ408" s="4">
        <v>0</v>
      </c>
    </row>
    <row r="409" spans="1:95" s="55" customFormat="1" x14ac:dyDescent="0.35">
      <c r="A409" s="55">
        <v>408</v>
      </c>
      <c r="B409" s="55" t="s">
        <v>112</v>
      </c>
      <c r="C409" s="27" t="s">
        <v>857</v>
      </c>
      <c r="D409" s="50" t="s">
        <v>93</v>
      </c>
      <c r="E409" s="33" t="s">
        <v>91</v>
      </c>
      <c r="F409" s="4">
        <f>IFERROR(AVERAGEIF(Table1[[#This Row],[2019-Apr]:[2025-July]],"&lt;&gt;0"),0)</f>
        <v>2.7699090909090911</v>
      </c>
      <c r="G409" s="4">
        <f ca="1">IFERROR(AVERAGEIF(OFFSET(Table1[[#This Row],[Status]],0,COUNT(Table1[[#This Row],[2019-May]:[2025-July]]),1,-12),"&lt;&gt;0"),0)</f>
        <v>3.2450000000000001</v>
      </c>
      <c r="H409" s="55">
        <f>IFERROR(SMALL(Table1[[#This Row],[2019-Apr]:[2025-July]],COUNTIF(Table1[[#This Row],[2019-Apr]:[2025-July]],0)+1),0)</f>
        <v>1.57</v>
      </c>
      <c r="I409" s="55">
        <f>IFERROR(MAX(Table1[[#This Row],[2019-Apr]:[2025-July]]),0)</f>
        <v>5.58</v>
      </c>
      <c r="J409" s="4" cm="1">
        <f t="array" ref="J40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1.7905</v>
      </c>
      <c r="K409" s="4">
        <v>4.5</v>
      </c>
      <c r="L409" s="4">
        <f>IF(Table1[[#This Row],[Standard as per ISO]]&gt;=Table1[[#This Row],[Avg of best 6]],Table1[[#This Row],[Standard as per ISO]],Table1[[#This Row],[Avg of best 6]])</f>
        <v>4.5</v>
      </c>
      <c r="M409" s="4" cm="1">
        <f t="array" ref="M409">IFERROR(LOOKUP(2,1/(Table1[[#This Row],[2019-May]:[2025-July]]&lt;&gt;0),Table1[[#This Row],[2019-May]:[2025-July]]),0)</f>
        <v>2.0699999999999998</v>
      </c>
      <c r="N409" s="4">
        <f>COUNTIF(Table1[[#This Row],[2019-Apr]:[2025-July]],"&gt;="&amp;Table1[[#This Row],[Target]])</f>
        <v>1</v>
      </c>
      <c r="O409" s="4">
        <f>IF(Table1[[#This Row],[Outliers 2Y]]=0,1,0)</f>
        <v>0</v>
      </c>
      <c r="P409" s="4">
        <f>IF(Table1[[#This Row],[Last value]]&gt;1.5*Table1[[#This Row],[Target]],1,0)</f>
        <v>0</v>
      </c>
      <c r="Q409" s="4">
        <f>IF(AND(1.5*Table1[[#This Row],[Target]]&gt;=Table1[[#This Row],[Last value]],Table1[[#This Row],[Last value]]&gt;Table1[[#This Row],[Target]]),1,0)</f>
        <v>0</v>
      </c>
      <c r="R409" s="4">
        <f>IF(Table1[[#This Row],[Target]]&gt;=Table1[[#This Row],[Last value]],1,0)</f>
        <v>1</v>
      </c>
      <c r="S409" s="4" t="str">
        <f t="shared" si="8"/>
        <v>Green</v>
      </c>
      <c r="T409" s="55">
        <v>0</v>
      </c>
      <c r="U409" s="55">
        <v>0</v>
      </c>
      <c r="V409" s="55">
        <v>0</v>
      </c>
      <c r="W409" s="55">
        <v>0</v>
      </c>
      <c r="X409" s="55">
        <v>0</v>
      </c>
      <c r="Y409" s="55">
        <v>3.06</v>
      </c>
      <c r="Z409" s="55">
        <v>4.12</v>
      </c>
      <c r="AA409" s="55">
        <v>4.01</v>
      </c>
      <c r="AB409" s="55">
        <v>4.21</v>
      </c>
      <c r="AC409" s="55">
        <v>3.2</v>
      </c>
      <c r="AD409" s="55">
        <v>2</v>
      </c>
      <c r="AE409" s="55">
        <v>3.51</v>
      </c>
      <c r="AF409" s="55">
        <v>1.8</v>
      </c>
      <c r="AG409" s="55">
        <v>2</v>
      </c>
      <c r="AH409" s="55">
        <v>3.6</v>
      </c>
      <c r="AI409" s="55">
        <v>3.9</v>
      </c>
      <c r="AJ409" s="55">
        <v>1.57</v>
      </c>
      <c r="AK409" s="55">
        <v>0</v>
      </c>
      <c r="AL409" s="55">
        <v>3.08</v>
      </c>
      <c r="AM409" s="55">
        <v>2.83</v>
      </c>
      <c r="AN409" s="55">
        <v>0</v>
      </c>
      <c r="AO409" s="55">
        <v>2.41</v>
      </c>
      <c r="AP409" s="55">
        <v>3.22</v>
      </c>
      <c r="AQ409" s="55">
        <v>2.16</v>
      </c>
      <c r="AR409" s="8">
        <v>0</v>
      </c>
      <c r="AS409" s="8">
        <v>2.04</v>
      </c>
      <c r="AT409" s="8">
        <v>2.36</v>
      </c>
      <c r="AU409" s="50">
        <v>2.04</v>
      </c>
      <c r="AV409" s="50">
        <v>2.12</v>
      </c>
      <c r="AW409" s="50">
        <v>2.08</v>
      </c>
      <c r="AX409" s="50">
        <v>1.96</v>
      </c>
      <c r="AY409" s="50">
        <v>1.97</v>
      </c>
      <c r="AZ409" s="50">
        <v>2.4500000000000002</v>
      </c>
      <c r="BA409" s="50">
        <v>1.8</v>
      </c>
      <c r="BB409" s="50">
        <v>0</v>
      </c>
      <c r="BC409" s="55">
        <v>1.7</v>
      </c>
      <c r="BD409" s="55">
        <v>2.6</v>
      </c>
      <c r="BE409" s="11">
        <v>1.958</v>
      </c>
      <c r="BF409" s="4">
        <v>0</v>
      </c>
      <c r="BG409" s="4">
        <v>0</v>
      </c>
      <c r="BH409" s="4">
        <v>2.109</v>
      </c>
      <c r="BI409" s="4">
        <v>2.109</v>
      </c>
      <c r="BJ409" s="13">
        <v>3.516</v>
      </c>
      <c r="BK409" s="13">
        <v>3.516</v>
      </c>
      <c r="BL409" s="4">
        <v>1.915</v>
      </c>
      <c r="BM409" s="16">
        <v>3.3559999999999999</v>
      </c>
      <c r="BN409" s="4">
        <v>3.8340000000000001</v>
      </c>
      <c r="BO409" s="4">
        <v>3.7949999999999999</v>
      </c>
      <c r="BP409" s="4">
        <v>2.77</v>
      </c>
      <c r="BQ409" s="4">
        <v>3.3719999999999999</v>
      </c>
      <c r="BR409" s="4">
        <v>3.7090000000000001</v>
      </c>
      <c r="BS409" s="4">
        <v>3.0369999999999999</v>
      </c>
      <c r="BT409" s="4">
        <v>2.831</v>
      </c>
      <c r="BU409" s="4">
        <v>0</v>
      </c>
      <c r="BV409" s="4">
        <v>2.427</v>
      </c>
      <c r="BW409" s="4">
        <v>2.226</v>
      </c>
      <c r="BX409" s="4">
        <v>2.5750000000000002</v>
      </c>
      <c r="BY409" s="4">
        <v>2.36</v>
      </c>
      <c r="BZ409" s="55">
        <v>2.5499999999999998</v>
      </c>
      <c r="CA409" s="55">
        <v>2.2000000000000002</v>
      </c>
      <c r="CB409" s="55">
        <v>2.5499999999999998</v>
      </c>
      <c r="CC409" s="55">
        <v>3.47</v>
      </c>
      <c r="CD409" s="55">
        <v>3.38</v>
      </c>
      <c r="CE409" s="19">
        <v>0</v>
      </c>
      <c r="CF409" s="19">
        <v>2.2000000000000002</v>
      </c>
      <c r="CG409" s="4">
        <v>3.13</v>
      </c>
      <c r="CH409" s="4">
        <v>5.58</v>
      </c>
      <c r="CI409" s="4">
        <v>2.0699999999999998</v>
      </c>
      <c r="CJ409" s="34">
        <v>0</v>
      </c>
      <c r="CK409" s="34">
        <v>0</v>
      </c>
      <c r="CL409" s="34">
        <v>0</v>
      </c>
      <c r="CM409" s="4">
        <v>0</v>
      </c>
      <c r="CN409" s="53">
        <v>0</v>
      </c>
      <c r="CO409" s="54">
        <v>0</v>
      </c>
      <c r="CP409" s="54">
        <v>0</v>
      </c>
      <c r="CQ409" s="4">
        <v>0</v>
      </c>
    </row>
    <row r="410" spans="1:95" s="55" customFormat="1" x14ac:dyDescent="0.35">
      <c r="A410" s="55">
        <v>409</v>
      </c>
      <c r="B410" s="55" t="s">
        <v>112</v>
      </c>
      <c r="C410" s="27" t="s">
        <v>858</v>
      </c>
      <c r="D410" s="50" t="s">
        <v>93</v>
      </c>
      <c r="E410" s="33" t="s">
        <v>91</v>
      </c>
      <c r="F410" s="4">
        <f>IFERROR(AVERAGEIF(Table1[[#This Row],[2019-Apr]:[2025-July]],"&lt;&gt;0"),0)</f>
        <v>2.4</v>
      </c>
      <c r="G410" s="4">
        <f ca="1">IFERROR(AVERAGEIF(OFFSET(Table1[[#This Row],[Status]],0,COUNT(Table1[[#This Row],[2019-May]:[2025-July]]),1,-12),"&lt;&gt;0"),0)</f>
        <v>2.4</v>
      </c>
      <c r="H410" s="55">
        <f>IFERROR(SMALL(Table1[[#This Row],[2019-Apr]:[2025-July]],COUNTIF(Table1[[#This Row],[2019-Apr]:[2025-July]],0)+1),0)</f>
        <v>2.4</v>
      </c>
      <c r="I410" s="55">
        <f>IFERROR(MAX(Table1[[#This Row],[2019-Apr]:[2025-July]]),0)</f>
        <v>2.4</v>
      </c>
      <c r="J410" s="4" cm="1">
        <f t="array" ref="J41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</v>
      </c>
      <c r="K410" s="4">
        <v>4.5</v>
      </c>
      <c r="L410" s="4">
        <f>IF(Table1[[#This Row],[Standard as per ISO]]&gt;=Table1[[#This Row],[Avg of best 6]],Table1[[#This Row],[Standard as per ISO]],Table1[[#This Row],[Avg of best 6]])</f>
        <v>4.5</v>
      </c>
      <c r="M410" s="4" cm="1">
        <f t="array" ref="M410">IFERROR(LOOKUP(2,1/(Table1[[#This Row],[2019-May]:[2025-July]]&lt;&gt;0),Table1[[#This Row],[2019-May]:[2025-July]]),0)</f>
        <v>2.4</v>
      </c>
      <c r="N410" s="4">
        <f>COUNTIF(Table1[[#This Row],[2019-Apr]:[2025-July]],"&gt;="&amp;Table1[[#This Row],[Target]])</f>
        <v>0</v>
      </c>
      <c r="O410" s="4">
        <f>IF(Table1[[#This Row],[Outliers 2Y]]=0,1,0)</f>
        <v>1</v>
      </c>
      <c r="P410" s="4">
        <f>IF(Table1[[#This Row],[Last value]]&gt;1.5*Table1[[#This Row],[Target]],1,0)</f>
        <v>0</v>
      </c>
      <c r="Q410" s="4">
        <f>IF(AND(1.5*Table1[[#This Row],[Target]]&gt;=Table1[[#This Row],[Last value]],Table1[[#This Row],[Last value]]&gt;Table1[[#This Row],[Target]]),1,0)</f>
        <v>0</v>
      </c>
      <c r="R410" s="4">
        <f>IF(Table1[[#This Row],[Target]]&gt;=Table1[[#This Row],[Last value]],1,0)</f>
        <v>1</v>
      </c>
      <c r="S410" s="4" t="str">
        <f t="shared" si="8"/>
        <v>Green</v>
      </c>
      <c r="T410" s="55">
        <v>0</v>
      </c>
      <c r="U410" s="55">
        <v>0</v>
      </c>
      <c r="V410" s="55">
        <v>0</v>
      </c>
      <c r="W410" s="55">
        <v>0</v>
      </c>
      <c r="X410" s="55">
        <v>0</v>
      </c>
      <c r="Y410" s="55">
        <v>0</v>
      </c>
      <c r="Z410" s="55">
        <v>0</v>
      </c>
      <c r="AA410" s="55">
        <v>0</v>
      </c>
      <c r="AB410" s="55">
        <v>0</v>
      </c>
      <c r="AC410" s="55">
        <v>0</v>
      </c>
      <c r="AD410" s="55">
        <v>0</v>
      </c>
      <c r="AE410" s="55">
        <v>0</v>
      </c>
      <c r="AF410" s="55">
        <v>0</v>
      </c>
      <c r="AG410" s="55">
        <v>0</v>
      </c>
      <c r="AH410" s="55">
        <v>0</v>
      </c>
      <c r="AI410" s="55">
        <v>0</v>
      </c>
      <c r="AJ410" s="55">
        <v>0</v>
      </c>
      <c r="AK410" s="55">
        <v>0</v>
      </c>
      <c r="AL410" s="55">
        <v>0</v>
      </c>
      <c r="AM410" s="55">
        <v>0</v>
      </c>
      <c r="AN410" s="55">
        <v>0</v>
      </c>
      <c r="AO410" s="55">
        <v>0</v>
      </c>
      <c r="AP410" s="55">
        <v>0</v>
      </c>
      <c r="AQ410" s="55">
        <v>0</v>
      </c>
      <c r="AR410" s="8">
        <v>0</v>
      </c>
      <c r="AS410" s="8">
        <v>0</v>
      </c>
      <c r="AT410" s="8">
        <v>0</v>
      </c>
      <c r="AU410" s="50">
        <v>0</v>
      </c>
      <c r="AV410" s="50">
        <v>0</v>
      </c>
      <c r="AW410" s="50">
        <v>0</v>
      </c>
      <c r="AX410" s="50">
        <v>0</v>
      </c>
      <c r="AY410" s="50">
        <v>0</v>
      </c>
      <c r="AZ410" s="50">
        <v>0</v>
      </c>
      <c r="BA410" s="50">
        <v>0</v>
      </c>
      <c r="BB410" s="50">
        <v>0</v>
      </c>
      <c r="BC410" s="50">
        <v>0</v>
      </c>
      <c r="BD410" s="55">
        <v>0</v>
      </c>
      <c r="BE410" s="11">
        <v>0</v>
      </c>
      <c r="BF410" s="4">
        <v>0</v>
      </c>
      <c r="BG410" s="4">
        <v>0</v>
      </c>
      <c r="BH410" s="4">
        <v>0</v>
      </c>
      <c r="BI410" s="4">
        <v>0</v>
      </c>
      <c r="BJ410" s="14">
        <v>0</v>
      </c>
      <c r="BK410" s="14">
        <v>0</v>
      </c>
      <c r="BL410" s="4">
        <v>0</v>
      </c>
      <c r="BM410" s="17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55">
        <v>0</v>
      </c>
      <c r="CA410" s="55">
        <v>0</v>
      </c>
      <c r="CB410" s="55">
        <v>0</v>
      </c>
      <c r="CC410" s="55">
        <v>0</v>
      </c>
      <c r="CD410" s="55">
        <v>0</v>
      </c>
      <c r="CE410" s="19">
        <v>0</v>
      </c>
      <c r="CF410" s="19">
        <v>0</v>
      </c>
      <c r="CG410" s="4">
        <v>0</v>
      </c>
      <c r="CH410" s="4">
        <v>0</v>
      </c>
      <c r="CI410" s="4">
        <v>0</v>
      </c>
      <c r="CJ410" s="34">
        <v>2.4</v>
      </c>
      <c r="CK410" s="34">
        <v>0</v>
      </c>
      <c r="CL410" s="34">
        <v>0</v>
      </c>
      <c r="CM410" s="4">
        <v>0</v>
      </c>
      <c r="CN410" s="53">
        <v>0</v>
      </c>
      <c r="CO410" s="54">
        <v>0</v>
      </c>
      <c r="CP410" s="54">
        <v>0</v>
      </c>
      <c r="CQ410" s="4">
        <v>0</v>
      </c>
    </row>
    <row r="411" spans="1:95" s="55" customFormat="1" x14ac:dyDescent="0.35">
      <c r="A411" s="55">
        <v>410</v>
      </c>
      <c r="B411" s="55" t="s">
        <v>112</v>
      </c>
      <c r="C411" s="27" t="s">
        <v>859</v>
      </c>
      <c r="D411" s="50" t="s">
        <v>93</v>
      </c>
      <c r="E411" s="33" t="s">
        <v>95</v>
      </c>
      <c r="F411" s="4">
        <f>IFERROR(AVERAGEIF(Table1[[#This Row],[2019-Apr]:[2025-July]],"&lt;&gt;0"),0)</f>
        <v>0</v>
      </c>
      <c r="G411" s="4">
        <f ca="1">IFERROR(AVERAGEIF(OFFSET(Table1[[#This Row],[Status]],0,COUNT(Table1[[#This Row],[2019-May]:[2025-July]]),1,-12),"&lt;&gt;0"),0)</f>
        <v>0</v>
      </c>
      <c r="H411" s="55">
        <f>IFERROR(SMALL(Table1[[#This Row],[2019-Apr]:[2025-July]],COUNTIF(Table1[[#This Row],[2019-Apr]:[2025-July]],0)+1),0)</f>
        <v>0</v>
      </c>
      <c r="I411" s="55">
        <f>IFERROR(MAX(Table1[[#This Row],[2019-Apr]:[2025-July]]),0)</f>
        <v>0</v>
      </c>
      <c r="J411" s="4" cm="1">
        <f t="array" ref="J41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411" s="4">
        <v>4.5</v>
      </c>
      <c r="L411" s="4">
        <f>IF(Table1[[#This Row],[Standard as per ISO]]&gt;=Table1[[#This Row],[Avg of best 6]],Table1[[#This Row],[Standard as per ISO]],Table1[[#This Row],[Avg of best 6]])</f>
        <v>4.5</v>
      </c>
      <c r="M411" s="4" cm="1">
        <f t="array" ref="M411">IFERROR(LOOKUP(2,1/(Table1[[#This Row],[2019-May]:[2025-July]]&lt;&gt;0),Table1[[#This Row],[2019-May]:[2025-July]]),0)</f>
        <v>0</v>
      </c>
      <c r="N411" s="4">
        <f>COUNTIF(Table1[[#This Row],[2019-Apr]:[2025-July]],"&gt;="&amp;Table1[[#This Row],[Target]])</f>
        <v>0</v>
      </c>
      <c r="O411" s="4">
        <f>IF(Table1[[#This Row],[Outliers 2Y]]=0,1,0)</f>
        <v>1</v>
      </c>
      <c r="P411" s="4">
        <f>IF(Table1[[#This Row],[Last value]]&gt;1.5*Table1[[#This Row],[Target]],1,0)</f>
        <v>0</v>
      </c>
      <c r="Q411" s="4">
        <f>IF(AND(1.5*Table1[[#This Row],[Target]]&gt;=Table1[[#This Row],[Last value]],Table1[[#This Row],[Last value]]&gt;Table1[[#This Row],[Target]]),1,0)</f>
        <v>0</v>
      </c>
      <c r="R411" s="4">
        <f>IF(Table1[[#This Row],[Target]]&gt;=Table1[[#This Row],[Last value]],1,0)</f>
        <v>1</v>
      </c>
      <c r="S411" s="4" t="str">
        <f>IF(P411=1, "Red", IF(Q411=1, "Yellow", "Green"))</f>
        <v>Green</v>
      </c>
      <c r="T411" s="55">
        <v>0</v>
      </c>
      <c r="U411" s="55">
        <v>0</v>
      </c>
      <c r="V411" s="55">
        <v>0</v>
      </c>
      <c r="W411" s="55">
        <v>0</v>
      </c>
      <c r="X411" s="55">
        <v>0</v>
      </c>
      <c r="Y411" s="55">
        <v>0</v>
      </c>
      <c r="Z411" s="55">
        <v>0</v>
      </c>
      <c r="AA411" s="55">
        <v>0</v>
      </c>
      <c r="AB411" s="55">
        <v>0</v>
      </c>
      <c r="AC411" s="55">
        <v>0</v>
      </c>
      <c r="AD411" s="55">
        <v>0</v>
      </c>
      <c r="AE411" s="55">
        <v>0</v>
      </c>
      <c r="AF411" s="55">
        <v>0</v>
      </c>
      <c r="AG411" s="55">
        <v>0</v>
      </c>
      <c r="AH411" s="55">
        <v>0</v>
      </c>
      <c r="AI411" s="55">
        <v>0</v>
      </c>
      <c r="AJ411" s="55">
        <v>0</v>
      </c>
      <c r="AK411" s="55">
        <v>0</v>
      </c>
      <c r="AL411" s="55">
        <v>0</v>
      </c>
      <c r="AM411" s="55">
        <v>0</v>
      </c>
      <c r="AN411" s="55">
        <v>0</v>
      </c>
      <c r="AO411" s="55">
        <v>0</v>
      </c>
      <c r="AP411" s="55">
        <v>0</v>
      </c>
      <c r="AQ411" s="55">
        <v>0</v>
      </c>
      <c r="AR411" s="55">
        <v>0</v>
      </c>
      <c r="AS411" s="55">
        <v>0</v>
      </c>
      <c r="AT411" s="55">
        <v>0</v>
      </c>
      <c r="AU411" s="55">
        <v>0</v>
      </c>
      <c r="AV411" s="55">
        <v>0</v>
      </c>
      <c r="AW411" s="55">
        <v>0</v>
      </c>
      <c r="AX411" s="55">
        <v>0</v>
      </c>
      <c r="AY411" s="55">
        <v>0</v>
      </c>
      <c r="AZ411" s="55">
        <v>0</v>
      </c>
      <c r="BA411" s="55">
        <v>0</v>
      </c>
      <c r="BB411" s="55">
        <v>0</v>
      </c>
      <c r="BC411" s="55">
        <v>0</v>
      </c>
      <c r="BD411" s="55">
        <v>0</v>
      </c>
      <c r="BE411" s="55">
        <v>0</v>
      </c>
      <c r="BF411" s="55">
        <v>0</v>
      </c>
      <c r="BG411" s="55">
        <v>0</v>
      </c>
      <c r="BH411" s="55">
        <v>0</v>
      </c>
      <c r="BI411" s="55">
        <v>0</v>
      </c>
      <c r="BJ411" s="55">
        <v>0</v>
      </c>
      <c r="BK411" s="55">
        <v>0</v>
      </c>
      <c r="BL411" s="55">
        <v>0</v>
      </c>
      <c r="BM411" s="55">
        <v>0</v>
      </c>
      <c r="BN411" s="55">
        <v>0</v>
      </c>
      <c r="BO411" s="55">
        <v>0</v>
      </c>
      <c r="BP411" s="55">
        <v>0</v>
      </c>
      <c r="BQ411" s="55">
        <v>0</v>
      </c>
      <c r="BR411" s="55">
        <v>0</v>
      </c>
      <c r="BS411" s="55">
        <v>0</v>
      </c>
      <c r="BT411" s="55">
        <v>0</v>
      </c>
      <c r="BU411" s="55">
        <v>0</v>
      </c>
      <c r="BV411" s="55">
        <v>0</v>
      </c>
      <c r="BW411" s="55">
        <v>0</v>
      </c>
      <c r="BX411" s="55">
        <v>0</v>
      </c>
      <c r="BY411" s="55">
        <v>0</v>
      </c>
      <c r="BZ411" s="55">
        <v>0</v>
      </c>
      <c r="CA411" s="55">
        <v>0</v>
      </c>
      <c r="CB411" s="55">
        <v>0</v>
      </c>
      <c r="CC411" s="55">
        <v>0</v>
      </c>
      <c r="CD411" s="55">
        <v>0</v>
      </c>
      <c r="CE411" s="55">
        <v>0</v>
      </c>
      <c r="CF411" s="55">
        <v>0</v>
      </c>
      <c r="CG411" s="55">
        <v>0</v>
      </c>
      <c r="CH411" s="55">
        <v>0</v>
      </c>
      <c r="CI411" s="55">
        <v>0</v>
      </c>
      <c r="CJ411" s="34">
        <v>0</v>
      </c>
      <c r="CK411" s="34">
        <v>0</v>
      </c>
      <c r="CL411" s="34">
        <v>0</v>
      </c>
      <c r="CM411" s="4">
        <v>0</v>
      </c>
      <c r="CN411" s="53">
        <v>0</v>
      </c>
      <c r="CO411" s="54">
        <v>0</v>
      </c>
      <c r="CP411" s="54">
        <v>0</v>
      </c>
      <c r="CQ411" s="4">
        <v>0</v>
      </c>
    </row>
    <row r="412" spans="1:95" s="55" customFormat="1" x14ac:dyDescent="0.35">
      <c r="A412" s="55">
        <v>411</v>
      </c>
      <c r="B412" s="55" t="s">
        <v>112</v>
      </c>
      <c r="C412" s="27" t="s">
        <v>860</v>
      </c>
      <c r="D412" s="50" t="s">
        <v>93</v>
      </c>
      <c r="E412" s="33" t="s">
        <v>91</v>
      </c>
      <c r="F412" s="4">
        <f>IFERROR(AVERAGEIF(Table1[[#This Row],[2019-Apr]:[2025-July]],"&lt;&gt;0"),0)</f>
        <v>0</v>
      </c>
      <c r="G412" s="4">
        <f ca="1">IFERROR(AVERAGEIF(OFFSET(Table1[[#This Row],[Status]],0,COUNT(Table1[[#This Row],[2019-May]:[2025-July]]),1,-12),"&lt;&gt;0"),0)</f>
        <v>0</v>
      </c>
      <c r="H412" s="55">
        <f>IFERROR(SMALL(Table1[[#This Row],[2019-Apr]:[2025-July]],COUNTIF(Table1[[#This Row],[2019-Apr]:[2025-July]],0)+1),0)</f>
        <v>0</v>
      </c>
      <c r="I412" s="55">
        <f>IFERROR(MAX(Table1[[#This Row],[2019-Apr]:[2025-July]]),0)</f>
        <v>0</v>
      </c>
      <c r="J412" s="4" cm="1">
        <f t="array" ref="J41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412" s="4">
        <v>4.5</v>
      </c>
      <c r="L412" s="4">
        <f>IF(Table1[[#This Row],[Standard as per ISO]]&gt;=Table1[[#This Row],[Avg of best 6]],Table1[[#This Row],[Standard as per ISO]],Table1[[#This Row],[Avg of best 6]])</f>
        <v>4.5</v>
      </c>
      <c r="M412" s="4" cm="1">
        <f t="array" ref="M412">IFERROR(LOOKUP(2,1/(Table1[[#This Row],[2019-May]:[2025-July]]&lt;&gt;0),Table1[[#This Row],[2019-May]:[2025-July]]),0)</f>
        <v>0</v>
      </c>
      <c r="N412" s="4">
        <f>COUNTIF(Table1[[#This Row],[2019-Apr]:[2025-July]],"&gt;="&amp;Table1[[#This Row],[Target]])</f>
        <v>0</v>
      </c>
      <c r="O412" s="4">
        <f>IF(Table1[[#This Row],[Outliers 2Y]]=0,1,0)</f>
        <v>1</v>
      </c>
      <c r="P412" s="4">
        <f>IF(Table1[[#This Row],[Last value]]&gt;1.5*Table1[[#This Row],[Target]],1,0)</f>
        <v>0</v>
      </c>
      <c r="Q412" s="4">
        <f>IF(AND(1.5*Table1[[#This Row],[Target]]&gt;=Table1[[#This Row],[Last value]],Table1[[#This Row],[Last value]]&gt;Table1[[#This Row],[Target]]),1,0)</f>
        <v>0</v>
      </c>
      <c r="R412" s="4">
        <f>IF(Table1[[#This Row],[Target]]&gt;=Table1[[#This Row],[Last value]],1,0)</f>
        <v>1</v>
      </c>
      <c r="S412" s="4" t="str">
        <f>IF(P412=1, "Red", IF(Q412=1, "Yellow", "Green"))</f>
        <v>Green</v>
      </c>
      <c r="T412" s="55">
        <v>0</v>
      </c>
      <c r="U412" s="55">
        <v>0</v>
      </c>
      <c r="V412" s="55">
        <v>0</v>
      </c>
      <c r="W412" s="55">
        <v>0</v>
      </c>
      <c r="X412" s="55">
        <v>0</v>
      </c>
      <c r="Y412" s="55">
        <v>0</v>
      </c>
      <c r="Z412" s="55">
        <v>0</v>
      </c>
      <c r="AA412" s="55">
        <v>0</v>
      </c>
      <c r="AB412" s="55">
        <v>0</v>
      </c>
      <c r="AC412" s="55">
        <v>0</v>
      </c>
      <c r="AD412" s="55">
        <v>0</v>
      </c>
      <c r="AE412" s="55">
        <v>0</v>
      </c>
      <c r="AF412" s="55">
        <v>0</v>
      </c>
      <c r="AG412" s="55">
        <v>0</v>
      </c>
      <c r="AH412" s="55">
        <v>0</v>
      </c>
      <c r="AI412" s="55">
        <v>0</v>
      </c>
      <c r="AJ412" s="55">
        <v>0</v>
      </c>
      <c r="AK412" s="55">
        <v>0</v>
      </c>
      <c r="AL412" s="55">
        <v>0</v>
      </c>
      <c r="AM412" s="55">
        <v>0</v>
      </c>
      <c r="AN412" s="55">
        <v>0</v>
      </c>
      <c r="AO412" s="55">
        <v>0</v>
      </c>
      <c r="AP412" s="55">
        <v>0</v>
      </c>
      <c r="AQ412" s="55">
        <v>0</v>
      </c>
      <c r="AR412" s="55">
        <v>0</v>
      </c>
      <c r="AS412" s="55">
        <v>0</v>
      </c>
      <c r="AT412" s="55">
        <v>0</v>
      </c>
      <c r="AU412" s="55">
        <v>0</v>
      </c>
      <c r="AV412" s="55">
        <v>0</v>
      </c>
      <c r="AW412" s="55">
        <v>0</v>
      </c>
      <c r="AX412" s="55">
        <v>0</v>
      </c>
      <c r="AY412" s="55">
        <v>0</v>
      </c>
      <c r="AZ412" s="55">
        <v>0</v>
      </c>
      <c r="BA412" s="55">
        <v>0</v>
      </c>
      <c r="BB412" s="55">
        <v>0</v>
      </c>
      <c r="BC412" s="55">
        <v>0</v>
      </c>
      <c r="BD412" s="55">
        <v>0</v>
      </c>
      <c r="BE412" s="55">
        <v>0</v>
      </c>
      <c r="BF412" s="55">
        <v>0</v>
      </c>
      <c r="BG412" s="55">
        <v>0</v>
      </c>
      <c r="BH412" s="55">
        <v>0</v>
      </c>
      <c r="BI412" s="55">
        <v>0</v>
      </c>
      <c r="BJ412" s="55">
        <v>0</v>
      </c>
      <c r="BK412" s="55">
        <v>0</v>
      </c>
      <c r="BL412" s="55">
        <v>0</v>
      </c>
      <c r="BM412" s="55">
        <v>0</v>
      </c>
      <c r="BN412" s="55">
        <v>0</v>
      </c>
      <c r="BO412" s="55">
        <v>0</v>
      </c>
      <c r="BP412" s="55">
        <v>0</v>
      </c>
      <c r="BQ412" s="55">
        <v>0</v>
      </c>
      <c r="BR412" s="55">
        <v>0</v>
      </c>
      <c r="BS412" s="55">
        <v>0</v>
      </c>
      <c r="BT412" s="55">
        <v>0</v>
      </c>
      <c r="BU412" s="55">
        <v>0</v>
      </c>
      <c r="BV412" s="55">
        <v>0</v>
      </c>
      <c r="BW412" s="55">
        <v>0</v>
      </c>
      <c r="BX412" s="55">
        <v>0</v>
      </c>
      <c r="BY412" s="55">
        <v>0</v>
      </c>
      <c r="BZ412" s="55">
        <v>0</v>
      </c>
      <c r="CA412" s="55">
        <v>0</v>
      </c>
      <c r="CB412" s="55">
        <v>0</v>
      </c>
      <c r="CC412" s="55">
        <v>0</v>
      </c>
      <c r="CD412" s="55">
        <v>0</v>
      </c>
      <c r="CE412" s="55">
        <v>0</v>
      </c>
      <c r="CF412" s="55">
        <v>0</v>
      </c>
      <c r="CG412" s="55">
        <v>0</v>
      </c>
      <c r="CH412" s="55">
        <v>0</v>
      </c>
      <c r="CI412" s="55">
        <v>0</v>
      </c>
      <c r="CJ412" s="34">
        <v>0</v>
      </c>
      <c r="CK412" s="34">
        <v>0</v>
      </c>
      <c r="CL412" s="34">
        <v>0</v>
      </c>
      <c r="CM412" s="4">
        <v>0</v>
      </c>
      <c r="CN412" s="53">
        <v>0</v>
      </c>
      <c r="CO412" s="54">
        <v>0</v>
      </c>
      <c r="CP412" s="54">
        <v>0</v>
      </c>
      <c r="CQ412" s="4">
        <v>0</v>
      </c>
    </row>
    <row r="413" spans="1:95" s="55" customFormat="1" x14ac:dyDescent="0.35">
      <c r="A413" s="55">
        <v>412</v>
      </c>
      <c r="B413" s="55" t="s">
        <v>112</v>
      </c>
      <c r="C413" s="27" t="s">
        <v>861</v>
      </c>
      <c r="D413" s="50" t="s">
        <v>88</v>
      </c>
      <c r="E413" s="33" t="s">
        <v>89</v>
      </c>
      <c r="F413" s="4">
        <f>IFERROR(AVERAGEIF(Table1[[#This Row],[2019-Apr]:[2025-July]],"&lt;&gt;0"),0)</f>
        <v>0</v>
      </c>
      <c r="G413" s="4">
        <f ca="1">IFERROR(AVERAGEIF(OFFSET(Table1[[#This Row],[Status]],0,COUNT(Table1[[#This Row],[2019-May]:[2025-July]]),1,-12),"&lt;&gt;0"),0)</f>
        <v>0</v>
      </c>
      <c r="H413" s="55">
        <f>IFERROR(SMALL(Table1[[#This Row],[2019-Apr]:[2025-July]],COUNTIF(Table1[[#This Row],[2019-Apr]:[2025-July]],0)+1),0)</f>
        <v>0</v>
      </c>
      <c r="I413" s="55">
        <f>IFERROR(MAX(Table1[[#This Row],[2019-Apr]:[2025-July]]),0)</f>
        <v>0</v>
      </c>
      <c r="J413" s="4" cm="1">
        <f t="array" ref="J41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413" s="4">
        <v>4.5</v>
      </c>
      <c r="L413" s="4">
        <f>IF(Table1[[#This Row],[Standard as per ISO]]&gt;=Table1[[#This Row],[Avg of best 6]],Table1[[#This Row],[Standard as per ISO]],Table1[[#This Row],[Avg of best 6]])</f>
        <v>4.5</v>
      </c>
      <c r="M413" s="4" cm="1">
        <f t="array" ref="M413">IFERROR(LOOKUP(2,1/(Table1[[#This Row],[2019-May]:[2025-July]]&lt;&gt;0),Table1[[#This Row],[2019-May]:[2025-July]]),0)</f>
        <v>0</v>
      </c>
      <c r="N413" s="4">
        <f>COUNTIF(Table1[[#This Row],[2019-Apr]:[2025-July]],"&gt;="&amp;Table1[[#This Row],[Target]])</f>
        <v>0</v>
      </c>
      <c r="O413" s="4">
        <f>IF(Table1[[#This Row],[Outliers 2Y]]=0,1,0)</f>
        <v>1</v>
      </c>
      <c r="P413" s="4">
        <f>IF(Table1[[#This Row],[Last value]]&gt;1.5*Table1[[#This Row],[Target]],1,0)</f>
        <v>0</v>
      </c>
      <c r="Q413" s="4">
        <f>IF(AND(1.5*Table1[[#This Row],[Target]]&gt;=Table1[[#This Row],[Last value]],Table1[[#This Row],[Last value]]&gt;Table1[[#This Row],[Target]]),1,0)</f>
        <v>0</v>
      </c>
      <c r="R413" s="4">
        <f>IF(Table1[[#This Row],[Target]]&gt;=Table1[[#This Row],[Last value]],1,0)</f>
        <v>1</v>
      </c>
      <c r="S413" s="4" t="str">
        <f>IF(P413=1, "Red", IF(Q413=1, "Yellow", "Green"))</f>
        <v>Green</v>
      </c>
      <c r="T413" s="55">
        <v>0</v>
      </c>
      <c r="U413" s="55">
        <v>0</v>
      </c>
      <c r="V413" s="55">
        <v>0</v>
      </c>
      <c r="W413" s="55">
        <v>0</v>
      </c>
      <c r="X413" s="55">
        <v>0</v>
      </c>
      <c r="Y413" s="55">
        <v>0</v>
      </c>
      <c r="Z413" s="55">
        <v>0</v>
      </c>
      <c r="AA413" s="55">
        <v>0</v>
      </c>
      <c r="AB413" s="55">
        <v>0</v>
      </c>
      <c r="AC413" s="55">
        <v>0</v>
      </c>
      <c r="AD413" s="55">
        <v>0</v>
      </c>
      <c r="AE413" s="55">
        <v>0</v>
      </c>
      <c r="AF413" s="55">
        <v>0</v>
      </c>
      <c r="AG413" s="55">
        <v>0</v>
      </c>
      <c r="AH413" s="55">
        <v>0</v>
      </c>
      <c r="AI413" s="55">
        <v>0</v>
      </c>
      <c r="AJ413" s="55">
        <v>0</v>
      </c>
      <c r="AK413" s="55">
        <v>0</v>
      </c>
      <c r="AL413" s="55">
        <v>0</v>
      </c>
      <c r="AM413" s="55">
        <v>0</v>
      </c>
      <c r="AN413" s="55">
        <v>0</v>
      </c>
      <c r="AO413" s="55">
        <v>0</v>
      </c>
      <c r="AP413" s="55">
        <v>0</v>
      </c>
      <c r="AQ413" s="55">
        <v>0</v>
      </c>
      <c r="AR413" s="55">
        <v>0</v>
      </c>
      <c r="AS413" s="55">
        <v>0</v>
      </c>
      <c r="AT413" s="55">
        <v>0</v>
      </c>
      <c r="AU413" s="55">
        <v>0</v>
      </c>
      <c r="AV413" s="55">
        <v>0</v>
      </c>
      <c r="AW413" s="55">
        <v>0</v>
      </c>
      <c r="AX413" s="55">
        <v>0</v>
      </c>
      <c r="AY413" s="55">
        <v>0</v>
      </c>
      <c r="AZ413" s="55">
        <v>0</v>
      </c>
      <c r="BA413" s="55">
        <v>0</v>
      </c>
      <c r="BB413" s="55">
        <v>0</v>
      </c>
      <c r="BC413" s="55">
        <v>0</v>
      </c>
      <c r="BD413" s="55">
        <v>0</v>
      </c>
      <c r="BE413" s="55">
        <v>0</v>
      </c>
      <c r="BF413" s="55">
        <v>0</v>
      </c>
      <c r="BG413" s="55">
        <v>0</v>
      </c>
      <c r="BH413" s="55">
        <v>0</v>
      </c>
      <c r="BI413" s="55">
        <v>0</v>
      </c>
      <c r="BJ413" s="55">
        <v>0</v>
      </c>
      <c r="BK413" s="55">
        <v>0</v>
      </c>
      <c r="BL413" s="55">
        <v>0</v>
      </c>
      <c r="BM413" s="55">
        <v>0</v>
      </c>
      <c r="BN413" s="55">
        <v>0</v>
      </c>
      <c r="BO413" s="55">
        <v>0</v>
      </c>
      <c r="BP413" s="55">
        <v>0</v>
      </c>
      <c r="BQ413" s="55">
        <v>0</v>
      </c>
      <c r="BR413" s="55">
        <v>0</v>
      </c>
      <c r="BS413" s="55">
        <v>0</v>
      </c>
      <c r="BT413" s="55">
        <v>0</v>
      </c>
      <c r="BU413" s="55">
        <v>0</v>
      </c>
      <c r="BV413" s="55">
        <v>0</v>
      </c>
      <c r="BW413" s="55">
        <v>0</v>
      </c>
      <c r="BX413" s="55">
        <v>0</v>
      </c>
      <c r="BY413" s="55">
        <v>0</v>
      </c>
      <c r="BZ413" s="55">
        <v>0</v>
      </c>
      <c r="CA413" s="55">
        <v>0</v>
      </c>
      <c r="CB413" s="55">
        <v>0</v>
      </c>
      <c r="CC413" s="55">
        <v>0</v>
      </c>
      <c r="CD413" s="55">
        <v>0</v>
      </c>
      <c r="CE413" s="55">
        <v>0</v>
      </c>
      <c r="CF413" s="55">
        <v>0</v>
      </c>
      <c r="CG413" s="55">
        <v>0</v>
      </c>
      <c r="CH413" s="55">
        <v>0</v>
      </c>
      <c r="CI413" s="55">
        <v>0</v>
      </c>
      <c r="CJ413" s="34">
        <v>0</v>
      </c>
      <c r="CK413" s="34">
        <v>0</v>
      </c>
      <c r="CL413" s="43">
        <v>0</v>
      </c>
      <c r="CM413" s="4">
        <v>0</v>
      </c>
      <c r="CN413" s="53">
        <v>0</v>
      </c>
      <c r="CO413" s="54">
        <v>0</v>
      </c>
      <c r="CP413" s="54">
        <v>0</v>
      </c>
      <c r="CQ413" s="4">
        <v>0</v>
      </c>
    </row>
    <row r="414" spans="1:95" s="55" customFormat="1" x14ac:dyDescent="0.35">
      <c r="A414" s="55">
        <v>413</v>
      </c>
      <c r="B414" s="55" t="s">
        <v>112</v>
      </c>
      <c r="C414" s="27" t="s">
        <v>862</v>
      </c>
      <c r="D414" s="50" t="s">
        <v>88</v>
      </c>
      <c r="E414" s="33" t="s">
        <v>95</v>
      </c>
      <c r="F414" s="4">
        <f>IFERROR(AVERAGEIF(Table1[[#This Row],[2019-Apr]:[2025-July]],"&lt;&gt;0"),0)</f>
        <v>0</v>
      </c>
      <c r="G414" s="4">
        <f ca="1">IFERROR(AVERAGEIF(OFFSET(Table1[[#This Row],[Status]],0,COUNT(Table1[[#This Row],[2019-May]:[2025-July]]),1,-12),"&lt;&gt;0"),0)</f>
        <v>0</v>
      </c>
      <c r="H414" s="55">
        <f>IFERROR(SMALL(Table1[[#This Row],[2019-Apr]:[2025-July]],COUNTIF(Table1[[#This Row],[2019-Apr]:[2025-July]],0)+1),0)</f>
        <v>0</v>
      </c>
      <c r="I414" s="55">
        <f>IFERROR(MAX(Table1[[#This Row],[2019-Apr]:[2025-July]]),0)</f>
        <v>0</v>
      </c>
      <c r="J414" s="4" cm="1">
        <f t="array" ref="J41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414" s="4">
        <v>4.5</v>
      </c>
      <c r="L414" s="4">
        <f>IF(Table1[[#This Row],[Standard as per ISO]]&gt;=Table1[[#This Row],[Avg of best 6]],Table1[[#This Row],[Standard as per ISO]],Table1[[#This Row],[Avg of best 6]])</f>
        <v>4.5</v>
      </c>
      <c r="M414" s="4" cm="1">
        <f t="array" ref="M414">IFERROR(LOOKUP(2,1/(Table1[[#This Row],[2019-May]:[2025-July]]&lt;&gt;0),Table1[[#This Row],[2019-May]:[2025-July]]),0)</f>
        <v>0</v>
      </c>
      <c r="N414" s="4">
        <f>COUNTIF(Table1[[#This Row],[2019-Apr]:[2025-July]],"&gt;="&amp;Table1[[#This Row],[Target]])</f>
        <v>0</v>
      </c>
      <c r="O414" s="4">
        <f>IF(Table1[[#This Row],[Outliers 2Y]]=0,1,0)</f>
        <v>1</v>
      </c>
      <c r="P414" s="4">
        <f>IF(Table1[[#This Row],[Last value]]&gt;1.5*Table1[[#This Row],[Target]],1,0)</f>
        <v>0</v>
      </c>
      <c r="Q414" s="4">
        <f>IF(AND(1.5*Table1[[#This Row],[Target]]&gt;=Table1[[#This Row],[Last value]],Table1[[#This Row],[Last value]]&gt;Table1[[#This Row],[Target]]),1,0)</f>
        <v>0</v>
      </c>
      <c r="R414" s="4">
        <f>IF(Table1[[#This Row],[Target]]&gt;=Table1[[#This Row],[Last value]],1,0)</f>
        <v>1</v>
      </c>
      <c r="S414" s="4" t="str">
        <f>IF(P414=1, "Red", IF(Q414=1, "Yellow", "Green"))</f>
        <v>Green</v>
      </c>
      <c r="T414" s="55">
        <v>0</v>
      </c>
      <c r="U414" s="55">
        <v>0</v>
      </c>
      <c r="V414" s="55">
        <v>0</v>
      </c>
      <c r="W414" s="55">
        <v>0</v>
      </c>
      <c r="X414" s="55">
        <v>0</v>
      </c>
      <c r="Y414" s="55">
        <v>0</v>
      </c>
      <c r="Z414" s="55">
        <v>0</v>
      </c>
      <c r="AA414" s="55">
        <v>0</v>
      </c>
      <c r="AB414" s="55">
        <v>0</v>
      </c>
      <c r="AC414" s="55">
        <v>0</v>
      </c>
      <c r="AD414" s="55">
        <v>0</v>
      </c>
      <c r="AE414" s="55">
        <v>0</v>
      </c>
      <c r="AF414" s="55">
        <v>0</v>
      </c>
      <c r="AG414" s="55">
        <v>0</v>
      </c>
      <c r="AH414" s="55">
        <v>0</v>
      </c>
      <c r="AI414" s="55">
        <v>0</v>
      </c>
      <c r="AJ414" s="55">
        <v>0</v>
      </c>
      <c r="AK414" s="55">
        <v>0</v>
      </c>
      <c r="AL414" s="55">
        <v>0</v>
      </c>
      <c r="AM414" s="55">
        <v>0</v>
      </c>
      <c r="AN414" s="55">
        <v>0</v>
      </c>
      <c r="AO414" s="55">
        <v>0</v>
      </c>
      <c r="AP414" s="55">
        <v>0</v>
      </c>
      <c r="AQ414" s="55">
        <v>0</v>
      </c>
      <c r="AR414" s="55">
        <v>0</v>
      </c>
      <c r="AS414" s="55">
        <v>0</v>
      </c>
      <c r="AT414" s="55">
        <v>0</v>
      </c>
      <c r="AU414" s="55">
        <v>0</v>
      </c>
      <c r="AV414" s="55">
        <v>0</v>
      </c>
      <c r="AW414" s="55">
        <v>0</v>
      </c>
      <c r="AX414" s="55">
        <v>0</v>
      </c>
      <c r="AY414" s="55">
        <v>0</v>
      </c>
      <c r="AZ414" s="55">
        <v>0</v>
      </c>
      <c r="BA414" s="55">
        <v>0</v>
      </c>
      <c r="BB414" s="55">
        <v>0</v>
      </c>
      <c r="BC414" s="55">
        <v>0</v>
      </c>
      <c r="BD414" s="55">
        <v>0</v>
      </c>
      <c r="BE414" s="55">
        <v>0</v>
      </c>
      <c r="BF414" s="55">
        <v>0</v>
      </c>
      <c r="BG414" s="55">
        <v>0</v>
      </c>
      <c r="BH414" s="55">
        <v>0</v>
      </c>
      <c r="BI414" s="55">
        <v>0</v>
      </c>
      <c r="BJ414" s="55">
        <v>0</v>
      </c>
      <c r="BK414" s="55">
        <v>0</v>
      </c>
      <c r="BL414" s="55">
        <v>0</v>
      </c>
      <c r="BM414" s="55">
        <v>0</v>
      </c>
      <c r="BN414" s="55">
        <v>0</v>
      </c>
      <c r="BO414" s="55">
        <v>0</v>
      </c>
      <c r="BP414" s="55">
        <v>0</v>
      </c>
      <c r="BQ414" s="55">
        <v>0</v>
      </c>
      <c r="BR414" s="55">
        <v>0</v>
      </c>
      <c r="BS414" s="55">
        <v>0</v>
      </c>
      <c r="BT414" s="55">
        <v>0</v>
      </c>
      <c r="BU414" s="55">
        <v>0</v>
      </c>
      <c r="BV414" s="55">
        <v>0</v>
      </c>
      <c r="BW414" s="55">
        <v>0</v>
      </c>
      <c r="BX414" s="55">
        <v>0</v>
      </c>
      <c r="BY414" s="55">
        <v>0</v>
      </c>
      <c r="BZ414" s="55">
        <v>0</v>
      </c>
      <c r="CA414" s="55">
        <v>0</v>
      </c>
      <c r="CB414" s="55">
        <v>0</v>
      </c>
      <c r="CC414" s="55">
        <v>0</v>
      </c>
      <c r="CD414" s="55">
        <v>0</v>
      </c>
      <c r="CE414" s="55">
        <v>0</v>
      </c>
      <c r="CF414" s="55">
        <v>0</v>
      </c>
      <c r="CG414" s="55">
        <v>0</v>
      </c>
      <c r="CH414" s="55">
        <v>0</v>
      </c>
      <c r="CI414" s="55">
        <v>0</v>
      </c>
      <c r="CJ414" s="34">
        <v>0</v>
      </c>
      <c r="CK414" s="34">
        <v>0</v>
      </c>
      <c r="CL414" s="34">
        <v>0</v>
      </c>
      <c r="CM414" s="4">
        <v>0</v>
      </c>
      <c r="CN414" s="53">
        <v>0</v>
      </c>
      <c r="CO414" s="54">
        <v>0</v>
      </c>
      <c r="CP414" s="54">
        <v>0</v>
      </c>
      <c r="CQ414" s="4">
        <v>0</v>
      </c>
    </row>
    <row r="415" spans="1:95" s="55" customFormat="1" x14ac:dyDescent="0.35">
      <c r="A415" s="55">
        <v>414</v>
      </c>
      <c r="B415" s="55" t="s">
        <v>87</v>
      </c>
      <c r="C415" s="27" t="s">
        <v>127</v>
      </c>
      <c r="D415" s="50" t="s">
        <v>88</v>
      </c>
      <c r="E415" s="33" t="s">
        <v>89</v>
      </c>
      <c r="F415" s="4">
        <f>IFERROR(AVERAGEIF(Table1[[#This Row],[2019-Apr]:[2025-July]],"&lt;&gt;0"),0)</f>
        <v>1.7091857142857139</v>
      </c>
      <c r="G415" s="4">
        <f ca="1">IFERROR(AVERAGEIF(OFFSET(Table1[[#This Row],[Status]],0,COUNT(Table1[[#This Row],[2019-May]:[2025-July]]),1,-12),"&lt;&gt;0"),0)</f>
        <v>1.641</v>
      </c>
      <c r="H415" s="55">
        <f>IFERROR(SMALL(Table1[[#This Row],[2019-Apr]:[2025-July]],COUNTIF(Table1[[#This Row],[2019-Apr]:[2025-July]],0)+1),0)</f>
        <v>0.9</v>
      </c>
      <c r="I415" s="55">
        <f>IFERROR(MAX(Table1[[#This Row],[2019-Apr]:[2025-July]]),0)</f>
        <v>3.34</v>
      </c>
      <c r="J415" s="4" cm="1">
        <f t="array" ref="J41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1.0226666666666666</v>
      </c>
      <c r="K415" s="4">
        <v>4.5</v>
      </c>
      <c r="L415" s="4">
        <f>IF(Table1[[#This Row],[Standard as per ISO]]&gt;=Table1[[#This Row],[Avg of best 6]],Table1[[#This Row],[Standard as per ISO]],Table1[[#This Row],[Avg of best 6]])</f>
        <v>4.5</v>
      </c>
      <c r="M415" s="4" cm="1">
        <f t="array" ref="M415">IFERROR(LOOKUP(2,1/(Table1[[#This Row],[2019-May]:[2025-July]]&lt;&gt;0),Table1[[#This Row],[2019-May]:[2025-July]]),0)</f>
        <v>0.9</v>
      </c>
      <c r="N415" s="4">
        <f>COUNTIF(Table1[[#This Row],[2019-Apr]:[2025-July]],"&gt;="&amp;Table1[[#This Row],[Target]])</f>
        <v>0</v>
      </c>
      <c r="O415" s="4">
        <f>IF(Table1[[#This Row],[Outliers 2Y]]=0,1,0)</f>
        <v>1</v>
      </c>
      <c r="P415" s="4">
        <f>IF(Table1[[#This Row],[Last value]]&gt;1.5*Table1[[#This Row],[Target]],1,0)</f>
        <v>0</v>
      </c>
      <c r="Q415" s="4">
        <f>IF(AND(1.5*Table1[[#This Row],[Target]]&gt;=Table1[[#This Row],[Last value]],Table1[[#This Row],[Last value]]&gt;Table1[[#This Row],[Target]]),1,0)</f>
        <v>0</v>
      </c>
      <c r="R415" s="4">
        <f>IF(Table1[[#This Row],[Target]]&gt;=Table1[[#This Row],[Last value]],1,0)</f>
        <v>1</v>
      </c>
      <c r="S415" s="4" t="str">
        <f t="shared" ref="S415:S478" si="9">IF(P415=1, "Red", IF(Q415=1, "Yellow", "Green"))</f>
        <v>Green</v>
      </c>
      <c r="T415" s="55">
        <v>0</v>
      </c>
      <c r="U415" s="55">
        <v>1.5</v>
      </c>
      <c r="V415" s="55">
        <v>1.59</v>
      </c>
      <c r="W415" s="55">
        <v>1.34</v>
      </c>
      <c r="X415" s="55">
        <v>1.62</v>
      </c>
      <c r="Y415" s="55">
        <v>2.2400000000000002</v>
      </c>
      <c r="Z415" s="55">
        <v>1.91</v>
      </c>
      <c r="AA415" s="55">
        <v>1.7</v>
      </c>
      <c r="AB415" s="55">
        <v>3.34</v>
      </c>
      <c r="AC415" s="55">
        <v>2.2000000000000002</v>
      </c>
      <c r="AD415" s="55">
        <v>1.9</v>
      </c>
      <c r="AE415" s="55">
        <v>1.5</v>
      </c>
      <c r="AF415" s="55">
        <v>1.5</v>
      </c>
      <c r="AG415" s="55">
        <v>1.3</v>
      </c>
      <c r="AH415" s="55">
        <v>0</v>
      </c>
      <c r="AI415" s="55">
        <v>1.75</v>
      </c>
      <c r="AJ415" s="55">
        <v>1.6</v>
      </c>
      <c r="AK415" s="55">
        <v>1.8</v>
      </c>
      <c r="AL415" s="55">
        <v>1.72</v>
      </c>
      <c r="AM415" s="55">
        <v>2.17</v>
      </c>
      <c r="AN415" s="55">
        <v>1.21</v>
      </c>
      <c r="AO415" s="55">
        <v>1.88</v>
      </c>
      <c r="AP415" s="55">
        <v>1.53</v>
      </c>
      <c r="AQ415" s="55">
        <v>1.0900000000000001</v>
      </c>
      <c r="AR415" s="8">
        <v>1.65</v>
      </c>
      <c r="AS415" s="8">
        <v>1</v>
      </c>
      <c r="AT415" s="8">
        <v>0</v>
      </c>
      <c r="AU415" s="50">
        <v>1.1399999999999999</v>
      </c>
      <c r="AV415" s="50">
        <v>2.74</v>
      </c>
      <c r="AW415" s="50">
        <v>1.38</v>
      </c>
      <c r="AX415" s="50">
        <v>1.1499999999999999</v>
      </c>
      <c r="AY415" s="50">
        <v>1.89</v>
      </c>
      <c r="AZ415" s="50">
        <v>2.15</v>
      </c>
      <c r="BA415" s="50">
        <v>1.1000000000000001</v>
      </c>
      <c r="BB415" s="50">
        <v>1.3</v>
      </c>
      <c r="BC415" s="55">
        <v>1.3</v>
      </c>
      <c r="BD415" s="55">
        <v>1.4</v>
      </c>
      <c r="BE415" s="11">
        <v>1.046</v>
      </c>
      <c r="BF415" s="4">
        <v>0</v>
      </c>
      <c r="BG415" s="4">
        <v>2</v>
      </c>
      <c r="BH415" s="4">
        <v>1.78</v>
      </c>
      <c r="BI415" s="4">
        <v>1.5489999999999999</v>
      </c>
      <c r="BJ415" s="13">
        <v>1.413</v>
      </c>
      <c r="BK415" s="13">
        <v>1.647</v>
      </c>
      <c r="BL415" s="4">
        <v>1.782</v>
      </c>
      <c r="BM415" s="16">
        <v>1.92</v>
      </c>
      <c r="BN415" s="4">
        <v>2.1269999999999998</v>
      </c>
      <c r="BO415" s="4">
        <v>1.853</v>
      </c>
      <c r="BP415" s="4">
        <v>2.234</v>
      </c>
      <c r="BQ415" s="4">
        <v>1.8360000000000001</v>
      </c>
      <c r="BR415" s="4">
        <v>2.0470000000000002</v>
      </c>
      <c r="BS415" s="55">
        <v>1.47</v>
      </c>
      <c r="BT415" s="4">
        <v>1.7729999999999999</v>
      </c>
      <c r="BU415" s="4">
        <v>1.764</v>
      </c>
      <c r="BV415" s="4">
        <v>1.5449999999999999</v>
      </c>
      <c r="BW415" s="4">
        <v>1.651</v>
      </c>
      <c r="BX415" s="4">
        <v>2.0019999999999998</v>
      </c>
      <c r="BY415" s="4">
        <v>1.6739999999999999</v>
      </c>
      <c r="BZ415" s="55">
        <v>1.74</v>
      </c>
      <c r="CA415" s="18">
        <v>2.72</v>
      </c>
      <c r="CB415" s="55">
        <v>2.17</v>
      </c>
      <c r="CC415" s="18">
        <v>1.91</v>
      </c>
      <c r="CD415" s="55">
        <v>2.09</v>
      </c>
      <c r="CE415" s="19">
        <v>0</v>
      </c>
      <c r="CF415" s="19">
        <v>2.5</v>
      </c>
      <c r="CG415" s="4">
        <v>2.87</v>
      </c>
      <c r="CH415" s="4">
        <v>0</v>
      </c>
      <c r="CI415" s="4">
        <v>2.34</v>
      </c>
      <c r="CJ415" s="34">
        <v>1.5</v>
      </c>
      <c r="CK415" s="34">
        <v>1.1000000000000001</v>
      </c>
      <c r="CL415" s="27">
        <v>1.3</v>
      </c>
      <c r="CM415" s="4">
        <v>1</v>
      </c>
      <c r="CN415" s="53">
        <v>1.3</v>
      </c>
      <c r="CO415" s="54">
        <v>1.2</v>
      </c>
      <c r="CP415" s="54">
        <v>1.3</v>
      </c>
      <c r="CQ415" s="4">
        <v>0.9</v>
      </c>
    </row>
    <row r="416" spans="1:95" s="55" customFormat="1" x14ac:dyDescent="0.35">
      <c r="A416" s="55">
        <v>415</v>
      </c>
      <c r="B416" s="55" t="s">
        <v>87</v>
      </c>
      <c r="C416" s="27" t="s">
        <v>128</v>
      </c>
      <c r="D416" s="50" t="s">
        <v>88</v>
      </c>
      <c r="E416" s="33" t="s">
        <v>89</v>
      </c>
      <c r="F416" s="4">
        <f>IFERROR(AVERAGEIF(Table1[[#This Row],[2019-Apr]:[2025-July]],"&lt;&gt;0"),0)</f>
        <v>0.75345714285714305</v>
      </c>
      <c r="G416" s="4">
        <f ca="1">IFERROR(AVERAGEIF(OFFSET(Table1[[#This Row],[Status]],0,COUNT(Table1[[#This Row],[2019-May]:[2025-July]]),1,-12),"&lt;&gt;0"),0)</f>
        <v>0.746</v>
      </c>
      <c r="H416" s="55">
        <f>IFERROR(SMALL(Table1[[#This Row],[2019-Apr]:[2025-July]],COUNTIF(Table1[[#This Row],[2019-Apr]:[2025-July]],0)+1),0)</f>
        <v>0.4</v>
      </c>
      <c r="I416" s="55">
        <f>IFERROR(MAX(Table1[[#This Row],[2019-Apr]:[2025-July]]),0)</f>
        <v>2.1</v>
      </c>
      <c r="J416" s="4" cm="1">
        <f t="array" ref="J41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0.50900000000000001</v>
      </c>
      <c r="K416" s="4">
        <v>4.5</v>
      </c>
      <c r="L416" s="4">
        <f>IF(Table1[[#This Row],[Standard as per ISO]]&gt;=Table1[[#This Row],[Avg of best 6]],Table1[[#This Row],[Standard as per ISO]],Table1[[#This Row],[Avg of best 6]])</f>
        <v>4.5</v>
      </c>
      <c r="M416" s="4" cm="1">
        <f t="array" ref="M416">IFERROR(LOOKUP(2,1/(Table1[[#This Row],[2019-May]:[2025-July]]&lt;&gt;0),Table1[[#This Row],[2019-May]:[2025-July]]),0)</f>
        <v>0.7</v>
      </c>
      <c r="N416" s="4">
        <f>COUNTIF(Table1[[#This Row],[2019-Apr]:[2025-July]],"&gt;="&amp;Table1[[#This Row],[Target]])</f>
        <v>0</v>
      </c>
      <c r="O416" s="4">
        <f>IF(Table1[[#This Row],[Outliers 2Y]]=0,1,0)</f>
        <v>1</v>
      </c>
      <c r="P416" s="4">
        <f>IF(Table1[[#This Row],[Last value]]&gt;1.5*Table1[[#This Row],[Target]],1,0)</f>
        <v>0</v>
      </c>
      <c r="Q416" s="4">
        <f>IF(AND(1.5*Table1[[#This Row],[Target]]&gt;=Table1[[#This Row],[Last value]],Table1[[#This Row],[Last value]]&gt;Table1[[#This Row],[Target]]),1,0)</f>
        <v>0</v>
      </c>
      <c r="R416" s="4">
        <f>IF(Table1[[#This Row],[Target]]&gt;=Table1[[#This Row],[Last value]],1,0)</f>
        <v>1</v>
      </c>
      <c r="S416" s="4" t="str">
        <f t="shared" si="9"/>
        <v>Green</v>
      </c>
      <c r="T416" s="55">
        <v>0</v>
      </c>
      <c r="U416" s="55">
        <v>0.64</v>
      </c>
      <c r="V416" s="55">
        <v>0.75</v>
      </c>
      <c r="W416" s="55">
        <v>0.98</v>
      </c>
      <c r="X416" s="55">
        <v>0.877</v>
      </c>
      <c r="Y416" s="55">
        <v>0</v>
      </c>
      <c r="Z416" s="55">
        <v>1.07</v>
      </c>
      <c r="AA416" s="55">
        <v>0.69</v>
      </c>
      <c r="AB416" s="55">
        <v>0.59</v>
      </c>
      <c r="AC416" s="55">
        <v>0.7</v>
      </c>
      <c r="AD416" s="55">
        <v>0.8</v>
      </c>
      <c r="AE416" s="55">
        <v>2.1</v>
      </c>
      <c r="AF416" s="55">
        <v>0.8</v>
      </c>
      <c r="AG416" s="55">
        <v>0.7</v>
      </c>
      <c r="AH416" s="55">
        <v>0.6</v>
      </c>
      <c r="AI416" s="55">
        <v>0.63</v>
      </c>
      <c r="AJ416" s="55">
        <v>0.71</v>
      </c>
      <c r="AK416" s="55">
        <v>0.56999999999999995</v>
      </c>
      <c r="AL416" s="55">
        <v>0.52</v>
      </c>
      <c r="AM416" s="55">
        <v>0.67</v>
      </c>
      <c r="AN416" s="55">
        <v>0.55000000000000004</v>
      </c>
      <c r="AO416" s="55">
        <v>0.93</v>
      </c>
      <c r="AP416" s="55">
        <v>0.82</v>
      </c>
      <c r="AQ416" s="55">
        <v>0.82</v>
      </c>
      <c r="AR416" s="8">
        <v>0.77</v>
      </c>
      <c r="AS416" s="8">
        <v>0.66</v>
      </c>
      <c r="AT416" s="8">
        <v>0</v>
      </c>
      <c r="AU416" s="50">
        <v>0.74</v>
      </c>
      <c r="AV416" s="50">
        <v>0.74</v>
      </c>
      <c r="AW416" s="50">
        <v>0.71</v>
      </c>
      <c r="AX416" s="50">
        <v>0.55000000000000004</v>
      </c>
      <c r="AY416" s="50">
        <v>0.77</v>
      </c>
      <c r="AZ416" s="50">
        <v>0.65</v>
      </c>
      <c r="BA416" s="50">
        <v>0.4</v>
      </c>
      <c r="BB416" s="50">
        <v>0.6</v>
      </c>
      <c r="BC416" s="55">
        <v>0.6</v>
      </c>
      <c r="BD416" s="55">
        <v>1</v>
      </c>
      <c r="BE416" s="11">
        <v>0.56999999999999995</v>
      </c>
      <c r="BF416" s="4">
        <v>0</v>
      </c>
      <c r="BG416" s="4">
        <v>0.55000000000000004</v>
      </c>
      <c r="BH416" s="4">
        <v>0.59</v>
      </c>
      <c r="BI416" s="4">
        <v>0.68200000000000005</v>
      </c>
      <c r="BJ416" s="14">
        <v>0.61</v>
      </c>
      <c r="BK416" s="14">
        <v>0.64</v>
      </c>
      <c r="BL416" s="4">
        <v>0.57399999999999995</v>
      </c>
      <c r="BM416" s="17">
        <v>0.61199999999999999</v>
      </c>
      <c r="BN416" s="4">
        <v>0.79800000000000004</v>
      </c>
      <c r="BO416" s="4">
        <v>0.68700000000000006</v>
      </c>
      <c r="BP416" s="4">
        <v>0.71199999999999997</v>
      </c>
      <c r="BQ416" s="4">
        <v>0.53400000000000003</v>
      </c>
      <c r="BR416" s="4">
        <v>0.60799999999999998</v>
      </c>
      <c r="BS416" s="55">
        <v>0.76900000000000002</v>
      </c>
      <c r="BT416" s="4">
        <v>1.226</v>
      </c>
      <c r="BU416" s="4">
        <v>0.64500000000000002</v>
      </c>
      <c r="BV416" s="4">
        <v>0.82599999999999996</v>
      </c>
      <c r="BW416" s="4">
        <v>0.879</v>
      </c>
      <c r="BX416" s="4">
        <v>1.0109999999999999</v>
      </c>
      <c r="BY416" s="4">
        <v>0.83199999999999996</v>
      </c>
      <c r="BZ416" s="55">
        <v>0.8</v>
      </c>
      <c r="CA416" s="55">
        <v>1.39</v>
      </c>
      <c r="CB416" s="55">
        <v>0.68</v>
      </c>
      <c r="CC416" s="55">
        <v>0.59</v>
      </c>
      <c r="CD416" s="55">
        <v>1.06</v>
      </c>
      <c r="CE416" s="19">
        <v>0</v>
      </c>
      <c r="CF416" s="19">
        <v>0.5</v>
      </c>
      <c r="CG416" s="4">
        <v>0.78</v>
      </c>
      <c r="CH416" s="4">
        <v>0</v>
      </c>
      <c r="CI416" s="4">
        <v>0.68</v>
      </c>
      <c r="CJ416" s="34">
        <v>0.6</v>
      </c>
      <c r="CK416" s="34">
        <v>0.7</v>
      </c>
      <c r="CL416" s="27">
        <v>1.1000000000000001</v>
      </c>
      <c r="CM416" s="4">
        <v>0.7</v>
      </c>
      <c r="CN416" s="53">
        <v>0.7</v>
      </c>
      <c r="CO416" s="54">
        <v>0.8</v>
      </c>
      <c r="CP416" s="54">
        <v>0.9</v>
      </c>
      <c r="CQ416" s="4">
        <v>0.7</v>
      </c>
    </row>
    <row r="417" spans="1:95" s="55" customFormat="1" x14ac:dyDescent="0.35">
      <c r="A417" s="55">
        <v>416</v>
      </c>
      <c r="B417" s="55" t="s">
        <v>87</v>
      </c>
      <c r="C417" s="27" t="s">
        <v>129</v>
      </c>
      <c r="D417" s="50" t="s">
        <v>88</v>
      </c>
      <c r="E417" s="33" t="s">
        <v>89</v>
      </c>
      <c r="F417" s="4">
        <f>IFERROR(AVERAGEIF(Table1[[#This Row],[2019-Apr]:[2025-July]],"&lt;&gt;0"),0)</f>
        <v>4.1577500000000001</v>
      </c>
      <c r="G417" s="4">
        <f ca="1">IFERROR(AVERAGEIF(OFFSET(Table1[[#This Row],[Status]],0,COUNT(Table1[[#This Row],[2019-May]:[2025-July]]),1,-12),"&lt;&gt;0"),0)</f>
        <v>3.0979999999999999</v>
      </c>
      <c r="H417" s="55">
        <f>IFERROR(SMALL(Table1[[#This Row],[2019-Apr]:[2025-July]],COUNTIF(Table1[[#This Row],[2019-Apr]:[2025-July]],0)+1),0)</f>
        <v>2.2999999999999998</v>
      </c>
      <c r="I417" s="55">
        <f>IFERROR(MAX(Table1[[#This Row],[2019-Apr]:[2025-July]]),0)</f>
        <v>7.22</v>
      </c>
      <c r="J417" s="4" cm="1">
        <f t="array" ref="J41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2.6271666666666671</v>
      </c>
      <c r="K417" s="4">
        <v>4.5</v>
      </c>
      <c r="L417" s="4">
        <f>IF(Table1[[#This Row],[Standard as per ISO]]&gt;=Table1[[#This Row],[Avg of best 6]],Table1[[#This Row],[Standard as per ISO]],Table1[[#This Row],[Avg of best 6]])</f>
        <v>4.5</v>
      </c>
      <c r="M417" s="4" cm="1">
        <f t="array" ref="M417">IFERROR(LOOKUP(2,1/(Table1[[#This Row],[2019-May]:[2025-July]]&lt;&gt;0),Table1[[#This Row],[2019-May]:[2025-July]]),0)</f>
        <v>4.3</v>
      </c>
      <c r="N417" s="4">
        <f>COUNTIF(Table1[[#This Row],[2019-Apr]:[2025-July]],"&gt;="&amp;Table1[[#This Row],[Target]])</f>
        <v>27</v>
      </c>
      <c r="O417" s="4">
        <f>IF(Table1[[#This Row],[Outliers 2Y]]=0,1,0)</f>
        <v>0</v>
      </c>
      <c r="P417" s="4">
        <f>IF(Table1[[#This Row],[Last value]]&gt;1.5*Table1[[#This Row],[Target]],1,0)</f>
        <v>0</v>
      </c>
      <c r="Q417" s="4">
        <f>IF(AND(1.5*Table1[[#This Row],[Target]]&gt;=Table1[[#This Row],[Last value]],Table1[[#This Row],[Last value]]&gt;Table1[[#This Row],[Target]]),1,0)</f>
        <v>0</v>
      </c>
      <c r="R417" s="4">
        <f>IF(Table1[[#This Row],[Target]]&gt;=Table1[[#This Row],[Last value]],1,0)</f>
        <v>1</v>
      </c>
      <c r="S417" s="4" t="str">
        <f t="shared" si="9"/>
        <v>Green</v>
      </c>
      <c r="T417" s="55">
        <v>0</v>
      </c>
      <c r="U417" s="55">
        <v>4.5</v>
      </c>
      <c r="V417" s="55">
        <v>5.65</v>
      </c>
      <c r="W417" s="55">
        <v>5.9</v>
      </c>
      <c r="X417" s="55">
        <v>5.93</v>
      </c>
      <c r="Y417" s="55">
        <v>0</v>
      </c>
      <c r="Z417" s="55">
        <v>6.91</v>
      </c>
      <c r="AA417" s="55">
        <v>0</v>
      </c>
      <c r="AB417" s="55">
        <v>4.5</v>
      </c>
      <c r="AC417" s="55">
        <v>4.8</v>
      </c>
      <c r="AD417" s="55">
        <v>5.7</v>
      </c>
      <c r="AE417" s="55">
        <v>6.9</v>
      </c>
      <c r="AF417" s="55">
        <v>5.2</v>
      </c>
      <c r="AG417" s="55">
        <v>5.38</v>
      </c>
      <c r="AH417" s="55">
        <v>5.8</v>
      </c>
      <c r="AI417" s="55">
        <v>4.6500000000000004</v>
      </c>
      <c r="AJ417" s="55">
        <v>6.36</v>
      </c>
      <c r="AK417" s="55">
        <v>5.73</v>
      </c>
      <c r="AL417" s="55">
        <v>5.3</v>
      </c>
      <c r="AM417" s="55">
        <v>7.22</v>
      </c>
      <c r="AN417" s="55">
        <v>5.5</v>
      </c>
      <c r="AO417" s="55">
        <v>5.63</v>
      </c>
      <c r="AP417" s="55">
        <v>3.9</v>
      </c>
      <c r="AQ417" s="55">
        <v>5.0199999999999996</v>
      </c>
      <c r="AR417" s="8">
        <v>4.9400000000000004</v>
      </c>
      <c r="AS417" s="8">
        <v>4.88</v>
      </c>
      <c r="AT417" s="8">
        <v>0</v>
      </c>
      <c r="AU417" s="50">
        <v>4.8</v>
      </c>
      <c r="AV417" s="50">
        <v>4.8</v>
      </c>
      <c r="AW417" s="50">
        <v>4.08</v>
      </c>
      <c r="AX417" s="50">
        <v>4.68</v>
      </c>
      <c r="AY417" s="50">
        <v>2.99</v>
      </c>
      <c r="AZ417" s="50">
        <v>3.39</v>
      </c>
      <c r="BA417" s="50">
        <v>3</v>
      </c>
      <c r="BB417" s="50">
        <v>2.7</v>
      </c>
      <c r="BC417" s="55">
        <v>4.5999999999999996</v>
      </c>
      <c r="BD417" s="55">
        <v>3.4</v>
      </c>
      <c r="BE417" s="11">
        <v>3.64</v>
      </c>
      <c r="BF417" s="4">
        <v>0</v>
      </c>
      <c r="BG417" s="4">
        <v>4.1500000000000004</v>
      </c>
      <c r="BH417" s="4">
        <v>4.0199999999999996</v>
      </c>
      <c r="BI417" s="4">
        <v>3.1480000000000001</v>
      </c>
      <c r="BJ417" s="13">
        <v>3.157</v>
      </c>
      <c r="BK417" s="13">
        <v>2.9049999999999998</v>
      </c>
      <c r="BL417" s="4">
        <v>3.6339999999999999</v>
      </c>
      <c r="BM417" s="16">
        <v>2.9159999999999999</v>
      </c>
      <c r="BN417" s="4">
        <v>3.6440000000000001</v>
      </c>
      <c r="BO417" s="4">
        <v>3.5819999999999999</v>
      </c>
      <c r="BP417" s="4">
        <v>2.9390000000000001</v>
      </c>
      <c r="BQ417" s="4">
        <v>2.968</v>
      </c>
      <c r="BR417" s="4">
        <v>3.0489999999999999</v>
      </c>
      <c r="BS417" s="55">
        <v>3.5710000000000002</v>
      </c>
      <c r="BT417" s="4">
        <v>3.8090000000000002</v>
      </c>
      <c r="BU417" s="4">
        <v>2.7759999999999998</v>
      </c>
      <c r="BV417" s="4">
        <v>3.214</v>
      </c>
      <c r="BW417" s="4">
        <v>2.6869999999999998</v>
      </c>
      <c r="BX417" s="4">
        <v>3.6</v>
      </c>
      <c r="BY417" s="4">
        <v>3.8780000000000001</v>
      </c>
      <c r="BZ417" s="55">
        <v>3.33</v>
      </c>
      <c r="CA417" s="55">
        <v>4.1900000000000004</v>
      </c>
      <c r="CB417" s="55">
        <v>3.13</v>
      </c>
      <c r="CC417" s="55">
        <v>4.7699999999999996</v>
      </c>
      <c r="CD417" s="55">
        <v>0</v>
      </c>
      <c r="CE417" s="19">
        <v>0</v>
      </c>
      <c r="CF417" s="19">
        <v>3.3</v>
      </c>
      <c r="CG417" s="4">
        <v>3.17</v>
      </c>
      <c r="CH417" s="4">
        <v>0</v>
      </c>
      <c r="CI417" s="4">
        <v>3.31</v>
      </c>
      <c r="CJ417" s="34">
        <v>2.5</v>
      </c>
      <c r="CK417" s="34">
        <v>2.8</v>
      </c>
      <c r="CL417" s="27">
        <v>2.2999999999999998</v>
      </c>
      <c r="CM417" s="4">
        <v>3.5</v>
      </c>
      <c r="CN417" s="53">
        <v>3.3</v>
      </c>
      <c r="CO417" s="54">
        <v>3.8</v>
      </c>
      <c r="CP417" s="54">
        <v>3</v>
      </c>
      <c r="CQ417" s="4">
        <v>4.3</v>
      </c>
    </row>
    <row r="418" spans="1:95" s="55" customFormat="1" x14ac:dyDescent="0.35">
      <c r="A418" s="55">
        <v>417</v>
      </c>
      <c r="B418" s="55" t="s">
        <v>87</v>
      </c>
      <c r="C418" s="27" t="s">
        <v>130</v>
      </c>
      <c r="D418" s="50" t="s">
        <v>88</v>
      </c>
      <c r="E418" s="33" t="s">
        <v>89</v>
      </c>
      <c r="F418" s="4">
        <f>IFERROR(AVERAGEIF(Table1[[#This Row],[2019-Apr]:[2025-July]],"&lt;&gt;0"),0)</f>
        <v>5.3888550724637678</v>
      </c>
      <c r="G418" s="4">
        <f ca="1">IFERROR(AVERAGEIF(OFFSET(Table1[[#This Row],[Status]],0,COUNT(Table1[[#This Row],[2019-May]:[2025-July]]),1,-12),"&lt;&gt;0"),0)</f>
        <v>5.3169999999999993</v>
      </c>
      <c r="H418" s="55">
        <f>IFERROR(SMALL(Table1[[#This Row],[2019-Apr]:[2025-July]],COUNTIF(Table1[[#This Row],[2019-Apr]:[2025-July]],0)+1),0)</f>
        <v>3.2</v>
      </c>
      <c r="I418" s="55">
        <f>IFERROR(MAX(Table1[[#This Row],[2019-Apr]:[2025-July]]),0)</f>
        <v>9.5399999999999991</v>
      </c>
      <c r="J418" s="4" cm="1">
        <f t="array" ref="J41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3.35</v>
      </c>
      <c r="K418" s="4">
        <v>4.5</v>
      </c>
      <c r="L418" s="4">
        <f>IF(Table1[[#This Row],[Standard as per ISO]]&gt;=Table1[[#This Row],[Avg of best 6]],Table1[[#This Row],[Standard as per ISO]],Table1[[#This Row],[Avg of best 6]])</f>
        <v>4.5</v>
      </c>
      <c r="M418" s="4" cm="1">
        <f t="array" ref="M418">IFERROR(LOOKUP(2,1/(Table1[[#This Row],[2019-May]:[2025-July]]&lt;&gt;0),Table1[[#This Row],[2019-May]:[2025-July]]),0)</f>
        <v>5.5</v>
      </c>
      <c r="N418" s="4">
        <f>COUNTIF(Table1[[#This Row],[2019-Apr]:[2025-July]],"&gt;="&amp;Table1[[#This Row],[Target]])</f>
        <v>48</v>
      </c>
      <c r="O418" s="4">
        <f>IF(Table1[[#This Row],[Outliers 2Y]]=0,1,0)</f>
        <v>0</v>
      </c>
      <c r="P418" s="4">
        <f>IF(Table1[[#This Row],[Last value]]&gt;1.5*Table1[[#This Row],[Target]],1,0)</f>
        <v>0</v>
      </c>
      <c r="Q418" s="4">
        <f>IF(AND(1.5*Table1[[#This Row],[Target]]&gt;=Table1[[#This Row],[Last value]],Table1[[#This Row],[Last value]]&gt;Table1[[#This Row],[Target]]),1,0)</f>
        <v>1</v>
      </c>
      <c r="R418" s="4">
        <f>IF(Table1[[#This Row],[Target]]&gt;=Table1[[#This Row],[Last value]],1,0)</f>
        <v>0</v>
      </c>
      <c r="S418" s="4" t="str">
        <f t="shared" si="9"/>
        <v>Yellow</v>
      </c>
      <c r="T418" s="55">
        <v>0</v>
      </c>
      <c r="U418" s="55">
        <v>6.49</v>
      </c>
      <c r="V418" s="55">
        <v>7.24</v>
      </c>
      <c r="W418" s="55">
        <v>5.86</v>
      </c>
      <c r="X418" s="55">
        <v>6.18</v>
      </c>
      <c r="Y418" s="55">
        <v>0</v>
      </c>
      <c r="Z418" s="55">
        <v>5.9</v>
      </c>
      <c r="AA418" s="55">
        <v>6.4</v>
      </c>
      <c r="AB418" s="55">
        <v>5.81</v>
      </c>
      <c r="AC418" s="55">
        <v>5.4</v>
      </c>
      <c r="AD418" s="55">
        <v>5.9</v>
      </c>
      <c r="AE418" s="55">
        <v>8.4</v>
      </c>
      <c r="AF418" s="55">
        <v>5.5</v>
      </c>
      <c r="AG418" s="55">
        <v>5.8</v>
      </c>
      <c r="AH418" s="55">
        <v>5.5</v>
      </c>
      <c r="AI418" s="55">
        <v>6.24</v>
      </c>
      <c r="AJ418" s="55">
        <v>6.77</v>
      </c>
      <c r="AK418" s="55">
        <v>6.73</v>
      </c>
      <c r="AL418" s="55">
        <v>9.5399999999999991</v>
      </c>
      <c r="AM418" s="55">
        <v>8.07</v>
      </c>
      <c r="AN418" s="55">
        <v>5.4</v>
      </c>
      <c r="AO418" s="55">
        <v>5.14</v>
      </c>
      <c r="AP418" s="55">
        <v>7.7</v>
      </c>
      <c r="AQ418" s="55">
        <v>6.26</v>
      </c>
      <c r="AR418" s="8">
        <v>7.32</v>
      </c>
      <c r="AS418" s="8">
        <v>8.6300000000000008</v>
      </c>
      <c r="AT418" s="8">
        <v>0</v>
      </c>
      <c r="AU418" s="50">
        <v>7.95</v>
      </c>
      <c r="AV418" s="50">
        <v>6.54</v>
      </c>
      <c r="AW418" s="50">
        <v>6.5</v>
      </c>
      <c r="AX418" s="50">
        <v>7.12</v>
      </c>
      <c r="AY418" s="50">
        <v>5.86</v>
      </c>
      <c r="AZ418" s="50">
        <v>5.05</v>
      </c>
      <c r="BA418" s="50">
        <v>3.9</v>
      </c>
      <c r="BB418" s="50">
        <v>3.5</v>
      </c>
      <c r="BC418" s="55">
        <v>4</v>
      </c>
      <c r="BD418" s="55">
        <v>3.2</v>
      </c>
      <c r="BE418" s="11">
        <v>3.6230000000000002</v>
      </c>
      <c r="BF418" s="4">
        <v>0</v>
      </c>
      <c r="BG418" s="4">
        <v>3.78</v>
      </c>
      <c r="BH418" s="4">
        <v>3.44</v>
      </c>
      <c r="BI418" s="4">
        <v>3.27</v>
      </c>
      <c r="BJ418" s="14">
        <v>3.8130000000000002</v>
      </c>
      <c r="BK418" s="14">
        <v>3.9950000000000001</v>
      </c>
      <c r="BL418" s="4">
        <v>3.2879999999999998</v>
      </c>
      <c r="BM418" s="17">
        <v>3.794</v>
      </c>
      <c r="BN418" s="4">
        <v>3.4020000000000001</v>
      </c>
      <c r="BO418" s="4">
        <v>4.1660000000000004</v>
      </c>
      <c r="BP418" s="4">
        <v>3.786</v>
      </c>
      <c r="BQ418" s="4">
        <v>4.4980000000000002</v>
      </c>
      <c r="BR418" s="4">
        <v>5.0730000000000004</v>
      </c>
      <c r="BS418" s="55">
        <v>4.6150000000000002</v>
      </c>
      <c r="BT418" s="4">
        <v>3.9279999999999999</v>
      </c>
      <c r="BU418" s="4">
        <v>4.7480000000000002</v>
      </c>
      <c r="BV418" s="4">
        <v>5.3650000000000002</v>
      </c>
      <c r="BW418" s="4">
        <v>5.0519999999999996</v>
      </c>
      <c r="BX418" s="4">
        <v>4.7169999999999996</v>
      </c>
      <c r="BY418" s="4">
        <v>4.8280000000000003</v>
      </c>
      <c r="BZ418" s="55">
        <v>4.6500000000000004</v>
      </c>
      <c r="CA418" s="55">
        <v>4.87</v>
      </c>
      <c r="CB418" s="55">
        <v>4.41</v>
      </c>
      <c r="CC418" s="55">
        <v>4.25</v>
      </c>
      <c r="CD418" s="55">
        <v>0</v>
      </c>
      <c r="CE418" s="19">
        <v>0</v>
      </c>
      <c r="CF418" s="19">
        <v>4.4000000000000004</v>
      </c>
      <c r="CG418" s="4">
        <v>4.6900000000000004</v>
      </c>
      <c r="CH418" s="4">
        <v>0</v>
      </c>
      <c r="CI418" s="4">
        <v>4.18</v>
      </c>
      <c r="CJ418" s="34">
        <v>5.5</v>
      </c>
      <c r="CK418" s="34">
        <v>5.0999999999999996</v>
      </c>
      <c r="CL418" s="27">
        <v>6.8</v>
      </c>
      <c r="CM418" s="4">
        <v>5.8</v>
      </c>
      <c r="CN418" s="53">
        <v>5.3</v>
      </c>
      <c r="CO418" s="54">
        <v>6</v>
      </c>
      <c r="CP418" s="54">
        <v>5.4</v>
      </c>
      <c r="CQ418" s="4">
        <v>5.5</v>
      </c>
    </row>
    <row r="419" spans="1:95" s="55" customFormat="1" x14ac:dyDescent="0.35">
      <c r="A419" s="55">
        <v>418</v>
      </c>
      <c r="B419" s="55" t="s">
        <v>87</v>
      </c>
      <c r="C419" s="27" t="s">
        <v>131</v>
      </c>
      <c r="D419" s="50" t="s">
        <v>88</v>
      </c>
      <c r="E419" s="33" t="s">
        <v>89</v>
      </c>
      <c r="F419" s="4">
        <f>IFERROR(AVERAGEIF(Table1[[#This Row],[2019-Apr]:[2025-July]],"&lt;&gt;0"),0)</f>
        <v>0.93479710144927541</v>
      </c>
      <c r="G419" s="4">
        <f ca="1">IFERROR(AVERAGEIF(OFFSET(Table1[[#This Row],[Status]],0,COUNT(Table1[[#This Row],[2019-May]:[2025-July]]),1,-12),"&lt;&gt;0"),0)</f>
        <v>1.417</v>
      </c>
      <c r="H419" s="55">
        <f>IFERROR(SMALL(Table1[[#This Row],[2019-Apr]:[2025-July]],COUNTIF(Table1[[#This Row],[2019-Apr]:[2025-July]],0)+1),0)</f>
        <v>0.5</v>
      </c>
      <c r="I419" s="55">
        <f>IFERROR(MAX(Table1[[#This Row],[2019-Apr]:[2025-July]]),0)</f>
        <v>5.4</v>
      </c>
      <c r="J419" s="4" cm="1">
        <f t="array" ref="J41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0.51749999999999996</v>
      </c>
      <c r="K419" s="4">
        <v>4.5</v>
      </c>
      <c r="L419" s="4">
        <f>IF(Table1[[#This Row],[Standard as per ISO]]&gt;=Table1[[#This Row],[Avg of best 6]],Table1[[#This Row],[Standard as per ISO]],Table1[[#This Row],[Avg of best 6]])</f>
        <v>4.5</v>
      </c>
      <c r="M419" s="4" cm="1">
        <f t="array" ref="M419">IFERROR(LOOKUP(2,1/(Table1[[#This Row],[2019-May]:[2025-July]]&lt;&gt;0),Table1[[#This Row],[2019-May]:[2025-July]]),0)</f>
        <v>1.8</v>
      </c>
      <c r="N419" s="4">
        <f>COUNTIF(Table1[[#This Row],[2019-Apr]:[2025-July]],"&gt;="&amp;Table1[[#This Row],[Target]])</f>
        <v>1</v>
      </c>
      <c r="O419" s="4">
        <f>IF(Table1[[#This Row],[Outliers 2Y]]=0,1,0)</f>
        <v>0</v>
      </c>
      <c r="P419" s="4">
        <f>IF(Table1[[#This Row],[Last value]]&gt;1.5*Table1[[#This Row],[Target]],1,0)</f>
        <v>0</v>
      </c>
      <c r="Q419" s="4">
        <f>IF(AND(1.5*Table1[[#This Row],[Target]]&gt;=Table1[[#This Row],[Last value]],Table1[[#This Row],[Last value]]&gt;Table1[[#This Row],[Target]]),1,0)</f>
        <v>0</v>
      </c>
      <c r="R419" s="4">
        <f>IF(Table1[[#This Row],[Target]]&gt;=Table1[[#This Row],[Last value]],1,0)</f>
        <v>1</v>
      </c>
      <c r="S419" s="4" t="str">
        <f t="shared" si="9"/>
        <v>Green</v>
      </c>
      <c r="T419" s="55">
        <v>0</v>
      </c>
      <c r="U419" s="55">
        <v>0.71</v>
      </c>
      <c r="V419" s="55">
        <v>0.68</v>
      </c>
      <c r="W419" s="55">
        <v>1</v>
      </c>
      <c r="X419" s="55">
        <v>0.85599999999999998</v>
      </c>
      <c r="Y419" s="55">
        <v>0.70699999999999996</v>
      </c>
      <c r="Z419" s="55">
        <v>0.61</v>
      </c>
      <c r="AA419" s="55">
        <v>0.5</v>
      </c>
      <c r="AB419" s="55">
        <v>1.36</v>
      </c>
      <c r="AC419" s="55">
        <v>0.5</v>
      </c>
      <c r="AD419" s="55">
        <v>0.6</v>
      </c>
      <c r="AE419" s="55">
        <v>1.4</v>
      </c>
      <c r="AF419" s="55">
        <v>1.3</v>
      </c>
      <c r="AG419" s="55">
        <v>1</v>
      </c>
      <c r="AH419" s="55">
        <v>0</v>
      </c>
      <c r="AI419" s="55">
        <v>1.04</v>
      </c>
      <c r="AJ419" s="55">
        <v>1.3</v>
      </c>
      <c r="AK419" s="55">
        <v>0.69</v>
      </c>
      <c r="AL419" s="55">
        <v>0.88</v>
      </c>
      <c r="AM419" s="55">
        <v>0.92</v>
      </c>
      <c r="AN419" s="55">
        <v>0.87</v>
      </c>
      <c r="AO419" s="55">
        <v>0.81</v>
      </c>
      <c r="AP419" s="55">
        <v>0.8</v>
      </c>
      <c r="AQ419" s="55">
        <v>0.67</v>
      </c>
      <c r="AR419" s="8">
        <v>0.88</v>
      </c>
      <c r="AS419" s="8">
        <v>0.84</v>
      </c>
      <c r="AT419" s="8">
        <v>0</v>
      </c>
      <c r="AU419" s="50">
        <v>0.98</v>
      </c>
      <c r="AV419" s="50">
        <v>0.88</v>
      </c>
      <c r="AW419" s="50">
        <v>1.31</v>
      </c>
      <c r="AX419" s="50">
        <v>0.77</v>
      </c>
      <c r="AY419" s="50">
        <v>0.8</v>
      </c>
      <c r="AZ419" s="50">
        <v>1.03</v>
      </c>
      <c r="BA419" s="50">
        <v>0.5</v>
      </c>
      <c r="BB419" s="50">
        <v>0.7</v>
      </c>
      <c r="BC419" s="55">
        <v>0.7</v>
      </c>
      <c r="BD419" s="55">
        <v>1.2</v>
      </c>
      <c r="BE419" s="11">
        <v>0.52500000000000002</v>
      </c>
      <c r="BF419" s="4">
        <v>0</v>
      </c>
      <c r="BG419" s="4">
        <v>0.93</v>
      </c>
      <c r="BH419" s="4">
        <v>0.78</v>
      </c>
      <c r="BI419" s="4">
        <v>0.79</v>
      </c>
      <c r="BJ419" s="13">
        <v>0.83399999999999996</v>
      </c>
      <c r="BK419" s="13">
        <v>1.0569999999999999</v>
      </c>
      <c r="BL419" s="4">
        <v>0.95499999999999996</v>
      </c>
      <c r="BM419" s="16">
        <v>1.0640000000000001</v>
      </c>
      <c r="BN419" s="4">
        <v>0.96599999999999997</v>
      </c>
      <c r="BO419" s="4">
        <v>0.96799999999999997</v>
      </c>
      <c r="BP419" s="4">
        <v>0.81299999999999994</v>
      </c>
      <c r="BQ419" s="4">
        <v>0.83399999999999996</v>
      </c>
      <c r="BR419" s="4">
        <v>0.90600000000000003</v>
      </c>
      <c r="BS419" s="55">
        <v>0.68500000000000005</v>
      </c>
      <c r="BT419" s="4">
        <v>0.93400000000000005</v>
      </c>
      <c r="BU419" s="4">
        <v>0.64200000000000002</v>
      </c>
      <c r="BV419" s="4">
        <v>0.96299999999999997</v>
      </c>
      <c r="BW419" s="4">
        <v>0.72399999999999998</v>
      </c>
      <c r="BX419" s="4">
        <v>0.623</v>
      </c>
      <c r="BY419" s="4">
        <v>0.56499999999999995</v>
      </c>
      <c r="BZ419" s="55">
        <v>0.54</v>
      </c>
      <c r="CA419" s="55">
        <v>0.54</v>
      </c>
      <c r="CB419" s="55">
        <v>0.56000000000000005</v>
      </c>
      <c r="CC419" s="55">
        <v>0.54</v>
      </c>
      <c r="CD419" s="55">
        <v>0</v>
      </c>
      <c r="CE419" s="19">
        <v>0</v>
      </c>
      <c r="CF419" s="19">
        <v>0.7</v>
      </c>
      <c r="CG419" s="4">
        <v>0.69</v>
      </c>
      <c r="CH419" s="4">
        <v>0</v>
      </c>
      <c r="CI419" s="4">
        <v>0.78</v>
      </c>
      <c r="CJ419" s="34">
        <v>0.7</v>
      </c>
      <c r="CK419" s="34">
        <v>0.6</v>
      </c>
      <c r="CL419" s="27">
        <v>1.4</v>
      </c>
      <c r="CM419" s="4">
        <v>1</v>
      </c>
      <c r="CN419" s="53">
        <v>1.4</v>
      </c>
      <c r="CO419" s="54">
        <v>5.4</v>
      </c>
      <c r="CP419" s="54">
        <v>1.5</v>
      </c>
      <c r="CQ419" s="4">
        <v>1.8</v>
      </c>
    </row>
    <row r="420" spans="1:95" s="55" customFormat="1" x14ac:dyDescent="0.35">
      <c r="A420" s="55">
        <v>419</v>
      </c>
      <c r="B420" s="55" t="s">
        <v>87</v>
      </c>
      <c r="C420" s="27" t="s">
        <v>132</v>
      </c>
      <c r="D420" s="50" t="s">
        <v>88</v>
      </c>
      <c r="E420" s="33" t="s">
        <v>89</v>
      </c>
      <c r="F420" s="4">
        <f>IFERROR(AVERAGEIF(Table1[[#This Row],[2019-Apr]:[2025-July]],"&lt;&gt;0"),0)</f>
        <v>1.2129710144927539</v>
      </c>
      <c r="G420" s="4">
        <f ca="1">IFERROR(AVERAGEIF(OFFSET(Table1[[#This Row],[Status]],0,COUNT(Table1[[#This Row],[2019-May]:[2025-July]]),1,-12),"&lt;&gt;0"),0)</f>
        <v>1.4280000000000002</v>
      </c>
      <c r="H420" s="55">
        <f>IFERROR(SMALL(Table1[[#This Row],[2019-Apr]:[2025-July]],COUNTIF(Table1[[#This Row],[2019-Apr]:[2025-July]],0)+1),0)</f>
        <v>0.73</v>
      </c>
      <c r="I420" s="55">
        <f>IFERROR(MAX(Table1[[#This Row],[2019-Apr]:[2025-July]]),0)</f>
        <v>5.2</v>
      </c>
      <c r="J420" s="4" cm="1">
        <f t="array" ref="J42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0.76616666666666677</v>
      </c>
      <c r="K420" s="4">
        <v>4.5</v>
      </c>
      <c r="L420" s="4">
        <f>IF(Table1[[#This Row],[Standard as per ISO]]&gt;=Table1[[#This Row],[Avg of best 6]],Table1[[#This Row],[Standard as per ISO]],Table1[[#This Row],[Avg of best 6]])</f>
        <v>4.5</v>
      </c>
      <c r="M420" s="4" cm="1">
        <f t="array" ref="M420">IFERROR(LOOKUP(2,1/(Table1[[#This Row],[2019-May]:[2025-July]]&lt;&gt;0),Table1[[#This Row],[2019-May]:[2025-July]]),0)</f>
        <v>0.8</v>
      </c>
      <c r="N420" s="4">
        <f>COUNTIF(Table1[[#This Row],[2019-Apr]:[2025-July]],"&gt;="&amp;Table1[[#This Row],[Target]])</f>
        <v>1</v>
      </c>
      <c r="O420" s="4">
        <f>IF(Table1[[#This Row],[Outliers 2Y]]=0,1,0)</f>
        <v>0</v>
      </c>
      <c r="P420" s="4">
        <f>IF(Table1[[#This Row],[Last value]]&gt;1.5*Table1[[#This Row],[Target]],1,0)</f>
        <v>0</v>
      </c>
      <c r="Q420" s="4">
        <f>IF(AND(1.5*Table1[[#This Row],[Target]]&gt;=Table1[[#This Row],[Last value]],Table1[[#This Row],[Last value]]&gt;Table1[[#This Row],[Target]]),1,0)</f>
        <v>0</v>
      </c>
      <c r="R420" s="4">
        <f>IF(Table1[[#This Row],[Target]]&gt;=Table1[[#This Row],[Last value]],1,0)</f>
        <v>1</v>
      </c>
      <c r="S420" s="4" t="str">
        <f t="shared" si="9"/>
        <v>Green</v>
      </c>
      <c r="T420" s="55">
        <v>0</v>
      </c>
      <c r="U420" s="55">
        <v>2.34</v>
      </c>
      <c r="V420" s="55">
        <v>1.1399999999999999</v>
      </c>
      <c r="W420" s="55">
        <v>1.1499999999999999</v>
      </c>
      <c r="X420" s="55">
        <v>0.77700000000000002</v>
      </c>
      <c r="Y420" s="55">
        <v>0</v>
      </c>
      <c r="Z420" s="55">
        <v>1.2</v>
      </c>
      <c r="AA420" s="55">
        <v>0.73</v>
      </c>
      <c r="AB420" s="55">
        <v>0.79</v>
      </c>
      <c r="AC420" s="55">
        <v>0.88</v>
      </c>
      <c r="AD420" s="55">
        <v>1.1000000000000001</v>
      </c>
      <c r="AE420" s="55">
        <v>1.9</v>
      </c>
      <c r="AF420" s="55">
        <v>1.4</v>
      </c>
      <c r="AG420" s="55">
        <v>1</v>
      </c>
      <c r="AH420" s="55">
        <v>1.4</v>
      </c>
      <c r="AI420" s="55">
        <v>1.33</v>
      </c>
      <c r="AJ420" s="55">
        <v>1</v>
      </c>
      <c r="AK420" s="55">
        <v>1.32</v>
      </c>
      <c r="AL420" s="55">
        <v>2.2999999999999998</v>
      </c>
      <c r="AM420" s="55">
        <v>0.78</v>
      </c>
      <c r="AN420" s="55">
        <v>0.99</v>
      </c>
      <c r="AO420" s="55">
        <v>0.76</v>
      </c>
      <c r="AP420" s="55">
        <v>0.91</v>
      </c>
      <c r="AQ420" s="55">
        <v>1.0900000000000001</v>
      </c>
      <c r="AR420" s="8">
        <v>1.18</v>
      </c>
      <c r="AS420" s="8">
        <v>1.03</v>
      </c>
      <c r="AT420" s="8">
        <v>0</v>
      </c>
      <c r="AU420" s="50">
        <v>1.54</v>
      </c>
      <c r="AV420" s="50">
        <v>1.67</v>
      </c>
      <c r="AW420" s="50">
        <v>0.79</v>
      </c>
      <c r="AX420" s="50">
        <v>0.76</v>
      </c>
      <c r="AY420" s="50">
        <v>1.0900000000000001</v>
      </c>
      <c r="AZ420" s="50">
        <v>1.03</v>
      </c>
      <c r="BA420" s="50">
        <v>1.3</v>
      </c>
      <c r="BB420" s="50">
        <v>1.2</v>
      </c>
      <c r="BC420" s="55">
        <v>1.1000000000000001</v>
      </c>
      <c r="BD420" s="55">
        <v>1.6</v>
      </c>
      <c r="BE420" s="11">
        <v>1.45</v>
      </c>
      <c r="BF420" s="4">
        <v>0</v>
      </c>
      <c r="BG420" s="4">
        <v>1.24</v>
      </c>
      <c r="BH420" s="4">
        <v>1.26</v>
      </c>
      <c r="BI420" s="4">
        <v>1.1599999999999999</v>
      </c>
      <c r="BJ420" s="14">
        <v>1.244</v>
      </c>
      <c r="BK420" s="14">
        <v>1.244</v>
      </c>
      <c r="BL420" s="4">
        <v>1.3380000000000001</v>
      </c>
      <c r="BM420" s="17">
        <v>1.405</v>
      </c>
      <c r="BN420" s="4">
        <v>1.1479999999999999</v>
      </c>
      <c r="BO420" s="4">
        <v>1.399</v>
      </c>
      <c r="BP420" s="4">
        <v>1.5860000000000001</v>
      </c>
      <c r="BQ420" s="4">
        <v>0.877</v>
      </c>
      <c r="BR420" s="4">
        <v>0.94699999999999995</v>
      </c>
      <c r="BS420" s="55">
        <v>0.79500000000000004</v>
      </c>
      <c r="BT420" s="4">
        <v>1.224</v>
      </c>
      <c r="BU420" s="4">
        <v>0.81599999999999995</v>
      </c>
      <c r="BV420" s="4">
        <v>1.0029999999999999</v>
      </c>
      <c r="BW420" s="4">
        <v>1.3979999999999999</v>
      </c>
      <c r="BX420" s="4">
        <v>1.1240000000000001</v>
      </c>
      <c r="BY420" s="4">
        <v>1</v>
      </c>
      <c r="BZ420" s="55">
        <v>0.85</v>
      </c>
      <c r="CA420" s="55">
        <v>1.21</v>
      </c>
      <c r="CB420" s="55">
        <v>0.79</v>
      </c>
      <c r="CC420" s="55">
        <v>1.53</v>
      </c>
      <c r="CD420" s="55">
        <v>0</v>
      </c>
      <c r="CE420" s="19">
        <v>0</v>
      </c>
      <c r="CF420" s="19">
        <v>1</v>
      </c>
      <c r="CG420" s="4">
        <v>0.83</v>
      </c>
      <c r="CH420" s="4">
        <v>0</v>
      </c>
      <c r="CI420" s="4">
        <v>1.1499999999999999</v>
      </c>
      <c r="CJ420" s="34">
        <v>1</v>
      </c>
      <c r="CK420" s="34">
        <v>0.9</v>
      </c>
      <c r="CL420" s="27">
        <v>1.2</v>
      </c>
      <c r="CM420" s="4">
        <v>0.8</v>
      </c>
      <c r="CN420" s="53">
        <v>1.2</v>
      </c>
      <c r="CO420" s="54">
        <v>5.2</v>
      </c>
      <c r="CP420" s="54">
        <v>1</v>
      </c>
      <c r="CQ420" s="4">
        <v>0.8</v>
      </c>
    </row>
    <row r="421" spans="1:95" s="55" customFormat="1" x14ac:dyDescent="0.35">
      <c r="A421" s="55">
        <v>420</v>
      </c>
      <c r="B421" s="55" t="s">
        <v>87</v>
      </c>
      <c r="C421" s="27" t="s">
        <v>133</v>
      </c>
      <c r="D421" s="50" t="s">
        <v>88</v>
      </c>
      <c r="E421" s="33" t="s">
        <v>89</v>
      </c>
      <c r="F421" s="4">
        <f>IFERROR(AVERAGEIF(Table1[[#This Row],[2019-Apr]:[2025-July]],"&lt;&gt;0"),0)</f>
        <v>5.1175285714285721</v>
      </c>
      <c r="G421" s="4">
        <f ca="1">IFERROR(AVERAGEIF(OFFSET(Table1[[#This Row],[Status]],0,COUNT(Table1[[#This Row],[2019-May]:[2025-July]]),1,-12),"&lt;&gt;0"),0)</f>
        <v>3.899</v>
      </c>
      <c r="H421" s="55">
        <f>IFERROR(SMALL(Table1[[#This Row],[2019-Apr]:[2025-July]],COUNTIF(Table1[[#This Row],[2019-Apr]:[2025-July]],0)+1),0)</f>
        <v>0.9</v>
      </c>
      <c r="I421" s="55">
        <f>IFERROR(MAX(Table1[[#This Row],[2019-Apr]:[2025-July]]),0)</f>
        <v>7.5</v>
      </c>
      <c r="J421" s="4" cm="1">
        <f t="array" ref="J42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3.1983333333333337</v>
      </c>
      <c r="K421" s="4">
        <v>4.5</v>
      </c>
      <c r="L421" s="4">
        <f>IF(Table1[[#This Row],[Standard as per ISO]]&gt;=Table1[[#This Row],[Avg of best 6]],Table1[[#This Row],[Standard as per ISO]],Table1[[#This Row],[Avg of best 6]])</f>
        <v>4.5</v>
      </c>
      <c r="M421" s="4" cm="1">
        <f t="array" ref="M421">IFERROR(LOOKUP(2,1/(Table1[[#This Row],[2019-May]:[2025-July]]&lt;&gt;0),Table1[[#This Row],[2019-May]:[2025-July]]),0)</f>
        <v>5.4</v>
      </c>
      <c r="N421" s="4">
        <f>COUNTIF(Table1[[#This Row],[2019-Apr]:[2025-July]],"&gt;="&amp;Table1[[#This Row],[Target]])</f>
        <v>54</v>
      </c>
      <c r="O421" s="4">
        <f>IF(Table1[[#This Row],[Outliers 2Y]]=0,1,0)</f>
        <v>0</v>
      </c>
      <c r="P421" s="4">
        <f>IF(Table1[[#This Row],[Last value]]&gt;1.5*Table1[[#This Row],[Target]],1,0)</f>
        <v>0</v>
      </c>
      <c r="Q421" s="4">
        <f>IF(AND(1.5*Table1[[#This Row],[Target]]&gt;=Table1[[#This Row],[Last value]],Table1[[#This Row],[Last value]]&gt;Table1[[#This Row],[Target]]),1,0)</f>
        <v>1</v>
      </c>
      <c r="R421" s="4">
        <f>IF(Table1[[#This Row],[Target]]&gt;=Table1[[#This Row],[Last value]],1,0)</f>
        <v>0</v>
      </c>
      <c r="S421" s="4" t="str">
        <f t="shared" si="9"/>
        <v>Yellow</v>
      </c>
      <c r="T421" s="55">
        <v>0</v>
      </c>
      <c r="U421" s="55">
        <v>3.99</v>
      </c>
      <c r="V421" s="55">
        <v>4.1399999999999997</v>
      </c>
      <c r="W421" s="55">
        <v>5.36</v>
      </c>
      <c r="X421" s="55">
        <v>6.41</v>
      </c>
      <c r="Y421" s="55">
        <v>5.01</v>
      </c>
      <c r="Z421" s="55">
        <v>5.13</v>
      </c>
      <c r="AA421" s="55">
        <v>5.7</v>
      </c>
      <c r="AB421" s="55">
        <v>6.73</v>
      </c>
      <c r="AC421" s="55">
        <v>6.1</v>
      </c>
      <c r="AD421" s="55">
        <v>7.5</v>
      </c>
      <c r="AE421" s="55">
        <v>6.3</v>
      </c>
      <c r="AF421" s="55">
        <v>5.8</v>
      </c>
      <c r="AG421" s="55">
        <v>5.5</v>
      </c>
      <c r="AH421" s="55">
        <v>5.5</v>
      </c>
      <c r="AI421" s="55">
        <v>5.85</v>
      </c>
      <c r="AJ421" s="55">
        <v>5.46</v>
      </c>
      <c r="AK421" s="55">
        <v>6.78</v>
      </c>
      <c r="AL421" s="55">
        <v>7.02</v>
      </c>
      <c r="AM421" s="55">
        <v>6.07</v>
      </c>
      <c r="AN421" s="55">
        <v>6.46</v>
      </c>
      <c r="AO421" s="55">
        <v>6.32</v>
      </c>
      <c r="AP421" s="55">
        <v>5.0999999999999996</v>
      </c>
      <c r="AQ421" s="55">
        <v>5.59</v>
      </c>
      <c r="AR421" s="8">
        <v>6.25</v>
      </c>
      <c r="AS421" s="8">
        <v>4.84</v>
      </c>
      <c r="AT421" s="8">
        <v>0</v>
      </c>
      <c r="AU421" s="50">
        <v>4.99</v>
      </c>
      <c r="AV421" s="50">
        <v>3.79</v>
      </c>
      <c r="AW421" s="50">
        <v>3.94</v>
      </c>
      <c r="AX421" s="50">
        <v>4.09</v>
      </c>
      <c r="AY421" s="50">
        <v>5.08</v>
      </c>
      <c r="AZ421" s="50">
        <v>4.99</v>
      </c>
      <c r="BA421" s="50">
        <v>4.8</v>
      </c>
      <c r="BB421" s="50">
        <v>3.8</v>
      </c>
      <c r="BC421" s="55">
        <v>4.7</v>
      </c>
      <c r="BD421" s="55">
        <v>4.5</v>
      </c>
      <c r="BE421" s="11">
        <v>5.7380000000000004</v>
      </c>
      <c r="BF421" s="4">
        <v>0</v>
      </c>
      <c r="BG421" s="4">
        <v>5</v>
      </c>
      <c r="BH421" s="4">
        <v>5.34</v>
      </c>
      <c r="BI421" s="4">
        <v>4.8259999999999996</v>
      </c>
      <c r="BJ421" s="13">
        <v>5.3449999999999998</v>
      </c>
      <c r="BK421" s="13">
        <v>5.83</v>
      </c>
      <c r="BL421" s="4">
        <v>4.2699999999999996</v>
      </c>
      <c r="BM421" s="16">
        <v>5.3330000000000002</v>
      </c>
      <c r="BN421" s="4">
        <v>4.0279999999999996</v>
      </c>
      <c r="BO421" s="4">
        <v>3.9820000000000002</v>
      </c>
      <c r="BP421" s="4">
        <v>4.601</v>
      </c>
      <c r="BQ421" s="4">
        <v>5.2919999999999998</v>
      </c>
      <c r="BR421" s="4">
        <v>5.7969999999999997</v>
      </c>
      <c r="BS421" s="55">
        <v>5.53</v>
      </c>
      <c r="BT421" s="4">
        <v>4.9249999999999998</v>
      </c>
      <c r="BU421" s="4">
        <v>4.6219999999999999</v>
      </c>
      <c r="BV421" s="4">
        <v>5.4349999999999996</v>
      </c>
      <c r="BW421" s="4">
        <v>5.0730000000000004</v>
      </c>
      <c r="BX421" s="4">
        <v>4.9820000000000002</v>
      </c>
      <c r="BY421" s="4">
        <v>5.5679999999999996</v>
      </c>
      <c r="BZ421" s="55">
        <v>4.9800000000000004</v>
      </c>
      <c r="CA421" s="55">
        <v>5.94</v>
      </c>
      <c r="CB421" s="55">
        <v>6.46</v>
      </c>
      <c r="CC421" s="55">
        <v>5.35</v>
      </c>
      <c r="CD421" s="55">
        <v>0</v>
      </c>
      <c r="CE421" s="19">
        <v>0</v>
      </c>
      <c r="CF421" s="19">
        <v>4.5999999999999996</v>
      </c>
      <c r="CG421" s="4">
        <v>4.58</v>
      </c>
      <c r="CH421" s="4">
        <v>0</v>
      </c>
      <c r="CI421" s="4">
        <v>4.3099999999999996</v>
      </c>
      <c r="CJ421" s="34">
        <v>3.6</v>
      </c>
      <c r="CK421" s="34">
        <v>4.3</v>
      </c>
      <c r="CL421" s="27">
        <v>3.5</v>
      </c>
      <c r="CM421" s="4">
        <v>3.6</v>
      </c>
      <c r="CN421" s="53">
        <v>4.2</v>
      </c>
      <c r="CO421" s="54">
        <v>0.9</v>
      </c>
      <c r="CP421" s="54">
        <v>5.4</v>
      </c>
      <c r="CQ421" s="4">
        <v>5.4</v>
      </c>
    </row>
    <row r="422" spans="1:95" s="55" customFormat="1" x14ac:dyDescent="0.35">
      <c r="A422" s="55">
        <v>421</v>
      </c>
      <c r="B422" s="55" t="s">
        <v>87</v>
      </c>
      <c r="C422" s="27" t="s">
        <v>134</v>
      </c>
      <c r="D422" s="50" t="s">
        <v>88</v>
      </c>
      <c r="E422" s="33" t="s">
        <v>89</v>
      </c>
      <c r="F422" s="4">
        <f>IFERROR(AVERAGEIF(Table1[[#This Row],[2019-Apr]:[2025-July]],"&lt;&gt;0"),0)</f>
        <v>4.7808142857142863</v>
      </c>
      <c r="G422" s="4">
        <f ca="1">IFERROR(AVERAGEIF(OFFSET(Table1[[#This Row],[Status]],0,COUNT(Table1[[#This Row],[2019-May]:[2025-July]]),1,-12),"&lt;&gt;0"),0)</f>
        <v>4.734</v>
      </c>
      <c r="H422" s="55">
        <f>IFERROR(SMALL(Table1[[#This Row],[2019-Apr]:[2025-July]],COUNTIF(Table1[[#This Row],[2019-Apr]:[2025-July]],0)+1),0)</f>
        <v>1.5</v>
      </c>
      <c r="I422" s="55">
        <f>IFERROR(MAX(Table1[[#This Row],[2019-Apr]:[2025-July]]),0)</f>
        <v>6.1</v>
      </c>
      <c r="J422" s="4" cm="1">
        <f t="array" ref="J42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3.188333333333333</v>
      </c>
      <c r="K422" s="4">
        <v>4.5</v>
      </c>
      <c r="L422" s="4">
        <f>IF(Table1[[#This Row],[Standard as per ISO]]&gt;=Table1[[#This Row],[Avg of best 6]],Table1[[#This Row],[Standard as per ISO]],Table1[[#This Row],[Avg of best 6]])</f>
        <v>4.5</v>
      </c>
      <c r="M422" s="4" cm="1">
        <f t="array" ref="M422">IFERROR(LOOKUP(2,1/(Table1[[#This Row],[2019-May]:[2025-July]]&lt;&gt;0),Table1[[#This Row],[2019-May]:[2025-July]]),0)</f>
        <v>5.2</v>
      </c>
      <c r="N422" s="4">
        <f>COUNTIF(Table1[[#This Row],[2019-Apr]:[2025-July]],"&gt;="&amp;Table1[[#This Row],[Target]])</f>
        <v>48</v>
      </c>
      <c r="O422" s="4">
        <f>IF(Table1[[#This Row],[Outliers 2Y]]=0,1,0)</f>
        <v>0</v>
      </c>
      <c r="P422" s="4">
        <f>IF(Table1[[#This Row],[Last value]]&gt;1.5*Table1[[#This Row],[Target]],1,0)</f>
        <v>0</v>
      </c>
      <c r="Q422" s="4">
        <f>IF(AND(1.5*Table1[[#This Row],[Target]]&gt;=Table1[[#This Row],[Last value]],Table1[[#This Row],[Last value]]&gt;Table1[[#This Row],[Target]]),1,0)</f>
        <v>1</v>
      </c>
      <c r="R422" s="4">
        <f>IF(Table1[[#This Row],[Target]]&gt;=Table1[[#This Row],[Last value]],1,0)</f>
        <v>0</v>
      </c>
      <c r="S422" s="4" t="str">
        <f t="shared" si="9"/>
        <v>Yellow</v>
      </c>
      <c r="T422" s="55">
        <v>0</v>
      </c>
      <c r="U422" s="55">
        <v>3.55</v>
      </c>
      <c r="V422" s="55">
        <v>4.99</v>
      </c>
      <c r="W422" s="55">
        <v>4.59</v>
      </c>
      <c r="X422" s="55">
        <v>4.5199999999999996</v>
      </c>
      <c r="Y422" s="55">
        <v>4.3</v>
      </c>
      <c r="Z422" s="55">
        <v>5.05</v>
      </c>
      <c r="AA422" s="55">
        <v>5</v>
      </c>
      <c r="AB422" s="55">
        <v>3.82</v>
      </c>
      <c r="AC422" s="55">
        <v>5.0999999999999996</v>
      </c>
      <c r="AD422" s="55">
        <v>4.4000000000000004</v>
      </c>
      <c r="AE422" s="55">
        <v>4.3</v>
      </c>
      <c r="AF422" s="55">
        <v>4.2</v>
      </c>
      <c r="AG422" s="55">
        <v>5.9</v>
      </c>
      <c r="AH422" s="55">
        <v>4.0999999999999996</v>
      </c>
      <c r="AI422" s="55">
        <v>4.46</v>
      </c>
      <c r="AJ422" s="55">
        <v>4.7</v>
      </c>
      <c r="AK422" s="55">
        <v>4.6900000000000004</v>
      </c>
      <c r="AL422" s="55">
        <v>5.15</v>
      </c>
      <c r="AM422" s="55">
        <v>5.42</v>
      </c>
      <c r="AN422" s="55">
        <v>4.1900000000000004</v>
      </c>
      <c r="AO422" s="55">
        <v>4.05</v>
      </c>
      <c r="AP422" s="55">
        <v>4.5999999999999996</v>
      </c>
      <c r="AQ422" s="55">
        <v>5.96</v>
      </c>
      <c r="AR422" s="8">
        <v>5.69</v>
      </c>
      <c r="AS422" s="8">
        <v>5.48</v>
      </c>
      <c r="AT422" s="8">
        <v>0</v>
      </c>
      <c r="AU422" s="50">
        <v>5.0999999999999996</v>
      </c>
      <c r="AV422" s="50">
        <v>5.4</v>
      </c>
      <c r="AW422" s="50">
        <v>5.45</v>
      </c>
      <c r="AX422" s="50">
        <v>4.16</v>
      </c>
      <c r="AY422" s="50">
        <v>4.07</v>
      </c>
      <c r="AZ422" s="50">
        <v>4.2699999999999996</v>
      </c>
      <c r="BA422" s="50">
        <v>4.5</v>
      </c>
      <c r="BB422" s="50">
        <v>3.8</v>
      </c>
      <c r="BC422" s="55">
        <v>3.2</v>
      </c>
      <c r="BD422" s="55">
        <v>4.5999999999999996</v>
      </c>
      <c r="BE422" s="11">
        <v>4.1399999999999997</v>
      </c>
      <c r="BF422" s="4">
        <v>0</v>
      </c>
      <c r="BG422" s="4">
        <v>3.93</v>
      </c>
      <c r="BH422" s="4">
        <v>4.74</v>
      </c>
      <c r="BI422" s="4">
        <v>4.9359999999999999</v>
      </c>
      <c r="BJ422" s="14">
        <v>5.7880000000000003</v>
      </c>
      <c r="BK422" s="14">
        <v>4.556</v>
      </c>
      <c r="BL422" s="4">
        <v>5.7949999999999999</v>
      </c>
      <c r="BM422" s="17">
        <v>5.202</v>
      </c>
      <c r="BN422" s="4">
        <v>5.5620000000000003</v>
      </c>
      <c r="BO422" s="4">
        <v>4.8570000000000002</v>
      </c>
      <c r="BP422" s="4">
        <v>5.4980000000000002</v>
      </c>
      <c r="BQ422" s="4">
        <v>5.0439999999999996</v>
      </c>
      <c r="BR422" s="4">
        <v>4.742</v>
      </c>
      <c r="BS422" s="55">
        <v>4.2720000000000002</v>
      </c>
      <c r="BT422" s="4">
        <v>6.0039999999999996</v>
      </c>
      <c r="BU422" s="4">
        <v>4.8609999999999998</v>
      </c>
      <c r="BV422" s="4">
        <v>5.25</v>
      </c>
      <c r="BW422" s="4">
        <v>5.8440000000000003</v>
      </c>
      <c r="BX422" s="4">
        <v>4.9749999999999996</v>
      </c>
      <c r="BY422" s="4">
        <v>4.9610000000000003</v>
      </c>
      <c r="BZ422" s="55">
        <v>5.12</v>
      </c>
      <c r="CA422" s="55">
        <v>5.92</v>
      </c>
      <c r="CB422" s="55">
        <v>3.26</v>
      </c>
      <c r="CC422" s="55">
        <v>4.0999999999999996</v>
      </c>
      <c r="CD422" s="55">
        <v>0</v>
      </c>
      <c r="CE422" s="19">
        <v>0</v>
      </c>
      <c r="CF422" s="19">
        <v>5.2</v>
      </c>
      <c r="CG422" s="4">
        <v>4.93</v>
      </c>
      <c r="CH422" s="4">
        <v>0</v>
      </c>
      <c r="CI422" s="4">
        <v>4.91</v>
      </c>
      <c r="CJ422" s="34">
        <v>5.3</v>
      </c>
      <c r="CK422" s="34">
        <v>6.1</v>
      </c>
      <c r="CL422" s="27">
        <v>4.4000000000000004</v>
      </c>
      <c r="CM422" s="4">
        <v>5.5</v>
      </c>
      <c r="CN422" s="53">
        <v>4.8</v>
      </c>
      <c r="CO422" s="54">
        <v>1.5</v>
      </c>
      <c r="CP422" s="54">
        <v>4.7</v>
      </c>
      <c r="CQ422" s="4">
        <v>5.2</v>
      </c>
    </row>
    <row r="423" spans="1:95" s="55" customFormat="1" x14ac:dyDescent="0.35">
      <c r="A423" s="55">
        <v>422</v>
      </c>
      <c r="B423" s="55" t="s">
        <v>87</v>
      </c>
      <c r="C423" s="27" t="s">
        <v>135</v>
      </c>
      <c r="D423" s="50" t="s">
        <v>88</v>
      </c>
      <c r="E423" s="33" t="s">
        <v>89</v>
      </c>
      <c r="F423" s="4">
        <f>IFERROR(AVERAGEIF(Table1[[#This Row],[2019-Apr]:[2025-July]],"&lt;&gt;0"),0)</f>
        <v>2.2082500000000005</v>
      </c>
      <c r="G423" s="4">
        <f ca="1">IFERROR(AVERAGEIF(OFFSET(Table1[[#This Row],[Status]],0,COUNT(Table1[[#This Row],[2019-May]:[2025-July]]),1,-12),"&lt;&gt;0"),0)</f>
        <v>2.0170000000000003</v>
      </c>
      <c r="H423" s="55">
        <f>IFERROR(SMALL(Table1[[#This Row],[2019-Apr]:[2025-July]],COUNTIF(Table1[[#This Row],[2019-Apr]:[2025-July]],0)+1),0)</f>
        <v>1.2</v>
      </c>
      <c r="I423" s="55">
        <f>IFERROR(MAX(Table1[[#This Row],[2019-Apr]:[2025-July]]),0)</f>
        <v>3.5430000000000001</v>
      </c>
      <c r="J423" s="4" cm="1">
        <f t="array" ref="J42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1.4666666666666666</v>
      </c>
      <c r="K423" s="4">
        <v>4.5</v>
      </c>
      <c r="L423" s="4">
        <f>IF(Table1[[#This Row],[Standard as per ISO]]&gt;=Table1[[#This Row],[Avg of best 6]],Table1[[#This Row],[Standard as per ISO]],Table1[[#This Row],[Avg of best 6]])</f>
        <v>4.5</v>
      </c>
      <c r="M423" s="4" cm="1">
        <f t="array" ref="M423">IFERROR(LOOKUP(2,1/(Table1[[#This Row],[2019-May]:[2025-July]]&lt;&gt;0),Table1[[#This Row],[2019-May]:[2025-July]]),0)</f>
        <v>1.9</v>
      </c>
      <c r="N423" s="4">
        <f>COUNTIF(Table1[[#This Row],[2019-Apr]:[2025-July]],"&gt;="&amp;Table1[[#This Row],[Target]])</f>
        <v>0</v>
      </c>
      <c r="O423" s="4">
        <f>IF(Table1[[#This Row],[Outliers 2Y]]=0,1,0)</f>
        <v>1</v>
      </c>
      <c r="P423" s="4">
        <f>IF(Table1[[#This Row],[Last value]]&gt;1.5*Table1[[#This Row],[Target]],1,0)</f>
        <v>0</v>
      </c>
      <c r="Q423" s="4">
        <f>IF(AND(1.5*Table1[[#This Row],[Target]]&gt;=Table1[[#This Row],[Last value]],Table1[[#This Row],[Last value]]&gt;Table1[[#This Row],[Target]]),1,0)</f>
        <v>0</v>
      </c>
      <c r="R423" s="4">
        <f>IF(Table1[[#This Row],[Target]]&gt;=Table1[[#This Row],[Last value]],1,0)</f>
        <v>1</v>
      </c>
      <c r="S423" s="4" t="str">
        <f t="shared" si="9"/>
        <v>Green</v>
      </c>
      <c r="T423" s="55">
        <v>0</v>
      </c>
      <c r="U423" s="55">
        <v>2.09</v>
      </c>
      <c r="V423" s="55">
        <v>2.54</v>
      </c>
      <c r="W423" s="55">
        <v>3.1</v>
      </c>
      <c r="X423" s="55">
        <v>2.41</v>
      </c>
      <c r="Y423" s="55">
        <v>2.12</v>
      </c>
      <c r="Z423" s="55">
        <v>1.91</v>
      </c>
      <c r="AA423" s="55">
        <v>2.1</v>
      </c>
      <c r="AB423" s="55">
        <v>2.4700000000000002</v>
      </c>
      <c r="AC423" s="55">
        <v>2.19</v>
      </c>
      <c r="AD423" s="55">
        <v>1.6</v>
      </c>
      <c r="AE423" s="55">
        <v>1.7</v>
      </c>
      <c r="AF423" s="55">
        <v>2.8</v>
      </c>
      <c r="AG423" s="55">
        <v>2.1</v>
      </c>
      <c r="AH423" s="55">
        <v>3.15</v>
      </c>
      <c r="AI423" s="55">
        <v>2.17</v>
      </c>
      <c r="AJ423" s="55">
        <v>2.5</v>
      </c>
      <c r="AK423" s="55">
        <v>2.99</v>
      </c>
      <c r="AL423" s="55">
        <v>1.93</v>
      </c>
      <c r="AM423" s="55">
        <v>2.2999999999999998</v>
      </c>
      <c r="AN423" s="55">
        <v>2.04</v>
      </c>
      <c r="AO423" s="55">
        <v>1.85</v>
      </c>
      <c r="AP423" s="55">
        <v>2.0099999999999998</v>
      </c>
      <c r="AQ423" s="55">
        <v>2.52</v>
      </c>
      <c r="AR423" s="8">
        <v>2.4</v>
      </c>
      <c r="AS423" s="8">
        <v>0</v>
      </c>
      <c r="AT423" s="8">
        <v>2.0699999999999998</v>
      </c>
      <c r="AU423" s="50">
        <v>2.0499999999999998</v>
      </c>
      <c r="AV423" s="50">
        <v>2.13</v>
      </c>
      <c r="AW423" s="50">
        <v>2.4</v>
      </c>
      <c r="AX423" s="50">
        <v>2.72</v>
      </c>
      <c r="AY423" s="50">
        <v>2.2400000000000002</v>
      </c>
      <c r="AZ423" s="50">
        <v>2.7</v>
      </c>
      <c r="BA423" s="50">
        <v>2.2999999999999998</v>
      </c>
      <c r="BB423" s="50">
        <v>2.9</v>
      </c>
      <c r="BC423" s="55">
        <v>3.1</v>
      </c>
      <c r="BD423" s="55">
        <v>2.7</v>
      </c>
      <c r="BE423" s="11">
        <v>3.5430000000000001</v>
      </c>
      <c r="BF423" s="4">
        <v>0</v>
      </c>
      <c r="BG423" s="4">
        <v>3.01</v>
      </c>
      <c r="BH423" s="12">
        <v>3.0529999999999999</v>
      </c>
      <c r="BI423" s="4">
        <v>1.982</v>
      </c>
      <c r="BJ423" s="13">
        <v>1.6759999999999999</v>
      </c>
      <c r="BK423" s="13">
        <v>2.387</v>
      </c>
      <c r="BL423" s="4">
        <v>1.9570000000000001</v>
      </c>
      <c r="BM423" s="16">
        <v>2.0449999999999999</v>
      </c>
      <c r="BN423" s="4">
        <v>2.1080000000000001</v>
      </c>
      <c r="BO423" s="4">
        <v>2.0880000000000001</v>
      </c>
      <c r="BP423" s="4">
        <v>2.15</v>
      </c>
      <c r="BQ423" s="4">
        <v>2.0150000000000001</v>
      </c>
      <c r="BR423" s="4">
        <v>1.8939999999999999</v>
      </c>
      <c r="BS423" s="55">
        <v>2.0299999999999998</v>
      </c>
      <c r="BT423" s="4">
        <v>1.7070000000000001</v>
      </c>
      <c r="BU423" s="4">
        <v>1.59</v>
      </c>
      <c r="BV423" s="4">
        <v>1.603</v>
      </c>
      <c r="BW423" s="4">
        <v>1.8440000000000001</v>
      </c>
      <c r="BX423" s="4">
        <v>1.7090000000000001</v>
      </c>
      <c r="BY423" s="4">
        <v>1.88</v>
      </c>
      <c r="BZ423" s="55">
        <v>2.0099999999999998</v>
      </c>
      <c r="CA423" s="55">
        <v>0</v>
      </c>
      <c r="CB423" s="55">
        <v>0</v>
      </c>
      <c r="CC423" s="55">
        <v>1.51</v>
      </c>
      <c r="CD423" s="55">
        <v>0</v>
      </c>
      <c r="CE423" s="19">
        <v>0</v>
      </c>
      <c r="CF423" s="19">
        <v>3.1</v>
      </c>
      <c r="CG423" s="4">
        <v>2.12</v>
      </c>
      <c r="CH423" s="4">
        <v>0</v>
      </c>
      <c r="CI423" s="4">
        <v>2.4500000000000002</v>
      </c>
      <c r="CJ423" s="34">
        <v>2.9</v>
      </c>
      <c r="CK423" s="34">
        <v>1.5</v>
      </c>
      <c r="CL423" s="27">
        <v>1.4</v>
      </c>
      <c r="CM423" s="4">
        <v>1.8</v>
      </c>
      <c r="CN423" s="53">
        <v>1.9</v>
      </c>
      <c r="CO423" s="54">
        <v>1.8</v>
      </c>
      <c r="CP423" s="54">
        <v>1.2</v>
      </c>
      <c r="CQ423" s="4">
        <v>1.9</v>
      </c>
    </row>
    <row r="424" spans="1:95" s="55" customFormat="1" x14ac:dyDescent="0.35">
      <c r="A424" s="55">
        <v>423</v>
      </c>
      <c r="B424" s="55" t="s">
        <v>87</v>
      </c>
      <c r="C424" s="27" t="s">
        <v>136</v>
      </c>
      <c r="D424" s="50" t="s">
        <v>88</v>
      </c>
      <c r="E424" s="33" t="s">
        <v>89</v>
      </c>
      <c r="F424" s="4">
        <f>IFERROR(AVERAGEIF(Table1[[#This Row],[2019-Apr]:[2025-July]],"&lt;&gt;0"),0)</f>
        <v>2.8924626865671645</v>
      </c>
      <c r="G424" s="4">
        <f ca="1">IFERROR(AVERAGEIF(OFFSET(Table1[[#This Row],[Status]],0,COUNT(Table1[[#This Row],[2019-May]:[2025-July]]),1,-12),"&lt;&gt;0"),0)</f>
        <v>3.0770000000000004</v>
      </c>
      <c r="H424" s="55">
        <f>IFERROR(SMALL(Table1[[#This Row],[2019-Apr]:[2025-July]],COUNTIF(Table1[[#This Row],[2019-Apr]:[2025-July]],0)+1),0)</f>
        <v>1.6</v>
      </c>
      <c r="I424" s="55">
        <f>IFERROR(MAX(Table1[[#This Row],[2019-Apr]:[2025-July]]),0)</f>
        <v>4.8</v>
      </c>
      <c r="J424" s="4" cm="1">
        <f t="array" ref="J42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1.7816666666666663</v>
      </c>
      <c r="K424" s="4">
        <v>4.5</v>
      </c>
      <c r="L424" s="4">
        <f>IF(Table1[[#This Row],[Standard as per ISO]]&gt;=Table1[[#This Row],[Avg of best 6]],Table1[[#This Row],[Standard as per ISO]],Table1[[#This Row],[Avg of best 6]])</f>
        <v>4.5</v>
      </c>
      <c r="M424" s="4" cm="1">
        <f t="array" ref="M424">IFERROR(LOOKUP(2,1/(Table1[[#This Row],[2019-May]:[2025-July]]&lt;&gt;0),Table1[[#This Row],[2019-May]:[2025-July]]),0)</f>
        <v>2.1</v>
      </c>
      <c r="N424" s="4">
        <f>COUNTIF(Table1[[#This Row],[2019-Apr]:[2025-July]],"&gt;="&amp;Table1[[#This Row],[Target]])</f>
        <v>2</v>
      </c>
      <c r="O424" s="4">
        <f>IF(Table1[[#This Row],[Outliers 2Y]]=0,1,0)</f>
        <v>0</v>
      </c>
      <c r="P424" s="4">
        <f>IF(Table1[[#This Row],[Last value]]&gt;1.5*Table1[[#This Row],[Target]],1,0)</f>
        <v>0</v>
      </c>
      <c r="Q424" s="4">
        <f>IF(AND(1.5*Table1[[#This Row],[Target]]&gt;=Table1[[#This Row],[Last value]],Table1[[#This Row],[Last value]]&gt;Table1[[#This Row],[Target]]),1,0)</f>
        <v>0</v>
      </c>
      <c r="R424" s="4">
        <f>IF(Table1[[#This Row],[Target]]&gt;=Table1[[#This Row],[Last value]],1,0)</f>
        <v>1</v>
      </c>
      <c r="S424" s="4" t="str">
        <f t="shared" si="9"/>
        <v>Green</v>
      </c>
      <c r="T424" s="55">
        <v>0</v>
      </c>
      <c r="U424" s="55">
        <v>1.99</v>
      </c>
      <c r="V424" s="55">
        <v>2.31</v>
      </c>
      <c r="W424" s="55">
        <v>3.48</v>
      </c>
      <c r="X424" s="55">
        <v>2.87</v>
      </c>
      <c r="Y424" s="55">
        <v>2.52</v>
      </c>
      <c r="Z424" s="55">
        <v>2.97</v>
      </c>
      <c r="AA424" s="55">
        <v>2.7</v>
      </c>
      <c r="AB424" s="55">
        <v>1.98</v>
      </c>
      <c r="AC424" s="55">
        <v>2.48</v>
      </c>
      <c r="AD424" s="55">
        <v>2</v>
      </c>
      <c r="AE424" s="55">
        <v>1.6</v>
      </c>
      <c r="AF424" s="55">
        <v>2.2000000000000002</v>
      </c>
      <c r="AG424" s="55">
        <v>3</v>
      </c>
      <c r="AH424" s="55">
        <v>2.78</v>
      </c>
      <c r="AI424" s="55">
        <v>1.96</v>
      </c>
      <c r="AJ424" s="55">
        <v>2.5</v>
      </c>
      <c r="AK424" s="55">
        <v>1.63</v>
      </c>
      <c r="AL424" s="55">
        <v>2.06</v>
      </c>
      <c r="AM424" s="55">
        <v>2.4</v>
      </c>
      <c r="AN424" s="55">
        <v>2.82</v>
      </c>
      <c r="AO424" s="55">
        <v>3.69</v>
      </c>
      <c r="AP424" s="55">
        <v>2.91</v>
      </c>
      <c r="AQ424" s="55">
        <v>2.2400000000000002</v>
      </c>
      <c r="AR424" s="8">
        <v>2.75</v>
      </c>
      <c r="AS424" s="8">
        <v>0</v>
      </c>
      <c r="AT424" s="8">
        <v>3.08</v>
      </c>
      <c r="AU424" s="50">
        <v>1.91</v>
      </c>
      <c r="AV424" s="50">
        <v>1.79</v>
      </c>
      <c r="AW424" s="50">
        <v>2.91</v>
      </c>
      <c r="AX424" s="50">
        <v>2.4500000000000002</v>
      </c>
      <c r="AY424" s="50">
        <v>4.5</v>
      </c>
      <c r="AZ424" s="50">
        <v>3.51</v>
      </c>
      <c r="BA424" s="50">
        <v>4.0999999999999996</v>
      </c>
      <c r="BB424" s="50">
        <v>2.7</v>
      </c>
      <c r="BC424" s="55">
        <v>3.5</v>
      </c>
      <c r="BD424" s="55">
        <v>2.5</v>
      </c>
      <c r="BE424" s="11">
        <v>3.617</v>
      </c>
      <c r="BF424" s="4">
        <v>0</v>
      </c>
      <c r="BG424" s="4">
        <v>3.48</v>
      </c>
      <c r="BH424" s="4">
        <v>2.9169999999999998</v>
      </c>
      <c r="BI424" s="4">
        <v>2.919</v>
      </c>
      <c r="BJ424" s="14">
        <v>3.2410000000000001</v>
      </c>
      <c r="BK424" s="14">
        <v>2.214</v>
      </c>
      <c r="BL424" s="4">
        <v>2.4279999999999999</v>
      </c>
      <c r="BM424" s="17">
        <v>2.7930000000000001</v>
      </c>
      <c r="BN424" s="4">
        <v>2.8530000000000002</v>
      </c>
      <c r="BO424" s="4">
        <v>3.855</v>
      </c>
      <c r="BP424" s="4">
        <v>3.8759999999999999</v>
      </c>
      <c r="BQ424" s="4">
        <v>3.3820000000000001</v>
      </c>
      <c r="BR424" s="4">
        <v>2.851</v>
      </c>
      <c r="BS424" s="55">
        <v>3.1509999999999998</v>
      </c>
      <c r="BT424" s="4">
        <v>4.0739999999999998</v>
      </c>
      <c r="BU424" s="4">
        <v>2.87</v>
      </c>
      <c r="BV424" s="4">
        <v>3.1</v>
      </c>
      <c r="BW424" s="4">
        <v>3.706</v>
      </c>
      <c r="BX424" s="4">
        <v>3.9550000000000001</v>
      </c>
      <c r="BY424" s="4">
        <v>3.653</v>
      </c>
      <c r="BZ424" s="55">
        <v>3.2</v>
      </c>
      <c r="CA424" s="55">
        <v>0</v>
      </c>
      <c r="CB424" s="55">
        <v>0</v>
      </c>
      <c r="CC424" s="55">
        <v>0</v>
      </c>
      <c r="CD424" s="55">
        <v>0</v>
      </c>
      <c r="CE424" s="19">
        <v>3.6</v>
      </c>
      <c r="CF424" s="19">
        <v>3.1</v>
      </c>
      <c r="CG424" s="4">
        <v>0</v>
      </c>
      <c r="CH424" s="4">
        <v>0</v>
      </c>
      <c r="CI424" s="4">
        <v>3.27</v>
      </c>
      <c r="CJ424" s="34">
        <v>2.8</v>
      </c>
      <c r="CK424" s="34">
        <v>2.5</v>
      </c>
      <c r="CL424" s="27">
        <v>1.8</v>
      </c>
      <c r="CM424" s="4">
        <v>3.1</v>
      </c>
      <c r="CN424" s="53">
        <v>3.2</v>
      </c>
      <c r="CO424" s="54">
        <v>4.8</v>
      </c>
      <c r="CP424" s="54">
        <v>2.6</v>
      </c>
      <c r="CQ424" s="4">
        <v>2.1</v>
      </c>
    </row>
    <row r="425" spans="1:95" s="55" customFormat="1" x14ac:dyDescent="0.35">
      <c r="A425" s="55">
        <v>424</v>
      </c>
      <c r="B425" s="55" t="s">
        <v>87</v>
      </c>
      <c r="C425" s="27" t="s">
        <v>137</v>
      </c>
      <c r="D425" s="50" t="s">
        <v>88</v>
      </c>
      <c r="E425" s="33" t="s">
        <v>89</v>
      </c>
      <c r="F425" s="4">
        <f>IFERROR(AVERAGEIF(Table1[[#This Row],[2019-Apr]:[2025-July]],"&lt;&gt;0"),0)</f>
        <v>3.6242222222222216</v>
      </c>
      <c r="G425" s="4">
        <f ca="1">IFERROR(AVERAGEIF(OFFSET(Table1[[#This Row],[Status]],0,COUNT(Table1[[#This Row],[2019-May]:[2025-July]]),1,-12),"&lt;&gt;0"),0)</f>
        <v>2.9220000000000002</v>
      </c>
      <c r="H425" s="55">
        <f>IFERROR(SMALL(Table1[[#This Row],[2019-Apr]:[2025-July]],COUNTIF(Table1[[#This Row],[2019-Apr]:[2025-July]],0)+1),0)</f>
        <v>2.2999999999999998</v>
      </c>
      <c r="I425" s="55">
        <f>IFERROR(MAX(Table1[[#This Row],[2019-Apr]:[2025-July]]),0)</f>
        <v>7.16</v>
      </c>
      <c r="J425" s="4" cm="1">
        <f t="array" ref="J42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2.5656666666666665</v>
      </c>
      <c r="K425" s="4">
        <v>4.5</v>
      </c>
      <c r="L425" s="4">
        <f>IF(Table1[[#This Row],[Standard as per ISO]]&gt;=Table1[[#This Row],[Avg of best 6]],Table1[[#This Row],[Standard as per ISO]],Table1[[#This Row],[Avg of best 6]])</f>
        <v>4.5</v>
      </c>
      <c r="M425" s="4" cm="1">
        <f t="array" ref="M425">IFERROR(LOOKUP(2,1/(Table1[[#This Row],[2019-May]:[2025-July]]&lt;&gt;0),Table1[[#This Row],[2019-May]:[2025-July]]),0)</f>
        <v>2.6</v>
      </c>
      <c r="N425" s="4">
        <f>COUNTIF(Table1[[#This Row],[2019-Apr]:[2025-July]],"&gt;="&amp;Table1[[#This Row],[Target]])</f>
        <v>4</v>
      </c>
      <c r="O425" s="4">
        <f>IF(Table1[[#This Row],[Outliers 2Y]]=0,1,0)</f>
        <v>0</v>
      </c>
      <c r="P425" s="4">
        <f>IF(Table1[[#This Row],[Last value]]&gt;1.5*Table1[[#This Row],[Target]],1,0)</f>
        <v>0</v>
      </c>
      <c r="Q425" s="4">
        <f>IF(AND(1.5*Table1[[#This Row],[Target]]&gt;=Table1[[#This Row],[Last value]],Table1[[#This Row],[Last value]]&gt;Table1[[#This Row],[Target]]),1,0)</f>
        <v>0</v>
      </c>
      <c r="R425" s="4">
        <f>IF(Table1[[#This Row],[Target]]&gt;=Table1[[#This Row],[Last value]],1,0)</f>
        <v>1</v>
      </c>
      <c r="S425" s="4" t="str">
        <f t="shared" si="9"/>
        <v>Green</v>
      </c>
      <c r="T425" s="55">
        <v>0</v>
      </c>
      <c r="U425" s="55">
        <v>2.98</v>
      </c>
      <c r="V425" s="55">
        <v>7.16</v>
      </c>
      <c r="W425" s="55">
        <v>3.26</v>
      </c>
      <c r="X425" s="55">
        <v>5.1100000000000003</v>
      </c>
      <c r="Y425" s="55">
        <v>0</v>
      </c>
      <c r="Z425" s="55">
        <v>0</v>
      </c>
      <c r="AA425" s="55">
        <v>0</v>
      </c>
      <c r="AB425" s="55">
        <v>0</v>
      </c>
      <c r="AC425" s="55">
        <v>0</v>
      </c>
      <c r="AD425" s="55">
        <v>0</v>
      </c>
      <c r="AE425" s="55">
        <v>0</v>
      </c>
      <c r="AF425" s="55">
        <v>0</v>
      </c>
      <c r="AG425" s="55">
        <v>0</v>
      </c>
      <c r="AH425" s="55">
        <v>0</v>
      </c>
      <c r="AI425" s="55">
        <v>0</v>
      </c>
      <c r="AJ425" s="55">
        <v>0</v>
      </c>
      <c r="AK425" s="55">
        <v>0</v>
      </c>
      <c r="AL425" s="55">
        <v>0</v>
      </c>
      <c r="AM425" s="55">
        <v>3.4</v>
      </c>
      <c r="AN425" s="55">
        <v>3.18</v>
      </c>
      <c r="AO425" s="55">
        <v>2.98</v>
      </c>
      <c r="AP425" s="55">
        <v>3.09</v>
      </c>
      <c r="AQ425" s="55">
        <v>3.49</v>
      </c>
      <c r="AR425" s="8">
        <v>4.74</v>
      </c>
      <c r="AS425" s="8">
        <v>0</v>
      </c>
      <c r="AT425" s="8">
        <v>3.38</v>
      </c>
      <c r="AU425" s="50">
        <v>6.39</v>
      </c>
      <c r="AV425" s="50">
        <v>3.65</v>
      </c>
      <c r="AW425" s="50">
        <v>0</v>
      </c>
      <c r="AX425" s="50">
        <v>0</v>
      </c>
      <c r="AY425" s="50">
        <v>3.46</v>
      </c>
      <c r="AZ425" s="50">
        <v>4.0999999999999996</v>
      </c>
      <c r="BA425" s="50">
        <v>0</v>
      </c>
      <c r="BB425" s="50">
        <v>4.4000000000000004</v>
      </c>
      <c r="BC425" s="55">
        <v>4.0999999999999996</v>
      </c>
      <c r="BD425" s="55">
        <v>3</v>
      </c>
      <c r="BE425" s="11">
        <v>0</v>
      </c>
      <c r="BF425" s="4">
        <v>0</v>
      </c>
      <c r="BG425" s="4">
        <v>0</v>
      </c>
      <c r="BH425" s="4">
        <v>0</v>
      </c>
      <c r="BI425" s="4">
        <v>0</v>
      </c>
      <c r="BJ425" s="13">
        <v>0</v>
      </c>
      <c r="BK425" s="13">
        <v>0</v>
      </c>
      <c r="BL425" s="4">
        <v>0</v>
      </c>
      <c r="BM425" s="16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55">
        <v>0</v>
      </c>
      <c r="BT425" s="4">
        <v>2.5739999999999998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55">
        <v>2.86</v>
      </c>
      <c r="CA425" s="55">
        <v>0</v>
      </c>
      <c r="CB425" s="55">
        <v>0</v>
      </c>
      <c r="CC425" s="55">
        <v>3.6</v>
      </c>
      <c r="CD425" s="55">
        <v>2.34</v>
      </c>
      <c r="CE425" s="19">
        <v>0</v>
      </c>
      <c r="CF425" s="19">
        <v>0</v>
      </c>
      <c r="CG425" s="4">
        <v>0</v>
      </c>
      <c r="CH425" s="4">
        <v>2.99</v>
      </c>
      <c r="CI425" s="4">
        <v>2.72</v>
      </c>
      <c r="CJ425" s="34">
        <v>2.2999999999999998</v>
      </c>
      <c r="CK425" s="34">
        <v>0</v>
      </c>
      <c r="CL425" s="27">
        <v>0</v>
      </c>
      <c r="CM425" s="4">
        <v>4</v>
      </c>
      <c r="CN425" s="53">
        <v>0</v>
      </c>
      <c r="CO425" s="54">
        <v>0</v>
      </c>
      <c r="CP425" s="54">
        <v>2.6</v>
      </c>
      <c r="CQ425" s="4">
        <v>0</v>
      </c>
    </row>
    <row r="426" spans="1:95" s="55" customFormat="1" x14ac:dyDescent="0.35">
      <c r="A426" s="55">
        <v>425</v>
      </c>
      <c r="B426" s="55" t="s">
        <v>87</v>
      </c>
      <c r="C426" s="27" t="s">
        <v>138</v>
      </c>
      <c r="D426" s="50" t="s">
        <v>88</v>
      </c>
      <c r="E426" s="33" t="s">
        <v>89</v>
      </c>
      <c r="F426" s="4">
        <f>IFERROR(AVERAGEIF(Table1[[#This Row],[2019-Apr]:[2025-July]],"&lt;&gt;0"),0)</f>
        <v>3.7976500000000009</v>
      </c>
      <c r="G426" s="4">
        <f ca="1">IFERROR(AVERAGEIF(OFFSET(Table1[[#This Row],[Status]],0,COUNT(Table1[[#This Row],[2019-May]:[2025-July]]),1,-12),"&lt;&gt;0"),0)</f>
        <v>3.2550000000000003</v>
      </c>
      <c r="H426" s="55">
        <f>IFERROR(SMALL(Table1[[#This Row],[2019-Apr]:[2025-July]],COUNTIF(Table1[[#This Row],[2019-Apr]:[2025-July]],0)+1),0)</f>
        <v>2.1619999999999999</v>
      </c>
      <c r="I426" s="55">
        <f>IFERROR(MAX(Table1[[#This Row],[2019-Apr]:[2025-July]]),0)</f>
        <v>6.19</v>
      </c>
      <c r="J426" s="4" cm="1">
        <f t="array" ref="J42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2.524833333333333</v>
      </c>
      <c r="K426" s="4">
        <v>4.5</v>
      </c>
      <c r="L426" s="4">
        <f>IF(Table1[[#This Row],[Standard as per ISO]]&gt;=Table1[[#This Row],[Avg of best 6]],Table1[[#This Row],[Standard as per ISO]],Table1[[#This Row],[Avg of best 6]])</f>
        <v>4.5</v>
      </c>
      <c r="M426" s="4" cm="1">
        <f t="array" ref="M426">IFERROR(LOOKUP(2,1/(Table1[[#This Row],[2019-May]:[2025-July]]&lt;&gt;0),Table1[[#This Row],[2019-May]:[2025-July]]),0)</f>
        <v>2.8</v>
      </c>
      <c r="N426" s="4">
        <f>COUNTIF(Table1[[#This Row],[2019-Apr]:[2025-July]],"&gt;="&amp;Table1[[#This Row],[Target]])</f>
        <v>13</v>
      </c>
      <c r="O426" s="4">
        <f>IF(Table1[[#This Row],[Outliers 2Y]]=0,1,0)</f>
        <v>0</v>
      </c>
      <c r="P426" s="4">
        <f>IF(Table1[[#This Row],[Last value]]&gt;1.5*Table1[[#This Row],[Target]],1,0)</f>
        <v>0</v>
      </c>
      <c r="Q426" s="4">
        <f>IF(AND(1.5*Table1[[#This Row],[Target]]&gt;=Table1[[#This Row],[Last value]],Table1[[#This Row],[Last value]]&gt;Table1[[#This Row],[Target]]),1,0)</f>
        <v>0</v>
      </c>
      <c r="R426" s="4">
        <f>IF(Table1[[#This Row],[Target]]&gt;=Table1[[#This Row],[Last value]],1,0)</f>
        <v>1</v>
      </c>
      <c r="S426" s="4" t="str">
        <f t="shared" si="9"/>
        <v>Green</v>
      </c>
      <c r="T426" s="55">
        <v>0</v>
      </c>
      <c r="U426" s="55">
        <v>0</v>
      </c>
      <c r="V426" s="55">
        <v>0</v>
      </c>
      <c r="W426" s="55">
        <v>0</v>
      </c>
      <c r="X426" s="55">
        <v>2.83</v>
      </c>
      <c r="Y426" s="55">
        <v>5.19</v>
      </c>
      <c r="Z426" s="55">
        <v>5.7</v>
      </c>
      <c r="AA426" s="55">
        <v>3.4</v>
      </c>
      <c r="AB426" s="55">
        <v>4.29</v>
      </c>
      <c r="AC426" s="55">
        <v>3.7</v>
      </c>
      <c r="AD426" s="55">
        <v>4.8</v>
      </c>
      <c r="AE426" s="55">
        <v>5</v>
      </c>
      <c r="AF426" s="55">
        <v>4.8</v>
      </c>
      <c r="AG426" s="55">
        <v>5</v>
      </c>
      <c r="AH426" s="55">
        <v>4.6500000000000004</v>
      </c>
      <c r="AI426" s="55">
        <v>4.67</v>
      </c>
      <c r="AJ426" s="55">
        <v>4.82</v>
      </c>
      <c r="AK426" s="55">
        <v>5.81</v>
      </c>
      <c r="AL426" s="55">
        <v>0</v>
      </c>
      <c r="AM426" s="55">
        <v>6.19</v>
      </c>
      <c r="AN426" s="55">
        <v>0</v>
      </c>
      <c r="AO426" s="55">
        <v>0</v>
      </c>
      <c r="AP426" s="55">
        <v>0</v>
      </c>
      <c r="AQ426" s="55">
        <v>0</v>
      </c>
      <c r="AR426" s="8">
        <v>0</v>
      </c>
      <c r="AS426" s="8">
        <v>0</v>
      </c>
      <c r="AT426" s="8">
        <v>0</v>
      </c>
      <c r="AU426" s="50">
        <v>0</v>
      </c>
      <c r="AV426" s="50">
        <v>0</v>
      </c>
      <c r="AW426" s="50">
        <v>2.75</v>
      </c>
      <c r="AX426" s="50">
        <v>3.22</v>
      </c>
      <c r="AY426" s="50">
        <v>0</v>
      </c>
      <c r="AZ426" s="50">
        <v>0</v>
      </c>
      <c r="BA426" s="50">
        <v>3</v>
      </c>
      <c r="BB426" s="50">
        <v>0</v>
      </c>
      <c r="BC426" s="50">
        <v>0</v>
      </c>
      <c r="BD426" s="50">
        <v>0</v>
      </c>
      <c r="BE426" s="11">
        <v>2.9889999999999999</v>
      </c>
      <c r="BF426" s="4">
        <v>0</v>
      </c>
      <c r="BG426" s="4">
        <v>4.9400000000000004</v>
      </c>
      <c r="BH426" s="4">
        <v>0</v>
      </c>
      <c r="BI426" s="4">
        <v>0</v>
      </c>
      <c r="BJ426" s="14">
        <v>4.6029999999999998</v>
      </c>
      <c r="BK426" s="14">
        <v>3.0880000000000001</v>
      </c>
      <c r="BL426" s="4">
        <v>0</v>
      </c>
      <c r="BM426" s="17">
        <v>2.5</v>
      </c>
      <c r="BN426" s="4">
        <v>2.1619999999999999</v>
      </c>
      <c r="BO426" s="4">
        <v>2.2999999999999998</v>
      </c>
      <c r="BP426" s="4">
        <v>0</v>
      </c>
      <c r="BQ426" s="4">
        <v>2.6970000000000001</v>
      </c>
      <c r="BR426" s="4">
        <v>0</v>
      </c>
      <c r="BS426" s="55">
        <v>0</v>
      </c>
      <c r="BT426" s="4">
        <v>4.0720000000000001</v>
      </c>
      <c r="BU426" s="4">
        <v>0</v>
      </c>
      <c r="BV426" s="4">
        <v>3.8860000000000001</v>
      </c>
      <c r="BW426" s="4">
        <v>0</v>
      </c>
      <c r="BX426" s="4">
        <v>0</v>
      </c>
      <c r="BY426" s="4">
        <v>3.6190000000000002</v>
      </c>
      <c r="BZ426" s="55">
        <v>0</v>
      </c>
      <c r="CA426" s="55">
        <v>3.05</v>
      </c>
      <c r="CB426" s="55">
        <v>3.34</v>
      </c>
      <c r="CC426" s="55">
        <v>0</v>
      </c>
      <c r="CD426" s="55">
        <v>0</v>
      </c>
      <c r="CE426" s="19">
        <v>3</v>
      </c>
      <c r="CF426" s="19">
        <v>3.1</v>
      </c>
      <c r="CG426" s="4">
        <v>2.74</v>
      </c>
      <c r="CH426" s="4">
        <v>0</v>
      </c>
      <c r="CI426" s="4">
        <v>0</v>
      </c>
      <c r="CJ426" s="34">
        <v>3.7</v>
      </c>
      <c r="CK426" s="34">
        <v>3.6</v>
      </c>
      <c r="CL426" s="27">
        <v>3.8</v>
      </c>
      <c r="CM426" s="4">
        <v>0</v>
      </c>
      <c r="CN426" s="53">
        <v>2.8</v>
      </c>
      <c r="CO426" s="54">
        <v>3.3</v>
      </c>
      <c r="CP426" s="54">
        <v>0</v>
      </c>
      <c r="CQ426" s="4">
        <v>2.8</v>
      </c>
    </row>
    <row r="427" spans="1:95" s="55" customFormat="1" x14ac:dyDescent="0.35">
      <c r="A427" s="55">
        <v>426</v>
      </c>
      <c r="B427" s="55" t="s">
        <v>87</v>
      </c>
      <c r="C427" s="27" t="s">
        <v>139</v>
      </c>
      <c r="D427" s="50" t="s">
        <v>88</v>
      </c>
      <c r="E427" s="33" t="s">
        <v>89</v>
      </c>
      <c r="F427" s="4">
        <f>IFERROR(AVERAGEIF(Table1[[#This Row],[2019-Apr]:[2025-July]],"&lt;&gt;0"),0)</f>
        <v>0.92071428571428593</v>
      </c>
      <c r="G427" s="4">
        <f ca="1">IFERROR(AVERAGEIF(OFFSET(Table1[[#This Row],[Status]],0,COUNT(Table1[[#This Row],[2019-May]:[2025-July]]),1,-12),"&lt;&gt;0"),0)</f>
        <v>0.55714285714285716</v>
      </c>
      <c r="H427" s="55">
        <f>IFERROR(SMALL(Table1[[#This Row],[2019-Apr]:[2025-July]],COUNTIF(Table1[[#This Row],[2019-Apr]:[2025-July]],0)+1),0)</f>
        <v>0.4</v>
      </c>
      <c r="I427" s="55">
        <f>IFERROR(MAX(Table1[[#This Row],[2019-Apr]:[2025-July]]),0)</f>
        <v>1.92</v>
      </c>
      <c r="J427" s="4" cm="1">
        <f t="array" ref="J42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0.49833333333333329</v>
      </c>
      <c r="K427" s="4">
        <v>4.5</v>
      </c>
      <c r="L427" s="4">
        <f>IF(Table1[[#This Row],[Standard as per ISO]]&gt;=Table1[[#This Row],[Avg of best 6]],Table1[[#This Row],[Standard as per ISO]],Table1[[#This Row],[Avg of best 6]])</f>
        <v>4.5</v>
      </c>
      <c r="M427" s="4" cm="1">
        <f t="array" ref="M427">IFERROR(LOOKUP(2,1/(Table1[[#This Row],[2019-May]:[2025-July]]&lt;&gt;0),Table1[[#This Row],[2019-May]:[2025-July]]),0)</f>
        <v>0.5</v>
      </c>
      <c r="N427" s="4">
        <f>COUNTIF(Table1[[#This Row],[2019-Apr]:[2025-July]],"&gt;="&amp;Table1[[#This Row],[Target]])</f>
        <v>0</v>
      </c>
      <c r="O427" s="4">
        <f>IF(Table1[[#This Row],[Outliers 2Y]]=0,1,0)</f>
        <v>1</v>
      </c>
      <c r="P427" s="4">
        <f>IF(Table1[[#This Row],[Last value]]&gt;1.5*Table1[[#This Row],[Target]],1,0)</f>
        <v>0</v>
      </c>
      <c r="Q427" s="4">
        <f>IF(AND(1.5*Table1[[#This Row],[Target]]&gt;=Table1[[#This Row],[Last value]],Table1[[#This Row],[Last value]]&gt;Table1[[#This Row],[Target]]),1,0)</f>
        <v>0</v>
      </c>
      <c r="R427" s="4">
        <f>IF(Table1[[#This Row],[Target]]&gt;=Table1[[#This Row],[Last value]],1,0)</f>
        <v>1</v>
      </c>
      <c r="S427" s="4" t="str">
        <f t="shared" si="9"/>
        <v>Green</v>
      </c>
      <c r="T427" s="55">
        <v>0</v>
      </c>
      <c r="U427" s="55">
        <v>0</v>
      </c>
      <c r="V427" s="55">
        <v>1.92</v>
      </c>
      <c r="W427" s="55">
        <v>0</v>
      </c>
      <c r="X427" s="55">
        <v>0</v>
      </c>
      <c r="Y427" s="55">
        <v>0</v>
      </c>
      <c r="Z427" s="55">
        <v>0</v>
      </c>
      <c r="AA427" s="55">
        <v>0</v>
      </c>
      <c r="AB427" s="55">
        <v>0</v>
      </c>
      <c r="AC427" s="55">
        <v>0</v>
      </c>
      <c r="AD427" s="55">
        <v>0</v>
      </c>
      <c r="AE427" s="55">
        <v>0</v>
      </c>
      <c r="AF427" s="55">
        <v>0</v>
      </c>
      <c r="AG427" s="55">
        <v>0</v>
      </c>
      <c r="AH427" s="55">
        <v>0</v>
      </c>
      <c r="AI427" s="55">
        <v>0</v>
      </c>
      <c r="AJ427" s="55">
        <v>0</v>
      </c>
      <c r="AK427" s="55">
        <v>0</v>
      </c>
      <c r="AL427" s="55">
        <v>0</v>
      </c>
      <c r="AM427" s="55">
        <v>0</v>
      </c>
      <c r="AN427" s="55">
        <v>0</v>
      </c>
      <c r="AO427" s="55">
        <v>0</v>
      </c>
      <c r="AP427" s="55">
        <v>0</v>
      </c>
      <c r="AQ427" s="55">
        <v>0</v>
      </c>
      <c r="AR427" s="8">
        <v>0</v>
      </c>
      <c r="AS427" s="8">
        <v>0</v>
      </c>
      <c r="AT427" s="8">
        <v>0</v>
      </c>
      <c r="AU427" s="50">
        <v>0</v>
      </c>
      <c r="AV427" s="50">
        <v>0</v>
      </c>
      <c r="AW427" s="50">
        <v>0</v>
      </c>
      <c r="AX427" s="50">
        <v>1.5</v>
      </c>
      <c r="AY427" s="50">
        <v>1.45</v>
      </c>
      <c r="AZ427" s="50">
        <v>0</v>
      </c>
      <c r="BA427" s="50">
        <v>0</v>
      </c>
      <c r="BB427" s="50">
        <v>0</v>
      </c>
      <c r="BC427" s="50">
        <v>0</v>
      </c>
      <c r="BD427" s="50">
        <v>0</v>
      </c>
      <c r="BE427" s="11">
        <v>0</v>
      </c>
      <c r="BF427" s="4">
        <v>0</v>
      </c>
      <c r="BG427" s="4">
        <v>0</v>
      </c>
      <c r="BH427" s="4">
        <v>0</v>
      </c>
      <c r="BI427" s="4">
        <v>0.90700000000000003</v>
      </c>
      <c r="BJ427" s="13">
        <v>0.77100000000000002</v>
      </c>
      <c r="BK427" s="13">
        <v>0.89</v>
      </c>
      <c r="BL427" s="4">
        <v>0.90800000000000003</v>
      </c>
      <c r="BM427" s="16">
        <v>0.54900000000000004</v>
      </c>
      <c r="BN427" s="4">
        <v>0</v>
      </c>
      <c r="BO427" s="4">
        <v>0</v>
      </c>
      <c r="BP427" s="4">
        <v>0</v>
      </c>
      <c r="BQ427" s="4">
        <v>1.5089999999999999</v>
      </c>
      <c r="BR427" s="4">
        <v>0</v>
      </c>
      <c r="BS427" s="55">
        <v>0</v>
      </c>
      <c r="BT427" s="4">
        <v>0.54100000000000004</v>
      </c>
      <c r="BU427" s="4">
        <v>0</v>
      </c>
      <c r="BV427" s="4">
        <v>1.31</v>
      </c>
      <c r="BW427" s="4">
        <v>0</v>
      </c>
      <c r="BX427" s="4">
        <v>0</v>
      </c>
      <c r="BY427" s="4">
        <v>0</v>
      </c>
      <c r="BZ427" s="55">
        <v>0</v>
      </c>
      <c r="CA427" s="55">
        <v>0</v>
      </c>
      <c r="CB427" s="55">
        <v>1.31</v>
      </c>
      <c r="CC427" s="55">
        <v>1.31</v>
      </c>
      <c r="CD427" s="55">
        <v>0.56000000000000005</v>
      </c>
      <c r="CE427" s="19">
        <v>0.4</v>
      </c>
      <c r="CF427" s="19">
        <v>0.5</v>
      </c>
      <c r="CG427" s="4">
        <v>0</v>
      </c>
      <c r="CH427" s="4">
        <v>0</v>
      </c>
      <c r="CI427" s="4">
        <v>0</v>
      </c>
      <c r="CJ427" s="34">
        <v>0</v>
      </c>
      <c r="CK427" s="34">
        <v>0</v>
      </c>
      <c r="CL427" s="27">
        <v>0.6</v>
      </c>
      <c r="CM427" s="4">
        <v>0.6</v>
      </c>
      <c r="CN427" s="53">
        <v>0.5</v>
      </c>
      <c r="CO427" s="54">
        <v>0.8</v>
      </c>
      <c r="CP427" s="54">
        <v>0.5</v>
      </c>
      <c r="CQ427" s="4">
        <v>0</v>
      </c>
    </row>
    <row r="428" spans="1:95" s="55" customFormat="1" x14ac:dyDescent="0.35">
      <c r="A428" s="55">
        <v>427</v>
      </c>
      <c r="B428" s="55" t="s">
        <v>87</v>
      </c>
      <c r="C428" s="27" t="s">
        <v>140</v>
      </c>
      <c r="D428" s="50" t="s">
        <v>88</v>
      </c>
      <c r="E428" s="33" t="s">
        <v>89</v>
      </c>
      <c r="F428" s="4">
        <f>IFERROR(AVERAGEIF(Table1[[#This Row],[2019-Apr]:[2025-July]],"&lt;&gt;0"),0)</f>
        <v>1.0785918367346938</v>
      </c>
      <c r="G428" s="4">
        <f ca="1">IFERROR(AVERAGEIF(OFFSET(Table1[[#This Row],[Status]],0,COUNT(Table1[[#This Row],[2019-May]:[2025-July]]),1,-12),"&lt;&gt;0"),0)</f>
        <v>0.55000000000000004</v>
      </c>
      <c r="H428" s="55">
        <f>IFERROR(SMALL(Table1[[#This Row],[2019-Apr]:[2025-July]],COUNTIF(Table1[[#This Row],[2019-Apr]:[2025-July]],0)+1),0)</f>
        <v>0.5</v>
      </c>
      <c r="I428" s="55">
        <f>IFERROR(MAX(Table1[[#This Row],[2019-Apr]:[2025-July]]),0)</f>
        <v>2.56</v>
      </c>
      <c r="J428" s="4" cm="1">
        <f t="array" ref="J42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0.52666666666666662</v>
      </c>
      <c r="K428" s="4">
        <v>4.5</v>
      </c>
      <c r="L428" s="4">
        <f>IF(Table1[[#This Row],[Standard as per ISO]]&gt;=Table1[[#This Row],[Avg of best 6]],Table1[[#This Row],[Standard as per ISO]],Table1[[#This Row],[Avg of best 6]])</f>
        <v>4.5</v>
      </c>
      <c r="M428" s="4" cm="1">
        <f t="array" ref="M428">IFERROR(LOOKUP(2,1/(Table1[[#This Row],[2019-May]:[2025-July]]&lt;&gt;0),Table1[[#This Row],[2019-May]:[2025-July]]),0)</f>
        <v>0.5</v>
      </c>
      <c r="N428" s="4">
        <f>COUNTIF(Table1[[#This Row],[2019-Apr]:[2025-July]],"&gt;="&amp;Table1[[#This Row],[Target]])</f>
        <v>0</v>
      </c>
      <c r="O428" s="4">
        <f>IF(Table1[[#This Row],[Outliers 2Y]]=0,1,0)</f>
        <v>1</v>
      </c>
      <c r="P428" s="4">
        <f>IF(Table1[[#This Row],[Last value]]&gt;1.5*Table1[[#This Row],[Target]],1,0)</f>
        <v>0</v>
      </c>
      <c r="Q428" s="4">
        <f>IF(AND(1.5*Table1[[#This Row],[Target]]&gt;=Table1[[#This Row],[Last value]],Table1[[#This Row],[Last value]]&gt;Table1[[#This Row],[Target]]),1,0)</f>
        <v>0</v>
      </c>
      <c r="R428" s="4">
        <f>IF(Table1[[#This Row],[Target]]&gt;=Table1[[#This Row],[Last value]],1,0)</f>
        <v>1</v>
      </c>
      <c r="S428" s="4" t="str">
        <f t="shared" si="9"/>
        <v>Green</v>
      </c>
      <c r="T428" s="55">
        <v>0</v>
      </c>
      <c r="U428" s="55">
        <v>0</v>
      </c>
      <c r="V428" s="55">
        <v>1.69</v>
      </c>
      <c r="W428" s="55">
        <v>1.59</v>
      </c>
      <c r="X428" s="55">
        <v>2.56</v>
      </c>
      <c r="Y428" s="55">
        <v>1.69</v>
      </c>
      <c r="Z428" s="55">
        <v>1.1000000000000001</v>
      </c>
      <c r="AA428" s="55">
        <v>1.4</v>
      </c>
      <c r="AB428" s="55">
        <v>1.27</v>
      </c>
      <c r="AC428" s="55">
        <v>1</v>
      </c>
      <c r="AD428" s="55">
        <v>1.54</v>
      </c>
      <c r="AE428" s="55">
        <v>0.9</v>
      </c>
      <c r="AF428" s="55">
        <v>1</v>
      </c>
      <c r="AG428" s="55">
        <v>1</v>
      </c>
      <c r="AH428" s="55">
        <v>1.32</v>
      </c>
      <c r="AI428" s="55">
        <v>0.87</v>
      </c>
      <c r="AJ428" s="55">
        <v>1.1599999999999999</v>
      </c>
      <c r="AK428" s="55">
        <v>0.96</v>
      </c>
      <c r="AL428" s="55">
        <v>1.08</v>
      </c>
      <c r="AM428" s="55">
        <v>1.18</v>
      </c>
      <c r="AN428" s="55">
        <v>1.2</v>
      </c>
      <c r="AO428" s="55">
        <v>1.1200000000000001</v>
      </c>
      <c r="AP428" s="55">
        <v>0.95</v>
      </c>
      <c r="AQ428" s="55">
        <v>1.07</v>
      </c>
      <c r="AR428" s="8">
        <v>0.82</v>
      </c>
      <c r="AS428" s="8">
        <v>1.35</v>
      </c>
      <c r="AT428" s="8">
        <v>0</v>
      </c>
      <c r="AU428" s="50">
        <v>2.3199999999999998</v>
      </c>
      <c r="AV428" s="50">
        <v>1.19</v>
      </c>
      <c r="AW428" s="50">
        <v>2.1800000000000002</v>
      </c>
      <c r="AX428" s="50">
        <v>0</v>
      </c>
      <c r="AY428" s="50">
        <v>1.31</v>
      </c>
      <c r="AZ428" s="50">
        <v>1.28</v>
      </c>
      <c r="BA428" s="50">
        <v>0.9</v>
      </c>
      <c r="BB428" s="50">
        <v>0.7</v>
      </c>
      <c r="BC428" s="55">
        <v>0.9</v>
      </c>
      <c r="BD428" s="55">
        <v>0.6</v>
      </c>
      <c r="BE428" s="11">
        <v>1.0740000000000001</v>
      </c>
      <c r="BF428" s="4">
        <v>0</v>
      </c>
      <c r="BG428" s="4">
        <v>0.75</v>
      </c>
      <c r="BH428" s="4">
        <v>0.88</v>
      </c>
      <c r="BI428" s="4">
        <v>1.1499999999999999</v>
      </c>
      <c r="BJ428" s="14">
        <v>0</v>
      </c>
      <c r="BK428" s="14">
        <v>0.78</v>
      </c>
      <c r="BL428" s="4">
        <v>0</v>
      </c>
      <c r="BM428" s="17">
        <v>0</v>
      </c>
      <c r="BN428" s="4">
        <v>0.76900000000000002</v>
      </c>
      <c r="BO428" s="4">
        <v>0</v>
      </c>
      <c r="BP428" s="4">
        <v>0</v>
      </c>
      <c r="BQ428" s="4">
        <v>0</v>
      </c>
      <c r="BR428" s="4">
        <v>0</v>
      </c>
      <c r="BS428" s="55">
        <v>0</v>
      </c>
      <c r="BT428" s="4">
        <v>0.97599999999999998</v>
      </c>
      <c r="BU428" s="4">
        <v>0</v>
      </c>
      <c r="BV428" s="4">
        <v>0</v>
      </c>
      <c r="BW428" s="4">
        <v>0</v>
      </c>
      <c r="BX428" s="4">
        <v>0</v>
      </c>
      <c r="BY428" s="4">
        <v>0.78200000000000003</v>
      </c>
      <c r="BZ428" s="55">
        <v>0.51</v>
      </c>
      <c r="CA428" s="55">
        <v>0.73</v>
      </c>
      <c r="CB428" s="55">
        <v>0</v>
      </c>
      <c r="CC428" s="55">
        <v>0</v>
      </c>
      <c r="CD428" s="55">
        <v>0</v>
      </c>
      <c r="CE428" s="19">
        <v>0</v>
      </c>
      <c r="CF428" s="19">
        <v>0</v>
      </c>
      <c r="CG428" s="4">
        <v>0.55000000000000004</v>
      </c>
      <c r="CH428" s="4">
        <v>0.56999999999999995</v>
      </c>
      <c r="CI428" s="4">
        <v>0.53</v>
      </c>
      <c r="CJ428" s="34">
        <v>0.6</v>
      </c>
      <c r="CK428" s="34">
        <v>0.5</v>
      </c>
      <c r="CL428" s="27">
        <v>0</v>
      </c>
      <c r="CM428" s="4">
        <v>0</v>
      </c>
      <c r="CN428" s="53">
        <v>0</v>
      </c>
      <c r="CO428" s="54">
        <v>0</v>
      </c>
      <c r="CP428" s="54">
        <v>0</v>
      </c>
      <c r="CQ428" s="4">
        <v>0.5</v>
      </c>
    </row>
    <row r="429" spans="1:95" s="55" customFormat="1" x14ac:dyDescent="0.35">
      <c r="A429" s="55">
        <v>428</v>
      </c>
      <c r="B429" s="55" t="s">
        <v>87</v>
      </c>
      <c r="C429" s="27" t="s">
        <v>141</v>
      </c>
      <c r="D429" s="50" t="s">
        <v>88</v>
      </c>
      <c r="E429" s="33" t="s">
        <v>89</v>
      </c>
      <c r="F429" s="4">
        <f>IFERROR(AVERAGEIF(Table1[[#This Row],[2019-Apr]:[2025-July]],"&lt;&gt;0"),0)</f>
        <v>1.264820512820513</v>
      </c>
      <c r="G429" s="4">
        <f ca="1">IFERROR(AVERAGEIF(OFFSET(Table1[[#This Row],[Status]],0,COUNT(Table1[[#This Row],[2019-May]:[2025-July]]),1,-12),"&lt;&gt;0"),0)</f>
        <v>0.64999999999999991</v>
      </c>
      <c r="H429" s="55">
        <f>IFERROR(SMALL(Table1[[#This Row],[2019-Apr]:[2025-July]],COUNTIF(Table1[[#This Row],[2019-Apr]:[2025-July]],0)+1),0)</f>
        <v>0.5</v>
      </c>
      <c r="I429" s="55">
        <f>IFERROR(MAX(Table1[[#This Row],[2019-Apr]:[2025-July]]),0)</f>
        <v>4.2640000000000002</v>
      </c>
      <c r="J429" s="4" cm="1">
        <f t="array" ref="J42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0.60000000000000009</v>
      </c>
      <c r="K429" s="4">
        <v>4.5</v>
      </c>
      <c r="L429" s="4">
        <f>IF(Table1[[#This Row],[Standard as per ISO]]&gt;=Table1[[#This Row],[Avg of best 6]],Table1[[#This Row],[Standard as per ISO]],Table1[[#This Row],[Avg of best 6]])</f>
        <v>4.5</v>
      </c>
      <c r="M429" s="4" cm="1">
        <f t="array" ref="M429">IFERROR(LOOKUP(2,1/(Table1[[#This Row],[2019-May]:[2025-July]]&lt;&gt;0),Table1[[#This Row],[2019-May]:[2025-July]]),0)</f>
        <v>0.5</v>
      </c>
      <c r="N429" s="4">
        <f>COUNTIF(Table1[[#This Row],[2019-Apr]:[2025-July]],"&gt;="&amp;Table1[[#This Row],[Target]])</f>
        <v>0</v>
      </c>
      <c r="O429" s="4">
        <f>IF(Table1[[#This Row],[Outliers 2Y]]=0,1,0)</f>
        <v>1</v>
      </c>
      <c r="P429" s="4">
        <f>IF(Table1[[#This Row],[Last value]]&gt;1.5*Table1[[#This Row],[Target]],1,0)</f>
        <v>0</v>
      </c>
      <c r="Q429" s="4">
        <f>IF(AND(1.5*Table1[[#This Row],[Target]]&gt;=Table1[[#This Row],[Last value]],Table1[[#This Row],[Last value]]&gt;Table1[[#This Row],[Target]]),1,0)</f>
        <v>0</v>
      </c>
      <c r="R429" s="4">
        <f>IF(Table1[[#This Row],[Target]]&gt;=Table1[[#This Row],[Last value]],1,0)</f>
        <v>1</v>
      </c>
      <c r="S429" s="4" t="str">
        <f t="shared" si="9"/>
        <v>Green</v>
      </c>
      <c r="T429" s="55">
        <v>0</v>
      </c>
      <c r="U429" s="55">
        <v>0.92</v>
      </c>
      <c r="V429" s="55">
        <v>0.96</v>
      </c>
      <c r="W429" s="55">
        <v>1.3</v>
      </c>
      <c r="X429" s="55">
        <v>1.28</v>
      </c>
      <c r="Y429" s="55">
        <v>0.92</v>
      </c>
      <c r="Z429" s="55">
        <v>0.9</v>
      </c>
      <c r="AA429" s="55">
        <v>1.3</v>
      </c>
      <c r="AB429" s="55">
        <v>1.19</v>
      </c>
      <c r="AC429" s="55">
        <v>0.9</v>
      </c>
      <c r="AD429" s="55">
        <v>1.1000000000000001</v>
      </c>
      <c r="AE429" s="55">
        <v>0.6</v>
      </c>
      <c r="AF429" s="55">
        <v>0.7</v>
      </c>
      <c r="AG429" s="55">
        <v>0.7</v>
      </c>
      <c r="AH429" s="55">
        <v>1</v>
      </c>
      <c r="AI429" s="55">
        <v>0.89</v>
      </c>
      <c r="AJ429" s="55">
        <v>0.7</v>
      </c>
      <c r="AK429" s="55">
        <v>1.24</v>
      </c>
      <c r="AL429" s="55">
        <v>1.02</v>
      </c>
      <c r="AM429" s="55">
        <v>0.89</v>
      </c>
      <c r="AN429" s="55">
        <v>0.88</v>
      </c>
      <c r="AO429" s="55">
        <v>1.1000000000000001</v>
      </c>
      <c r="AP429" s="55">
        <v>1.1599999999999999</v>
      </c>
      <c r="AQ429" s="55">
        <v>1.28</v>
      </c>
      <c r="AR429" s="8">
        <v>1.51</v>
      </c>
      <c r="AS429" s="8">
        <v>2.08</v>
      </c>
      <c r="AT429" s="8">
        <v>0</v>
      </c>
      <c r="AU429" s="50">
        <v>1.02</v>
      </c>
      <c r="AV429" s="50">
        <v>1.59</v>
      </c>
      <c r="AW429" s="50">
        <v>1.25</v>
      </c>
      <c r="AX429" s="50">
        <v>0</v>
      </c>
      <c r="AY429" s="50">
        <v>0</v>
      </c>
      <c r="AZ429" s="50">
        <v>1.36</v>
      </c>
      <c r="BA429" s="50">
        <v>0</v>
      </c>
      <c r="BB429" s="50">
        <v>0</v>
      </c>
      <c r="BC429" s="55">
        <v>0</v>
      </c>
      <c r="BD429" s="55">
        <v>0</v>
      </c>
      <c r="BE429" s="11">
        <v>0</v>
      </c>
      <c r="BF429" s="4">
        <v>0</v>
      </c>
      <c r="BG429" s="4">
        <v>0</v>
      </c>
      <c r="BH429" s="4">
        <v>0</v>
      </c>
      <c r="BI429" s="4">
        <v>0</v>
      </c>
      <c r="BJ429" s="13">
        <v>0</v>
      </c>
      <c r="BK429" s="13">
        <v>0</v>
      </c>
      <c r="BL429" s="4">
        <v>0</v>
      </c>
      <c r="BM429" s="16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4.2409999999999997</v>
      </c>
      <c r="BS429" s="55">
        <v>4.2640000000000002</v>
      </c>
      <c r="BT429" s="4">
        <v>3.9430000000000001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55">
        <v>0.84</v>
      </c>
      <c r="CA429" s="55">
        <v>0</v>
      </c>
      <c r="CB429" s="55">
        <v>0</v>
      </c>
      <c r="CC429" s="55">
        <v>1.2</v>
      </c>
      <c r="CD429" s="55">
        <v>0</v>
      </c>
      <c r="CE429" s="19">
        <v>0</v>
      </c>
      <c r="CF429" s="19">
        <v>0</v>
      </c>
      <c r="CG429" s="4">
        <v>0</v>
      </c>
      <c r="CH429" s="4">
        <v>0</v>
      </c>
      <c r="CI429" s="4">
        <v>0</v>
      </c>
      <c r="CJ429" s="34">
        <v>0</v>
      </c>
      <c r="CK429" s="34">
        <v>0.6</v>
      </c>
      <c r="CL429" s="27">
        <v>0</v>
      </c>
      <c r="CM429" s="4">
        <v>0.8</v>
      </c>
      <c r="CN429" s="53">
        <v>0.7</v>
      </c>
      <c r="CO429" s="54">
        <v>0</v>
      </c>
      <c r="CP429" s="54">
        <v>0.5</v>
      </c>
      <c r="CQ429" s="4">
        <v>0.5</v>
      </c>
    </row>
    <row r="430" spans="1:95" s="55" customFormat="1" x14ac:dyDescent="0.35">
      <c r="A430" s="55">
        <v>429</v>
      </c>
      <c r="B430" s="55" t="s">
        <v>87</v>
      </c>
      <c r="C430" s="27" t="s">
        <v>142</v>
      </c>
      <c r="D430" s="50" t="s">
        <v>88</v>
      </c>
      <c r="E430" s="33" t="s">
        <v>89</v>
      </c>
      <c r="F430" s="4">
        <f>IFERROR(AVERAGEIF(Table1[[#This Row],[2019-Apr]:[2025-July]],"&lt;&gt;0"),0)</f>
        <v>0.87349999999999994</v>
      </c>
      <c r="G430" s="4">
        <f ca="1">IFERROR(AVERAGEIF(OFFSET(Table1[[#This Row],[Status]],0,COUNT(Table1[[#This Row],[2019-May]:[2025-July]]),1,-12),"&lt;&gt;0"),0)</f>
        <v>0.755</v>
      </c>
      <c r="H430" s="55">
        <f>IFERROR(SMALL(Table1[[#This Row],[2019-Apr]:[2025-July]],COUNTIF(Table1[[#This Row],[2019-Apr]:[2025-July]],0)+1),0)</f>
        <v>0.44900000000000001</v>
      </c>
      <c r="I430" s="55">
        <f>IFERROR(MAX(Table1[[#This Row],[2019-Apr]:[2025-July]]),0)</f>
        <v>3</v>
      </c>
      <c r="J430" s="4" cm="1">
        <f t="array" ref="J43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0.57433333333333336</v>
      </c>
      <c r="K430" s="4">
        <v>4.5</v>
      </c>
      <c r="L430" s="4">
        <f>IF(Table1[[#This Row],[Standard as per ISO]]&gt;=Table1[[#This Row],[Avg of best 6]],Table1[[#This Row],[Standard as per ISO]],Table1[[#This Row],[Avg of best 6]])</f>
        <v>4.5</v>
      </c>
      <c r="M430" s="4" cm="1">
        <f t="array" ref="M430">IFERROR(LOOKUP(2,1/(Table1[[#This Row],[2019-May]:[2025-July]]&lt;&gt;0),Table1[[#This Row],[2019-May]:[2025-July]]),0)</f>
        <v>0.7</v>
      </c>
      <c r="N430" s="4">
        <f>COUNTIF(Table1[[#This Row],[2019-Apr]:[2025-July]],"&gt;="&amp;Table1[[#This Row],[Target]])</f>
        <v>0</v>
      </c>
      <c r="O430" s="4">
        <f>IF(Table1[[#This Row],[Outliers 2Y]]=0,1,0)</f>
        <v>1</v>
      </c>
      <c r="P430" s="4">
        <f>IF(Table1[[#This Row],[Last value]]&gt;1.5*Table1[[#This Row],[Target]],1,0)</f>
        <v>0</v>
      </c>
      <c r="Q430" s="4">
        <f>IF(AND(1.5*Table1[[#This Row],[Target]]&gt;=Table1[[#This Row],[Last value]],Table1[[#This Row],[Last value]]&gt;Table1[[#This Row],[Target]]),1,0)</f>
        <v>0</v>
      </c>
      <c r="R430" s="4">
        <f>IF(Table1[[#This Row],[Target]]&gt;=Table1[[#This Row],[Last value]],1,0)</f>
        <v>1</v>
      </c>
      <c r="S430" s="4" t="str">
        <f t="shared" si="9"/>
        <v>Green</v>
      </c>
      <c r="T430" s="55">
        <v>0</v>
      </c>
      <c r="U430" s="55">
        <v>0</v>
      </c>
      <c r="V430" s="55">
        <v>0</v>
      </c>
      <c r="W430" s="55">
        <v>0</v>
      </c>
      <c r="X430" s="55">
        <v>0</v>
      </c>
      <c r="Y430" s="55">
        <v>0</v>
      </c>
      <c r="Z430" s="55">
        <v>0</v>
      </c>
      <c r="AA430" s="55">
        <v>0</v>
      </c>
      <c r="AB430" s="55">
        <v>0</v>
      </c>
      <c r="AC430" s="55">
        <v>0</v>
      </c>
      <c r="AD430" s="55">
        <v>0</v>
      </c>
      <c r="AE430" s="55">
        <v>0</v>
      </c>
      <c r="AF430" s="55">
        <v>0</v>
      </c>
      <c r="AG430" s="55">
        <v>0</v>
      </c>
      <c r="AH430" s="55">
        <v>0</v>
      </c>
      <c r="AI430" s="55">
        <v>0</v>
      </c>
      <c r="AJ430" s="55">
        <v>0</v>
      </c>
      <c r="AK430" s="55">
        <v>0</v>
      </c>
      <c r="AL430" s="55">
        <v>0</v>
      </c>
      <c r="AM430" s="55">
        <v>0</v>
      </c>
      <c r="AN430" s="55">
        <v>0</v>
      </c>
      <c r="AO430" s="55">
        <v>0</v>
      </c>
      <c r="AP430" s="55">
        <v>0</v>
      </c>
      <c r="AQ430" s="55">
        <v>0</v>
      </c>
      <c r="AR430" s="8">
        <v>0</v>
      </c>
      <c r="AS430" s="8">
        <v>0</v>
      </c>
      <c r="AT430" s="8">
        <v>0</v>
      </c>
      <c r="AU430" s="50">
        <v>0</v>
      </c>
      <c r="AV430" s="50">
        <v>0</v>
      </c>
      <c r="AW430" s="50">
        <v>0</v>
      </c>
      <c r="AX430" s="50">
        <v>0.99</v>
      </c>
      <c r="AY430" s="50">
        <v>1.17</v>
      </c>
      <c r="AZ430" s="50">
        <v>0</v>
      </c>
      <c r="BA430" s="50">
        <v>0.6</v>
      </c>
      <c r="BB430" s="50">
        <v>0.7</v>
      </c>
      <c r="BC430" s="55">
        <v>1.2</v>
      </c>
      <c r="BD430" s="55">
        <v>0.8</v>
      </c>
      <c r="BE430" s="11">
        <v>3</v>
      </c>
      <c r="BF430" s="4">
        <v>0</v>
      </c>
      <c r="BG430" s="4">
        <v>0.6</v>
      </c>
      <c r="BH430" s="4">
        <v>0.6</v>
      </c>
      <c r="BI430" s="4">
        <v>0.61499999999999999</v>
      </c>
      <c r="BJ430" s="14">
        <v>1.1990000000000001</v>
      </c>
      <c r="BK430" s="14">
        <v>0.67100000000000004</v>
      </c>
      <c r="BL430" s="4">
        <v>0.59699999999999998</v>
      </c>
      <c r="BM430" s="17">
        <v>0.625</v>
      </c>
      <c r="BN430" s="4">
        <v>0</v>
      </c>
      <c r="BO430" s="4">
        <v>0.61099999999999999</v>
      </c>
      <c r="BP430" s="4">
        <v>0.65500000000000003</v>
      </c>
      <c r="BQ430" s="4">
        <v>0.63</v>
      </c>
      <c r="BR430" s="4">
        <v>0</v>
      </c>
      <c r="BS430" s="55">
        <v>0</v>
      </c>
      <c r="BT430" s="4">
        <v>0.81299999999999994</v>
      </c>
      <c r="BU430" s="4">
        <v>0</v>
      </c>
      <c r="BV430" s="4">
        <v>1.81</v>
      </c>
      <c r="BW430" s="4">
        <v>0</v>
      </c>
      <c r="BX430" s="4">
        <v>0.44900000000000001</v>
      </c>
      <c r="BY430" s="4">
        <v>0.60299999999999998</v>
      </c>
      <c r="BZ430" s="55">
        <v>0.99</v>
      </c>
      <c r="CA430" s="55">
        <v>0</v>
      </c>
      <c r="CB430" s="55">
        <v>0</v>
      </c>
      <c r="CC430" s="55">
        <v>0</v>
      </c>
      <c r="CD430" s="55">
        <v>0</v>
      </c>
      <c r="CE430" s="19">
        <v>0.6</v>
      </c>
      <c r="CF430" s="19">
        <v>0.9</v>
      </c>
      <c r="CG430" s="4">
        <v>0</v>
      </c>
      <c r="CH430" s="4">
        <v>0</v>
      </c>
      <c r="CI430" s="4">
        <v>0.73</v>
      </c>
      <c r="CJ430" s="34">
        <v>0.9</v>
      </c>
      <c r="CK430" s="34">
        <v>0</v>
      </c>
      <c r="CL430" s="27">
        <v>0.7</v>
      </c>
      <c r="CM430" s="4">
        <v>0</v>
      </c>
      <c r="CN430" s="53">
        <v>0</v>
      </c>
      <c r="CO430" s="54">
        <v>0.7</v>
      </c>
      <c r="CP430" s="54">
        <v>0</v>
      </c>
      <c r="CQ430" s="4">
        <v>0</v>
      </c>
    </row>
    <row r="431" spans="1:95" s="55" customFormat="1" x14ac:dyDescent="0.35">
      <c r="A431" s="55">
        <v>430</v>
      </c>
      <c r="B431" s="55" t="s">
        <v>87</v>
      </c>
      <c r="C431" s="27" t="s">
        <v>143</v>
      </c>
      <c r="D431" s="50" t="s">
        <v>88</v>
      </c>
      <c r="E431" s="33" t="s">
        <v>89</v>
      </c>
      <c r="F431" s="4">
        <f>IFERROR(AVERAGEIF(Table1[[#This Row],[2019-Apr]:[2025-July]],"&lt;&gt;0"),0)</f>
        <v>1.924175</v>
      </c>
      <c r="G431" s="4">
        <f ca="1">IFERROR(AVERAGEIF(OFFSET(Table1[[#This Row],[Status]],0,COUNT(Table1[[#This Row],[2019-May]:[2025-July]]),1,-12),"&lt;&gt;0"),0)</f>
        <v>2.2749999999999999</v>
      </c>
      <c r="H431" s="55">
        <f>IFERROR(SMALL(Table1[[#This Row],[2019-Apr]:[2025-July]],COUNTIF(Table1[[#This Row],[2019-Apr]:[2025-July]],0)+1),0)</f>
        <v>1</v>
      </c>
      <c r="I431" s="55">
        <f>IFERROR(MAX(Table1[[#This Row],[2019-Apr]:[2025-July]]),0)</f>
        <v>3.5</v>
      </c>
      <c r="J431" s="4" cm="1">
        <f t="array" ref="J43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1.3266666666666664</v>
      </c>
      <c r="K431" s="4">
        <v>4.5</v>
      </c>
      <c r="L431" s="4">
        <f>IF(Table1[[#This Row],[Standard as per ISO]]&gt;=Table1[[#This Row],[Avg of best 6]],Table1[[#This Row],[Standard as per ISO]],Table1[[#This Row],[Avg of best 6]])</f>
        <v>4.5</v>
      </c>
      <c r="M431" s="4" cm="1">
        <f t="array" ref="M431">IFERROR(LOOKUP(2,1/(Table1[[#This Row],[2019-May]:[2025-July]]&lt;&gt;0),Table1[[#This Row],[2019-May]:[2025-July]]),0)</f>
        <v>1.3</v>
      </c>
      <c r="N431" s="4">
        <f>COUNTIF(Table1[[#This Row],[2019-Apr]:[2025-July]],"&gt;="&amp;Table1[[#This Row],[Target]])</f>
        <v>0</v>
      </c>
      <c r="O431" s="4">
        <f>IF(Table1[[#This Row],[Outliers 2Y]]=0,1,0)</f>
        <v>1</v>
      </c>
      <c r="P431" s="4">
        <f>IF(Table1[[#This Row],[Last value]]&gt;1.5*Table1[[#This Row],[Target]],1,0)</f>
        <v>0</v>
      </c>
      <c r="Q431" s="4">
        <f>IF(AND(1.5*Table1[[#This Row],[Target]]&gt;=Table1[[#This Row],[Last value]],Table1[[#This Row],[Last value]]&gt;Table1[[#This Row],[Target]]),1,0)</f>
        <v>0</v>
      </c>
      <c r="R431" s="4">
        <f>IF(Table1[[#This Row],[Target]]&gt;=Table1[[#This Row],[Last value]],1,0)</f>
        <v>1</v>
      </c>
      <c r="S431" s="4" t="str">
        <f t="shared" si="9"/>
        <v>Green</v>
      </c>
      <c r="T431" s="55">
        <v>0</v>
      </c>
      <c r="U431" s="55">
        <v>3.09</v>
      </c>
      <c r="V431" s="55">
        <v>2.4900000000000002</v>
      </c>
      <c r="W431" s="55">
        <v>2.65</v>
      </c>
      <c r="X431" s="55">
        <v>1.67</v>
      </c>
      <c r="Y431" s="55">
        <v>1.94</v>
      </c>
      <c r="Z431" s="55">
        <v>1.9</v>
      </c>
      <c r="AA431" s="55">
        <v>1.5</v>
      </c>
      <c r="AB431" s="55">
        <v>1.44</v>
      </c>
      <c r="AC431" s="55">
        <v>1.5</v>
      </c>
      <c r="AD431" s="55">
        <v>1.3</v>
      </c>
      <c r="AE431" s="55">
        <v>2.1</v>
      </c>
      <c r="AF431" s="55">
        <v>1.7</v>
      </c>
      <c r="AG431" s="55">
        <v>2</v>
      </c>
      <c r="AH431" s="55">
        <v>1.9</v>
      </c>
      <c r="AI431" s="55">
        <v>1.84</v>
      </c>
      <c r="AJ431" s="55">
        <v>1.6</v>
      </c>
      <c r="AK431" s="55">
        <v>2.14</v>
      </c>
      <c r="AL431" s="55">
        <v>1.95</v>
      </c>
      <c r="AM431" s="55">
        <v>1.84</v>
      </c>
      <c r="AN431" s="55">
        <v>1.6</v>
      </c>
      <c r="AO431" s="55">
        <v>1.89</v>
      </c>
      <c r="AP431" s="55">
        <v>1.67</v>
      </c>
      <c r="AQ431" s="55">
        <v>1.83</v>
      </c>
      <c r="AR431" s="8">
        <v>1.72</v>
      </c>
      <c r="AS431" s="8">
        <v>0</v>
      </c>
      <c r="AT431" s="8">
        <v>1.9</v>
      </c>
      <c r="AU431" s="50">
        <v>1.72</v>
      </c>
      <c r="AV431" s="50">
        <v>2.35</v>
      </c>
      <c r="AW431" s="50">
        <v>1.42</v>
      </c>
      <c r="AX431" s="50">
        <v>0</v>
      </c>
      <c r="AY431" s="50">
        <v>1.83</v>
      </c>
      <c r="AZ431" s="50">
        <v>2.2999999999999998</v>
      </c>
      <c r="BA431" s="50">
        <v>1.7</v>
      </c>
      <c r="BB431" s="50">
        <v>0</v>
      </c>
      <c r="BC431" s="55">
        <v>0</v>
      </c>
      <c r="BD431" s="55">
        <v>0</v>
      </c>
      <c r="BE431" s="11">
        <v>0</v>
      </c>
      <c r="BF431" s="4">
        <v>0</v>
      </c>
      <c r="BG431" s="4">
        <v>0</v>
      </c>
      <c r="BH431" s="4">
        <v>0</v>
      </c>
      <c r="BI431" s="4">
        <v>0</v>
      </c>
      <c r="BJ431" s="13">
        <v>0</v>
      </c>
      <c r="BK431" s="13">
        <v>0</v>
      </c>
      <c r="BL431" s="4">
        <v>1.536</v>
      </c>
      <c r="BM431" s="16">
        <v>0</v>
      </c>
      <c r="BN431" s="4">
        <v>0</v>
      </c>
      <c r="BO431" s="4">
        <v>0</v>
      </c>
      <c r="BP431" s="4">
        <v>0</v>
      </c>
      <c r="BQ431" s="4">
        <v>3.25</v>
      </c>
      <c r="BR431" s="4">
        <v>0</v>
      </c>
      <c r="BS431" s="55">
        <v>0</v>
      </c>
      <c r="BT431" s="4">
        <v>0</v>
      </c>
      <c r="BU431" s="4">
        <v>0</v>
      </c>
      <c r="BV431" s="4">
        <v>1.7410000000000001</v>
      </c>
      <c r="BW431" s="4">
        <v>0</v>
      </c>
      <c r="BX431" s="4">
        <v>0</v>
      </c>
      <c r="BY431" s="4">
        <v>0</v>
      </c>
      <c r="BZ431" s="55">
        <v>0</v>
      </c>
      <c r="CA431" s="55">
        <v>0</v>
      </c>
      <c r="CB431" s="55">
        <v>0</v>
      </c>
      <c r="CC431" s="55">
        <v>1.56</v>
      </c>
      <c r="CD431" s="55">
        <v>0</v>
      </c>
      <c r="CE431" s="19">
        <v>2.5</v>
      </c>
      <c r="CF431" s="19">
        <v>2.1</v>
      </c>
      <c r="CG431" s="4">
        <v>0</v>
      </c>
      <c r="CH431" s="4">
        <v>0</v>
      </c>
      <c r="CI431" s="4">
        <v>0</v>
      </c>
      <c r="CJ431" s="34">
        <v>0</v>
      </c>
      <c r="CK431" s="34">
        <v>0</v>
      </c>
      <c r="CL431" s="27">
        <v>0</v>
      </c>
      <c r="CM431" s="4">
        <v>1</v>
      </c>
      <c r="CN431" s="53">
        <v>0</v>
      </c>
      <c r="CO431" s="54">
        <v>3.5</v>
      </c>
      <c r="CP431" s="54">
        <v>0</v>
      </c>
      <c r="CQ431" s="4">
        <v>1.3</v>
      </c>
    </row>
    <row r="432" spans="1:95" s="55" customFormat="1" x14ac:dyDescent="0.35">
      <c r="A432" s="55">
        <v>431</v>
      </c>
      <c r="B432" s="55" t="s">
        <v>87</v>
      </c>
      <c r="C432" s="27" t="s">
        <v>144</v>
      </c>
      <c r="D432" s="50" t="s">
        <v>88</v>
      </c>
      <c r="E432" s="33" t="s">
        <v>89</v>
      </c>
      <c r="F432" s="4">
        <f>IFERROR(AVERAGEIF(Table1[[#This Row],[2019-Apr]:[2025-July]],"&lt;&gt;0"),0)</f>
        <v>2.4252857142857138</v>
      </c>
      <c r="G432" s="4">
        <f ca="1">IFERROR(AVERAGEIF(OFFSET(Table1[[#This Row],[Status]],0,COUNT(Table1[[#This Row],[2019-May]:[2025-July]]),1,-12),"&lt;&gt;0"),0)</f>
        <v>2.73</v>
      </c>
      <c r="H432" s="55">
        <f>IFERROR(SMALL(Table1[[#This Row],[2019-Apr]:[2025-July]],COUNTIF(Table1[[#This Row],[2019-Apr]:[2025-July]],0)+1),0)</f>
        <v>1.3</v>
      </c>
      <c r="I432" s="55">
        <f>IFERROR(MAX(Table1[[#This Row],[2019-Apr]:[2025-July]]),0)</f>
        <v>3.98</v>
      </c>
      <c r="J432" s="4" cm="1">
        <f t="array" ref="J43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1.6631666666666665</v>
      </c>
      <c r="K432" s="4">
        <v>4.5</v>
      </c>
      <c r="L432" s="4">
        <f>IF(Table1[[#This Row],[Standard as per ISO]]&gt;=Table1[[#This Row],[Avg of best 6]],Table1[[#This Row],[Standard as per ISO]],Table1[[#This Row],[Avg of best 6]])</f>
        <v>4.5</v>
      </c>
      <c r="M432" s="4" cm="1">
        <f t="array" ref="M432">IFERROR(LOOKUP(2,1/(Table1[[#This Row],[2019-May]:[2025-July]]&lt;&gt;0),Table1[[#This Row],[2019-May]:[2025-July]]),0)</f>
        <v>2.8</v>
      </c>
      <c r="N432" s="4">
        <f>COUNTIF(Table1[[#This Row],[2019-Apr]:[2025-July]],"&gt;="&amp;Table1[[#This Row],[Target]])</f>
        <v>0</v>
      </c>
      <c r="O432" s="4">
        <f>IF(Table1[[#This Row],[Outliers 2Y]]=0,1,0)</f>
        <v>1</v>
      </c>
      <c r="P432" s="4">
        <f>IF(Table1[[#This Row],[Last value]]&gt;1.5*Table1[[#This Row],[Target]],1,0)</f>
        <v>0</v>
      </c>
      <c r="Q432" s="4">
        <f>IF(AND(1.5*Table1[[#This Row],[Target]]&gt;=Table1[[#This Row],[Last value]],Table1[[#This Row],[Last value]]&gt;Table1[[#This Row],[Target]]),1,0)</f>
        <v>0</v>
      </c>
      <c r="R432" s="4">
        <f>IF(Table1[[#This Row],[Target]]&gt;=Table1[[#This Row],[Last value]],1,0)</f>
        <v>1</v>
      </c>
      <c r="S432" s="4" t="str">
        <f t="shared" si="9"/>
        <v>Green</v>
      </c>
      <c r="T432" s="55">
        <v>0</v>
      </c>
      <c r="U432" s="55">
        <v>0</v>
      </c>
      <c r="V432" s="55">
        <v>0</v>
      </c>
      <c r="W432" s="55">
        <v>0</v>
      </c>
      <c r="X432" s="55">
        <v>0</v>
      </c>
      <c r="Y432" s="55">
        <v>0</v>
      </c>
      <c r="Z432" s="55">
        <v>0</v>
      </c>
      <c r="AA432" s="55">
        <v>0</v>
      </c>
      <c r="AB432" s="55">
        <v>0</v>
      </c>
      <c r="AC432" s="55">
        <v>0</v>
      </c>
      <c r="AD432" s="55">
        <v>0</v>
      </c>
      <c r="AE432" s="55">
        <v>0</v>
      </c>
      <c r="AF432" s="55">
        <v>0</v>
      </c>
      <c r="AG432" s="55">
        <v>0</v>
      </c>
      <c r="AH432" s="55">
        <v>1.85</v>
      </c>
      <c r="AI432" s="55">
        <v>0</v>
      </c>
      <c r="AJ432" s="55">
        <v>0</v>
      </c>
      <c r="AK432" s="55">
        <v>0</v>
      </c>
      <c r="AL432" s="55">
        <v>0</v>
      </c>
      <c r="AM432" s="55">
        <v>0</v>
      </c>
      <c r="AN432" s="55">
        <v>0</v>
      </c>
      <c r="AO432" s="55">
        <v>0</v>
      </c>
      <c r="AP432" s="55">
        <v>0</v>
      </c>
      <c r="AQ432" s="55">
        <v>0</v>
      </c>
      <c r="AR432" s="8">
        <v>0</v>
      </c>
      <c r="AS432" s="8">
        <v>0</v>
      </c>
      <c r="AT432" s="8">
        <v>0</v>
      </c>
      <c r="AU432" s="50">
        <v>0</v>
      </c>
      <c r="AV432" s="50">
        <v>0</v>
      </c>
      <c r="AW432" s="50">
        <v>0</v>
      </c>
      <c r="AX432" s="50">
        <v>3.98</v>
      </c>
      <c r="AY432" s="50">
        <v>0</v>
      </c>
      <c r="AZ432" s="50">
        <v>0</v>
      </c>
      <c r="BA432" s="50">
        <v>0</v>
      </c>
      <c r="BB432" s="50">
        <v>1.3</v>
      </c>
      <c r="BC432" s="55">
        <v>2.2999999999999998</v>
      </c>
      <c r="BD432" s="55">
        <v>2.2000000000000002</v>
      </c>
      <c r="BE432" s="11">
        <v>2.0910000000000002</v>
      </c>
      <c r="BF432" s="4">
        <v>0</v>
      </c>
      <c r="BG432" s="4">
        <v>2.4700000000000002</v>
      </c>
      <c r="BH432" s="4">
        <v>2.3959999999999999</v>
      </c>
      <c r="BI432" s="4">
        <v>2.758</v>
      </c>
      <c r="BJ432" s="14">
        <v>2.718</v>
      </c>
      <c r="BK432" s="14">
        <v>3.1110000000000002</v>
      </c>
      <c r="BL432" s="4">
        <v>2.6480000000000001</v>
      </c>
      <c r="BM432" s="17">
        <v>2.117</v>
      </c>
      <c r="BN432" s="4">
        <v>1.6559999999999999</v>
      </c>
      <c r="BO432" s="4">
        <v>1.8620000000000001</v>
      </c>
      <c r="BP432" s="4">
        <v>2.2959999999999998</v>
      </c>
      <c r="BQ432" s="4">
        <v>1.6559999999999999</v>
      </c>
      <c r="BR432" s="4">
        <v>2.5640000000000001</v>
      </c>
      <c r="BS432" s="55">
        <v>1.6930000000000001</v>
      </c>
      <c r="BT432" s="4">
        <v>3.4380000000000002</v>
      </c>
      <c r="BU432" s="4">
        <v>0</v>
      </c>
      <c r="BV432" s="4">
        <v>0</v>
      </c>
      <c r="BW432" s="4">
        <v>0</v>
      </c>
      <c r="BX432" s="4">
        <v>0</v>
      </c>
      <c r="BY432" s="4">
        <v>1.8240000000000001</v>
      </c>
      <c r="BZ432" s="55">
        <v>2.6</v>
      </c>
      <c r="CA432" s="55">
        <v>0</v>
      </c>
      <c r="CB432" s="55">
        <v>0</v>
      </c>
      <c r="CC432" s="55">
        <v>0</v>
      </c>
      <c r="CD432" s="55">
        <v>0</v>
      </c>
      <c r="CE432" s="19">
        <v>0</v>
      </c>
      <c r="CF432" s="19">
        <v>0</v>
      </c>
      <c r="CG432" s="4">
        <v>0</v>
      </c>
      <c r="CH432" s="4">
        <v>0</v>
      </c>
      <c r="CI432" s="4">
        <v>2.78</v>
      </c>
      <c r="CJ432" s="34">
        <v>2.4</v>
      </c>
      <c r="CK432" s="34">
        <v>2.4</v>
      </c>
      <c r="CL432" s="27">
        <v>3.3</v>
      </c>
      <c r="CM432" s="4">
        <v>0</v>
      </c>
      <c r="CN432" s="53">
        <v>2.7</v>
      </c>
      <c r="CO432" s="54">
        <v>0</v>
      </c>
      <c r="CP432" s="54">
        <v>2.8</v>
      </c>
      <c r="CQ432" s="4">
        <v>0</v>
      </c>
    </row>
    <row r="433" spans="1:95" s="55" customFormat="1" x14ac:dyDescent="0.35">
      <c r="A433" s="55">
        <v>432</v>
      </c>
      <c r="B433" s="55" t="s">
        <v>87</v>
      </c>
      <c r="C433" s="27" t="s">
        <v>145</v>
      </c>
      <c r="D433" s="50" t="s">
        <v>88</v>
      </c>
      <c r="E433" s="33" t="s">
        <v>90</v>
      </c>
      <c r="F433" s="4">
        <f>IFERROR(AVERAGEIF(Table1[[#This Row],[2019-Apr]:[2025-July]],"&lt;&gt;0"),0)</f>
        <v>3.7999642857142852</v>
      </c>
      <c r="G433" s="4">
        <f ca="1">IFERROR(AVERAGEIF(OFFSET(Table1[[#This Row],[Status]],0,COUNT(Table1[[#This Row],[2019-May]:[2025-July]]),1,-12),"&lt;&gt;0"),0)</f>
        <v>3.5428571428571423</v>
      </c>
      <c r="H433" s="55">
        <f>IFERROR(SMALL(Table1[[#This Row],[2019-Apr]:[2025-July]],COUNTIF(Table1[[#This Row],[2019-Apr]:[2025-July]],0)+1),0)</f>
        <v>2.17</v>
      </c>
      <c r="I433" s="55">
        <f>IFERROR(MAX(Table1[[#This Row],[2019-Apr]:[2025-July]]),0)</f>
        <v>5.59</v>
      </c>
      <c r="J433" s="4" cm="1">
        <f t="array" ref="J43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2.52</v>
      </c>
      <c r="K433" s="4">
        <v>4.5</v>
      </c>
      <c r="L433" s="4">
        <f>IF(Table1[[#This Row],[Standard as per ISO]]&gt;=Table1[[#This Row],[Avg of best 6]],Table1[[#This Row],[Standard as per ISO]],Table1[[#This Row],[Avg of best 6]])</f>
        <v>4.5</v>
      </c>
      <c r="M433" s="4" cm="1">
        <f t="array" ref="M433">IFERROR(LOOKUP(2,1/(Table1[[#This Row],[2019-May]:[2025-July]]&lt;&gt;0),Table1[[#This Row],[2019-May]:[2025-July]]),0)</f>
        <v>3.7</v>
      </c>
      <c r="N433" s="4">
        <f>COUNTIF(Table1[[#This Row],[2019-Apr]:[2025-July]],"&gt;="&amp;Table1[[#This Row],[Target]])</f>
        <v>6</v>
      </c>
      <c r="O433" s="4">
        <f>IF(Table1[[#This Row],[Outliers 2Y]]=0,1,0)</f>
        <v>0</v>
      </c>
      <c r="P433" s="4">
        <f>IF(Table1[[#This Row],[Last value]]&gt;1.5*Table1[[#This Row],[Target]],1,0)</f>
        <v>0</v>
      </c>
      <c r="Q433" s="4">
        <f>IF(AND(1.5*Table1[[#This Row],[Target]]&gt;=Table1[[#This Row],[Last value]],Table1[[#This Row],[Last value]]&gt;Table1[[#This Row],[Target]]),1,0)</f>
        <v>0</v>
      </c>
      <c r="R433" s="4">
        <f>IF(Table1[[#This Row],[Target]]&gt;=Table1[[#This Row],[Last value]],1,0)</f>
        <v>1</v>
      </c>
      <c r="S433" s="4" t="str">
        <f t="shared" si="9"/>
        <v>Green</v>
      </c>
      <c r="T433" s="55">
        <v>0</v>
      </c>
      <c r="U433" s="55">
        <v>0</v>
      </c>
      <c r="V433" s="55">
        <v>0</v>
      </c>
      <c r="W433" s="55">
        <v>0</v>
      </c>
      <c r="X433" s="55">
        <v>0</v>
      </c>
      <c r="Y433" s="55">
        <v>0</v>
      </c>
      <c r="Z433" s="55">
        <v>0</v>
      </c>
      <c r="AA433" s="55">
        <v>0</v>
      </c>
      <c r="AB433" s="55">
        <v>2.75</v>
      </c>
      <c r="AC433" s="55">
        <v>2.4</v>
      </c>
      <c r="AD433" s="55">
        <v>2.8</v>
      </c>
      <c r="AE433" s="55">
        <v>0</v>
      </c>
      <c r="AF433" s="55">
        <v>0</v>
      </c>
      <c r="AG433" s="55">
        <v>0</v>
      </c>
      <c r="AH433" s="55">
        <v>0</v>
      </c>
      <c r="AI433" s="55">
        <v>0</v>
      </c>
      <c r="AJ433" s="55">
        <v>0</v>
      </c>
      <c r="AK433" s="55">
        <v>0</v>
      </c>
      <c r="AL433" s="55">
        <v>0</v>
      </c>
      <c r="AM433" s="55">
        <v>0</v>
      </c>
      <c r="AN433" s="55">
        <v>0</v>
      </c>
      <c r="AO433" s="55">
        <v>0</v>
      </c>
      <c r="AP433" s="55">
        <v>0</v>
      </c>
      <c r="AQ433" s="55">
        <v>0</v>
      </c>
      <c r="AR433" s="8">
        <v>4.7300000000000004</v>
      </c>
      <c r="AS433" s="8">
        <v>4.22</v>
      </c>
      <c r="AT433" s="8">
        <v>0</v>
      </c>
      <c r="AU433" s="50">
        <v>5.59</v>
      </c>
      <c r="AV433" s="50">
        <v>3.76</v>
      </c>
      <c r="AW433" s="50">
        <v>5.32</v>
      </c>
      <c r="AX433" s="50">
        <v>4.4400000000000004</v>
      </c>
      <c r="AY433" s="50">
        <v>4.71</v>
      </c>
      <c r="AZ433" s="50">
        <v>4.71</v>
      </c>
      <c r="BA433" s="50">
        <v>0</v>
      </c>
      <c r="BB433" s="50">
        <v>0</v>
      </c>
      <c r="BC433" s="55">
        <v>0</v>
      </c>
      <c r="BD433" s="55">
        <v>0</v>
      </c>
      <c r="BE433" s="11">
        <v>0</v>
      </c>
      <c r="BF433" s="4">
        <v>0</v>
      </c>
      <c r="BG433" s="4">
        <v>0</v>
      </c>
      <c r="BH433" s="4">
        <v>0</v>
      </c>
      <c r="BI433" s="4">
        <v>4.4349999999999996</v>
      </c>
      <c r="BJ433" s="13">
        <v>0</v>
      </c>
      <c r="BK433" s="13">
        <v>0</v>
      </c>
      <c r="BL433" s="4">
        <v>0</v>
      </c>
      <c r="BM433" s="16">
        <v>0</v>
      </c>
      <c r="BN433" s="4">
        <v>0</v>
      </c>
      <c r="BO433" s="4">
        <v>0</v>
      </c>
      <c r="BP433" s="4">
        <v>0</v>
      </c>
      <c r="BQ433" s="4">
        <v>3.8809999999999998</v>
      </c>
      <c r="BR433" s="4">
        <v>0</v>
      </c>
      <c r="BS433" s="55">
        <v>0</v>
      </c>
      <c r="BT433" s="4">
        <v>3.319</v>
      </c>
      <c r="BU433" s="4">
        <v>0</v>
      </c>
      <c r="BV433" s="4">
        <v>3.4279999999999999</v>
      </c>
      <c r="BW433" s="4">
        <v>0</v>
      </c>
      <c r="BX433" s="4">
        <v>0</v>
      </c>
      <c r="BY433" s="4">
        <v>3.9860000000000002</v>
      </c>
      <c r="BZ433" s="55">
        <v>3.32</v>
      </c>
      <c r="CA433" s="55">
        <v>3.97</v>
      </c>
      <c r="CB433" s="55">
        <v>2.17</v>
      </c>
      <c r="CC433" s="55">
        <v>3.96</v>
      </c>
      <c r="CD433" s="55">
        <v>0</v>
      </c>
      <c r="CE433" s="19">
        <v>4</v>
      </c>
      <c r="CF433" s="19">
        <v>3.1</v>
      </c>
      <c r="CG433" s="4">
        <v>0</v>
      </c>
      <c r="CH433" s="4">
        <v>0</v>
      </c>
      <c r="CI433" s="4">
        <v>0</v>
      </c>
      <c r="CJ433" s="34">
        <v>4.7</v>
      </c>
      <c r="CK433" s="34">
        <v>0</v>
      </c>
      <c r="CL433" s="27">
        <v>3.9</v>
      </c>
      <c r="CM433" s="4">
        <v>0</v>
      </c>
      <c r="CN433" s="53">
        <v>2.2999999999999998</v>
      </c>
      <c r="CO433" s="54">
        <v>2.7</v>
      </c>
      <c r="CP433" s="54">
        <v>4.0999999999999996</v>
      </c>
      <c r="CQ433" s="4">
        <v>3.7</v>
      </c>
    </row>
    <row r="434" spans="1:95" s="55" customFormat="1" x14ac:dyDescent="0.35">
      <c r="A434" s="55">
        <v>433</v>
      </c>
      <c r="B434" s="55" t="s">
        <v>87</v>
      </c>
      <c r="C434" s="27" t="s">
        <v>146</v>
      </c>
      <c r="D434" s="50" t="s">
        <v>88</v>
      </c>
      <c r="E434" s="33" t="s">
        <v>90</v>
      </c>
      <c r="F434" s="4">
        <f>IFERROR(AVERAGEIF(Table1[[#This Row],[2019-Apr]:[2025-July]],"&lt;&gt;0"),0)</f>
        <v>3.8076153846153851</v>
      </c>
      <c r="G434" s="4">
        <f ca="1">IFERROR(AVERAGEIF(OFFSET(Table1[[#This Row],[Status]],0,COUNT(Table1[[#This Row],[2019-May]:[2025-July]]),1,-12),"&lt;&gt;0"),0)</f>
        <v>3.5233333333333334</v>
      </c>
      <c r="H434" s="55">
        <f>IFERROR(SMALL(Table1[[#This Row],[2019-Apr]:[2025-July]],COUNTIF(Table1[[#This Row],[2019-Apr]:[2025-July]],0)+1),0)</f>
        <v>2.14</v>
      </c>
      <c r="I434" s="55">
        <f>IFERROR(MAX(Table1[[#This Row],[2019-Apr]:[2025-July]]),0)</f>
        <v>5.68</v>
      </c>
      <c r="J434" s="4" cm="1">
        <f t="array" ref="J43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2.9261666666666666</v>
      </c>
      <c r="K434" s="4">
        <v>4.5</v>
      </c>
      <c r="L434" s="4">
        <f>IF(Table1[[#This Row],[Standard as per ISO]]&gt;=Table1[[#This Row],[Avg of best 6]],Table1[[#This Row],[Standard as per ISO]],Table1[[#This Row],[Avg of best 6]])</f>
        <v>4.5</v>
      </c>
      <c r="M434" s="4" cm="1">
        <f t="array" ref="M434">IFERROR(LOOKUP(2,1/(Table1[[#This Row],[2019-May]:[2025-July]]&lt;&gt;0),Table1[[#This Row],[2019-May]:[2025-July]]),0)</f>
        <v>4.0999999999999996</v>
      </c>
      <c r="N434" s="4">
        <f>COUNTIF(Table1[[#This Row],[2019-Apr]:[2025-July]],"&gt;="&amp;Table1[[#This Row],[Target]])</f>
        <v>6</v>
      </c>
      <c r="O434" s="4">
        <f>IF(Table1[[#This Row],[Outliers 2Y]]=0,1,0)</f>
        <v>0</v>
      </c>
      <c r="P434" s="4">
        <f>IF(Table1[[#This Row],[Last value]]&gt;1.5*Table1[[#This Row],[Target]],1,0)</f>
        <v>0</v>
      </c>
      <c r="Q434" s="4">
        <f>IF(AND(1.5*Table1[[#This Row],[Target]]&gt;=Table1[[#This Row],[Last value]],Table1[[#This Row],[Last value]]&gt;Table1[[#This Row],[Target]]),1,0)</f>
        <v>0</v>
      </c>
      <c r="R434" s="4">
        <f>IF(Table1[[#This Row],[Target]]&gt;=Table1[[#This Row],[Last value]],1,0)</f>
        <v>1</v>
      </c>
      <c r="S434" s="4" t="str">
        <f t="shared" si="9"/>
        <v>Green</v>
      </c>
      <c r="T434" s="55">
        <v>0</v>
      </c>
      <c r="U434" s="55">
        <v>0</v>
      </c>
      <c r="V434" s="55">
        <v>4.0999999999999996</v>
      </c>
      <c r="W434" s="55">
        <v>3.69</v>
      </c>
      <c r="X434" s="55">
        <v>4.13</v>
      </c>
      <c r="Y434" s="55">
        <v>4.13</v>
      </c>
      <c r="Z434" s="55">
        <v>3.8</v>
      </c>
      <c r="AA434" s="55">
        <v>4.0999999999999996</v>
      </c>
      <c r="AB434" s="55">
        <v>0</v>
      </c>
      <c r="AC434" s="55">
        <v>0</v>
      </c>
      <c r="AD434" s="55">
        <v>0</v>
      </c>
      <c r="AE434" s="55">
        <v>3.5</v>
      </c>
      <c r="AF434" s="55">
        <v>4.0999999999999996</v>
      </c>
      <c r="AG434" s="55">
        <v>3.8</v>
      </c>
      <c r="AH434" s="55">
        <v>4.2300000000000004</v>
      </c>
      <c r="AI434" s="55">
        <v>3.5</v>
      </c>
      <c r="AJ434" s="55">
        <v>3.66</v>
      </c>
      <c r="AK434" s="55">
        <v>4.71</v>
      </c>
      <c r="AL434" s="55">
        <v>4.8600000000000003</v>
      </c>
      <c r="AM434" s="55">
        <v>4.45</v>
      </c>
      <c r="AN434" s="55">
        <v>5.68</v>
      </c>
      <c r="AO434" s="55">
        <v>4.72</v>
      </c>
      <c r="AP434" s="55">
        <v>4.33</v>
      </c>
      <c r="AQ434" s="55">
        <v>4.87</v>
      </c>
      <c r="AR434" s="8">
        <v>5.03</v>
      </c>
      <c r="AS434" s="8">
        <v>0</v>
      </c>
      <c r="AT434" s="8">
        <v>0</v>
      </c>
      <c r="AU434" s="50">
        <v>0</v>
      </c>
      <c r="AV434" s="50">
        <v>0</v>
      </c>
      <c r="AW434" s="50">
        <v>0</v>
      </c>
      <c r="AX434" s="50">
        <v>0</v>
      </c>
      <c r="AY434" s="50">
        <v>0</v>
      </c>
      <c r="AZ434" s="50">
        <v>3.5</v>
      </c>
      <c r="BA434" s="50">
        <v>3.2</v>
      </c>
      <c r="BB434" s="50">
        <v>2.8</v>
      </c>
      <c r="BC434" s="55">
        <v>0</v>
      </c>
      <c r="BD434" s="55">
        <v>3.9</v>
      </c>
      <c r="BE434" s="11">
        <v>3.3159999999999998</v>
      </c>
      <c r="BF434" s="4">
        <v>0</v>
      </c>
      <c r="BG434" s="4">
        <v>2.14</v>
      </c>
      <c r="BH434" s="4">
        <v>0</v>
      </c>
      <c r="BI434" s="4">
        <v>3.4020000000000001</v>
      </c>
      <c r="BJ434" s="14">
        <v>3.62</v>
      </c>
      <c r="BK434" s="14">
        <v>0</v>
      </c>
      <c r="BL434" s="4">
        <v>0</v>
      </c>
      <c r="BM434" s="17">
        <v>0</v>
      </c>
      <c r="BN434" s="4">
        <v>3.4020000000000001</v>
      </c>
      <c r="BO434" s="4">
        <v>0</v>
      </c>
      <c r="BP434" s="4">
        <v>0</v>
      </c>
      <c r="BQ434" s="4">
        <v>3.2010000000000001</v>
      </c>
      <c r="BR434" s="4">
        <v>0</v>
      </c>
      <c r="BS434" s="55">
        <v>0</v>
      </c>
      <c r="BT434" s="4">
        <v>3.016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55">
        <v>3.22</v>
      </c>
      <c r="CA434" s="55">
        <v>0</v>
      </c>
      <c r="CB434" s="55">
        <v>0</v>
      </c>
      <c r="CC434" s="55">
        <v>0</v>
      </c>
      <c r="CD434" s="55">
        <v>3.25</v>
      </c>
      <c r="CE434" s="19">
        <v>0</v>
      </c>
      <c r="CF434" s="19">
        <v>0</v>
      </c>
      <c r="CG434" s="4">
        <v>3.58</v>
      </c>
      <c r="CH434" s="4">
        <v>3.36</v>
      </c>
      <c r="CI434" s="4">
        <v>3.5</v>
      </c>
      <c r="CJ434" s="34">
        <v>3.2</v>
      </c>
      <c r="CK434" s="34">
        <v>3.4</v>
      </c>
      <c r="CL434" s="27">
        <v>0</v>
      </c>
      <c r="CM434" s="4">
        <v>4.0999999999999996</v>
      </c>
      <c r="CN434" s="53">
        <v>0</v>
      </c>
      <c r="CO434" s="54">
        <v>0</v>
      </c>
      <c r="CP434" s="54">
        <v>0</v>
      </c>
      <c r="CQ434" s="4">
        <v>0</v>
      </c>
    </row>
    <row r="435" spans="1:95" s="55" customFormat="1" x14ac:dyDescent="0.35">
      <c r="A435" s="55">
        <v>434</v>
      </c>
      <c r="B435" s="55" t="s">
        <v>87</v>
      </c>
      <c r="C435" s="27" t="s">
        <v>147</v>
      </c>
      <c r="D435" s="50" t="s">
        <v>88</v>
      </c>
      <c r="E435" s="33" t="s">
        <v>90</v>
      </c>
      <c r="F435" s="4">
        <f>IFERROR(AVERAGEIF(Table1[[#This Row],[2019-Apr]:[2025-July]],"&lt;&gt;0"),0)</f>
        <v>2.2611562500000004</v>
      </c>
      <c r="G435" s="4">
        <f ca="1">IFERROR(AVERAGEIF(OFFSET(Table1[[#This Row],[Status]],0,COUNT(Table1[[#This Row],[2019-May]:[2025-July]]),1,-12),"&lt;&gt;0"),0)</f>
        <v>1.7974999999999997</v>
      </c>
      <c r="H435" s="55">
        <f>IFERROR(SMALL(Table1[[#This Row],[2019-Apr]:[2025-July]],COUNTIF(Table1[[#This Row],[2019-Apr]:[2025-July]],0)+1),0)</f>
        <v>0.88</v>
      </c>
      <c r="I435" s="55">
        <f>IFERROR(MAX(Table1[[#This Row],[2019-Apr]:[2025-July]]),0)</f>
        <v>4.3</v>
      </c>
      <c r="J435" s="4" cm="1">
        <f t="array" ref="J43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1.1915000000000002</v>
      </c>
      <c r="K435" s="4">
        <v>4.5</v>
      </c>
      <c r="L435" s="4">
        <f>IF(Table1[[#This Row],[Standard as per ISO]]&gt;=Table1[[#This Row],[Avg of best 6]],Table1[[#This Row],[Standard as per ISO]],Table1[[#This Row],[Avg of best 6]])</f>
        <v>4.5</v>
      </c>
      <c r="M435" s="4" cm="1">
        <f t="array" ref="M435">IFERROR(LOOKUP(2,1/(Table1[[#This Row],[2019-May]:[2025-July]]&lt;&gt;0),Table1[[#This Row],[2019-May]:[2025-July]]),0)</f>
        <v>2.1</v>
      </c>
      <c r="N435" s="4">
        <f>COUNTIF(Table1[[#This Row],[2019-Apr]:[2025-July]],"&gt;="&amp;Table1[[#This Row],[Target]])</f>
        <v>0</v>
      </c>
      <c r="O435" s="4">
        <f>IF(Table1[[#This Row],[Outliers 2Y]]=0,1,0)</f>
        <v>1</v>
      </c>
      <c r="P435" s="4">
        <f>IF(Table1[[#This Row],[Last value]]&gt;1.5*Table1[[#This Row],[Target]],1,0)</f>
        <v>0</v>
      </c>
      <c r="Q435" s="4">
        <f>IF(AND(1.5*Table1[[#This Row],[Target]]&gt;=Table1[[#This Row],[Last value]],Table1[[#This Row],[Last value]]&gt;Table1[[#This Row],[Target]]),1,0)</f>
        <v>0</v>
      </c>
      <c r="R435" s="4">
        <f>IF(Table1[[#This Row],[Target]]&gt;=Table1[[#This Row],[Last value]],1,0)</f>
        <v>1</v>
      </c>
      <c r="S435" s="4" t="str">
        <f t="shared" si="9"/>
        <v>Green</v>
      </c>
      <c r="T435" s="55">
        <v>0</v>
      </c>
      <c r="U435" s="55">
        <v>0</v>
      </c>
      <c r="V435" s="55">
        <v>0</v>
      </c>
      <c r="W435" s="55">
        <v>0</v>
      </c>
      <c r="X435" s="55">
        <v>2.36</v>
      </c>
      <c r="Y435" s="55">
        <v>2.27</v>
      </c>
      <c r="Z435" s="55">
        <v>2.88</v>
      </c>
      <c r="AA435" s="55">
        <v>3.3</v>
      </c>
      <c r="AB435" s="55">
        <v>3.56</v>
      </c>
      <c r="AC435" s="55">
        <v>4.3</v>
      </c>
      <c r="AD435" s="55">
        <v>3.4</v>
      </c>
      <c r="AE435" s="55">
        <v>3.59</v>
      </c>
      <c r="AF435" s="55">
        <v>2.4</v>
      </c>
      <c r="AG435" s="55">
        <v>1.6</v>
      </c>
      <c r="AH435" s="55">
        <v>2.4700000000000002</v>
      </c>
      <c r="AI435" s="55">
        <v>2.71</v>
      </c>
      <c r="AJ435" s="55">
        <v>2.2000000000000002</v>
      </c>
      <c r="AK435" s="55">
        <v>2.1</v>
      </c>
      <c r="AL435" s="55">
        <v>2.8</v>
      </c>
      <c r="AM435" s="55">
        <v>3.44</v>
      </c>
      <c r="AN435" s="55">
        <v>2.85</v>
      </c>
      <c r="AO435" s="55">
        <v>2.7</v>
      </c>
      <c r="AP435" s="55">
        <v>2.4300000000000002</v>
      </c>
      <c r="AQ435" s="55">
        <v>2.44</v>
      </c>
      <c r="AR435" s="8">
        <v>2.16</v>
      </c>
      <c r="AS435" s="8">
        <v>2.48</v>
      </c>
      <c r="AT435" s="8">
        <v>0</v>
      </c>
      <c r="AU435" s="50">
        <v>2.29</v>
      </c>
      <c r="AV435" s="50">
        <v>2.4900000000000002</v>
      </c>
      <c r="AW435" s="50">
        <v>3.13</v>
      </c>
      <c r="AX435" s="50">
        <v>2.82</v>
      </c>
      <c r="AY435" s="50">
        <v>1.59</v>
      </c>
      <c r="AZ435" s="50">
        <v>1.84</v>
      </c>
      <c r="BA435" s="50">
        <v>1.8</v>
      </c>
      <c r="BB435" s="50">
        <v>2.7</v>
      </c>
      <c r="BC435" s="55">
        <v>1.7</v>
      </c>
      <c r="BD435" s="55">
        <v>1.4</v>
      </c>
      <c r="BE435" s="11">
        <v>1.7749999999999999</v>
      </c>
      <c r="BF435" s="4">
        <v>0</v>
      </c>
      <c r="BG435" s="4">
        <v>1.7749999999999999</v>
      </c>
      <c r="BH435" s="4">
        <v>1.7749999999999999</v>
      </c>
      <c r="BI435" s="4">
        <v>2.262</v>
      </c>
      <c r="BJ435" s="13">
        <v>2.8130000000000002</v>
      </c>
      <c r="BK435" s="13">
        <v>0</v>
      </c>
      <c r="BL435" s="4">
        <v>1.169</v>
      </c>
      <c r="BM435" s="16">
        <v>0</v>
      </c>
      <c r="BN435" s="4">
        <v>1.8260000000000001</v>
      </c>
      <c r="BO435" s="4">
        <v>0</v>
      </c>
      <c r="BP435" s="4">
        <v>0</v>
      </c>
      <c r="BQ435" s="4">
        <v>2.1829999999999998</v>
      </c>
      <c r="BR435" s="4">
        <v>0</v>
      </c>
      <c r="BS435" s="55">
        <v>1.9419999999999999</v>
      </c>
      <c r="BT435" s="4">
        <v>2.36</v>
      </c>
      <c r="BU435" s="4">
        <v>1.8979999999999999</v>
      </c>
      <c r="BV435" s="4">
        <v>2.5880000000000001</v>
      </c>
      <c r="BW435" s="4">
        <v>0</v>
      </c>
      <c r="BX435" s="4">
        <v>2.4260000000000002</v>
      </c>
      <c r="BY435" s="4">
        <v>1.9019999999999999</v>
      </c>
      <c r="BZ435" s="55">
        <v>1.94</v>
      </c>
      <c r="CA435" s="55">
        <v>1.86</v>
      </c>
      <c r="CB435" s="55">
        <v>2.4</v>
      </c>
      <c r="CC435" s="55">
        <v>2.09</v>
      </c>
      <c r="CD435" s="55">
        <v>1.86</v>
      </c>
      <c r="CE435" s="19">
        <v>2.2000000000000002</v>
      </c>
      <c r="CF435" s="19">
        <v>2.4</v>
      </c>
      <c r="CG435" s="4">
        <v>2.52</v>
      </c>
      <c r="CH435" s="4">
        <v>2.52</v>
      </c>
      <c r="CI435" s="4">
        <v>0.88</v>
      </c>
      <c r="CJ435" s="36">
        <v>1</v>
      </c>
      <c r="CK435" s="34">
        <v>1.3</v>
      </c>
      <c r="CL435" s="27">
        <v>1.4</v>
      </c>
      <c r="CM435" s="4">
        <v>1.8</v>
      </c>
      <c r="CN435" s="53">
        <v>2.4</v>
      </c>
      <c r="CO435" s="54">
        <v>1.4</v>
      </c>
      <c r="CP435" s="54">
        <v>1.75</v>
      </c>
      <c r="CQ435" s="4">
        <v>2.1</v>
      </c>
    </row>
    <row r="436" spans="1:95" s="55" customFormat="1" x14ac:dyDescent="0.35">
      <c r="A436" s="55">
        <v>435</v>
      </c>
      <c r="B436" s="55" t="s">
        <v>87</v>
      </c>
      <c r="C436" s="27" t="s">
        <v>148</v>
      </c>
      <c r="D436" s="50" t="s">
        <v>88</v>
      </c>
      <c r="E436" s="33" t="s">
        <v>90</v>
      </c>
      <c r="F436" s="4">
        <f>IFERROR(AVERAGEIF(Table1[[#This Row],[2019-Apr]:[2025-July]],"&lt;&gt;0"),0)</f>
        <v>2.369867647058824</v>
      </c>
      <c r="G436" s="4">
        <f ca="1">IFERROR(AVERAGEIF(OFFSET(Table1[[#This Row],[Status]],0,COUNT(Table1[[#This Row],[2019-May]:[2025-July]]),1,-12),"&lt;&gt;0"),0)</f>
        <v>2.11</v>
      </c>
      <c r="H436" s="55">
        <f>IFERROR(SMALL(Table1[[#This Row],[2019-Apr]:[2025-July]],COUNTIF(Table1[[#This Row],[2019-Apr]:[2025-July]],0)+1),0)</f>
        <v>1.1599999999999999</v>
      </c>
      <c r="I436" s="55">
        <f>IFERROR(MAX(Table1[[#This Row],[2019-Apr]:[2025-July]]),0)</f>
        <v>4.16</v>
      </c>
      <c r="J436" s="4" cm="1">
        <f t="array" ref="J43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1.4131666666666665</v>
      </c>
      <c r="K436" s="4">
        <v>4.5</v>
      </c>
      <c r="L436" s="4">
        <f>IF(Table1[[#This Row],[Standard as per ISO]]&gt;=Table1[[#This Row],[Avg of best 6]],Table1[[#This Row],[Standard as per ISO]],Table1[[#This Row],[Avg of best 6]])</f>
        <v>4.5</v>
      </c>
      <c r="M436" s="4" cm="1">
        <f t="array" ref="M436">IFERROR(LOOKUP(2,1/(Table1[[#This Row],[2019-May]:[2025-July]]&lt;&gt;0),Table1[[#This Row],[2019-May]:[2025-July]]),0)</f>
        <v>1.9</v>
      </c>
      <c r="N436" s="4">
        <f>COUNTIF(Table1[[#This Row],[2019-Apr]:[2025-July]],"&gt;="&amp;Table1[[#This Row],[Target]])</f>
        <v>0</v>
      </c>
      <c r="O436" s="4">
        <f>IF(Table1[[#This Row],[Outliers 2Y]]=0,1,0)</f>
        <v>1</v>
      </c>
      <c r="P436" s="4">
        <f>IF(Table1[[#This Row],[Last value]]&gt;1.5*Table1[[#This Row],[Target]],1,0)</f>
        <v>0</v>
      </c>
      <c r="Q436" s="4">
        <f>IF(AND(1.5*Table1[[#This Row],[Target]]&gt;=Table1[[#This Row],[Last value]],Table1[[#This Row],[Last value]]&gt;Table1[[#This Row],[Target]]),1,0)</f>
        <v>0</v>
      </c>
      <c r="R436" s="4">
        <f>IF(Table1[[#This Row],[Target]]&gt;=Table1[[#This Row],[Last value]],1,0)</f>
        <v>1</v>
      </c>
      <c r="S436" s="4" t="str">
        <f t="shared" si="9"/>
        <v>Green</v>
      </c>
      <c r="T436" s="55">
        <v>0</v>
      </c>
      <c r="U436" s="55">
        <v>2.88</v>
      </c>
      <c r="V436" s="55">
        <v>2.37</v>
      </c>
      <c r="W436" s="55">
        <v>2.3199999999999998</v>
      </c>
      <c r="X436" s="55">
        <v>2.4</v>
      </c>
      <c r="Y436" s="55">
        <v>2.66</v>
      </c>
      <c r="Z436" s="55">
        <v>2.5299999999999998</v>
      </c>
      <c r="AA436" s="55">
        <v>3.3</v>
      </c>
      <c r="AB436" s="55">
        <v>2.08</v>
      </c>
      <c r="AC436" s="55">
        <v>3.79</v>
      </c>
      <c r="AD436" s="55">
        <v>2.7</v>
      </c>
      <c r="AE436" s="55">
        <v>2.2999999999999998</v>
      </c>
      <c r="AF436" s="55">
        <v>2.8</v>
      </c>
      <c r="AG436" s="55">
        <v>3</v>
      </c>
      <c r="AH436" s="55">
        <v>2.02</v>
      </c>
      <c r="AI436" s="55">
        <v>2.6</v>
      </c>
      <c r="AJ436" s="55">
        <v>2.4</v>
      </c>
      <c r="AK436" s="55">
        <v>2.2999999999999998</v>
      </c>
      <c r="AL436" s="55">
        <v>3.47</v>
      </c>
      <c r="AM436" s="55">
        <v>2.09</v>
      </c>
      <c r="AN436" s="55">
        <v>2.87</v>
      </c>
      <c r="AO436" s="55">
        <v>2.8</v>
      </c>
      <c r="AP436" s="55">
        <v>3.13</v>
      </c>
      <c r="AQ436" s="55">
        <v>2.6</v>
      </c>
      <c r="AR436" s="8">
        <v>2.2200000000000002</v>
      </c>
      <c r="AS436" s="8">
        <v>2.83</v>
      </c>
      <c r="AT436" s="8">
        <v>0</v>
      </c>
      <c r="AU436" s="50">
        <v>3.36</v>
      </c>
      <c r="AV436" s="50">
        <v>3.67</v>
      </c>
      <c r="AW436" s="50">
        <v>3.36</v>
      </c>
      <c r="AX436" s="50">
        <v>3.73</v>
      </c>
      <c r="AY436" s="50">
        <v>4.16</v>
      </c>
      <c r="AZ436" s="50">
        <v>1.21</v>
      </c>
      <c r="BA436" s="50">
        <v>1.7</v>
      </c>
      <c r="BB436" s="50">
        <v>1.9</v>
      </c>
      <c r="BC436" s="55">
        <v>1.8</v>
      </c>
      <c r="BD436" s="55">
        <v>1.8</v>
      </c>
      <c r="BE436" s="11">
        <v>2.774</v>
      </c>
      <c r="BF436" s="4">
        <v>0</v>
      </c>
      <c r="BG436" s="4">
        <v>2.2330000000000001</v>
      </c>
      <c r="BH436" s="4">
        <v>2.6920000000000002</v>
      </c>
      <c r="BI436" s="4">
        <v>1.649</v>
      </c>
      <c r="BJ436" s="14">
        <v>1.4750000000000001</v>
      </c>
      <c r="BK436" s="14">
        <v>0</v>
      </c>
      <c r="BL436" s="4">
        <v>2.391</v>
      </c>
      <c r="BM436" s="17">
        <v>2.1429999999999998</v>
      </c>
      <c r="BN436" s="4">
        <v>1.956</v>
      </c>
      <c r="BO436" s="4">
        <v>0</v>
      </c>
      <c r="BP436" s="4">
        <v>0</v>
      </c>
      <c r="BQ436" s="4">
        <v>1.1599999999999999</v>
      </c>
      <c r="BR436" s="4">
        <v>0</v>
      </c>
      <c r="BS436" s="55">
        <v>1.4850000000000001</v>
      </c>
      <c r="BT436" s="4">
        <v>1.7250000000000001</v>
      </c>
      <c r="BU436" s="4">
        <v>1.911</v>
      </c>
      <c r="BV436" s="4">
        <v>1.9219999999999999</v>
      </c>
      <c r="BW436" s="4">
        <v>0</v>
      </c>
      <c r="BX436" s="4">
        <v>2.069</v>
      </c>
      <c r="BY436" s="4">
        <v>2.3959999999999999</v>
      </c>
      <c r="BZ436" s="55">
        <v>1.95</v>
      </c>
      <c r="CA436" s="55">
        <v>2.1800000000000002</v>
      </c>
      <c r="CB436" s="55">
        <v>1.87</v>
      </c>
      <c r="CC436" s="55">
        <v>2.08</v>
      </c>
      <c r="CD436" s="55">
        <v>2.72</v>
      </c>
      <c r="CE436" s="19">
        <v>3.2</v>
      </c>
      <c r="CF436" s="19">
        <v>1.9</v>
      </c>
      <c r="CG436" s="4">
        <v>1.81</v>
      </c>
      <c r="CH436" s="4">
        <v>2.38</v>
      </c>
      <c r="CI436" s="4">
        <v>1.85</v>
      </c>
      <c r="CJ436" s="34">
        <v>1.5</v>
      </c>
      <c r="CK436" s="34">
        <v>1.8</v>
      </c>
      <c r="CL436" s="27">
        <v>2.4</v>
      </c>
      <c r="CM436" s="4">
        <v>2</v>
      </c>
      <c r="CN436" s="53">
        <v>2.4</v>
      </c>
      <c r="CO436" s="54">
        <v>1.9</v>
      </c>
      <c r="CP436" s="54">
        <v>2.1800000000000002</v>
      </c>
      <c r="CQ436" s="4">
        <v>1.9</v>
      </c>
    </row>
    <row r="437" spans="1:95" s="55" customFormat="1" x14ac:dyDescent="0.35">
      <c r="A437" s="55">
        <v>436</v>
      </c>
      <c r="B437" s="55" t="s">
        <v>87</v>
      </c>
      <c r="C437" s="27" t="s">
        <v>149</v>
      </c>
      <c r="D437" s="50" t="s">
        <v>88</v>
      </c>
      <c r="E437" s="33" t="s">
        <v>90</v>
      </c>
      <c r="F437" s="4">
        <f>IFERROR(AVERAGEIF(Table1[[#This Row],[2019-Apr]:[2025-July]],"&lt;&gt;0"),0)</f>
        <v>2.0755882352941186</v>
      </c>
      <c r="G437" s="4">
        <f ca="1">IFERROR(AVERAGEIF(OFFSET(Table1[[#This Row],[Status]],0,COUNT(Table1[[#This Row],[2019-May]:[2025-July]]),1,-12),"&lt;&gt;0"),0)</f>
        <v>1.5033333333333336</v>
      </c>
      <c r="H437" s="55">
        <f>IFERROR(SMALL(Table1[[#This Row],[2019-Apr]:[2025-July]],COUNTIF(Table1[[#This Row],[2019-Apr]:[2025-July]],0)+1),0)</f>
        <v>1</v>
      </c>
      <c r="I437" s="55">
        <f>IFERROR(MAX(Table1[[#This Row],[2019-Apr]:[2025-July]]),0)</f>
        <v>4.3600000000000003</v>
      </c>
      <c r="J437" s="4" cm="1">
        <f t="array" ref="J43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1.1333333333333335</v>
      </c>
      <c r="K437" s="4">
        <v>4.5</v>
      </c>
      <c r="L437" s="4">
        <f>IF(Table1[[#This Row],[Standard as per ISO]]&gt;=Table1[[#This Row],[Avg of best 6]],Table1[[#This Row],[Standard as per ISO]],Table1[[#This Row],[Avg of best 6]])</f>
        <v>4.5</v>
      </c>
      <c r="M437" s="4" cm="1">
        <f t="array" ref="M437">IFERROR(LOOKUP(2,1/(Table1[[#This Row],[2019-May]:[2025-July]]&lt;&gt;0),Table1[[#This Row],[2019-May]:[2025-July]]),0)</f>
        <v>1.5</v>
      </c>
      <c r="N437" s="4">
        <f>COUNTIF(Table1[[#This Row],[2019-Apr]:[2025-July]],"&gt;="&amp;Table1[[#This Row],[Target]])</f>
        <v>0</v>
      </c>
      <c r="O437" s="4">
        <f>IF(Table1[[#This Row],[Outliers 2Y]]=0,1,0)</f>
        <v>1</v>
      </c>
      <c r="P437" s="4">
        <f>IF(Table1[[#This Row],[Last value]]&gt;1.5*Table1[[#This Row],[Target]],1,0)</f>
        <v>0</v>
      </c>
      <c r="Q437" s="4">
        <f>IF(AND(1.5*Table1[[#This Row],[Target]]&gt;=Table1[[#This Row],[Last value]],Table1[[#This Row],[Last value]]&gt;Table1[[#This Row],[Target]]),1,0)</f>
        <v>0</v>
      </c>
      <c r="R437" s="4">
        <f>IF(Table1[[#This Row],[Target]]&gt;=Table1[[#This Row],[Last value]],1,0)</f>
        <v>1</v>
      </c>
      <c r="S437" s="4" t="str">
        <f t="shared" si="9"/>
        <v>Green</v>
      </c>
      <c r="T437" s="55">
        <v>0</v>
      </c>
      <c r="U437" s="55">
        <v>4.01</v>
      </c>
      <c r="V437" s="55">
        <v>1.29</v>
      </c>
      <c r="W437" s="55">
        <v>1.38</v>
      </c>
      <c r="X437" s="55">
        <v>1.33</v>
      </c>
      <c r="Y437" s="55">
        <v>1.3</v>
      </c>
      <c r="Z437" s="55">
        <v>1.87</v>
      </c>
      <c r="AA437" s="55">
        <v>1.2</v>
      </c>
      <c r="AB437" s="55">
        <v>1.42</v>
      </c>
      <c r="AC437" s="55">
        <v>2.6</v>
      </c>
      <c r="AD437" s="55">
        <v>1.2</v>
      </c>
      <c r="AE437" s="55">
        <v>2</v>
      </c>
      <c r="AF437" s="55">
        <v>1.2</v>
      </c>
      <c r="AG437" s="55">
        <v>1.3</v>
      </c>
      <c r="AH437" s="55">
        <v>1.21</v>
      </c>
      <c r="AI437" s="55">
        <v>1.53</v>
      </c>
      <c r="AJ437" s="55">
        <v>1.3</v>
      </c>
      <c r="AK437" s="55">
        <v>1.1000000000000001</v>
      </c>
      <c r="AL437" s="55">
        <v>1.58</v>
      </c>
      <c r="AM437" s="55">
        <v>1.54</v>
      </c>
      <c r="AN437" s="55">
        <v>1.36</v>
      </c>
      <c r="AO437" s="55">
        <v>1.6</v>
      </c>
      <c r="AP437" s="55">
        <v>1.42</v>
      </c>
      <c r="AQ437" s="55">
        <v>1.81</v>
      </c>
      <c r="AR437" s="8">
        <v>1.77</v>
      </c>
      <c r="AS437" s="8">
        <v>1.65</v>
      </c>
      <c r="AT437" s="8">
        <v>0</v>
      </c>
      <c r="AU437" s="50">
        <v>1.62</v>
      </c>
      <c r="AV437" s="50">
        <v>2.85</v>
      </c>
      <c r="AW437" s="50">
        <v>2.61</v>
      </c>
      <c r="AX437" s="50">
        <v>3.54</v>
      </c>
      <c r="AY437" s="50">
        <v>4.3600000000000003</v>
      </c>
      <c r="AZ437" s="50">
        <v>3.86</v>
      </c>
      <c r="BA437" s="50">
        <v>2.2999999999999998</v>
      </c>
      <c r="BB437" s="50">
        <v>1.7</v>
      </c>
      <c r="BC437" s="55">
        <v>3.2</v>
      </c>
      <c r="BD437" s="55">
        <v>2.7</v>
      </c>
      <c r="BE437" s="11">
        <v>2.3069999999999999</v>
      </c>
      <c r="BF437" s="4">
        <v>0</v>
      </c>
      <c r="BG437" s="4">
        <v>2.3069999999999999</v>
      </c>
      <c r="BH437" s="4">
        <v>2.3069999999999999</v>
      </c>
      <c r="BI437" s="4">
        <v>2.133</v>
      </c>
      <c r="BJ437" s="13">
        <v>3.278</v>
      </c>
      <c r="BK437" s="13">
        <v>2.3879999999999999</v>
      </c>
      <c r="BL437" s="4">
        <v>3.4329999999999998</v>
      </c>
      <c r="BM437" s="16">
        <v>0</v>
      </c>
      <c r="BN437" s="4">
        <v>3.72</v>
      </c>
      <c r="BO437" s="4">
        <v>0</v>
      </c>
      <c r="BP437" s="4">
        <v>0</v>
      </c>
      <c r="BQ437" s="4">
        <v>2.62</v>
      </c>
      <c r="BR437" s="4">
        <v>0</v>
      </c>
      <c r="BS437" s="55">
        <v>2.56</v>
      </c>
      <c r="BT437" s="4">
        <v>3.9769999999999999</v>
      </c>
      <c r="BU437" s="4">
        <v>3.6619999999999999</v>
      </c>
      <c r="BV437" s="4">
        <v>3.6429999999999998</v>
      </c>
      <c r="BW437" s="4">
        <v>0</v>
      </c>
      <c r="BX437" s="4">
        <v>2.0169999999999999</v>
      </c>
      <c r="BY437" s="4">
        <v>1.758</v>
      </c>
      <c r="BZ437" s="55">
        <v>1.9</v>
      </c>
      <c r="CA437" s="55">
        <v>1.87</v>
      </c>
      <c r="CB437" s="55">
        <v>1.99</v>
      </c>
      <c r="CC437" s="55">
        <v>2.46</v>
      </c>
      <c r="CD437" s="55">
        <v>2.56</v>
      </c>
      <c r="CE437" s="19">
        <v>1.6</v>
      </c>
      <c r="CF437" s="19">
        <v>1.9</v>
      </c>
      <c r="CG437" s="4">
        <v>1.64</v>
      </c>
      <c r="CH437" s="4">
        <v>2.11</v>
      </c>
      <c r="CI437" s="4">
        <v>1.23</v>
      </c>
      <c r="CJ437" s="34">
        <v>1.3</v>
      </c>
      <c r="CK437" s="34">
        <v>1.5</v>
      </c>
      <c r="CL437" s="27">
        <v>1.8</v>
      </c>
      <c r="CM437" s="4">
        <v>1.1000000000000001</v>
      </c>
      <c r="CN437" s="53">
        <v>1.4</v>
      </c>
      <c r="CO437" s="54">
        <v>1</v>
      </c>
      <c r="CP437" s="54">
        <v>1.46</v>
      </c>
      <c r="CQ437" s="4">
        <v>1.5</v>
      </c>
    </row>
    <row r="438" spans="1:95" s="55" customFormat="1" x14ac:dyDescent="0.35">
      <c r="A438" s="55">
        <v>437</v>
      </c>
      <c r="B438" s="55" t="s">
        <v>87</v>
      </c>
      <c r="C438" s="27" t="s">
        <v>150</v>
      </c>
      <c r="D438" s="50" t="s">
        <v>88</v>
      </c>
      <c r="E438" s="33" t="s">
        <v>90</v>
      </c>
      <c r="F438" s="4">
        <f>IFERROR(AVERAGEIF(Table1[[#This Row],[2019-Apr]:[2025-July]],"&lt;&gt;0"),0)</f>
        <v>2.2152537313432834</v>
      </c>
      <c r="G438" s="4">
        <f ca="1">IFERROR(AVERAGEIF(OFFSET(Table1[[#This Row],[Status]],0,COUNT(Table1[[#This Row],[2019-May]:[2025-July]]),1,-12),"&lt;&gt;0"),0)</f>
        <v>1.3425</v>
      </c>
      <c r="H438" s="55">
        <f>IFERROR(SMALL(Table1[[#This Row],[2019-Apr]:[2025-July]],COUNTIF(Table1[[#This Row],[2019-Apr]:[2025-July]],0)+1),0)</f>
        <v>0.8</v>
      </c>
      <c r="I438" s="55">
        <f>IFERROR(MAX(Table1[[#This Row],[2019-Apr]:[2025-July]]),0)</f>
        <v>5.1559999999999997</v>
      </c>
      <c r="J438" s="4" cm="1">
        <f t="array" ref="J43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0.97833333333333339</v>
      </c>
      <c r="K438" s="4">
        <v>4.5</v>
      </c>
      <c r="L438" s="4">
        <f>IF(Table1[[#This Row],[Standard as per ISO]]&gt;=Table1[[#This Row],[Avg of best 6]],Table1[[#This Row],[Standard as per ISO]],Table1[[#This Row],[Avg of best 6]])</f>
        <v>4.5</v>
      </c>
      <c r="M438" s="4" cm="1">
        <f t="array" ref="M438">IFERROR(LOOKUP(2,1/(Table1[[#This Row],[2019-May]:[2025-July]]&lt;&gt;0),Table1[[#This Row],[2019-May]:[2025-July]]),0)</f>
        <v>1</v>
      </c>
      <c r="N438" s="4">
        <f>COUNTIF(Table1[[#This Row],[2019-Apr]:[2025-July]],"&gt;="&amp;Table1[[#This Row],[Target]])</f>
        <v>5</v>
      </c>
      <c r="O438" s="4">
        <f>IF(Table1[[#This Row],[Outliers 2Y]]=0,1,0)</f>
        <v>0</v>
      </c>
      <c r="P438" s="4">
        <f>IF(Table1[[#This Row],[Last value]]&gt;1.5*Table1[[#This Row],[Target]],1,0)</f>
        <v>0</v>
      </c>
      <c r="Q438" s="4">
        <f>IF(AND(1.5*Table1[[#This Row],[Target]]&gt;=Table1[[#This Row],[Last value]],Table1[[#This Row],[Last value]]&gt;Table1[[#This Row],[Target]]),1,0)</f>
        <v>0</v>
      </c>
      <c r="R438" s="4">
        <f>IF(Table1[[#This Row],[Target]]&gt;=Table1[[#This Row],[Last value]],1,0)</f>
        <v>1</v>
      </c>
      <c r="S438" s="4" t="str">
        <f t="shared" si="9"/>
        <v>Green</v>
      </c>
      <c r="T438" s="55">
        <v>0</v>
      </c>
      <c r="U438" s="55">
        <v>2.37</v>
      </c>
      <c r="V438" s="55">
        <v>2.31</v>
      </c>
      <c r="W438" s="55">
        <v>3.08</v>
      </c>
      <c r="X438" s="55">
        <v>2.5</v>
      </c>
      <c r="Y438" s="55">
        <v>2.06</v>
      </c>
      <c r="Z438" s="55">
        <v>1.89</v>
      </c>
      <c r="AA438" s="55">
        <v>1.7</v>
      </c>
      <c r="AB438" s="55">
        <v>2.75</v>
      </c>
      <c r="AC438" s="55">
        <v>2.25</v>
      </c>
      <c r="AD438" s="55">
        <v>2.9</v>
      </c>
      <c r="AE438" s="55">
        <v>2.6</v>
      </c>
      <c r="AF438" s="55">
        <v>3.2</v>
      </c>
      <c r="AG438" s="55">
        <v>3.5</v>
      </c>
      <c r="AH438" s="55">
        <v>4.5999999999999996</v>
      </c>
      <c r="AI438" s="55">
        <v>1.55</v>
      </c>
      <c r="AJ438" s="55">
        <v>1.7</v>
      </c>
      <c r="AK438" s="55">
        <v>1.9</v>
      </c>
      <c r="AL438" s="55">
        <v>1.46</v>
      </c>
      <c r="AM438" s="55">
        <v>1.46</v>
      </c>
      <c r="AN438" s="55">
        <v>1.43</v>
      </c>
      <c r="AO438" s="55">
        <v>2.1800000000000002</v>
      </c>
      <c r="AP438" s="55">
        <v>2.19</v>
      </c>
      <c r="AQ438" s="55">
        <v>3.36</v>
      </c>
      <c r="AR438" s="8">
        <v>1.48</v>
      </c>
      <c r="AS438" s="8">
        <v>1.33</v>
      </c>
      <c r="AT438" s="8">
        <v>0</v>
      </c>
      <c r="AU438" s="50">
        <v>1.6</v>
      </c>
      <c r="AV438" s="50">
        <v>2.04</v>
      </c>
      <c r="AW438" s="50">
        <v>1.68</v>
      </c>
      <c r="AX438" s="50">
        <v>1.86</v>
      </c>
      <c r="AY438" s="50">
        <v>1.55</v>
      </c>
      <c r="AZ438" s="50">
        <v>0</v>
      </c>
      <c r="BA438" s="50">
        <v>2</v>
      </c>
      <c r="BB438" s="50">
        <v>1.9</v>
      </c>
      <c r="BC438" s="55">
        <v>1.3</v>
      </c>
      <c r="BD438" s="55">
        <v>2.2999999999999998</v>
      </c>
      <c r="BE438" s="11">
        <v>2.157</v>
      </c>
      <c r="BF438" s="4">
        <v>0</v>
      </c>
      <c r="BG438" s="4">
        <v>2.157</v>
      </c>
      <c r="BH438" s="4">
        <v>2.157</v>
      </c>
      <c r="BI438" s="4">
        <v>1.712</v>
      </c>
      <c r="BJ438" s="14">
        <v>2.5390000000000001</v>
      </c>
      <c r="BK438" s="14">
        <v>0</v>
      </c>
      <c r="BL438" s="4">
        <v>1.3839999999999999</v>
      </c>
      <c r="BM438" s="17">
        <v>0</v>
      </c>
      <c r="BN438" s="4">
        <v>3.5750000000000002</v>
      </c>
      <c r="BO438" s="4">
        <v>0</v>
      </c>
      <c r="BP438" s="4">
        <v>4.8250000000000002</v>
      </c>
      <c r="BQ438" s="4">
        <v>5.1559999999999997</v>
      </c>
      <c r="BR438" s="4">
        <v>0</v>
      </c>
      <c r="BS438" s="55">
        <v>2.98</v>
      </c>
      <c r="BT438" s="4">
        <v>4.6719999999999997</v>
      </c>
      <c r="BU438" s="4">
        <v>3.6389999999999998</v>
      </c>
      <c r="BV438" s="4">
        <v>3.7719999999999998</v>
      </c>
      <c r="BW438" s="4">
        <v>0</v>
      </c>
      <c r="BX438" s="4">
        <v>5.0890000000000004</v>
      </c>
      <c r="BY438" s="4">
        <v>3.5579999999999998</v>
      </c>
      <c r="BZ438" s="55">
        <v>1.24</v>
      </c>
      <c r="CA438" s="55">
        <v>1.47</v>
      </c>
      <c r="CB438" s="55">
        <v>1.79</v>
      </c>
      <c r="CC438" s="55">
        <v>1.69</v>
      </c>
      <c r="CD438" s="55">
        <v>1.77</v>
      </c>
      <c r="CE438" s="19">
        <v>1.5</v>
      </c>
      <c r="CF438" s="19">
        <v>1.7</v>
      </c>
      <c r="CG438" s="4">
        <v>1.27</v>
      </c>
      <c r="CH438" s="4">
        <v>1.64</v>
      </c>
      <c r="CI438" s="4">
        <v>1.63</v>
      </c>
      <c r="CJ438" s="36">
        <v>2</v>
      </c>
      <c r="CK438" s="34">
        <v>1.1000000000000001</v>
      </c>
      <c r="CL438" s="27">
        <v>0.8</v>
      </c>
      <c r="CM438" s="4">
        <v>1.5</v>
      </c>
      <c r="CN438" s="53">
        <v>0.9</v>
      </c>
      <c r="CO438" s="54">
        <v>0.9</v>
      </c>
      <c r="CP438" s="54">
        <v>1.17</v>
      </c>
      <c r="CQ438" s="4">
        <v>1</v>
      </c>
    </row>
    <row r="439" spans="1:95" s="55" customFormat="1" x14ac:dyDescent="0.35">
      <c r="A439" s="55">
        <v>438</v>
      </c>
      <c r="B439" s="55" t="s">
        <v>87</v>
      </c>
      <c r="C439" s="27" t="s">
        <v>151</v>
      </c>
      <c r="D439" s="50" t="s">
        <v>88</v>
      </c>
      <c r="E439" s="33" t="s">
        <v>89</v>
      </c>
      <c r="F439" s="4">
        <f>IFERROR(AVERAGEIF(Table1[[#This Row],[2019-Apr]:[2025-July]],"&lt;&gt;0"),0)</f>
        <v>2.0208615384615385</v>
      </c>
      <c r="G439" s="4">
        <f ca="1">IFERROR(AVERAGEIF(OFFSET(Table1[[#This Row],[Status]],0,COUNT(Table1[[#This Row],[2019-May]:[2025-July]]),1,-12),"&lt;&gt;0"),0)</f>
        <v>1.5866666666666669</v>
      </c>
      <c r="H439" s="55">
        <f>IFERROR(SMALL(Table1[[#This Row],[2019-Apr]:[2025-July]],COUNTIF(Table1[[#This Row],[2019-Apr]:[2025-July]],0)+1),0)</f>
        <v>0.78</v>
      </c>
      <c r="I439" s="55">
        <f>IFERROR(MAX(Table1[[#This Row],[2019-Apr]:[2025-July]]),0)</f>
        <v>3.4</v>
      </c>
      <c r="J439" s="4" cm="1">
        <f t="array" ref="J43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1.3296666666666668</v>
      </c>
      <c r="K439" s="4">
        <v>4.5</v>
      </c>
      <c r="L439" s="4">
        <f>IF(Table1[[#This Row],[Standard as per ISO]]&gt;=Table1[[#This Row],[Avg of best 6]],Table1[[#This Row],[Standard as per ISO]],Table1[[#This Row],[Avg of best 6]])</f>
        <v>4.5</v>
      </c>
      <c r="M439" s="4" cm="1">
        <f t="array" ref="M439">IFERROR(LOOKUP(2,1/(Table1[[#This Row],[2019-May]:[2025-July]]&lt;&gt;0),Table1[[#This Row],[2019-May]:[2025-July]]),0)</f>
        <v>1.9</v>
      </c>
      <c r="N439" s="4">
        <f>COUNTIF(Table1[[#This Row],[2019-Apr]:[2025-July]],"&gt;="&amp;Table1[[#This Row],[Target]])</f>
        <v>0</v>
      </c>
      <c r="O439" s="4">
        <f>IF(Table1[[#This Row],[Outliers 2Y]]=0,1,0)</f>
        <v>1</v>
      </c>
      <c r="P439" s="4">
        <f>IF(Table1[[#This Row],[Last value]]&gt;1.5*Table1[[#This Row],[Target]],1,0)</f>
        <v>0</v>
      </c>
      <c r="Q439" s="4">
        <f>IF(AND(1.5*Table1[[#This Row],[Target]]&gt;=Table1[[#This Row],[Last value]],Table1[[#This Row],[Last value]]&gt;Table1[[#This Row],[Target]]),1,0)</f>
        <v>0</v>
      </c>
      <c r="R439" s="4">
        <f>IF(Table1[[#This Row],[Target]]&gt;=Table1[[#This Row],[Last value]],1,0)</f>
        <v>1</v>
      </c>
      <c r="S439" s="4" t="str">
        <f t="shared" si="9"/>
        <v>Green</v>
      </c>
      <c r="T439" s="55">
        <v>0</v>
      </c>
      <c r="U439" s="55">
        <v>2.0099999999999998</v>
      </c>
      <c r="V439" s="55">
        <v>1.81</v>
      </c>
      <c r="W439" s="55">
        <v>1.81</v>
      </c>
      <c r="X439" s="55">
        <v>1.63</v>
      </c>
      <c r="Y439" s="55">
        <v>1.92</v>
      </c>
      <c r="Z439" s="55">
        <v>1.7</v>
      </c>
      <c r="AA439" s="55">
        <v>1.7</v>
      </c>
      <c r="AB439" s="55">
        <v>2.66</v>
      </c>
      <c r="AC439" s="55">
        <v>2.4</v>
      </c>
      <c r="AD439" s="55">
        <v>2.5</v>
      </c>
      <c r="AE439" s="55">
        <v>1.8</v>
      </c>
      <c r="AF439" s="55">
        <v>0</v>
      </c>
      <c r="AG439" s="55">
        <v>0</v>
      </c>
      <c r="AH439" s="55">
        <v>1.91</v>
      </c>
      <c r="AI439" s="55">
        <v>1.69</v>
      </c>
      <c r="AJ439" s="55">
        <v>1.8</v>
      </c>
      <c r="AK439" s="55">
        <v>1.73</v>
      </c>
      <c r="AL439" s="55">
        <v>2.2400000000000002</v>
      </c>
      <c r="AM439" s="55">
        <v>1.69</v>
      </c>
      <c r="AN439" s="55">
        <v>2</v>
      </c>
      <c r="AO439" s="55">
        <v>1.63</v>
      </c>
      <c r="AP439" s="55">
        <v>1.8</v>
      </c>
      <c r="AQ439" s="55">
        <v>1.67</v>
      </c>
      <c r="AR439" s="8">
        <v>0</v>
      </c>
      <c r="AS439" s="8">
        <v>1.62</v>
      </c>
      <c r="AT439" s="8">
        <v>1.42</v>
      </c>
      <c r="AU439" s="50">
        <v>3.4</v>
      </c>
      <c r="AV439" s="50">
        <v>1.8</v>
      </c>
      <c r="AW439" s="50">
        <v>1.95</v>
      </c>
      <c r="AX439" s="50">
        <v>2.37</v>
      </c>
      <c r="AY439" s="50">
        <v>2.25</v>
      </c>
      <c r="AZ439" s="50">
        <v>2.1</v>
      </c>
      <c r="BA439" s="50">
        <v>2.06</v>
      </c>
      <c r="BB439" s="50">
        <v>2.4</v>
      </c>
      <c r="BC439" s="55">
        <v>2.1</v>
      </c>
      <c r="BD439" s="55">
        <v>1.8</v>
      </c>
      <c r="BE439" s="11">
        <v>2.8980000000000001</v>
      </c>
      <c r="BF439" s="4">
        <v>0</v>
      </c>
      <c r="BG439" s="4">
        <v>1.87</v>
      </c>
      <c r="BH439" s="4">
        <v>1.87</v>
      </c>
      <c r="BI439" s="4">
        <v>2.0710000000000002</v>
      </c>
      <c r="BJ439" s="13">
        <v>2.1339999999999999</v>
      </c>
      <c r="BK439" s="13">
        <v>2.173</v>
      </c>
      <c r="BL439" s="4">
        <v>2.0219999999999998</v>
      </c>
      <c r="BM439" s="16">
        <v>2.27</v>
      </c>
      <c r="BN439" s="4">
        <v>2.7570000000000001</v>
      </c>
      <c r="BO439" s="4">
        <v>2.4420000000000002</v>
      </c>
      <c r="BP439" s="4">
        <v>1.762</v>
      </c>
      <c r="BQ439" s="4">
        <v>1.5780000000000001</v>
      </c>
      <c r="BR439" s="4">
        <v>3.0289999999999999</v>
      </c>
      <c r="BS439" s="55">
        <v>2.6360000000000001</v>
      </c>
      <c r="BT439" s="4">
        <v>2.605</v>
      </c>
      <c r="BU439" s="4">
        <v>1.88</v>
      </c>
      <c r="BV439" s="4">
        <v>2.5640000000000001</v>
      </c>
      <c r="BW439" s="4">
        <v>1.9650000000000001</v>
      </c>
      <c r="BX439" s="4">
        <v>0</v>
      </c>
      <c r="BY439" s="4">
        <v>2.94</v>
      </c>
      <c r="BZ439" s="55">
        <v>2.8</v>
      </c>
      <c r="CA439" s="55">
        <v>1.63</v>
      </c>
      <c r="CB439" s="55">
        <v>1.91</v>
      </c>
      <c r="CC439" s="55">
        <v>0</v>
      </c>
      <c r="CD439" s="55">
        <v>0</v>
      </c>
      <c r="CE439" s="19">
        <v>0</v>
      </c>
      <c r="CF439" s="19">
        <v>1.8</v>
      </c>
      <c r="CG439" s="4">
        <v>0</v>
      </c>
      <c r="CH439" s="4">
        <v>0</v>
      </c>
      <c r="CI439" s="4">
        <v>0.78</v>
      </c>
      <c r="CJ439" s="34">
        <v>1.3</v>
      </c>
      <c r="CK439" s="34">
        <v>1.9</v>
      </c>
      <c r="CL439" s="27">
        <v>2</v>
      </c>
      <c r="CM439" s="4">
        <v>1.8</v>
      </c>
      <c r="CN439" s="53">
        <v>1.8</v>
      </c>
      <c r="CO439" s="54">
        <v>1.5</v>
      </c>
      <c r="CP439" s="54">
        <v>1.4</v>
      </c>
      <c r="CQ439" s="4">
        <v>1.9</v>
      </c>
    </row>
    <row r="440" spans="1:95" s="55" customFormat="1" x14ac:dyDescent="0.35">
      <c r="A440" s="55">
        <v>439</v>
      </c>
      <c r="B440" s="55" t="s">
        <v>87</v>
      </c>
      <c r="C440" s="27" t="s">
        <v>152</v>
      </c>
      <c r="D440" s="50" t="s">
        <v>88</v>
      </c>
      <c r="E440" s="33" t="s">
        <v>89</v>
      </c>
      <c r="F440" s="4">
        <f>IFERROR(AVERAGEIF(Table1[[#This Row],[2019-Apr]:[2025-July]],"&lt;&gt;0"),0)</f>
        <v>4.3575370370370363</v>
      </c>
      <c r="G440" s="4">
        <f ca="1">IFERROR(AVERAGEIF(OFFSET(Table1[[#This Row],[Status]],0,COUNT(Table1[[#This Row],[2019-May]:[2025-July]]),1,-12),"&lt;&gt;0"),0)</f>
        <v>4.4377777777777787</v>
      </c>
      <c r="H440" s="55">
        <f>IFERROR(SMALL(Table1[[#This Row],[2019-Apr]:[2025-July]],COUNTIF(Table1[[#This Row],[2019-Apr]:[2025-July]],0)+1),0)</f>
        <v>2.6</v>
      </c>
      <c r="I440" s="55">
        <f>IFERROR(MAX(Table1[[#This Row],[2019-Apr]:[2025-July]]),0)</f>
        <v>9.35</v>
      </c>
      <c r="J440" s="4" cm="1">
        <f t="array" ref="J44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3.0453333333333332</v>
      </c>
      <c r="K440" s="4">
        <v>4.5</v>
      </c>
      <c r="L440" s="4">
        <f>IF(Table1[[#This Row],[Standard as per ISO]]&gt;=Table1[[#This Row],[Avg of best 6]],Table1[[#This Row],[Standard as per ISO]],Table1[[#This Row],[Avg of best 6]])</f>
        <v>4.5</v>
      </c>
      <c r="M440" s="4" cm="1">
        <f t="array" ref="M440">IFERROR(LOOKUP(2,1/(Table1[[#This Row],[2019-May]:[2025-July]]&lt;&gt;0),Table1[[#This Row],[2019-May]:[2025-July]]),0)</f>
        <v>2.6</v>
      </c>
      <c r="N440" s="4">
        <f>COUNTIF(Table1[[#This Row],[2019-Apr]:[2025-July]],"&gt;="&amp;Table1[[#This Row],[Target]])</f>
        <v>15</v>
      </c>
      <c r="O440" s="4">
        <f>IF(Table1[[#This Row],[Outliers 2Y]]=0,1,0)</f>
        <v>0</v>
      </c>
      <c r="P440" s="4">
        <f>IF(Table1[[#This Row],[Last value]]&gt;1.5*Table1[[#This Row],[Target]],1,0)</f>
        <v>0</v>
      </c>
      <c r="Q440" s="4">
        <f>IF(AND(1.5*Table1[[#This Row],[Target]]&gt;=Table1[[#This Row],[Last value]],Table1[[#This Row],[Last value]]&gt;Table1[[#This Row],[Target]]),1,0)</f>
        <v>0</v>
      </c>
      <c r="R440" s="4">
        <f>IF(Table1[[#This Row],[Target]]&gt;=Table1[[#This Row],[Last value]],1,0)</f>
        <v>1</v>
      </c>
      <c r="S440" s="4" t="str">
        <f t="shared" si="9"/>
        <v>Green</v>
      </c>
      <c r="T440" s="55">
        <v>0</v>
      </c>
      <c r="U440" s="55">
        <v>4.34</v>
      </c>
      <c r="V440" s="55">
        <v>4.4000000000000004</v>
      </c>
      <c r="W440" s="55">
        <v>5.09</v>
      </c>
      <c r="X440" s="55">
        <v>4.4400000000000004</v>
      </c>
      <c r="Y440" s="55">
        <v>3.3</v>
      </c>
      <c r="Z440" s="55">
        <v>3.8</v>
      </c>
      <c r="AA440" s="55">
        <v>0</v>
      </c>
      <c r="AB440" s="55">
        <v>3.94</v>
      </c>
      <c r="AC440" s="55">
        <v>4.3600000000000003</v>
      </c>
      <c r="AD440" s="55">
        <v>3.5</v>
      </c>
      <c r="AE440" s="55">
        <v>4.0999999999999996</v>
      </c>
      <c r="AF440" s="55">
        <v>4</v>
      </c>
      <c r="AG440" s="55">
        <v>7.9</v>
      </c>
      <c r="AH440" s="55">
        <v>9.35</v>
      </c>
      <c r="AI440" s="55">
        <v>3.2</v>
      </c>
      <c r="AJ440" s="55">
        <v>3.8</v>
      </c>
      <c r="AK440" s="55">
        <v>3.85</v>
      </c>
      <c r="AL440" s="55">
        <v>3.41</v>
      </c>
      <c r="AM440" s="55">
        <v>3.25</v>
      </c>
      <c r="AN440" s="55">
        <v>3.7</v>
      </c>
      <c r="AO440" s="55">
        <v>3.38</v>
      </c>
      <c r="AP440" s="55">
        <v>3.5</v>
      </c>
      <c r="AQ440" s="55">
        <v>4.04</v>
      </c>
      <c r="AR440" s="8">
        <v>5.3</v>
      </c>
      <c r="AS440" s="8">
        <v>0</v>
      </c>
      <c r="AT440" s="8">
        <v>4.3899999999999997</v>
      </c>
      <c r="AU440" s="50">
        <v>4.21</v>
      </c>
      <c r="AV440" s="50">
        <v>3.82</v>
      </c>
      <c r="AW440" s="50">
        <v>4.0999999999999996</v>
      </c>
      <c r="AX440" s="50">
        <v>4.26</v>
      </c>
      <c r="AY440" s="50">
        <v>4.7</v>
      </c>
      <c r="AZ440" s="50">
        <v>3.5</v>
      </c>
      <c r="BA440" s="50">
        <v>4.4000000000000004</v>
      </c>
      <c r="BB440" s="50">
        <v>3.1</v>
      </c>
      <c r="BC440" s="55">
        <v>3.7</v>
      </c>
      <c r="BD440" s="55">
        <v>3.4</v>
      </c>
      <c r="BE440" s="11">
        <v>3.0840000000000001</v>
      </c>
      <c r="BF440" s="4">
        <v>0</v>
      </c>
      <c r="BG440" s="4">
        <v>0</v>
      </c>
      <c r="BH440" s="4">
        <v>4.0819999999999999</v>
      </c>
      <c r="BI440" s="4">
        <v>0</v>
      </c>
      <c r="BJ440" s="14">
        <v>0</v>
      </c>
      <c r="BK440" s="14">
        <v>3.83</v>
      </c>
      <c r="BL440" s="4">
        <v>0</v>
      </c>
      <c r="BM440" s="17">
        <v>0</v>
      </c>
      <c r="BN440" s="4">
        <v>3.5790000000000002</v>
      </c>
      <c r="BO440" s="4">
        <v>0</v>
      </c>
      <c r="BP440" s="4">
        <v>0</v>
      </c>
      <c r="BQ440" s="4">
        <v>5.4</v>
      </c>
      <c r="BR440" s="4">
        <v>0</v>
      </c>
      <c r="BS440" s="55">
        <v>0</v>
      </c>
      <c r="BT440" s="4">
        <v>3.0510000000000002</v>
      </c>
      <c r="BU440" s="4">
        <v>0</v>
      </c>
      <c r="BV440" s="4">
        <v>3.2370000000000001</v>
      </c>
      <c r="BW440" s="4">
        <v>0</v>
      </c>
      <c r="BX440" s="4">
        <v>0</v>
      </c>
      <c r="BY440" s="4">
        <v>6.194</v>
      </c>
      <c r="BZ440" s="55">
        <v>6.94</v>
      </c>
      <c r="CA440" s="55">
        <v>5.64</v>
      </c>
      <c r="CB440" s="55">
        <v>6.8</v>
      </c>
      <c r="CC440" s="55">
        <v>0</v>
      </c>
      <c r="CD440" s="55">
        <v>0</v>
      </c>
      <c r="CE440" s="19">
        <v>0</v>
      </c>
      <c r="CF440" s="19">
        <v>4.7</v>
      </c>
      <c r="CG440" s="4">
        <v>6.25</v>
      </c>
      <c r="CH440" s="4">
        <v>5.36</v>
      </c>
      <c r="CI440" s="4">
        <v>4.53</v>
      </c>
      <c r="CJ440" s="34">
        <v>0</v>
      </c>
      <c r="CK440" s="34">
        <v>4.4000000000000004</v>
      </c>
      <c r="CL440" s="27">
        <v>4.5</v>
      </c>
      <c r="CM440" s="4">
        <v>0</v>
      </c>
      <c r="CN440" s="53">
        <v>3.9</v>
      </c>
      <c r="CO440" s="54">
        <v>3.7</v>
      </c>
      <c r="CP440" s="54">
        <v>2.6</v>
      </c>
      <c r="CQ440" s="4">
        <v>0</v>
      </c>
    </row>
    <row r="441" spans="1:95" s="55" customFormat="1" x14ac:dyDescent="0.35">
      <c r="A441" s="55">
        <v>440</v>
      </c>
      <c r="B441" s="55" t="s">
        <v>87</v>
      </c>
      <c r="C441" s="27" t="s">
        <v>153</v>
      </c>
      <c r="D441" s="50" t="s">
        <v>88</v>
      </c>
      <c r="E441" s="33" t="s">
        <v>89</v>
      </c>
      <c r="F441" s="4">
        <f>IFERROR(AVERAGEIF(Table1[[#This Row],[2019-Apr]:[2025-July]],"&lt;&gt;0"),0)</f>
        <v>6.4799999999999995</v>
      </c>
      <c r="G441" s="4">
        <f ca="1">IFERROR(AVERAGEIF(OFFSET(Table1[[#This Row],[Status]],0,COUNT(Table1[[#This Row],[2019-May]:[2025-July]]),1,-12),"&lt;&gt;0"),0)</f>
        <v>6.8950000000000005</v>
      </c>
      <c r="H441" s="55">
        <f>IFERROR(SMALL(Table1[[#This Row],[2019-Apr]:[2025-July]],COUNTIF(Table1[[#This Row],[2019-Apr]:[2025-July]],0)+1),0)</f>
        <v>4.3</v>
      </c>
      <c r="I441" s="55">
        <f>IFERROR(MAX(Table1[[#This Row],[2019-Apr]:[2025-July]]),0)</f>
        <v>12</v>
      </c>
      <c r="J441" s="4" cm="1">
        <f t="array" ref="J44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5.418333333333333</v>
      </c>
      <c r="K441" s="4">
        <v>4.5</v>
      </c>
      <c r="L441" s="4">
        <f>IF(Table1[[#This Row],[Standard as per ISO]]&gt;=Table1[[#This Row],[Avg of best 6]],Table1[[#This Row],[Standard as per ISO]],Table1[[#This Row],[Avg of best 6]])</f>
        <v>5.418333333333333</v>
      </c>
      <c r="M441" s="4" cm="1">
        <f t="array" ref="M441">IFERROR(LOOKUP(2,1/(Table1[[#This Row],[2019-May]:[2025-July]]&lt;&gt;0),Table1[[#This Row],[2019-May]:[2025-July]]),0)</f>
        <v>6</v>
      </c>
      <c r="N441" s="4">
        <f>COUNTIF(Table1[[#This Row],[2019-Apr]:[2025-July]],"&gt;="&amp;Table1[[#This Row],[Target]])</f>
        <v>8</v>
      </c>
      <c r="O441" s="4">
        <f>IF(Table1[[#This Row],[Outliers 2Y]]=0,1,0)</f>
        <v>0</v>
      </c>
      <c r="P441" s="4">
        <f>IF(Table1[[#This Row],[Last value]]&gt;1.5*Table1[[#This Row],[Target]],1,0)</f>
        <v>0</v>
      </c>
      <c r="Q441" s="4">
        <f>IF(AND(1.5*Table1[[#This Row],[Target]]&gt;=Table1[[#This Row],[Last value]],Table1[[#This Row],[Last value]]&gt;Table1[[#This Row],[Target]]),1,0)</f>
        <v>1</v>
      </c>
      <c r="R441" s="4">
        <f>IF(Table1[[#This Row],[Target]]&gt;=Table1[[#This Row],[Last value]],1,0)</f>
        <v>0</v>
      </c>
      <c r="S441" s="4" t="str">
        <f t="shared" si="9"/>
        <v>Yellow</v>
      </c>
      <c r="T441" s="55">
        <v>0</v>
      </c>
      <c r="U441" s="55">
        <v>0</v>
      </c>
      <c r="V441" s="55">
        <v>0</v>
      </c>
      <c r="W441" s="55">
        <v>0</v>
      </c>
      <c r="X441" s="55">
        <v>0</v>
      </c>
      <c r="Y441" s="55">
        <v>0</v>
      </c>
      <c r="Z441" s="55">
        <v>0</v>
      </c>
      <c r="AA441" s="55">
        <v>0</v>
      </c>
      <c r="AB441" s="55">
        <v>0</v>
      </c>
      <c r="AC441" s="55">
        <v>0</v>
      </c>
      <c r="AD441" s="55">
        <v>0</v>
      </c>
      <c r="AE441" s="55">
        <v>0</v>
      </c>
      <c r="AF441" s="55">
        <v>0</v>
      </c>
      <c r="AG441" s="55">
        <v>0</v>
      </c>
      <c r="AH441" s="55">
        <v>5.3</v>
      </c>
      <c r="AI441" s="55">
        <v>0</v>
      </c>
      <c r="AJ441" s="55">
        <v>0</v>
      </c>
      <c r="AK441" s="55">
        <v>0</v>
      </c>
      <c r="AL441" s="55">
        <v>0</v>
      </c>
      <c r="AM441" s="55">
        <v>0</v>
      </c>
      <c r="AN441" s="55">
        <v>0</v>
      </c>
      <c r="AO441" s="55">
        <v>0</v>
      </c>
      <c r="AP441" s="55">
        <v>0</v>
      </c>
      <c r="AQ441" s="55">
        <v>0</v>
      </c>
      <c r="AR441" s="8">
        <v>0</v>
      </c>
      <c r="AS441" s="8">
        <v>0</v>
      </c>
      <c r="AT441" s="8">
        <v>0</v>
      </c>
      <c r="AU441" s="50">
        <v>0</v>
      </c>
      <c r="AV441" s="50">
        <v>0</v>
      </c>
      <c r="AW441" s="50">
        <v>5.63</v>
      </c>
      <c r="AX441" s="50">
        <v>0</v>
      </c>
      <c r="AY441" s="50">
        <v>0</v>
      </c>
      <c r="AZ441" s="50">
        <v>0</v>
      </c>
      <c r="BA441" s="50">
        <v>0</v>
      </c>
      <c r="BB441" s="50">
        <v>0</v>
      </c>
      <c r="BC441" s="55">
        <v>0</v>
      </c>
      <c r="BD441" s="55">
        <v>0</v>
      </c>
      <c r="BE441" s="11">
        <v>0</v>
      </c>
      <c r="BF441" s="4">
        <v>0</v>
      </c>
      <c r="BG441" s="4">
        <v>0</v>
      </c>
      <c r="BH441" s="4">
        <v>6.29</v>
      </c>
      <c r="BI441" s="4">
        <v>0</v>
      </c>
      <c r="BJ441" s="13">
        <v>0</v>
      </c>
      <c r="BK441" s="13">
        <v>0</v>
      </c>
      <c r="BL441" s="4">
        <v>0</v>
      </c>
      <c r="BM441" s="16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55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55">
        <v>0</v>
      </c>
      <c r="CA441" s="55">
        <v>0</v>
      </c>
      <c r="CB441" s="55">
        <v>0</v>
      </c>
      <c r="CC441" s="55">
        <v>7.64</v>
      </c>
      <c r="CD441" s="55">
        <v>6.36</v>
      </c>
      <c r="CE441" s="19">
        <v>0</v>
      </c>
      <c r="CF441" s="19">
        <v>0</v>
      </c>
      <c r="CG441" s="4">
        <v>0</v>
      </c>
      <c r="CH441" s="4">
        <v>5.58</v>
      </c>
      <c r="CI441" s="4">
        <v>0</v>
      </c>
      <c r="CJ441" s="34">
        <v>5.7</v>
      </c>
      <c r="CK441" s="34">
        <v>0</v>
      </c>
      <c r="CL441" s="27">
        <v>0</v>
      </c>
      <c r="CM441" s="4">
        <v>12</v>
      </c>
      <c r="CN441" s="53">
        <v>4.3</v>
      </c>
      <c r="CO441" s="54">
        <v>0</v>
      </c>
      <c r="CP441" s="54">
        <v>0</v>
      </c>
      <c r="CQ441" s="4">
        <v>6</v>
      </c>
    </row>
    <row r="442" spans="1:95" s="55" customFormat="1" x14ac:dyDescent="0.35">
      <c r="A442" s="55">
        <v>441</v>
      </c>
      <c r="B442" s="55" t="s">
        <v>87</v>
      </c>
      <c r="C442" s="27" t="s">
        <v>154</v>
      </c>
      <c r="D442" s="50" t="s">
        <v>88</v>
      </c>
      <c r="E442" s="33" t="s">
        <v>90</v>
      </c>
      <c r="F442" s="4">
        <f>IFERROR(AVERAGEIF(Table1[[#This Row],[2019-Apr]:[2025-July]],"&lt;&gt;0"),0)</f>
        <v>4.726861111111111</v>
      </c>
      <c r="G442" s="4">
        <f ca="1">IFERROR(AVERAGEIF(OFFSET(Table1[[#This Row],[Status]],0,COUNT(Table1[[#This Row],[2019-May]:[2025-July]]),1,-12),"&lt;&gt;0"),0)</f>
        <v>5.4450000000000003</v>
      </c>
      <c r="H442" s="55">
        <f>IFERROR(SMALL(Table1[[#This Row],[2019-Apr]:[2025-July]],COUNTIF(Table1[[#This Row],[2019-Apr]:[2025-July]],0)+1),0)</f>
        <v>2.5059999999999998</v>
      </c>
      <c r="I442" s="55">
        <f>IFERROR(MAX(Table1[[#This Row],[2019-Apr]:[2025-July]]),0)</f>
        <v>8.1</v>
      </c>
      <c r="J442" s="4" cm="1">
        <f t="array" ref="J44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2.7759999999999998</v>
      </c>
      <c r="K442" s="4">
        <v>4.5</v>
      </c>
      <c r="L442" s="4">
        <f>IF(Table1[[#This Row],[Standard as per ISO]]&gt;=Table1[[#This Row],[Avg of best 6]],Table1[[#This Row],[Standard as per ISO]],Table1[[#This Row],[Avg of best 6]])</f>
        <v>4.5</v>
      </c>
      <c r="M442" s="4" cm="1">
        <f t="array" ref="M442">IFERROR(LOOKUP(2,1/(Table1[[#This Row],[2019-May]:[2025-July]]&lt;&gt;0),Table1[[#This Row],[2019-May]:[2025-July]]),0)</f>
        <v>5.59</v>
      </c>
      <c r="N442" s="4">
        <f>COUNTIF(Table1[[#This Row],[2019-Apr]:[2025-July]],"&gt;="&amp;Table1[[#This Row],[Target]])</f>
        <v>18</v>
      </c>
      <c r="O442" s="4">
        <f>IF(Table1[[#This Row],[Outliers 2Y]]=0,1,0)</f>
        <v>0</v>
      </c>
      <c r="P442" s="4">
        <f>IF(Table1[[#This Row],[Last value]]&gt;1.5*Table1[[#This Row],[Target]],1,0)</f>
        <v>0</v>
      </c>
      <c r="Q442" s="4">
        <f>IF(AND(1.5*Table1[[#This Row],[Target]]&gt;=Table1[[#This Row],[Last value]],Table1[[#This Row],[Last value]]&gt;Table1[[#This Row],[Target]]),1,0)</f>
        <v>1</v>
      </c>
      <c r="R442" s="4">
        <f>IF(Table1[[#This Row],[Target]]&gt;=Table1[[#This Row],[Last value]],1,0)</f>
        <v>0</v>
      </c>
      <c r="S442" s="4" t="str">
        <f t="shared" si="9"/>
        <v>Yellow</v>
      </c>
      <c r="T442" s="55">
        <v>0</v>
      </c>
      <c r="U442" s="55">
        <v>0</v>
      </c>
      <c r="V442" s="55">
        <v>2.8</v>
      </c>
      <c r="W442" s="55">
        <v>4.45</v>
      </c>
      <c r="X442" s="55">
        <v>3.82</v>
      </c>
      <c r="Y442" s="55">
        <v>0</v>
      </c>
      <c r="Z442" s="55">
        <v>0</v>
      </c>
      <c r="AA442" s="55">
        <v>0</v>
      </c>
      <c r="AB442" s="55">
        <v>0</v>
      </c>
      <c r="AC442" s="55">
        <v>0</v>
      </c>
      <c r="AD442" s="55">
        <v>0</v>
      </c>
      <c r="AE442" s="55">
        <v>0</v>
      </c>
      <c r="AF442" s="55">
        <v>0</v>
      </c>
      <c r="AG442" s="55">
        <v>0</v>
      </c>
      <c r="AH442" s="55">
        <v>0</v>
      </c>
      <c r="AI442" s="55">
        <v>4.26</v>
      </c>
      <c r="AJ442" s="55">
        <v>4.25</v>
      </c>
      <c r="AK442" s="55">
        <v>5.6</v>
      </c>
      <c r="AL442" s="55">
        <v>5.84</v>
      </c>
      <c r="AM442" s="55">
        <v>7.9</v>
      </c>
      <c r="AN442" s="55">
        <v>0</v>
      </c>
      <c r="AO442" s="55">
        <v>0</v>
      </c>
      <c r="AP442" s="55">
        <v>0</v>
      </c>
      <c r="AQ442" s="55">
        <v>0</v>
      </c>
      <c r="AR442" s="8">
        <v>4.8499999999999996</v>
      </c>
      <c r="AS442" s="8">
        <v>0</v>
      </c>
      <c r="AT442" s="8">
        <v>5.37</v>
      </c>
      <c r="AU442" s="50">
        <v>6.2</v>
      </c>
      <c r="AV442" s="50">
        <v>5.95</v>
      </c>
      <c r="AW442" s="50">
        <v>6.64</v>
      </c>
      <c r="AX442" s="50">
        <v>5.94</v>
      </c>
      <c r="AY442" s="50">
        <v>5.0199999999999996</v>
      </c>
      <c r="AZ442" s="50">
        <v>0</v>
      </c>
      <c r="BA442" s="50">
        <v>0</v>
      </c>
      <c r="BB442" s="50">
        <v>3</v>
      </c>
      <c r="BC442" s="55">
        <v>3</v>
      </c>
      <c r="BD442" s="55">
        <v>3.2</v>
      </c>
      <c r="BE442" s="11">
        <v>2.5059999999999998</v>
      </c>
      <c r="BF442" s="4">
        <v>0</v>
      </c>
      <c r="BG442" s="4">
        <v>2.92</v>
      </c>
      <c r="BH442" s="4">
        <v>0</v>
      </c>
      <c r="BI442" s="4">
        <v>2.92</v>
      </c>
      <c r="BJ442" s="14">
        <v>2.5099999999999998</v>
      </c>
      <c r="BK442" s="14">
        <v>0</v>
      </c>
      <c r="BL442" s="4">
        <v>4.8849999999999998</v>
      </c>
      <c r="BM442" s="17">
        <v>0</v>
      </c>
      <c r="BN442" s="4">
        <v>0</v>
      </c>
      <c r="BO442" s="4">
        <v>0</v>
      </c>
      <c r="BP442" s="4">
        <v>0</v>
      </c>
      <c r="BQ442" s="4">
        <v>4.4169999999999998</v>
      </c>
      <c r="BR442" s="4">
        <v>0</v>
      </c>
      <c r="BS442" s="55">
        <v>0</v>
      </c>
      <c r="BT442" s="4">
        <v>4.4329999999999998</v>
      </c>
      <c r="BU442" s="4">
        <v>0</v>
      </c>
      <c r="BV442" s="4">
        <v>5.6079999999999997</v>
      </c>
      <c r="BW442" s="4">
        <v>0</v>
      </c>
      <c r="BX442" s="4">
        <v>0</v>
      </c>
      <c r="BY442" s="4">
        <v>3.9380000000000002</v>
      </c>
      <c r="BZ442" s="55">
        <v>0</v>
      </c>
      <c r="CA442" s="55">
        <v>4.46</v>
      </c>
      <c r="CB442" s="55">
        <v>6.07</v>
      </c>
      <c r="CC442" s="55">
        <v>4.74</v>
      </c>
      <c r="CD442" s="55">
        <v>0</v>
      </c>
      <c r="CE442" s="19">
        <v>0</v>
      </c>
      <c r="CF442" s="19">
        <v>0</v>
      </c>
      <c r="CG442" s="4">
        <v>0</v>
      </c>
      <c r="CH442" s="4">
        <v>0</v>
      </c>
      <c r="CI442" s="4">
        <v>4.28</v>
      </c>
      <c r="CJ442" s="34">
        <v>4.0999999999999996</v>
      </c>
      <c r="CK442" s="34">
        <v>8.1</v>
      </c>
      <c r="CL442" s="27">
        <v>0</v>
      </c>
      <c r="CM442" s="4">
        <v>5.0999999999999996</v>
      </c>
      <c r="CN442" s="53">
        <v>0</v>
      </c>
      <c r="CO442" s="54">
        <v>5.5</v>
      </c>
      <c r="CP442" s="54">
        <v>5.59</v>
      </c>
      <c r="CQ442" s="4">
        <v>0</v>
      </c>
    </row>
    <row r="443" spans="1:95" s="55" customFormat="1" x14ac:dyDescent="0.35">
      <c r="A443" s="55">
        <v>442</v>
      </c>
      <c r="B443" s="55" t="s">
        <v>87</v>
      </c>
      <c r="C443" s="27" t="s">
        <v>155</v>
      </c>
      <c r="D443" s="50" t="s">
        <v>88</v>
      </c>
      <c r="E443" s="33" t="s">
        <v>90</v>
      </c>
      <c r="F443" s="4">
        <f>IFERROR(AVERAGEIF(Table1[[#This Row],[2019-Apr]:[2025-July]],"&lt;&gt;0"),0)</f>
        <v>7.0106341463414612</v>
      </c>
      <c r="G443" s="4">
        <f ca="1">IFERROR(AVERAGEIF(OFFSET(Table1[[#This Row],[Status]],0,COUNT(Table1[[#This Row],[2019-May]:[2025-July]]),1,-12),"&lt;&gt;0"),0)</f>
        <v>13.297777777777776</v>
      </c>
      <c r="H443" s="55">
        <f>IFERROR(SMALL(Table1[[#This Row],[2019-Apr]:[2025-July]],COUNTIF(Table1[[#This Row],[2019-Apr]:[2025-July]],0)+1),0)</f>
        <v>2.6</v>
      </c>
      <c r="I443" s="55">
        <f>IFERROR(MAX(Table1[[#This Row],[2019-Apr]:[2025-July]]),0)</f>
        <v>74</v>
      </c>
      <c r="J443" s="4" cm="1">
        <f t="array" ref="J44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3.3183333333333338</v>
      </c>
      <c r="K443" s="4">
        <v>4.5</v>
      </c>
      <c r="L443" s="4">
        <f>IF(Table1[[#This Row],[Standard as per ISO]]&gt;=Table1[[#This Row],[Avg of best 6]],Table1[[#This Row],[Standard as per ISO]],Table1[[#This Row],[Avg of best 6]])</f>
        <v>4.5</v>
      </c>
      <c r="M443" s="4" cm="1">
        <f t="array" ref="M443">IFERROR(LOOKUP(2,1/(Table1[[#This Row],[2019-May]:[2025-July]]&lt;&gt;0),Table1[[#This Row],[2019-May]:[2025-July]]),0)</f>
        <v>4.5999999999999996</v>
      </c>
      <c r="N443" s="4">
        <f>COUNTIF(Table1[[#This Row],[2019-Apr]:[2025-July]],"&gt;="&amp;Table1[[#This Row],[Target]])</f>
        <v>32</v>
      </c>
      <c r="O443" s="4">
        <f>IF(Table1[[#This Row],[Outliers 2Y]]=0,1,0)</f>
        <v>0</v>
      </c>
      <c r="P443" s="4">
        <f>IF(Table1[[#This Row],[Last value]]&gt;1.5*Table1[[#This Row],[Target]],1,0)</f>
        <v>0</v>
      </c>
      <c r="Q443" s="4">
        <f>IF(AND(1.5*Table1[[#This Row],[Target]]&gt;=Table1[[#This Row],[Last value]],Table1[[#This Row],[Last value]]&gt;Table1[[#This Row],[Target]]),1,0)</f>
        <v>1</v>
      </c>
      <c r="R443" s="4">
        <f>IF(Table1[[#This Row],[Target]]&gt;=Table1[[#This Row],[Last value]],1,0)</f>
        <v>0</v>
      </c>
      <c r="S443" s="4" t="str">
        <f t="shared" si="9"/>
        <v>Yellow</v>
      </c>
      <c r="T443" s="55">
        <v>0</v>
      </c>
      <c r="U443" s="55">
        <v>0</v>
      </c>
      <c r="V443" s="55">
        <v>0</v>
      </c>
      <c r="W443" s="55">
        <v>0</v>
      </c>
      <c r="X443" s="55">
        <v>3.42</v>
      </c>
      <c r="Y443" s="55">
        <v>5.78</v>
      </c>
      <c r="Z443" s="55">
        <v>5</v>
      </c>
      <c r="AA443" s="55">
        <v>5.0999999999999996</v>
      </c>
      <c r="AB443" s="55">
        <v>5.19</v>
      </c>
      <c r="AC443" s="55">
        <v>6</v>
      </c>
      <c r="AD443" s="55">
        <v>8.3000000000000007</v>
      </c>
      <c r="AE443" s="55">
        <v>7.2</v>
      </c>
      <c r="AF443" s="55">
        <v>5.8</v>
      </c>
      <c r="AG443" s="55">
        <v>3.9</v>
      </c>
      <c r="AH443" s="55">
        <v>4.4800000000000004</v>
      </c>
      <c r="AI443" s="55">
        <v>0</v>
      </c>
      <c r="AJ443" s="55">
        <v>0</v>
      </c>
      <c r="AK443" s="55">
        <v>0</v>
      </c>
      <c r="AL443" s="55">
        <v>0</v>
      </c>
      <c r="AM443" s="55">
        <v>0</v>
      </c>
      <c r="AN443" s="55">
        <v>4.97</v>
      </c>
      <c r="AO443" s="55">
        <v>3.69</v>
      </c>
      <c r="AP443" s="55">
        <v>5.0999999999999996</v>
      </c>
      <c r="AQ443" s="55">
        <v>4.58</v>
      </c>
      <c r="AR443" s="8">
        <v>5.42</v>
      </c>
      <c r="AS443" s="8">
        <v>0</v>
      </c>
      <c r="AT443" s="8">
        <v>0</v>
      </c>
      <c r="AU443" s="50">
        <v>5.59</v>
      </c>
      <c r="AV443" s="50">
        <v>6.69</v>
      </c>
      <c r="AW443" s="50">
        <v>0</v>
      </c>
      <c r="AX443" s="50">
        <v>6.74</v>
      </c>
      <c r="AY443" s="50">
        <v>6.62</v>
      </c>
      <c r="AZ443" s="50">
        <v>3.6</v>
      </c>
      <c r="BA443" s="50">
        <v>2.6</v>
      </c>
      <c r="BB443" s="50">
        <v>3.2</v>
      </c>
      <c r="BC443" s="55">
        <v>5.3</v>
      </c>
      <c r="BD443" s="55">
        <v>0</v>
      </c>
      <c r="BE443" s="11">
        <v>0</v>
      </c>
      <c r="BF443" s="4">
        <v>0</v>
      </c>
      <c r="BG443" s="4">
        <v>0</v>
      </c>
      <c r="BH443" s="4">
        <v>0</v>
      </c>
      <c r="BI443" s="4">
        <v>5.1059999999999999</v>
      </c>
      <c r="BJ443" s="13">
        <v>0</v>
      </c>
      <c r="BK443" s="13">
        <v>0</v>
      </c>
      <c r="BL443" s="4">
        <v>5.1680000000000001</v>
      </c>
      <c r="BM443" s="16">
        <v>0</v>
      </c>
      <c r="BN443" s="4">
        <v>5.59</v>
      </c>
      <c r="BO443" s="4">
        <v>0</v>
      </c>
      <c r="BP443" s="4">
        <v>0</v>
      </c>
      <c r="BQ443" s="4">
        <v>5.3849999999999998</v>
      </c>
      <c r="BR443" s="4">
        <v>0</v>
      </c>
      <c r="BS443" s="55">
        <v>0</v>
      </c>
      <c r="BT443" s="4">
        <v>6.5869999999999997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55">
        <v>5.78</v>
      </c>
      <c r="CA443" s="55">
        <v>0</v>
      </c>
      <c r="CB443" s="55">
        <v>0</v>
      </c>
      <c r="CC443" s="55">
        <v>0</v>
      </c>
      <c r="CD443" s="55">
        <v>5.27</v>
      </c>
      <c r="CE443" s="19">
        <v>74</v>
      </c>
      <c r="CF443" s="19">
        <v>6.1</v>
      </c>
      <c r="CG443" s="4">
        <v>7.1</v>
      </c>
      <c r="CH443" s="4">
        <v>6.11</v>
      </c>
      <c r="CI443" s="4">
        <v>6.27</v>
      </c>
      <c r="CJ443" s="34">
        <v>3.4</v>
      </c>
      <c r="CK443" s="34">
        <v>0</v>
      </c>
      <c r="CL443" s="27">
        <v>6.2</v>
      </c>
      <c r="CM443" s="4">
        <v>0</v>
      </c>
      <c r="CN443" s="53">
        <v>6.3</v>
      </c>
      <c r="CO443" s="54">
        <v>4.2</v>
      </c>
      <c r="CP443" s="54">
        <v>0</v>
      </c>
      <c r="CQ443" s="4">
        <v>4.5999999999999996</v>
      </c>
    </row>
    <row r="444" spans="1:95" s="55" customFormat="1" x14ac:dyDescent="0.35">
      <c r="A444" s="55">
        <v>443</v>
      </c>
      <c r="B444" s="55" t="s">
        <v>87</v>
      </c>
      <c r="C444" s="27" t="s">
        <v>156</v>
      </c>
      <c r="D444" s="50" t="s">
        <v>88</v>
      </c>
      <c r="E444" s="33" t="s">
        <v>89</v>
      </c>
      <c r="F444" s="4">
        <f>IFERROR(AVERAGEIF(Table1[[#This Row],[2019-Apr]:[2025-July]],"&lt;&gt;0"),0)</f>
        <v>4.0969767441860458</v>
      </c>
      <c r="G444" s="4">
        <f ca="1">IFERROR(AVERAGEIF(OFFSET(Table1[[#This Row],[Status]],0,COUNT(Table1[[#This Row],[2019-May]:[2025-July]]),1,-12),"&lt;&gt;0"),0)</f>
        <v>3.6859999999999991</v>
      </c>
      <c r="H444" s="55">
        <f>IFERROR(SMALL(Table1[[#This Row],[2019-Apr]:[2025-July]],COUNTIF(Table1[[#This Row],[2019-Apr]:[2025-July]],0)+1),0)</f>
        <v>2.66</v>
      </c>
      <c r="I444" s="55">
        <f>IFERROR(MAX(Table1[[#This Row],[2019-Apr]:[2025-July]]),0)</f>
        <v>4.9000000000000004</v>
      </c>
      <c r="J444" s="4" cm="1">
        <f t="array" ref="J44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3.22</v>
      </c>
      <c r="K444" s="4">
        <v>4.5</v>
      </c>
      <c r="L444" s="4">
        <f>IF(Table1[[#This Row],[Standard as per ISO]]&gt;=Table1[[#This Row],[Avg of best 6]],Table1[[#This Row],[Standard as per ISO]],Table1[[#This Row],[Avg of best 6]])</f>
        <v>4.5</v>
      </c>
      <c r="M444" s="4" cm="1">
        <f t="array" ref="M444">IFERROR(LOOKUP(2,1/(Table1[[#This Row],[2019-May]:[2025-July]]&lt;&gt;0),Table1[[#This Row],[2019-May]:[2025-July]]),0)</f>
        <v>3.8</v>
      </c>
      <c r="N444" s="4">
        <f>COUNTIF(Table1[[#This Row],[2019-Apr]:[2025-July]],"&gt;="&amp;Table1[[#This Row],[Target]])</f>
        <v>14</v>
      </c>
      <c r="O444" s="4">
        <f>IF(Table1[[#This Row],[Outliers 2Y]]=0,1,0)</f>
        <v>0</v>
      </c>
      <c r="P444" s="4">
        <f>IF(Table1[[#This Row],[Last value]]&gt;1.5*Table1[[#This Row],[Target]],1,0)</f>
        <v>0</v>
      </c>
      <c r="Q444" s="4">
        <f>IF(AND(1.5*Table1[[#This Row],[Target]]&gt;=Table1[[#This Row],[Last value]],Table1[[#This Row],[Last value]]&gt;Table1[[#This Row],[Target]]),1,0)</f>
        <v>0</v>
      </c>
      <c r="R444" s="4">
        <f>IF(Table1[[#This Row],[Target]]&gt;=Table1[[#This Row],[Last value]],1,0)</f>
        <v>1</v>
      </c>
      <c r="S444" s="4" t="str">
        <f t="shared" si="9"/>
        <v>Green</v>
      </c>
      <c r="T444" s="55">
        <v>0</v>
      </c>
      <c r="U444" s="55">
        <v>0</v>
      </c>
      <c r="V444" s="55">
        <v>3.4</v>
      </c>
      <c r="W444" s="55">
        <v>4.9000000000000004</v>
      </c>
      <c r="X444" s="55">
        <v>4.58</v>
      </c>
      <c r="Y444" s="55">
        <v>3.48</v>
      </c>
      <c r="Z444" s="55">
        <v>4.6900000000000004</v>
      </c>
      <c r="AA444" s="55">
        <v>4.0999999999999996</v>
      </c>
      <c r="AB444" s="55">
        <v>3.73</v>
      </c>
      <c r="AC444" s="55">
        <v>4</v>
      </c>
      <c r="AD444" s="55">
        <v>4.3</v>
      </c>
      <c r="AE444" s="55">
        <v>3.6</v>
      </c>
      <c r="AF444" s="55">
        <v>3.5</v>
      </c>
      <c r="AG444" s="55">
        <v>3.9</v>
      </c>
      <c r="AH444" s="55">
        <v>4.87</v>
      </c>
      <c r="AI444" s="55">
        <v>4.5</v>
      </c>
      <c r="AJ444" s="55">
        <v>4</v>
      </c>
      <c r="AK444" s="55">
        <v>3.93</v>
      </c>
      <c r="AL444" s="55">
        <v>0</v>
      </c>
      <c r="AM444" s="55">
        <v>4.25</v>
      </c>
      <c r="AN444" s="55">
        <v>4.7</v>
      </c>
      <c r="AO444" s="55">
        <v>4.04</v>
      </c>
      <c r="AP444" s="55">
        <v>4.5999999999999996</v>
      </c>
      <c r="AQ444" s="55">
        <v>4.76</v>
      </c>
      <c r="AR444" s="8">
        <v>4.49</v>
      </c>
      <c r="AS444" s="8">
        <v>0</v>
      </c>
      <c r="AT444" s="8">
        <v>4.32</v>
      </c>
      <c r="AU444" s="50">
        <v>4.59</v>
      </c>
      <c r="AV444" s="50">
        <v>3.9</v>
      </c>
      <c r="AW444" s="50">
        <v>0</v>
      </c>
      <c r="AX444" s="50">
        <v>0</v>
      </c>
      <c r="AY444" s="50">
        <v>4.5</v>
      </c>
      <c r="AZ444" s="50">
        <v>4.63</v>
      </c>
      <c r="BA444" s="50">
        <v>4.2</v>
      </c>
      <c r="BB444" s="50">
        <v>4.0999999999999996</v>
      </c>
      <c r="BC444" s="55">
        <v>4.2</v>
      </c>
      <c r="BD444" s="55">
        <v>0</v>
      </c>
      <c r="BE444" s="11">
        <v>0</v>
      </c>
      <c r="BF444" s="4">
        <v>0</v>
      </c>
      <c r="BG444" s="4">
        <v>0</v>
      </c>
      <c r="BH444" s="4">
        <v>0</v>
      </c>
      <c r="BI444" s="4">
        <v>0</v>
      </c>
      <c r="BJ444" s="14">
        <v>0</v>
      </c>
      <c r="BK444" s="14">
        <v>0</v>
      </c>
      <c r="BL444" s="4">
        <v>0</v>
      </c>
      <c r="BM444" s="17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55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55">
        <v>4.6500000000000004</v>
      </c>
      <c r="CA444" s="55">
        <v>0</v>
      </c>
      <c r="CB444" s="55">
        <v>0</v>
      </c>
      <c r="CC444" s="55">
        <v>4.0999999999999996</v>
      </c>
      <c r="CD444" s="55">
        <v>0</v>
      </c>
      <c r="CE444" s="19">
        <v>3.7</v>
      </c>
      <c r="CF444" s="19">
        <v>3.7</v>
      </c>
      <c r="CG444" s="4">
        <v>3.72</v>
      </c>
      <c r="CH444" s="4">
        <v>2.88</v>
      </c>
      <c r="CI444" s="4">
        <v>2.66</v>
      </c>
      <c r="CJ444" s="34">
        <v>0</v>
      </c>
      <c r="CK444" s="34">
        <v>3.4</v>
      </c>
      <c r="CL444" s="27">
        <v>4.5999999999999996</v>
      </c>
      <c r="CM444" s="4">
        <v>3.5</v>
      </c>
      <c r="CN444" s="53">
        <v>3.9</v>
      </c>
      <c r="CO444" s="54">
        <v>4.8</v>
      </c>
      <c r="CP444" s="54">
        <v>0</v>
      </c>
      <c r="CQ444" s="4">
        <v>3.8</v>
      </c>
    </row>
    <row r="445" spans="1:95" s="55" customFormat="1" x14ac:dyDescent="0.35">
      <c r="A445" s="55">
        <v>444</v>
      </c>
      <c r="B445" s="55" t="s">
        <v>87</v>
      </c>
      <c r="C445" s="27" t="s">
        <v>157</v>
      </c>
      <c r="D445" s="50" t="s">
        <v>88</v>
      </c>
      <c r="E445" s="33" t="s">
        <v>89</v>
      </c>
      <c r="F445" s="4">
        <f>IFERROR(AVERAGEIF(Table1[[#This Row],[2019-Apr]:[2025-July]],"&lt;&gt;0"),0)</f>
        <v>2.1224210526315788</v>
      </c>
      <c r="G445" s="4">
        <f ca="1">IFERROR(AVERAGEIF(OFFSET(Table1[[#This Row],[Status]],0,COUNT(Table1[[#This Row],[2019-May]:[2025-July]]),1,-12),"&lt;&gt;0"),0)</f>
        <v>2.0999999999999996</v>
      </c>
      <c r="H445" s="55">
        <f>IFERROR(SMALL(Table1[[#This Row],[2019-Apr]:[2025-July]],COUNTIF(Table1[[#This Row],[2019-Apr]:[2025-July]],0)+1),0)</f>
        <v>1.4</v>
      </c>
      <c r="I445" s="55">
        <f>IFERROR(MAX(Table1[[#This Row],[2019-Apr]:[2025-July]]),0)</f>
        <v>2.87</v>
      </c>
      <c r="J445" s="4" cm="1">
        <f t="array" ref="J44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1.6456666666666664</v>
      </c>
      <c r="K445" s="4">
        <v>4.5</v>
      </c>
      <c r="L445" s="4">
        <f>IF(Table1[[#This Row],[Standard as per ISO]]&gt;=Table1[[#This Row],[Avg of best 6]],Table1[[#This Row],[Standard as per ISO]],Table1[[#This Row],[Avg of best 6]])</f>
        <v>4.5</v>
      </c>
      <c r="M445" s="4" cm="1">
        <f t="array" ref="M445">IFERROR(LOOKUP(2,1/(Table1[[#This Row],[2019-May]:[2025-July]]&lt;&gt;0),Table1[[#This Row],[2019-May]:[2025-July]]),0)</f>
        <v>1.4</v>
      </c>
      <c r="N445" s="4">
        <f>COUNTIF(Table1[[#This Row],[2019-Apr]:[2025-July]],"&gt;="&amp;Table1[[#This Row],[Target]])</f>
        <v>0</v>
      </c>
      <c r="O445" s="4">
        <f>IF(Table1[[#This Row],[Outliers 2Y]]=0,1,0)</f>
        <v>1</v>
      </c>
      <c r="P445" s="4">
        <f>IF(Table1[[#This Row],[Last value]]&gt;1.5*Table1[[#This Row],[Target]],1,0)</f>
        <v>0</v>
      </c>
      <c r="Q445" s="4">
        <f>IF(AND(1.5*Table1[[#This Row],[Target]]&gt;=Table1[[#This Row],[Last value]],Table1[[#This Row],[Last value]]&gt;Table1[[#This Row],[Target]]),1,0)</f>
        <v>0</v>
      </c>
      <c r="R445" s="4">
        <f>IF(Table1[[#This Row],[Target]]&gt;=Table1[[#This Row],[Last value]],1,0)</f>
        <v>1</v>
      </c>
      <c r="S445" s="4" t="str">
        <f t="shared" si="9"/>
        <v>Green</v>
      </c>
      <c r="T445" s="55">
        <v>0</v>
      </c>
      <c r="U445" s="55">
        <v>2.5299999999999998</v>
      </c>
      <c r="V445" s="55">
        <v>0</v>
      </c>
      <c r="W445" s="55">
        <v>0</v>
      </c>
      <c r="X445" s="55">
        <v>0</v>
      </c>
      <c r="Y445" s="55">
        <v>0</v>
      </c>
      <c r="Z445" s="55">
        <v>0</v>
      </c>
      <c r="AA445" s="55">
        <v>0</v>
      </c>
      <c r="AB445" s="55">
        <v>0</v>
      </c>
      <c r="AC445" s="55">
        <v>0</v>
      </c>
      <c r="AD445" s="55">
        <v>0</v>
      </c>
      <c r="AE445" s="55">
        <v>0</v>
      </c>
      <c r="AF445" s="55">
        <v>0</v>
      </c>
      <c r="AG445" s="55">
        <v>0</v>
      </c>
      <c r="AH445" s="55">
        <v>0</v>
      </c>
      <c r="AI445" s="55">
        <v>0</v>
      </c>
      <c r="AJ445" s="55">
        <v>0</v>
      </c>
      <c r="AK445" s="55">
        <v>0</v>
      </c>
      <c r="AL445" s="55">
        <v>0</v>
      </c>
      <c r="AM445" s="55">
        <v>0</v>
      </c>
      <c r="AN445" s="55">
        <v>0</v>
      </c>
      <c r="AO445" s="55">
        <v>0</v>
      </c>
      <c r="AP445" s="55">
        <v>0</v>
      </c>
      <c r="AQ445" s="55">
        <v>0</v>
      </c>
      <c r="AR445" s="8">
        <v>0</v>
      </c>
      <c r="AS445" s="8">
        <v>0</v>
      </c>
      <c r="AT445" s="8">
        <v>0</v>
      </c>
      <c r="AU445" s="50">
        <v>0</v>
      </c>
      <c r="AV445" s="50">
        <v>0</v>
      </c>
      <c r="AW445" s="50">
        <v>2.87</v>
      </c>
      <c r="AX445" s="50">
        <v>1.78</v>
      </c>
      <c r="AY445" s="50">
        <v>0</v>
      </c>
      <c r="AZ445" s="50">
        <v>0</v>
      </c>
      <c r="BA445" s="50">
        <v>0</v>
      </c>
      <c r="BB445" s="50">
        <v>0</v>
      </c>
      <c r="BC445" s="55">
        <v>1.9</v>
      </c>
      <c r="BD445" s="55">
        <v>2.7</v>
      </c>
      <c r="BE445" s="11">
        <v>2.7</v>
      </c>
      <c r="BF445" s="4">
        <v>0</v>
      </c>
      <c r="BG445" s="4">
        <v>2.15</v>
      </c>
      <c r="BH445" s="4">
        <v>0</v>
      </c>
      <c r="BI445" s="4">
        <v>0</v>
      </c>
      <c r="BJ445" s="13">
        <v>2.27</v>
      </c>
      <c r="BK445" s="13">
        <v>2.3199999999999998</v>
      </c>
      <c r="BL445" s="4">
        <v>0</v>
      </c>
      <c r="BM445" s="16">
        <v>0</v>
      </c>
      <c r="BN445" s="4">
        <v>2.5169999999999999</v>
      </c>
      <c r="BO445" s="4">
        <v>0</v>
      </c>
      <c r="BP445" s="4">
        <v>0</v>
      </c>
      <c r="BQ445" s="4">
        <v>2.09</v>
      </c>
      <c r="BR445" s="4">
        <v>0</v>
      </c>
      <c r="BS445" s="55">
        <v>0</v>
      </c>
      <c r="BT445" s="4">
        <v>1.8149999999999999</v>
      </c>
      <c r="BU445" s="4">
        <v>0</v>
      </c>
      <c r="BV445" s="4">
        <v>1.577</v>
      </c>
      <c r="BW445" s="4">
        <v>0</v>
      </c>
      <c r="BX445" s="4">
        <v>0</v>
      </c>
      <c r="BY445" s="4">
        <v>1.667</v>
      </c>
      <c r="BZ445" s="55">
        <v>0</v>
      </c>
      <c r="CA445" s="55">
        <v>1.72</v>
      </c>
      <c r="CB445" s="55">
        <v>1.79</v>
      </c>
      <c r="CC445" s="55">
        <v>0</v>
      </c>
      <c r="CD445" s="55">
        <v>1.73</v>
      </c>
      <c r="CE445" s="19">
        <v>0</v>
      </c>
      <c r="CF445" s="19">
        <v>0</v>
      </c>
      <c r="CG445" s="4">
        <v>0</v>
      </c>
      <c r="CH445" s="4">
        <v>0</v>
      </c>
      <c r="CI445" s="4">
        <v>0</v>
      </c>
      <c r="CJ445" s="34">
        <v>2.8</v>
      </c>
      <c r="CK445" s="34">
        <v>0</v>
      </c>
      <c r="CL445" s="27">
        <v>0</v>
      </c>
      <c r="CM445" s="4">
        <v>0</v>
      </c>
      <c r="CN445" s="53">
        <v>0</v>
      </c>
      <c r="CO445" s="54">
        <v>0</v>
      </c>
      <c r="CP445" s="54">
        <v>1.4</v>
      </c>
      <c r="CQ445" s="4">
        <v>0</v>
      </c>
    </row>
    <row r="446" spans="1:95" s="55" customFormat="1" x14ac:dyDescent="0.35">
      <c r="A446" s="55">
        <v>445</v>
      </c>
      <c r="B446" s="55" t="s">
        <v>87</v>
      </c>
      <c r="C446" s="27" t="s">
        <v>158</v>
      </c>
      <c r="D446" s="50" t="s">
        <v>88</v>
      </c>
      <c r="E446" s="33" t="s">
        <v>89</v>
      </c>
      <c r="F446" s="4">
        <f>IFERROR(AVERAGEIF(Table1[[#This Row],[2019-Apr]:[2025-July]],"&lt;&gt;0"),0)</f>
        <v>4.827529411764707</v>
      </c>
      <c r="G446" s="4">
        <f ca="1">IFERROR(AVERAGEIF(OFFSET(Table1[[#This Row],[Status]],0,COUNT(Table1[[#This Row],[2019-May]:[2025-July]]),1,-12),"&lt;&gt;0"),0)</f>
        <v>3.8179999999999992</v>
      </c>
      <c r="H446" s="55">
        <f>IFERROR(SMALL(Table1[[#This Row],[2019-Apr]:[2025-July]],COUNTIF(Table1[[#This Row],[2019-Apr]:[2025-July]],0)+1),0)</f>
        <v>1.21</v>
      </c>
      <c r="I446" s="55">
        <f>IFERROR(MAX(Table1[[#This Row],[2019-Apr]:[2025-July]]),0)</f>
        <v>11.8</v>
      </c>
      <c r="J446" s="4" cm="1">
        <f t="array" ref="J44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2.0020000000000002</v>
      </c>
      <c r="K446" s="4">
        <v>4.5</v>
      </c>
      <c r="L446" s="4">
        <f>IF(Table1[[#This Row],[Standard as per ISO]]&gt;=Table1[[#This Row],[Avg of best 6]],Table1[[#This Row],[Standard as per ISO]],Table1[[#This Row],[Avg of best 6]])</f>
        <v>4.5</v>
      </c>
      <c r="M446" s="4" cm="1">
        <f t="array" ref="M446">IFERROR(LOOKUP(2,1/(Table1[[#This Row],[2019-May]:[2025-July]]&lt;&gt;0),Table1[[#This Row],[2019-May]:[2025-July]]),0)</f>
        <v>2.4</v>
      </c>
      <c r="N446" s="4">
        <f>COUNTIF(Table1[[#This Row],[2019-Apr]:[2025-July]],"&gt;="&amp;Table1[[#This Row],[Target]])</f>
        <v>6</v>
      </c>
      <c r="O446" s="4">
        <f>IF(Table1[[#This Row],[Outliers 2Y]]=0,1,0)</f>
        <v>0</v>
      </c>
      <c r="P446" s="4">
        <f>IF(Table1[[#This Row],[Last value]]&gt;1.5*Table1[[#This Row],[Target]],1,0)</f>
        <v>0</v>
      </c>
      <c r="Q446" s="4">
        <f>IF(AND(1.5*Table1[[#This Row],[Target]]&gt;=Table1[[#This Row],[Last value]],Table1[[#This Row],[Last value]]&gt;Table1[[#This Row],[Target]]),1,0)</f>
        <v>0</v>
      </c>
      <c r="R446" s="4">
        <f>IF(Table1[[#This Row],[Target]]&gt;=Table1[[#This Row],[Last value]],1,0)</f>
        <v>1</v>
      </c>
      <c r="S446" s="4" t="str">
        <f t="shared" si="9"/>
        <v>Green</v>
      </c>
      <c r="T446" s="55">
        <v>0</v>
      </c>
      <c r="U446" s="55">
        <v>0</v>
      </c>
      <c r="V446" s="55">
        <v>0</v>
      </c>
      <c r="W446" s="55">
        <v>0</v>
      </c>
      <c r="X446" s="55">
        <v>0</v>
      </c>
      <c r="Y446" s="55">
        <v>0</v>
      </c>
      <c r="Z446" s="55">
        <v>0</v>
      </c>
      <c r="AA446" s="55">
        <v>0</v>
      </c>
      <c r="AB446" s="55">
        <v>0</v>
      </c>
      <c r="AC446" s="55">
        <v>0</v>
      </c>
      <c r="AD446" s="55">
        <v>0</v>
      </c>
      <c r="AE446" s="55">
        <v>0</v>
      </c>
      <c r="AF446" s="55">
        <v>0</v>
      </c>
      <c r="AG446" s="55">
        <v>0</v>
      </c>
      <c r="AH446" s="55">
        <v>0</v>
      </c>
      <c r="AI446" s="55">
        <v>0</v>
      </c>
      <c r="AJ446" s="55">
        <v>0</v>
      </c>
      <c r="AK446" s="55">
        <v>0</v>
      </c>
      <c r="AL446" s="55">
        <v>0</v>
      </c>
      <c r="AM446" s="55">
        <v>0</v>
      </c>
      <c r="AN446" s="55">
        <v>0</v>
      </c>
      <c r="AO446" s="55">
        <v>0</v>
      </c>
      <c r="AP446" s="55">
        <v>11.8</v>
      </c>
      <c r="AQ446" s="55">
        <v>9.84</v>
      </c>
      <c r="AR446" s="8">
        <v>0</v>
      </c>
      <c r="AS446" s="8">
        <v>0</v>
      </c>
      <c r="AT446" s="8">
        <v>0</v>
      </c>
      <c r="AU446" s="50">
        <v>0</v>
      </c>
      <c r="AV446" s="50">
        <v>0</v>
      </c>
      <c r="AW446" s="50">
        <v>10.9</v>
      </c>
      <c r="AX446" s="50">
        <v>8.1</v>
      </c>
      <c r="AY446" s="50">
        <v>0</v>
      </c>
      <c r="AZ446" s="50">
        <v>0</v>
      </c>
      <c r="BA446" s="50">
        <v>0</v>
      </c>
      <c r="BB446" s="50">
        <v>0</v>
      </c>
      <c r="BC446" s="55">
        <v>0</v>
      </c>
      <c r="BD446" s="55">
        <v>0</v>
      </c>
      <c r="BE446" s="11">
        <v>0</v>
      </c>
      <c r="BF446" s="4">
        <v>0</v>
      </c>
      <c r="BG446" s="4">
        <v>0</v>
      </c>
      <c r="BH446" s="4">
        <v>0</v>
      </c>
      <c r="BI446" s="4">
        <v>0</v>
      </c>
      <c r="BJ446" s="14">
        <v>2.6760000000000002</v>
      </c>
      <c r="BK446" s="14">
        <v>2.157</v>
      </c>
      <c r="BL446" s="4">
        <v>0</v>
      </c>
      <c r="BM446" s="17">
        <v>0</v>
      </c>
      <c r="BN446" s="4">
        <v>2.8140000000000001</v>
      </c>
      <c r="BO446" s="4">
        <v>0</v>
      </c>
      <c r="BP446" s="4">
        <v>0</v>
      </c>
      <c r="BQ446" s="4">
        <v>5.2460000000000004</v>
      </c>
      <c r="BR446" s="4">
        <v>0</v>
      </c>
      <c r="BS446" s="55">
        <v>0</v>
      </c>
      <c r="BT446" s="4">
        <v>1.9450000000000001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55">
        <v>3.89</v>
      </c>
      <c r="CA446" s="55">
        <v>1.21</v>
      </c>
      <c r="CB446" s="55">
        <v>0</v>
      </c>
      <c r="CC446" s="55">
        <v>0</v>
      </c>
      <c r="CD446" s="55">
        <v>0</v>
      </c>
      <c r="CE446" s="19">
        <v>0</v>
      </c>
      <c r="CF446" s="19">
        <v>2.4</v>
      </c>
      <c r="CG446" s="4">
        <v>0</v>
      </c>
      <c r="CH446" s="4">
        <v>0</v>
      </c>
      <c r="CI446" s="4">
        <v>2.59</v>
      </c>
      <c r="CJ446" s="34">
        <v>0</v>
      </c>
      <c r="CK446" s="34">
        <v>0</v>
      </c>
      <c r="CL446" s="27">
        <v>3.5</v>
      </c>
      <c r="CM446" s="4">
        <v>8.6999999999999993</v>
      </c>
      <c r="CN446" s="53">
        <v>0</v>
      </c>
      <c r="CO446" s="54">
        <v>0</v>
      </c>
      <c r="CP446" s="54">
        <v>1.9</v>
      </c>
      <c r="CQ446" s="4">
        <v>2.4</v>
      </c>
    </row>
    <row r="447" spans="1:95" s="55" customFormat="1" x14ac:dyDescent="0.35">
      <c r="A447" s="55">
        <v>446</v>
      </c>
      <c r="B447" s="55" t="s">
        <v>87</v>
      </c>
      <c r="C447" s="27" t="s">
        <v>159</v>
      </c>
      <c r="D447" s="50" t="s">
        <v>88</v>
      </c>
      <c r="E447" s="33" t="s">
        <v>89</v>
      </c>
      <c r="F447" s="4">
        <f>IFERROR(AVERAGEIF(Table1[[#This Row],[2019-Apr]:[2025-July]],"&lt;&gt;0"),0)</f>
        <v>5.0289999999999973</v>
      </c>
      <c r="G447" s="4">
        <f ca="1">IFERROR(AVERAGEIF(OFFSET(Table1[[#This Row],[Status]],0,COUNT(Table1[[#This Row],[2019-May]:[2025-July]]),1,-12),"&lt;&gt;0"),0)</f>
        <v>3.378571428571429</v>
      </c>
      <c r="H447" s="55">
        <f>IFERROR(SMALL(Table1[[#This Row],[2019-Apr]:[2025-July]],COUNTIF(Table1[[#This Row],[2019-Apr]:[2025-July]],0)+1),0)</f>
        <v>2.0099999999999998</v>
      </c>
      <c r="I447" s="55">
        <f>IFERROR(MAX(Table1[[#This Row],[2019-Apr]:[2025-July]]),0)</f>
        <v>16.100000000000001</v>
      </c>
      <c r="J447" s="4" cm="1">
        <f t="array" ref="J44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2.4514999999999998</v>
      </c>
      <c r="K447" s="4">
        <v>4.5</v>
      </c>
      <c r="L447" s="4">
        <f>IF(Table1[[#This Row],[Standard as per ISO]]&gt;=Table1[[#This Row],[Avg of best 6]],Table1[[#This Row],[Standard as per ISO]],Table1[[#This Row],[Avg of best 6]])</f>
        <v>4.5</v>
      </c>
      <c r="M447" s="4" cm="1">
        <f t="array" ref="M447">IFERROR(LOOKUP(2,1/(Table1[[#This Row],[2019-May]:[2025-July]]&lt;&gt;0),Table1[[#This Row],[2019-May]:[2025-July]]),0)</f>
        <v>3.3</v>
      </c>
      <c r="N447" s="4">
        <f>COUNTIF(Table1[[#This Row],[2019-Apr]:[2025-July]],"&gt;="&amp;Table1[[#This Row],[Target]])</f>
        <v>24</v>
      </c>
      <c r="O447" s="4">
        <f>IF(Table1[[#This Row],[Outliers 2Y]]=0,1,0)</f>
        <v>0</v>
      </c>
      <c r="P447" s="4">
        <f>IF(Table1[[#This Row],[Last value]]&gt;1.5*Table1[[#This Row],[Target]],1,0)</f>
        <v>0</v>
      </c>
      <c r="Q447" s="4">
        <f>IF(AND(1.5*Table1[[#This Row],[Target]]&gt;=Table1[[#This Row],[Last value]],Table1[[#This Row],[Last value]]&gt;Table1[[#This Row],[Target]]),1,0)</f>
        <v>0</v>
      </c>
      <c r="R447" s="4">
        <f>IF(Table1[[#This Row],[Target]]&gt;=Table1[[#This Row],[Last value]],1,0)</f>
        <v>1</v>
      </c>
      <c r="S447" s="10" t="str">
        <f t="shared" si="9"/>
        <v>Green</v>
      </c>
      <c r="T447" s="55">
        <v>0</v>
      </c>
      <c r="U447" s="55">
        <v>0</v>
      </c>
      <c r="V447" s="55">
        <v>8.1999999999999993</v>
      </c>
      <c r="W447" s="55">
        <v>6.46</v>
      </c>
      <c r="X447" s="55">
        <v>5.94</v>
      </c>
      <c r="Y447" s="55">
        <v>7.12</v>
      </c>
      <c r="Z447" s="55">
        <v>6.43</v>
      </c>
      <c r="AA447" s="55">
        <v>6.5</v>
      </c>
      <c r="AB447" s="55">
        <v>3.88</v>
      </c>
      <c r="AC447" s="55">
        <v>7.1</v>
      </c>
      <c r="AD447" s="55">
        <v>5.76</v>
      </c>
      <c r="AE447" s="55">
        <v>6.7</v>
      </c>
      <c r="AF447" s="55">
        <v>5.7</v>
      </c>
      <c r="AG447" s="55">
        <v>5.3</v>
      </c>
      <c r="AH447" s="55">
        <v>6.3</v>
      </c>
      <c r="AI447" s="55">
        <v>6.27</v>
      </c>
      <c r="AJ447" s="55">
        <v>6.5</v>
      </c>
      <c r="AK447" s="55">
        <v>4.8099999999999996</v>
      </c>
      <c r="AL447" s="55">
        <v>6.69</v>
      </c>
      <c r="AM447" s="55">
        <v>5.93</v>
      </c>
      <c r="AN447" s="55">
        <v>4.3</v>
      </c>
      <c r="AO447" s="55">
        <v>4.1100000000000003</v>
      </c>
      <c r="AP447" s="55">
        <v>0</v>
      </c>
      <c r="AQ447" s="55">
        <v>0</v>
      </c>
      <c r="AR447" s="8">
        <v>16.100000000000001</v>
      </c>
      <c r="AS447" s="8">
        <v>8.73</v>
      </c>
      <c r="AT447" s="8">
        <v>0</v>
      </c>
      <c r="AU447" s="50">
        <v>5.95</v>
      </c>
      <c r="AV447" s="50">
        <v>7.64</v>
      </c>
      <c r="AW447" s="50">
        <v>8.1</v>
      </c>
      <c r="AX447" s="50">
        <v>0</v>
      </c>
      <c r="AY447" s="50">
        <v>4.01</v>
      </c>
      <c r="AZ447" s="50">
        <v>2.72</v>
      </c>
      <c r="BA447" s="50">
        <v>3.7</v>
      </c>
      <c r="BB447" s="50">
        <v>2.8</v>
      </c>
      <c r="BC447" s="55">
        <v>3.2</v>
      </c>
      <c r="BD447" s="55">
        <v>3.2</v>
      </c>
      <c r="BE447" s="11">
        <v>3.7789999999999999</v>
      </c>
      <c r="BF447" s="4">
        <v>0</v>
      </c>
      <c r="BG447" s="4">
        <v>2.64</v>
      </c>
      <c r="BH447" s="4">
        <v>2.8919999999999999</v>
      </c>
      <c r="BI447" s="4">
        <v>0</v>
      </c>
      <c r="BJ447" s="13">
        <v>0</v>
      </c>
      <c r="BK447" s="13">
        <v>0</v>
      </c>
      <c r="BL447" s="4">
        <v>0</v>
      </c>
      <c r="BM447" s="16">
        <v>0</v>
      </c>
      <c r="BN447" s="4">
        <v>0</v>
      </c>
      <c r="BO447" s="4">
        <v>0</v>
      </c>
      <c r="BP447" s="4">
        <v>0</v>
      </c>
      <c r="BQ447" s="4">
        <v>3.6739999999999999</v>
      </c>
      <c r="BR447" s="4">
        <v>0</v>
      </c>
      <c r="BS447" s="55">
        <v>0</v>
      </c>
      <c r="BT447" s="4">
        <v>4.01</v>
      </c>
      <c r="BU447" s="4">
        <v>0</v>
      </c>
      <c r="BV447" s="4">
        <v>3.1179999999999999</v>
      </c>
      <c r="BW447" s="4">
        <v>0</v>
      </c>
      <c r="BX447" s="4">
        <v>0</v>
      </c>
      <c r="BY447" s="4">
        <v>2.0990000000000002</v>
      </c>
      <c r="BZ447" s="55">
        <v>0</v>
      </c>
      <c r="CA447" s="55">
        <v>0</v>
      </c>
      <c r="CB447" s="55">
        <v>3.67</v>
      </c>
      <c r="CC447" s="55">
        <v>2.86</v>
      </c>
      <c r="CD447" s="55">
        <v>2.85</v>
      </c>
      <c r="CE447" s="19">
        <v>2.8</v>
      </c>
      <c r="CF447" s="19">
        <v>0</v>
      </c>
      <c r="CG447" s="4">
        <v>2.44</v>
      </c>
      <c r="CH447" s="4">
        <v>2.0099999999999998</v>
      </c>
      <c r="CI447" s="4">
        <v>0</v>
      </c>
      <c r="CJ447" s="34">
        <v>5.2</v>
      </c>
      <c r="CK447" s="34">
        <v>4.9000000000000004</v>
      </c>
      <c r="CL447" s="27">
        <v>0</v>
      </c>
      <c r="CM447" s="4">
        <v>0</v>
      </c>
      <c r="CN447" s="53">
        <v>3</v>
      </c>
      <c r="CO447" s="54">
        <v>3.3</v>
      </c>
      <c r="CP447" s="54">
        <v>0</v>
      </c>
      <c r="CQ447" s="4">
        <v>0</v>
      </c>
    </row>
    <row r="448" spans="1:95" s="55" customFormat="1" x14ac:dyDescent="0.35">
      <c r="A448" s="55">
        <v>447</v>
      </c>
      <c r="B448" s="55" t="s">
        <v>87</v>
      </c>
      <c r="C448" s="27" t="s">
        <v>160</v>
      </c>
      <c r="D448" s="50" t="s">
        <v>88</v>
      </c>
      <c r="E448" s="33" t="s">
        <v>89</v>
      </c>
      <c r="F448" s="4">
        <f>IFERROR(AVERAGEIF(Table1[[#This Row],[2019-Apr]:[2025-July]],"&lt;&gt;0"),0)</f>
        <v>1.0608666666666666</v>
      </c>
      <c r="G448" s="4">
        <f ca="1">IFERROR(AVERAGEIF(OFFSET(Table1[[#This Row],[Status]],0,COUNT(Table1[[#This Row],[2019-May]:[2025-July]]),1,-12),"&lt;&gt;0"),0)</f>
        <v>0.628</v>
      </c>
      <c r="H448" s="55">
        <f>IFERROR(SMALL(Table1[[#This Row],[2019-Apr]:[2025-July]],COUNTIF(Table1[[#This Row],[2019-Apr]:[2025-July]],0)+1),0)</f>
        <v>0.51</v>
      </c>
      <c r="I448" s="55">
        <f>IFERROR(MAX(Table1[[#This Row],[2019-Apr]:[2025-July]]),0)</f>
        <v>2.2999999999999998</v>
      </c>
      <c r="J448" s="4" cm="1">
        <f t="array" ref="J44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0.61383333333333334</v>
      </c>
      <c r="K448" s="4">
        <v>4.5</v>
      </c>
      <c r="L448" s="4">
        <f>IF(Table1[[#This Row],[Standard as per ISO]]&gt;=Table1[[#This Row],[Avg of best 6]],Table1[[#This Row],[Standard as per ISO]],Table1[[#This Row],[Avg of best 6]])</f>
        <v>4.5</v>
      </c>
      <c r="M448" s="4" cm="1">
        <f t="array" ref="M448">IFERROR(LOOKUP(2,1/(Table1[[#This Row],[2019-May]:[2025-July]]&lt;&gt;0),Table1[[#This Row],[2019-May]:[2025-July]]),0)</f>
        <v>0.7</v>
      </c>
      <c r="N448" s="4">
        <f>COUNTIF(Table1[[#This Row],[2019-Apr]:[2025-July]],"&gt;="&amp;Table1[[#This Row],[Target]])</f>
        <v>0</v>
      </c>
      <c r="O448" s="4">
        <f>IF(Table1[[#This Row],[Outliers 2Y]]=0,1,0)</f>
        <v>1</v>
      </c>
      <c r="P448" s="4">
        <f>IF(Table1[[#This Row],[Last value]]&gt;1.5*Table1[[#This Row],[Target]],1,0)</f>
        <v>0</v>
      </c>
      <c r="Q448" s="4">
        <f>IF(AND(1.5*Table1[[#This Row],[Target]]&gt;=Table1[[#This Row],[Last value]],Table1[[#This Row],[Last value]]&gt;Table1[[#This Row],[Target]]),1,0)</f>
        <v>0</v>
      </c>
      <c r="R448" s="4">
        <f>IF(Table1[[#This Row],[Target]]&gt;=Table1[[#This Row],[Last value]],1,0)</f>
        <v>1</v>
      </c>
      <c r="S448" s="4" t="str">
        <f t="shared" si="9"/>
        <v>Green</v>
      </c>
      <c r="T448" s="55">
        <v>0</v>
      </c>
      <c r="U448" s="55">
        <v>0</v>
      </c>
      <c r="V448" s="55">
        <v>2.2999999999999998</v>
      </c>
      <c r="W448" s="55">
        <v>2.29</v>
      </c>
      <c r="X448" s="55">
        <v>2.14</v>
      </c>
      <c r="Y448" s="55">
        <v>1.7</v>
      </c>
      <c r="Z448" s="55">
        <v>1.83</v>
      </c>
      <c r="AA448" s="55">
        <v>1.8</v>
      </c>
      <c r="AB448" s="55">
        <v>0.84</v>
      </c>
      <c r="AC448" s="55">
        <v>1.3</v>
      </c>
      <c r="AD448" s="55">
        <v>0.93</v>
      </c>
      <c r="AE448" s="55">
        <v>0.75</v>
      </c>
      <c r="AF448" s="55">
        <v>0.9</v>
      </c>
      <c r="AG448" s="55">
        <v>0.8</v>
      </c>
      <c r="AH448" s="55">
        <v>0.9</v>
      </c>
      <c r="AI448" s="55">
        <v>1.02</v>
      </c>
      <c r="AJ448" s="55">
        <v>1</v>
      </c>
      <c r="AK448" s="55">
        <v>0.82</v>
      </c>
      <c r="AL448" s="55">
        <v>0.95</v>
      </c>
      <c r="AM448" s="55">
        <v>1.04</v>
      </c>
      <c r="AN448" s="55">
        <v>1.2</v>
      </c>
      <c r="AO448" s="55">
        <v>0.95</v>
      </c>
      <c r="AP448" s="55">
        <v>0.81</v>
      </c>
      <c r="AQ448" s="55">
        <v>0.78</v>
      </c>
      <c r="AR448" s="8">
        <v>0.69</v>
      </c>
      <c r="AS448" s="8">
        <v>0</v>
      </c>
      <c r="AT448" s="8">
        <v>0.95</v>
      </c>
      <c r="AU448" s="50">
        <v>0.93</v>
      </c>
      <c r="AV448" s="50">
        <v>0.8</v>
      </c>
      <c r="AW448" s="50">
        <v>1.27</v>
      </c>
      <c r="AX448" s="50">
        <v>0.86</v>
      </c>
      <c r="AY448" s="50">
        <v>0.85</v>
      </c>
      <c r="AZ448" s="50">
        <v>1.1499999999999999</v>
      </c>
      <c r="BA448" s="50">
        <v>1.4</v>
      </c>
      <c r="BB448" s="50">
        <v>1.2</v>
      </c>
      <c r="BC448" s="55">
        <v>1.3</v>
      </c>
      <c r="BD448" s="55">
        <v>0</v>
      </c>
      <c r="BE448" s="11">
        <v>0</v>
      </c>
      <c r="BF448" s="4">
        <v>0</v>
      </c>
      <c r="BG448" s="4">
        <v>0</v>
      </c>
      <c r="BH448" s="4">
        <v>1.1000000000000001</v>
      </c>
      <c r="BI448" s="4">
        <v>0</v>
      </c>
      <c r="BJ448" s="14">
        <v>0</v>
      </c>
      <c r="BK448" s="14">
        <v>1.0049999999999999</v>
      </c>
      <c r="BL448" s="4">
        <v>0</v>
      </c>
      <c r="BM448" s="17">
        <v>0</v>
      </c>
      <c r="BN448" s="4">
        <v>0</v>
      </c>
      <c r="BO448" s="4">
        <v>0</v>
      </c>
      <c r="BP448" s="4">
        <v>0</v>
      </c>
      <c r="BQ448" s="4">
        <v>1.274</v>
      </c>
      <c r="BR448" s="4">
        <v>0</v>
      </c>
      <c r="BS448" s="55">
        <v>0</v>
      </c>
      <c r="BT448" s="4">
        <v>0.623</v>
      </c>
      <c r="BU448" s="4">
        <v>0</v>
      </c>
      <c r="BV448" s="4">
        <v>0.78700000000000003</v>
      </c>
      <c r="BW448" s="4">
        <v>0</v>
      </c>
      <c r="BX448" s="4">
        <v>0</v>
      </c>
      <c r="BY448" s="4">
        <v>0</v>
      </c>
      <c r="BZ448" s="55">
        <v>0</v>
      </c>
      <c r="CA448" s="55">
        <v>0</v>
      </c>
      <c r="CB448" s="55">
        <v>0</v>
      </c>
      <c r="CC448" s="55">
        <v>0</v>
      </c>
      <c r="CD448" s="55">
        <v>0.66</v>
      </c>
      <c r="CE448" s="19">
        <v>0.6</v>
      </c>
      <c r="CF448" s="19">
        <v>0</v>
      </c>
      <c r="CG448" s="4">
        <v>0.73</v>
      </c>
      <c r="CH448" s="4">
        <v>0.51</v>
      </c>
      <c r="CI448" s="4">
        <v>0</v>
      </c>
      <c r="CJ448" s="34">
        <v>0</v>
      </c>
      <c r="CK448" s="34">
        <v>0.7</v>
      </c>
      <c r="CL448" s="27">
        <v>0.6</v>
      </c>
      <c r="CM448" s="4">
        <v>0</v>
      </c>
      <c r="CN448" s="53">
        <v>0</v>
      </c>
      <c r="CO448" s="54">
        <v>0</v>
      </c>
      <c r="CP448" s="54">
        <v>0</v>
      </c>
      <c r="CQ448" s="4">
        <v>0.7</v>
      </c>
    </row>
    <row r="449" spans="1:95" s="55" customFormat="1" x14ac:dyDescent="0.35">
      <c r="A449" s="55">
        <v>448</v>
      </c>
      <c r="B449" s="55" t="s">
        <v>87</v>
      </c>
      <c r="C449" s="27" t="s">
        <v>161</v>
      </c>
      <c r="D449" s="50" t="s">
        <v>88</v>
      </c>
      <c r="E449" s="33" t="s">
        <v>89</v>
      </c>
      <c r="F449" s="4">
        <f>IFERROR(AVERAGEIF(Table1[[#This Row],[2019-Apr]:[2025-July]],"&lt;&gt;0"),0)</f>
        <v>1.0020499999999999</v>
      </c>
      <c r="G449" s="4">
        <f ca="1">IFERROR(AVERAGEIF(OFFSET(Table1[[#This Row],[Status]],0,COUNT(Table1[[#This Row],[2019-May]:[2025-July]]),1,-12),"&lt;&gt;0"),0)</f>
        <v>0.82857142857142851</v>
      </c>
      <c r="H449" s="55">
        <f>IFERROR(SMALL(Table1[[#This Row],[2019-Apr]:[2025-July]],COUNTIF(Table1[[#This Row],[2019-Apr]:[2025-July]],0)+1),0)</f>
        <v>0.6</v>
      </c>
      <c r="I449" s="55">
        <f>IFERROR(MAX(Table1[[#This Row],[2019-Apr]:[2025-July]]),0)</f>
        <v>2.46</v>
      </c>
      <c r="J449" s="4" cm="1">
        <f t="array" ref="J44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0.6778333333333334</v>
      </c>
      <c r="K449" s="4">
        <v>4.5</v>
      </c>
      <c r="L449" s="4">
        <f>IF(Table1[[#This Row],[Standard as per ISO]]&gt;=Table1[[#This Row],[Avg of best 6]],Table1[[#This Row],[Standard as per ISO]],Table1[[#This Row],[Avg of best 6]])</f>
        <v>4.5</v>
      </c>
      <c r="M449" s="4" cm="1">
        <f t="array" ref="M449">IFERROR(LOOKUP(2,1/(Table1[[#This Row],[2019-May]:[2025-July]]&lt;&gt;0),Table1[[#This Row],[2019-May]:[2025-July]]),0)</f>
        <v>0.7</v>
      </c>
      <c r="N449" s="4">
        <f>COUNTIF(Table1[[#This Row],[2019-Apr]:[2025-July]],"&gt;="&amp;Table1[[#This Row],[Target]])</f>
        <v>0</v>
      </c>
      <c r="O449" s="4">
        <f>IF(Table1[[#This Row],[Outliers 2Y]]=0,1,0)</f>
        <v>1</v>
      </c>
      <c r="P449" s="4">
        <f>IF(Table1[[#This Row],[Last value]]&gt;1.5*Table1[[#This Row],[Target]],1,0)</f>
        <v>0</v>
      </c>
      <c r="Q449" s="4">
        <f>IF(AND(1.5*Table1[[#This Row],[Target]]&gt;=Table1[[#This Row],[Last value]],Table1[[#This Row],[Last value]]&gt;Table1[[#This Row],[Target]]),1,0)</f>
        <v>0</v>
      </c>
      <c r="R449" s="4">
        <f>IF(Table1[[#This Row],[Target]]&gt;=Table1[[#This Row],[Last value]],1,0)</f>
        <v>1</v>
      </c>
      <c r="S449" s="4" t="str">
        <f t="shared" si="9"/>
        <v>Green</v>
      </c>
      <c r="T449" s="55">
        <v>0</v>
      </c>
      <c r="U449" s="55">
        <v>0</v>
      </c>
      <c r="V449" s="55">
        <v>0</v>
      </c>
      <c r="W449" s="55">
        <v>0</v>
      </c>
      <c r="X449" s="55">
        <v>0</v>
      </c>
      <c r="Y449" s="55">
        <v>0</v>
      </c>
      <c r="Z449" s="55">
        <v>0</v>
      </c>
      <c r="AA449" s="55">
        <v>0</v>
      </c>
      <c r="AB449" s="55">
        <v>0</v>
      </c>
      <c r="AC449" s="55">
        <v>0</v>
      </c>
      <c r="AD449" s="55">
        <v>0</v>
      </c>
      <c r="AE449" s="55">
        <v>0</v>
      </c>
      <c r="AF449" s="55">
        <v>0</v>
      </c>
      <c r="AG449" s="55">
        <v>0</v>
      </c>
      <c r="AH449" s="55">
        <v>0</v>
      </c>
      <c r="AI449" s="55">
        <v>0</v>
      </c>
      <c r="AJ449" s="55">
        <v>0</v>
      </c>
      <c r="AK449" s="55">
        <v>0</v>
      </c>
      <c r="AL449" s="55">
        <v>0</v>
      </c>
      <c r="AM449" s="55">
        <v>0</v>
      </c>
      <c r="AN449" s="55">
        <v>0</v>
      </c>
      <c r="AO449" s="55">
        <v>0</v>
      </c>
      <c r="AP449" s="55">
        <v>0</v>
      </c>
      <c r="AQ449" s="55">
        <v>0</v>
      </c>
      <c r="AR449" s="8">
        <v>0</v>
      </c>
      <c r="AS449" s="8">
        <v>0</v>
      </c>
      <c r="AT449" s="8">
        <v>0</v>
      </c>
      <c r="AU449" s="50">
        <v>0</v>
      </c>
      <c r="AV449" s="50">
        <v>0</v>
      </c>
      <c r="AW449" s="50">
        <v>0</v>
      </c>
      <c r="AX449" s="50">
        <v>0</v>
      </c>
      <c r="AY449" s="50">
        <v>0</v>
      </c>
      <c r="AZ449" s="50">
        <v>0</v>
      </c>
      <c r="BA449" s="50">
        <v>0</v>
      </c>
      <c r="BB449" s="50">
        <v>0</v>
      </c>
      <c r="BC449" s="55">
        <v>0</v>
      </c>
      <c r="BD449" s="55">
        <v>2.2000000000000002</v>
      </c>
      <c r="BE449" s="11">
        <v>1.5589999999999999</v>
      </c>
      <c r="BF449" s="4">
        <v>0</v>
      </c>
      <c r="BG449" s="4">
        <v>0.84</v>
      </c>
      <c r="BH449" s="4">
        <v>0</v>
      </c>
      <c r="BI449" s="4">
        <v>0</v>
      </c>
      <c r="BJ449" s="13">
        <v>0.79700000000000004</v>
      </c>
      <c r="BK449" s="13">
        <v>0</v>
      </c>
      <c r="BL449" s="4">
        <v>0</v>
      </c>
      <c r="BM449" s="16">
        <v>0</v>
      </c>
      <c r="BN449" s="4">
        <v>0.91400000000000003</v>
      </c>
      <c r="BO449" s="4">
        <v>0</v>
      </c>
      <c r="BP449" s="4">
        <v>0</v>
      </c>
      <c r="BQ449" s="4">
        <v>0.91400000000000003</v>
      </c>
      <c r="BR449" s="4">
        <v>0</v>
      </c>
      <c r="BS449" s="55">
        <v>0</v>
      </c>
      <c r="BT449" s="4">
        <v>0.628</v>
      </c>
      <c r="BU449" s="4">
        <v>0</v>
      </c>
      <c r="BV449" s="4">
        <v>0</v>
      </c>
      <c r="BW449" s="4">
        <v>0</v>
      </c>
      <c r="BX449" s="4">
        <v>0</v>
      </c>
      <c r="BY449" s="4">
        <v>0.73899999999999999</v>
      </c>
      <c r="BZ449" s="55">
        <v>0.88</v>
      </c>
      <c r="CA449" s="55">
        <v>2.46</v>
      </c>
      <c r="CB449" s="55">
        <v>0.93</v>
      </c>
      <c r="CC449" s="55">
        <v>0.78</v>
      </c>
      <c r="CD449" s="55">
        <v>0.6</v>
      </c>
      <c r="CE449" s="19">
        <v>0</v>
      </c>
      <c r="CF449" s="19">
        <v>1.2</v>
      </c>
      <c r="CG449" s="4">
        <v>0</v>
      </c>
      <c r="CH449" s="4">
        <v>0</v>
      </c>
      <c r="CI449" s="4">
        <v>0.7</v>
      </c>
      <c r="CJ449" s="34">
        <v>0.9</v>
      </c>
      <c r="CK449" s="34">
        <v>0</v>
      </c>
      <c r="CL449" s="27">
        <v>0</v>
      </c>
      <c r="CM449" s="4">
        <v>0.8</v>
      </c>
      <c r="CN449" s="53">
        <v>0.7</v>
      </c>
      <c r="CO449" s="54">
        <v>0.8</v>
      </c>
      <c r="CP449" s="54">
        <v>0.7</v>
      </c>
      <c r="CQ449" s="4">
        <v>0</v>
      </c>
    </row>
    <row r="450" spans="1:95" s="55" customFormat="1" x14ac:dyDescent="0.35">
      <c r="A450" s="55">
        <v>449</v>
      </c>
      <c r="B450" s="55" t="s">
        <v>87</v>
      </c>
      <c r="C450" s="27" t="s">
        <v>162</v>
      </c>
      <c r="D450" s="50" t="s">
        <v>88</v>
      </c>
      <c r="E450" s="33" t="s">
        <v>89</v>
      </c>
      <c r="F450" s="4">
        <f>IFERROR(AVERAGEIF(Table1[[#This Row],[2019-Apr]:[2025-July]],"&lt;&gt;0"),0)</f>
        <v>5.1320967741935481</v>
      </c>
      <c r="G450" s="4">
        <f ca="1">IFERROR(AVERAGEIF(OFFSET(Table1[[#This Row],[Status]],0,COUNT(Table1[[#This Row],[2019-May]:[2025-July]]),1,-12),"&lt;&gt;0"),0)</f>
        <v>2.6000000000000005</v>
      </c>
      <c r="H450" s="55">
        <f>IFERROR(SMALL(Table1[[#This Row],[2019-Apr]:[2025-July]],COUNTIF(Table1[[#This Row],[2019-Apr]:[2025-July]],0)+1),0)</f>
        <v>1.89</v>
      </c>
      <c r="I450" s="55">
        <f>IFERROR(MAX(Table1[[#This Row],[2019-Apr]:[2025-July]]),0)</f>
        <v>9</v>
      </c>
      <c r="J450" s="4" cm="1">
        <f t="array" ref="J45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2.1585000000000001</v>
      </c>
      <c r="K450" s="4">
        <v>4.5</v>
      </c>
      <c r="L450" s="4">
        <f>IF(Table1[[#This Row],[Standard as per ISO]]&gt;=Table1[[#This Row],[Avg of best 6]],Table1[[#This Row],[Standard as per ISO]],Table1[[#This Row],[Avg of best 6]])</f>
        <v>4.5</v>
      </c>
      <c r="M450" s="4" cm="1">
        <f t="array" ref="M450">IFERROR(LOOKUP(2,1/(Table1[[#This Row],[2019-May]:[2025-July]]&lt;&gt;0),Table1[[#This Row],[2019-May]:[2025-July]]),0)</f>
        <v>2.2000000000000002</v>
      </c>
      <c r="N450" s="4">
        <f>COUNTIF(Table1[[#This Row],[2019-Apr]:[2025-July]],"&gt;="&amp;Table1[[#This Row],[Target]])</f>
        <v>18</v>
      </c>
      <c r="O450" s="4">
        <f>IF(Table1[[#This Row],[Outliers 2Y]]=0,1,0)</f>
        <v>0</v>
      </c>
      <c r="P450" s="4">
        <f>IF(Table1[[#This Row],[Last value]]&gt;1.5*Table1[[#This Row],[Target]],1,0)</f>
        <v>0</v>
      </c>
      <c r="Q450" s="4">
        <f>IF(AND(1.5*Table1[[#This Row],[Target]]&gt;=Table1[[#This Row],[Last value]],Table1[[#This Row],[Last value]]&gt;Table1[[#This Row],[Target]]),1,0)</f>
        <v>0</v>
      </c>
      <c r="R450" s="4">
        <f>IF(Table1[[#This Row],[Target]]&gt;=Table1[[#This Row],[Last value]],1,0)</f>
        <v>1</v>
      </c>
      <c r="S450" s="4" t="str">
        <f t="shared" si="9"/>
        <v>Green</v>
      </c>
      <c r="T450" s="55">
        <v>0</v>
      </c>
      <c r="U450" s="55">
        <v>0</v>
      </c>
      <c r="V450" s="55">
        <v>5.84</v>
      </c>
      <c r="W450" s="55">
        <v>5.98</v>
      </c>
      <c r="X450" s="55">
        <v>0</v>
      </c>
      <c r="Y450" s="55">
        <v>0</v>
      </c>
      <c r="Z450" s="55">
        <v>8.8000000000000007</v>
      </c>
      <c r="AA450" s="55">
        <v>0</v>
      </c>
      <c r="AB450" s="55">
        <v>0</v>
      </c>
      <c r="AC450" s="55">
        <v>0</v>
      </c>
      <c r="AD450" s="55">
        <v>0</v>
      </c>
      <c r="AE450" s="55">
        <v>0</v>
      </c>
      <c r="AF450" s="55">
        <v>0</v>
      </c>
      <c r="AG450" s="55">
        <v>0</v>
      </c>
      <c r="AH450" s="55">
        <v>0</v>
      </c>
      <c r="AI450" s="55">
        <v>0</v>
      </c>
      <c r="AJ450" s="55">
        <v>0</v>
      </c>
      <c r="AK450" s="55">
        <v>0</v>
      </c>
      <c r="AL450" s="55">
        <v>0</v>
      </c>
      <c r="AM450" s="55">
        <v>7.8</v>
      </c>
      <c r="AN450" s="55">
        <v>8.06</v>
      </c>
      <c r="AO450" s="55">
        <v>5.36</v>
      </c>
      <c r="AP450" s="55">
        <v>9</v>
      </c>
      <c r="AQ450" s="55">
        <v>8.64</v>
      </c>
      <c r="AR450" s="8">
        <v>6.11</v>
      </c>
      <c r="AS450" s="8">
        <v>0</v>
      </c>
      <c r="AT450" s="8">
        <v>7.53</v>
      </c>
      <c r="AU450" s="50">
        <v>7.71</v>
      </c>
      <c r="AV450" s="50">
        <v>7</v>
      </c>
      <c r="AW450" s="50">
        <v>0</v>
      </c>
      <c r="AX450" s="50">
        <v>8</v>
      </c>
      <c r="AY450" s="50">
        <v>7.66</v>
      </c>
      <c r="AZ450" s="50">
        <v>6.23</v>
      </c>
      <c r="BA450" s="50">
        <v>5.4</v>
      </c>
      <c r="BB450" s="50">
        <v>5.7</v>
      </c>
      <c r="BC450" s="55">
        <v>0</v>
      </c>
      <c r="BD450" s="55">
        <v>0</v>
      </c>
      <c r="BE450" s="11">
        <v>5.7130000000000001</v>
      </c>
      <c r="BF450" s="4">
        <v>0</v>
      </c>
      <c r="BG450" s="4">
        <v>0</v>
      </c>
      <c r="BH450" s="4">
        <v>0</v>
      </c>
      <c r="BI450" s="4">
        <v>0</v>
      </c>
      <c r="BJ450" s="14">
        <v>0</v>
      </c>
      <c r="BK450" s="14">
        <v>0</v>
      </c>
      <c r="BL450" s="4">
        <v>0</v>
      </c>
      <c r="BM450" s="17">
        <v>0</v>
      </c>
      <c r="BN450" s="4">
        <v>0</v>
      </c>
      <c r="BO450" s="4">
        <v>0</v>
      </c>
      <c r="BP450" s="4">
        <v>0</v>
      </c>
      <c r="BQ450" s="4">
        <v>3.2730000000000001</v>
      </c>
      <c r="BR450" s="4">
        <v>0</v>
      </c>
      <c r="BS450" s="55">
        <v>0</v>
      </c>
      <c r="BT450" s="4">
        <v>2.9009999999999998</v>
      </c>
      <c r="BU450" s="4">
        <v>0</v>
      </c>
      <c r="BV450" s="4">
        <v>2.3769999999999998</v>
      </c>
      <c r="BW450" s="4">
        <v>0</v>
      </c>
      <c r="BX450" s="4">
        <v>0</v>
      </c>
      <c r="BY450" s="4">
        <v>2.1909999999999998</v>
      </c>
      <c r="BZ450" s="55">
        <v>1.89</v>
      </c>
      <c r="CA450" s="55">
        <v>2.65</v>
      </c>
      <c r="CB450" s="55">
        <v>2.27</v>
      </c>
      <c r="CC450" s="55">
        <v>2.41</v>
      </c>
      <c r="CD450" s="55">
        <v>0</v>
      </c>
      <c r="CE450" s="19">
        <v>0</v>
      </c>
      <c r="CF450" s="19">
        <v>2.2000000000000002</v>
      </c>
      <c r="CG450" s="4">
        <v>0</v>
      </c>
      <c r="CH450" s="4">
        <v>0</v>
      </c>
      <c r="CI450" s="4">
        <v>0</v>
      </c>
      <c r="CJ450" s="34">
        <v>0</v>
      </c>
      <c r="CK450" s="34">
        <v>2.2000000000000002</v>
      </c>
      <c r="CL450" s="27">
        <v>3.7</v>
      </c>
      <c r="CM450" s="4">
        <v>0</v>
      </c>
      <c r="CN450" s="53">
        <v>0</v>
      </c>
      <c r="CO450" s="54">
        <v>0</v>
      </c>
      <c r="CP450" s="54">
        <v>2.2999999999999998</v>
      </c>
      <c r="CQ450" s="4">
        <v>2.2000000000000002</v>
      </c>
    </row>
    <row r="451" spans="1:95" s="55" customFormat="1" x14ac:dyDescent="0.35">
      <c r="A451" s="55">
        <v>450</v>
      </c>
      <c r="B451" s="55" t="s">
        <v>87</v>
      </c>
      <c r="C451" s="27" t="s">
        <v>163</v>
      </c>
      <c r="D451" s="50" t="s">
        <v>88</v>
      </c>
      <c r="E451" s="33" t="s">
        <v>89</v>
      </c>
      <c r="F451" s="4">
        <f>IFERROR(AVERAGEIF(Table1[[#This Row],[2019-Apr]:[2025-July]],"&lt;&gt;0"),0)</f>
        <v>2.6937250000000001</v>
      </c>
      <c r="G451" s="4">
        <f ca="1">IFERROR(AVERAGEIF(OFFSET(Table1[[#This Row],[Status]],0,COUNT(Table1[[#This Row],[2019-May]:[2025-July]]),1,-12),"&lt;&gt;0"),0)</f>
        <v>1.8787499999999999</v>
      </c>
      <c r="H451" s="55">
        <f>IFERROR(SMALL(Table1[[#This Row],[2019-Apr]:[2025-July]],COUNTIF(Table1[[#This Row],[2019-Apr]:[2025-July]],0)+1),0)</f>
        <v>1</v>
      </c>
      <c r="I451" s="55">
        <f>IFERROR(MAX(Table1[[#This Row],[2019-Apr]:[2025-July]]),0)</f>
        <v>5.68</v>
      </c>
      <c r="J451" s="4" cm="1">
        <f t="array" ref="J45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1.5726666666666664</v>
      </c>
      <c r="K451" s="4">
        <v>4.5</v>
      </c>
      <c r="L451" s="4">
        <f>IF(Table1[[#This Row],[Standard as per ISO]]&gt;=Table1[[#This Row],[Avg of best 6]],Table1[[#This Row],[Standard as per ISO]],Table1[[#This Row],[Avg of best 6]])</f>
        <v>4.5</v>
      </c>
      <c r="M451" s="4" cm="1">
        <f t="array" ref="M451">IFERROR(LOOKUP(2,1/(Table1[[#This Row],[2019-May]:[2025-July]]&lt;&gt;0),Table1[[#This Row],[2019-May]:[2025-July]]),0)</f>
        <v>1.6</v>
      </c>
      <c r="N451" s="4">
        <f>COUNTIF(Table1[[#This Row],[2019-Apr]:[2025-July]],"&gt;="&amp;Table1[[#This Row],[Target]])</f>
        <v>2</v>
      </c>
      <c r="O451" s="4">
        <f>IF(Table1[[#This Row],[Outliers 2Y]]=0,1,0)</f>
        <v>0</v>
      </c>
      <c r="P451" s="4">
        <f>IF(Table1[[#This Row],[Last value]]&gt;1.5*Table1[[#This Row],[Target]],1,0)</f>
        <v>0</v>
      </c>
      <c r="Q451" s="4">
        <f>IF(AND(1.5*Table1[[#This Row],[Target]]&gt;=Table1[[#This Row],[Last value]],Table1[[#This Row],[Last value]]&gt;Table1[[#This Row],[Target]]),1,0)</f>
        <v>0</v>
      </c>
      <c r="R451" s="4">
        <f>IF(Table1[[#This Row],[Target]]&gt;=Table1[[#This Row],[Last value]],1,0)</f>
        <v>1</v>
      </c>
      <c r="S451" s="4" t="str">
        <f t="shared" si="9"/>
        <v>Green</v>
      </c>
      <c r="T451" s="55">
        <v>0</v>
      </c>
      <c r="U451" s="55">
        <v>2.0299999999999998</v>
      </c>
      <c r="V451" s="55">
        <v>1.98</v>
      </c>
      <c r="W451" s="55">
        <v>0</v>
      </c>
      <c r="X451" s="55">
        <v>5.68</v>
      </c>
      <c r="Y451" s="55">
        <v>4.93</v>
      </c>
      <c r="Z451" s="55">
        <v>0</v>
      </c>
      <c r="AA451" s="55">
        <v>4.2</v>
      </c>
      <c r="AB451" s="55">
        <v>3.38</v>
      </c>
      <c r="AC451" s="55">
        <v>2.87</v>
      </c>
      <c r="AD451" s="55">
        <v>3.7</v>
      </c>
      <c r="AE451" s="55">
        <v>3.3</v>
      </c>
      <c r="AF451" s="55">
        <v>3.7</v>
      </c>
      <c r="AG451" s="55">
        <v>3.91</v>
      </c>
      <c r="AH451" s="55">
        <v>3.1</v>
      </c>
      <c r="AI451" s="55">
        <v>3.4</v>
      </c>
      <c r="AJ451" s="55">
        <v>4.1500000000000004</v>
      </c>
      <c r="AK451" s="55">
        <v>3.4</v>
      </c>
      <c r="AL451" s="55">
        <v>3.43</v>
      </c>
      <c r="AM451" s="55">
        <v>0</v>
      </c>
      <c r="AN451" s="55">
        <v>0</v>
      </c>
      <c r="AO451" s="55">
        <v>0</v>
      </c>
      <c r="AP451" s="55">
        <v>0</v>
      </c>
      <c r="AQ451" s="55">
        <v>0</v>
      </c>
      <c r="AR451" s="8">
        <v>0</v>
      </c>
      <c r="AS451" s="8">
        <v>0</v>
      </c>
      <c r="AT451" s="8">
        <v>0</v>
      </c>
      <c r="AU451" s="50">
        <v>0</v>
      </c>
      <c r="AV451" s="50">
        <v>0</v>
      </c>
      <c r="AW451" s="50">
        <v>4.3600000000000003</v>
      </c>
      <c r="AX451" s="50">
        <v>0</v>
      </c>
      <c r="AY451" s="50">
        <v>0</v>
      </c>
      <c r="AZ451" s="50">
        <v>0</v>
      </c>
      <c r="BA451" s="50">
        <v>0</v>
      </c>
      <c r="BB451" s="50">
        <v>0</v>
      </c>
      <c r="BC451" s="55">
        <v>2.1</v>
      </c>
      <c r="BD451" s="55">
        <v>2.4</v>
      </c>
      <c r="BE451" s="11">
        <v>2.5390000000000001</v>
      </c>
      <c r="BF451" s="4">
        <v>0</v>
      </c>
      <c r="BG451" s="4">
        <v>1.77</v>
      </c>
      <c r="BH451" s="4">
        <v>1.77</v>
      </c>
      <c r="BI451" s="4">
        <v>1.796</v>
      </c>
      <c r="BJ451" s="13">
        <v>2.6880000000000002</v>
      </c>
      <c r="BK451" s="13">
        <v>1.8220000000000001</v>
      </c>
      <c r="BL451" s="4">
        <v>2.569</v>
      </c>
      <c r="BM451" s="16">
        <v>1.8560000000000001</v>
      </c>
      <c r="BN451" s="4">
        <v>2.08</v>
      </c>
      <c r="BO451" s="4">
        <v>0</v>
      </c>
      <c r="BP451" s="4">
        <v>0</v>
      </c>
      <c r="BQ451" s="4">
        <v>1.869</v>
      </c>
      <c r="BR451" s="4">
        <v>0</v>
      </c>
      <c r="BS451" s="55">
        <v>0</v>
      </c>
      <c r="BT451" s="4">
        <v>1.974</v>
      </c>
      <c r="BU451" s="4">
        <v>0</v>
      </c>
      <c r="BV451" s="4">
        <v>0</v>
      </c>
      <c r="BW451" s="4">
        <v>0</v>
      </c>
      <c r="BX451" s="4">
        <v>1.956</v>
      </c>
      <c r="BY451" s="4">
        <v>0</v>
      </c>
      <c r="BZ451" s="55">
        <v>0</v>
      </c>
      <c r="CA451" s="55">
        <v>0</v>
      </c>
      <c r="CB451" s="55">
        <v>0</v>
      </c>
      <c r="CC451" s="55">
        <v>0</v>
      </c>
      <c r="CD451" s="55">
        <v>2.0099999999999998</v>
      </c>
      <c r="CE451" s="19">
        <v>2.2999999999999998</v>
      </c>
      <c r="CF451" s="19">
        <v>0</v>
      </c>
      <c r="CG451" s="4">
        <v>2.08</v>
      </c>
      <c r="CH451" s="4">
        <v>2.42</v>
      </c>
      <c r="CI451" s="4">
        <v>1.83</v>
      </c>
      <c r="CJ451" s="34">
        <v>2.2999999999999998</v>
      </c>
      <c r="CK451" s="34">
        <v>0</v>
      </c>
      <c r="CL451" s="27">
        <v>0</v>
      </c>
      <c r="CM451" s="4">
        <v>1</v>
      </c>
      <c r="CN451" s="53">
        <v>1.5</v>
      </c>
      <c r="CO451" s="54">
        <v>1.6</v>
      </c>
      <c r="CP451" s="54">
        <v>0</v>
      </c>
      <c r="CQ451" s="4">
        <v>0</v>
      </c>
    </row>
    <row r="452" spans="1:95" s="55" customFormat="1" x14ac:dyDescent="0.35">
      <c r="A452" s="55">
        <v>451</v>
      </c>
      <c r="B452" s="55" t="s">
        <v>87</v>
      </c>
      <c r="C452" s="27" t="s">
        <v>164</v>
      </c>
      <c r="D452" s="50" t="s">
        <v>88</v>
      </c>
      <c r="E452" s="33" t="s">
        <v>89</v>
      </c>
      <c r="F452" s="4">
        <f>IFERROR(AVERAGEIF(Table1[[#This Row],[2019-Apr]:[2025-July]],"&lt;&gt;0"),0)</f>
        <v>0.75669230769230778</v>
      </c>
      <c r="G452" s="4">
        <f ca="1">IFERROR(AVERAGEIF(OFFSET(Table1[[#This Row],[Status]],0,COUNT(Table1[[#This Row],[2019-May]:[2025-July]]),1,-12),"&lt;&gt;0"),0)</f>
        <v>0.45</v>
      </c>
      <c r="H452" s="55">
        <f>IFERROR(SMALL(Table1[[#This Row],[2019-Apr]:[2025-July]],COUNTIF(Table1[[#This Row],[2019-Apr]:[2025-July]],0)+1),0)</f>
        <v>0.4</v>
      </c>
      <c r="I452" s="55">
        <f>IFERROR(MAX(Table1[[#This Row],[2019-Apr]:[2025-July]]),0)</f>
        <v>1.99</v>
      </c>
      <c r="J452" s="4" cm="1">
        <f t="array" ref="J45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0.47833333333333328</v>
      </c>
      <c r="K452" s="4">
        <v>4.5</v>
      </c>
      <c r="L452" s="4">
        <f>IF(Table1[[#This Row],[Standard as per ISO]]&gt;=Table1[[#This Row],[Avg of best 6]],Table1[[#This Row],[Standard as per ISO]],Table1[[#This Row],[Avg of best 6]])</f>
        <v>4.5</v>
      </c>
      <c r="M452" s="4" cm="1">
        <f t="array" ref="M452">IFERROR(LOOKUP(2,1/(Table1[[#This Row],[2019-May]:[2025-July]]&lt;&gt;0),Table1[[#This Row],[2019-May]:[2025-July]]),0)</f>
        <v>0.5</v>
      </c>
      <c r="N452" s="4">
        <f>COUNTIF(Table1[[#This Row],[2019-Apr]:[2025-July]],"&gt;="&amp;Table1[[#This Row],[Target]])</f>
        <v>0</v>
      </c>
      <c r="O452" s="4">
        <f>IF(Table1[[#This Row],[Outliers 2Y]]=0,1,0)</f>
        <v>1</v>
      </c>
      <c r="P452" s="4">
        <f>IF(Table1[[#This Row],[Last value]]&gt;1.5*Table1[[#This Row],[Target]],1,0)</f>
        <v>0</v>
      </c>
      <c r="Q452" s="4">
        <f>IF(AND(1.5*Table1[[#This Row],[Target]]&gt;=Table1[[#This Row],[Last value]],Table1[[#This Row],[Last value]]&gt;Table1[[#This Row],[Target]]),1,0)</f>
        <v>0</v>
      </c>
      <c r="R452" s="4">
        <f>IF(Table1[[#This Row],[Target]]&gt;=Table1[[#This Row],[Last value]],1,0)</f>
        <v>1</v>
      </c>
      <c r="S452" s="4" t="str">
        <f t="shared" si="9"/>
        <v>Green</v>
      </c>
      <c r="T452" s="55">
        <v>0</v>
      </c>
      <c r="U452" s="55">
        <v>0</v>
      </c>
      <c r="V452" s="55">
        <v>0</v>
      </c>
      <c r="W452" s="55">
        <v>0</v>
      </c>
      <c r="X452" s="55">
        <v>0</v>
      </c>
      <c r="Y452" s="55">
        <v>0</v>
      </c>
      <c r="Z452" s="55">
        <v>0</v>
      </c>
      <c r="AA452" s="55">
        <v>0</v>
      </c>
      <c r="AB452" s="55">
        <v>0</v>
      </c>
      <c r="AC452" s="55">
        <v>0</v>
      </c>
      <c r="AD452" s="55">
        <v>0</v>
      </c>
      <c r="AE452" s="55">
        <v>0</v>
      </c>
      <c r="AF452" s="55">
        <v>0</v>
      </c>
      <c r="AG452" s="55">
        <v>0</v>
      </c>
      <c r="AH452" s="55">
        <v>0</v>
      </c>
      <c r="AI452" s="55">
        <v>0</v>
      </c>
      <c r="AJ452" s="55">
        <v>0</v>
      </c>
      <c r="AK452" s="55">
        <v>0</v>
      </c>
      <c r="AL452" s="55">
        <v>0</v>
      </c>
      <c r="AM452" s="55">
        <v>0</v>
      </c>
      <c r="AN452" s="55">
        <v>0</v>
      </c>
      <c r="AO452" s="55">
        <v>0</v>
      </c>
      <c r="AP452" s="55">
        <v>0</v>
      </c>
      <c r="AQ452" s="55">
        <v>0</v>
      </c>
      <c r="AR452" s="8">
        <v>0</v>
      </c>
      <c r="AS452" s="8">
        <v>0</v>
      </c>
      <c r="AT452" s="8">
        <v>0</v>
      </c>
      <c r="AU452" s="50">
        <v>0</v>
      </c>
      <c r="AV452" s="50">
        <v>0</v>
      </c>
      <c r="AW452" s="50">
        <v>1.24</v>
      </c>
      <c r="AX452" s="50">
        <v>0</v>
      </c>
      <c r="AY452" s="50">
        <v>0</v>
      </c>
      <c r="AZ452" s="50">
        <v>0</v>
      </c>
      <c r="BA452" s="50">
        <v>0</v>
      </c>
      <c r="BB452" s="50">
        <v>0</v>
      </c>
      <c r="BC452" s="50">
        <v>0</v>
      </c>
      <c r="BD452" s="55">
        <v>0</v>
      </c>
      <c r="BE452" s="11">
        <v>0</v>
      </c>
      <c r="BF452" s="4">
        <v>0</v>
      </c>
      <c r="BG452" s="4">
        <v>1.99</v>
      </c>
      <c r="BH452" s="4">
        <v>0</v>
      </c>
      <c r="BI452" s="4">
        <v>0</v>
      </c>
      <c r="BJ452" s="14">
        <v>0</v>
      </c>
      <c r="BK452" s="14">
        <v>0.88700000000000001</v>
      </c>
      <c r="BL452" s="4">
        <v>0.626</v>
      </c>
      <c r="BM452" s="17">
        <v>0.67400000000000004</v>
      </c>
      <c r="BN452" s="4">
        <v>0</v>
      </c>
      <c r="BO452" s="4">
        <v>0</v>
      </c>
      <c r="BP452" s="4">
        <v>0</v>
      </c>
      <c r="BQ452" s="4">
        <v>0.93400000000000005</v>
      </c>
      <c r="BR452" s="4">
        <v>0</v>
      </c>
      <c r="BS452" s="55">
        <v>0</v>
      </c>
      <c r="BT452" s="4">
        <v>0.61599999999999999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55">
        <v>0.56999999999999995</v>
      </c>
      <c r="CA452" s="55">
        <v>0</v>
      </c>
      <c r="CB452" s="55">
        <v>0</v>
      </c>
      <c r="CC452" s="55">
        <v>0</v>
      </c>
      <c r="CD452" s="55">
        <v>0</v>
      </c>
      <c r="CE452" s="19">
        <v>0.4</v>
      </c>
      <c r="CF452" s="19">
        <v>0.5</v>
      </c>
      <c r="CG452" s="4">
        <v>0</v>
      </c>
      <c r="CH452" s="4">
        <v>0</v>
      </c>
      <c r="CI452" s="4">
        <v>0</v>
      </c>
      <c r="CJ452" s="34">
        <v>0</v>
      </c>
      <c r="CK452" s="34">
        <v>0.4</v>
      </c>
      <c r="CL452" s="27">
        <v>0.5</v>
      </c>
      <c r="CM452" s="4">
        <v>0</v>
      </c>
      <c r="CN452" s="53">
        <v>0</v>
      </c>
      <c r="CO452" s="54">
        <v>0</v>
      </c>
      <c r="CP452" s="54">
        <v>0</v>
      </c>
      <c r="CQ452" s="4">
        <v>0.5</v>
      </c>
    </row>
    <row r="453" spans="1:95" s="55" customFormat="1" x14ac:dyDescent="0.35">
      <c r="A453" s="55">
        <v>452</v>
      </c>
      <c r="B453" s="55" t="s">
        <v>87</v>
      </c>
      <c r="C453" s="27" t="s">
        <v>165</v>
      </c>
      <c r="D453" s="50" t="s">
        <v>88</v>
      </c>
      <c r="E453" s="33" t="s">
        <v>89</v>
      </c>
      <c r="F453" s="4">
        <f>IFERROR(AVERAGEIF(Table1[[#This Row],[2019-Apr]:[2025-July]],"&lt;&gt;0"),0)</f>
        <v>0.87601754385964936</v>
      </c>
      <c r="G453" s="4">
        <f ca="1">IFERROR(AVERAGEIF(OFFSET(Table1[[#This Row],[Status]],0,COUNT(Table1[[#This Row],[2019-May]:[2025-July]]),1,-12),"&lt;&gt;0"),0)</f>
        <v>0.65874999999999995</v>
      </c>
      <c r="H453" s="55">
        <f>IFERROR(SMALL(Table1[[#This Row],[2019-Apr]:[2025-July]],COUNTIF(Table1[[#This Row],[2019-Apr]:[2025-July]],0)+1),0)</f>
        <v>0.49</v>
      </c>
      <c r="I453" s="55">
        <f>IFERROR(MAX(Table1[[#This Row],[2019-Apr]:[2025-July]]),0)</f>
        <v>1.8</v>
      </c>
      <c r="J453" s="4" cm="1">
        <f t="array" ref="J45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0.51633333333333342</v>
      </c>
      <c r="K453" s="4">
        <v>4.5</v>
      </c>
      <c r="L453" s="4">
        <f>IF(Table1[[#This Row],[Standard as per ISO]]&gt;=Table1[[#This Row],[Avg of best 6]],Table1[[#This Row],[Standard as per ISO]],Table1[[#This Row],[Avg of best 6]])</f>
        <v>4.5</v>
      </c>
      <c r="M453" s="4" cm="1">
        <f t="array" ref="M453">IFERROR(LOOKUP(2,1/(Table1[[#This Row],[2019-May]:[2025-July]]&lt;&gt;0),Table1[[#This Row],[2019-May]:[2025-July]]),0)</f>
        <v>0.5</v>
      </c>
      <c r="N453" s="4">
        <f>COUNTIF(Table1[[#This Row],[2019-Apr]:[2025-July]],"&gt;="&amp;Table1[[#This Row],[Target]])</f>
        <v>0</v>
      </c>
      <c r="O453" s="4">
        <f>IF(Table1[[#This Row],[Outliers 2Y]]=0,1,0)</f>
        <v>1</v>
      </c>
      <c r="P453" s="4">
        <f>IF(Table1[[#This Row],[Last value]]&gt;1.5*Table1[[#This Row],[Target]],1,0)</f>
        <v>0</v>
      </c>
      <c r="Q453" s="4">
        <f>IF(AND(1.5*Table1[[#This Row],[Target]]&gt;=Table1[[#This Row],[Last value]],Table1[[#This Row],[Last value]]&gt;Table1[[#This Row],[Target]]),1,0)</f>
        <v>0</v>
      </c>
      <c r="R453" s="4">
        <f>IF(Table1[[#This Row],[Target]]&gt;=Table1[[#This Row],[Last value]],1,0)</f>
        <v>1</v>
      </c>
      <c r="S453" s="4" t="str">
        <f t="shared" si="9"/>
        <v>Green</v>
      </c>
      <c r="T453" s="55">
        <v>0</v>
      </c>
      <c r="U453" s="55">
        <v>0.76</v>
      </c>
      <c r="V453" s="55">
        <v>1.0900000000000001</v>
      </c>
      <c r="W453" s="55">
        <v>1.01</v>
      </c>
      <c r="X453" s="55">
        <v>0.97</v>
      </c>
      <c r="Y453" s="55">
        <v>0.67</v>
      </c>
      <c r="Z453" s="55">
        <v>0.7</v>
      </c>
      <c r="AA453" s="55">
        <v>0.65</v>
      </c>
      <c r="AB453" s="55">
        <v>0.81</v>
      </c>
      <c r="AC453" s="55">
        <v>0.6</v>
      </c>
      <c r="AD453" s="55">
        <v>0.78</v>
      </c>
      <c r="AE453" s="55">
        <v>0.7</v>
      </c>
      <c r="AF453" s="55">
        <v>0.7</v>
      </c>
      <c r="AG453" s="55">
        <v>0.74</v>
      </c>
      <c r="AH453" s="55">
        <v>1.8</v>
      </c>
      <c r="AI453" s="55">
        <v>1.3</v>
      </c>
      <c r="AJ453" s="55">
        <v>1.07</v>
      </c>
      <c r="AK453" s="55">
        <v>1.2</v>
      </c>
      <c r="AL453" s="55">
        <v>0.77</v>
      </c>
      <c r="AM453" s="55">
        <v>0.69</v>
      </c>
      <c r="AN453" s="55">
        <v>0.67</v>
      </c>
      <c r="AO453" s="55">
        <v>1.73</v>
      </c>
      <c r="AP453" s="55">
        <v>1.22</v>
      </c>
      <c r="AQ453" s="55">
        <v>1.8</v>
      </c>
      <c r="AR453" s="8">
        <v>1.78</v>
      </c>
      <c r="AS453" s="8">
        <v>0</v>
      </c>
      <c r="AT453" s="8">
        <v>1.26</v>
      </c>
      <c r="AU453" s="50">
        <v>1.32</v>
      </c>
      <c r="AV453" s="50">
        <v>1.2</v>
      </c>
      <c r="AW453" s="50">
        <v>0</v>
      </c>
      <c r="AX453" s="50">
        <v>0.97</v>
      </c>
      <c r="AY453" s="50">
        <v>0.97</v>
      </c>
      <c r="AZ453" s="50">
        <v>0.91400000000000003</v>
      </c>
      <c r="BA453" s="50">
        <v>0.6</v>
      </c>
      <c r="BB453" s="50">
        <v>0.6</v>
      </c>
      <c r="BC453" s="55">
        <v>0.8</v>
      </c>
      <c r="BD453" s="55">
        <v>0.5</v>
      </c>
      <c r="BE453" s="11">
        <v>0.87</v>
      </c>
      <c r="BF453" s="4">
        <v>0</v>
      </c>
      <c r="BG453" s="4">
        <v>0.7</v>
      </c>
      <c r="BH453" s="4">
        <v>0.7</v>
      </c>
      <c r="BI453" s="4">
        <v>0</v>
      </c>
      <c r="BJ453" s="13">
        <v>0.89</v>
      </c>
      <c r="BK453" s="13">
        <v>1.048</v>
      </c>
      <c r="BL453" s="4">
        <v>0</v>
      </c>
      <c r="BM453" s="16">
        <v>0</v>
      </c>
      <c r="BN453" s="4">
        <v>0.54800000000000004</v>
      </c>
      <c r="BO453" s="4">
        <v>0</v>
      </c>
      <c r="BP453" s="4">
        <v>0</v>
      </c>
      <c r="BQ453" s="4">
        <v>0.67</v>
      </c>
      <c r="BR453" s="4">
        <v>0</v>
      </c>
      <c r="BS453" s="55">
        <v>0</v>
      </c>
      <c r="BT453" s="4">
        <v>0.60499999999999998</v>
      </c>
      <c r="BU453" s="4">
        <v>0</v>
      </c>
      <c r="BV453" s="4">
        <v>0.70599999999999996</v>
      </c>
      <c r="BW453" s="4">
        <v>0</v>
      </c>
      <c r="BX453" s="4">
        <v>0</v>
      </c>
      <c r="BY453" s="4">
        <v>1.1020000000000001</v>
      </c>
      <c r="BZ453" s="55">
        <v>0.56000000000000005</v>
      </c>
      <c r="CA453" s="55">
        <v>0.79</v>
      </c>
      <c r="CB453" s="55">
        <v>0.75</v>
      </c>
      <c r="CC453" s="55">
        <v>0.56999999999999995</v>
      </c>
      <c r="CD453" s="55">
        <v>0.81</v>
      </c>
      <c r="CE453" s="19">
        <v>0</v>
      </c>
      <c r="CF453" s="19">
        <v>0</v>
      </c>
      <c r="CG453" s="4">
        <v>0.78</v>
      </c>
      <c r="CH453" s="4">
        <v>0.49</v>
      </c>
      <c r="CI453" s="4">
        <v>0.6</v>
      </c>
      <c r="CJ453" s="34">
        <v>0.8</v>
      </c>
      <c r="CK453" s="34">
        <v>0</v>
      </c>
      <c r="CL453" s="27">
        <v>0</v>
      </c>
      <c r="CM453" s="4">
        <v>1</v>
      </c>
      <c r="CN453" s="53">
        <v>0.6</v>
      </c>
      <c r="CO453" s="54">
        <v>0.5</v>
      </c>
      <c r="CP453" s="54">
        <v>0.5</v>
      </c>
      <c r="CQ453" s="4">
        <v>0</v>
      </c>
    </row>
    <row r="454" spans="1:95" s="55" customFormat="1" x14ac:dyDescent="0.35">
      <c r="A454" s="55">
        <v>453</v>
      </c>
      <c r="B454" s="55" t="s">
        <v>87</v>
      </c>
      <c r="C454" s="27" t="s">
        <v>166</v>
      </c>
      <c r="D454" s="50" t="s">
        <v>88</v>
      </c>
      <c r="E454" s="33" t="s">
        <v>89</v>
      </c>
      <c r="F454" s="4">
        <f>IFERROR(AVERAGEIF(Table1[[#This Row],[2019-Apr]:[2025-July]],"&lt;&gt;0"),0)</f>
        <v>1.5941176470588234</v>
      </c>
      <c r="G454" s="4">
        <f ca="1">IFERROR(AVERAGEIF(OFFSET(Table1[[#This Row],[Status]],0,COUNT(Table1[[#This Row],[2019-May]:[2025-July]]),1,-12),"&lt;&gt;0"),0)</f>
        <v>1.8016666666666667</v>
      </c>
      <c r="H454" s="55">
        <f>IFERROR(SMALL(Table1[[#This Row],[2019-Apr]:[2025-July]],COUNTIF(Table1[[#This Row],[2019-Apr]:[2025-July]],0)+1),0)</f>
        <v>1.08</v>
      </c>
      <c r="I454" s="55">
        <f>IFERROR(MAX(Table1[[#This Row],[2019-Apr]:[2025-July]]),0)</f>
        <v>2.11</v>
      </c>
      <c r="J454" s="4" cm="1">
        <f t="array" ref="J45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1.3333333333333333</v>
      </c>
      <c r="K454" s="4">
        <v>4.5</v>
      </c>
      <c r="L454" s="4">
        <f>IF(Table1[[#This Row],[Standard as per ISO]]&gt;=Table1[[#This Row],[Avg of best 6]],Table1[[#This Row],[Standard as per ISO]],Table1[[#This Row],[Avg of best 6]])</f>
        <v>4.5</v>
      </c>
      <c r="M454" s="4" cm="1">
        <f t="array" ref="M454">IFERROR(LOOKUP(2,1/(Table1[[#This Row],[2019-May]:[2025-July]]&lt;&gt;0),Table1[[#This Row],[2019-May]:[2025-July]]),0)</f>
        <v>1.8</v>
      </c>
      <c r="N454" s="4">
        <f>COUNTIF(Table1[[#This Row],[2019-Apr]:[2025-July]],"&gt;="&amp;Table1[[#This Row],[Target]])</f>
        <v>0</v>
      </c>
      <c r="O454" s="4">
        <f>IF(Table1[[#This Row],[Outliers 2Y]]=0,1,0)</f>
        <v>1</v>
      </c>
      <c r="P454" s="4">
        <f>IF(Table1[[#This Row],[Last value]]&gt;1.5*Table1[[#This Row],[Target]],1,0)</f>
        <v>0</v>
      </c>
      <c r="Q454" s="4">
        <f>IF(AND(1.5*Table1[[#This Row],[Target]]&gt;=Table1[[#This Row],[Last value]],Table1[[#This Row],[Last value]]&gt;Table1[[#This Row],[Target]]),1,0)</f>
        <v>0</v>
      </c>
      <c r="R454" s="4">
        <f>IF(Table1[[#This Row],[Target]]&gt;=Table1[[#This Row],[Last value]],1,0)</f>
        <v>1</v>
      </c>
      <c r="S454" s="4" t="str">
        <f t="shared" si="9"/>
        <v>Green</v>
      </c>
      <c r="T454" s="55">
        <v>0</v>
      </c>
      <c r="U454" s="55">
        <v>0</v>
      </c>
      <c r="V454" s="55">
        <v>0</v>
      </c>
      <c r="W454" s="55">
        <v>0</v>
      </c>
      <c r="X454" s="55">
        <v>0</v>
      </c>
      <c r="Y454" s="55">
        <v>0</v>
      </c>
      <c r="Z454" s="55">
        <v>0</v>
      </c>
      <c r="AA454" s="55">
        <v>0</v>
      </c>
      <c r="AB454" s="55">
        <v>0</v>
      </c>
      <c r="AC454" s="55">
        <v>0</v>
      </c>
      <c r="AD454" s="55">
        <v>0</v>
      </c>
      <c r="AE454" s="55">
        <v>0</v>
      </c>
      <c r="AF454" s="55">
        <v>0</v>
      </c>
      <c r="AG454" s="55">
        <v>0</v>
      </c>
      <c r="AH454" s="55">
        <v>0</v>
      </c>
      <c r="AI454" s="55">
        <v>0</v>
      </c>
      <c r="AJ454" s="55">
        <v>0</v>
      </c>
      <c r="AK454" s="55">
        <v>0</v>
      </c>
      <c r="AL454" s="55">
        <v>0</v>
      </c>
      <c r="AM454" s="55">
        <v>0</v>
      </c>
      <c r="AN454" s="55">
        <v>0</v>
      </c>
      <c r="AO454" s="55">
        <v>0</v>
      </c>
      <c r="AP454" s="55">
        <v>1.4</v>
      </c>
      <c r="AQ454" s="55">
        <v>0</v>
      </c>
      <c r="AR454" s="8">
        <v>1.53</v>
      </c>
      <c r="AS454" s="8">
        <v>0</v>
      </c>
      <c r="AT454" s="8">
        <v>1.08</v>
      </c>
      <c r="AU454" s="50">
        <v>1.22</v>
      </c>
      <c r="AV454" s="50">
        <v>1.75</v>
      </c>
      <c r="AW454" s="50">
        <v>1.42</v>
      </c>
      <c r="AX454" s="50">
        <v>0</v>
      </c>
      <c r="AY454" s="50">
        <v>1.62</v>
      </c>
      <c r="AZ454" s="50">
        <v>1.51</v>
      </c>
      <c r="BA454" s="50">
        <v>0</v>
      </c>
      <c r="BB454" s="50">
        <v>0</v>
      </c>
      <c r="BC454" s="50">
        <v>0</v>
      </c>
      <c r="BD454" s="55">
        <v>0</v>
      </c>
      <c r="BE454" s="11">
        <v>0</v>
      </c>
      <c r="BF454" s="4">
        <v>0</v>
      </c>
      <c r="BG454" s="4">
        <v>0</v>
      </c>
      <c r="BH454" s="4">
        <v>0</v>
      </c>
      <c r="BI454" s="4">
        <v>0</v>
      </c>
      <c r="BJ454" s="14">
        <v>0</v>
      </c>
      <c r="BK454" s="14">
        <v>0</v>
      </c>
      <c r="BL454" s="4">
        <v>1.48</v>
      </c>
      <c r="BM454" s="17">
        <v>1.48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55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55">
        <v>0</v>
      </c>
      <c r="CA454" s="55">
        <v>0</v>
      </c>
      <c r="CB454" s="55">
        <v>0</v>
      </c>
      <c r="CC454" s="55">
        <v>0</v>
      </c>
      <c r="CD454" s="55">
        <v>0</v>
      </c>
      <c r="CE454" s="19">
        <v>1.7</v>
      </c>
      <c r="CF454" s="19">
        <v>1.9</v>
      </c>
      <c r="CG454" s="4">
        <v>0</v>
      </c>
      <c r="CH454" s="4">
        <v>0</v>
      </c>
      <c r="CI454" s="4">
        <v>2.11</v>
      </c>
      <c r="CJ454" s="34">
        <v>0</v>
      </c>
      <c r="CK454" s="34">
        <v>0</v>
      </c>
      <c r="CL454" s="27">
        <v>1.4</v>
      </c>
      <c r="CM454" s="4">
        <v>0</v>
      </c>
      <c r="CN454" s="53">
        <v>1.9</v>
      </c>
      <c r="CO454" s="54">
        <v>1.8</v>
      </c>
      <c r="CP454" s="54">
        <v>0</v>
      </c>
      <c r="CQ454" s="4">
        <v>1.8</v>
      </c>
    </row>
    <row r="455" spans="1:95" s="55" customFormat="1" x14ac:dyDescent="0.35">
      <c r="A455" s="55">
        <v>454</v>
      </c>
      <c r="B455" s="55" t="s">
        <v>87</v>
      </c>
      <c r="C455" s="27" t="s">
        <v>167</v>
      </c>
      <c r="D455" s="50" t="s">
        <v>88</v>
      </c>
      <c r="E455" s="33" t="s">
        <v>89</v>
      </c>
      <c r="F455" s="4">
        <f>IFERROR(AVERAGEIF(Table1[[#This Row],[2019-Apr]:[2025-July]],"&lt;&gt;0"),0)</f>
        <v>1.67374</v>
      </c>
      <c r="G455" s="4">
        <f ca="1">IFERROR(AVERAGEIF(OFFSET(Table1[[#This Row],[Status]],0,COUNT(Table1[[#This Row],[2019-May]:[2025-July]]),1,-12),"&lt;&gt;0"),0)</f>
        <v>1.3433333333333335</v>
      </c>
      <c r="H455" s="55">
        <f>IFERROR(SMALL(Table1[[#This Row],[2019-Apr]:[2025-July]],COUNTIF(Table1[[#This Row],[2019-Apr]:[2025-July]],0)+1),0)</f>
        <v>0.8</v>
      </c>
      <c r="I455" s="55">
        <f>IFERROR(MAX(Table1[[#This Row],[2019-Apr]:[2025-July]]),0)</f>
        <v>3.0219999999999998</v>
      </c>
      <c r="J455" s="4" cm="1">
        <f t="array" ref="J45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0.97000000000000008</v>
      </c>
      <c r="K455" s="4">
        <v>4.5</v>
      </c>
      <c r="L455" s="4">
        <f>IF(Table1[[#This Row],[Standard as per ISO]]&gt;=Table1[[#This Row],[Avg of best 6]],Table1[[#This Row],[Standard as per ISO]],Table1[[#This Row],[Avg of best 6]])</f>
        <v>4.5</v>
      </c>
      <c r="M455" s="4" cm="1">
        <f t="array" ref="M455">IFERROR(LOOKUP(2,1/(Table1[[#This Row],[2019-May]:[2025-July]]&lt;&gt;0),Table1[[#This Row],[2019-May]:[2025-July]]),0)</f>
        <v>1</v>
      </c>
      <c r="N455" s="4">
        <f>COUNTIF(Table1[[#This Row],[2019-Apr]:[2025-July]],"&gt;="&amp;Table1[[#This Row],[Target]])</f>
        <v>0</v>
      </c>
      <c r="O455" s="4">
        <f>IF(Table1[[#This Row],[Outliers 2Y]]=0,1,0)</f>
        <v>1</v>
      </c>
      <c r="P455" s="4">
        <f>IF(Table1[[#This Row],[Last value]]&gt;1.5*Table1[[#This Row],[Target]],1,0)</f>
        <v>0</v>
      </c>
      <c r="Q455" s="4">
        <f>IF(AND(1.5*Table1[[#This Row],[Target]]&gt;=Table1[[#This Row],[Last value]],Table1[[#This Row],[Last value]]&gt;Table1[[#This Row],[Target]]),1,0)</f>
        <v>0</v>
      </c>
      <c r="R455" s="4">
        <f>IF(Table1[[#This Row],[Target]]&gt;=Table1[[#This Row],[Last value]],1,0)</f>
        <v>1</v>
      </c>
      <c r="S455" s="4" t="str">
        <f t="shared" si="9"/>
        <v>Green</v>
      </c>
      <c r="T455" s="55">
        <v>0</v>
      </c>
      <c r="U455" s="55">
        <v>1.69</v>
      </c>
      <c r="V455" s="55">
        <v>1.32</v>
      </c>
      <c r="W455" s="55">
        <v>1.31</v>
      </c>
      <c r="X455" s="55">
        <v>1.79</v>
      </c>
      <c r="Y455" s="55">
        <v>1.6</v>
      </c>
      <c r="Z455" s="55">
        <v>1.6</v>
      </c>
      <c r="AA455" s="55">
        <v>1.33</v>
      </c>
      <c r="AB455" s="55">
        <v>2</v>
      </c>
      <c r="AC455" s="55">
        <v>1.6</v>
      </c>
      <c r="AD455" s="55">
        <v>0.8</v>
      </c>
      <c r="AE455" s="55">
        <v>1.3</v>
      </c>
      <c r="AF455" s="55">
        <v>1.1000000000000001</v>
      </c>
      <c r="AG455" s="55">
        <v>1.02</v>
      </c>
      <c r="AH455" s="55">
        <v>1</v>
      </c>
      <c r="AI455" s="55">
        <v>1.1499999999999999</v>
      </c>
      <c r="AJ455" s="55">
        <v>1</v>
      </c>
      <c r="AK455" s="55">
        <v>1.05</v>
      </c>
      <c r="AL455" s="55">
        <v>1.37</v>
      </c>
      <c r="AM455" s="55">
        <v>1.18</v>
      </c>
      <c r="AN455" s="55">
        <v>1.6</v>
      </c>
      <c r="AO455" s="55">
        <v>1.35</v>
      </c>
      <c r="AP455" s="55">
        <v>0</v>
      </c>
      <c r="AQ455" s="55">
        <v>1.93</v>
      </c>
      <c r="AR455" s="8">
        <v>0</v>
      </c>
      <c r="AS455" s="8">
        <v>0</v>
      </c>
      <c r="AT455" s="8">
        <v>0</v>
      </c>
      <c r="AU455" s="50">
        <v>0</v>
      </c>
      <c r="AV455" s="50">
        <v>0</v>
      </c>
      <c r="AW455" s="50">
        <v>0</v>
      </c>
      <c r="AX455" s="50">
        <v>1.99</v>
      </c>
      <c r="AY455" s="50">
        <v>0</v>
      </c>
      <c r="AZ455" s="50">
        <v>0</v>
      </c>
      <c r="BA455" s="50">
        <v>1.9</v>
      </c>
      <c r="BB455" s="50">
        <v>1.9</v>
      </c>
      <c r="BC455" s="55">
        <v>2.1</v>
      </c>
      <c r="BD455" s="55">
        <v>1.8</v>
      </c>
      <c r="BE455" s="11">
        <v>2.278</v>
      </c>
      <c r="BF455" s="4">
        <v>0</v>
      </c>
      <c r="BG455" s="4">
        <v>2.17</v>
      </c>
      <c r="BH455" s="4">
        <v>2.1190000000000002</v>
      </c>
      <c r="BI455" s="4">
        <v>1.998</v>
      </c>
      <c r="BJ455" s="13">
        <v>2.5529999999999999</v>
      </c>
      <c r="BK455" s="13">
        <v>3.0219999999999998</v>
      </c>
      <c r="BL455" s="4">
        <v>2.77</v>
      </c>
      <c r="BM455" s="16">
        <v>0</v>
      </c>
      <c r="BN455" s="4">
        <v>1.7030000000000001</v>
      </c>
      <c r="BO455" s="4">
        <v>2.2029999999999998</v>
      </c>
      <c r="BP455" s="4">
        <v>2.169</v>
      </c>
      <c r="BQ455" s="4">
        <v>0</v>
      </c>
      <c r="BR455" s="4">
        <v>1.92</v>
      </c>
      <c r="BS455" s="55">
        <v>1.385</v>
      </c>
      <c r="BT455" s="4">
        <v>1.294</v>
      </c>
      <c r="BU455" s="4">
        <v>0</v>
      </c>
      <c r="BV455" s="4">
        <v>1.593</v>
      </c>
      <c r="BW455" s="4">
        <v>0</v>
      </c>
      <c r="BX455" s="4">
        <v>0</v>
      </c>
      <c r="BY455" s="4">
        <v>1.79</v>
      </c>
      <c r="BZ455" s="55">
        <v>2.67</v>
      </c>
      <c r="CA455" s="55">
        <v>0</v>
      </c>
      <c r="CB455" s="55">
        <v>0</v>
      </c>
      <c r="CC455" s="55">
        <v>2.21</v>
      </c>
      <c r="CD455" s="55">
        <v>0</v>
      </c>
      <c r="CE455" s="19">
        <v>0</v>
      </c>
      <c r="CF455" s="19">
        <v>0</v>
      </c>
      <c r="CG455" s="4">
        <v>0</v>
      </c>
      <c r="CH455" s="4">
        <v>1.36</v>
      </c>
      <c r="CI455" s="4">
        <v>0</v>
      </c>
      <c r="CJ455" s="34">
        <v>1.5</v>
      </c>
      <c r="CK455" s="34">
        <v>1.6</v>
      </c>
      <c r="CL455" s="27">
        <v>0</v>
      </c>
      <c r="CM455" s="4">
        <v>1</v>
      </c>
      <c r="CN455" s="53">
        <v>0</v>
      </c>
      <c r="CO455" s="54">
        <v>1.6</v>
      </c>
      <c r="CP455" s="54">
        <v>1</v>
      </c>
      <c r="CQ455" s="4">
        <v>0</v>
      </c>
    </row>
    <row r="456" spans="1:95" s="55" customFormat="1" x14ac:dyDescent="0.35">
      <c r="A456" s="55">
        <v>455</v>
      </c>
      <c r="B456" s="55" t="s">
        <v>87</v>
      </c>
      <c r="C456" s="27" t="s">
        <v>168</v>
      </c>
      <c r="D456" s="50" t="s">
        <v>88</v>
      </c>
      <c r="E456" s="33" t="s">
        <v>91</v>
      </c>
      <c r="F456" s="4">
        <f>IFERROR(AVERAGEIF(Table1[[#This Row],[2019-Apr]:[2025-July]],"&lt;&gt;0"),0)</f>
        <v>2.8149074074074076</v>
      </c>
      <c r="G456" s="4">
        <f ca="1">IFERROR(AVERAGEIF(OFFSET(Table1[[#This Row],[Status]],0,COUNT(Table1[[#This Row],[2019-May]:[2025-July]]),1,-12),"&lt;&gt;0"),0)</f>
        <v>3.2333333333333329</v>
      </c>
      <c r="H456" s="55">
        <f>IFERROR(SMALL(Table1[[#This Row],[2019-Apr]:[2025-July]],COUNTIF(Table1[[#This Row],[2019-Apr]:[2025-July]],0)+1),0)</f>
        <v>0.7</v>
      </c>
      <c r="I456" s="55">
        <f>IFERROR(MAX(Table1[[#This Row],[2019-Apr]:[2025-July]]),0)</f>
        <v>4.7</v>
      </c>
      <c r="J456" s="4" cm="1">
        <f t="array" ref="J45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0.90083333333333326</v>
      </c>
      <c r="K456" s="4">
        <v>4.5</v>
      </c>
      <c r="L456" s="4">
        <f>IF(Table1[[#This Row],[Standard as per ISO]]&gt;=Table1[[#This Row],[Avg of best 6]],Table1[[#This Row],[Standard as per ISO]],Table1[[#This Row],[Avg of best 6]])</f>
        <v>4.5</v>
      </c>
      <c r="M456" s="4" cm="1">
        <f t="array" ref="M456">IFERROR(LOOKUP(2,1/(Table1[[#This Row],[2019-May]:[2025-July]]&lt;&gt;0),Table1[[#This Row],[2019-May]:[2025-July]]),0)</f>
        <v>4.7</v>
      </c>
      <c r="N456" s="4">
        <f>COUNTIF(Table1[[#This Row],[2019-Apr]:[2025-July]],"&gt;="&amp;Table1[[#This Row],[Target]])</f>
        <v>2</v>
      </c>
      <c r="O456" s="4">
        <f>IF(Table1[[#This Row],[Outliers 2Y]]=0,1,0)</f>
        <v>0</v>
      </c>
      <c r="P456" s="4">
        <f>IF(Table1[[#This Row],[Last value]]&gt;1.5*Table1[[#This Row],[Target]],1,0)</f>
        <v>0</v>
      </c>
      <c r="Q456" s="4">
        <f>IF(AND(1.5*Table1[[#This Row],[Target]]&gt;=Table1[[#This Row],[Last value]],Table1[[#This Row],[Last value]]&gt;Table1[[#This Row],[Target]]),1,0)</f>
        <v>1</v>
      </c>
      <c r="R456" s="4">
        <f>IF(Table1[[#This Row],[Target]]&gt;=Table1[[#This Row],[Last value]],1,0)</f>
        <v>0</v>
      </c>
      <c r="S456" s="4" t="str">
        <f t="shared" si="9"/>
        <v>Yellow</v>
      </c>
      <c r="T456" s="55">
        <v>0</v>
      </c>
      <c r="U456" s="55">
        <v>2.75</v>
      </c>
      <c r="V456" s="55">
        <v>2.82</v>
      </c>
      <c r="W456" s="55">
        <v>2.71</v>
      </c>
      <c r="X456" s="55">
        <v>3.29</v>
      </c>
      <c r="Y456" s="55">
        <v>4.5599999999999996</v>
      </c>
      <c r="Z456" s="55">
        <v>1.8</v>
      </c>
      <c r="AA456" s="55">
        <v>1.6</v>
      </c>
      <c r="AB456" s="55">
        <v>2.84</v>
      </c>
      <c r="AC456" s="55">
        <v>0.85</v>
      </c>
      <c r="AD456" s="55">
        <v>2.65</v>
      </c>
      <c r="AE456" s="55">
        <v>3.4</v>
      </c>
      <c r="AF456" s="55">
        <v>3.3</v>
      </c>
      <c r="AG456" s="55">
        <v>0</v>
      </c>
      <c r="AH456" s="55">
        <v>1.3</v>
      </c>
      <c r="AI456" s="55">
        <v>2.77</v>
      </c>
      <c r="AJ456" s="55">
        <v>3.7</v>
      </c>
      <c r="AK456" s="55">
        <v>0</v>
      </c>
      <c r="AL456" s="55">
        <v>3.41</v>
      </c>
      <c r="AM456" s="55">
        <v>3.26</v>
      </c>
      <c r="AN456" s="55">
        <v>0</v>
      </c>
      <c r="AO456" s="55">
        <v>3.85</v>
      </c>
      <c r="AP456" s="55">
        <v>2.8</v>
      </c>
      <c r="AQ456" s="55">
        <v>1.31</v>
      </c>
      <c r="AR456" s="8">
        <v>2.93</v>
      </c>
      <c r="AS456" s="8">
        <v>3.63</v>
      </c>
      <c r="AT456" s="8">
        <v>0</v>
      </c>
      <c r="AU456" s="50">
        <v>4.21</v>
      </c>
      <c r="AV456" s="50">
        <v>3.35</v>
      </c>
      <c r="AW456" s="50">
        <v>1.44</v>
      </c>
      <c r="AX456" s="50">
        <v>3.5</v>
      </c>
      <c r="AY456" s="50">
        <v>3.13</v>
      </c>
      <c r="AZ456" s="50">
        <v>4.09</v>
      </c>
      <c r="BA456" s="50">
        <v>0.7</v>
      </c>
      <c r="BB456" s="50">
        <v>3.9</v>
      </c>
      <c r="BC456" s="55">
        <v>3.5</v>
      </c>
      <c r="BD456" s="55">
        <v>3.9</v>
      </c>
      <c r="BE456" s="11">
        <v>2.335</v>
      </c>
      <c r="BF456" s="4">
        <v>0</v>
      </c>
      <c r="BG456" s="4">
        <v>1</v>
      </c>
      <c r="BH456" s="4">
        <v>1.036</v>
      </c>
      <c r="BI456" s="4">
        <v>1.036</v>
      </c>
      <c r="BJ456" s="14">
        <v>2.843</v>
      </c>
      <c r="BK456" s="14">
        <v>0.78300000000000003</v>
      </c>
      <c r="BL456" s="4">
        <v>2.8639999999999999</v>
      </c>
      <c r="BM456" s="17">
        <v>3.536</v>
      </c>
      <c r="BN456" s="4">
        <v>2.8730000000000002</v>
      </c>
      <c r="BO456" s="4">
        <v>3.1280000000000001</v>
      </c>
      <c r="BP456" s="4">
        <v>3.117</v>
      </c>
      <c r="BQ456" s="4">
        <v>3.5459999999999998</v>
      </c>
      <c r="BR456" s="4">
        <v>2.843</v>
      </c>
      <c r="BS456" s="55">
        <v>3.5009999999999999</v>
      </c>
      <c r="BT456" s="4">
        <v>3.0939999999999999</v>
      </c>
      <c r="BU456" s="4">
        <v>2.6909999999999998</v>
      </c>
      <c r="BV456" s="4">
        <v>2.778</v>
      </c>
      <c r="BW456" s="4">
        <v>2.83</v>
      </c>
      <c r="BX456" s="4">
        <v>3.2210000000000001</v>
      </c>
      <c r="BY456" s="4">
        <v>0</v>
      </c>
      <c r="BZ456" s="55">
        <v>0</v>
      </c>
      <c r="CA456" s="55">
        <v>0</v>
      </c>
      <c r="CB456" s="55">
        <v>0</v>
      </c>
      <c r="CC456" s="55">
        <v>0</v>
      </c>
      <c r="CD456" s="55">
        <v>0</v>
      </c>
      <c r="CE456" s="19">
        <v>2.1</v>
      </c>
      <c r="CF456" s="19">
        <v>2.9</v>
      </c>
      <c r="CG456" s="4">
        <v>0</v>
      </c>
      <c r="CH456" s="4">
        <v>0</v>
      </c>
      <c r="CI456" s="4">
        <v>4.7</v>
      </c>
      <c r="CJ456" s="34">
        <v>0</v>
      </c>
      <c r="CK456" s="34">
        <v>0</v>
      </c>
      <c r="CL456" s="34">
        <v>0</v>
      </c>
      <c r="CM456" s="4">
        <v>0</v>
      </c>
      <c r="CN456" s="53">
        <v>0</v>
      </c>
      <c r="CO456" s="54">
        <v>0</v>
      </c>
      <c r="CP456" s="54">
        <v>0</v>
      </c>
      <c r="CQ456" s="4">
        <v>0</v>
      </c>
    </row>
    <row r="457" spans="1:95" s="55" customFormat="1" x14ac:dyDescent="0.35">
      <c r="A457" s="55">
        <v>456</v>
      </c>
      <c r="B457" s="55" t="s">
        <v>87</v>
      </c>
      <c r="C457" s="27" t="s">
        <v>169</v>
      </c>
      <c r="D457" s="50" t="s">
        <v>88</v>
      </c>
      <c r="E457" s="33" t="s">
        <v>91</v>
      </c>
      <c r="F457" s="4">
        <f>IFERROR(AVERAGEIF(Table1[[#This Row],[2019-Apr]:[2025-July]],"&lt;&gt;0"),0)</f>
        <v>1.7055094339622641</v>
      </c>
      <c r="G457" s="4">
        <f ca="1">IFERROR(AVERAGEIF(OFFSET(Table1[[#This Row],[Status]],0,COUNT(Table1[[#This Row],[2019-May]:[2025-July]]),1,-12),"&lt;&gt;0"),0)</f>
        <v>1.2700000000000002</v>
      </c>
      <c r="H457" s="55">
        <f>IFERROR(SMALL(Table1[[#This Row],[2019-Apr]:[2025-July]],COUNTIF(Table1[[#This Row],[2019-Apr]:[2025-July]],0)+1),0)</f>
        <v>0.64800000000000002</v>
      </c>
      <c r="I457" s="55">
        <f>IFERROR(MAX(Table1[[#This Row],[2019-Apr]:[2025-July]]),0)</f>
        <v>4.41</v>
      </c>
      <c r="J457" s="4" cm="1">
        <f t="array" ref="J45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0.72966666666666669</v>
      </c>
      <c r="K457" s="4">
        <v>4.5</v>
      </c>
      <c r="L457" s="4">
        <f>IF(Table1[[#This Row],[Standard as per ISO]]&gt;=Table1[[#This Row],[Avg of best 6]],Table1[[#This Row],[Standard as per ISO]],Table1[[#This Row],[Avg of best 6]])</f>
        <v>4.5</v>
      </c>
      <c r="M457" s="4" cm="1">
        <f t="array" ref="M457">IFERROR(LOOKUP(2,1/(Table1[[#This Row],[2019-May]:[2025-July]]&lt;&gt;0),Table1[[#This Row],[2019-May]:[2025-July]]),0)</f>
        <v>1.41</v>
      </c>
      <c r="N457" s="4">
        <f>COUNTIF(Table1[[#This Row],[2019-Apr]:[2025-July]],"&gt;="&amp;Table1[[#This Row],[Target]])</f>
        <v>0</v>
      </c>
      <c r="O457" s="4">
        <f>IF(Table1[[#This Row],[Outliers 2Y]]=0,1,0)</f>
        <v>1</v>
      </c>
      <c r="P457" s="4">
        <f>IF(Table1[[#This Row],[Last value]]&gt;1.5*Table1[[#This Row],[Target]],1,0)</f>
        <v>0</v>
      </c>
      <c r="Q457" s="4">
        <f>IF(AND(1.5*Table1[[#This Row],[Target]]&gt;=Table1[[#This Row],[Last value]],Table1[[#This Row],[Last value]]&gt;Table1[[#This Row],[Target]]),1,0)</f>
        <v>0</v>
      </c>
      <c r="R457" s="4">
        <f>IF(Table1[[#This Row],[Target]]&gt;=Table1[[#This Row],[Last value]],1,0)</f>
        <v>1</v>
      </c>
      <c r="S457" s="4" t="str">
        <f t="shared" si="9"/>
        <v>Green</v>
      </c>
      <c r="T457" s="55">
        <v>0</v>
      </c>
      <c r="U457" s="55">
        <v>3.42</v>
      </c>
      <c r="V457" s="55">
        <v>2.76</v>
      </c>
      <c r="W457" s="55">
        <v>2.77</v>
      </c>
      <c r="X457" s="55">
        <v>3.3</v>
      </c>
      <c r="Y457" s="55">
        <v>1.56</v>
      </c>
      <c r="Z457" s="55">
        <v>3.4</v>
      </c>
      <c r="AA457" s="55">
        <v>2.5</v>
      </c>
      <c r="AB457" s="55">
        <v>1.38</v>
      </c>
      <c r="AC457" s="55">
        <v>2.86</v>
      </c>
      <c r="AD457" s="55">
        <v>1.1599999999999999</v>
      </c>
      <c r="AE457" s="55">
        <v>1</v>
      </c>
      <c r="AF457" s="55">
        <v>1.21</v>
      </c>
      <c r="AG457" s="55">
        <v>0</v>
      </c>
      <c r="AH457" s="55">
        <v>2.2000000000000002</v>
      </c>
      <c r="AI457" s="55">
        <v>1.1499999999999999</v>
      </c>
      <c r="AJ457" s="55">
        <v>3.13</v>
      </c>
      <c r="AK457" s="55">
        <v>0</v>
      </c>
      <c r="AL457" s="55">
        <v>1.1499999999999999</v>
      </c>
      <c r="AM457" s="55">
        <v>1.1100000000000001</v>
      </c>
      <c r="AN457" s="55">
        <v>0</v>
      </c>
      <c r="AO457" s="55">
        <v>1.1599999999999999</v>
      </c>
      <c r="AP457" s="55">
        <v>1.19</v>
      </c>
      <c r="AQ457" s="55">
        <v>3.89</v>
      </c>
      <c r="AR457" s="8">
        <v>1.21</v>
      </c>
      <c r="AS457" s="8">
        <v>1.86</v>
      </c>
      <c r="AT457" s="8">
        <v>0</v>
      </c>
      <c r="AU457" s="50">
        <v>2.4700000000000002</v>
      </c>
      <c r="AV457" s="50">
        <v>1</v>
      </c>
      <c r="AW457" s="50">
        <v>4.41</v>
      </c>
      <c r="AX457" s="50">
        <v>1.34</v>
      </c>
      <c r="AY457" s="50">
        <v>1.4</v>
      </c>
      <c r="AZ457" s="50">
        <v>1.89</v>
      </c>
      <c r="BA457" s="50">
        <v>2.6</v>
      </c>
      <c r="BB457" s="50">
        <v>0.7</v>
      </c>
      <c r="BC457" s="55">
        <v>0.7</v>
      </c>
      <c r="BD457" s="55">
        <v>1.4</v>
      </c>
      <c r="BE457" s="11">
        <v>0.76900000000000002</v>
      </c>
      <c r="BF457" s="4">
        <v>0</v>
      </c>
      <c r="BG457" s="4">
        <v>3.48</v>
      </c>
      <c r="BH457" s="4">
        <v>2.7050000000000001</v>
      </c>
      <c r="BI457" s="4">
        <v>0.78100000000000003</v>
      </c>
      <c r="BJ457" s="13">
        <v>0.78400000000000003</v>
      </c>
      <c r="BK457" s="13">
        <v>3.048</v>
      </c>
      <c r="BL457" s="4">
        <v>0.86099999999999999</v>
      </c>
      <c r="BM457" s="16">
        <v>0.92200000000000004</v>
      </c>
      <c r="BN457" s="4">
        <v>0.86399999999999999</v>
      </c>
      <c r="BO457" s="4">
        <v>1.2350000000000001</v>
      </c>
      <c r="BP457" s="4">
        <v>0.90300000000000002</v>
      </c>
      <c r="BQ457" s="4">
        <v>1.046</v>
      </c>
      <c r="BR457" s="4">
        <v>0</v>
      </c>
      <c r="BS457" s="55">
        <v>0.64800000000000002</v>
      </c>
      <c r="BT457" s="4">
        <v>1.3169999999999999</v>
      </c>
      <c r="BU457" s="4">
        <v>0.88900000000000001</v>
      </c>
      <c r="BV457" s="4">
        <v>1.39</v>
      </c>
      <c r="BW457" s="4">
        <v>0.78</v>
      </c>
      <c r="BX457" s="4">
        <v>0.88</v>
      </c>
      <c r="BY457" s="4">
        <v>0</v>
      </c>
      <c r="BZ457" s="55">
        <v>0</v>
      </c>
      <c r="CA457" s="55">
        <v>0</v>
      </c>
      <c r="CB457" s="55">
        <v>0</v>
      </c>
      <c r="CC457" s="55">
        <v>0</v>
      </c>
      <c r="CD457" s="55">
        <v>0</v>
      </c>
      <c r="CE457" s="19">
        <v>1.1000000000000001</v>
      </c>
      <c r="CF457" s="19">
        <v>1.3</v>
      </c>
      <c r="CG457" s="4">
        <v>0</v>
      </c>
      <c r="CH457" s="4">
        <v>0</v>
      </c>
      <c r="CI457" s="4">
        <v>1.41</v>
      </c>
      <c r="CJ457" s="34">
        <v>0</v>
      </c>
      <c r="CK457" s="34">
        <v>0</v>
      </c>
      <c r="CL457" s="34">
        <v>0</v>
      </c>
      <c r="CM457" s="4">
        <v>0</v>
      </c>
      <c r="CN457" s="53">
        <v>0</v>
      </c>
      <c r="CO457" s="54">
        <v>0</v>
      </c>
      <c r="CP457" s="54">
        <v>0</v>
      </c>
      <c r="CQ457" s="4">
        <v>0</v>
      </c>
    </row>
    <row r="458" spans="1:95" s="55" customFormat="1" x14ac:dyDescent="0.35">
      <c r="A458" s="55">
        <v>457</v>
      </c>
      <c r="B458" s="55" t="s">
        <v>87</v>
      </c>
      <c r="C458" s="27" t="s">
        <v>170</v>
      </c>
      <c r="D458" s="50" t="s">
        <v>93</v>
      </c>
      <c r="E458" s="33" t="s">
        <v>89</v>
      </c>
      <c r="F458" s="4">
        <f>IFERROR(AVERAGEIF(Table1[[#This Row],[2019-Apr]:[2025-July]],"&lt;&gt;0"),0)</f>
        <v>4.5460714285714294</v>
      </c>
      <c r="G458" s="4">
        <f ca="1">IFERROR(AVERAGEIF(OFFSET(Table1[[#This Row],[Status]],0,COUNT(Table1[[#This Row],[2019-May]:[2025-July]]),1,-12),"&lt;&gt;0"),0)</f>
        <v>5.07</v>
      </c>
      <c r="H458" s="55">
        <f>IFERROR(SMALL(Table1[[#This Row],[2019-Apr]:[2025-July]],COUNTIF(Table1[[#This Row],[2019-Apr]:[2025-July]],0)+1),0)</f>
        <v>2.9</v>
      </c>
      <c r="I458" s="55">
        <f>IFERROR(MAX(Table1[[#This Row],[2019-Apr]:[2025-July]]),0)</f>
        <v>6.8</v>
      </c>
      <c r="J458" s="4" cm="1">
        <f t="array" ref="J45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3.3351666666666664</v>
      </c>
      <c r="K458" s="4">
        <v>4.5</v>
      </c>
      <c r="L458" s="4">
        <f>IF(Table1[[#This Row],[Standard as per ISO]]&gt;=Table1[[#This Row],[Avg of best 6]],Table1[[#This Row],[Standard as per ISO]],Table1[[#This Row],[Avg of best 6]])</f>
        <v>4.5</v>
      </c>
      <c r="M458" s="4" cm="1">
        <f t="array" ref="M458">IFERROR(LOOKUP(2,1/(Table1[[#This Row],[2019-May]:[2025-July]]&lt;&gt;0),Table1[[#This Row],[2019-May]:[2025-July]]),0)</f>
        <v>3.6</v>
      </c>
      <c r="N458" s="4">
        <f>COUNTIF(Table1[[#This Row],[2019-Apr]:[2025-July]],"&gt;="&amp;Table1[[#This Row],[Target]])</f>
        <v>29</v>
      </c>
      <c r="O458" s="4">
        <f>IF(Table1[[#This Row],[Outliers 2Y]]=0,1,0)</f>
        <v>0</v>
      </c>
      <c r="P458" s="4">
        <f>IF(Table1[[#This Row],[Last value]]&gt;1.5*Table1[[#This Row],[Target]],1,0)</f>
        <v>0</v>
      </c>
      <c r="Q458" s="4">
        <f>IF(AND(1.5*Table1[[#This Row],[Target]]&gt;=Table1[[#This Row],[Last value]],Table1[[#This Row],[Last value]]&gt;Table1[[#This Row],[Target]]),1,0)</f>
        <v>0</v>
      </c>
      <c r="R458" s="4">
        <f>IF(Table1[[#This Row],[Target]]&gt;=Table1[[#This Row],[Last value]],1,0)</f>
        <v>1</v>
      </c>
      <c r="S458" s="4" t="str">
        <f t="shared" si="9"/>
        <v>Green</v>
      </c>
      <c r="T458" s="55">
        <v>0</v>
      </c>
      <c r="U458" s="55">
        <v>4.5599999999999996</v>
      </c>
      <c r="V458" s="55">
        <v>4.2699999999999996</v>
      </c>
      <c r="W458" s="55">
        <v>3.88</v>
      </c>
      <c r="X458" s="55">
        <v>3.88</v>
      </c>
      <c r="Y458" s="55">
        <v>4.51</v>
      </c>
      <c r="Z458" s="55">
        <v>3.5</v>
      </c>
      <c r="AA458" s="55">
        <v>3.4</v>
      </c>
      <c r="AB458" s="55">
        <v>3.44</v>
      </c>
      <c r="AC458" s="55">
        <v>5.6</v>
      </c>
      <c r="AD458" s="55">
        <v>0</v>
      </c>
      <c r="AE458" s="55">
        <v>5.3</v>
      </c>
      <c r="AF458" s="55">
        <v>5.7</v>
      </c>
      <c r="AG458" s="55">
        <v>0</v>
      </c>
      <c r="AH458" s="55">
        <v>4.55</v>
      </c>
      <c r="AI458" s="55">
        <v>5.49</v>
      </c>
      <c r="AJ458" s="55">
        <v>3.3</v>
      </c>
      <c r="AK458" s="55">
        <v>0</v>
      </c>
      <c r="AL458" s="55">
        <v>4.54</v>
      </c>
      <c r="AM458" s="55">
        <v>4.57</v>
      </c>
      <c r="AN458" s="55">
        <v>4.04</v>
      </c>
      <c r="AO458" s="55">
        <v>4.43</v>
      </c>
      <c r="AP458" s="55">
        <v>5.04</v>
      </c>
      <c r="AQ458" s="55">
        <v>5.45</v>
      </c>
      <c r="AR458" s="8">
        <v>4.7300000000000004</v>
      </c>
      <c r="AS458" s="8">
        <v>5.43</v>
      </c>
      <c r="AT458" s="8">
        <v>5.23</v>
      </c>
      <c r="AU458" s="50">
        <v>5.2</v>
      </c>
      <c r="AV458" s="50">
        <v>5.17</v>
      </c>
      <c r="AW458" s="50">
        <v>4.88</v>
      </c>
      <c r="AX458" s="50">
        <v>4.4800000000000004</v>
      </c>
      <c r="AY458" s="50">
        <v>4.28</v>
      </c>
      <c r="AZ458" s="50">
        <v>4.5599999999999996</v>
      </c>
      <c r="BA458" s="50">
        <v>4.5</v>
      </c>
      <c r="BB458" s="50">
        <v>4.4000000000000004</v>
      </c>
      <c r="BC458" s="55">
        <v>3.9</v>
      </c>
      <c r="BD458" s="55">
        <v>2.9</v>
      </c>
      <c r="BE458" s="11">
        <v>4.048</v>
      </c>
      <c r="BF458" s="4">
        <v>0</v>
      </c>
      <c r="BG458" s="4">
        <v>4.3040000000000003</v>
      </c>
      <c r="BH458" s="4">
        <v>0</v>
      </c>
      <c r="BI458" s="4">
        <v>0</v>
      </c>
      <c r="BJ458" s="14">
        <v>3.4710000000000001</v>
      </c>
      <c r="BK458" s="14">
        <v>4.298</v>
      </c>
      <c r="BL458" s="4">
        <v>0</v>
      </c>
      <c r="BM458" s="17">
        <v>0</v>
      </c>
      <c r="BN458" s="4">
        <v>3.8410000000000002</v>
      </c>
      <c r="BO458" s="4">
        <v>3.7810000000000001</v>
      </c>
      <c r="BP458" s="4">
        <v>3.984</v>
      </c>
      <c r="BQ458" s="4">
        <v>0</v>
      </c>
      <c r="BR458" s="4">
        <v>0</v>
      </c>
      <c r="BS458" s="55">
        <v>3.9889999999999999</v>
      </c>
      <c r="BT458" s="4">
        <v>4.2939999999999996</v>
      </c>
      <c r="BU458" s="4">
        <v>4.7359999999999998</v>
      </c>
      <c r="BV458" s="4">
        <v>4.0289999999999999</v>
      </c>
      <c r="BW458" s="4">
        <v>4.55</v>
      </c>
      <c r="BX458" s="4">
        <v>0</v>
      </c>
      <c r="BY458" s="4">
        <v>5.4450000000000003</v>
      </c>
      <c r="BZ458" s="55">
        <v>0</v>
      </c>
      <c r="CA458" s="55">
        <v>5.07</v>
      </c>
      <c r="CB458" s="55">
        <v>0</v>
      </c>
      <c r="CC458" s="55">
        <v>0</v>
      </c>
      <c r="CD458" s="55">
        <v>0</v>
      </c>
      <c r="CE458" s="19">
        <v>4.5</v>
      </c>
      <c r="CF458" s="19">
        <v>5</v>
      </c>
      <c r="CG458" s="4">
        <v>5.94</v>
      </c>
      <c r="CH458" s="4">
        <v>5.79</v>
      </c>
      <c r="CI458" s="4">
        <v>0</v>
      </c>
      <c r="CJ458" s="34">
        <v>6.8</v>
      </c>
      <c r="CK458" s="34">
        <v>6.5</v>
      </c>
      <c r="CL458" s="27">
        <v>3.6</v>
      </c>
      <c r="CM458" s="4">
        <v>3.9</v>
      </c>
      <c r="CN458" s="53">
        <v>3.6</v>
      </c>
      <c r="CO458" s="54">
        <v>0</v>
      </c>
      <c r="CP458" s="54">
        <v>0</v>
      </c>
      <c r="CQ458" s="4">
        <v>0</v>
      </c>
    </row>
    <row r="459" spans="1:95" s="55" customFormat="1" x14ac:dyDescent="0.35">
      <c r="A459" s="55">
        <v>458</v>
      </c>
      <c r="B459" s="55" t="s">
        <v>87</v>
      </c>
      <c r="C459" s="27" t="s">
        <v>171</v>
      </c>
      <c r="D459" s="50" t="s">
        <v>93</v>
      </c>
      <c r="E459" s="33" t="s">
        <v>89</v>
      </c>
      <c r="F459" s="4">
        <f>IFERROR(AVERAGEIF(Table1[[#This Row],[2019-Apr]:[2025-July]],"&lt;&gt;0"),0)</f>
        <v>5.0396666666666681</v>
      </c>
      <c r="G459" s="4">
        <f ca="1">IFERROR(AVERAGEIF(OFFSET(Table1[[#This Row],[Status]],0,COUNT(Table1[[#This Row],[2019-May]:[2025-July]]),1,-12),"&lt;&gt;0"),0)</f>
        <v>5.0025000000000004</v>
      </c>
      <c r="H459" s="55">
        <f>IFERROR(SMALL(Table1[[#This Row],[2019-Apr]:[2025-July]],COUNTIF(Table1[[#This Row],[2019-Apr]:[2025-July]],0)+1),0)</f>
        <v>3.6789999999999998</v>
      </c>
      <c r="I459" s="55">
        <f>IFERROR(MAX(Table1[[#This Row],[2019-Apr]:[2025-July]]),0)</f>
        <v>7.34</v>
      </c>
      <c r="J459" s="4" cm="1">
        <f t="array" ref="J45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4.1164999999999994</v>
      </c>
      <c r="K459" s="4">
        <v>4.5</v>
      </c>
      <c r="L459" s="4">
        <f>IF(Table1[[#This Row],[Standard as per ISO]]&gt;=Table1[[#This Row],[Avg of best 6]],Table1[[#This Row],[Standard as per ISO]],Table1[[#This Row],[Avg of best 6]])</f>
        <v>4.5</v>
      </c>
      <c r="M459" s="4" cm="1">
        <f t="array" ref="M459">IFERROR(LOOKUP(2,1/(Table1[[#This Row],[2019-May]:[2025-July]]&lt;&gt;0),Table1[[#This Row],[2019-May]:[2025-July]]),0)</f>
        <v>5.3</v>
      </c>
      <c r="N459" s="4">
        <f>COUNTIF(Table1[[#This Row],[2019-Apr]:[2025-July]],"&gt;="&amp;Table1[[#This Row],[Target]])</f>
        <v>44</v>
      </c>
      <c r="O459" s="4">
        <f>IF(Table1[[#This Row],[Outliers 2Y]]=0,1,0)</f>
        <v>0</v>
      </c>
      <c r="P459" s="4">
        <f>IF(Table1[[#This Row],[Last value]]&gt;1.5*Table1[[#This Row],[Target]],1,0)</f>
        <v>0</v>
      </c>
      <c r="Q459" s="4">
        <f>IF(AND(1.5*Table1[[#This Row],[Target]]&gt;=Table1[[#This Row],[Last value]],Table1[[#This Row],[Last value]]&gt;Table1[[#This Row],[Target]]),1,0)</f>
        <v>1</v>
      </c>
      <c r="R459" s="4">
        <f>IF(Table1[[#This Row],[Target]]&gt;=Table1[[#This Row],[Last value]],1,0)</f>
        <v>0</v>
      </c>
      <c r="S459" s="4" t="str">
        <f t="shared" si="9"/>
        <v>Yellow</v>
      </c>
      <c r="T459" s="55">
        <v>0</v>
      </c>
      <c r="U459" s="55">
        <v>5.5</v>
      </c>
      <c r="V459" s="55">
        <v>5.4</v>
      </c>
      <c r="W459" s="55">
        <v>0</v>
      </c>
      <c r="X459" s="55">
        <v>0</v>
      </c>
      <c r="Y459" s="55">
        <v>4.49</v>
      </c>
      <c r="Z459" s="55">
        <v>5.6</v>
      </c>
      <c r="AA459" s="55">
        <v>6.8</v>
      </c>
      <c r="AB459" s="55">
        <v>6.1</v>
      </c>
      <c r="AC459" s="55">
        <v>4.76</v>
      </c>
      <c r="AD459" s="55">
        <v>4.5599999999999996</v>
      </c>
      <c r="AE459" s="55">
        <v>0</v>
      </c>
      <c r="AF459" s="55">
        <v>4.5</v>
      </c>
      <c r="AG459" s="55">
        <v>4.82</v>
      </c>
      <c r="AH459" s="55">
        <v>5.2</v>
      </c>
      <c r="AI459" s="55">
        <v>0</v>
      </c>
      <c r="AJ459" s="55">
        <v>4.8</v>
      </c>
      <c r="AK459" s="55">
        <v>6.16</v>
      </c>
      <c r="AL459" s="55">
        <v>5.59</v>
      </c>
      <c r="AM459" s="55">
        <v>0</v>
      </c>
      <c r="AN459" s="55">
        <v>4.57</v>
      </c>
      <c r="AO459" s="55">
        <v>7.34</v>
      </c>
      <c r="AP459" s="55">
        <v>5.5</v>
      </c>
      <c r="AQ459" s="55">
        <v>5.39</v>
      </c>
      <c r="AR459" s="8">
        <v>0</v>
      </c>
      <c r="AS459" s="8">
        <v>4.9000000000000004</v>
      </c>
      <c r="AT459" s="8">
        <v>4.76</v>
      </c>
      <c r="AU459" s="50">
        <v>5.34</v>
      </c>
      <c r="AV459" s="50">
        <v>6.08</v>
      </c>
      <c r="AW459" s="50">
        <v>4.2</v>
      </c>
      <c r="AX459" s="50">
        <v>0</v>
      </c>
      <c r="AY459" s="50">
        <v>4.9800000000000004</v>
      </c>
      <c r="AZ459" s="50">
        <v>4.3600000000000003</v>
      </c>
      <c r="BA459" s="50">
        <v>4.5999999999999996</v>
      </c>
      <c r="BB459" s="50">
        <v>4.8</v>
      </c>
      <c r="BC459" s="55">
        <v>4.5999999999999996</v>
      </c>
      <c r="BD459" s="55">
        <v>4.8</v>
      </c>
      <c r="BE459" s="11">
        <v>4.5030000000000001</v>
      </c>
      <c r="BF459" s="4">
        <v>0</v>
      </c>
      <c r="BG459" s="4">
        <v>5.1100000000000003</v>
      </c>
      <c r="BH459" s="4">
        <v>0</v>
      </c>
      <c r="BI459" s="4">
        <v>0</v>
      </c>
      <c r="BJ459" s="13">
        <v>4.5010000000000003</v>
      </c>
      <c r="BK459" s="13">
        <v>3.6789999999999998</v>
      </c>
      <c r="BL459" s="4">
        <v>0</v>
      </c>
      <c r="BM459" s="16">
        <v>4.2</v>
      </c>
      <c r="BN459" s="4">
        <v>0</v>
      </c>
      <c r="BO459" s="4">
        <v>0</v>
      </c>
      <c r="BP459" s="4">
        <v>0</v>
      </c>
      <c r="BQ459" s="4">
        <v>5.1100000000000003</v>
      </c>
      <c r="BR459" s="4">
        <v>4.6719999999999997</v>
      </c>
      <c r="BS459" s="55">
        <v>5.4820000000000002</v>
      </c>
      <c r="BT459" s="4">
        <v>4.7560000000000002</v>
      </c>
      <c r="BU459" s="4">
        <v>0</v>
      </c>
      <c r="BV459" s="4">
        <v>0</v>
      </c>
      <c r="BW459" s="4">
        <v>0</v>
      </c>
      <c r="BX459" s="4">
        <v>4.93</v>
      </c>
      <c r="BY459" s="4">
        <v>0</v>
      </c>
      <c r="BZ459" s="55">
        <v>4.16</v>
      </c>
      <c r="CA459" s="55">
        <v>4.9000000000000004</v>
      </c>
      <c r="CB459" s="55">
        <v>0</v>
      </c>
      <c r="CC459" s="55">
        <v>5.2</v>
      </c>
      <c r="CD459" s="55">
        <v>0</v>
      </c>
      <c r="CE459" s="19">
        <v>4.8</v>
      </c>
      <c r="CF459" s="19">
        <v>4.9000000000000004</v>
      </c>
      <c r="CG459" s="4">
        <v>5.54</v>
      </c>
      <c r="CH459" s="4">
        <v>4.8</v>
      </c>
      <c r="CI459" s="4">
        <v>4.88</v>
      </c>
      <c r="CJ459" s="34">
        <v>5.4</v>
      </c>
      <c r="CK459" s="34">
        <v>0</v>
      </c>
      <c r="CL459" s="27">
        <v>0</v>
      </c>
      <c r="CM459" s="4">
        <v>0</v>
      </c>
      <c r="CN459" s="53">
        <v>0</v>
      </c>
      <c r="CO459" s="54">
        <v>5.6</v>
      </c>
      <c r="CP459" s="54">
        <v>4.0999999999999996</v>
      </c>
      <c r="CQ459" s="4">
        <v>5.3</v>
      </c>
    </row>
    <row r="460" spans="1:95" s="55" customFormat="1" x14ac:dyDescent="0.35">
      <c r="A460" s="55">
        <v>459</v>
      </c>
      <c r="B460" s="55" t="s">
        <v>87</v>
      </c>
      <c r="C460" s="27" t="s">
        <v>172</v>
      </c>
      <c r="D460" s="50" t="s">
        <v>93</v>
      </c>
      <c r="E460" s="33" t="s">
        <v>89</v>
      </c>
      <c r="F460" s="4">
        <f>IFERROR(AVERAGEIF(Table1[[#This Row],[2019-Apr]:[2025-July]],"&lt;&gt;0"),0)</f>
        <v>5.1395344827586209</v>
      </c>
      <c r="G460" s="4">
        <f ca="1">IFERROR(AVERAGEIF(OFFSET(Table1[[#This Row],[Status]],0,COUNT(Table1[[#This Row],[2019-May]:[2025-July]]),1,-12),"&lt;&gt;0"),0)</f>
        <v>4.9787499999999998</v>
      </c>
      <c r="H460" s="55">
        <f>IFERROR(SMALL(Table1[[#This Row],[2019-Apr]:[2025-July]],COUNTIF(Table1[[#This Row],[2019-Apr]:[2025-July]],0)+1),0)</f>
        <v>3.15</v>
      </c>
      <c r="I460" s="55">
        <f>IFERROR(MAX(Table1[[#This Row],[2019-Apr]:[2025-July]]),0)</f>
        <v>7.7</v>
      </c>
      <c r="J460" s="4" cm="1">
        <f t="array" ref="J46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3.4686666666666661</v>
      </c>
      <c r="K460" s="4">
        <v>4.5</v>
      </c>
      <c r="L460" s="4">
        <f>IF(Table1[[#This Row],[Standard as per ISO]]&gt;=Table1[[#This Row],[Avg of best 6]],Table1[[#This Row],[Standard as per ISO]],Table1[[#This Row],[Avg of best 6]])</f>
        <v>4.5</v>
      </c>
      <c r="M460" s="4" cm="1">
        <f t="array" ref="M460">IFERROR(LOOKUP(2,1/(Table1[[#This Row],[2019-May]:[2025-July]]&lt;&gt;0),Table1[[#This Row],[2019-May]:[2025-July]]),0)</f>
        <v>4</v>
      </c>
      <c r="N460" s="4">
        <f>COUNTIF(Table1[[#This Row],[2019-Apr]:[2025-July]],"&gt;="&amp;Table1[[#This Row],[Target]])</f>
        <v>37</v>
      </c>
      <c r="O460" s="4">
        <f>IF(Table1[[#This Row],[Outliers 2Y]]=0,1,0)</f>
        <v>0</v>
      </c>
      <c r="P460" s="4">
        <f>IF(Table1[[#This Row],[Last value]]&gt;1.5*Table1[[#This Row],[Target]],1,0)</f>
        <v>0</v>
      </c>
      <c r="Q460" s="4">
        <f>IF(AND(1.5*Table1[[#This Row],[Target]]&gt;=Table1[[#This Row],[Last value]],Table1[[#This Row],[Last value]]&gt;Table1[[#This Row],[Target]]),1,0)</f>
        <v>0</v>
      </c>
      <c r="R460" s="4">
        <f>IF(Table1[[#This Row],[Target]]&gt;=Table1[[#This Row],[Last value]],1,0)</f>
        <v>1</v>
      </c>
      <c r="S460" s="4" t="str">
        <f t="shared" si="9"/>
        <v>Green</v>
      </c>
      <c r="T460" s="55">
        <v>0</v>
      </c>
      <c r="U460" s="55">
        <v>5.93</v>
      </c>
      <c r="V460" s="55">
        <v>0</v>
      </c>
      <c r="W460" s="55">
        <v>6.28</v>
      </c>
      <c r="X460" s="55">
        <v>6.34</v>
      </c>
      <c r="Y460" s="55">
        <v>0</v>
      </c>
      <c r="Z460" s="55">
        <v>0</v>
      </c>
      <c r="AA460" s="55">
        <v>0</v>
      </c>
      <c r="AB460" s="55">
        <v>6.18</v>
      </c>
      <c r="AC460" s="55">
        <v>6.9</v>
      </c>
      <c r="AD460" s="55">
        <v>6.36</v>
      </c>
      <c r="AE460" s="55">
        <v>6.2</v>
      </c>
      <c r="AF460" s="55">
        <v>6.4</v>
      </c>
      <c r="AG460" s="55">
        <v>5.25</v>
      </c>
      <c r="AH460" s="55">
        <v>5.93</v>
      </c>
      <c r="AI460" s="55">
        <v>6.4</v>
      </c>
      <c r="AJ460" s="55">
        <v>5.8</v>
      </c>
      <c r="AK460" s="55">
        <v>5.95</v>
      </c>
      <c r="AL460" s="55">
        <v>5.81</v>
      </c>
      <c r="AM460" s="55">
        <v>6.86</v>
      </c>
      <c r="AN460" s="55">
        <v>7.7</v>
      </c>
      <c r="AO460" s="55">
        <v>7.17</v>
      </c>
      <c r="AP460" s="55">
        <v>3.93</v>
      </c>
      <c r="AQ460" s="55">
        <v>4.3</v>
      </c>
      <c r="AR460" s="8">
        <v>3.66</v>
      </c>
      <c r="AS460" s="8">
        <v>4.32</v>
      </c>
      <c r="AT460" s="8">
        <v>5.44</v>
      </c>
      <c r="AU460" s="50">
        <v>4.6399999999999997</v>
      </c>
      <c r="AV460" s="50">
        <v>5.73</v>
      </c>
      <c r="AW460" s="50">
        <v>0</v>
      </c>
      <c r="AX460" s="50">
        <v>3.15</v>
      </c>
      <c r="AY460" s="50">
        <v>4.57</v>
      </c>
      <c r="AZ460" s="50">
        <v>4.32</v>
      </c>
      <c r="BA460" s="50">
        <v>4.3</v>
      </c>
      <c r="BB460" s="50">
        <v>4.8</v>
      </c>
      <c r="BC460" s="55">
        <v>4.7</v>
      </c>
      <c r="BD460" s="55">
        <v>3.4</v>
      </c>
      <c r="BE460" s="11">
        <v>4.4989999999999997</v>
      </c>
      <c r="BF460" s="4">
        <v>0</v>
      </c>
      <c r="BG460" s="4">
        <v>3.802</v>
      </c>
      <c r="BH460" s="4">
        <v>0</v>
      </c>
      <c r="BI460" s="4">
        <v>0</v>
      </c>
      <c r="BJ460" s="14">
        <v>4.0389999999999997</v>
      </c>
      <c r="BK460" s="14">
        <v>4.2519999999999998</v>
      </c>
      <c r="BL460" s="4">
        <v>0</v>
      </c>
      <c r="BM460" s="17">
        <v>0</v>
      </c>
      <c r="BN460" s="4">
        <v>4.3620000000000001</v>
      </c>
      <c r="BO460" s="4">
        <v>4.1130000000000004</v>
      </c>
      <c r="BP460" s="4">
        <v>4.6870000000000003</v>
      </c>
      <c r="BQ460" s="4">
        <v>4.9169999999999998</v>
      </c>
      <c r="BR460" s="4">
        <v>5.1159999999999997</v>
      </c>
      <c r="BS460" s="55">
        <v>4.1680000000000001</v>
      </c>
      <c r="BT460" s="4">
        <v>4.234</v>
      </c>
      <c r="BU460" s="4">
        <v>5.4939999999999998</v>
      </c>
      <c r="BV460" s="4">
        <v>4.3250000000000002</v>
      </c>
      <c r="BW460" s="4">
        <v>5</v>
      </c>
      <c r="BX460" s="4">
        <v>5.4950000000000001</v>
      </c>
      <c r="BY460" s="4">
        <v>4.96</v>
      </c>
      <c r="BZ460" s="55">
        <v>4.9400000000000004</v>
      </c>
      <c r="CA460" s="55">
        <v>0</v>
      </c>
      <c r="CB460" s="55">
        <v>0</v>
      </c>
      <c r="CC460" s="55">
        <v>7.14</v>
      </c>
      <c r="CD460" s="55">
        <v>0</v>
      </c>
      <c r="CE460" s="19">
        <v>5.3</v>
      </c>
      <c r="CF460" s="19">
        <v>0</v>
      </c>
      <c r="CG460" s="4">
        <v>0</v>
      </c>
      <c r="CH460" s="4">
        <v>0</v>
      </c>
      <c r="CI460" s="4">
        <v>5.73</v>
      </c>
      <c r="CJ460" s="34">
        <v>5.5</v>
      </c>
      <c r="CK460" s="34">
        <v>6</v>
      </c>
      <c r="CL460" s="27">
        <v>6.6</v>
      </c>
      <c r="CM460" s="4">
        <v>3.9</v>
      </c>
      <c r="CN460" s="53">
        <v>0</v>
      </c>
      <c r="CO460" s="54">
        <v>3.3</v>
      </c>
      <c r="CP460" s="54">
        <v>3.5</v>
      </c>
      <c r="CQ460" s="4">
        <v>4</v>
      </c>
    </row>
    <row r="461" spans="1:95" s="55" customFormat="1" x14ac:dyDescent="0.35">
      <c r="A461" s="55">
        <v>460</v>
      </c>
      <c r="B461" s="55" t="s">
        <v>87</v>
      </c>
      <c r="C461" s="27" t="s">
        <v>173</v>
      </c>
      <c r="D461" s="50" t="s">
        <v>102</v>
      </c>
      <c r="E461" s="33" t="s">
        <v>89</v>
      </c>
      <c r="F461" s="4">
        <f>IFERROR(AVERAGEIF(Table1[[#This Row],[2019-Apr]:[2025-July]],"&lt;&gt;0"),0)</f>
        <v>2.2377659574468085</v>
      </c>
      <c r="G461" s="4">
        <f ca="1">IFERROR(AVERAGEIF(OFFSET(Table1[[#This Row],[Status]],0,COUNT(Table1[[#This Row],[2019-May]:[2025-July]]),1,-12),"&lt;&gt;0"),0)</f>
        <v>3.06</v>
      </c>
      <c r="H461" s="55">
        <f>IFERROR(SMALL(Table1[[#This Row],[2019-Apr]:[2025-July]],COUNTIF(Table1[[#This Row],[2019-Apr]:[2025-July]],0)+1),0)</f>
        <v>1.49</v>
      </c>
      <c r="I461" s="55">
        <f>IFERROR(MAX(Table1[[#This Row],[2019-Apr]:[2025-July]]),0)</f>
        <v>4.2</v>
      </c>
      <c r="J461" s="4" cm="1">
        <f t="array" ref="J46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1.5795000000000003</v>
      </c>
      <c r="K461" s="4">
        <v>4.5</v>
      </c>
      <c r="L461" s="4">
        <f>IF(Table1[[#This Row],[Standard as per ISO]]&gt;=Table1[[#This Row],[Avg of best 6]],Table1[[#This Row],[Standard as per ISO]],Table1[[#This Row],[Avg of best 6]])</f>
        <v>4.5</v>
      </c>
      <c r="M461" s="4" cm="1">
        <f t="array" ref="M461">IFERROR(LOOKUP(2,1/(Table1[[#This Row],[2019-May]:[2025-July]]&lt;&gt;0),Table1[[#This Row],[2019-May]:[2025-July]]),0)</f>
        <v>2.2000000000000002</v>
      </c>
      <c r="N461" s="4">
        <f>COUNTIF(Table1[[#This Row],[2019-Apr]:[2025-July]],"&gt;="&amp;Table1[[#This Row],[Target]])</f>
        <v>0</v>
      </c>
      <c r="O461" s="4">
        <f>IF(Table1[[#This Row],[Outliers 2Y]]=0,1,0)</f>
        <v>1</v>
      </c>
      <c r="P461" s="4">
        <f>IF(Table1[[#This Row],[Last value]]&gt;1.5*Table1[[#This Row],[Target]],1,0)</f>
        <v>0</v>
      </c>
      <c r="Q461" s="4">
        <f>IF(AND(1.5*Table1[[#This Row],[Target]]&gt;=Table1[[#This Row],[Last value]],Table1[[#This Row],[Last value]]&gt;Table1[[#This Row],[Target]]),1,0)</f>
        <v>0</v>
      </c>
      <c r="R461" s="4">
        <f>IF(Table1[[#This Row],[Target]]&gt;=Table1[[#This Row],[Last value]],1,0)</f>
        <v>1</v>
      </c>
      <c r="S461" s="4" t="str">
        <f t="shared" si="9"/>
        <v>Green</v>
      </c>
      <c r="T461" s="55">
        <v>0</v>
      </c>
      <c r="U461" s="55">
        <v>0</v>
      </c>
      <c r="V461" s="55">
        <v>2.4700000000000002</v>
      </c>
      <c r="W461" s="55">
        <v>1.96</v>
      </c>
      <c r="X461" s="55">
        <v>1.67</v>
      </c>
      <c r="Y461" s="55">
        <v>0</v>
      </c>
      <c r="Z461" s="55">
        <v>0</v>
      </c>
      <c r="AA461" s="55">
        <v>0</v>
      </c>
      <c r="AB461" s="55">
        <v>0</v>
      </c>
      <c r="AC461" s="55">
        <v>0</v>
      </c>
      <c r="AD461" s="55">
        <v>2.17</v>
      </c>
      <c r="AE461" s="55">
        <v>0</v>
      </c>
      <c r="AF461" s="55">
        <v>0</v>
      </c>
      <c r="AG461" s="55">
        <v>2.34</v>
      </c>
      <c r="AH461" s="55">
        <v>2.1</v>
      </c>
      <c r="AI461" s="55">
        <v>2.8</v>
      </c>
      <c r="AJ461" s="55">
        <v>2</v>
      </c>
      <c r="AK461" s="55">
        <v>1.9</v>
      </c>
      <c r="AL461" s="55">
        <v>1.91</v>
      </c>
      <c r="AM461" s="55">
        <v>1.57</v>
      </c>
      <c r="AN461" s="55">
        <v>2.12</v>
      </c>
      <c r="AO461" s="55">
        <v>0</v>
      </c>
      <c r="AP461" s="55">
        <v>1.82</v>
      </c>
      <c r="AQ461" s="55">
        <v>1.64</v>
      </c>
      <c r="AR461" s="8">
        <v>1.78</v>
      </c>
      <c r="AS461" s="8">
        <v>0</v>
      </c>
      <c r="AT461" s="8">
        <v>2.62</v>
      </c>
      <c r="AU461" s="50">
        <v>1.54</v>
      </c>
      <c r="AV461" s="50">
        <v>0</v>
      </c>
      <c r="AW461" s="50">
        <v>1.91</v>
      </c>
      <c r="AX461" s="50">
        <v>0</v>
      </c>
      <c r="AY461" s="50">
        <v>1.81</v>
      </c>
      <c r="AZ461" s="50">
        <v>1.97</v>
      </c>
      <c r="BA461" s="50">
        <v>1.6</v>
      </c>
      <c r="BB461" s="50">
        <v>0</v>
      </c>
      <c r="BC461" s="50">
        <v>0</v>
      </c>
      <c r="BD461" s="55">
        <v>1.7</v>
      </c>
      <c r="BE461" s="11">
        <v>1.677</v>
      </c>
      <c r="BF461" s="4">
        <v>0</v>
      </c>
      <c r="BG461" s="4">
        <v>1.99</v>
      </c>
      <c r="BH461" s="4">
        <v>1.637</v>
      </c>
      <c r="BI461" s="4">
        <v>1.49</v>
      </c>
      <c r="BJ461" s="13">
        <v>2.1920000000000002</v>
      </c>
      <c r="BK461" s="13">
        <v>2.0510000000000002</v>
      </c>
      <c r="BL461" s="4">
        <v>0</v>
      </c>
      <c r="BM461" s="16">
        <v>2.1030000000000002</v>
      </c>
      <c r="BN461" s="4">
        <v>0</v>
      </c>
      <c r="BO461" s="4">
        <v>1.956</v>
      </c>
      <c r="BP461" s="4">
        <v>1.8819999999999999</v>
      </c>
      <c r="BQ461" s="4">
        <v>0</v>
      </c>
      <c r="BR461" s="4">
        <v>0</v>
      </c>
      <c r="BS461" s="55">
        <v>0</v>
      </c>
      <c r="BT461" s="4">
        <v>2.6469999999999998</v>
      </c>
      <c r="BU461" s="4">
        <v>0</v>
      </c>
      <c r="BV461" s="4">
        <v>2.1080000000000001</v>
      </c>
      <c r="BW461" s="4">
        <v>0</v>
      </c>
      <c r="BX461" s="4">
        <v>2.5230000000000001</v>
      </c>
      <c r="BY461" s="4">
        <v>2.3290000000000002</v>
      </c>
      <c r="BZ461" s="55">
        <v>0</v>
      </c>
      <c r="CA461" s="55">
        <v>2.34</v>
      </c>
      <c r="CB461" s="55">
        <v>0</v>
      </c>
      <c r="CC461" s="55">
        <v>0</v>
      </c>
      <c r="CD461" s="55">
        <v>3.11</v>
      </c>
      <c r="CE461" s="19">
        <v>2</v>
      </c>
      <c r="CF461" s="20">
        <v>2.7</v>
      </c>
      <c r="CG461" s="4">
        <v>0</v>
      </c>
      <c r="CH461" s="4">
        <v>3.49</v>
      </c>
      <c r="CI461" s="4">
        <v>3.35</v>
      </c>
      <c r="CJ461" s="34">
        <v>0</v>
      </c>
      <c r="CK461" s="34">
        <v>2.8</v>
      </c>
      <c r="CL461" s="27">
        <v>4.2</v>
      </c>
      <c r="CM461" s="4">
        <v>0</v>
      </c>
      <c r="CN461" s="53">
        <v>2.8</v>
      </c>
      <c r="CO461" s="54">
        <v>2.7</v>
      </c>
      <c r="CP461" s="54">
        <v>3.5</v>
      </c>
      <c r="CQ461" s="4">
        <v>2.2000000000000002</v>
      </c>
    </row>
    <row r="462" spans="1:95" s="55" customFormat="1" x14ac:dyDescent="0.35">
      <c r="A462" s="55">
        <v>461</v>
      </c>
      <c r="B462" s="55" t="s">
        <v>87</v>
      </c>
      <c r="C462" s="27" t="s">
        <v>174</v>
      </c>
      <c r="D462" s="50" t="s">
        <v>102</v>
      </c>
      <c r="E462" s="33" t="s">
        <v>89</v>
      </c>
      <c r="F462" s="4">
        <f>IFERROR(AVERAGEIF(Table1[[#This Row],[2019-Apr]:[2025-July]],"&lt;&gt;0"),0)</f>
        <v>1.4912954545454546</v>
      </c>
      <c r="G462" s="4">
        <f ca="1">IFERROR(AVERAGEIF(OFFSET(Table1[[#This Row],[Status]],0,COUNT(Table1[[#This Row],[2019-May]:[2025-July]]),1,-12),"&lt;&gt;0"),0)</f>
        <v>2.0575000000000001</v>
      </c>
      <c r="H462" s="55">
        <f>IFERROR(SMALL(Table1[[#This Row],[2019-Apr]:[2025-July]],COUNTIF(Table1[[#This Row],[2019-Apr]:[2025-July]],0)+1),0)</f>
        <v>0.52</v>
      </c>
      <c r="I462" s="55">
        <f>IFERROR(MAX(Table1[[#This Row],[2019-Apr]:[2025-July]]),0)</f>
        <v>4.2</v>
      </c>
      <c r="J462" s="4" cm="1">
        <f t="array" ref="J46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0.75366666666666671</v>
      </c>
      <c r="K462" s="4">
        <v>4.5</v>
      </c>
      <c r="L462" s="4">
        <f>IF(Table1[[#This Row],[Standard as per ISO]]&gt;=Table1[[#This Row],[Avg of best 6]],Table1[[#This Row],[Standard as per ISO]],Table1[[#This Row],[Avg of best 6]])</f>
        <v>4.5</v>
      </c>
      <c r="M462" s="4" cm="1">
        <f t="array" ref="M462">IFERROR(LOOKUP(2,1/(Table1[[#This Row],[2019-May]:[2025-July]]&lt;&gt;0),Table1[[#This Row],[2019-May]:[2025-July]]),0)</f>
        <v>1.7</v>
      </c>
      <c r="N462" s="4">
        <f>COUNTIF(Table1[[#This Row],[2019-Apr]:[2025-July]],"&gt;="&amp;Table1[[#This Row],[Target]])</f>
        <v>0</v>
      </c>
      <c r="O462" s="4">
        <f>IF(Table1[[#This Row],[Outliers 2Y]]=0,1,0)</f>
        <v>1</v>
      </c>
      <c r="P462" s="4">
        <f>IF(Table1[[#This Row],[Last value]]&gt;1.5*Table1[[#This Row],[Target]],1,0)</f>
        <v>0</v>
      </c>
      <c r="Q462" s="4">
        <f>IF(AND(1.5*Table1[[#This Row],[Target]]&gt;=Table1[[#This Row],[Last value]],Table1[[#This Row],[Last value]]&gt;Table1[[#This Row],[Target]]),1,0)</f>
        <v>0</v>
      </c>
      <c r="R462" s="4">
        <f>IF(Table1[[#This Row],[Target]]&gt;=Table1[[#This Row],[Last value]],1,0)</f>
        <v>1</v>
      </c>
      <c r="S462" s="4" t="str">
        <f t="shared" si="9"/>
        <v>Green</v>
      </c>
      <c r="T462" s="55">
        <v>0</v>
      </c>
      <c r="U462" s="55">
        <v>1.5</v>
      </c>
      <c r="V462" s="55">
        <v>0</v>
      </c>
      <c r="W462" s="55">
        <v>0</v>
      </c>
      <c r="X462" s="55">
        <v>0</v>
      </c>
      <c r="Y462" s="55">
        <v>1.5</v>
      </c>
      <c r="Z462" s="55">
        <v>1.6</v>
      </c>
      <c r="AA462" s="55">
        <v>1.3</v>
      </c>
      <c r="AB462" s="55">
        <v>1.46</v>
      </c>
      <c r="AC462" s="55">
        <v>1.4</v>
      </c>
      <c r="AD462" s="55">
        <v>1.25</v>
      </c>
      <c r="AE462" s="55">
        <v>1.38</v>
      </c>
      <c r="AF462" s="55">
        <v>1.3</v>
      </c>
      <c r="AG462" s="55">
        <v>1.75</v>
      </c>
      <c r="AH462" s="55">
        <v>0</v>
      </c>
      <c r="AI462" s="55">
        <v>1.6</v>
      </c>
      <c r="AJ462" s="55">
        <v>2</v>
      </c>
      <c r="AK462" s="55">
        <v>0</v>
      </c>
      <c r="AL462" s="55">
        <v>0</v>
      </c>
      <c r="AM462" s="55">
        <v>0</v>
      </c>
      <c r="AN462" s="55">
        <v>1.36</v>
      </c>
      <c r="AO462" s="55">
        <v>1.1200000000000001</v>
      </c>
      <c r="AP462" s="55">
        <v>0</v>
      </c>
      <c r="AQ462" s="55">
        <v>1.71</v>
      </c>
      <c r="AR462" s="8">
        <v>1.42</v>
      </c>
      <c r="AS462" s="8">
        <v>1.56</v>
      </c>
      <c r="AT462" s="8">
        <v>0</v>
      </c>
      <c r="AU462" s="50">
        <v>0</v>
      </c>
      <c r="AV462" s="50">
        <v>0.91</v>
      </c>
      <c r="AW462" s="50">
        <v>0.99</v>
      </c>
      <c r="AX462" s="50">
        <v>0.62</v>
      </c>
      <c r="AY462" s="50">
        <v>0.52</v>
      </c>
      <c r="AZ462" s="50">
        <v>0.54</v>
      </c>
      <c r="BA462" s="50">
        <v>0</v>
      </c>
      <c r="BB462" s="50">
        <v>0</v>
      </c>
      <c r="BC462" s="55">
        <v>1.1000000000000001</v>
      </c>
      <c r="BD462" s="55">
        <v>0</v>
      </c>
      <c r="BE462" s="11">
        <v>1.3029999999999999</v>
      </c>
      <c r="BF462" s="4">
        <v>0</v>
      </c>
      <c r="BG462" s="4">
        <v>1.53</v>
      </c>
      <c r="BH462" s="4">
        <v>0</v>
      </c>
      <c r="BI462" s="4">
        <v>0</v>
      </c>
      <c r="BJ462" s="13">
        <v>0</v>
      </c>
      <c r="BK462" s="13">
        <v>0</v>
      </c>
      <c r="BL462" s="4">
        <v>2.0510000000000002</v>
      </c>
      <c r="BM462" s="16">
        <v>0</v>
      </c>
      <c r="BN462" s="4">
        <v>1.286</v>
      </c>
      <c r="BO462" s="4">
        <v>0</v>
      </c>
      <c r="BP462" s="4">
        <v>0</v>
      </c>
      <c r="BQ462" s="4">
        <v>0.94199999999999995</v>
      </c>
      <c r="BR462" s="4">
        <v>0</v>
      </c>
      <c r="BS462" s="55">
        <v>0</v>
      </c>
      <c r="BT462" s="4">
        <v>1.41</v>
      </c>
      <c r="BU462" s="4">
        <v>0</v>
      </c>
      <c r="BV462" s="4">
        <v>1.6850000000000001</v>
      </c>
      <c r="BW462" s="4">
        <v>0</v>
      </c>
      <c r="BX462" s="4">
        <v>0</v>
      </c>
      <c r="BY462" s="4">
        <v>0</v>
      </c>
      <c r="BZ462" s="55">
        <v>1.18</v>
      </c>
      <c r="CA462" s="55">
        <v>1.22</v>
      </c>
      <c r="CB462" s="55">
        <v>1.54</v>
      </c>
      <c r="CC462" s="55">
        <v>1.51</v>
      </c>
      <c r="CD462" s="55">
        <v>1.91</v>
      </c>
      <c r="CE462" s="19">
        <v>0</v>
      </c>
      <c r="CF462" s="20">
        <v>0</v>
      </c>
      <c r="CG462" s="4">
        <v>1.95</v>
      </c>
      <c r="CH462" s="4">
        <v>1.8</v>
      </c>
      <c r="CI462" s="4">
        <v>1.71</v>
      </c>
      <c r="CJ462" s="34">
        <v>1.8</v>
      </c>
      <c r="CK462" s="34">
        <v>0</v>
      </c>
      <c r="CL462" s="27">
        <v>4.2</v>
      </c>
      <c r="CM462" s="4">
        <v>1.6</v>
      </c>
      <c r="CN462" s="53">
        <v>0</v>
      </c>
      <c r="CO462" s="54">
        <v>1.7</v>
      </c>
      <c r="CP462" s="54">
        <v>1.7</v>
      </c>
      <c r="CQ462" s="4">
        <v>1.7</v>
      </c>
    </row>
    <row r="463" spans="1:95" s="55" customFormat="1" x14ac:dyDescent="0.35">
      <c r="A463" s="55">
        <v>462</v>
      </c>
      <c r="B463" s="55" t="s">
        <v>87</v>
      </c>
      <c r="C463" s="27" t="s">
        <v>175</v>
      </c>
      <c r="D463" s="50" t="s">
        <v>102</v>
      </c>
      <c r="E463" s="33" t="s">
        <v>89</v>
      </c>
      <c r="F463" s="4">
        <f>IFERROR(AVERAGEIF(Table1[[#This Row],[2019-Apr]:[2025-July]],"&lt;&gt;0"),0)</f>
        <v>2.0747884615384615</v>
      </c>
      <c r="G463" s="4">
        <f ca="1">IFERROR(AVERAGEIF(OFFSET(Table1[[#This Row],[Status]],0,COUNT(Table1[[#This Row],[2019-May]:[2025-July]]),1,-12),"&lt;&gt;0"),0)</f>
        <v>2.0427272727272725</v>
      </c>
      <c r="H463" s="55">
        <f>IFERROR(SMALL(Table1[[#This Row],[2019-Apr]:[2025-July]],COUNTIF(Table1[[#This Row],[2019-Apr]:[2025-July]],0)+1),0)</f>
        <v>1.2</v>
      </c>
      <c r="I463" s="55">
        <f>IFERROR(MAX(Table1[[#This Row],[2019-Apr]:[2025-July]]),0)</f>
        <v>3.36</v>
      </c>
      <c r="J463" s="4" cm="1">
        <f t="array" ref="J46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1.3561666666666667</v>
      </c>
      <c r="K463" s="4">
        <v>4.5</v>
      </c>
      <c r="L463" s="4">
        <f>IF(Table1[[#This Row],[Standard as per ISO]]&gt;=Table1[[#This Row],[Avg of best 6]],Table1[[#This Row],[Standard as per ISO]],Table1[[#This Row],[Avg of best 6]])</f>
        <v>4.5</v>
      </c>
      <c r="M463" s="4" cm="1">
        <f t="array" ref="M463">IFERROR(LOOKUP(2,1/(Table1[[#This Row],[2019-May]:[2025-July]]&lt;&gt;0),Table1[[#This Row],[2019-May]:[2025-July]]),0)</f>
        <v>2.4</v>
      </c>
      <c r="N463" s="4">
        <f>COUNTIF(Table1[[#This Row],[2019-Apr]:[2025-July]],"&gt;="&amp;Table1[[#This Row],[Target]])</f>
        <v>0</v>
      </c>
      <c r="O463" s="4">
        <f>IF(Table1[[#This Row],[Outliers 2Y]]=0,1,0)</f>
        <v>1</v>
      </c>
      <c r="P463" s="4">
        <f>IF(Table1[[#This Row],[Last value]]&gt;1.5*Table1[[#This Row],[Target]],1,0)</f>
        <v>0</v>
      </c>
      <c r="Q463" s="4">
        <f>IF(AND(1.5*Table1[[#This Row],[Target]]&gt;=Table1[[#This Row],[Last value]],Table1[[#This Row],[Last value]]&gt;Table1[[#This Row],[Target]]),1,0)</f>
        <v>0</v>
      </c>
      <c r="R463" s="4">
        <f>IF(Table1[[#This Row],[Target]]&gt;=Table1[[#This Row],[Last value]],1,0)</f>
        <v>1</v>
      </c>
      <c r="S463" s="4" t="str">
        <f t="shared" si="9"/>
        <v>Green</v>
      </c>
      <c r="T463" s="55">
        <v>0</v>
      </c>
      <c r="U463" s="55">
        <v>2.1</v>
      </c>
      <c r="V463" s="55">
        <v>2.77</v>
      </c>
      <c r="W463" s="55">
        <v>2.4500000000000002</v>
      </c>
      <c r="X463" s="55">
        <v>2.92</v>
      </c>
      <c r="Y463" s="55">
        <v>2.6</v>
      </c>
      <c r="Z463" s="55">
        <v>3</v>
      </c>
      <c r="AA463" s="55">
        <v>1.5</v>
      </c>
      <c r="AB463" s="55">
        <v>2.39</v>
      </c>
      <c r="AC463" s="55">
        <v>1.4</v>
      </c>
      <c r="AD463" s="55">
        <v>0</v>
      </c>
      <c r="AE463" s="55">
        <v>1.72</v>
      </c>
      <c r="AF463" s="55">
        <v>1.4</v>
      </c>
      <c r="AG463" s="55">
        <v>0</v>
      </c>
      <c r="AH463" s="55">
        <v>1.9</v>
      </c>
      <c r="AI463" s="55">
        <v>2.2999999999999998</v>
      </c>
      <c r="AJ463" s="55">
        <v>0</v>
      </c>
      <c r="AK463" s="55">
        <v>2</v>
      </c>
      <c r="AL463" s="55">
        <v>2.89</v>
      </c>
      <c r="AM463" s="55">
        <v>1.89</v>
      </c>
      <c r="AN463" s="55">
        <v>0</v>
      </c>
      <c r="AO463" s="55">
        <v>1.62</v>
      </c>
      <c r="AP463" s="55">
        <v>2.4900000000000002</v>
      </c>
      <c r="AQ463" s="55">
        <v>0</v>
      </c>
      <c r="AR463" s="8">
        <v>0</v>
      </c>
      <c r="AS463" s="8">
        <v>2.27</v>
      </c>
      <c r="AT463" s="8">
        <v>3.36</v>
      </c>
      <c r="AU463" s="50">
        <v>1.98</v>
      </c>
      <c r="AV463" s="50">
        <v>1.37</v>
      </c>
      <c r="AW463" s="50">
        <v>0</v>
      </c>
      <c r="AX463" s="50">
        <v>1.2</v>
      </c>
      <c r="AY463" s="50">
        <v>0</v>
      </c>
      <c r="AZ463" s="50">
        <v>0</v>
      </c>
      <c r="BA463" s="50">
        <v>0</v>
      </c>
      <c r="BB463" s="50">
        <v>0</v>
      </c>
      <c r="BC463" s="55">
        <v>3.2</v>
      </c>
      <c r="BD463" s="55">
        <v>1.6</v>
      </c>
      <c r="BE463" s="11">
        <v>0</v>
      </c>
      <c r="BF463" s="4">
        <v>0</v>
      </c>
      <c r="BG463" s="4">
        <v>0</v>
      </c>
      <c r="BH463" s="4">
        <v>1.5049999999999999</v>
      </c>
      <c r="BI463" s="4">
        <v>1.8180000000000001</v>
      </c>
      <c r="BJ463" s="13">
        <v>1.823</v>
      </c>
      <c r="BK463" s="13">
        <v>2.157</v>
      </c>
      <c r="BL463" s="4">
        <v>2.2229999999999999</v>
      </c>
      <c r="BM463" s="16">
        <v>2.5219999999999998</v>
      </c>
      <c r="BN463" s="4">
        <v>2.4420000000000002</v>
      </c>
      <c r="BO463" s="4">
        <v>1.964</v>
      </c>
      <c r="BP463" s="4">
        <v>1.647</v>
      </c>
      <c r="BQ463" s="4">
        <v>1.2669999999999999</v>
      </c>
      <c r="BR463" s="4">
        <v>0</v>
      </c>
      <c r="BS463" s="55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1.913</v>
      </c>
      <c r="BY463" s="4">
        <v>1.6180000000000001</v>
      </c>
      <c r="BZ463" s="55">
        <v>2.04</v>
      </c>
      <c r="CA463" s="55">
        <v>0</v>
      </c>
      <c r="CB463" s="55">
        <v>1.93</v>
      </c>
      <c r="CC463" s="55">
        <v>1.83</v>
      </c>
      <c r="CD463" s="55">
        <v>0</v>
      </c>
      <c r="CE463" s="19">
        <v>2</v>
      </c>
      <c r="CF463" s="20">
        <v>2.1</v>
      </c>
      <c r="CG463" s="4">
        <v>2.1</v>
      </c>
      <c r="CH463" s="4">
        <v>2.1</v>
      </c>
      <c r="CI463" s="4">
        <v>1.87</v>
      </c>
      <c r="CJ463" s="34">
        <v>2</v>
      </c>
      <c r="CK463" s="34">
        <v>2.2000000000000002</v>
      </c>
      <c r="CL463" s="27">
        <v>0</v>
      </c>
      <c r="CM463" s="4">
        <v>1.9</v>
      </c>
      <c r="CN463" s="53">
        <v>2.2000000000000002</v>
      </c>
      <c r="CO463" s="54">
        <v>1.8</v>
      </c>
      <c r="CP463" s="54">
        <v>2.2000000000000002</v>
      </c>
      <c r="CQ463" s="4">
        <v>2.4</v>
      </c>
    </row>
    <row r="464" spans="1:95" s="55" customFormat="1" x14ac:dyDescent="0.35">
      <c r="A464" s="55">
        <v>463</v>
      </c>
      <c r="B464" s="55" t="s">
        <v>87</v>
      </c>
      <c r="C464" s="28" t="s">
        <v>176</v>
      </c>
      <c r="D464" s="50" t="s">
        <v>93</v>
      </c>
      <c r="E464" s="33" t="s">
        <v>89</v>
      </c>
      <c r="F464" s="4">
        <f>IFERROR(AVERAGEIF(Table1[[#This Row],[2019-Apr]:[2025-July]],"&lt;&gt;0"),0)</f>
        <v>1.4943666666666668</v>
      </c>
      <c r="G464" s="4">
        <f ca="1">IFERROR(AVERAGEIF(OFFSET(Table1[[#This Row],[Status]],0,COUNT(Table1[[#This Row],[2019-May]:[2025-July]]),1,-12),"&lt;&gt;0"),0)</f>
        <v>1.4</v>
      </c>
      <c r="H464" s="55">
        <f>IFERROR(SMALL(Table1[[#This Row],[2019-Apr]:[2025-July]],COUNTIF(Table1[[#This Row],[2019-Apr]:[2025-July]],0)+1),0)</f>
        <v>0.74299999999999999</v>
      </c>
      <c r="I464" s="55">
        <f>IFERROR(MAX(Table1[[#This Row],[2019-Apr]:[2025-July]]),0)</f>
        <v>2.2719999999999998</v>
      </c>
      <c r="J464" s="4" cm="1">
        <f t="array" ref="J46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0.88683333333333325</v>
      </c>
      <c r="K464" s="4">
        <v>4.5</v>
      </c>
      <c r="L464" s="4">
        <f>IF(Table1[[#This Row],[Standard as per ISO]]&gt;=Table1[[#This Row],[Avg of best 6]],Table1[[#This Row],[Standard as per ISO]],Table1[[#This Row],[Avg of best 6]])</f>
        <v>4.5</v>
      </c>
      <c r="M464" s="4" cm="1">
        <f t="array" ref="M464">IFERROR(LOOKUP(2,1/(Table1[[#This Row],[2019-May]:[2025-July]]&lt;&gt;0),Table1[[#This Row],[2019-May]:[2025-July]]),0)</f>
        <v>1.4</v>
      </c>
      <c r="N464" s="4">
        <f>COUNTIF(Table1[[#This Row],[2019-Apr]:[2025-July]],"&gt;="&amp;Table1[[#This Row],[Target]])</f>
        <v>0</v>
      </c>
      <c r="O464" s="4">
        <f>IF(Table1[[#This Row],[Outliers 2Y]]=0,1,0)</f>
        <v>1</v>
      </c>
      <c r="P464" s="4">
        <f>IF(Table1[[#This Row],[Last value]]&gt;1.5*Table1[[#This Row],[Target]],1,0)</f>
        <v>0</v>
      </c>
      <c r="Q464" s="4">
        <f>IF(AND(1.5*Table1[[#This Row],[Target]]&gt;=Table1[[#This Row],[Last value]],Table1[[#This Row],[Last value]]&gt;Table1[[#This Row],[Target]]),1,0)</f>
        <v>0</v>
      </c>
      <c r="R464" s="4">
        <f>IF(Table1[[#This Row],[Target]]&gt;=Table1[[#This Row],[Last value]],1,0)</f>
        <v>1</v>
      </c>
      <c r="S464" s="4" t="str">
        <f t="shared" si="9"/>
        <v>Green</v>
      </c>
      <c r="T464" s="55">
        <v>0</v>
      </c>
      <c r="U464" s="55">
        <v>0</v>
      </c>
      <c r="V464" s="55">
        <v>0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1.65</v>
      </c>
      <c r="AE464" s="55">
        <v>0</v>
      </c>
      <c r="AF464" s="55">
        <v>2.2000000000000002</v>
      </c>
      <c r="AG464" s="55">
        <v>0</v>
      </c>
      <c r="AH464" s="55">
        <v>0</v>
      </c>
      <c r="AI464" s="55">
        <v>1.8</v>
      </c>
      <c r="AJ464" s="55">
        <v>1.5</v>
      </c>
      <c r="AK464" s="55">
        <v>1.39</v>
      </c>
      <c r="AL464" s="55">
        <v>1.3</v>
      </c>
      <c r="AM464" s="55">
        <v>1.43</v>
      </c>
      <c r="AN464" s="55">
        <v>2.06</v>
      </c>
      <c r="AO464" s="55">
        <v>0</v>
      </c>
      <c r="AP464" s="55">
        <v>1.07</v>
      </c>
      <c r="AQ464" s="55">
        <v>1.24</v>
      </c>
      <c r="AR464" s="8">
        <v>1.69</v>
      </c>
      <c r="AS464" s="8">
        <v>0</v>
      </c>
      <c r="AT464" s="8">
        <v>1.38</v>
      </c>
      <c r="AU464" s="50">
        <v>1.82</v>
      </c>
      <c r="AV464" s="50">
        <v>0</v>
      </c>
      <c r="AW464" s="50">
        <v>1.49</v>
      </c>
      <c r="AX464" s="50">
        <v>0</v>
      </c>
      <c r="AY464" s="50">
        <v>2.0499999999999998</v>
      </c>
      <c r="AZ464" s="50">
        <v>1.71</v>
      </c>
      <c r="BA464" s="50">
        <v>1.1000000000000001</v>
      </c>
      <c r="BB464" s="50">
        <v>0</v>
      </c>
      <c r="BC464" s="50">
        <v>0</v>
      </c>
      <c r="BD464" s="55">
        <v>1.3</v>
      </c>
      <c r="BE464" s="11">
        <v>1.8049999999999999</v>
      </c>
      <c r="BF464" s="4">
        <v>0</v>
      </c>
      <c r="BG464" s="4">
        <v>1.62</v>
      </c>
      <c r="BH464" s="4">
        <v>1.891</v>
      </c>
      <c r="BI464" s="4">
        <v>1.371</v>
      </c>
      <c r="BJ464" s="13">
        <v>0</v>
      </c>
      <c r="BK464" s="13">
        <v>0.872</v>
      </c>
      <c r="BL464" s="4">
        <v>0</v>
      </c>
      <c r="BM464" s="16">
        <v>0.97399999999999998</v>
      </c>
      <c r="BN464" s="4">
        <v>0</v>
      </c>
      <c r="BO464" s="4">
        <v>2.2719999999999998</v>
      </c>
      <c r="BP464" s="4">
        <v>0.82799999999999996</v>
      </c>
      <c r="BQ464" s="4">
        <v>0</v>
      </c>
      <c r="BR464" s="4">
        <v>0</v>
      </c>
      <c r="BS464" s="55">
        <v>0</v>
      </c>
      <c r="BT464" s="4">
        <v>0.83399999999999996</v>
      </c>
      <c r="BU464" s="4">
        <v>0</v>
      </c>
      <c r="BV464" s="4">
        <v>2.0409999999999999</v>
      </c>
      <c r="BW464" s="4">
        <v>0</v>
      </c>
      <c r="BX464" s="4">
        <v>0.74299999999999999</v>
      </c>
      <c r="BY464" s="4">
        <v>0</v>
      </c>
      <c r="BZ464" s="55">
        <v>0</v>
      </c>
      <c r="CA464" s="55">
        <v>0</v>
      </c>
      <c r="CB464" s="55">
        <v>0</v>
      </c>
      <c r="CC464" s="55">
        <v>0</v>
      </c>
      <c r="CD464" s="55">
        <v>0</v>
      </c>
      <c r="CE464" s="19">
        <v>1.4</v>
      </c>
      <c r="CF464" s="19">
        <v>0</v>
      </c>
      <c r="CG464" s="4">
        <v>0</v>
      </c>
      <c r="CH464" s="4">
        <v>0</v>
      </c>
      <c r="CI464" s="4">
        <v>0</v>
      </c>
      <c r="CJ464" s="34">
        <v>0</v>
      </c>
      <c r="CK464" s="34">
        <v>0</v>
      </c>
      <c r="CL464" s="27">
        <v>0</v>
      </c>
      <c r="CM464" s="4">
        <v>0</v>
      </c>
      <c r="CN464" s="53">
        <v>0</v>
      </c>
      <c r="CO464" s="54">
        <v>0</v>
      </c>
      <c r="CP464" s="54">
        <v>0</v>
      </c>
      <c r="CQ464" s="4">
        <v>0</v>
      </c>
    </row>
    <row r="465" spans="1:95" s="55" customFormat="1" x14ac:dyDescent="0.35">
      <c r="A465" s="55">
        <v>464</v>
      </c>
      <c r="B465" s="55" t="s">
        <v>87</v>
      </c>
      <c r="C465" s="28" t="s">
        <v>177</v>
      </c>
      <c r="D465" s="50" t="s">
        <v>93</v>
      </c>
      <c r="E465" s="33" t="s">
        <v>89</v>
      </c>
      <c r="F465" s="4">
        <f>IFERROR(AVERAGEIF(Table1[[#This Row],[2019-Apr]:[2025-July]],"&lt;&gt;0"),0)</f>
        <v>1.5526774193548383</v>
      </c>
      <c r="G465" s="4">
        <f ca="1">IFERROR(AVERAGEIF(OFFSET(Table1[[#This Row],[Status]],0,COUNT(Table1[[#This Row],[2019-May]:[2025-July]]),1,-12),"&lt;&gt;0"),0)</f>
        <v>1.4</v>
      </c>
      <c r="H465" s="55">
        <f>IFERROR(SMALL(Table1[[#This Row],[2019-Apr]:[2025-July]],COUNTIF(Table1[[#This Row],[2019-Apr]:[2025-July]],0)+1),0)</f>
        <v>0.9</v>
      </c>
      <c r="I465" s="55">
        <f>IFERROR(MAX(Table1[[#This Row],[2019-Apr]:[2025-July]]),0)</f>
        <v>2.4</v>
      </c>
      <c r="J465" s="4" cm="1">
        <f t="array" ref="J46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0.99583333333333324</v>
      </c>
      <c r="K465" s="4">
        <v>4.5</v>
      </c>
      <c r="L465" s="4">
        <f>IF(Table1[[#This Row],[Standard as per ISO]]&gt;=Table1[[#This Row],[Avg of best 6]],Table1[[#This Row],[Standard as per ISO]],Table1[[#This Row],[Avg of best 6]])</f>
        <v>4.5</v>
      </c>
      <c r="M465" s="4" cm="1">
        <f t="array" ref="M465">IFERROR(LOOKUP(2,1/(Table1[[#This Row],[2019-May]:[2025-July]]&lt;&gt;0),Table1[[#This Row],[2019-May]:[2025-July]]),0)</f>
        <v>1.4</v>
      </c>
      <c r="N465" s="4">
        <f>COUNTIF(Table1[[#This Row],[2019-Apr]:[2025-July]],"&gt;="&amp;Table1[[#This Row],[Target]])</f>
        <v>0</v>
      </c>
      <c r="O465" s="4">
        <f>IF(Table1[[#This Row],[Outliers 2Y]]=0,1,0)</f>
        <v>1</v>
      </c>
      <c r="P465" s="4">
        <f>IF(Table1[[#This Row],[Last value]]&gt;1.5*Table1[[#This Row],[Target]],1,0)</f>
        <v>0</v>
      </c>
      <c r="Q465" s="4">
        <f>IF(AND(1.5*Table1[[#This Row],[Target]]&gt;=Table1[[#This Row],[Last value]],Table1[[#This Row],[Last value]]&gt;Table1[[#This Row],[Target]]),1,0)</f>
        <v>0</v>
      </c>
      <c r="R465" s="4">
        <f>IF(Table1[[#This Row],[Target]]&gt;=Table1[[#This Row],[Last value]],1,0)</f>
        <v>1</v>
      </c>
      <c r="S465" s="4" t="str">
        <f t="shared" si="9"/>
        <v>Green</v>
      </c>
      <c r="T465" s="55">
        <v>0</v>
      </c>
      <c r="U465" s="55">
        <v>0</v>
      </c>
      <c r="V465" s="55">
        <v>0</v>
      </c>
      <c r="W465" s="55">
        <v>0</v>
      </c>
      <c r="X465" s="55">
        <v>0</v>
      </c>
      <c r="Y465" s="55">
        <v>0.99099999999999999</v>
      </c>
      <c r="Z465" s="55">
        <v>0.9</v>
      </c>
      <c r="AA465" s="55">
        <v>1.4</v>
      </c>
      <c r="AB465" s="55">
        <v>1.1499999999999999</v>
      </c>
      <c r="AC465" s="55">
        <v>1.9</v>
      </c>
      <c r="AD465" s="55">
        <v>1.69</v>
      </c>
      <c r="AE465" s="55">
        <v>0.98</v>
      </c>
      <c r="AF465" s="55">
        <v>1.6</v>
      </c>
      <c r="AG465" s="55">
        <v>0</v>
      </c>
      <c r="AH465" s="55">
        <v>0</v>
      </c>
      <c r="AI465" s="55">
        <v>1.49</v>
      </c>
      <c r="AJ465" s="55">
        <v>1.2</v>
      </c>
      <c r="AK465" s="55">
        <v>0</v>
      </c>
      <c r="AL465" s="55">
        <v>0</v>
      </c>
      <c r="AM465" s="55">
        <v>0</v>
      </c>
      <c r="AN465" s="55">
        <v>1.4</v>
      </c>
      <c r="AO465" s="55">
        <v>0.96</v>
      </c>
      <c r="AP465" s="55">
        <v>0</v>
      </c>
      <c r="AQ465" s="55">
        <v>1.46</v>
      </c>
      <c r="AR465" s="8">
        <v>1.47</v>
      </c>
      <c r="AS465" s="8">
        <v>1.56</v>
      </c>
      <c r="AT465" s="8">
        <v>0</v>
      </c>
      <c r="AU465" s="50">
        <v>0</v>
      </c>
      <c r="AV465" s="50">
        <v>1.69</v>
      </c>
      <c r="AW465" s="50">
        <v>2.14</v>
      </c>
      <c r="AX465" s="50">
        <v>1.77</v>
      </c>
      <c r="AY465" s="50">
        <v>2.23</v>
      </c>
      <c r="AZ465" s="50">
        <v>2.2999999999999998</v>
      </c>
      <c r="BA465" s="50">
        <v>2.4</v>
      </c>
      <c r="BB465" s="50">
        <v>0</v>
      </c>
      <c r="BC465" s="55">
        <v>1.4</v>
      </c>
      <c r="BD465" s="55">
        <v>0</v>
      </c>
      <c r="BE465" s="11">
        <v>1.454</v>
      </c>
      <c r="BF465" s="4">
        <v>0</v>
      </c>
      <c r="BG465" s="4">
        <v>1.81</v>
      </c>
      <c r="BH465" s="4">
        <v>0</v>
      </c>
      <c r="BI465" s="4">
        <v>0</v>
      </c>
      <c r="BJ465" s="14">
        <v>1.4770000000000001</v>
      </c>
      <c r="BK465" s="14">
        <v>0</v>
      </c>
      <c r="BL465" s="4">
        <v>1.669</v>
      </c>
      <c r="BM465" s="17">
        <v>0</v>
      </c>
      <c r="BN465" s="4">
        <v>1.7250000000000001</v>
      </c>
      <c r="BO465" s="4">
        <v>0</v>
      </c>
      <c r="BP465" s="4">
        <v>0</v>
      </c>
      <c r="BQ465" s="4">
        <v>0.99399999999999999</v>
      </c>
      <c r="BR465" s="4">
        <v>0</v>
      </c>
      <c r="BS465" s="55">
        <v>0</v>
      </c>
      <c r="BT465" s="4">
        <v>1.6559999999999999</v>
      </c>
      <c r="BU465" s="4">
        <v>0</v>
      </c>
      <c r="BV465" s="4">
        <v>1.867</v>
      </c>
      <c r="BW465" s="4">
        <v>0</v>
      </c>
      <c r="BX465" s="4">
        <v>0</v>
      </c>
      <c r="BY465" s="4">
        <v>0</v>
      </c>
      <c r="BZ465" s="55">
        <v>0</v>
      </c>
      <c r="CA465" s="55">
        <v>0</v>
      </c>
      <c r="CB465" s="55">
        <v>0</v>
      </c>
      <c r="CC465" s="55">
        <v>0</v>
      </c>
      <c r="CD465" s="55">
        <v>0</v>
      </c>
      <c r="CE465" s="19">
        <v>1.4</v>
      </c>
      <c r="CF465" s="19">
        <v>0</v>
      </c>
      <c r="CG465" s="4">
        <v>0</v>
      </c>
      <c r="CH465" s="4">
        <v>0</v>
      </c>
      <c r="CI465" s="4">
        <v>0</v>
      </c>
      <c r="CJ465" s="34">
        <v>0</v>
      </c>
      <c r="CK465" s="34">
        <v>0</v>
      </c>
      <c r="CL465" s="27">
        <v>0</v>
      </c>
      <c r="CM465" s="4">
        <v>0</v>
      </c>
      <c r="CN465" s="53">
        <v>0</v>
      </c>
      <c r="CO465" s="54">
        <v>0</v>
      </c>
      <c r="CP465" s="54">
        <v>0</v>
      </c>
      <c r="CQ465" s="4">
        <v>0</v>
      </c>
    </row>
    <row r="466" spans="1:95" s="55" customFormat="1" x14ac:dyDescent="0.35">
      <c r="A466" s="55">
        <v>465</v>
      </c>
      <c r="B466" s="55" t="s">
        <v>87</v>
      </c>
      <c r="C466" s="28" t="s">
        <v>178</v>
      </c>
      <c r="D466" s="50" t="s">
        <v>93</v>
      </c>
      <c r="E466" s="33" t="s">
        <v>89</v>
      </c>
      <c r="F466" s="4">
        <f>IFERROR(AVERAGEIF(Table1[[#This Row],[2019-Apr]:[2025-July]],"&lt;&gt;0"),0)</f>
        <v>1.0896363636363637</v>
      </c>
      <c r="G466" s="4">
        <f ca="1">IFERROR(AVERAGEIF(OFFSET(Table1[[#This Row],[Status]],0,COUNT(Table1[[#This Row],[2019-May]:[2025-July]]),1,-12),"&lt;&gt;0"),0)</f>
        <v>0</v>
      </c>
      <c r="H466" s="55">
        <f>IFERROR(SMALL(Table1[[#This Row],[2019-Apr]:[2025-July]],COUNTIF(Table1[[#This Row],[2019-Apr]:[2025-July]],0)+1),0)</f>
        <v>0.63300000000000001</v>
      </c>
      <c r="I466" s="55">
        <f>IFERROR(MAX(Table1[[#This Row],[2019-Apr]:[2025-July]]),0)</f>
        <v>3.274</v>
      </c>
      <c r="J466" s="4" cm="1">
        <f t="array" ref="J46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0.72916666666666663</v>
      </c>
      <c r="K466" s="4">
        <v>4.5</v>
      </c>
      <c r="L466" s="4">
        <f>IF(Table1[[#This Row],[Standard as per ISO]]&gt;=Table1[[#This Row],[Avg of best 6]],Table1[[#This Row],[Standard as per ISO]],Table1[[#This Row],[Avg of best 6]])</f>
        <v>4.5</v>
      </c>
      <c r="M466" s="4" cm="1">
        <f t="array" ref="M466">IFERROR(LOOKUP(2,1/(Table1[[#This Row],[2019-May]:[2025-July]]&lt;&gt;0),Table1[[#This Row],[2019-May]:[2025-July]]),0)</f>
        <v>0.82599999999999996</v>
      </c>
      <c r="N466" s="4">
        <f>COUNTIF(Table1[[#This Row],[2019-Apr]:[2025-July]],"&gt;="&amp;Table1[[#This Row],[Target]])</f>
        <v>0</v>
      </c>
      <c r="O466" s="4">
        <f>IF(Table1[[#This Row],[Outliers 2Y]]=0,1,0)</f>
        <v>1</v>
      </c>
      <c r="P466" s="4">
        <f>IF(Table1[[#This Row],[Last value]]&gt;1.5*Table1[[#This Row],[Target]],1,0)</f>
        <v>0</v>
      </c>
      <c r="Q466" s="4">
        <f>IF(AND(1.5*Table1[[#This Row],[Target]]&gt;=Table1[[#This Row],[Last value]],Table1[[#This Row],[Last value]]&gt;Table1[[#This Row],[Target]]),1,0)</f>
        <v>0</v>
      </c>
      <c r="R466" s="4">
        <f>IF(Table1[[#This Row],[Target]]&gt;=Table1[[#This Row],[Last value]],1,0)</f>
        <v>1</v>
      </c>
      <c r="S466" s="4" t="str">
        <f t="shared" si="9"/>
        <v>Green</v>
      </c>
      <c r="T466" s="55">
        <v>0</v>
      </c>
      <c r="U466" s="55">
        <v>0</v>
      </c>
      <c r="V466" s="55">
        <v>0</v>
      </c>
      <c r="W466" s="55">
        <v>0</v>
      </c>
      <c r="X466" s="55">
        <v>0</v>
      </c>
      <c r="Y466" s="55">
        <v>1.54</v>
      </c>
      <c r="Z466" s="55">
        <v>1.6</v>
      </c>
      <c r="AA466" s="55">
        <v>0.71</v>
      </c>
      <c r="AB466" s="55">
        <v>0.89</v>
      </c>
      <c r="AC466" s="55">
        <v>0.8</v>
      </c>
      <c r="AD466" s="55">
        <v>0</v>
      </c>
      <c r="AE466" s="55">
        <v>1</v>
      </c>
      <c r="AF466" s="55">
        <v>0.9</v>
      </c>
      <c r="AG466" s="55">
        <v>0</v>
      </c>
      <c r="AH466" s="55">
        <v>0</v>
      </c>
      <c r="AI466" s="55">
        <v>0.995</v>
      </c>
      <c r="AJ466" s="55">
        <v>0</v>
      </c>
      <c r="AK466" s="55">
        <v>1.69</v>
      </c>
      <c r="AL466" s="55">
        <v>1.34</v>
      </c>
      <c r="AM466" s="55">
        <v>0.94</v>
      </c>
      <c r="AN466" s="55">
        <v>0</v>
      </c>
      <c r="AO466" s="55">
        <v>1.4</v>
      </c>
      <c r="AP466" s="55">
        <v>1</v>
      </c>
      <c r="AQ466" s="55">
        <v>0</v>
      </c>
      <c r="AR466" s="8">
        <v>0</v>
      </c>
      <c r="AS466" s="8">
        <v>0.85</v>
      </c>
      <c r="AT466" s="8">
        <v>1.0900000000000001</v>
      </c>
      <c r="AU466" s="50">
        <v>0.92</v>
      </c>
      <c r="AV466" s="50">
        <v>0.98</v>
      </c>
      <c r="AW466" s="50">
        <v>0</v>
      </c>
      <c r="AX466" s="50">
        <v>1.55</v>
      </c>
      <c r="AY466" s="50">
        <v>0</v>
      </c>
      <c r="AZ466" s="50">
        <v>0</v>
      </c>
      <c r="BA466" s="50">
        <v>0</v>
      </c>
      <c r="BB466" s="50">
        <v>0</v>
      </c>
      <c r="BC466" s="55">
        <v>1</v>
      </c>
      <c r="BD466" s="55">
        <v>0.7</v>
      </c>
      <c r="BE466" s="11">
        <v>0</v>
      </c>
      <c r="BF466" s="4">
        <v>0</v>
      </c>
      <c r="BG466" s="4">
        <v>1.0429999999999999</v>
      </c>
      <c r="BH466" s="4">
        <v>0.74399999999999999</v>
      </c>
      <c r="BI466" s="4">
        <v>0.99</v>
      </c>
      <c r="BJ466" s="13">
        <v>3.274</v>
      </c>
      <c r="BK466" s="13">
        <v>0.79400000000000004</v>
      </c>
      <c r="BL466" s="4">
        <v>0.84599999999999997</v>
      </c>
      <c r="BM466" s="16">
        <v>0.79400000000000004</v>
      </c>
      <c r="BN466" s="4">
        <v>0.82199999999999995</v>
      </c>
      <c r="BO466" s="4">
        <v>1.5860000000000001</v>
      </c>
      <c r="BP466" s="4">
        <v>0.85099999999999998</v>
      </c>
      <c r="BQ466" s="4">
        <v>0.86</v>
      </c>
      <c r="BR466" s="4">
        <v>0</v>
      </c>
      <c r="BS466" s="55">
        <v>0</v>
      </c>
      <c r="BT466" s="4">
        <v>0.63300000000000001</v>
      </c>
      <c r="BU466" s="4">
        <v>0</v>
      </c>
      <c r="BV466" s="4">
        <v>0</v>
      </c>
      <c r="BW466" s="4">
        <v>0</v>
      </c>
      <c r="BX466" s="4">
        <v>0.82599999999999996</v>
      </c>
      <c r="BY466" s="4">
        <v>0</v>
      </c>
      <c r="BZ466" s="55">
        <v>0</v>
      </c>
      <c r="CA466" s="55">
        <v>0</v>
      </c>
      <c r="CB466" s="55">
        <v>0</v>
      </c>
      <c r="CC466" s="55">
        <v>0</v>
      </c>
      <c r="CD466" s="55">
        <v>0</v>
      </c>
      <c r="CE466" s="19">
        <v>0</v>
      </c>
      <c r="CF466" s="19">
        <v>0</v>
      </c>
      <c r="CG466" s="4">
        <v>0</v>
      </c>
      <c r="CH466" s="4">
        <v>0</v>
      </c>
      <c r="CI466" s="4">
        <v>0</v>
      </c>
      <c r="CJ466" s="34">
        <v>0</v>
      </c>
      <c r="CK466" s="34">
        <v>0</v>
      </c>
      <c r="CL466" s="27">
        <v>0</v>
      </c>
      <c r="CM466" s="4">
        <v>0</v>
      </c>
      <c r="CN466" s="53">
        <v>0</v>
      </c>
      <c r="CO466" s="54">
        <v>0</v>
      </c>
      <c r="CP466" s="54">
        <v>0</v>
      </c>
      <c r="CQ466" s="4">
        <v>0</v>
      </c>
    </row>
    <row r="467" spans="1:95" s="55" customFormat="1" x14ac:dyDescent="0.35">
      <c r="A467" s="55">
        <v>466</v>
      </c>
      <c r="B467" s="55" t="s">
        <v>87</v>
      </c>
      <c r="C467" s="27" t="s">
        <v>179</v>
      </c>
      <c r="D467" s="50" t="s">
        <v>93</v>
      </c>
      <c r="E467" s="33" t="s">
        <v>89</v>
      </c>
      <c r="F467" s="4">
        <f>IFERROR(AVERAGEIF(Table1[[#This Row],[2019-Apr]:[2025-July]],"&lt;&gt;0"),0)</f>
        <v>3.8702068965517253</v>
      </c>
      <c r="G467" s="4">
        <f ca="1">IFERROR(AVERAGEIF(OFFSET(Table1[[#This Row],[Status]],0,COUNT(Table1[[#This Row],[2019-May]:[2025-July]]),1,-12),"&lt;&gt;0"),0)</f>
        <v>3.3166666666666664</v>
      </c>
      <c r="H467" s="55">
        <f>IFERROR(SMALL(Table1[[#This Row],[2019-Apr]:[2025-July]],COUNTIF(Table1[[#This Row],[2019-Apr]:[2025-July]],0)+1),0)</f>
        <v>2.39</v>
      </c>
      <c r="I467" s="55">
        <f>IFERROR(MAX(Table1[[#This Row],[2019-Apr]:[2025-July]]),0)</f>
        <v>5.51</v>
      </c>
      <c r="J467" s="4" cm="1">
        <f t="array" ref="J46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2.7423333333333333</v>
      </c>
      <c r="K467" s="4">
        <v>4.5</v>
      </c>
      <c r="L467" s="4">
        <f>IF(Table1[[#This Row],[Standard as per ISO]]&gt;=Table1[[#This Row],[Avg of best 6]],Table1[[#This Row],[Standard as per ISO]],Table1[[#This Row],[Avg of best 6]])</f>
        <v>4.5</v>
      </c>
      <c r="M467" s="4" cm="1">
        <f t="array" ref="M467">IFERROR(LOOKUP(2,1/(Table1[[#This Row],[2019-May]:[2025-July]]&lt;&gt;0),Table1[[#This Row],[2019-May]:[2025-July]]),0)</f>
        <v>3.11</v>
      </c>
      <c r="N467" s="4">
        <f>COUNTIF(Table1[[#This Row],[2019-Apr]:[2025-July]],"&gt;="&amp;Table1[[#This Row],[Target]])</f>
        <v>11</v>
      </c>
      <c r="O467" s="4">
        <f>IF(Table1[[#This Row],[Outliers 2Y]]=0,1,0)</f>
        <v>0</v>
      </c>
      <c r="P467" s="4">
        <f>IF(Table1[[#This Row],[Last value]]&gt;1.5*Table1[[#This Row],[Target]],1,0)</f>
        <v>0</v>
      </c>
      <c r="Q467" s="4">
        <f>IF(AND(1.5*Table1[[#This Row],[Target]]&gt;=Table1[[#This Row],[Last value]],Table1[[#This Row],[Last value]]&gt;Table1[[#This Row],[Target]]),1,0)</f>
        <v>0</v>
      </c>
      <c r="R467" s="4">
        <f>IF(Table1[[#This Row],[Target]]&gt;=Table1[[#This Row],[Last value]],1,0)</f>
        <v>1</v>
      </c>
      <c r="S467" s="4" t="str">
        <f t="shared" si="9"/>
        <v>Green</v>
      </c>
      <c r="T467" s="55">
        <v>0</v>
      </c>
      <c r="U467" s="55">
        <v>3.69</v>
      </c>
      <c r="V467" s="55">
        <v>4.66</v>
      </c>
      <c r="W467" s="55">
        <v>3.14</v>
      </c>
      <c r="X467" s="55">
        <v>4.58</v>
      </c>
      <c r="Y467" s="55">
        <v>4.55</v>
      </c>
      <c r="Z467" s="55">
        <v>5.5</v>
      </c>
      <c r="AA467" s="55">
        <v>4.9000000000000004</v>
      </c>
      <c r="AB467" s="55">
        <v>4.83</v>
      </c>
      <c r="AC467" s="55">
        <v>4.5</v>
      </c>
      <c r="AD467" s="55">
        <v>4.5199999999999996</v>
      </c>
      <c r="AE467" s="55">
        <v>5</v>
      </c>
      <c r="AF467" s="55">
        <v>4.3</v>
      </c>
      <c r="AG467" s="55">
        <v>4.1399999999999997</v>
      </c>
      <c r="AH467" s="55">
        <v>4.3</v>
      </c>
      <c r="AI467" s="55">
        <v>4.3899999999999997</v>
      </c>
      <c r="AJ467" s="55">
        <v>4.3</v>
      </c>
      <c r="AK467" s="55">
        <v>4.34</v>
      </c>
      <c r="AL467" s="55">
        <v>4.45</v>
      </c>
      <c r="AM467" s="55">
        <v>0</v>
      </c>
      <c r="AN467" s="55">
        <v>4.08</v>
      </c>
      <c r="AO467" s="55">
        <v>4.3899999999999997</v>
      </c>
      <c r="AP467" s="55">
        <v>4.33</v>
      </c>
      <c r="AQ467" s="55">
        <v>4.97</v>
      </c>
      <c r="AR467" s="8">
        <v>3.38</v>
      </c>
      <c r="AS467" s="8">
        <v>4.4800000000000004</v>
      </c>
      <c r="AT467" s="8">
        <v>0</v>
      </c>
      <c r="AU467" s="50">
        <v>3.07</v>
      </c>
      <c r="AV467" s="50">
        <v>3.86</v>
      </c>
      <c r="AW467" s="50">
        <v>2.94</v>
      </c>
      <c r="AX467" s="50">
        <v>5.51</v>
      </c>
      <c r="AY467" s="50">
        <v>3.56</v>
      </c>
      <c r="AZ467" s="50">
        <v>2.39</v>
      </c>
      <c r="BA467" s="50">
        <v>4.2</v>
      </c>
      <c r="BB467" s="50">
        <v>4.3</v>
      </c>
      <c r="BC467" s="55">
        <v>3.3</v>
      </c>
      <c r="BD467" s="55">
        <v>4.4000000000000004</v>
      </c>
      <c r="BE467" s="11">
        <v>3.5910000000000002</v>
      </c>
      <c r="BF467" s="4">
        <v>0</v>
      </c>
      <c r="BG467" s="4">
        <v>3.2</v>
      </c>
      <c r="BH467" s="4">
        <v>0</v>
      </c>
      <c r="BI467" s="4">
        <v>0</v>
      </c>
      <c r="BJ467" s="14">
        <v>3.7970000000000002</v>
      </c>
      <c r="BK467" s="14">
        <v>3.6949999999999998</v>
      </c>
      <c r="BL467" s="4">
        <v>0</v>
      </c>
      <c r="BM467" s="17">
        <v>0</v>
      </c>
      <c r="BN467" s="4">
        <v>3.5289999999999999</v>
      </c>
      <c r="BO467" s="4">
        <v>3.6739999999999999</v>
      </c>
      <c r="BP467" s="4">
        <v>2.762</v>
      </c>
      <c r="BQ467" s="4">
        <v>3.62</v>
      </c>
      <c r="BR467" s="4">
        <v>2.871</v>
      </c>
      <c r="BS467" s="55">
        <v>4.0039999999999996</v>
      </c>
      <c r="BT467" s="4">
        <v>3.0670000000000002</v>
      </c>
      <c r="BU467" s="4">
        <v>3.1389999999999998</v>
      </c>
      <c r="BV467" s="4">
        <v>2.4239999999999999</v>
      </c>
      <c r="BW467" s="4">
        <v>3.573</v>
      </c>
      <c r="BX467" s="4">
        <v>3.694</v>
      </c>
      <c r="BY467" s="4">
        <v>3.5219999999999998</v>
      </c>
      <c r="BZ467" s="55">
        <v>3.07</v>
      </c>
      <c r="CA467" s="55">
        <v>3.3</v>
      </c>
      <c r="CB467" s="55">
        <v>3.62</v>
      </c>
      <c r="CC467" s="55">
        <v>3.32</v>
      </c>
      <c r="CD467" s="55">
        <v>3.8</v>
      </c>
      <c r="CE467" s="19">
        <v>0</v>
      </c>
      <c r="CF467" s="19">
        <v>3.6</v>
      </c>
      <c r="CG467" s="4">
        <v>3.24</v>
      </c>
      <c r="CH467" s="4">
        <v>3.11</v>
      </c>
      <c r="CI467" s="4">
        <v>0</v>
      </c>
      <c r="CJ467" s="34">
        <v>0</v>
      </c>
      <c r="CK467" s="34">
        <v>0</v>
      </c>
      <c r="CL467" s="27">
        <v>0</v>
      </c>
      <c r="CM467" s="4">
        <v>0</v>
      </c>
      <c r="CN467" s="53">
        <v>0</v>
      </c>
      <c r="CO467" s="54">
        <v>0</v>
      </c>
      <c r="CP467" s="54">
        <v>0</v>
      </c>
      <c r="CQ467" s="4">
        <v>0</v>
      </c>
    </row>
    <row r="468" spans="1:95" s="55" customFormat="1" x14ac:dyDescent="0.35">
      <c r="A468" s="55">
        <v>467</v>
      </c>
      <c r="B468" s="55" t="s">
        <v>87</v>
      </c>
      <c r="C468" s="27" t="s">
        <v>180</v>
      </c>
      <c r="D468" s="50" t="s">
        <v>93</v>
      </c>
      <c r="E468" s="33" t="s">
        <v>89</v>
      </c>
      <c r="F468" s="4">
        <f>IFERROR(AVERAGEIF(Table1[[#This Row],[2019-Apr]:[2025-July]],"&lt;&gt;0"),0)</f>
        <v>3.6524736842105288</v>
      </c>
      <c r="G468" s="4">
        <f ca="1">IFERROR(AVERAGEIF(OFFSET(Table1[[#This Row],[Status]],0,COUNT(Table1[[#This Row],[2019-May]:[2025-July]]),1,-12),"&lt;&gt;0"),0)</f>
        <v>3.97</v>
      </c>
      <c r="H468" s="55">
        <f>IFERROR(SMALL(Table1[[#This Row],[2019-Apr]:[2025-July]],COUNTIF(Table1[[#This Row],[2019-Apr]:[2025-July]],0)+1),0)</f>
        <v>2.1</v>
      </c>
      <c r="I468" s="55">
        <f>IFERROR(MAX(Table1[[#This Row],[2019-Apr]:[2025-July]]),0)</f>
        <v>7.38</v>
      </c>
      <c r="J468" s="4" cm="1">
        <f t="array" ref="J46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2.2233333333333336</v>
      </c>
      <c r="K468" s="4">
        <v>4.5</v>
      </c>
      <c r="L468" s="4">
        <f>IF(Table1[[#This Row],[Standard as per ISO]]&gt;=Table1[[#This Row],[Avg of best 6]],Table1[[#This Row],[Standard as per ISO]],Table1[[#This Row],[Avg of best 6]])</f>
        <v>4.5</v>
      </c>
      <c r="M468" s="4" cm="1">
        <f t="array" ref="M468">IFERROR(LOOKUP(2,1/(Table1[[#This Row],[2019-May]:[2025-July]]&lt;&gt;0),Table1[[#This Row],[2019-May]:[2025-July]]),0)</f>
        <v>4.03</v>
      </c>
      <c r="N468" s="4">
        <f>COUNTIF(Table1[[#This Row],[2019-Apr]:[2025-July]],"&gt;="&amp;Table1[[#This Row],[Target]])</f>
        <v>7</v>
      </c>
      <c r="O468" s="4">
        <f>IF(Table1[[#This Row],[Outliers 2Y]]=0,1,0)</f>
        <v>0</v>
      </c>
      <c r="P468" s="4">
        <f>IF(Table1[[#This Row],[Last value]]&gt;1.5*Table1[[#This Row],[Target]],1,0)</f>
        <v>0</v>
      </c>
      <c r="Q468" s="4">
        <f>IF(AND(1.5*Table1[[#This Row],[Target]]&gt;=Table1[[#This Row],[Last value]],Table1[[#This Row],[Last value]]&gt;Table1[[#This Row],[Target]]),1,0)</f>
        <v>0</v>
      </c>
      <c r="R468" s="4">
        <f>IF(Table1[[#This Row],[Target]]&gt;=Table1[[#This Row],[Last value]],1,0)</f>
        <v>1</v>
      </c>
      <c r="S468" s="4" t="str">
        <f t="shared" si="9"/>
        <v>Green</v>
      </c>
      <c r="T468" s="55">
        <v>0</v>
      </c>
      <c r="U468" s="55">
        <v>3.3</v>
      </c>
      <c r="V468" s="55">
        <v>5.31</v>
      </c>
      <c r="W468" s="55">
        <v>2.2000000000000002</v>
      </c>
      <c r="X468" s="55">
        <v>4.28</v>
      </c>
      <c r="Y468" s="55">
        <v>2.2999999999999998</v>
      </c>
      <c r="Z468" s="55">
        <v>5.3</v>
      </c>
      <c r="AA468" s="55">
        <v>2.9</v>
      </c>
      <c r="AB468" s="55">
        <v>5.51</v>
      </c>
      <c r="AC468" s="55">
        <v>2.6</v>
      </c>
      <c r="AD468" s="55">
        <v>2.81</v>
      </c>
      <c r="AE468" s="55">
        <v>2.1</v>
      </c>
      <c r="AF468" s="55">
        <v>2.8</v>
      </c>
      <c r="AG468" s="55">
        <v>3.4</v>
      </c>
      <c r="AH468" s="55">
        <v>3.7</v>
      </c>
      <c r="AI468" s="55">
        <v>4.57</v>
      </c>
      <c r="AJ468" s="55">
        <v>3.2</v>
      </c>
      <c r="AK468" s="55">
        <v>2.16</v>
      </c>
      <c r="AL468" s="55">
        <v>2.79</v>
      </c>
      <c r="AM468" s="55">
        <v>0</v>
      </c>
      <c r="AN468" s="55">
        <v>3.01</v>
      </c>
      <c r="AO468" s="55">
        <v>2.42</v>
      </c>
      <c r="AP468" s="55">
        <v>2.5499999999999998</v>
      </c>
      <c r="AQ468" s="55">
        <v>2.97</v>
      </c>
      <c r="AR468" s="8">
        <v>3.12</v>
      </c>
      <c r="AS468" s="8">
        <v>7.38</v>
      </c>
      <c r="AT468" s="8">
        <v>0</v>
      </c>
      <c r="AU468" s="50">
        <v>4.7699999999999996</v>
      </c>
      <c r="AV468" s="50">
        <v>2.5299999999999998</v>
      </c>
      <c r="AW468" s="50">
        <v>2.16</v>
      </c>
      <c r="AX468" s="50">
        <v>3.91</v>
      </c>
      <c r="AY468" s="50">
        <v>2.5299999999999998</v>
      </c>
      <c r="AZ468" s="50">
        <v>2.62</v>
      </c>
      <c r="BA468" s="50">
        <v>4</v>
      </c>
      <c r="BB468" s="50">
        <v>4</v>
      </c>
      <c r="BC468" s="55">
        <v>3.8</v>
      </c>
      <c r="BD468" s="55">
        <v>3.2</v>
      </c>
      <c r="BE468" s="11">
        <v>0</v>
      </c>
      <c r="BF468" s="4">
        <v>0</v>
      </c>
      <c r="BG468" s="4">
        <v>3.6</v>
      </c>
      <c r="BH468" s="4">
        <v>0</v>
      </c>
      <c r="BI468" s="4">
        <v>0</v>
      </c>
      <c r="BJ468" s="13">
        <v>2.75</v>
      </c>
      <c r="BK468" s="13">
        <v>3.9140000000000001</v>
      </c>
      <c r="BL468" s="4">
        <v>0</v>
      </c>
      <c r="BM468" s="16">
        <v>0</v>
      </c>
      <c r="BN468" s="4">
        <v>3.9470000000000001</v>
      </c>
      <c r="BO468" s="4">
        <v>3.996</v>
      </c>
      <c r="BP468" s="4">
        <v>4.2350000000000003</v>
      </c>
      <c r="BQ468" s="4">
        <v>4.2930000000000001</v>
      </c>
      <c r="BR468" s="4">
        <v>3.8929999999999998</v>
      </c>
      <c r="BS468" s="55">
        <v>3.9340000000000002</v>
      </c>
      <c r="BT468" s="4">
        <v>3.7629999999999999</v>
      </c>
      <c r="BU468" s="4">
        <v>3.8650000000000002</v>
      </c>
      <c r="BV468" s="4">
        <v>4.5090000000000003</v>
      </c>
      <c r="BW468" s="4">
        <v>4.1100000000000003</v>
      </c>
      <c r="BX468" s="4">
        <v>4.24</v>
      </c>
      <c r="BY468" s="4">
        <v>4.1219999999999999</v>
      </c>
      <c r="BZ468" s="55">
        <v>4.08</v>
      </c>
      <c r="CA468" s="55">
        <v>4.25</v>
      </c>
      <c r="CB468" s="55">
        <v>4.1500000000000004</v>
      </c>
      <c r="CC468" s="55">
        <v>4.25</v>
      </c>
      <c r="CD468" s="55">
        <v>4.18</v>
      </c>
      <c r="CE468" s="19">
        <v>0</v>
      </c>
      <c r="CF468" s="19">
        <v>3.8</v>
      </c>
      <c r="CG468" s="4">
        <v>4.08</v>
      </c>
      <c r="CH468" s="4">
        <v>4.03</v>
      </c>
      <c r="CI468" s="4">
        <v>0</v>
      </c>
      <c r="CJ468" s="34">
        <v>0</v>
      </c>
      <c r="CK468" s="34">
        <v>0</v>
      </c>
      <c r="CL468" s="27">
        <v>0</v>
      </c>
      <c r="CM468" s="4">
        <v>0</v>
      </c>
      <c r="CN468" s="53">
        <v>0</v>
      </c>
      <c r="CO468" s="54">
        <v>0</v>
      </c>
      <c r="CP468" s="54">
        <v>0</v>
      </c>
      <c r="CQ468" s="4">
        <v>0</v>
      </c>
    </row>
    <row r="469" spans="1:95" s="55" customFormat="1" x14ac:dyDescent="0.35">
      <c r="A469" s="55">
        <v>468</v>
      </c>
      <c r="B469" s="55" t="s">
        <v>87</v>
      </c>
      <c r="C469" s="27" t="s">
        <v>181</v>
      </c>
      <c r="D469" s="50" t="s">
        <v>93</v>
      </c>
      <c r="E469" s="33" t="s">
        <v>89</v>
      </c>
      <c r="F469" s="4">
        <f>IFERROR(AVERAGEIF(Table1[[#This Row],[2019-Apr]:[2025-July]],"&lt;&gt;0"),0)</f>
        <v>3.3563283582089549</v>
      </c>
      <c r="G469" s="4">
        <f ca="1">IFERROR(AVERAGEIF(OFFSET(Table1[[#This Row],[Status]],0,COUNT(Table1[[#This Row],[2019-May]:[2025-July]]),1,-12),"&lt;&gt;0"),0)</f>
        <v>2.8627272727272723</v>
      </c>
      <c r="H469" s="55">
        <f>IFERROR(SMALL(Table1[[#This Row],[2019-Apr]:[2025-July]],COUNTIF(Table1[[#This Row],[2019-Apr]:[2025-July]],0)+1),0)</f>
        <v>2.1</v>
      </c>
      <c r="I469" s="55">
        <f>IFERROR(MAX(Table1[[#This Row],[2019-Apr]:[2025-July]]),0)</f>
        <v>4.58</v>
      </c>
      <c r="J469" s="4" cm="1">
        <f t="array" ref="J46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2.439833333333334</v>
      </c>
      <c r="K469" s="4">
        <v>4.5</v>
      </c>
      <c r="L469" s="4">
        <f>IF(Table1[[#This Row],[Standard as per ISO]]&gt;=Table1[[#This Row],[Avg of best 6]],Table1[[#This Row],[Standard as per ISO]],Table1[[#This Row],[Avg of best 6]])</f>
        <v>4.5</v>
      </c>
      <c r="M469" s="4" cm="1">
        <f t="array" ref="M469">IFERROR(LOOKUP(2,1/(Table1[[#This Row],[2019-May]:[2025-July]]&lt;&gt;0),Table1[[#This Row],[2019-May]:[2025-July]]),0)</f>
        <v>3</v>
      </c>
      <c r="N469" s="4">
        <f>COUNTIF(Table1[[#This Row],[2019-Apr]:[2025-July]],"&gt;="&amp;Table1[[#This Row],[Target]])</f>
        <v>2</v>
      </c>
      <c r="O469" s="4">
        <f>IF(Table1[[#This Row],[Outliers 2Y]]=0,1,0)</f>
        <v>0</v>
      </c>
      <c r="P469" s="4">
        <f>IF(Table1[[#This Row],[Last value]]&gt;1.5*Table1[[#This Row],[Target]],1,0)</f>
        <v>0</v>
      </c>
      <c r="Q469" s="4">
        <f>IF(AND(1.5*Table1[[#This Row],[Target]]&gt;=Table1[[#This Row],[Last value]],Table1[[#This Row],[Last value]]&gt;Table1[[#This Row],[Target]]),1,0)</f>
        <v>0</v>
      </c>
      <c r="R469" s="4">
        <f>IF(Table1[[#This Row],[Target]]&gt;=Table1[[#This Row],[Last value]],1,0)</f>
        <v>1</v>
      </c>
      <c r="S469" s="4" t="str">
        <f t="shared" si="9"/>
        <v>Green</v>
      </c>
      <c r="T469" s="55">
        <v>0</v>
      </c>
      <c r="U469" s="55">
        <v>2.4500000000000002</v>
      </c>
      <c r="V469" s="55">
        <v>4.13</v>
      </c>
      <c r="W469" s="55">
        <v>3.78</v>
      </c>
      <c r="X469" s="55">
        <v>3.74</v>
      </c>
      <c r="Y469" s="55">
        <v>3.8</v>
      </c>
      <c r="Z469" s="55">
        <v>4.2</v>
      </c>
      <c r="AA469" s="55">
        <v>3.5</v>
      </c>
      <c r="AB469" s="55">
        <v>3.93</v>
      </c>
      <c r="AC469" s="55">
        <v>4</v>
      </c>
      <c r="AD469" s="55">
        <v>4.09</v>
      </c>
      <c r="AE469" s="55">
        <v>3.8</v>
      </c>
      <c r="AF469" s="55">
        <v>3.4</v>
      </c>
      <c r="AG469" s="55">
        <v>3.58</v>
      </c>
      <c r="AH469" s="55">
        <v>3.6</v>
      </c>
      <c r="AI469" s="55">
        <v>3.71</v>
      </c>
      <c r="AJ469" s="55">
        <v>3.8</v>
      </c>
      <c r="AK469" s="55">
        <v>3.79</v>
      </c>
      <c r="AL469" s="55">
        <v>3.69</v>
      </c>
      <c r="AM469" s="55">
        <v>0</v>
      </c>
      <c r="AN469" s="55">
        <v>3.66</v>
      </c>
      <c r="AO469" s="55">
        <v>3.93</v>
      </c>
      <c r="AP469" s="55">
        <v>3.82</v>
      </c>
      <c r="AQ469" s="55">
        <v>3.82</v>
      </c>
      <c r="AR469" s="8">
        <v>4.58</v>
      </c>
      <c r="AS469" s="8">
        <v>3.63</v>
      </c>
      <c r="AT469" s="8">
        <v>0</v>
      </c>
      <c r="AU469" s="50">
        <v>4.05</v>
      </c>
      <c r="AV469" s="50">
        <v>4.12</v>
      </c>
      <c r="AW469" s="50">
        <v>4.2</v>
      </c>
      <c r="AX469" s="50">
        <v>4.01</v>
      </c>
      <c r="AY469" s="50">
        <v>3.85</v>
      </c>
      <c r="AZ469" s="50">
        <v>3.82</v>
      </c>
      <c r="BA469" s="50">
        <v>3.3</v>
      </c>
      <c r="BB469" s="50">
        <v>3.7</v>
      </c>
      <c r="BC469" s="55">
        <v>3.5</v>
      </c>
      <c r="BD469" s="55">
        <v>2.8</v>
      </c>
      <c r="BE469" s="11">
        <v>2.847</v>
      </c>
      <c r="BF469" s="4">
        <v>0</v>
      </c>
      <c r="BG469" s="4">
        <v>2.9</v>
      </c>
      <c r="BH469" s="4">
        <v>0</v>
      </c>
      <c r="BI469" s="4">
        <v>0</v>
      </c>
      <c r="BJ469" s="14">
        <v>4.5659999999999998</v>
      </c>
      <c r="BK469" s="14">
        <v>2.7570000000000001</v>
      </c>
      <c r="BL469" s="4">
        <v>0</v>
      </c>
      <c r="BM469" s="17">
        <v>0</v>
      </c>
      <c r="BN469" s="4">
        <v>2.7589999999999999</v>
      </c>
      <c r="BO469" s="4">
        <v>2.883</v>
      </c>
      <c r="BP469" s="4">
        <v>2.669</v>
      </c>
      <c r="BQ469" s="4">
        <v>2.6560000000000001</v>
      </c>
      <c r="BR469" s="4">
        <v>3.2530000000000001</v>
      </c>
      <c r="BS469" s="55">
        <v>3.7120000000000002</v>
      </c>
      <c r="BT469" s="4">
        <v>2.9340000000000002</v>
      </c>
      <c r="BU469" s="4">
        <v>2.6560000000000001</v>
      </c>
      <c r="BV469" s="4">
        <v>2.3769999999999998</v>
      </c>
      <c r="BW469" s="4">
        <v>2.9950000000000001</v>
      </c>
      <c r="BX469" s="4">
        <v>2.7789999999999999</v>
      </c>
      <c r="BY469" s="4">
        <v>2.9009999999999998</v>
      </c>
      <c r="BZ469" s="55">
        <v>2.93</v>
      </c>
      <c r="CA469" s="55">
        <v>3.04</v>
      </c>
      <c r="CB469" s="55">
        <v>2.92</v>
      </c>
      <c r="CC469" s="55">
        <v>3.14</v>
      </c>
      <c r="CD469" s="55">
        <v>2.93</v>
      </c>
      <c r="CE469" s="19">
        <v>0</v>
      </c>
      <c r="CF469" s="19">
        <v>2.1</v>
      </c>
      <c r="CG469" s="4">
        <v>3.02</v>
      </c>
      <c r="CH469" s="4">
        <v>3.09</v>
      </c>
      <c r="CI469" s="4">
        <v>2.88</v>
      </c>
      <c r="CJ469" s="34">
        <v>3.2</v>
      </c>
      <c r="CK469" s="34">
        <v>2.4</v>
      </c>
      <c r="CL469" s="27">
        <v>3.2</v>
      </c>
      <c r="CM469" s="4">
        <v>3.2</v>
      </c>
      <c r="CN469" s="53">
        <v>2.8</v>
      </c>
      <c r="CO469" s="54">
        <v>2.7</v>
      </c>
      <c r="CP469" s="54">
        <v>2.9</v>
      </c>
      <c r="CQ469" s="4">
        <v>3</v>
      </c>
    </row>
    <row r="470" spans="1:95" s="55" customFormat="1" x14ac:dyDescent="0.35">
      <c r="A470" s="55">
        <v>469</v>
      </c>
      <c r="B470" s="55" t="s">
        <v>87</v>
      </c>
      <c r="C470" s="27" t="s">
        <v>182</v>
      </c>
      <c r="D470" s="50" t="s">
        <v>93</v>
      </c>
      <c r="E470" s="33" t="s">
        <v>89</v>
      </c>
      <c r="F470" s="4">
        <f>IFERROR(AVERAGEIF(Table1[[#This Row],[2019-Apr]:[2025-July]],"&lt;&gt;0"),0)</f>
        <v>4.1881666666666675</v>
      </c>
      <c r="G470" s="4">
        <f ca="1">IFERROR(AVERAGEIF(OFFSET(Table1[[#This Row],[Status]],0,COUNT(Table1[[#This Row],[2019-May]:[2025-July]]),1,-12),"&lt;&gt;0"),0)</f>
        <v>3.9845454545454544</v>
      </c>
      <c r="H470" s="55">
        <f>IFERROR(SMALL(Table1[[#This Row],[2019-Apr]:[2025-July]],COUNTIF(Table1[[#This Row],[2019-Apr]:[2025-July]],0)+1),0)</f>
        <v>1.79</v>
      </c>
      <c r="I470" s="55">
        <f>IFERROR(MAX(Table1[[#This Row],[2019-Apr]:[2025-July]]),0)</f>
        <v>5.6669999999999998</v>
      </c>
      <c r="J470" s="4" cm="1">
        <f t="array" ref="J47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2.4783333333333331</v>
      </c>
      <c r="K470" s="4">
        <v>4.5</v>
      </c>
      <c r="L470" s="4">
        <f>IF(Table1[[#This Row],[Standard as per ISO]]&gt;=Table1[[#This Row],[Avg of best 6]],Table1[[#This Row],[Standard as per ISO]],Table1[[#This Row],[Avg of best 6]])</f>
        <v>4.5</v>
      </c>
      <c r="M470" s="4" cm="1">
        <f t="array" ref="M470">IFERROR(LOOKUP(2,1/(Table1[[#This Row],[2019-May]:[2025-July]]&lt;&gt;0),Table1[[#This Row],[2019-May]:[2025-July]]),0)</f>
        <v>4.5999999999999996</v>
      </c>
      <c r="N470" s="4">
        <f>COUNTIF(Table1[[#This Row],[2019-Apr]:[2025-July]],"&gt;="&amp;Table1[[#This Row],[Target]])</f>
        <v>27</v>
      </c>
      <c r="O470" s="4">
        <f>IF(Table1[[#This Row],[Outliers 2Y]]=0,1,0)</f>
        <v>0</v>
      </c>
      <c r="P470" s="4">
        <f>IF(Table1[[#This Row],[Last value]]&gt;1.5*Table1[[#This Row],[Target]],1,0)</f>
        <v>0</v>
      </c>
      <c r="Q470" s="4">
        <f>IF(AND(1.5*Table1[[#This Row],[Target]]&gt;=Table1[[#This Row],[Last value]],Table1[[#This Row],[Last value]]&gt;Table1[[#This Row],[Target]]),1,0)</f>
        <v>1</v>
      </c>
      <c r="R470" s="4">
        <f>IF(Table1[[#This Row],[Target]]&gt;=Table1[[#This Row],[Last value]],1,0)</f>
        <v>0</v>
      </c>
      <c r="S470" s="4" t="str">
        <f t="shared" si="9"/>
        <v>Yellow</v>
      </c>
      <c r="T470" s="55">
        <v>0</v>
      </c>
      <c r="U470" s="55">
        <v>1.79</v>
      </c>
      <c r="V470" s="55">
        <v>2.56</v>
      </c>
      <c r="W470" s="55">
        <v>2.82</v>
      </c>
      <c r="X470" s="55">
        <v>3.32</v>
      </c>
      <c r="Y470" s="55">
        <v>2.6</v>
      </c>
      <c r="Z470" s="55">
        <v>2.5</v>
      </c>
      <c r="AA470" s="55">
        <v>2.6</v>
      </c>
      <c r="AB470" s="55">
        <v>3.27</v>
      </c>
      <c r="AC470" s="55">
        <v>3.2</v>
      </c>
      <c r="AD470" s="55">
        <v>2.89</v>
      </c>
      <c r="AE470" s="55">
        <v>4.2</v>
      </c>
      <c r="AF470" s="55">
        <v>3.8</v>
      </c>
      <c r="AG470" s="55">
        <v>3.85</v>
      </c>
      <c r="AH470" s="55">
        <v>4.5</v>
      </c>
      <c r="AI470" s="55">
        <v>4.26</v>
      </c>
      <c r="AJ470" s="55">
        <v>4.2</v>
      </c>
      <c r="AK470" s="55">
        <v>4.26</v>
      </c>
      <c r="AL470" s="55">
        <v>4.8899999999999997</v>
      </c>
      <c r="AM470" s="55">
        <v>0</v>
      </c>
      <c r="AN470" s="55">
        <v>4.5999999999999996</v>
      </c>
      <c r="AO470" s="55">
        <v>4.8600000000000003</v>
      </c>
      <c r="AP470" s="55">
        <v>5</v>
      </c>
      <c r="AQ470" s="55">
        <v>5.27</v>
      </c>
      <c r="AR470" s="8">
        <v>5.27</v>
      </c>
      <c r="AS470" s="8">
        <v>4.76</v>
      </c>
      <c r="AT470" s="8">
        <v>0</v>
      </c>
      <c r="AU470" s="50">
        <v>5.51</v>
      </c>
      <c r="AV470" s="50">
        <v>4.78</v>
      </c>
      <c r="AW470" s="50">
        <v>4.3</v>
      </c>
      <c r="AX470" s="50">
        <v>5.24</v>
      </c>
      <c r="AY470" s="50">
        <v>4.5199999999999996</v>
      </c>
      <c r="AZ470" s="50">
        <v>4.22</v>
      </c>
      <c r="BA470" s="50">
        <v>3.9</v>
      </c>
      <c r="BB470" s="50">
        <v>4.5</v>
      </c>
      <c r="BC470" s="55">
        <v>3.8</v>
      </c>
      <c r="BD470" s="55">
        <v>3.8</v>
      </c>
      <c r="BE470" s="11">
        <v>5.5460000000000003</v>
      </c>
      <c r="BF470" s="4">
        <v>0</v>
      </c>
      <c r="BG470" s="4">
        <v>3.8</v>
      </c>
      <c r="BH470" s="4">
        <v>0</v>
      </c>
      <c r="BI470" s="4">
        <v>0</v>
      </c>
      <c r="BJ470" s="13">
        <v>0</v>
      </c>
      <c r="BK470" s="13">
        <v>4.8920000000000003</v>
      </c>
      <c r="BL470" s="4">
        <v>0</v>
      </c>
      <c r="BM470" s="16">
        <v>0</v>
      </c>
      <c r="BN470" s="4">
        <v>4.157</v>
      </c>
      <c r="BO470" s="4">
        <v>4.2809999999999997</v>
      </c>
      <c r="BP470" s="4">
        <v>3.9710000000000001</v>
      </c>
      <c r="BQ470" s="4">
        <v>4.9930000000000003</v>
      </c>
      <c r="BR470" s="4">
        <v>4.8730000000000002</v>
      </c>
      <c r="BS470" s="55">
        <v>4.9909999999999997</v>
      </c>
      <c r="BT470" s="4">
        <v>5.2839999999999998</v>
      </c>
      <c r="BU470" s="4">
        <v>4.8369999999999997</v>
      </c>
      <c r="BV470" s="4">
        <v>5.6669999999999998</v>
      </c>
      <c r="BW470" s="4">
        <v>4.702</v>
      </c>
      <c r="BX470" s="4">
        <v>5.1710000000000003</v>
      </c>
      <c r="BY470" s="4">
        <v>4.3440000000000003</v>
      </c>
      <c r="BZ470" s="55">
        <v>4.33</v>
      </c>
      <c r="CA470" s="55">
        <v>3.88</v>
      </c>
      <c r="CB470" s="55">
        <v>4.2699999999999996</v>
      </c>
      <c r="CC470" s="55">
        <v>4.54</v>
      </c>
      <c r="CD470" s="55">
        <v>3.62</v>
      </c>
      <c r="CE470" s="19">
        <v>0</v>
      </c>
      <c r="CF470" s="19">
        <v>4.4000000000000004</v>
      </c>
      <c r="CG470" s="4">
        <v>4.84</v>
      </c>
      <c r="CH470" s="4">
        <v>3.27</v>
      </c>
      <c r="CI470" s="4">
        <v>3.32</v>
      </c>
      <c r="CJ470" s="34">
        <v>3.6</v>
      </c>
      <c r="CK470" s="34">
        <v>3.6</v>
      </c>
      <c r="CL470" s="27">
        <v>4.0999999999999996</v>
      </c>
      <c r="CM470" s="4">
        <v>4.4000000000000004</v>
      </c>
      <c r="CN470" s="53">
        <v>3.8</v>
      </c>
      <c r="CO470" s="54">
        <v>3.9</v>
      </c>
      <c r="CP470" s="54">
        <v>4.5999999999999996</v>
      </c>
      <c r="CQ470" s="4">
        <v>4.5999999999999996</v>
      </c>
    </row>
    <row r="471" spans="1:95" s="55" customFormat="1" x14ac:dyDescent="0.35">
      <c r="A471" s="55">
        <v>470</v>
      </c>
      <c r="B471" s="55" t="s">
        <v>87</v>
      </c>
      <c r="C471" s="27" t="s">
        <v>183</v>
      </c>
      <c r="D471" s="50" t="s">
        <v>93</v>
      </c>
      <c r="E471" s="33" t="s">
        <v>89</v>
      </c>
      <c r="F471" s="4">
        <f>IFERROR(AVERAGEIF(Table1[[#This Row],[2019-Apr]:[2025-July]],"&lt;&gt;0"),0)</f>
        <v>4.5637343750000019</v>
      </c>
      <c r="G471" s="4">
        <f ca="1">IFERROR(AVERAGEIF(OFFSET(Table1[[#This Row],[Status]],0,COUNT(Table1[[#This Row],[2019-May]:[2025-July]]),1,-12),"&lt;&gt;0"),0)</f>
        <v>3.7836363636363632</v>
      </c>
      <c r="H471" s="55">
        <f>IFERROR(SMALL(Table1[[#This Row],[2019-Apr]:[2025-July]],COUNTIF(Table1[[#This Row],[2019-Apr]:[2025-July]],0)+1),0)</f>
        <v>2.4009999999999998</v>
      </c>
      <c r="I471" s="55">
        <f>IFERROR(MAX(Table1[[#This Row],[2019-Apr]:[2025-July]]),0)</f>
        <v>6.96</v>
      </c>
      <c r="J471" s="4" cm="1">
        <f t="array" ref="J47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2.8068333333333335</v>
      </c>
      <c r="K471" s="4">
        <v>4.5</v>
      </c>
      <c r="L471" s="4">
        <f>IF(Table1[[#This Row],[Standard as per ISO]]&gt;=Table1[[#This Row],[Avg of best 6]],Table1[[#This Row],[Standard as per ISO]],Table1[[#This Row],[Avg of best 6]])</f>
        <v>4.5</v>
      </c>
      <c r="M471" s="4" cm="1">
        <f t="array" ref="M471">IFERROR(LOOKUP(2,1/(Table1[[#This Row],[2019-May]:[2025-July]]&lt;&gt;0),Table1[[#This Row],[2019-May]:[2025-July]]),0)</f>
        <v>3.1</v>
      </c>
      <c r="N471" s="4">
        <f>COUNTIF(Table1[[#This Row],[2019-Apr]:[2025-July]],"&gt;="&amp;Table1[[#This Row],[Target]])</f>
        <v>31</v>
      </c>
      <c r="O471" s="4">
        <f>IF(Table1[[#This Row],[Outliers 2Y]]=0,1,0)</f>
        <v>0</v>
      </c>
      <c r="P471" s="4">
        <f>IF(Table1[[#This Row],[Last value]]&gt;1.5*Table1[[#This Row],[Target]],1,0)</f>
        <v>0</v>
      </c>
      <c r="Q471" s="4">
        <f>IF(AND(1.5*Table1[[#This Row],[Target]]&gt;=Table1[[#This Row],[Last value]],Table1[[#This Row],[Last value]]&gt;Table1[[#This Row],[Target]]),1,0)</f>
        <v>0</v>
      </c>
      <c r="R471" s="4">
        <f>IF(Table1[[#This Row],[Target]]&gt;=Table1[[#This Row],[Last value]],1,0)</f>
        <v>1</v>
      </c>
      <c r="S471" s="4" t="str">
        <f t="shared" si="9"/>
        <v>Green</v>
      </c>
      <c r="T471" s="55">
        <v>0</v>
      </c>
      <c r="U471" s="55">
        <v>0</v>
      </c>
      <c r="V471" s="55">
        <v>4.5199999999999996</v>
      </c>
      <c r="W471" s="55">
        <v>4.9400000000000004</v>
      </c>
      <c r="X471" s="55">
        <v>4.9800000000000004</v>
      </c>
      <c r="Y471" s="55">
        <v>4.92</v>
      </c>
      <c r="Z471" s="55">
        <v>5.0999999999999996</v>
      </c>
      <c r="AA471" s="55">
        <v>4.8</v>
      </c>
      <c r="AB471" s="55">
        <v>5.12</v>
      </c>
      <c r="AC471" s="55">
        <v>5.3</v>
      </c>
      <c r="AD471" s="55">
        <v>5.16</v>
      </c>
      <c r="AE471" s="55">
        <v>5.9</v>
      </c>
      <c r="AF471" s="55">
        <v>5.2</v>
      </c>
      <c r="AG471" s="55">
        <v>5.4</v>
      </c>
      <c r="AH471" s="55">
        <v>4.92</v>
      </c>
      <c r="AI471" s="55">
        <v>5.44</v>
      </c>
      <c r="AJ471" s="55">
        <v>5.1100000000000003</v>
      </c>
      <c r="AK471" s="55">
        <v>5.25</v>
      </c>
      <c r="AL471" s="55">
        <v>5.63</v>
      </c>
      <c r="AM471" s="55">
        <v>5.66</v>
      </c>
      <c r="AN471" s="55">
        <v>5.7</v>
      </c>
      <c r="AO471" s="55">
        <v>5.67</v>
      </c>
      <c r="AP471" s="55">
        <v>6.96</v>
      </c>
      <c r="AQ471" s="55">
        <v>5.63</v>
      </c>
      <c r="AR471" s="9">
        <v>5.09</v>
      </c>
      <c r="AS471" s="9">
        <v>5.38</v>
      </c>
      <c r="AT471" s="8">
        <v>0</v>
      </c>
      <c r="AU471" s="50">
        <v>6.7</v>
      </c>
      <c r="AV471" s="50">
        <v>6.7</v>
      </c>
      <c r="AW471" s="50">
        <v>6.2</v>
      </c>
      <c r="AX471" s="50">
        <v>6.11</v>
      </c>
      <c r="AY471" s="50">
        <v>6.11</v>
      </c>
      <c r="AZ471" s="50">
        <v>6.49</v>
      </c>
      <c r="BA471" s="50">
        <v>3.1</v>
      </c>
      <c r="BB471" s="50">
        <v>3.9</v>
      </c>
      <c r="BC471" s="55">
        <v>4.2</v>
      </c>
      <c r="BD471" s="55">
        <v>3.7</v>
      </c>
      <c r="BE471" s="11">
        <v>3.3759999999999999</v>
      </c>
      <c r="BF471" s="4">
        <v>0</v>
      </c>
      <c r="BG471" s="4">
        <v>2.5099999999999998</v>
      </c>
      <c r="BH471" s="4">
        <v>0</v>
      </c>
      <c r="BI471" s="4">
        <v>0</v>
      </c>
      <c r="BJ471" s="14">
        <v>0</v>
      </c>
      <c r="BK471" s="14">
        <v>4.45</v>
      </c>
      <c r="BL471" s="4">
        <v>0</v>
      </c>
      <c r="BM471" s="17">
        <v>0</v>
      </c>
      <c r="BN471" s="4">
        <v>3.919</v>
      </c>
      <c r="BO471" s="4">
        <v>0</v>
      </c>
      <c r="BP471" s="4">
        <v>4.9420000000000002</v>
      </c>
      <c r="BQ471" s="4">
        <v>4.048</v>
      </c>
      <c r="BR471" s="4">
        <v>3.4540000000000002</v>
      </c>
      <c r="BS471" s="55">
        <v>3.65</v>
      </c>
      <c r="BT471" s="4">
        <v>2.93</v>
      </c>
      <c r="BU471" s="4">
        <v>3.4910000000000001</v>
      </c>
      <c r="BV471" s="4">
        <v>2.4009999999999998</v>
      </c>
      <c r="BW471" s="4">
        <v>0</v>
      </c>
      <c r="BX471" s="4">
        <v>3.911</v>
      </c>
      <c r="BY471" s="4">
        <v>3.867</v>
      </c>
      <c r="BZ471" s="55">
        <v>3.43</v>
      </c>
      <c r="CA471" s="55">
        <v>3.31</v>
      </c>
      <c r="CB471" s="55">
        <v>4.41</v>
      </c>
      <c r="CC471" s="55">
        <v>4.1100000000000003</v>
      </c>
      <c r="CD471" s="55">
        <v>4.16</v>
      </c>
      <c r="CE471" s="19">
        <v>0</v>
      </c>
      <c r="CF471" s="19">
        <v>4.3</v>
      </c>
      <c r="CG471" s="4">
        <v>4.17</v>
      </c>
      <c r="CH471" s="4">
        <v>3.88</v>
      </c>
      <c r="CI471" s="4">
        <v>3.87</v>
      </c>
      <c r="CJ471" s="34">
        <v>4.0999999999999996</v>
      </c>
      <c r="CK471" s="34">
        <v>3.3</v>
      </c>
      <c r="CL471" s="27">
        <v>3.4</v>
      </c>
      <c r="CM471" s="4">
        <v>4.3</v>
      </c>
      <c r="CN471" s="53">
        <v>2.8</v>
      </c>
      <c r="CO471" s="54">
        <v>3.5</v>
      </c>
      <c r="CP471" s="54">
        <v>4</v>
      </c>
      <c r="CQ471" s="4">
        <v>3.1</v>
      </c>
    </row>
    <row r="472" spans="1:95" s="55" customFormat="1" x14ac:dyDescent="0.35">
      <c r="A472" s="55">
        <v>471</v>
      </c>
      <c r="B472" s="55" t="s">
        <v>87</v>
      </c>
      <c r="C472" s="27" t="s">
        <v>184</v>
      </c>
      <c r="D472" s="50" t="s">
        <v>93</v>
      </c>
      <c r="E472" s="33" t="s">
        <v>89</v>
      </c>
      <c r="F472" s="4">
        <f>IFERROR(AVERAGEIF(Table1[[#This Row],[2019-Apr]:[2025-July]],"&lt;&gt;0"),0)</f>
        <v>3.8025757575757591</v>
      </c>
      <c r="G472" s="4">
        <f ca="1">IFERROR(AVERAGEIF(OFFSET(Table1[[#This Row],[Status]],0,COUNT(Table1[[#This Row],[2019-May]:[2025-July]]),1,-12),"&lt;&gt;0"),0)</f>
        <v>2.7918181818181815</v>
      </c>
      <c r="H472" s="55">
        <f>IFERROR(SMALL(Table1[[#This Row],[2019-Apr]:[2025-July]],COUNTIF(Table1[[#This Row],[2019-Apr]:[2025-July]],0)+1),0)</f>
        <v>1.98</v>
      </c>
      <c r="I472" s="55">
        <f>IFERROR(MAX(Table1[[#This Row],[2019-Apr]:[2025-July]]),0)</f>
        <v>33</v>
      </c>
      <c r="J472" s="4" cm="1">
        <f t="array" ref="J47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2.3143333333333334</v>
      </c>
      <c r="K472" s="4">
        <v>4.5</v>
      </c>
      <c r="L472" s="4">
        <f>IF(Table1[[#This Row],[Standard as per ISO]]&gt;=Table1[[#This Row],[Avg of best 6]],Table1[[#This Row],[Standard as per ISO]],Table1[[#This Row],[Avg of best 6]])</f>
        <v>4.5</v>
      </c>
      <c r="M472" s="4" cm="1">
        <f t="array" ref="M472">IFERROR(LOOKUP(2,1/(Table1[[#This Row],[2019-May]:[2025-July]]&lt;&gt;0),Table1[[#This Row],[2019-May]:[2025-July]]),0)</f>
        <v>2.5</v>
      </c>
      <c r="N472" s="4">
        <f>COUNTIF(Table1[[#This Row],[2019-Apr]:[2025-July]],"&gt;="&amp;Table1[[#This Row],[Target]])</f>
        <v>9</v>
      </c>
      <c r="O472" s="4">
        <f>IF(Table1[[#This Row],[Outliers 2Y]]=0,1,0)</f>
        <v>0</v>
      </c>
      <c r="P472" s="4">
        <f>IF(Table1[[#This Row],[Last value]]&gt;1.5*Table1[[#This Row],[Target]],1,0)</f>
        <v>0</v>
      </c>
      <c r="Q472" s="4">
        <f>IF(AND(1.5*Table1[[#This Row],[Target]]&gt;=Table1[[#This Row],[Last value]],Table1[[#This Row],[Last value]]&gt;Table1[[#This Row],[Target]]),1,0)</f>
        <v>0</v>
      </c>
      <c r="R472" s="4">
        <f>IF(Table1[[#This Row],[Target]]&gt;=Table1[[#This Row],[Last value]],1,0)</f>
        <v>1</v>
      </c>
      <c r="S472" s="4" t="str">
        <f t="shared" si="9"/>
        <v>Green</v>
      </c>
      <c r="T472" s="55">
        <v>0</v>
      </c>
      <c r="U472" s="55">
        <v>4.4000000000000004</v>
      </c>
      <c r="V472" s="55">
        <v>4.7300000000000004</v>
      </c>
      <c r="W472" s="55">
        <v>4.6500000000000004</v>
      </c>
      <c r="X472" s="55">
        <v>4.6900000000000004</v>
      </c>
      <c r="Y472" s="55">
        <v>4.67</v>
      </c>
      <c r="Z472" s="55">
        <v>4.7</v>
      </c>
      <c r="AA472" s="55">
        <v>3.9</v>
      </c>
      <c r="AB472" s="55">
        <v>4.51</v>
      </c>
      <c r="AC472" s="55">
        <v>4.2</v>
      </c>
      <c r="AD472" s="55">
        <v>4.72</v>
      </c>
      <c r="AE472" s="55">
        <v>4.5</v>
      </c>
      <c r="AF472" s="55">
        <v>4.0999999999999996</v>
      </c>
      <c r="AG472" s="55">
        <v>3.96</v>
      </c>
      <c r="AH472" s="55">
        <v>3.17</v>
      </c>
      <c r="AI472" s="55">
        <v>3.87</v>
      </c>
      <c r="AJ472" s="55">
        <v>3.96</v>
      </c>
      <c r="AK472" s="55">
        <v>4</v>
      </c>
      <c r="AL472" s="55">
        <v>3.61</v>
      </c>
      <c r="AM472" s="55">
        <v>4.0999999999999996</v>
      </c>
      <c r="AN472" s="55">
        <v>4</v>
      </c>
      <c r="AO472" s="55">
        <v>4</v>
      </c>
      <c r="AP472" s="55">
        <v>2.5299999999999998</v>
      </c>
      <c r="AQ472" s="55">
        <v>2.66</v>
      </c>
      <c r="AR472" s="9">
        <v>3.57</v>
      </c>
      <c r="AS472" s="9">
        <v>2.56</v>
      </c>
      <c r="AT472" s="8">
        <v>0</v>
      </c>
      <c r="AU472" s="50">
        <v>3.52</v>
      </c>
      <c r="AV472" s="50">
        <v>4.22</v>
      </c>
      <c r="AW472" s="50">
        <v>3.54</v>
      </c>
      <c r="AX472" s="50">
        <v>2.39</v>
      </c>
      <c r="AY472" s="50">
        <v>3.77</v>
      </c>
      <c r="AZ472" s="50">
        <v>2.68</v>
      </c>
      <c r="BA472" s="50">
        <v>2.4</v>
      </c>
      <c r="BB472" s="50">
        <v>3.5</v>
      </c>
      <c r="BC472" s="55">
        <v>3.5</v>
      </c>
      <c r="BD472" s="55">
        <v>33</v>
      </c>
      <c r="BE472" s="11">
        <v>2.9279999999999999</v>
      </c>
      <c r="BF472" s="4">
        <v>0</v>
      </c>
      <c r="BG472" s="4">
        <v>2.86</v>
      </c>
      <c r="BH472" s="4">
        <v>0</v>
      </c>
      <c r="BI472" s="4">
        <v>0</v>
      </c>
      <c r="BJ472" s="13">
        <v>3.4</v>
      </c>
      <c r="BK472" s="13">
        <v>2.86</v>
      </c>
      <c r="BL472" s="4">
        <v>0</v>
      </c>
      <c r="BM472" s="16">
        <v>0</v>
      </c>
      <c r="BN472" s="4">
        <v>3.1459999999999999</v>
      </c>
      <c r="BO472" s="4">
        <v>0</v>
      </c>
      <c r="BP472" s="4">
        <v>3.6869999999999998</v>
      </c>
      <c r="BQ472" s="4">
        <v>3.5960000000000001</v>
      </c>
      <c r="BR472" s="4">
        <v>2.9830000000000001</v>
      </c>
      <c r="BS472" s="55">
        <v>3.0430000000000001</v>
      </c>
      <c r="BT472" s="4">
        <v>3.105</v>
      </c>
      <c r="BU472" s="4">
        <v>2.9710000000000001</v>
      </c>
      <c r="BV472" s="4">
        <v>2.3690000000000002</v>
      </c>
      <c r="BW472" s="4">
        <v>0</v>
      </c>
      <c r="BX472" s="4">
        <v>2.9849999999999999</v>
      </c>
      <c r="BY472" s="4">
        <v>2.4470000000000001</v>
      </c>
      <c r="BZ472" s="55">
        <v>2.62</v>
      </c>
      <c r="CA472" s="55">
        <v>2.7</v>
      </c>
      <c r="CB472" s="55">
        <v>2.9</v>
      </c>
      <c r="CC472" s="55">
        <v>2.9</v>
      </c>
      <c r="CD472" s="55">
        <v>1.98</v>
      </c>
      <c r="CE472" s="19">
        <v>0</v>
      </c>
      <c r="CF472" s="19">
        <v>2.2999999999999998</v>
      </c>
      <c r="CG472" s="4">
        <v>2.68</v>
      </c>
      <c r="CH472" s="4">
        <v>2.5499999999999998</v>
      </c>
      <c r="CI472" s="4">
        <v>3.28</v>
      </c>
      <c r="CJ472" s="34">
        <v>2.8</v>
      </c>
      <c r="CK472" s="34">
        <v>2.9</v>
      </c>
      <c r="CL472" s="27">
        <v>2.5</v>
      </c>
      <c r="CM472" s="4">
        <v>3.5</v>
      </c>
      <c r="CN472" s="53">
        <v>2.5</v>
      </c>
      <c r="CO472" s="54">
        <v>3</v>
      </c>
      <c r="CP472" s="54">
        <v>2.7</v>
      </c>
      <c r="CQ472" s="4">
        <v>2.5</v>
      </c>
    </row>
    <row r="473" spans="1:95" s="55" customFormat="1" x14ac:dyDescent="0.35">
      <c r="A473" s="55">
        <v>472</v>
      </c>
      <c r="B473" s="55" t="s">
        <v>87</v>
      </c>
      <c r="C473" s="27" t="s">
        <v>185</v>
      </c>
      <c r="D473" s="50" t="s">
        <v>94</v>
      </c>
      <c r="E473" s="33" t="s">
        <v>91</v>
      </c>
      <c r="F473" s="4">
        <f>IFERROR(AVERAGEIF(Table1[[#This Row],[2019-Apr]:[2025-July]],"&lt;&gt;0"),0)</f>
        <v>3.5178571428571428</v>
      </c>
      <c r="G473" s="4">
        <f ca="1">IFERROR(AVERAGEIF(OFFSET(Table1[[#This Row],[Status]],0,COUNT(Table1[[#This Row],[2019-May]:[2025-July]]),1,-12),"&lt;&gt;0"),0)</f>
        <v>4.4649999999999999</v>
      </c>
      <c r="H473" s="55">
        <f>IFERROR(SMALL(Table1[[#This Row],[2019-Apr]:[2025-July]],COUNTIF(Table1[[#This Row],[2019-Apr]:[2025-July]],0)+1),0)</f>
        <v>1.903</v>
      </c>
      <c r="I473" s="55">
        <f>IFERROR(MAX(Table1[[#This Row],[2019-Apr]:[2025-July]]),0)</f>
        <v>5.0999999999999996</v>
      </c>
      <c r="J473" s="4" cm="1">
        <f t="array" ref="J47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2.7055000000000002</v>
      </c>
      <c r="K473" s="4">
        <v>4.5</v>
      </c>
      <c r="L473" s="4">
        <f>IF(Table1[[#This Row],[Standard as per ISO]]&gt;=Table1[[#This Row],[Avg of best 6]],Table1[[#This Row],[Standard as per ISO]],Table1[[#This Row],[Avg of best 6]])</f>
        <v>4.5</v>
      </c>
      <c r="M473" s="4" cm="1">
        <f t="array" ref="M473">IFERROR(LOOKUP(2,1/(Table1[[#This Row],[2019-May]:[2025-July]]&lt;&gt;0),Table1[[#This Row],[2019-May]:[2025-July]]),0)</f>
        <v>3.83</v>
      </c>
      <c r="N473" s="4">
        <f>COUNTIF(Table1[[#This Row],[2019-Apr]:[2025-July]],"&gt;="&amp;Table1[[#This Row],[Target]])</f>
        <v>2</v>
      </c>
      <c r="O473" s="4">
        <f>IF(Table1[[#This Row],[Outliers 2Y]]=0,1,0)</f>
        <v>0</v>
      </c>
      <c r="P473" s="4">
        <f>IF(Table1[[#This Row],[Last value]]&gt;1.5*Table1[[#This Row],[Target]],1,0)</f>
        <v>0</v>
      </c>
      <c r="Q473" s="4">
        <f>IF(AND(1.5*Table1[[#This Row],[Target]]&gt;=Table1[[#This Row],[Last value]],Table1[[#This Row],[Last value]]&gt;Table1[[#This Row],[Target]]),1,0)</f>
        <v>0</v>
      </c>
      <c r="R473" s="4">
        <f>IF(Table1[[#This Row],[Target]]&gt;=Table1[[#This Row],[Last value]],1,0)</f>
        <v>1</v>
      </c>
      <c r="S473" s="4" t="str">
        <f t="shared" si="9"/>
        <v>Green</v>
      </c>
      <c r="T473" s="55">
        <v>0</v>
      </c>
      <c r="U473" s="55">
        <v>3.7</v>
      </c>
      <c r="V473" s="55">
        <v>3.35</v>
      </c>
      <c r="W473" s="55">
        <v>3</v>
      </c>
      <c r="X473" s="55">
        <v>2.88</v>
      </c>
      <c r="Y473" s="55">
        <v>3.81</v>
      </c>
      <c r="Z473" s="55">
        <v>3.23</v>
      </c>
      <c r="AA473" s="55">
        <v>3.2</v>
      </c>
      <c r="AB473" s="55">
        <v>3.87</v>
      </c>
      <c r="AC473" s="55">
        <v>3.41</v>
      </c>
      <c r="AD473" s="55">
        <v>3.38</v>
      </c>
      <c r="AE473" s="55">
        <v>3.8</v>
      </c>
      <c r="AF473" s="55">
        <v>0</v>
      </c>
      <c r="AG473" s="55">
        <v>0</v>
      </c>
      <c r="AH473" s="55">
        <v>3.89</v>
      </c>
      <c r="AI473" s="55">
        <v>0</v>
      </c>
      <c r="AJ473" s="55">
        <v>0</v>
      </c>
      <c r="AK473" s="55">
        <v>0</v>
      </c>
      <c r="AL473" s="55">
        <v>0</v>
      </c>
      <c r="AM473" s="55">
        <v>0</v>
      </c>
      <c r="AN473" s="55">
        <v>0</v>
      </c>
      <c r="AO473" s="55">
        <v>0</v>
      </c>
      <c r="AP473" s="55">
        <v>3.5</v>
      </c>
      <c r="AQ473" s="55">
        <v>2.93</v>
      </c>
      <c r="AR473" s="8">
        <v>0</v>
      </c>
      <c r="AS473" s="8">
        <v>2.82</v>
      </c>
      <c r="AT473" s="8">
        <v>0</v>
      </c>
      <c r="AU473" s="50">
        <v>0</v>
      </c>
      <c r="AV473" s="50">
        <v>0</v>
      </c>
      <c r="AW473" s="50">
        <v>0</v>
      </c>
      <c r="AX473" s="50">
        <v>0</v>
      </c>
      <c r="AY473" s="50">
        <v>0</v>
      </c>
      <c r="AZ473" s="50">
        <v>0</v>
      </c>
      <c r="BA473" s="50">
        <v>0</v>
      </c>
      <c r="BB473" s="50">
        <v>0</v>
      </c>
      <c r="BC473" s="55">
        <v>2.7</v>
      </c>
      <c r="BD473" s="55">
        <v>0</v>
      </c>
      <c r="BE473" s="11">
        <v>1.903</v>
      </c>
      <c r="BF473" s="4">
        <v>0</v>
      </c>
      <c r="BG473" s="4">
        <v>0</v>
      </c>
      <c r="BH473" s="4">
        <v>3.1890000000000001</v>
      </c>
      <c r="BI473" s="4">
        <v>0</v>
      </c>
      <c r="BJ473" s="14">
        <v>0</v>
      </c>
      <c r="BK473" s="14">
        <v>3.375</v>
      </c>
      <c r="BL473" s="4">
        <v>0</v>
      </c>
      <c r="BM473" s="17">
        <v>0</v>
      </c>
      <c r="BN473" s="4">
        <v>0</v>
      </c>
      <c r="BO473" s="4">
        <v>0</v>
      </c>
      <c r="BP473" s="4">
        <v>4.5659999999999998</v>
      </c>
      <c r="BQ473" s="4">
        <v>0</v>
      </c>
      <c r="BR473" s="4">
        <v>0</v>
      </c>
      <c r="BS473" s="55">
        <v>0</v>
      </c>
      <c r="BT473" s="4">
        <v>3.4380000000000002</v>
      </c>
      <c r="BU473" s="4">
        <v>4.1050000000000004</v>
      </c>
      <c r="BV473" s="4">
        <v>4.16</v>
      </c>
      <c r="BW473" s="4">
        <v>4.1139999999999999</v>
      </c>
      <c r="BX473" s="4">
        <v>3.64</v>
      </c>
      <c r="BY473" s="4">
        <v>0</v>
      </c>
      <c r="BZ473" s="55">
        <v>3.61</v>
      </c>
      <c r="CA473" s="55">
        <v>0</v>
      </c>
      <c r="CB473" s="55">
        <v>0</v>
      </c>
      <c r="CC473" s="55">
        <v>0</v>
      </c>
      <c r="CD473" s="55">
        <v>0</v>
      </c>
      <c r="CE473" s="19">
        <v>5.0999999999999996</v>
      </c>
      <c r="CF473" s="19">
        <v>0</v>
      </c>
      <c r="CG473" s="4">
        <v>0</v>
      </c>
      <c r="CH473" s="4">
        <v>0</v>
      </c>
      <c r="CI473" s="4">
        <v>3.83</v>
      </c>
      <c r="CJ473" s="34">
        <v>0</v>
      </c>
      <c r="CK473" s="34">
        <v>0</v>
      </c>
      <c r="CL473" s="34">
        <v>0</v>
      </c>
      <c r="CM473" s="4">
        <v>0</v>
      </c>
      <c r="CN473" s="53">
        <v>0</v>
      </c>
      <c r="CO473" s="54">
        <v>0</v>
      </c>
      <c r="CP473" s="54">
        <v>0</v>
      </c>
      <c r="CQ473" s="4">
        <v>0</v>
      </c>
    </row>
    <row r="474" spans="1:95" s="55" customFormat="1" x14ac:dyDescent="0.35">
      <c r="A474" s="55">
        <v>473</v>
      </c>
      <c r="B474" s="55" t="s">
        <v>87</v>
      </c>
      <c r="C474" s="27" t="s">
        <v>186</v>
      </c>
      <c r="D474" s="50" t="s">
        <v>94</v>
      </c>
      <c r="E474" s="33" t="s">
        <v>91</v>
      </c>
      <c r="F474" s="4">
        <f>IFERROR(AVERAGEIF(Table1[[#This Row],[2019-Apr]:[2025-July]],"&lt;&gt;0"),0)</f>
        <v>3.5979714285714288</v>
      </c>
      <c r="G474" s="4">
        <f ca="1">IFERROR(AVERAGEIF(OFFSET(Table1[[#This Row],[Status]],0,COUNT(Table1[[#This Row],[2019-May]:[2025-July]]),1,-12),"&lt;&gt;0"),0)</f>
        <v>4.3449999999999998</v>
      </c>
      <c r="H474" s="55">
        <f>IFERROR(SMALL(Table1[[#This Row],[2019-Apr]:[2025-July]],COUNTIF(Table1[[#This Row],[2019-Apr]:[2025-July]],0)+1),0)</f>
        <v>2.99</v>
      </c>
      <c r="I474" s="55">
        <f>IFERROR(MAX(Table1[[#This Row],[2019-Apr]:[2025-July]]),0)</f>
        <v>4.5999999999999996</v>
      </c>
      <c r="J474" s="4" cm="1">
        <f t="array" ref="J47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3.1280000000000001</v>
      </c>
      <c r="K474" s="4">
        <v>4.5</v>
      </c>
      <c r="L474" s="4">
        <f>IF(Table1[[#This Row],[Standard as per ISO]]&gt;=Table1[[#This Row],[Avg of best 6]],Table1[[#This Row],[Standard as per ISO]],Table1[[#This Row],[Avg of best 6]])</f>
        <v>4.5</v>
      </c>
      <c r="M474" s="4" cm="1">
        <f t="array" ref="M474">IFERROR(LOOKUP(2,1/(Table1[[#This Row],[2019-May]:[2025-July]]&lt;&gt;0),Table1[[#This Row],[2019-May]:[2025-July]]),0)</f>
        <v>4.09</v>
      </c>
      <c r="N474" s="4">
        <f>COUNTIF(Table1[[#This Row],[2019-Apr]:[2025-July]],"&gt;="&amp;Table1[[#This Row],[Target]])</f>
        <v>1</v>
      </c>
      <c r="O474" s="4">
        <f>IF(Table1[[#This Row],[Outliers 2Y]]=0,1,0)</f>
        <v>0</v>
      </c>
      <c r="P474" s="4">
        <f>IF(Table1[[#This Row],[Last value]]&gt;1.5*Table1[[#This Row],[Target]],1,0)</f>
        <v>0</v>
      </c>
      <c r="Q474" s="4">
        <f>IF(AND(1.5*Table1[[#This Row],[Target]]&gt;=Table1[[#This Row],[Last value]],Table1[[#This Row],[Last value]]&gt;Table1[[#This Row],[Target]]),1,0)</f>
        <v>0</v>
      </c>
      <c r="R474" s="4">
        <f>IF(Table1[[#This Row],[Target]]&gt;=Table1[[#This Row],[Last value]],1,0)</f>
        <v>1</v>
      </c>
      <c r="S474" s="4" t="str">
        <f t="shared" si="9"/>
        <v>Green</v>
      </c>
      <c r="T474" s="55">
        <v>0</v>
      </c>
      <c r="U474" s="55">
        <v>0</v>
      </c>
      <c r="V474" s="55">
        <v>3.48</v>
      </c>
      <c r="W474" s="55">
        <v>3.65</v>
      </c>
      <c r="X474" s="55">
        <v>0</v>
      </c>
      <c r="Y474" s="55">
        <v>0</v>
      </c>
      <c r="Z474" s="55">
        <v>0</v>
      </c>
      <c r="AA474" s="55">
        <v>0</v>
      </c>
      <c r="AB474" s="55">
        <v>0</v>
      </c>
      <c r="AC474" s="55">
        <v>0</v>
      </c>
      <c r="AD474" s="55">
        <v>0</v>
      </c>
      <c r="AE474" s="55">
        <v>4.3</v>
      </c>
      <c r="AF474" s="55">
        <v>0</v>
      </c>
      <c r="AG474" s="55">
        <v>3.37</v>
      </c>
      <c r="AH474" s="55">
        <v>3.2</v>
      </c>
      <c r="AI474" s="55">
        <v>3.52</v>
      </c>
      <c r="AJ474" s="55">
        <v>3.9</v>
      </c>
      <c r="AK474" s="55">
        <v>3.56</v>
      </c>
      <c r="AL474" s="55">
        <v>3.24</v>
      </c>
      <c r="AM474" s="55">
        <v>3.78</v>
      </c>
      <c r="AN474" s="55">
        <v>4.18</v>
      </c>
      <c r="AO474" s="55">
        <v>3.35</v>
      </c>
      <c r="AP474" s="55">
        <v>0</v>
      </c>
      <c r="AQ474" s="55">
        <v>0</v>
      </c>
      <c r="AR474" s="8">
        <v>3.29</v>
      </c>
      <c r="AS474" s="8">
        <v>3.36</v>
      </c>
      <c r="AT474" s="8">
        <v>0</v>
      </c>
      <c r="AU474" s="50">
        <v>3.36</v>
      </c>
      <c r="AV474" s="50">
        <v>3.98</v>
      </c>
      <c r="AW474" s="50">
        <v>2.99</v>
      </c>
      <c r="AX474" s="50">
        <v>3.8</v>
      </c>
      <c r="AY474" s="50">
        <v>3.43</v>
      </c>
      <c r="AZ474" s="50">
        <v>3.78</v>
      </c>
      <c r="BA474" s="50">
        <v>3.1</v>
      </c>
      <c r="BB474" s="50">
        <v>3.4</v>
      </c>
      <c r="BC474" s="50">
        <v>0</v>
      </c>
      <c r="BD474" s="55">
        <v>3.1</v>
      </c>
      <c r="BE474" s="11">
        <v>0</v>
      </c>
      <c r="BF474" s="4">
        <v>0</v>
      </c>
      <c r="BG474" s="4">
        <v>0</v>
      </c>
      <c r="BH474" s="4">
        <v>0</v>
      </c>
      <c r="BI474" s="4">
        <v>0</v>
      </c>
      <c r="BJ474" s="13">
        <v>0</v>
      </c>
      <c r="BK474" s="13">
        <v>3.198</v>
      </c>
      <c r="BL474" s="4">
        <v>3.726</v>
      </c>
      <c r="BM474" s="16">
        <v>4.18</v>
      </c>
      <c r="BN474" s="4">
        <v>3.18</v>
      </c>
      <c r="BO474" s="4">
        <v>3.6190000000000002</v>
      </c>
      <c r="BP474" s="4">
        <v>4.0140000000000002</v>
      </c>
      <c r="BQ474" s="4">
        <v>3.694</v>
      </c>
      <c r="BR474" s="4">
        <v>3.2810000000000001</v>
      </c>
      <c r="BS474" s="55">
        <v>3.7120000000000002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3.5150000000000001</v>
      </c>
      <c r="BZ474" s="55">
        <v>0</v>
      </c>
      <c r="CA474" s="55">
        <v>0</v>
      </c>
      <c r="CB474" s="55">
        <v>0</v>
      </c>
      <c r="CC474" s="55">
        <v>0</v>
      </c>
      <c r="CD474" s="55">
        <v>0</v>
      </c>
      <c r="CE474" s="19">
        <v>0</v>
      </c>
      <c r="CF474" s="19">
        <v>4.5999999999999996</v>
      </c>
      <c r="CG474" s="4">
        <v>4.09</v>
      </c>
      <c r="CH474" s="4">
        <v>0</v>
      </c>
      <c r="CI474" s="4">
        <v>0</v>
      </c>
      <c r="CJ474" s="34">
        <v>0</v>
      </c>
      <c r="CK474" s="34">
        <v>0</v>
      </c>
      <c r="CL474" s="34">
        <v>0</v>
      </c>
      <c r="CM474" s="4">
        <v>0</v>
      </c>
      <c r="CN474" s="53">
        <v>0</v>
      </c>
      <c r="CO474" s="54">
        <v>0</v>
      </c>
      <c r="CP474" s="54">
        <v>0</v>
      </c>
      <c r="CQ474" s="4">
        <v>0</v>
      </c>
    </row>
    <row r="475" spans="1:95" s="55" customFormat="1" x14ac:dyDescent="0.35">
      <c r="A475" s="55">
        <v>474</v>
      </c>
      <c r="B475" s="55" t="s">
        <v>87</v>
      </c>
      <c r="C475" s="27" t="s">
        <v>187</v>
      </c>
      <c r="D475" s="50" t="s">
        <v>94</v>
      </c>
      <c r="E475" s="33" t="s">
        <v>91</v>
      </c>
      <c r="F475" s="4">
        <f>IFERROR(AVERAGEIF(Table1[[#This Row],[2019-Apr]:[2025-July]],"&lt;&gt;0"),0)</f>
        <v>4.1200937500000014</v>
      </c>
      <c r="G475" s="4">
        <f ca="1">IFERROR(AVERAGEIF(OFFSET(Table1[[#This Row],[Status]],0,COUNT(Table1[[#This Row],[2019-May]:[2025-July]]),1,-12),"&lt;&gt;0"),0)</f>
        <v>4.5050000000000008</v>
      </c>
      <c r="H475" s="55">
        <f>IFERROR(SMALL(Table1[[#This Row],[2019-Apr]:[2025-July]],COUNTIF(Table1[[#This Row],[2019-Apr]:[2025-July]],0)+1),0)</f>
        <v>2.4</v>
      </c>
      <c r="I475" s="55">
        <f>IFERROR(MAX(Table1[[#This Row],[2019-Apr]:[2025-July]]),0)</f>
        <v>6.8959999999999999</v>
      </c>
      <c r="J475" s="4" cm="1">
        <f t="array" ref="J47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2.7905000000000002</v>
      </c>
      <c r="K475" s="4">
        <v>4.5</v>
      </c>
      <c r="L475" s="4">
        <f>IF(Table1[[#This Row],[Standard as per ISO]]&gt;=Table1[[#This Row],[Avg of best 6]],Table1[[#This Row],[Standard as per ISO]],Table1[[#This Row],[Avg of best 6]])</f>
        <v>4.5</v>
      </c>
      <c r="M475" s="4" cm="1">
        <f t="array" ref="M475">IFERROR(LOOKUP(2,1/(Table1[[#This Row],[2019-May]:[2025-July]]&lt;&gt;0),Table1[[#This Row],[2019-May]:[2025-July]]),0)</f>
        <v>4.6100000000000003</v>
      </c>
      <c r="N475" s="4">
        <f>COUNTIF(Table1[[#This Row],[2019-Apr]:[2025-July]],"&gt;="&amp;Table1[[#This Row],[Target]])</f>
        <v>10</v>
      </c>
      <c r="O475" s="4">
        <f>IF(Table1[[#This Row],[Outliers 2Y]]=0,1,0)</f>
        <v>0</v>
      </c>
      <c r="P475" s="4">
        <f>IF(Table1[[#This Row],[Last value]]&gt;1.5*Table1[[#This Row],[Target]],1,0)</f>
        <v>0</v>
      </c>
      <c r="Q475" s="4">
        <f>IF(AND(1.5*Table1[[#This Row],[Target]]&gt;=Table1[[#This Row],[Last value]],Table1[[#This Row],[Last value]]&gt;Table1[[#This Row],[Target]]),1,0)</f>
        <v>1</v>
      </c>
      <c r="R475" s="4">
        <f>IF(Table1[[#This Row],[Target]]&gt;=Table1[[#This Row],[Last value]],1,0)</f>
        <v>0</v>
      </c>
      <c r="S475" s="4" t="str">
        <f t="shared" si="9"/>
        <v>Yellow</v>
      </c>
      <c r="T475" s="55">
        <v>0</v>
      </c>
      <c r="U475" s="55">
        <v>2.94</v>
      </c>
      <c r="V475" s="55">
        <v>2.72</v>
      </c>
      <c r="W475" s="55">
        <v>2.84</v>
      </c>
      <c r="X475" s="55">
        <v>3.44</v>
      </c>
      <c r="Y475" s="55">
        <v>3.24</v>
      </c>
      <c r="Z475" s="55">
        <v>4.53</v>
      </c>
      <c r="AA475" s="55">
        <v>4.0999999999999996</v>
      </c>
      <c r="AB475" s="55">
        <v>4.12</v>
      </c>
      <c r="AC475" s="55">
        <v>3.87</v>
      </c>
      <c r="AD475" s="55">
        <v>3.45</v>
      </c>
      <c r="AE475" s="55">
        <v>4.0999999999999996</v>
      </c>
      <c r="AF475" s="55">
        <v>0</v>
      </c>
      <c r="AG475" s="55">
        <v>4.84</v>
      </c>
      <c r="AH475" s="55">
        <v>4</v>
      </c>
      <c r="AI475" s="55">
        <v>0</v>
      </c>
      <c r="AJ475" s="55">
        <v>0</v>
      </c>
      <c r="AK475" s="55">
        <v>0</v>
      </c>
      <c r="AL475" s="55">
        <v>0</v>
      </c>
      <c r="AM475" s="55">
        <v>4.3899999999999997</v>
      </c>
      <c r="AN475" s="55">
        <v>4</v>
      </c>
      <c r="AO475" s="55">
        <v>4.5999999999999996</v>
      </c>
      <c r="AP475" s="55">
        <v>5.03</v>
      </c>
      <c r="AQ475" s="55">
        <v>5.94</v>
      </c>
      <c r="AR475" s="8">
        <v>0</v>
      </c>
      <c r="AS475" s="8">
        <v>0</v>
      </c>
      <c r="AT475" s="8">
        <v>0</v>
      </c>
      <c r="AU475" s="50">
        <v>0</v>
      </c>
      <c r="AV475" s="50">
        <v>4.54</v>
      </c>
      <c r="AW475" s="50">
        <v>0</v>
      </c>
      <c r="AX475" s="50">
        <v>0</v>
      </c>
      <c r="AY475" s="50">
        <v>4.57</v>
      </c>
      <c r="AZ475" s="50">
        <v>4.45</v>
      </c>
      <c r="BA475" s="50">
        <v>3.6</v>
      </c>
      <c r="BB475" s="50">
        <v>2.4</v>
      </c>
      <c r="BC475" s="50">
        <v>0</v>
      </c>
      <c r="BD475" s="55">
        <v>0</v>
      </c>
      <c r="BE475" s="11">
        <v>0</v>
      </c>
      <c r="BF475" s="4">
        <v>0</v>
      </c>
      <c r="BG475" s="4">
        <v>0</v>
      </c>
      <c r="BH475" s="4">
        <v>0</v>
      </c>
      <c r="BI475" s="4">
        <v>0</v>
      </c>
      <c r="BJ475" s="14">
        <v>2.6030000000000002</v>
      </c>
      <c r="BK475" s="14">
        <v>0</v>
      </c>
      <c r="BL475" s="4">
        <v>3.8340000000000001</v>
      </c>
      <c r="BM475" s="17">
        <v>0</v>
      </c>
      <c r="BN475" s="4">
        <v>0</v>
      </c>
      <c r="BO475" s="4">
        <v>3.7629999999999999</v>
      </c>
      <c r="BP475" s="4">
        <v>0</v>
      </c>
      <c r="BQ475" s="4">
        <v>0</v>
      </c>
      <c r="BR475" s="4">
        <v>4.0199999999999996</v>
      </c>
      <c r="BS475" s="55">
        <v>4.0979999999999999</v>
      </c>
      <c r="BT475" s="4">
        <v>0</v>
      </c>
      <c r="BU475" s="4">
        <v>0</v>
      </c>
      <c r="BV475" s="4">
        <v>0</v>
      </c>
      <c r="BW475" s="4">
        <v>0</v>
      </c>
      <c r="BX475" s="4">
        <v>5.9089999999999998</v>
      </c>
      <c r="BY475" s="4">
        <v>6.8959999999999999</v>
      </c>
      <c r="BZ475" s="55">
        <v>0</v>
      </c>
      <c r="CA475" s="55">
        <v>0</v>
      </c>
      <c r="CB475" s="55">
        <v>0</v>
      </c>
      <c r="CC475" s="55">
        <v>0</v>
      </c>
      <c r="CD475" s="55">
        <v>0</v>
      </c>
      <c r="CE475" s="19">
        <v>0</v>
      </c>
      <c r="CF475" s="19">
        <v>4.4000000000000004</v>
      </c>
      <c r="CG475" s="4">
        <v>0</v>
      </c>
      <c r="CH475" s="4">
        <v>0</v>
      </c>
      <c r="CI475" s="4">
        <v>4.6100000000000003</v>
      </c>
      <c r="CJ475" s="34">
        <v>0</v>
      </c>
      <c r="CK475" s="34">
        <v>0</v>
      </c>
      <c r="CL475" s="34">
        <v>0</v>
      </c>
      <c r="CM475" s="4">
        <v>0</v>
      </c>
      <c r="CN475" s="53">
        <v>0</v>
      </c>
      <c r="CO475" s="54">
        <v>0</v>
      </c>
      <c r="CP475" s="54">
        <v>0</v>
      </c>
      <c r="CQ475" s="4">
        <v>0</v>
      </c>
    </row>
    <row r="476" spans="1:95" s="55" customFormat="1" x14ac:dyDescent="0.35">
      <c r="A476" s="55">
        <v>475</v>
      </c>
      <c r="B476" s="55" t="s">
        <v>87</v>
      </c>
      <c r="C476" s="27" t="s">
        <v>188</v>
      </c>
      <c r="D476" s="50" t="s">
        <v>94</v>
      </c>
      <c r="E476" s="33" t="s">
        <v>91</v>
      </c>
      <c r="F476" s="4">
        <f>IFERROR(AVERAGEIF(Table1[[#This Row],[2019-Apr]:[2025-July]],"&lt;&gt;0"),0)</f>
        <v>3.5278780487804879</v>
      </c>
      <c r="G476" s="4">
        <f ca="1">IFERROR(AVERAGEIF(OFFSET(Table1[[#This Row],[Status]],0,COUNT(Table1[[#This Row],[2019-May]:[2025-July]]),1,-12),"&lt;&gt;0"),0)</f>
        <v>2.65</v>
      </c>
      <c r="H476" s="55">
        <f>IFERROR(SMALL(Table1[[#This Row],[2019-Apr]:[2025-July]],COUNTIF(Table1[[#This Row],[2019-Apr]:[2025-July]],0)+1),0)</f>
        <v>1.944</v>
      </c>
      <c r="I476" s="55">
        <f>IFERROR(MAX(Table1[[#This Row],[2019-Apr]:[2025-July]]),0)</f>
        <v>5.68</v>
      </c>
      <c r="J476" s="4" cm="1">
        <f t="array" ref="J47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2.4660000000000002</v>
      </c>
      <c r="K476" s="4">
        <v>4.5</v>
      </c>
      <c r="L476" s="4">
        <f>IF(Table1[[#This Row],[Standard as per ISO]]&gt;=Table1[[#This Row],[Avg of best 6]],Table1[[#This Row],[Standard as per ISO]],Table1[[#This Row],[Avg of best 6]])</f>
        <v>4.5</v>
      </c>
      <c r="M476" s="4" cm="1">
        <f t="array" ref="M476">IFERROR(LOOKUP(2,1/(Table1[[#This Row],[2019-May]:[2025-July]]&lt;&gt;0),Table1[[#This Row],[2019-May]:[2025-July]]),0)</f>
        <v>2.5</v>
      </c>
      <c r="N476" s="4">
        <f>COUNTIF(Table1[[#This Row],[2019-Apr]:[2025-July]],"&gt;="&amp;Table1[[#This Row],[Target]])</f>
        <v>8</v>
      </c>
      <c r="O476" s="4">
        <f>IF(Table1[[#This Row],[Outliers 2Y]]=0,1,0)</f>
        <v>0</v>
      </c>
      <c r="P476" s="4">
        <f>IF(Table1[[#This Row],[Last value]]&gt;1.5*Table1[[#This Row],[Target]],1,0)</f>
        <v>0</v>
      </c>
      <c r="Q476" s="4">
        <f>IF(AND(1.5*Table1[[#This Row],[Target]]&gt;=Table1[[#This Row],[Last value]],Table1[[#This Row],[Last value]]&gt;Table1[[#This Row],[Target]]),1,0)</f>
        <v>0</v>
      </c>
      <c r="R476" s="4">
        <f>IF(Table1[[#This Row],[Target]]&gt;=Table1[[#This Row],[Last value]],1,0)</f>
        <v>1</v>
      </c>
      <c r="S476" s="4" t="str">
        <f t="shared" si="9"/>
        <v>Green</v>
      </c>
      <c r="T476" s="55">
        <v>0</v>
      </c>
      <c r="U476" s="55">
        <v>4.3499999999999996</v>
      </c>
      <c r="V476" s="55">
        <v>4.6500000000000004</v>
      </c>
      <c r="W476" s="55">
        <v>4.55</v>
      </c>
      <c r="X476" s="55">
        <v>5.68</v>
      </c>
      <c r="Y476" s="55">
        <v>0</v>
      </c>
      <c r="Z476" s="55">
        <v>0</v>
      </c>
      <c r="AA476" s="55">
        <v>0</v>
      </c>
      <c r="AB476" s="55">
        <v>4.13</v>
      </c>
      <c r="AC476" s="55">
        <v>3.38</v>
      </c>
      <c r="AD476" s="55">
        <v>0</v>
      </c>
      <c r="AE476" s="55">
        <v>0</v>
      </c>
      <c r="AF476" s="55">
        <v>0</v>
      </c>
      <c r="AG476" s="55">
        <v>0</v>
      </c>
      <c r="AH476" s="55">
        <v>3.49</v>
      </c>
      <c r="AI476" s="55">
        <v>3.05</v>
      </c>
      <c r="AJ476" s="55">
        <v>3.65</v>
      </c>
      <c r="AK476" s="55">
        <v>4.6900000000000004</v>
      </c>
      <c r="AL476" s="55">
        <v>4.29</v>
      </c>
      <c r="AM476" s="55">
        <v>0</v>
      </c>
      <c r="AN476" s="55">
        <v>0</v>
      </c>
      <c r="AO476" s="55">
        <v>0</v>
      </c>
      <c r="AP476" s="55">
        <v>4.76</v>
      </c>
      <c r="AQ476" s="55">
        <v>4.87</v>
      </c>
      <c r="AR476" s="8">
        <v>4.13</v>
      </c>
      <c r="AS476" s="8">
        <v>3.41</v>
      </c>
      <c r="AT476" s="8">
        <v>0</v>
      </c>
      <c r="AU476" s="50">
        <v>4.0999999999999996</v>
      </c>
      <c r="AV476" s="50">
        <v>0</v>
      </c>
      <c r="AW476" s="50">
        <v>3.79</v>
      </c>
      <c r="AX476" s="50">
        <v>4.9000000000000004</v>
      </c>
      <c r="AY476" s="50">
        <v>3.7</v>
      </c>
      <c r="AZ476" s="50">
        <v>3.49</v>
      </c>
      <c r="BA476" s="50">
        <v>3.1</v>
      </c>
      <c r="BB476" s="50">
        <v>2.9</v>
      </c>
      <c r="BC476" s="55">
        <v>3</v>
      </c>
      <c r="BD476" s="55">
        <v>3.4</v>
      </c>
      <c r="BE476" s="11">
        <v>3.1960000000000002</v>
      </c>
      <c r="BF476" s="4">
        <v>0</v>
      </c>
      <c r="BG476" s="4">
        <v>0</v>
      </c>
      <c r="BH476" s="4">
        <v>3.0190000000000001</v>
      </c>
      <c r="BI476" s="4">
        <v>0</v>
      </c>
      <c r="BJ476" s="13">
        <v>2.3780000000000001</v>
      </c>
      <c r="BK476" s="13">
        <v>2.8559999999999999</v>
      </c>
      <c r="BL476" s="4">
        <v>0</v>
      </c>
      <c r="BM476" s="16">
        <v>2.95</v>
      </c>
      <c r="BN476" s="4">
        <v>2.9169999999999998</v>
      </c>
      <c r="BO476" s="4">
        <v>2.6829999999999998</v>
      </c>
      <c r="BP476" s="4">
        <v>3.0880000000000001</v>
      </c>
      <c r="BQ476" s="4">
        <v>4.8979999999999997</v>
      </c>
      <c r="BR476" s="4">
        <v>0</v>
      </c>
      <c r="BS476" s="55">
        <v>0</v>
      </c>
      <c r="BT476" s="4">
        <v>2.5510000000000002</v>
      </c>
      <c r="BU476" s="4">
        <v>2.8</v>
      </c>
      <c r="BV476" s="4">
        <v>3.0489999999999999</v>
      </c>
      <c r="BW476" s="4">
        <v>2.8140000000000001</v>
      </c>
      <c r="BX476" s="4">
        <v>1.944</v>
      </c>
      <c r="BY476" s="4">
        <v>0</v>
      </c>
      <c r="BZ476" s="55">
        <v>2.74</v>
      </c>
      <c r="CA476" s="55">
        <v>0</v>
      </c>
      <c r="CB476" s="55">
        <v>0</v>
      </c>
      <c r="CC476" s="55">
        <v>0</v>
      </c>
      <c r="CD476" s="55">
        <v>0</v>
      </c>
      <c r="CE476" s="19">
        <v>2.8</v>
      </c>
      <c r="CF476" s="19">
        <v>2.5</v>
      </c>
      <c r="CG476" s="4">
        <v>0</v>
      </c>
      <c r="CH476" s="4">
        <v>0</v>
      </c>
      <c r="CI476" s="4">
        <v>0</v>
      </c>
      <c r="CJ476" s="34">
        <v>0</v>
      </c>
      <c r="CK476" s="34">
        <v>0</v>
      </c>
      <c r="CL476" s="34">
        <v>0</v>
      </c>
      <c r="CM476" s="4">
        <v>0</v>
      </c>
      <c r="CN476" s="53">
        <v>0</v>
      </c>
      <c r="CO476" s="54">
        <v>0</v>
      </c>
      <c r="CP476" s="54">
        <v>0</v>
      </c>
      <c r="CQ476" s="4">
        <v>0</v>
      </c>
    </row>
    <row r="477" spans="1:95" s="55" customFormat="1" x14ac:dyDescent="0.35">
      <c r="A477" s="55">
        <v>476</v>
      </c>
      <c r="B477" s="55" t="s">
        <v>87</v>
      </c>
      <c r="C477" s="27" t="s">
        <v>189</v>
      </c>
      <c r="D477" s="50" t="s">
        <v>94</v>
      </c>
      <c r="E477" s="33" t="s">
        <v>91</v>
      </c>
      <c r="F477" s="4">
        <f>IFERROR(AVERAGEIF(Table1[[#This Row],[2019-Apr]:[2025-July]],"&lt;&gt;0"),0)</f>
        <v>2.7391190476190479</v>
      </c>
      <c r="G477" s="4">
        <f ca="1">IFERROR(AVERAGEIF(OFFSET(Table1[[#This Row],[Status]],0,COUNT(Table1[[#This Row],[2019-May]:[2025-July]]),1,-12),"&lt;&gt;0"),0)</f>
        <v>2.5999999999999996</v>
      </c>
      <c r="H477" s="55">
        <f>IFERROR(SMALL(Table1[[#This Row],[2019-Apr]:[2025-July]],COUNTIF(Table1[[#This Row],[2019-Apr]:[2025-July]],0)+1),0)</f>
        <v>1.907</v>
      </c>
      <c r="I477" s="55">
        <f>IFERROR(MAX(Table1[[#This Row],[2019-Apr]:[2025-July]]),0)</f>
        <v>5.45</v>
      </c>
      <c r="J477" s="4" cm="1">
        <f t="array" ref="J47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1.9804999999999999</v>
      </c>
      <c r="K477" s="4">
        <v>4.5</v>
      </c>
      <c r="L477" s="4">
        <f>IF(Table1[[#This Row],[Standard as per ISO]]&gt;=Table1[[#This Row],[Avg of best 6]],Table1[[#This Row],[Standard as per ISO]],Table1[[#This Row],[Avg of best 6]])</f>
        <v>4.5</v>
      </c>
      <c r="M477" s="4" cm="1">
        <f t="array" ref="M477">IFERROR(LOOKUP(2,1/(Table1[[#This Row],[2019-May]:[2025-July]]&lt;&gt;0),Table1[[#This Row],[2019-May]:[2025-July]]),0)</f>
        <v>2.8</v>
      </c>
      <c r="N477" s="4">
        <f>COUNTIF(Table1[[#This Row],[2019-Apr]:[2025-July]],"&gt;="&amp;Table1[[#This Row],[Target]])</f>
        <v>2</v>
      </c>
      <c r="O477" s="4">
        <f>IF(Table1[[#This Row],[Outliers 2Y]]=0,1,0)</f>
        <v>0</v>
      </c>
      <c r="P477" s="4">
        <f>IF(Table1[[#This Row],[Last value]]&gt;1.5*Table1[[#This Row],[Target]],1,0)</f>
        <v>0</v>
      </c>
      <c r="Q477" s="4">
        <f>IF(AND(1.5*Table1[[#This Row],[Target]]&gt;=Table1[[#This Row],[Last value]],Table1[[#This Row],[Last value]]&gt;Table1[[#This Row],[Target]]),1,0)</f>
        <v>0</v>
      </c>
      <c r="R477" s="4">
        <f>IF(Table1[[#This Row],[Target]]&gt;=Table1[[#This Row],[Last value]],1,0)</f>
        <v>1</v>
      </c>
      <c r="S477" s="4" t="str">
        <f t="shared" si="9"/>
        <v>Green</v>
      </c>
      <c r="T477" s="55">
        <v>0</v>
      </c>
      <c r="U477" s="55">
        <v>0</v>
      </c>
      <c r="V477" s="55">
        <v>5.45</v>
      </c>
      <c r="W477" s="55">
        <v>3.73</v>
      </c>
      <c r="X477" s="55">
        <v>0</v>
      </c>
      <c r="Y477" s="55">
        <v>2.06</v>
      </c>
      <c r="Z477" s="55">
        <v>2.66</v>
      </c>
      <c r="AA477" s="55">
        <v>2.4</v>
      </c>
      <c r="AB477" s="55">
        <v>0</v>
      </c>
      <c r="AC477" s="55">
        <v>0</v>
      </c>
      <c r="AD477" s="55">
        <v>2.38</v>
      </c>
      <c r="AE477" s="55">
        <v>2.6</v>
      </c>
      <c r="AF477" s="55">
        <v>0</v>
      </c>
      <c r="AG477" s="55">
        <v>1.93</v>
      </c>
      <c r="AH477" s="55">
        <v>3.57</v>
      </c>
      <c r="AI477" s="55">
        <v>3.21</v>
      </c>
      <c r="AJ477" s="55">
        <v>2.6</v>
      </c>
      <c r="AK477" s="55">
        <v>3.13</v>
      </c>
      <c r="AL477" s="55">
        <v>2.95</v>
      </c>
      <c r="AM477" s="55">
        <v>3.34</v>
      </c>
      <c r="AN477" s="55">
        <v>3.3</v>
      </c>
      <c r="AO477" s="55">
        <v>3.19</v>
      </c>
      <c r="AP477" s="55">
        <v>0</v>
      </c>
      <c r="AQ477" s="55">
        <v>0</v>
      </c>
      <c r="AR477" s="8">
        <v>2.56</v>
      </c>
      <c r="AS477" s="8">
        <v>3.41</v>
      </c>
      <c r="AT477" s="8">
        <v>0</v>
      </c>
      <c r="AU477" s="50">
        <v>2.2000000000000002</v>
      </c>
      <c r="AV477" s="50">
        <v>2.66</v>
      </c>
      <c r="AW477" s="50">
        <v>2.38</v>
      </c>
      <c r="AX477" s="50">
        <v>2.2799999999999998</v>
      </c>
      <c r="AY477" s="50">
        <v>0</v>
      </c>
      <c r="AZ477" s="50">
        <v>0</v>
      </c>
      <c r="BA477" s="50">
        <v>0</v>
      </c>
      <c r="BB477" s="50">
        <v>0</v>
      </c>
      <c r="BC477" s="55">
        <v>2.5</v>
      </c>
      <c r="BD477" s="55">
        <v>2.7</v>
      </c>
      <c r="BE477" s="11">
        <v>2.1120000000000001</v>
      </c>
      <c r="BF477" s="4">
        <v>0</v>
      </c>
      <c r="BG477" s="4">
        <v>0</v>
      </c>
      <c r="BH477" s="4">
        <v>2.0230000000000001</v>
      </c>
      <c r="BI477" s="4">
        <v>0</v>
      </c>
      <c r="BJ477" s="14">
        <v>3.4609999999999999</v>
      </c>
      <c r="BK477" s="14">
        <v>2.4209999999999998</v>
      </c>
      <c r="BL477" s="4">
        <v>2.7679999999999998</v>
      </c>
      <c r="BM477" s="17">
        <v>2.5089999999999999</v>
      </c>
      <c r="BN477" s="4">
        <v>2.1749999999999998</v>
      </c>
      <c r="BO477" s="4">
        <v>0</v>
      </c>
      <c r="BP477" s="4">
        <v>0</v>
      </c>
      <c r="BQ477" s="4">
        <v>2.0289999999999999</v>
      </c>
      <c r="BR477" s="4">
        <v>1.907</v>
      </c>
      <c r="BS477" s="55">
        <v>1.974</v>
      </c>
      <c r="BT477" s="4">
        <v>2.3860000000000001</v>
      </c>
      <c r="BU477" s="4">
        <v>2.02</v>
      </c>
      <c r="BV477" s="4">
        <v>2.3050000000000002</v>
      </c>
      <c r="BW477" s="4">
        <v>2.3090000000000002</v>
      </c>
      <c r="BX477" s="4">
        <v>0</v>
      </c>
      <c r="BY477" s="4">
        <v>3.6440000000000001</v>
      </c>
      <c r="BZ477" s="55">
        <v>4.6100000000000003</v>
      </c>
      <c r="CA477" s="55">
        <v>0</v>
      </c>
      <c r="CB477" s="55">
        <v>0</v>
      </c>
      <c r="CC477" s="55">
        <v>0</v>
      </c>
      <c r="CD477" s="55">
        <v>0</v>
      </c>
      <c r="CE477" s="19">
        <v>2.4</v>
      </c>
      <c r="CF477" s="19">
        <v>0</v>
      </c>
      <c r="CG477" s="4">
        <v>0</v>
      </c>
      <c r="CH477" s="4">
        <v>0</v>
      </c>
      <c r="CI477" s="4">
        <v>2.8</v>
      </c>
      <c r="CJ477" s="34">
        <v>0</v>
      </c>
      <c r="CK477" s="34">
        <v>0</v>
      </c>
      <c r="CL477" s="34">
        <v>0</v>
      </c>
      <c r="CM477" s="4">
        <v>0</v>
      </c>
      <c r="CN477" s="53">
        <v>0</v>
      </c>
      <c r="CO477" s="54">
        <v>0</v>
      </c>
      <c r="CP477" s="54">
        <v>0</v>
      </c>
      <c r="CQ477" s="4">
        <v>0</v>
      </c>
    </row>
    <row r="478" spans="1:95" s="55" customFormat="1" x14ac:dyDescent="0.35">
      <c r="A478" s="55">
        <v>477</v>
      </c>
      <c r="B478" s="55" t="s">
        <v>87</v>
      </c>
      <c r="C478" s="27" t="s">
        <v>190</v>
      </c>
      <c r="D478" s="50" t="s">
        <v>94</v>
      </c>
      <c r="E478" s="33" t="s">
        <v>91</v>
      </c>
      <c r="F478" s="4">
        <f>IFERROR(AVERAGEIF(Table1[[#This Row],[2019-Apr]:[2025-July]],"&lt;&gt;0"),0)</f>
        <v>2.6094411764705887</v>
      </c>
      <c r="G478" s="4">
        <f ca="1">IFERROR(AVERAGEIF(OFFSET(Table1[[#This Row],[Status]],0,COUNT(Table1[[#This Row],[2019-May]:[2025-July]]),1,-12),"&lt;&gt;0"),0)</f>
        <v>2.33</v>
      </c>
      <c r="H478" s="55">
        <f>IFERROR(SMALL(Table1[[#This Row],[2019-Apr]:[2025-July]],COUNTIF(Table1[[#This Row],[2019-Apr]:[2025-July]],0)+1),0)</f>
        <v>1.22</v>
      </c>
      <c r="I478" s="55">
        <f>IFERROR(MAX(Table1[[#This Row],[2019-Apr]:[2025-July]]),0)</f>
        <v>4.16</v>
      </c>
      <c r="J478" s="4" cm="1">
        <f t="array" ref="J47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1.6483333333333334</v>
      </c>
      <c r="K478" s="4">
        <v>4.5</v>
      </c>
      <c r="L478" s="4">
        <f>IF(Table1[[#This Row],[Standard as per ISO]]&gt;=Table1[[#This Row],[Avg of best 6]],Table1[[#This Row],[Standard as per ISO]],Table1[[#This Row],[Avg of best 6]])</f>
        <v>4.5</v>
      </c>
      <c r="M478" s="4" cm="1">
        <f t="array" ref="M478">IFERROR(LOOKUP(2,1/(Table1[[#This Row],[2019-May]:[2025-July]]&lt;&gt;0),Table1[[#This Row],[2019-May]:[2025-July]]),0)</f>
        <v>2.46</v>
      </c>
      <c r="N478" s="4">
        <f>COUNTIF(Table1[[#This Row],[2019-Apr]:[2025-July]],"&gt;="&amp;Table1[[#This Row],[Target]])</f>
        <v>0</v>
      </c>
      <c r="O478" s="4">
        <f>IF(Table1[[#This Row],[Outliers 2Y]]=0,1,0)</f>
        <v>1</v>
      </c>
      <c r="P478" s="4">
        <f>IF(Table1[[#This Row],[Last value]]&gt;1.5*Table1[[#This Row],[Target]],1,0)</f>
        <v>0</v>
      </c>
      <c r="Q478" s="4">
        <f>IF(AND(1.5*Table1[[#This Row],[Target]]&gt;=Table1[[#This Row],[Last value]],Table1[[#This Row],[Last value]]&gt;Table1[[#This Row],[Target]]),1,0)</f>
        <v>0</v>
      </c>
      <c r="R478" s="4">
        <f>IF(Table1[[#This Row],[Target]]&gt;=Table1[[#This Row],[Last value]],1,0)</f>
        <v>1</v>
      </c>
      <c r="S478" s="4" t="str">
        <f t="shared" si="9"/>
        <v>Green</v>
      </c>
      <c r="T478" s="55">
        <v>0</v>
      </c>
      <c r="U478" s="55">
        <v>2.0699999999999998</v>
      </c>
      <c r="V478" s="55">
        <v>1.69</v>
      </c>
      <c r="W478" s="55">
        <v>3.05</v>
      </c>
      <c r="X478" s="55">
        <v>0</v>
      </c>
      <c r="Y478" s="55">
        <v>0</v>
      </c>
      <c r="Z478" s="55">
        <v>0</v>
      </c>
      <c r="AA478" s="55">
        <v>0</v>
      </c>
      <c r="AB478" s="55">
        <v>2.34</v>
      </c>
      <c r="AC478" s="55">
        <v>2.2599999999999998</v>
      </c>
      <c r="AD478" s="55">
        <v>0</v>
      </c>
      <c r="AE478" s="55">
        <v>0</v>
      </c>
      <c r="AF478" s="55">
        <v>0</v>
      </c>
      <c r="AG478" s="55">
        <v>0</v>
      </c>
      <c r="AH478" s="55">
        <v>0</v>
      </c>
      <c r="AI478" s="55">
        <v>2.97</v>
      </c>
      <c r="AJ478" s="55">
        <v>2.2999999999999998</v>
      </c>
      <c r="AK478" s="55">
        <v>1.55</v>
      </c>
      <c r="AL478" s="55">
        <v>1.52</v>
      </c>
      <c r="AM478" s="55">
        <v>4.16</v>
      </c>
      <c r="AN478" s="55">
        <v>0</v>
      </c>
      <c r="AO478" s="55">
        <v>1.22</v>
      </c>
      <c r="AP478" s="55">
        <v>3.37</v>
      </c>
      <c r="AQ478" s="55">
        <v>3.8</v>
      </c>
      <c r="AR478" s="8">
        <v>2.56</v>
      </c>
      <c r="AS478" s="8">
        <v>2.67</v>
      </c>
      <c r="AT478" s="8">
        <v>0</v>
      </c>
      <c r="AU478" s="50">
        <v>2.5099999999999998</v>
      </c>
      <c r="AV478" s="50">
        <v>2.67</v>
      </c>
      <c r="AW478" s="50">
        <v>1.84</v>
      </c>
      <c r="AX478" s="50">
        <v>2.58</v>
      </c>
      <c r="AY478" s="50">
        <v>0</v>
      </c>
      <c r="AZ478" s="50">
        <v>0</v>
      </c>
      <c r="BA478" s="50">
        <v>0</v>
      </c>
      <c r="BB478" s="50">
        <v>0</v>
      </c>
      <c r="BC478" s="55">
        <v>3</v>
      </c>
      <c r="BD478" s="55">
        <v>2.9</v>
      </c>
      <c r="BE478" s="11">
        <v>0</v>
      </c>
      <c r="BF478" s="4">
        <v>0</v>
      </c>
      <c r="BG478" s="4">
        <v>0</v>
      </c>
      <c r="BH478" s="4">
        <v>0</v>
      </c>
      <c r="BI478" s="4">
        <v>0</v>
      </c>
      <c r="BJ478" s="13">
        <v>0</v>
      </c>
      <c r="BK478" s="13">
        <v>3.1070000000000002</v>
      </c>
      <c r="BL478" s="4">
        <v>0</v>
      </c>
      <c r="BM478" s="16">
        <v>2.9870000000000001</v>
      </c>
      <c r="BN478" s="4">
        <v>2.883</v>
      </c>
      <c r="BO478" s="4">
        <v>2.5099999999999998</v>
      </c>
      <c r="BP478" s="4">
        <v>3.0489999999999999</v>
      </c>
      <c r="BQ478" s="4">
        <v>2.6139999999999999</v>
      </c>
      <c r="BR478" s="4">
        <v>2.371</v>
      </c>
      <c r="BS478" s="55">
        <v>2.6150000000000002</v>
      </c>
      <c r="BT478" s="4">
        <v>0</v>
      </c>
      <c r="BU478" s="4">
        <v>0</v>
      </c>
      <c r="BV478" s="4">
        <v>0</v>
      </c>
      <c r="BW478" s="4">
        <v>0</v>
      </c>
      <c r="BX478" s="4">
        <v>2.9390000000000001</v>
      </c>
      <c r="BY478" s="4">
        <v>2.9159999999999999</v>
      </c>
      <c r="BZ478" s="55">
        <v>3.04</v>
      </c>
      <c r="CA478" s="55">
        <v>0</v>
      </c>
      <c r="CB478" s="55">
        <v>0</v>
      </c>
      <c r="CC478" s="55">
        <v>0</v>
      </c>
      <c r="CD478" s="55">
        <v>0</v>
      </c>
      <c r="CE478" s="19">
        <v>0</v>
      </c>
      <c r="CF478" s="19">
        <v>2.2000000000000002</v>
      </c>
      <c r="CG478" s="4">
        <v>0</v>
      </c>
      <c r="CH478" s="4">
        <v>0</v>
      </c>
      <c r="CI478" s="4">
        <v>2.46</v>
      </c>
      <c r="CJ478" s="34">
        <v>0</v>
      </c>
      <c r="CK478" s="34">
        <v>0</v>
      </c>
      <c r="CL478" s="34">
        <v>0</v>
      </c>
      <c r="CM478" s="4">
        <v>0</v>
      </c>
      <c r="CN478" s="53">
        <v>0</v>
      </c>
      <c r="CO478" s="54">
        <v>0</v>
      </c>
      <c r="CP478" s="54">
        <v>0</v>
      </c>
      <c r="CQ478" s="4">
        <v>0</v>
      </c>
    </row>
    <row r="479" spans="1:95" s="55" customFormat="1" x14ac:dyDescent="0.35">
      <c r="A479" s="55">
        <v>478</v>
      </c>
      <c r="B479" s="55" t="s">
        <v>87</v>
      </c>
      <c r="C479" s="27" t="s">
        <v>191</v>
      </c>
      <c r="D479" s="50" t="s">
        <v>94</v>
      </c>
      <c r="E479" s="33" t="s">
        <v>91</v>
      </c>
      <c r="F479" s="4">
        <f>IFERROR(AVERAGEIF(Table1[[#This Row],[2019-Apr]:[2025-July]],"&lt;&gt;0"),0)</f>
        <v>3.3141904761904764</v>
      </c>
      <c r="G479" s="4">
        <f ca="1">IFERROR(AVERAGEIF(OFFSET(Table1[[#This Row],[Status]],0,COUNT(Table1[[#This Row],[2019-May]:[2025-July]]),1,-12),"&lt;&gt;0"),0)</f>
        <v>1</v>
      </c>
      <c r="H479" s="55">
        <f>IFERROR(SMALL(Table1[[#This Row],[2019-Apr]:[2025-July]],COUNTIF(Table1[[#This Row],[2019-Apr]:[2025-July]],0)+1),0)</f>
        <v>1</v>
      </c>
      <c r="I479" s="55">
        <f>IFERROR(MAX(Table1[[#This Row],[2019-Apr]:[2025-July]]),0)</f>
        <v>5.5</v>
      </c>
      <c r="J479" s="4" cm="1">
        <f t="array" ref="J47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2.4866666666666668</v>
      </c>
      <c r="K479" s="4">
        <v>4.5</v>
      </c>
      <c r="L479" s="4">
        <f>IF(Table1[[#This Row],[Standard as per ISO]]&gt;=Table1[[#This Row],[Avg of best 6]],Table1[[#This Row],[Standard as per ISO]],Table1[[#This Row],[Avg of best 6]])</f>
        <v>4.5</v>
      </c>
      <c r="M479" s="4" cm="1">
        <f t="array" ref="M479">IFERROR(LOOKUP(2,1/(Table1[[#This Row],[2019-May]:[2025-July]]&lt;&gt;0),Table1[[#This Row],[2019-May]:[2025-July]]),0)</f>
        <v>1</v>
      </c>
      <c r="N479" s="4">
        <f>COUNTIF(Table1[[#This Row],[2019-Apr]:[2025-July]],"&gt;="&amp;Table1[[#This Row],[Target]])</f>
        <v>1</v>
      </c>
      <c r="O479" s="4">
        <f>IF(Table1[[#This Row],[Outliers 2Y]]=0,1,0)</f>
        <v>0</v>
      </c>
      <c r="P479" s="4">
        <f>IF(Table1[[#This Row],[Last value]]&gt;1.5*Table1[[#This Row],[Target]],1,0)</f>
        <v>0</v>
      </c>
      <c r="Q479" s="4">
        <f>IF(AND(1.5*Table1[[#This Row],[Target]]&gt;=Table1[[#This Row],[Last value]],Table1[[#This Row],[Last value]]&gt;Table1[[#This Row],[Target]]),1,0)</f>
        <v>0</v>
      </c>
      <c r="R479" s="4">
        <f>IF(Table1[[#This Row],[Target]]&gt;=Table1[[#This Row],[Last value]],1,0)</f>
        <v>1</v>
      </c>
      <c r="S479" s="4" t="str">
        <f t="shared" ref="S479:S542" si="10">IF(P479=1, "Red", IF(Q479=1, "Yellow", "Green"))</f>
        <v>Green</v>
      </c>
      <c r="T479" s="55">
        <v>0</v>
      </c>
      <c r="U479" s="55">
        <v>0</v>
      </c>
      <c r="V479" s="55">
        <v>0</v>
      </c>
      <c r="W479" s="55">
        <v>3.2</v>
      </c>
      <c r="X479" s="55">
        <v>3.23</v>
      </c>
      <c r="Y479" s="55">
        <v>3.17</v>
      </c>
      <c r="Z479" s="55">
        <v>3.8</v>
      </c>
      <c r="AA479" s="55">
        <v>3.5</v>
      </c>
      <c r="AB479" s="55">
        <v>0</v>
      </c>
      <c r="AC479" s="55">
        <v>0</v>
      </c>
      <c r="AD479" s="55">
        <v>3.18</v>
      </c>
      <c r="AE479" s="55">
        <v>3.6</v>
      </c>
      <c r="AF479" s="55">
        <v>0</v>
      </c>
      <c r="AG479" s="55">
        <v>2.95</v>
      </c>
      <c r="AH479" s="55">
        <v>3.46</v>
      </c>
      <c r="AI479" s="55">
        <v>0</v>
      </c>
      <c r="AJ479" s="55">
        <v>0</v>
      </c>
      <c r="AK479" s="55">
        <v>0</v>
      </c>
      <c r="AL479" s="55">
        <v>0</v>
      </c>
      <c r="AM479" s="55">
        <v>0</v>
      </c>
      <c r="AN479" s="55">
        <v>0</v>
      </c>
      <c r="AO479" s="55">
        <v>0</v>
      </c>
      <c r="AP479" s="55">
        <v>0</v>
      </c>
      <c r="AQ479" s="55">
        <v>0</v>
      </c>
      <c r="AR479" s="8">
        <v>0</v>
      </c>
      <c r="AS479" s="8">
        <v>0</v>
      </c>
      <c r="AT479" s="8">
        <v>0</v>
      </c>
      <c r="AU479" s="50">
        <v>0</v>
      </c>
      <c r="AV479" s="50">
        <v>0</v>
      </c>
      <c r="AW479" s="50">
        <v>0</v>
      </c>
      <c r="AX479" s="50">
        <v>0</v>
      </c>
      <c r="AY479" s="50">
        <v>4</v>
      </c>
      <c r="AZ479" s="50">
        <v>3.65</v>
      </c>
      <c r="BA479" s="50">
        <v>2.9</v>
      </c>
      <c r="BB479" s="50">
        <v>5.5</v>
      </c>
      <c r="BC479" s="50">
        <v>0</v>
      </c>
      <c r="BD479" s="55">
        <v>0</v>
      </c>
      <c r="BE479" s="11">
        <v>2.8180000000000001</v>
      </c>
      <c r="BF479" s="4">
        <v>0</v>
      </c>
      <c r="BG479" s="4">
        <v>0</v>
      </c>
      <c r="BH479" s="4">
        <v>0</v>
      </c>
      <c r="BI479" s="4">
        <v>0</v>
      </c>
      <c r="BJ479" s="14">
        <v>0</v>
      </c>
      <c r="BK479" s="14">
        <v>3.4860000000000002</v>
      </c>
      <c r="BL479" s="4">
        <v>3.9460000000000002</v>
      </c>
      <c r="BM479" s="17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55">
        <v>0</v>
      </c>
      <c r="BT479" s="4">
        <v>2.7850000000000001</v>
      </c>
      <c r="BU479" s="4">
        <v>2.4670000000000001</v>
      </c>
      <c r="BV479" s="4">
        <v>3.742</v>
      </c>
      <c r="BW479" s="4">
        <v>3.214</v>
      </c>
      <c r="BX479" s="4">
        <v>0</v>
      </c>
      <c r="BY479" s="4">
        <v>0</v>
      </c>
      <c r="BZ479" s="55">
        <v>0</v>
      </c>
      <c r="CA479" s="55">
        <v>0</v>
      </c>
      <c r="CB479" s="55">
        <v>0</v>
      </c>
      <c r="CC479" s="55">
        <v>0</v>
      </c>
      <c r="CD479" s="55">
        <v>0</v>
      </c>
      <c r="CE479" s="19">
        <v>1</v>
      </c>
      <c r="CF479" s="19">
        <v>0</v>
      </c>
      <c r="CG479" s="4">
        <v>0</v>
      </c>
      <c r="CH479" s="4">
        <v>0</v>
      </c>
      <c r="CI479" s="4">
        <v>0</v>
      </c>
      <c r="CJ479" s="34">
        <v>0</v>
      </c>
      <c r="CK479" s="34">
        <v>0</v>
      </c>
      <c r="CL479" s="34">
        <v>0</v>
      </c>
      <c r="CM479" s="4">
        <v>0</v>
      </c>
      <c r="CN479" s="53">
        <v>0</v>
      </c>
      <c r="CO479" s="54">
        <v>0</v>
      </c>
      <c r="CP479" s="54">
        <v>0</v>
      </c>
      <c r="CQ479" s="4">
        <v>0</v>
      </c>
    </row>
    <row r="480" spans="1:95" s="55" customFormat="1" x14ac:dyDescent="0.35">
      <c r="A480" s="55">
        <v>479</v>
      </c>
      <c r="B480" s="55" t="s">
        <v>87</v>
      </c>
      <c r="C480" s="27" t="s">
        <v>192</v>
      </c>
      <c r="D480" s="50" t="s">
        <v>94</v>
      </c>
      <c r="E480" s="33" t="s">
        <v>91</v>
      </c>
      <c r="F480" s="4">
        <f>IFERROR(AVERAGEIF(Table1[[#This Row],[2019-Apr]:[2025-July]],"&lt;&gt;0"),0)</f>
        <v>3.7380882352941178</v>
      </c>
      <c r="G480" s="4">
        <f ca="1">IFERROR(AVERAGEIF(OFFSET(Table1[[#This Row],[Status]],0,COUNT(Table1[[#This Row],[2019-May]:[2025-July]]),1,-12),"&lt;&gt;0"),0)</f>
        <v>3.9649999999999999</v>
      </c>
      <c r="H480" s="55">
        <f>IFERROR(SMALL(Table1[[#This Row],[2019-Apr]:[2025-July]],COUNTIF(Table1[[#This Row],[2019-Apr]:[2025-July]],0)+1),0)</f>
        <v>2.74</v>
      </c>
      <c r="I480" s="55">
        <f>IFERROR(MAX(Table1[[#This Row],[2019-Apr]:[2025-July]]),0)</f>
        <v>5.09</v>
      </c>
      <c r="J480" s="4" cm="1">
        <f t="array" ref="J48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3.0223333333333335</v>
      </c>
      <c r="K480" s="4">
        <v>4.5</v>
      </c>
      <c r="L480" s="4">
        <f>IF(Table1[[#This Row],[Standard as per ISO]]&gt;=Table1[[#This Row],[Avg of best 6]],Table1[[#This Row],[Standard as per ISO]],Table1[[#This Row],[Avg of best 6]])</f>
        <v>4.5</v>
      </c>
      <c r="M480" s="4" cm="1">
        <f t="array" ref="M480">IFERROR(LOOKUP(2,1/(Table1[[#This Row],[2019-May]:[2025-July]]&lt;&gt;0),Table1[[#This Row],[2019-May]:[2025-July]]),0)</f>
        <v>3.93</v>
      </c>
      <c r="N480" s="4">
        <f>COUNTIF(Table1[[#This Row],[2019-Apr]:[2025-July]],"&gt;="&amp;Table1[[#This Row],[Target]])</f>
        <v>4</v>
      </c>
      <c r="O480" s="4">
        <f>IF(Table1[[#This Row],[Outliers 2Y]]=0,1,0)</f>
        <v>0</v>
      </c>
      <c r="P480" s="4">
        <f>IF(Table1[[#This Row],[Last value]]&gt;1.5*Table1[[#This Row],[Target]],1,0)</f>
        <v>0</v>
      </c>
      <c r="Q480" s="4">
        <f>IF(AND(1.5*Table1[[#This Row],[Target]]&gt;=Table1[[#This Row],[Last value]],Table1[[#This Row],[Last value]]&gt;Table1[[#This Row],[Target]]),1,0)</f>
        <v>0</v>
      </c>
      <c r="R480" s="4">
        <f>IF(Table1[[#This Row],[Target]]&gt;=Table1[[#This Row],[Last value]],1,0)</f>
        <v>1</v>
      </c>
      <c r="S480" s="4" t="str">
        <f t="shared" si="10"/>
        <v>Green</v>
      </c>
      <c r="T480" s="55">
        <v>0</v>
      </c>
      <c r="U480" s="55">
        <v>0</v>
      </c>
      <c r="V480" s="55">
        <v>4.41</v>
      </c>
      <c r="W480" s="55">
        <v>4.37</v>
      </c>
      <c r="X480" s="55">
        <v>0</v>
      </c>
      <c r="Y480" s="55">
        <v>5.09</v>
      </c>
      <c r="Z480" s="55">
        <v>4.5999999999999996</v>
      </c>
      <c r="AA480" s="55">
        <v>4.5</v>
      </c>
      <c r="AB480" s="55">
        <v>3.13</v>
      </c>
      <c r="AC480" s="55">
        <v>2.74</v>
      </c>
      <c r="AD480" s="55">
        <v>2.81</v>
      </c>
      <c r="AE480" s="55">
        <v>0</v>
      </c>
      <c r="AF480" s="55">
        <v>0</v>
      </c>
      <c r="AG480" s="55">
        <v>0</v>
      </c>
      <c r="AH480" s="55">
        <v>4.2699999999999996</v>
      </c>
      <c r="AI480" s="55">
        <v>0</v>
      </c>
      <c r="AJ480" s="55">
        <v>0</v>
      </c>
      <c r="AK480" s="55">
        <v>0</v>
      </c>
      <c r="AL480" s="55">
        <v>0</v>
      </c>
      <c r="AM480" s="55">
        <v>3.13</v>
      </c>
      <c r="AN480" s="55">
        <v>3.12</v>
      </c>
      <c r="AO480" s="55">
        <v>0</v>
      </c>
      <c r="AP480" s="55">
        <v>3.34</v>
      </c>
      <c r="AQ480" s="55">
        <v>3.79</v>
      </c>
      <c r="AR480" s="8">
        <v>3.38</v>
      </c>
      <c r="AS480" s="8">
        <v>3.43</v>
      </c>
      <c r="AT480" s="8">
        <v>0</v>
      </c>
      <c r="AU480" s="50">
        <v>3.41</v>
      </c>
      <c r="AV480" s="50">
        <v>0</v>
      </c>
      <c r="AW480" s="50">
        <v>4.87</v>
      </c>
      <c r="AX480" s="50">
        <v>0</v>
      </c>
      <c r="AY480" s="50">
        <v>4.3899999999999997</v>
      </c>
      <c r="AZ480" s="50">
        <v>4.3</v>
      </c>
      <c r="BA480" s="50">
        <v>0</v>
      </c>
      <c r="BB480" s="50">
        <v>0</v>
      </c>
      <c r="BC480" s="55">
        <v>3.9</v>
      </c>
      <c r="BD480" s="55">
        <v>3.7</v>
      </c>
      <c r="BE480" s="11">
        <v>0</v>
      </c>
      <c r="BF480" s="4">
        <v>0</v>
      </c>
      <c r="BG480" s="4">
        <v>0</v>
      </c>
      <c r="BH480" s="4">
        <v>0</v>
      </c>
      <c r="BI480" s="4">
        <v>0</v>
      </c>
      <c r="BJ480" s="13">
        <v>3.88</v>
      </c>
      <c r="BK480" s="13">
        <v>3.226</v>
      </c>
      <c r="BL480" s="4">
        <v>3.718</v>
      </c>
      <c r="BM480" s="16">
        <v>3.6480000000000001</v>
      </c>
      <c r="BN480" s="4">
        <v>3.254</v>
      </c>
      <c r="BO480" s="4">
        <v>0</v>
      </c>
      <c r="BP480" s="4">
        <v>3.2040000000000002</v>
      </c>
      <c r="BQ480" s="4">
        <v>0</v>
      </c>
      <c r="BR480" s="4">
        <v>0</v>
      </c>
      <c r="BS480" s="55">
        <v>0</v>
      </c>
      <c r="BT480" s="4">
        <v>3.3969999999999998</v>
      </c>
      <c r="BU480" s="4">
        <v>3.5110000000000001</v>
      </c>
      <c r="BV480" s="4">
        <v>3.673</v>
      </c>
      <c r="BW480" s="4">
        <v>3.5960000000000001</v>
      </c>
      <c r="BX480" s="4">
        <v>3.3780000000000001</v>
      </c>
      <c r="BY480" s="4">
        <v>0</v>
      </c>
      <c r="BZ480" s="55">
        <v>0</v>
      </c>
      <c r="CA480" s="55">
        <v>0</v>
      </c>
      <c r="CB480" s="55">
        <v>0</v>
      </c>
      <c r="CC480" s="55">
        <v>0</v>
      </c>
      <c r="CD480" s="55">
        <v>0</v>
      </c>
      <c r="CE480" s="19">
        <v>4</v>
      </c>
      <c r="CF480" s="19">
        <v>0</v>
      </c>
      <c r="CG480" s="4">
        <v>0</v>
      </c>
      <c r="CH480" s="4">
        <v>0</v>
      </c>
      <c r="CI480" s="4">
        <v>3.93</v>
      </c>
      <c r="CJ480" s="34">
        <v>0</v>
      </c>
      <c r="CK480" s="34">
        <v>0</v>
      </c>
      <c r="CL480" s="34">
        <v>0</v>
      </c>
      <c r="CM480" s="4">
        <v>0</v>
      </c>
      <c r="CN480" s="53">
        <v>0</v>
      </c>
      <c r="CO480" s="54">
        <v>0</v>
      </c>
      <c r="CP480" s="54">
        <v>0</v>
      </c>
      <c r="CQ480" s="4">
        <v>0</v>
      </c>
    </row>
    <row r="481" spans="1:95" s="55" customFormat="1" x14ac:dyDescent="0.35">
      <c r="A481" s="55">
        <v>480</v>
      </c>
      <c r="B481" s="55" t="s">
        <v>87</v>
      </c>
      <c r="C481" s="27" t="s">
        <v>193</v>
      </c>
      <c r="D481" s="50" t="s">
        <v>94</v>
      </c>
      <c r="E481" s="33" t="s">
        <v>91</v>
      </c>
      <c r="F481" s="4">
        <f>IFERROR(AVERAGEIF(Table1[[#This Row],[2019-Apr]:[2025-July]],"&lt;&gt;0"),0)</f>
        <v>3.3363846153846159</v>
      </c>
      <c r="G481" s="4">
        <f ca="1">IFERROR(AVERAGEIF(OFFSET(Table1[[#This Row],[Status]],0,COUNT(Table1[[#This Row],[2019-May]:[2025-July]]),1,-12),"&lt;&gt;0"),0)</f>
        <v>3.4</v>
      </c>
      <c r="H481" s="55">
        <f>IFERROR(SMALL(Table1[[#This Row],[2019-Apr]:[2025-July]],COUNTIF(Table1[[#This Row],[2019-Apr]:[2025-July]],0)+1),0)</f>
        <v>2.6059999999999999</v>
      </c>
      <c r="I481" s="55">
        <f>IFERROR(MAX(Table1[[#This Row],[2019-Apr]:[2025-July]]),0)</f>
        <v>4.4269999999999996</v>
      </c>
      <c r="J481" s="4" cm="1">
        <f t="array" ref="J48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2.8245</v>
      </c>
      <c r="K481" s="4">
        <v>4.5</v>
      </c>
      <c r="L481" s="4">
        <f>IF(Table1[[#This Row],[Standard as per ISO]]&gt;=Table1[[#This Row],[Avg of best 6]],Table1[[#This Row],[Standard as per ISO]],Table1[[#This Row],[Avg of best 6]])</f>
        <v>4.5</v>
      </c>
      <c r="M481" s="4" cm="1">
        <f t="array" ref="M481">IFERROR(LOOKUP(2,1/(Table1[[#This Row],[2019-May]:[2025-July]]&lt;&gt;0),Table1[[#This Row],[2019-May]:[2025-July]]),0)</f>
        <v>3.4</v>
      </c>
      <c r="N481" s="4">
        <f>COUNTIF(Table1[[#This Row],[2019-Apr]:[2025-July]],"&gt;="&amp;Table1[[#This Row],[Target]])</f>
        <v>0</v>
      </c>
      <c r="O481" s="4">
        <f>IF(Table1[[#This Row],[Outliers 2Y]]=0,1,0)</f>
        <v>1</v>
      </c>
      <c r="P481" s="4">
        <f>IF(Table1[[#This Row],[Last value]]&gt;1.5*Table1[[#This Row],[Target]],1,0)</f>
        <v>0</v>
      </c>
      <c r="Q481" s="4">
        <f>IF(AND(1.5*Table1[[#This Row],[Target]]&gt;=Table1[[#This Row],[Last value]],Table1[[#This Row],[Last value]]&gt;Table1[[#This Row],[Target]]),1,0)</f>
        <v>0</v>
      </c>
      <c r="R481" s="4">
        <f>IF(Table1[[#This Row],[Target]]&gt;=Table1[[#This Row],[Last value]],1,0)</f>
        <v>1</v>
      </c>
      <c r="S481" s="4" t="str">
        <f t="shared" si="10"/>
        <v>Green</v>
      </c>
      <c r="T481" s="55">
        <v>0</v>
      </c>
      <c r="U481" s="55">
        <v>2.81</v>
      </c>
      <c r="V481" s="55">
        <v>3.24</v>
      </c>
      <c r="W481" s="55">
        <v>2.8</v>
      </c>
      <c r="X481" s="55">
        <v>2.77</v>
      </c>
      <c r="Y481" s="55">
        <v>0</v>
      </c>
      <c r="Z481" s="55">
        <v>0</v>
      </c>
      <c r="AA481" s="55">
        <v>0</v>
      </c>
      <c r="AB481" s="55">
        <v>0</v>
      </c>
      <c r="AC481" s="55">
        <v>0</v>
      </c>
      <c r="AD481" s="55">
        <v>0</v>
      </c>
      <c r="AE481" s="55">
        <v>3.7</v>
      </c>
      <c r="AF481" s="55">
        <v>0</v>
      </c>
      <c r="AG481" s="55">
        <v>3.38</v>
      </c>
      <c r="AH481" s="55">
        <v>3</v>
      </c>
      <c r="AI481" s="55">
        <v>3.16</v>
      </c>
      <c r="AJ481" s="55">
        <v>3.44</v>
      </c>
      <c r="AK481" s="55">
        <v>3.47</v>
      </c>
      <c r="AL481" s="55">
        <v>3.09</v>
      </c>
      <c r="AM481" s="55">
        <v>0</v>
      </c>
      <c r="AN481" s="55">
        <v>0</v>
      </c>
      <c r="AO481" s="55">
        <v>3.15</v>
      </c>
      <c r="AP481" s="55">
        <v>0</v>
      </c>
      <c r="AQ481" s="55">
        <v>0</v>
      </c>
      <c r="AR481" s="8">
        <v>0</v>
      </c>
      <c r="AS481" s="8">
        <v>0</v>
      </c>
      <c r="AT481" s="8">
        <v>0</v>
      </c>
      <c r="AU481" s="50">
        <v>0</v>
      </c>
      <c r="AV481" s="50">
        <v>3.28</v>
      </c>
      <c r="AW481" s="50">
        <v>0</v>
      </c>
      <c r="AX481" s="50">
        <v>3.64</v>
      </c>
      <c r="AY481" s="50">
        <v>0</v>
      </c>
      <c r="AZ481" s="50">
        <v>0</v>
      </c>
      <c r="BA481" s="50">
        <v>3.6</v>
      </c>
      <c r="BB481" s="50">
        <v>4.4000000000000004</v>
      </c>
      <c r="BC481" s="50">
        <v>0</v>
      </c>
      <c r="BD481" s="55">
        <v>0</v>
      </c>
      <c r="BE481" s="11">
        <v>3.0329999999999999</v>
      </c>
      <c r="BF481" s="4">
        <v>0</v>
      </c>
      <c r="BG481" s="4">
        <v>0</v>
      </c>
      <c r="BH481" s="4">
        <v>4.4269999999999996</v>
      </c>
      <c r="BI481" s="4">
        <v>0</v>
      </c>
      <c r="BJ481" s="14">
        <v>0</v>
      </c>
      <c r="BK481" s="14">
        <v>2.6059999999999999</v>
      </c>
      <c r="BL481" s="4">
        <v>0</v>
      </c>
      <c r="BM481" s="17">
        <v>0</v>
      </c>
      <c r="BN481" s="4">
        <v>0</v>
      </c>
      <c r="BO481" s="4">
        <v>3.5529999999999999</v>
      </c>
      <c r="BP481" s="4">
        <v>0</v>
      </c>
      <c r="BQ481" s="4">
        <v>3.105</v>
      </c>
      <c r="BR481" s="4">
        <v>4.0780000000000003</v>
      </c>
      <c r="BS481" s="55">
        <v>2.9609999999999999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3.133</v>
      </c>
      <c r="BZ481" s="55">
        <v>3.52</v>
      </c>
      <c r="CA481" s="55">
        <v>0</v>
      </c>
      <c r="CB481" s="55">
        <v>0</v>
      </c>
      <c r="CC481" s="55">
        <v>0</v>
      </c>
      <c r="CD481" s="55">
        <v>0</v>
      </c>
      <c r="CE481" s="19">
        <v>0</v>
      </c>
      <c r="CF481" s="19">
        <v>3.4</v>
      </c>
      <c r="CG481" s="4">
        <v>0</v>
      </c>
      <c r="CH481" s="4">
        <v>0</v>
      </c>
      <c r="CI481" s="4">
        <v>0</v>
      </c>
      <c r="CJ481" s="34">
        <v>0</v>
      </c>
      <c r="CK481" s="34">
        <v>0</v>
      </c>
      <c r="CL481" s="34">
        <v>0</v>
      </c>
      <c r="CM481" s="4">
        <v>0</v>
      </c>
      <c r="CN481" s="53">
        <v>0</v>
      </c>
      <c r="CO481" s="54">
        <v>0</v>
      </c>
      <c r="CP481" s="54">
        <v>0</v>
      </c>
      <c r="CQ481" s="4">
        <v>0</v>
      </c>
    </row>
    <row r="482" spans="1:95" s="55" customFormat="1" x14ac:dyDescent="0.35">
      <c r="A482" s="55">
        <v>481</v>
      </c>
      <c r="B482" s="55" t="s">
        <v>87</v>
      </c>
      <c r="C482" s="27" t="s">
        <v>194</v>
      </c>
      <c r="D482" s="50" t="s">
        <v>94</v>
      </c>
      <c r="E482" s="33" t="s">
        <v>91</v>
      </c>
      <c r="F482" s="4">
        <f>IFERROR(AVERAGEIF(Table1[[#This Row],[2019-Apr]:[2025-July]],"&lt;&gt;0"),0)</f>
        <v>4.1194166666666678</v>
      </c>
      <c r="G482" s="4">
        <f ca="1">IFERROR(AVERAGEIF(OFFSET(Table1[[#This Row],[Status]],0,COUNT(Table1[[#This Row],[2019-May]:[2025-July]]),1,-12),"&lt;&gt;0"),0)</f>
        <v>3.03</v>
      </c>
      <c r="H482" s="55">
        <f>IFERROR(SMALL(Table1[[#This Row],[2019-Apr]:[2025-July]],COUNTIF(Table1[[#This Row],[2019-Apr]:[2025-July]],0)+1),0)</f>
        <v>2.786</v>
      </c>
      <c r="I482" s="55">
        <f>IFERROR(MAX(Table1[[#This Row],[2019-Apr]:[2025-July]]),0)</f>
        <v>5.7</v>
      </c>
      <c r="J482" s="4" cm="1">
        <f t="array" ref="J48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3.1005000000000003</v>
      </c>
      <c r="K482" s="4">
        <v>4.5</v>
      </c>
      <c r="L482" s="4">
        <f>IF(Table1[[#This Row],[Standard as per ISO]]&gt;=Table1[[#This Row],[Avg of best 6]],Table1[[#This Row],[Standard as per ISO]],Table1[[#This Row],[Avg of best 6]])</f>
        <v>4.5</v>
      </c>
      <c r="M482" s="4" cm="1">
        <f t="array" ref="M482">IFERROR(LOOKUP(2,1/(Table1[[#This Row],[2019-May]:[2025-July]]&lt;&gt;0),Table1[[#This Row],[2019-May]:[2025-July]]),0)</f>
        <v>3.03</v>
      </c>
      <c r="N482" s="4">
        <f>COUNTIF(Table1[[#This Row],[2019-Apr]:[2025-July]],"&gt;="&amp;Table1[[#This Row],[Target]])</f>
        <v>7</v>
      </c>
      <c r="O482" s="4">
        <f>IF(Table1[[#This Row],[Outliers 2Y]]=0,1,0)</f>
        <v>0</v>
      </c>
      <c r="P482" s="4">
        <f>IF(Table1[[#This Row],[Last value]]&gt;1.5*Table1[[#This Row],[Target]],1,0)</f>
        <v>0</v>
      </c>
      <c r="Q482" s="4">
        <f>IF(AND(1.5*Table1[[#This Row],[Target]]&gt;=Table1[[#This Row],[Last value]],Table1[[#This Row],[Last value]]&gt;Table1[[#This Row],[Target]]),1,0)</f>
        <v>0</v>
      </c>
      <c r="R482" s="4">
        <f>IF(Table1[[#This Row],[Target]]&gt;=Table1[[#This Row],[Last value]],1,0)</f>
        <v>1</v>
      </c>
      <c r="S482" s="4" t="str">
        <f t="shared" si="10"/>
        <v>Green</v>
      </c>
      <c r="T482" s="55">
        <v>0</v>
      </c>
      <c r="U482" s="55">
        <v>3.98</v>
      </c>
      <c r="V482" s="55">
        <v>4.49</v>
      </c>
      <c r="W482" s="55">
        <v>4.26</v>
      </c>
      <c r="X482" s="55">
        <v>0</v>
      </c>
      <c r="Y482" s="55">
        <v>5.27</v>
      </c>
      <c r="Z482" s="55">
        <v>5.46</v>
      </c>
      <c r="AA482" s="55">
        <v>4.8</v>
      </c>
      <c r="AB482" s="55">
        <v>3.67</v>
      </c>
      <c r="AC482" s="55">
        <v>3.79</v>
      </c>
      <c r="AD482" s="55">
        <v>3.87</v>
      </c>
      <c r="AE482" s="55">
        <v>0</v>
      </c>
      <c r="AF482" s="55">
        <v>0</v>
      </c>
      <c r="AG482" s="55">
        <v>0</v>
      </c>
      <c r="AH482" s="55">
        <v>0</v>
      </c>
      <c r="AI482" s="55">
        <v>0</v>
      </c>
      <c r="AJ482" s="55">
        <v>0</v>
      </c>
      <c r="AK482" s="55">
        <v>0</v>
      </c>
      <c r="AL482" s="55">
        <v>0</v>
      </c>
      <c r="AM482" s="55">
        <v>0</v>
      </c>
      <c r="AN482" s="55">
        <v>0</v>
      </c>
      <c r="AO482" s="55">
        <v>0</v>
      </c>
      <c r="AP482" s="55">
        <v>0</v>
      </c>
      <c r="AQ482" s="55">
        <v>0</v>
      </c>
      <c r="AR482" s="8">
        <v>5.7</v>
      </c>
      <c r="AS482" s="8">
        <v>5.23</v>
      </c>
      <c r="AT482" s="8">
        <v>0</v>
      </c>
      <c r="AU482" s="50">
        <v>5.1100000000000003</v>
      </c>
      <c r="AV482" s="50">
        <v>0</v>
      </c>
      <c r="AW482" s="50">
        <v>0</v>
      </c>
      <c r="AX482" s="50">
        <v>0</v>
      </c>
      <c r="AY482" s="50">
        <v>5.25</v>
      </c>
      <c r="AZ482" s="50">
        <v>4.4000000000000004</v>
      </c>
      <c r="BA482" s="50">
        <v>0</v>
      </c>
      <c r="BB482" s="50">
        <v>0</v>
      </c>
      <c r="BC482" s="50">
        <v>0</v>
      </c>
      <c r="BD482" s="55">
        <v>3.9</v>
      </c>
      <c r="BE482" s="11">
        <v>0</v>
      </c>
      <c r="BF482" s="4">
        <v>0</v>
      </c>
      <c r="BG482" s="4">
        <v>0</v>
      </c>
      <c r="BH482" s="4">
        <v>0</v>
      </c>
      <c r="BI482" s="4">
        <v>0</v>
      </c>
      <c r="BJ482" s="13">
        <v>3.9359999999999999</v>
      </c>
      <c r="BK482" s="13">
        <v>0</v>
      </c>
      <c r="BL482" s="4">
        <v>3.2109999999999999</v>
      </c>
      <c r="BM482" s="16">
        <v>3.5179999999999998</v>
      </c>
      <c r="BN482" s="4">
        <v>3.4950000000000001</v>
      </c>
      <c r="BO482" s="4">
        <v>0</v>
      </c>
      <c r="BP482" s="4">
        <v>3.629</v>
      </c>
      <c r="BQ482" s="4">
        <v>0</v>
      </c>
      <c r="BR482" s="4">
        <v>0</v>
      </c>
      <c r="BS482" s="55">
        <v>0</v>
      </c>
      <c r="BT482" s="4">
        <v>2.931</v>
      </c>
      <c r="BU482" s="4">
        <v>0</v>
      </c>
      <c r="BV482" s="4">
        <v>0</v>
      </c>
      <c r="BW482" s="4">
        <v>0</v>
      </c>
      <c r="BX482" s="4">
        <v>0</v>
      </c>
      <c r="BY482" s="4">
        <v>2.786</v>
      </c>
      <c r="BZ482" s="55">
        <v>3.15</v>
      </c>
      <c r="CA482" s="55">
        <v>0</v>
      </c>
      <c r="CB482" s="55">
        <v>0</v>
      </c>
      <c r="CC482" s="55">
        <v>0</v>
      </c>
      <c r="CD482" s="55">
        <v>0</v>
      </c>
      <c r="CE482" s="19">
        <v>0</v>
      </c>
      <c r="CF482" s="19">
        <v>0</v>
      </c>
      <c r="CG482" s="4">
        <v>0</v>
      </c>
      <c r="CH482" s="4">
        <v>0</v>
      </c>
      <c r="CI482" s="4">
        <v>3.03</v>
      </c>
      <c r="CJ482" s="34">
        <v>0</v>
      </c>
      <c r="CK482" s="34">
        <v>0</v>
      </c>
      <c r="CL482" s="34">
        <v>0</v>
      </c>
      <c r="CM482" s="4">
        <v>0</v>
      </c>
      <c r="CN482" s="53">
        <v>0</v>
      </c>
      <c r="CO482" s="54">
        <v>0</v>
      </c>
      <c r="CP482" s="54">
        <v>0</v>
      </c>
      <c r="CQ482" s="4">
        <v>0</v>
      </c>
    </row>
    <row r="483" spans="1:95" s="55" customFormat="1" x14ac:dyDescent="0.35">
      <c r="A483" s="55">
        <v>482</v>
      </c>
      <c r="B483" s="55" t="s">
        <v>87</v>
      </c>
      <c r="C483" s="27" t="s">
        <v>195</v>
      </c>
      <c r="D483" s="50" t="s">
        <v>94</v>
      </c>
      <c r="E483" s="33" t="s">
        <v>91</v>
      </c>
      <c r="F483" s="4">
        <f>IFERROR(AVERAGEIF(Table1[[#This Row],[2019-Apr]:[2025-July]],"&lt;&gt;0"),0)</f>
        <v>4.102060606060606</v>
      </c>
      <c r="G483" s="4">
        <f ca="1">IFERROR(AVERAGEIF(OFFSET(Table1[[#This Row],[Status]],0,COUNT(Table1[[#This Row],[2019-May]:[2025-July]]),1,-12),"&lt;&gt;0"),0)</f>
        <v>3.45</v>
      </c>
      <c r="H483" s="55">
        <f>IFERROR(SMALL(Table1[[#This Row],[2019-Apr]:[2025-July]],COUNTIF(Table1[[#This Row],[2019-Apr]:[2025-July]],0)+1),0)</f>
        <v>1.4710000000000001</v>
      </c>
      <c r="I483" s="55">
        <f>IFERROR(MAX(Table1[[#This Row],[2019-Apr]:[2025-July]]),0)</f>
        <v>6.8</v>
      </c>
      <c r="J483" s="4" cm="1">
        <f t="array" ref="J48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3.0136666666666669</v>
      </c>
      <c r="K483" s="4">
        <v>4.5</v>
      </c>
      <c r="L483" s="4">
        <f>IF(Table1[[#This Row],[Standard as per ISO]]&gt;=Table1[[#This Row],[Avg of best 6]],Table1[[#This Row],[Standard as per ISO]],Table1[[#This Row],[Avg of best 6]])</f>
        <v>4.5</v>
      </c>
      <c r="M483" s="4" cm="1">
        <f t="array" ref="M483">IFERROR(LOOKUP(2,1/(Table1[[#This Row],[2019-May]:[2025-July]]&lt;&gt;0),Table1[[#This Row],[2019-May]:[2025-July]]),0)</f>
        <v>3.5</v>
      </c>
      <c r="N483" s="4">
        <f>COUNTIF(Table1[[#This Row],[2019-Apr]:[2025-July]],"&gt;="&amp;Table1[[#This Row],[Target]])</f>
        <v>11</v>
      </c>
      <c r="O483" s="4">
        <f>IF(Table1[[#This Row],[Outliers 2Y]]=0,1,0)</f>
        <v>0</v>
      </c>
      <c r="P483" s="4">
        <f>IF(Table1[[#This Row],[Last value]]&gt;1.5*Table1[[#This Row],[Target]],1,0)</f>
        <v>0</v>
      </c>
      <c r="Q483" s="4">
        <f>IF(AND(1.5*Table1[[#This Row],[Target]]&gt;=Table1[[#This Row],[Last value]],Table1[[#This Row],[Last value]]&gt;Table1[[#This Row],[Target]]),1,0)</f>
        <v>0</v>
      </c>
      <c r="R483" s="4">
        <f>IF(Table1[[#This Row],[Target]]&gt;=Table1[[#This Row],[Last value]],1,0)</f>
        <v>1</v>
      </c>
      <c r="S483" s="4" t="str">
        <f t="shared" si="10"/>
        <v>Green</v>
      </c>
      <c r="T483" s="55">
        <v>0</v>
      </c>
      <c r="U483" s="55">
        <v>0</v>
      </c>
      <c r="V483" s="55">
        <v>4.66</v>
      </c>
      <c r="W483" s="55">
        <v>4.3</v>
      </c>
      <c r="X483" s="55">
        <v>3.51</v>
      </c>
      <c r="Y483" s="55">
        <v>0</v>
      </c>
      <c r="Z483" s="55">
        <v>0</v>
      </c>
      <c r="AA483" s="55">
        <v>0</v>
      </c>
      <c r="AB483" s="55">
        <v>0</v>
      </c>
      <c r="AC483" s="55">
        <v>0</v>
      </c>
      <c r="AD483" s="55">
        <v>0</v>
      </c>
      <c r="AE483" s="55">
        <v>3.9</v>
      </c>
      <c r="AF483" s="55">
        <v>0</v>
      </c>
      <c r="AG483" s="55">
        <v>3.42</v>
      </c>
      <c r="AH483" s="55">
        <v>4.55</v>
      </c>
      <c r="AI483" s="55">
        <v>3.8</v>
      </c>
      <c r="AJ483" s="55">
        <v>3.8</v>
      </c>
      <c r="AK483" s="55">
        <v>3.9</v>
      </c>
      <c r="AL483" s="55">
        <v>5.17</v>
      </c>
      <c r="AM483" s="55">
        <v>4.5599999999999996</v>
      </c>
      <c r="AN483" s="55">
        <v>6.8</v>
      </c>
      <c r="AO483" s="55">
        <v>4.4400000000000004</v>
      </c>
      <c r="AP483" s="55">
        <v>5.45</v>
      </c>
      <c r="AQ483" s="55">
        <v>4.63</v>
      </c>
      <c r="AR483" s="8">
        <v>0</v>
      </c>
      <c r="AS483" s="8">
        <v>0</v>
      </c>
      <c r="AT483" s="8">
        <v>0</v>
      </c>
      <c r="AU483" s="50">
        <v>0</v>
      </c>
      <c r="AV483" s="50">
        <v>3.71</v>
      </c>
      <c r="AW483" s="50">
        <v>4.88</v>
      </c>
      <c r="AX483" s="50">
        <v>5.44</v>
      </c>
      <c r="AY483" s="50">
        <v>0</v>
      </c>
      <c r="AZ483" s="50">
        <v>0</v>
      </c>
      <c r="BA483" s="50">
        <v>4.4000000000000004</v>
      </c>
      <c r="BB483" s="50">
        <v>5.4</v>
      </c>
      <c r="BC483" s="55">
        <v>4.8</v>
      </c>
      <c r="BD483" s="55">
        <v>0</v>
      </c>
      <c r="BE483" s="11">
        <v>3.423</v>
      </c>
      <c r="BF483" s="4">
        <v>0</v>
      </c>
      <c r="BG483" s="4">
        <v>0</v>
      </c>
      <c r="BH483" s="4">
        <v>0</v>
      </c>
      <c r="BI483" s="4">
        <v>0</v>
      </c>
      <c r="BJ483" s="14">
        <v>1.4710000000000001</v>
      </c>
      <c r="BK483" s="14">
        <v>3.6539999999999999</v>
      </c>
      <c r="BL483" s="4">
        <v>0</v>
      </c>
      <c r="BM483" s="17">
        <v>0</v>
      </c>
      <c r="BN483" s="4">
        <v>0</v>
      </c>
      <c r="BO483" s="4">
        <v>3.577</v>
      </c>
      <c r="BP483" s="4">
        <v>0</v>
      </c>
      <c r="BQ483" s="4">
        <v>3.5819999999999999</v>
      </c>
      <c r="BR483" s="4">
        <v>3.577</v>
      </c>
      <c r="BS483" s="55">
        <v>3.21</v>
      </c>
      <c r="BT483" s="4">
        <v>0</v>
      </c>
      <c r="BU483" s="4">
        <v>3.2429999999999999</v>
      </c>
      <c r="BV483" s="4">
        <v>3.8730000000000002</v>
      </c>
      <c r="BW483" s="4">
        <v>0</v>
      </c>
      <c r="BX483" s="4">
        <v>3.3380000000000001</v>
      </c>
      <c r="BY483" s="4">
        <v>0</v>
      </c>
      <c r="BZ483" s="55">
        <v>0</v>
      </c>
      <c r="CA483" s="55">
        <v>0</v>
      </c>
      <c r="CB483" s="55">
        <v>0</v>
      </c>
      <c r="CC483" s="55">
        <v>0</v>
      </c>
      <c r="CD483" s="55">
        <v>0</v>
      </c>
      <c r="CE483" s="19">
        <v>3.4</v>
      </c>
      <c r="CF483" s="19">
        <v>3.5</v>
      </c>
      <c r="CG483" s="4">
        <v>0</v>
      </c>
      <c r="CH483" s="4">
        <v>0</v>
      </c>
      <c r="CI483" s="4">
        <v>0</v>
      </c>
      <c r="CJ483" s="34">
        <v>0</v>
      </c>
      <c r="CK483" s="34">
        <v>0</v>
      </c>
      <c r="CL483" s="34">
        <v>0</v>
      </c>
      <c r="CM483" s="4">
        <v>0</v>
      </c>
      <c r="CN483" s="53">
        <v>0</v>
      </c>
      <c r="CO483" s="54">
        <v>0</v>
      </c>
      <c r="CP483" s="54">
        <v>0</v>
      </c>
      <c r="CQ483" s="4">
        <v>0</v>
      </c>
    </row>
    <row r="484" spans="1:95" s="55" customFormat="1" x14ac:dyDescent="0.35">
      <c r="A484" s="55">
        <v>483</v>
      </c>
      <c r="B484" s="55" t="s">
        <v>87</v>
      </c>
      <c r="C484" s="27" t="s">
        <v>196</v>
      </c>
      <c r="D484" s="50" t="s">
        <v>94</v>
      </c>
      <c r="E484" s="33" t="s">
        <v>91</v>
      </c>
      <c r="F484" s="4">
        <f>IFERROR(AVERAGEIF(Table1[[#This Row],[2019-Apr]:[2025-July]],"&lt;&gt;0"),0)</f>
        <v>2.8476250000000003</v>
      </c>
      <c r="G484" s="4">
        <f ca="1">IFERROR(AVERAGEIF(OFFSET(Table1[[#This Row],[Status]],0,COUNT(Table1[[#This Row],[2019-May]:[2025-July]]),1,-12),"&lt;&gt;0"),0)</f>
        <v>4.4800000000000004</v>
      </c>
      <c r="H484" s="55">
        <f>IFERROR(SMALL(Table1[[#This Row],[2019-Apr]:[2025-July]],COUNTIF(Table1[[#This Row],[2019-Apr]:[2025-July]],0)+1),0)</f>
        <v>0.8</v>
      </c>
      <c r="I484" s="55">
        <f>IFERROR(MAX(Table1[[#This Row],[2019-Apr]:[2025-July]]),0)</f>
        <v>5.7720000000000002</v>
      </c>
      <c r="J484" s="4" cm="1">
        <f t="array" ref="J48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1.4515</v>
      </c>
      <c r="K484" s="4">
        <v>4.5</v>
      </c>
      <c r="L484" s="4">
        <f>IF(Table1[[#This Row],[Standard as per ISO]]&gt;=Table1[[#This Row],[Avg of best 6]],Table1[[#This Row],[Standard as per ISO]],Table1[[#This Row],[Avg of best 6]])</f>
        <v>4.5</v>
      </c>
      <c r="M484" s="4" cm="1">
        <f t="array" ref="M484">IFERROR(LOOKUP(2,1/(Table1[[#This Row],[2019-May]:[2025-July]]&lt;&gt;0),Table1[[#This Row],[2019-May]:[2025-July]]),0)</f>
        <v>4.4800000000000004</v>
      </c>
      <c r="N484" s="4">
        <f>COUNTIF(Table1[[#This Row],[2019-Apr]:[2025-July]],"&gt;="&amp;Table1[[#This Row],[Target]])</f>
        <v>3</v>
      </c>
      <c r="O484" s="4">
        <f>IF(Table1[[#This Row],[Outliers 2Y]]=0,1,0)</f>
        <v>0</v>
      </c>
      <c r="P484" s="4">
        <f>IF(Table1[[#This Row],[Last value]]&gt;1.5*Table1[[#This Row],[Target]],1,0)</f>
        <v>0</v>
      </c>
      <c r="Q484" s="4">
        <f>IF(AND(1.5*Table1[[#This Row],[Target]]&gt;=Table1[[#This Row],[Last value]],Table1[[#This Row],[Last value]]&gt;Table1[[#This Row],[Target]]),1,0)</f>
        <v>0</v>
      </c>
      <c r="R484" s="4">
        <f>IF(Table1[[#This Row],[Target]]&gt;=Table1[[#This Row],[Last value]],1,0)</f>
        <v>1</v>
      </c>
      <c r="S484" s="4" t="str">
        <f t="shared" si="10"/>
        <v>Green</v>
      </c>
      <c r="T484" s="55">
        <v>0</v>
      </c>
      <c r="U484" s="55">
        <v>2.68</v>
      </c>
      <c r="V484" s="55">
        <v>2.04</v>
      </c>
      <c r="W484" s="55">
        <v>2.5</v>
      </c>
      <c r="X484" s="55">
        <v>0</v>
      </c>
      <c r="Y484" s="55">
        <v>2.52</v>
      </c>
      <c r="Z484" s="55">
        <v>2.1</v>
      </c>
      <c r="AA484" s="55">
        <v>2.9</v>
      </c>
      <c r="AB484" s="55">
        <v>1.9</v>
      </c>
      <c r="AC484" s="55">
        <v>2.1</v>
      </c>
      <c r="AD484" s="55">
        <v>3.5</v>
      </c>
      <c r="AE484" s="55">
        <v>2.6</v>
      </c>
      <c r="AF484" s="55">
        <v>1.8</v>
      </c>
      <c r="AG484" s="55">
        <v>0</v>
      </c>
      <c r="AH484" s="55">
        <v>0</v>
      </c>
      <c r="AI484" s="55">
        <v>4.34</v>
      </c>
      <c r="AJ484" s="55">
        <v>0</v>
      </c>
      <c r="AK484" s="55">
        <v>3.31</v>
      </c>
      <c r="AL484" s="55">
        <v>2.86</v>
      </c>
      <c r="AM484" s="55">
        <v>0</v>
      </c>
      <c r="AN484" s="55">
        <v>0</v>
      </c>
      <c r="AO484" s="55">
        <v>2.5</v>
      </c>
      <c r="AP484" s="55">
        <v>3.39</v>
      </c>
      <c r="AQ484" s="55">
        <v>2.5299999999999998</v>
      </c>
      <c r="AR484" s="8">
        <v>0</v>
      </c>
      <c r="AS484" s="8">
        <v>2.4</v>
      </c>
      <c r="AT484" s="8">
        <v>3.16</v>
      </c>
      <c r="AU484" s="50">
        <v>0</v>
      </c>
      <c r="AV484" s="50">
        <v>2.23</v>
      </c>
      <c r="AW484" s="50">
        <v>0</v>
      </c>
      <c r="AX484" s="50">
        <v>2.09</v>
      </c>
      <c r="AY484" s="50">
        <v>0</v>
      </c>
      <c r="AZ484" s="50">
        <v>1.7</v>
      </c>
      <c r="BA484" s="50">
        <v>2.2999999999999998</v>
      </c>
      <c r="BB484" s="50">
        <v>0.8</v>
      </c>
      <c r="BC484" s="55">
        <v>1.7</v>
      </c>
      <c r="BD484" s="55">
        <v>0</v>
      </c>
      <c r="BE484" s="11">
        <v>1.6020000000000001</v>
      </c>
      <c r="BF484" s="4">
        <v>0</v>
      </c>
      <c r="BG484" s="4">
        <v>0</v>
      </c>
      <c r="BH484" s="4">
        <v>0</v>
      </c>
      <c r="BI484" s="4">
        <v>0</v>
      </c>
      <c r="BJ484" s="13">
        <v>0</v>
      </c>
      <c r="BK484" s="13">
        <v>1.5409999999999999</v>
      </c>
      <c r="BL484" s="4">
        <v>3.238</v>
      </c>
      <c r="BM484" s="16">
        <v>1.5920000000000001</v>
      </c>
      <c r="BN484" s="4">
        <v>1.474</v>
      </c>
      <c r="BO484" s="4">
        <v>3.1680000000000001</v>
      </c>
      <c r="BP484" s="4">
        <v>3.12</v>
      </c>
      <c r="BQ484" s="4">
        <v>3.6629999999999998</v>
      </c>
      <c r="BR484" s="4">
        <v>3.3919999999999999</v>
      </c>
      <c r="BS484" s="55">
        <v>3.99</v>
      </c>
      <c r="BT484" s="4">
        <v>3.944</v>
      </c>
      <c r="BU484" s="4">
        <v>0</v>
      </c>
      <c r="BV484" s="4">
        <v>5.4349999999999996</v>
      </c>
      <c r="BW484" s="4">
        <v>5.7720000000000002</v>
      </c>
      <c r="BX484" s="4">
        <v>5.5439999999999996</v>
      </c>
      <c r="BY484" s="4">
        <v>0</v>
      </c>
      <c r="BZ484" s="55">
        <v>0</v>
      </c>
      <c r="CA484" s="55">
        <v>0</v>
      </c>
      <c r="CB484" s="55">
        <v>0</v>
      </c>
      <c r="CC484" s="55">
        <v>0</v>
      </c>
      <c r="CD484" s="55">
        <v>0</v>
      </c>
      <c r="CE484" s="19">
        <v>0</v>
      </c>
      <c r="CF484" s="19">
        <v>0</v>
      </c>
      <c r="CG484" s="4">
        <v>0</v>
      </c>
      <c r="CH484" s="4">
        <v>0</v>
      </c>
      <c r="CI484" s="4">
        <v>4.4800000000000004</v>
      </c>
      <c r="CJ484" s="34">
        <v>0</v>
      </c>
      <c r="CK484" s="34">
        <v>0</v>
      </c>
      <c r="CL484" s="34">
        <v>0</v>
      </c>
      <c r="CM484" s="4">
        <v>0</v>
      </c>
      <c r="CN484" s="53">
        <v>0</v>
      </c>
      <c r="CO484" s="54">
        <v>0</v>
      </c>
      <c r="CP484" s="54">
        <v>0</v>
      </c>
      <c r="CQ484" s="4">
        <v>0</v>
      </c>
    </row>
    <row r="485" spans="1:95" s="55" customFormat="1" x14ac:dyDescent="0.35">
      <c r="A485" s="55">
        <v>484</v>
      </c>
      <c r="B485" s="55" t="s">
        <v>87</v>
      </c>
      <c r="C485" s="27" t="s">
        <v>197</v>
      </c>
      <c r="D485" s="50" t="s">
        <v>94</v>
      </c>
      <c r="E485" s="33" t="s">
        <v>91</v>
      </c>
      <c r="F485" s="4">
        <f>IFERROR(AVERAGEIF(Table1[[#This Row],[2019-Apr]:[2025-July]],"&lt;&gt;0"),0)</f>
        <v>4.3712285714285724</v>
      </c>
      <c r="G485" s="4">
        <f ca="1">IFERROR(AVERAGEIF(OFFSET(Table1[[#This Row],[Status]],0,COUNT(Table1[[#This Row],[2019-May]:[2025-July]]),1,-12),"&lt;&gt;0"),0)</f>
        <v>0</v>
      </c>
      <c r="H485" s="55">
        <f>IFERROR(SMALL(Table1[[#This Row],[2019-Apr]:[2025-July]],COUNTIF(Table1[[#This Row],[2019-Apr]:[2025-July]],0)+1),0)</f>
        <v>0.96799999999999997</v>
      </c>
      <c r="I485" s="55">
        <f>IFERROR(MAX(Table1[[#This Row],[2019-Apr]:[2025-July]]),0)</f>
        <v>7.7670000000000003</v>
      </c>
      <c r="J485" s="4" cm="1">
        <f t="array" ref="J48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2.2130000000000001</v>
      </c>
      <c r="K485" s="4">
        <v>4.5</v>
      </c>
      <c r="L485" s="4">
        <f>IF(Table1[[#This Row],[Standard as per ISO]]&gt;=Table1[[#This Row],[Avg of best 6]],Table1[[#This Row],[Standard as per ISO]],Table1[[#This Row],[Avg of best 6]])</f>
        <v>4.5</v>
      </c>
      <c r="M485" s="4" cm="1">
        <f t="array" ref="M485">IFERROR(LOOKUP(2,1/(Table1[[#This Row],[2019-May]:[2025-July]]&lt;&gt;0),Table1[[#This Row],[2019-May]:[2025-July]]),0)</f>
        <v>7.3979999999999997</v>
      </c>
      <c r="N485" s="4">
        <f>COUNTIF(Table1[[#This Row],[2019-Apr]:[2025-July]],"&gt;="&amp;Table1[[#This Row],[Target]])</f>
        <v>14</v>
      </c>
      <c r="O485" s="4">
        <f>IF(Table1[[#This Row],[Outliers 2Y]]=0,1,0)</f>
        <v>0</v>
      </c>
      <c r="P485" s="4">
        <f>IF(Table1[[#This Row],[Last value]]&gt;1.5*Table1[[#This Row],[Target]],1,0)</f>
        <v>1</v>
      </c>
      <c r="Q485" s="4">
        <f>IF(AND(1.5*Table1[[#This Row],[Target]]&gt;=Table1[[#This Row],[Last value]],Table1[[#This Row],[Last value]]&gt;Table1[[#This Row],[Target]]),1,0)</f>
        <v>0</v>
      </c>
      <c r="R485" s="4">
        <f>IF(Table1[[#This Row],[Target]]&gt;=Table1[[#This Row],[Last value]],1,0)</f>
        <v>0</v>
      </c>
      <c r="S485" s="4" t="str">
        <f t="shared" si="10"/>
        <v>Red</v>
      </c>
      <c r="T485" s="55">
        <v>0</v>
      </c>
      <c r="U485" s="55">
        <v>3.28</v>
      </c>
      <c r="V485" s="55">
        <v>2.8</v>
      </c>
      <c r="W485" s="55">
        <v>2.8</v>
      </c>
      <c r="X485" s="55">
        <v>0</v>
      </c>
      <c r="Y485" s="55">
        <v>2.81</v>
      </c>
      <c r="Z485" s="55">
        <v>3.6</v>
      </c>
      <c r="AA485" s="55">
        <v>2.9</v>
      </c>
      <c r="AB485" s="55">
        <v>3.1</v>
      </c>
      <c r="AC485" s="55">
        <v>2.9</v>
      </c>
      <c r="AD485" s="55">
        <v>4.2300000000000004</v>
      </c>
      <c r="AE485" s="55">
        <v>3</v>
      </c>
      <c r="AF485" s="55">
        <v>2.9</v>
      </c>
      <c r="AG485" s="55">
        <v>0</v>
      </c>
      <c r="AH485" s="55">
        <v>0</v>
      </c>
      <c r="AI485" s="55">
        <v>3.85</v>
      </c>
      <c r="AJ485" s="55">
        <v>0</v>
      </c>
      <c r="AK485" s="55">
        <v>3.96</v>
      </c>
      <c r="AL485" s="55">
        <v>3.76</v>
      </c>
      <c r="AM485" s="55">
        <v>0</v>
      </c>
      <c r="AN485" s="55">
        <v>3.86</v>
      </c>
      <c r="AO485" s="55">
        <v>0</v>
      </c>
      <c r="AP485" s="55">
        <v>0</v>
      </c>
      <c r="AQ485" s="55">
        <v>0</v>
      </c>
      <c r="AR485" s="8">
        <v>0</v>
      </c>
      <c r="AS485" s="8">
        <v>0</v>
      </c>
      <c r="AT485" s="8">
        <v>0</v>
      </c>
      <c r="AU485" s="50">
        <v>4.6399999999999997</v>
      </c>
      <c r="AV485" s="50">
        <v>0</v>
      </c>
      <c r="AW485" s="50">
        <v>4.1500000000000004</v>
      </c>
      <c r="AX485" s="50">
        <v>0</v>
      </c>
      <c r="AY485" s="50">
        <v>3.79</v>
      </c>
      <c r="AZ485" s="50">
        <v>4.2</v>
      </c>
      <c r="BA485" s="50">
        <v>3.8</v>
      </c>
      <c r="BB485" s="50">
        <v>1</v>
      </c>
      <c r="BC485" s="55">
        <v>4.5</v>
      </c>
      <c r="BD485" s="55">
        <v>0</v>
      </c>
      <c r="BE485" s="11">
        <v>0</v>
      </c>
      <c r="BF485" s="4">
        <v>0</v>
      </c>
      <c r="BG485" s="4">
        <v>0</v>
      </c>
      <c r="BH485" s="4">
        <v>0</v>
      </c>
      <c r="BI485" s="4">
        <v>0</v>
      </c>
      <c r="BJ485" s="14">
        <v>0.96799999999999997</v>
      </c>
      <c r="BK485" s="14">
        <v>7.3390000000000004</v>
      </c>
      <c r="BL485" s="4">
        <v>6.8520000000000003</v>
      </c>
      <c r="BM485" s="17">
        <v>5.5250000000000004</v>
      </c>
      <c r="BN485" s="4">
        <v>5.282</v>
      </c>
      <c r="BO485" s="4">
        <v>6.8940000000000001</v>
      </c>
      <c r="BP485" s="4">
        <v>7.7670000000000003</v>
      </c>
      <c r="BQ485" s="4">
        <v>4.9989999999999997</v>
      </c>
      <c r="BR485" s="4">
        <v>5.6760000000000002</v>
      </c>
      <c r="BS485" s="55">
        <v>6.548</v>
      </c>
      <c r="BT485" s="4">
        <v>6.5789999999999997</v>
      </c>
      <c r="BU485" s="4">
        <v>5.3360000000000003</v>
      </c>
      <c r="BV485" s="4">
        <v>7.3979999999999997</v>
      </c>
      <c r="BW485" s="4">
        <v>0</v>
      </c>
      <c r="BX485" s="4">
        <v>0</v>
      </c>
      <c r="BY485" s="4">
        <v>0</v>
      </c>
      <c r="BZ485" s="55">
        <v>0</v>
      </c>
      <c r="CA485" s="55">
        <v>0</v>
      </c>
      <c r="CB485" s="55">
        <v>0</v>
      </c>
      <c r="CC485" s="55">
        <v>0</v>
      </c>
      <c r="CD485" s="55">
        <v>0</v>
      </c>
      <c r="CE485" s="19">
        <v>0</v>
      </c>
      <c r="CF485" s="19">
        <v>0</v>
      </c>
      <c r="CG485" s="4">
        <v>0</v>
      </c>
      <c r="CH485" s="4">
        <v>0</v>
      </c>
      <c r="CI485" s="4">
        <v>0</v>
      </c>
      <c r="CJ485" s="34">
        <v>0</v>
      </c>
      <c r="CK485" s="34">
        <v>0</v>
      </c>
      <c r="CL485" s="34">
        <v>0</v>
      </c>
      <c r="CM485" s="4">
        <v>0</v>
      </c>
      <c r="CN485" s="53">
        <v>0</v>
      </c>
      <c r="CO485" s="54">
        <v>0</v>
      </c>
      <c r="CP485" s="54">
        <v>0</v>
      </c>
      <c r="CQ485" s="4">
        <v>0</v>
      </c>
    </row>
    <row r="486" spans="1:95" s="55" customFormat="1" x14ac:dyDescent="0.35">
      <c r="A486" s="55">
        <v>485</v>
      </c>
      <c r="B486" s="55" t="s">
        <v>87</v>
      </c>
      <c r="C486" s="27" t="s">
        <v>198</v>
      </c>
      <c r="D486" s="50" t="s">
        <v>94</v>
      </c>
      <c r="E486" s="33" t="s">
        <v>91</v>
      </c>
      <c r="F486" s="4">
        <f>IFERROR(AVERAGEIF(Table1[[#This Row],[2019-Apr]:[2025-July]],"&lt;&gt;0"),0)</f>
        <v>1.0749534883720933</v>
      </c>
      <c r="G486" s="4">
        <f ca="1">IFERROR(AVERAGEIF(OFFSET(Table1[[#This Row],[Status]],0,COUNT(Table1[[#This Row],[2019-May]:[2025-July]]),1,-12),"&lt;&gt;0"),0)</f>
        <v>1.42</v>
      </c>
      <c r="H486" s="55">
        <f>IFERROR(SMALL(Table1[[#This Row],[2019-Apr]:[2025-July]],COUNTIF(Table1[[#This Row],[2019-Apr]:[2025-July]],0)+1),0)</f>
        <v>0.8</v>
      </c>
      <c r="I486" s="55">
        <f>IFERROR(MAX(Table1[[#This Row],[2019-Apr]:[2025-July]]),0)</f>
        <v>1.65</v>
      </c>
      <c r="J486" s="4" cm="1">
        <f t="array" ref="J48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0.8620000000000001</v>
      </c>
      <c r="K486" s="4">
        <v>4.5</v>
      </c>
      <c r="L486" s="4">
        <f>IF(Table1[[#This Row],[Standard as per ISO]]&gt;=Table1[[#This Row],[Avg of best 6]],Table1[[#This Row],[Standard as per ISO]],Table1[[#This Row],[Avg of best 6]])</f>
        <v>4.5</v>
      </c>
      <c r="M486" s="4" cm="1">
        <f t="array" ref="M486">IFERROR(LOOKUP(2,1/(Table1[[#This Row],[2019-May]:[2025-July]]&lt;&gt;0),Table1[[#This Row],[2019-May]:[2025-July]]),0)</f>
        <v>1.42</v>
      </c>
      <c r="N486" s="4">
        <f>COUNTIF(Table1[[#This Row],[2019-Apr]:[2025-July]],"&gt;="&amp;Table1[[#This Row],[Target]])</f>
        <v>0</v>
      </c>
      <c r="O486" s="4">
        <f>IF(Table1[[#This Row],[Outliers 2Y]]=0,1,0)</f>
        <v>1</v>
      </c>
      <c r="P486" s="4">
        <f>IF(Table1[[#This Row],[Last value]]&gt;1.5*Table1[[#This Row],[Target]],1,0)</f>
        <v>0</v>
      </c>
      <c r="Q486" s="4">
        <f>IF(AND(1.5*Table1[[#This Row],[Target]]&gt;=Table1[[#This Row],[Last value]],Table1[[#This Row],[Last value]]&gt;Table1[[#This Row],[Target]]),1,0)</f>
        <v>0</v>
      </c>
      <c r="R486" s="4">
        <f>IF(Table1[[#This Row],[Target]]&gt;=Table1[[#This Row],[Last value]],1,0)</f>
        <v>1</v>
      </c>
      <c r="S486" s="4" t="str">
        <f t="shared" si="10"/>
        <v>Green</v>
      </c>
      <c r="T486" s="55">
        <v>0</v>
      </c>
      <c r="U486" s="55">
        <v>0.99</v>
      </c>
      <c r="V486" s="55">
        <v>1.65</v>
      </c>
      <c r="W486" s="55">
        <v>1.06</v>
      </c>
      <c r="X486" s="55">
        <v>0</v>
      </c>
      <c r="Y486" s="55">
        <v>1.1000000000000001</v>
      </c>
      <c r="Z486" s="55">
        <v>1.1000000000000001</v>
      </c>
      <c r="AA486" s="55">
        <v>0.96</v>
      </c>
      <c r="AB486" s="55">
        <v>1</v>
      </c>
      <c r="AC486" s="55">
        <v>1.3</v>
      </c>
      <c r="AD486" s="55">
        <v>1.47</v>
      </c>
      <c r="AE486" s="55">
        <v>1.1000000000000001</v>
      </c>
      <c r="AF486" s="55">
        <v>0.8</v>
      </c>
      <c r="AG486" s="55">
        <v>0</v>
      </c>
      <c r="AH486" s="55">
        <v>0</v>
      </c>
      <c r="AI486" s="55">
        <v>0.92</v>
      </c>
      <c r="AJ486" s="55">
        <v>0</v>
      </c>
      <c r="AK486" s="55">
        <v>1.0900000000000001</v>
      </c>
      <c r="AL486" s="55">
        <v>1.03</v>
      </c>
      <c r="AM486" s="55">
        <v>0</v>
      </c>
      <c r="AN486" s="55">
        <v>0</v>
      </c>
      <c r="AO486" s="55">
        <v>0.93</v>
      </c>
      <c r="AP486" s="55">
        <v>0.97</v>
      </c>
      <c r="AQ486" s="55">
        <v>1.22</v>
      </c>
      <c r="AR486" s="8">
        <v>0</v>
      </c>
      <c r="AS486" s="8">
        <v>0.91</v>
      </c>
      <c r="AT486" s="8">
        <v>1.03</v>
      </c>
      <c r="AU486" s="50">
        <v>0.91</v>
      </c>
      <c r="AV486" s="50">
        <v>1.07</v>
      </c>
      <c r="AW486" s="50">
        <v>0</v>
      </c>
      <c r="AX486" s="50">
        <v>0.91</v>
      </c>
      <c r="AY486" s="50">
        <v>0.92</v>
      </c>
      <c r="AZ486" s="50">
        <v>1</v>
      </c>
      <c r="BA486" s="50">
        <v>1</v>
      </c>
      <c r="BB486" s="50">
        <v>1</v>
      </c>
      <c r="BC486" s="55">
        <v>0.8</v>
      </c>
      <c r="BD486" s="55">
        <v>0</v>
      </c>
      <c r="BE486" s="11">
        <v>1.0129999999999999</v>
      </c>
      <c r="BF486" s="4">
        <v>0</v>
      </c>
      <c r="BG486" s="4">
        <v>0</v>
      </c>
      <c r="BH486" s="4">
        <v>0</v>
      </c>
      <c r="BI486" s="4">
        <v>0</v>
      </c>
      <c r="BJ486" s="13">
        <v>0</v>
      </c>
      <c r="BK486" s="13">
        <v>1.337</v>
      </c>
      <c r="BL486" s="4">
        <v>1.1000000000000001</v>
      </c>
      <c r="BM486" s="16">
        <v>1.1000000000000001</v>
      </c>
      <c r="BN486" s="4">
        <v>1.002</v>
      </c>
      <c r="BO486" s="4">
        <v>1.173</v>
      </c>
      <c r="BP486" s="4">
        <v>1.0349999999999999</v>
      </c>
      <c r="BQ486" s="4">
        <v>1.085</v>
      </c>
      <c r="BR486" s="4">
        <v>1.1759999999999999</v>
      </c>
      <c r="BS486" s="55">
        <v>0.97299999999999998</v>
      </c>
      <c r="BT486" s="4">
        <v>0.84199999999999997</v>
      </c>
      <c r="BU486" s="4">
        <v>1.0549999999999999</v>
      </c>
      <c r="BV486" s="4">
        <v>1.3380000000000001</v>
      </c>
      <c r="BW486" s="4">
        <v>1.145</v>
      </c>
      <c r="BX486" s="4">
        <v>1.1890000000000001</v>
      </c>
      <c r="BY486" s="4">
        <v>0</v>
      </c>
      <c r="BZ486" s="55">
        <v>0</v>
      </c>
      <c r="CA486" s="55">
        <v>0</v>
      </c>
      <c r="CB486" s="55">
        <v>0</v>
      </c>
      <c r="CC486" s="55">
        <v>0</v>
      </c>
      <c r="CD486" s="55">
        <v>0</v>
      </c>
      <c r="CE486" s="19">
        <v>0</v>
      </c>
      <c r="CF486" s="19">
        <v>0</v>
      </c>
      <c r="CG486" s="4">
        <v>0</v>
      </c>
      <c r="CH486" s="4">
        <v>0</v>
      </c>
      <c r="CI486" s="4">
        <v>1.42</v>
      </c>
      <c r="CJ486" s="34">
        <v>0</v>
      </c>
      <c r="CK486" s="34">
        <v>0</v>
      </c>
      <c r="CL486" s="34">
        <v>0</v>
      </c>
      <c r="CM486" s="4">
        <v>0</v>
      </c>
      <c r="CN486" s="53">
        <v>0</v>
      </c>
      <c r="CO486" s="54">
        <v>0</v>
      </c>
      <c r="CP486" s="54">
        <v>0</v>
      </c>
      <c r="CQ486" s="4">
        <v>0</v>
      </c>
    </row>
    <row r="487" spans="1:95" s="55" customFormat="1" x14ac:dyDescent="0.35">
      <c r="A487" s="55">
        <v>486</v>
      </c>
      <c r="B487" s="55" t="s">
        <v>87</v>
      </c>
      <c r="C487" s="27" t="s">
        <v>199</v>
      </c>
      <c r="D487" s="50" t="s">
        <v>94</v>
      </c>
      <c r="E487" s="33" t="s">
        <v>91</v>
      </c>
      <c r="F487" s="4">
        <f>IFERROR(AVERAGEIF(Table1[[#This Row],[2019-Apr]:[2025-July]],"&lt;&gt;0"),0)</f>
        <v>1.3397058823529409</v>
      </c>
      <c r="G487" s="4">
        <f ca="1">IFERROR(AVERAGEIF(OFFSET(Table1[[#This Row],[Status]],0,COUNT(Table1[[#This Row],[2019-May]:[2025-July]]),1,-12),"&lt;&gt;0"),0)</f>
        <v>1.3</v>
      </c>
      <c r="H487" s="55">
        <f>IFERROR(SMALL(Table1[[#This Row],[2019-Apr]:[2025-July]],COUNTIF(Table1[[#This Row],[2019-Apr]:[2025-July]],0)+1),0)</f>
        <v>0.4</v>
      </c>
      <c r="I487" s="55">
        <f>IFERROR(MAX(Table1[[#This Row],[2019-Apr]:[2025-July]]),0)</f>
        <v>2.6070000000000002</v>
      </c>
      <c r="J487" s="4" cm="1">
        <f t="array" ref="J48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0.71883333333333332</v>
      </c>
      <c r="K487" s="4">
        <v>4.5</v>
      </c>
      <c r="L487" s="4">
        <f>IF(Table1[[#This Row],[Standard as per ISO]]&gt;=Table1[[#This Row],[Avg of best 6]],Table1[[#This Row],[Standard as per ISO]],Table1[[#This Row],[Avg of best 6]])</f>
        <v>4.5</v>
      </c>
      <c r="M487" s="4" cm="1">
        <f t="array" ref="M487">IFERROR(LOOKUP(2,1/(Table1[[#This Row],[2019-May]:[2025-July]]&lt;&gt;0),Table1[[#This Row],[2019-May]:[2025-July]]),0)</f>
        <v>1.3</v>
      </c>
      <c r="N487" s="4">
        <f>COUNTIF(Table1[[#This Row],[2019-Apr]:[2025-July]],"&gt;="&amp;Table1[[#This Row],[Target]])</f>
        <v>0</v>
      </c>
      <c r="O487" s="4">
        <f>IF(Table1[[#This Row],[Outliers 2Y]]=0,1,0)</f>
        <v>1</v>
      </c>
      <c r="P487" s="4">
        <f>IF(Table1[[#This Row],[Last value]]&gt;1.5*Table1[[#This Row],[Target]],1,0)</f>
        <v>0</v>
      </c>
      <c r="Q487" s="4">
        <f>IF(AND(1.5*Table1[[#This Row],[Target]]&gt;=Table1[[#This Row],[Last value]],Table1[[#This Row],[Last value]]&gt;Table1[[#This Row],[Target]]),1,0)</f>
        <v>0</v>
      </c>
      <c r="R487" s="4">
        <f>IF(Table1[[#This Row],[Target]]&gt;=Table1[[#This Row],[Last value]],1,0)</f>
        <v>1</v>
      </c>
      <c r="S487" s="4" t="str">
        <f t="shared" si="10"/>
        <v>Green</v>
      </c>
      <c r="T487" s="55">
        <v>0</v>
      </c>
      <c r="U487" s="55">
        <v>1.56</v>
      </c>
      <c r="V487" s="55">
        <v>1.79</v>
      </c>
      <c r="W487" s="55">
        <v>1.22</v>
      </c>
      <c r="X487" s="55">
        <v>0</v>
      </c>
      <c r="Y487" s="55">
        <v>1.2</v>
      </c>
      <c r="Z487" s="55">
        <v>1</v>
      </c>
      <c r="AA487" s="55">
        <v>0.79</v>
      </c>
      <c r="AB487" s="55">
        <v>1.5</v>
      </c>
      <c r="AC487" s="55">
        <v>1.29</v>
      </c>
      <c r="AD487" s="55">
        <v>0</v>
      </c>
      <c r="AE487" s="55">
        <v>1</v>
      </c>
      <c r="AF487" s="55">
        <v>0.4</v>
      </c>
      <c r="AG487" s="55">
        <v>0</v>
      </c>
      <c r="AH487" s="55">
        <v>0</v>
      </c>
      <c r="AI487" s="55">
        <v>0.89</v>
      </c>
      <c r="AJ487" s="55">
        <v>0</v>
      </c>
      <c r="AK487" s="55">
        <v>1.26</v>
      </c>
      <c r="AL487" s="55">
        <v>0.66</v>
      </c>
      <c r="AM487" s="55">
        <v>0</v>
      </c>
      <c r="AN487" s="55">
        <v>0.69</v>
      </c>
      <c r="AO487" s="55">
        <v>0</v>
      </c>
      <c r="AP487" s="55">
        <v>0</v>
      </c>
      <c r="AQ487" s="55">
        <v>0</v>
      </c>
      <c r="AR487" s="8">
        <v>0</v>
      </c>
      <c r="AS487" s="8">
        <v>0</v>
      </c>
      <c r="AT487" s="8">
        <v>0</v>
      </c>
      <c r="AU487" s="50">
        <v>0</v>
      </c>
      <c r="AV487" s="50">
        <v>0</v>
      </c>
      <c r="AW487" s="50">
        <v>1.44</v>
      </c>
      <c r="AX487" s="50">
        <v>0</v>
      </c>
      <c r="AY487" s="50">
        <v>0</v>
      </c>
      <c r="AZ487" s="50">
        <v>0.9</v>
      </c>
      <c r="BA487" s="50">
        <v>1.3</v>
      </c>
      <c r="BB487" s="50">
        <v>2.6</v>
      </c>
      <c r="BC487" s="55">
        <v>1.5</v>
      </c>
      <c r="BD487" s="55">
        <v>0</v>
      </c>
      <c r="BE487" s="11">
        <v>1.177</v>
      </c>
      <c r="BF487" s="4">
        <v>0</v>
      </c>
      <c r="BG487" s="4">
        <v>0</v>
      </c>
      <c r="BH487" s="4">
        <v>0</v>
      </c>
      <c r="BI487" s="4">
        <v>0</v>
      </c>
      <c r="BJ487" s="14">
        <v>1.351</v>
      </c>
      <c r="BK487" s="14">
        <v>1.345</v>
      </c>
      <c r="BL487" s="4">
        <v>1.365</v>
      </c>
      <c r="BM487" s="17">
        <v>0.88300000000000001</v>
      </c>
      <c r="BN487" s="4">
        <v>2.117</v>
      </c>
      <c r="BO487" s="4">
        <v>1.2969999999999999</v>
      </c>
      <c r="BP487" s="4">
        <v>1.1259999999999999</v>
      </c>
      <c r="BQ487" s="4">
        <v>1.47</v>
      </c>
      <c r="BR487" s="4">
        <v>1.863</v>
      </c>
      <c r="BS487" s="55">
        <v>1.1319999999999999</v>
      </c>
      <c r="BT487" s="4">
        <v>2.0299999999999998</v>
      </c>
      <c r="BU487" s="4">
        <v>1.4970000000000001</v>
      </c>
      <c r="BV487" s="4">
        <v>2.6070000000000002</v>
      </c>
      <c r="BW487" s="4">
        <v>0</v>
      </c>
      <c r="BX487" s="4">
        <v>0</v>
      </c>
      <c r="BY487" s="4">
        <v>0</v>
      </c>
      <c r="BZ487" s="55">
        <v>0</v>
      </c>
      <c r="CA487" s="55">
        <v>0</v>
      </c>
      <c r="CB487" s="55">
        <v>0</v>
      </c>
      <c r="CC487" s="55">
        <v>0</v>
      </c>
      <c r="CD487" s="55">
        <v>0</v>
      </c>
      <c r="CE487" s="19">
        <v>0</v>
      </c>
      <c r="CF487" s="19">
        <v>1.3</v>
      </c>
      <c r="CG487" s="4">
        <v>0</v>
      </c>
      <c r="CH487" s="4">
        <v>0</v>
      </c>
      <c r="CI487" s="4">
        <v>0</v>
      </c>
      <c r="CJ487" s="34">
        <v>0</v>
      </c>
      <c r="CK487" s="34">
        <v>0</v>
      </c>
      <c r="CL487" s="34">
        <v>0</v>
      </c>
      <c r="CM487" s="4">
        <v>0</v>
      </c>
      <c r="CN487" s="53">
        <v>0</v>
      </c>
      <c r="CO487" s="54">
        <v>0</v>
      </c>
      <c r="CP487" s="54">
        <v>0</v>
      </c>
      <c r="CQ487" s="4">
        <v>0</v>
      </c>
    </row>
    <row r="488" spans="1:95" s="55" customFormat="1" x14ac:dyDescent="0.35">
      <c r="A488" s="55">
        <v>487</v>
      </c>
      <c r="B488" s="55" t="s">
        <v>87</v>
      </c>
      <c r="C488" s="27" t="s">
        <v>200</v>
      </c>
      <c r="D488" s="50" t="s">
        <v>94</v>
      </c>
      <c r="E488" s="33" t="s">
        <v>91</v>
      </c>
      <c r="F488" s="4">
        <f>IFERROR(AVERAGEIF(Table1[[#This Row],[2019-Apr]:[2025-July]],"&lt;&gt;0"),0)</f>
        <v>1.5854545454545457</v>
      </c>
      <c r="G488" s="4">
        <f ca="1">IFERROR(AVERAGEIF(OFFSET(Table1[[#This Row],[Status]],0,COUNT(Table1[[#This Row],[2019-May]:[2025-July]]),1,-12),"&lt;&gt;0"),0)</f>
        <v>1.9049999999999998</v>
      </c>
      <c r="H488" s="55">
        <f>IFERROR(SMALL(Table1[[#This Row],[2019-Apr]:[2025-July]],COUNTIF(Table1[[#This Row],[2019-Apr]:[2025-July]],0)+1),0)</f>
        <v>1.27</v>
      </c>
      <c r="I488" s="55">
        <f>IFERROR(MAX(Table1[[#This Row],[2019-Apr]:[2025-July]]),0)</f>
        <v>2.13</v>
      </c>
      <c r="J488" s="4" cm="1">
        <f t="array" ref="J48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1.3163333333333334</v>
      </c>
      <c r="K488" s="4">
        <v>4.5</v>
      </c>
      <c r="L488" s="4">
        <f>IF(Table1[[#This Row],[Standard as per ISO]]&gt;=Table1[[#This Row],[Avg of best 6]],Table1[[#This Row],[Standard as per ISO]],Table1[[#This Row],[Avg of best 6]])</f>
        <v>4.5</v>
      </c>
      <c r="M488" s="4" cm="1">
        <f t="array" ref="M488">IFERROR(LOOKUP(2,1/(Table1[[#This Row],[2019-May]:[2025-July]]&lt;&gt;0),Table1[[#This Row],[2019-May]:[2025-July]]),0)</f>
        <v>2.11</v>
      </c>
      <c r="N488" s="4">
        <f>COUNTIF(Table1[[#This Row],[2019-Apr]:[2025-July]],"&gt;="&amp;Table1[[#This Row],[Target]])</f>
        <v>0</v>
      </c>
      <c r="O488" s="4">
        <f>IF(Table1[[#This Row],[Outliers 2Y]]=0,1,0)</f>
        <v>1</v>
      </c>
      <c r="P488" s="4">
        <f>IF(Table1[[#This Row],[Last value]]&gt;1.5*Table1[[#This Row],[Target]],1,0)</f>
        <v>0</v>
      </c>
      <c r="Q488" s="4">
        <f>IF(AND(1.5*Table1[[#This Row],[Target]]&gt;=Table1[[#This Row],[Last value]],Table1[[#This Row],[Last value]]&gt;Table1[[#This Row],[Target]]),1,0)</f>
        <v>0</v>
      </c>
      <c r="R488" s="4">
        <f>IF(Table1[[#This Row],[Target]]&gt;=Table1[[#This Row],[Last value]],1,0)</f>
        <v>1</v>
      </c>
      <c r="S488" s="4" t="str">
        <f t="shared" si="10"/>
        <v>Green</v>
      </c>
      <c r="T488" s="55">
        <v>0</v>
      </c>
      <c r="U488" s="55">
        <v>1.54</v>
      </c>
      <c r="V488" s="55">
        <v>1.72</v>
      </c>
      <c r="W488" s="55">
        <v>1.31</v>
      </c>
      <c r="X488" s="55">
        <v>0</v>
      </c>
      <c r="Y488" s="55">
        <v>1.34</v>
      </c>
      <c r="Z488" s="55">
        <v>1.7</v>
      </c>
      <c r="AA488" s="55">
        <v>1.6</v>
      </c>
      <c r="AB488" s="55">
        <v>1.5</v>
      </c>
      <c r="AC488" s="55">
        <v>2.1</v>
      </c>
      <c r="AD488" s="55">
        <v>2.0699999999999998</v>
      </c>
      <c r="AE488" s="55">
        <v>1.5</v>
      </c>
      <c r="AF488" s="55">
        <v>1.6</v>
      </c>
      <c r="AG488" s="55">
        <v>0</v>
      </c>
      <c r="AH488" s="55">
        <v>0</v>
      </c>
      <c r="AI488" s="55">
        <v>1.53</v>
      </c>
      <c r="AJ488" s="55">
        <v>0</v>
      </c>
      <c r="AK488" s="55">
        <v>1.51</v>
      </c>
      <c r="AL488" s="55">
        <v>1.59</v>
      </c>
      <c r="AM488" s="55">
        <v>0</v>
      </c>
      <c r="AN488" s="55">
        <v>0</v>
      </c>
      <c r="AO488" s="55">
        <v>1.27</v>
      </c>
      <c r="AP488" s="55">
        <v>1.4</v>
      </c>
      <c r="AQ488" s="55">
        <v>2.13</v>
      </c>
      <c r="AR488" s="8">
        <v>0</v>
      </c>
      <c r="AS488" s="8">
        <v>1.31</v>
      </c>
      <c r="AT488" s="8">
        <v>1.36</v>
      </c>
      <c r="AU488" s="50">
        <v>1.32</v>
      </c>
      <c r="AV488" s="50">
        <v>1.96</v>
      </c>
      <c r="AW488" s="50">
        <v>0</v>
      </c>
      <c r="AX488" s="50">
        <v>1.46</v>
      </c>
      <c r="AY488" s="50">
        <v>1.59</v>
      </c>
      <c r="AZ488" s="50">
        <v>1.8</v>
      </c>
      <c r="BA488" s="50">
        <v>1.9</v>
      </c>
      <c r="BB488" s="50">
        <v>1.5</v>
      </c>
      <c r="BC488" s="55">
        <v>1.5</v>
      </c>
      <c r="BD488" s="55">
        <v>0</v>
      </c>
      <c r="BE488" s="11">
        <v>1.8959999999999999</v>
      </c>
      <c r="BF488" s="4">
        <v>0</v>
      </c>
      <c r="BG488" s="4">
        <v>0</v>
      </c>
      <c r="BH488" s="4">
        <v>0</v>
      </c>
      <c r="BI488" s="4">
        <v>0</v>
      </c>
      <c r="BJ488" s="13">
        <v>0</v>
      </c>
      <c r="BK488" s="13">
        <v>1.5429999999999999</v>
      </c>
      <c r="BL488" s="4">
        <v>1.6419999999999999</v>
      </c>
      <c r="BM488" s="16">
        <v>1.3480000000000001</v>
      </c>
      <c r="BN488" s="4">
        <v>1.454</v>
      </c>
      <c r="BO488" s="4">
        <v>1.573</v>
      </c>
      <c r="BP488" s="4">
        <v>1.528</v>
      </c>
      <c r="BQ488" s="4">
        <v>1.377</v>
      </c>
      <c r="BR488" s="4">
        <v>1.6259999999999999</v>
      </c>
      <c r="BS488" s="55">
        <v>1.3839999999999999</v>
      </c>
      <c r="BT488" s="4">
        <v>1.5840000000000001</v>
      </c>
      <c r="BU488" s="4">
        <v>1.4530000000000001</v>
      </c>
      <c r="BV488" s="4">
        <v>1.4279999999999999</v>
      </c>
      <c r="BW488" s="4">
        <v>1.413</v>
      </c>
      <c r="BX488" s="4">
        <v>1.591</v>
      </c>
      <c r="BY488" s="4">
        <v>0</v>
      </c>
      <c r="BZ488" s="55">
        <v>0</v>
      </c>
      <c r="CA488" s="55">
        <v>0</v>
      </c>
      <c r="CB488" s="55">
        <v>0</v>
      </c>
      <c r="CC488" s="55">
        <v>0</v>
      </c>
      <c r="CD488" s="55">
        <v>0</v>
      </c>
      <c r="CE488" s="19">
        <v>0</v>
      </c>
      <c r="CF488" s="19">
        <v>1.7</v>
      </c>
      <c r="CG488" s="4">
        <v>0</v>
      </c>
      <c r="CH488" s="4">
        <v>0</v>
      </c>
      <c r="CI488" s="4">
        <v>2.11</v>
      </c>
      <c r="CJ488" s="34">
        <v>0</v>
      </c>
      <c r="CK488" s="34">
        <v>0</v>
      </c>
      <c r="CL488" s="34">
        <v>0</v>
      </c>
      <c r="CM488" s="4">
        <v>0</v>
      </c>
      <c r="CN488" s="53">
        <v>0</v>
      </c>
      <c r="CO488" s="54">
        <v>0</v>
      </c>
      <c r="CP488" s="54">
        <v>0</v>
      </c>
      <c r="CQ488" s="4">
        <v>0</v>
      </c>
    </row>
    <row r="489" spans="1:95" s="55" customFormat="1" x14ac:dyDescent="0.35">
      <c r="A489" s="55">
        <v>488</v>
      </c>
      <c r="B489" s="55" t="s">
        <v>87</v>
      </c>
      <c r="C489" s="27" t="s">
        <v>201</v>
      </c>
      <c r="D489" s="50" t="s">
        <v>94</v>
      </c>
      <c r="E489" s="33" t="s">
        <v>91</v>
      </c>
      <c r="F489" s="4">
        <f>IFERROR(AVERAGEIF(Table1[[#This Row],[2019-Apr]:[2025-July]],"&lt;&gt;0"),0)</f>
        <v>0.98436363636363644</v>
      </c>
      <c r="G489" s="4">
        <f ca="1">IFERROR(AVERAGEIF(OFFSET(Table1[[#This Row],[Status]],0,COUNT(Table1[[#This Row],[2019-May]:[2025-July]]),1,-12),"&lt;&gt;0"),0)</f>
        <v>0</v>
      </c>
      <c r="H489" s="55">
        <f>IFERROR(SMALL(Table1[[#This Row],[2019-Apr]:[2025-July]],COUNTIF(Table1[[#This Row],[2019-Apr]:[2025-July]],0)+1),0)</f>
        <v>0.59</v>
      </c>
      <c r="I489" s="55">
        <f>IFERROR(MAX(Table1[[#This Row],[2019-Apr]:[2025-July]]),0)</f>
        <v>1.47</v>
      </c>
      <c r="J489" s="4" cm="1">
        <f t="array" ref="J48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0.6166666666666667</v>
      </c>
      <c r="K489" s="4">
        <v>4.5</v>
      </c>
      <c r="L489" s="4">
        <f>IF(Table1[[#This Row],[Standard as per ISO]]&gt;=Table1[[#This Row],[Avg of best 6]],Table1[[#This Row],[Standard as per ISO]],Table1[[#This Row],[Avg of best 6]])</f>
        <v>4.5</v>
      </c>
      <c r="M489" s="4" cm="1">
        <f t="array" ref="M489">IFERROR(LOOKUP(2,1/(Table1[[#This Row],[2019-May]:[2025-July]]&lt;&gt;0),Table1[[#This Row],[2019-May]:[2025-July]]),0)</f>
        <v>1.3</v>
      </c>
      <c r="N489" s="4">
        <f>COUNTIF(Table1[[#This Row],[2019-Apr]:[2025-July]],"&gt;="&amp;Table1[[#This Row],[Target]])</f>
        <v>0</v>
      </c>
      <c r="O489" s="4">
        <f>IF(Table1[[#This Row],[Outliers 2Y]]=0,1,0)</f>
        <v>1</v>
      </c>
      <c r="P489" s="4">
        <f>IF(Table1[[#This Row],[Last value]]&gt;1.5*Table1[[#This Row],[Target]],1,0)</f>
        <v>0</v>
      </c>
      <c r="Q489" s="4">
        <f>IF(AND(1.5*Table1[[#This Row],[Target]]&gt;=Table1[[#This Row],[Last value]],Table1[[#This Row],[Last value]]&gt;Table1[[#This Row],[Target]]),1,0)</f>
        <v>0</v>
      </c>
      <c r="R489" s="4">
        <f>IF(Table1[[#This Row],[Target]]&gt;=Table1[[#This Row],[Last value]],1,0)</f>
        <v>1</v>
      </c>
      <c r="S489" s="4" t="str">
        <f t="shared" si="10"/>
        <v>Green</v>
      </c>
      <c r="T489" s="55">
        <v>0</v>
      </c>
      <c r="U489" s="55">
        <v>0.82</v>
      </c>
      <c r="V489" s="55">
        <v>0.97</v>
      </c>
      <c r="W489" s="55">
        <v>0.68</v>
      </c>
      <c r="X489" s="55">
        <v>0</v>
      </c>
      <c r="Y489" s="55">
        <v>0.73899999999999999</v>
      </c>
      <c r="Z489" s="55">
        <v>0.6</v>
      </c>
      <c r="AA489" s="55">
        <v>0.64</v>
      </c>
      <c r="AB489" s="55">
        <v>0.59</v>
      </c>
      <c r="AC489" s="55">
        <v>0.6</v>
      </c>
      <c r="AD489" s="55">
        <v>0</v>
      </c>
      <c r="AE489" s="55">
        <v>0.9</v>
      </c>
      <c r="AF489" s="55">
        <v>1.3</v>
      </c>
      <c r="AG489" s="55">
        <v>0</v>
      </c>
      <c r="AH489" s="55">
        <v>0</v>
      </c>
      <c r="AI489" s="55">
        <v>0.59</v>
      </c>
      <c r="AJ489" s="55">
        <v>0</v>
      </c>
      <c r="AK489" s="55">
        <v>1.47</v>
      </c>
      <c r="AL489" s="55">
        <v>0.95</v>
      </c>
      <c r="AM489" s="55">
        <v>0</v>
      </c>
      <c r="AN489" s="55">
        <v>1</v>
      </c>
      <c r="AO489" s="55">
        <v>0</v>
      </c>
      <c r="AP489" s="55">
        <v>0</v>
      </c>
      <c r="AQ489" s="55">
        <v>0</v>
      </c>
      <c r="AR489" s="8">
        <v>0</v>
      </c>
      <c r="AS489" s="8">
        <v>0</v>
      </c>
      <c r="AT489" s="8">
        <v>0</v>
      </c>
      <c r="AU489" s="50">
        <v>0</v>
      </c>
      <c r="AV489" s="50">
        <v>0</v>
      </c>
      <c r="AW489" s="50">
        <v>0.75</v>
      </c>
      <c r="AX489" s="50">
        <v>0</v>
      </c>
      <c r="AY489" s="50">
        <v>0</v>
      </c>
      <c r="AZ489" s="50">
        <v>1.2</v>
      </c>
      <c r="BA489" s="50">
        <v>1.1000000000000001</v>
      </c>
      <c r="BB489" s="50">
        <v>0.9</v>
      </c>
      <c r="BC489" s="55">
        <v>1</v>
      </c>
      <c r="BD489" s="55">
        <v>0</v>
      </c>
      <c r="BE489" s="11">
        <v>0.90100000000000002</v>
      </c>
      <c r="BF489" s="4">
        <v>0</v>
      </c>
      <c r="BG489" s="4">
        <v>0</v>
      </c>
      <c r="BH489" s="4">
        <v>0</v>
      </c>
      <c r="BI489" s="4">
        <v>0</v>
      </c>
      <c r="BJ489" s="14">
        <v>1.157</v>
      </c>
      <c r="BK489" s="14">
        <v>1.228</v>
      </c>
      <c r="BL489" s="4">
        <v>1.0860000000000001</v>
      </c>
      <c r="BM489" s="17">
        <v>1.1319999999999999</v>
      </c>
      <c r="BN489" s="4">
        <v>0.72799999999999998</v>
      </c>
      <c r="BO489" s="4">
        <v>1.07</v>
      </c>
      <c r="BP489" s="4">
        <v>1.08</v>
      </c>
      <c r="BQ489" s="4">
        <v>0.99299999999999999</v>
      </c>
      <c r="BR489" s="4">
        <v>1.4079999999999999</v>
      </c>
      <c r="BS489" s="55">
        <v>1.1599999999999999</v>
      </c>
      <c r="BT489" s="4">
        <v>1.2390000000000001</v>
      </c>
      <c r="BU489" s="4">
        <v>1.2030000000000001</v>
      </c>
      <c r="BV489" s="4">
        <v>1.3</v>
      </c>
      <c r="BW489" s="4">
        <v>0</v>
      </c>
      <c r="BX489" s="4">
        <v>0</v>
      </c>
      <c r="BY489" s="4">
        <v>0</v>
      </c>
      <c r="BZ489" s="55">
        <v>0</v>
      </c>
      <c r="CA489" s="55">
        <v>0</v>
      </c>
      <c r="CB489" s="55">
        <v>0</v>
      </c>
      <c r="CC489" s="55">
        <v>0</v>
      </c>
      <c r="CD489" s="55">
        <v>0</v>
      </c>
      <c r="CE489" s="19">
        <v>0</v>
      </c>
      <c r="CF489" s="19">
        <v>0</v>
      </c>
      <c r="CG489" s="4">
        <v>0</v>
      </c>
      <c r="CH489" s="4">
        <v>0</v>
      </c>
      <c r="CI489" s="4">
        <v>0</v>
      </c>
      <c r="CJ489" s="34">
        <v>0</v>
      </c>
      <c r="CK489" s="34">
        <v>0</v>
      </c>
      <c r="CL489" s="34">
        <v>0</v>
      </c>
      <c r="CM489" s="4">
        <v>0</v>
      </c>
      <c r="CN489" s="53">
        <v>0</v>
      </c>
      <c r="CO489" s="54">
        <v>0</v>
      </c>
      <c r="CP489" s="54">
        <v>0</v>
      </c>
      <c r="CQ489" s="4">
        <v>0</v>
      </c>
    </row>
    <row r="490" spans="1:95" s="55" customFormat="1" x14ac:dyDescent="0.35">
      <c r="A490" s="55">
        <v>489</v>
      </c>
      <c r="B490" s="55" t="s">
        <v>87</v>
      </c>
      <c r="C490" s="27" t="s">
        <v>202</v>
      </c>
      <c r="D490" s="50" t="s">
        <v>94</v>
      </c>
      <c r="E490" s="33" t="s">
        <v>91</v>
      </c>
      <c r="F490" s="4">
        <f>IFERROR(AVERAGEIF(Table1[[#This Row],[2019-Apr]:[2025-July]],"&lt;&gt;0"),0)</f>
        <v>1.2999767441860466</v>
      </c>
      <c r="G490" s="4">
        <f ca="1">IFERROR(AVERAGEIF(OFFSET(Table1[[#This Row],[Status]],0,COUNT(Table1[[#This Row],[2019-May]:[2025-July]]),1,-12),"&lt;&gt;0"),0)</f>
        <v>1.3</v>
      </c>
      <c r="H490" s="55">
        <f>IFERROR(SMALL(Table1[[#This Row],[2019-Apr]:[2025-July]],COUNTIF(Table1[[#This Row],[2019-Apr]:[2025-July]],0)+1),0)</f>
        <v>0.7</v>
      </c>
      <c r="I490" s="55">
        <f>IFERROR(MAX(Table1[[#This Row],[2019-Apr]:[2025-July]]),0)</f>
        <v>1.96</v>
      </c>
      <c r="J490" s="4" cm="1">
        <f t="array" ref="J49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0.97016666666666662</v>
      </c>
      <c r="K490" s="4">
        <v>4.5</v>
      </c>
      <c r="L490" s="4">
        <f>IF(Table1[[#This Row],[Standard as per ISO]]&gt;=Table1[[#This Row],[Avg of best 6]],Table1[[#This Row],[Standard as per ISO]],Table1[[#This Row],[Avg of best 6]])</f>
        <v>4.5</v>
      </c>
      <c r="M490" s="4" cm="1">
        <f t="array" ref="M490">IFERROR(LOOKUP(2,1/(Table1[[#This Row],[2019-May]:[2025-July]]&lt;&gt;0),Table1[[#This Row],[2019-May]:[2025-July]]),0)</f>
        <v>1.3</v>
      </c>
      <c r="N490" s="4">
        <f>COUNTIF(Table1[[#This Row],[2019-Apr]:[2025-July]],"&gt;="&amp;Table1[[#This Row],[Target]])</f>
        <v>0</v>
      </c>
      <c r="O490" s="4">
        <f>IF(Table1[[#This Row],[Outliers 2Y]]=0,1,0)</f>
        <v>1</v>
      </c>
      <c r="P490" s="4">
        <f>IF(Table1[[#This Row],[Last value]]&gt;1.5*Table1[[#This Row],[Target]],1,0)</f>
        <v>0</v>
      </c>
      <c r="Q490" s="4">
        <f>IF(AND(1.5*Table1[[#This Row],[Target]]&gt;=Table1[[#This Row],[Last value]],Table1[[#This Row],[Last value]]&gt;Table1[[#This Row],[Target]]),1,0)</f>
        <v>0</v>
      </c>
      <c r="R490" s="4">
        <f>IF(Table1[[#This Row],[Target]]&gt;=Table1[[#This Row],[Last value]],1,0)</f>
        <v>1</v>
      </c>
      <c r="S490" s="4" t="str">
        <f t="shared" si="10"/>
        <v>Green</v>
      </c>
      <c r="T490" s="55">
        <v>0</v>
      </c>
      <c r="U490" s="55">
        <v>1.56</v>
      </c>
      <c r="V490" s="55">
        <v>1.04</v>
      </c>
      <c r="W490" s="55">
        <v>1.33</v>
      </c>
      <c r="X490" s="55">
        <v>0</v>
      </c>
      <c r="Y490" s="55">
        <v>1.19</v>
      </c>
      <c r="Z490" s="55">
        <v>1.9</v>
      </c>
      <c r="AA490" s="55">
        <v>1.6</v>
      </c>
      <c r="AB490" s="55">
        <v>1.6</v>
      </c>
      <c r="AC490" s="55">
        <v>1.5</v>
      </c>
      <c r="AD490" s="55">
        <v>1.96</v>
      </c>
      <c r="AE490" s="55">
        <v>1.4</v>
      </c>
      <c r="AF490" s="55">
        <v>0.7</v>
      </c>
      <c r="AG490" s="55">
        <v>0</v>
      </c>
      <c r="AH490" s="55">
        <v>0</v>
      </c>
      <c r="AI490" s="55">
        <v>1.32</v>
      </c>
      <c r="AJ490" s="55">
        <v>0</v>
      </c>
      <c r="AK490" s="55">
        <v>1.5</v>
      </c>
      <c r="AL490" s="55">
        <v>1.34</v>
      </c>
      <c r="AM490" s="55">
        <v>0</v>
      </c>
      <c r="AN490" s="55">
        <v>0</v>
      </c>
      <c r="AO490" s="55">
        <v>1.25</v>
      </c>
      <c r="AP490" s="55">
        <v>1.45</v>
      </c>
      <c r="AQ490" s="55">
        <v>1.23</v>
      </c>
      <c r="AR490" s="8">
        <v>0</v>
      </c>
      <c r="AS490" s="8">
        <v>1.1599999999999999</v>
      </c>
      <c r="AT490" s="8">
        <v>1.1399999999999999</v>
      </c>
      <c r="AU490" s="50">
        <v>1.2</v>
      </c>
      <c r="AV490" s="50">
        <v>1.55</v>
      </c>
      <c r="AW490" s="50">
        <v>0</v>
      </c>
      <c r="AX490" s="50">
        <v>1.21</v>
      </c>
      <c r="AY490" s="50">
        <v>1.22</v>
      </c>
      <c r="AZ490" s="50">
        <v>1.8</v>
      </c>
      <c r="BA490" s="50">
        <v>1.1000000000000001</v>
      </c>
      <c r="BB490" s="50">
        <v>1.2</v>
      </c>
      <c r="BC490" s="55">
        <v>1.4</v>
      </c>
      <c r="BD490" s="55">
        <v>0</v>
      </c>
      <c r="BE490" s="11">
        <v>1.1060000000000001</v>
      </c>
      <c r="BF490" s="4">
        <v>0</v>
      </c>
      <c r="BG490" s="4">
        <v>0</v>
      </c>
      <c r="BH490" s="4">
        <v>0</v>
      </c>
      <c r="BI490" s="4">
        <v>0</v>
      </c>
      <c r="BJ490" s="13">
        <v>0</v>
      </c>
      <c r="BK490" s="13">
        <v>1.115</v>
      </c>
      <c r="BL490" s="4">
        <v>1.1779999999999999</v>
      </c>
      <c r="BM490" s="16">
        <v>1.01</v>
      </c>
      <c r="BN490" s="4">
        <v>1.024</v>
      </c>
      <c r="BO490" s="4">
        <v>1.3049999999999999</v>
      </c>
      <c r="BP490" s="4">
        <v>1.399</v>
      </c>
      <c r="BQ490" s="4">
        <v>1.0669999999999999</v>
      </c>
      <c r="BR490" s="4">
        <v>1.0780000000000001</v>
      </c>
      <c r="BS490" s="55">
        <v>1.284</v>
      </c>
      <c r="BT490" s="4">
        <v>0.98</v>
      </c>
      <c r="BU490" s="4">
        <v>1.2190000000000001</v>
      </c>
      <c r="BV490" s="4">
        <v>1.37</v>
      </c>
      <c r="BW490" s="4">
        <v>1.206</v>
      </c>
      <c r="BX490" s="4">
        <v>1.4079999999999999</v>
      </c>
      <c r="BY490" s="4">
        <v>0</v>
      </c>
      <c r="BZ490" s="55">
        <v>0</v>
      </c>
      <c r="CA490" s="55">
        <v>0</v>
      </c>
      <c r="CB490" s="55">
        <v>0</v>
      </c>
      <c r="CC490" s="55">
        <v>0</v>
      </c>
      <c r="CD490" s="55">
        <v>0</v>
      </c>
      <c r="CE490" s="19">
        <v>0</v>
      </c>
      <c r="CF490" s="19">
        <v>1.3</v>
      </c>
      <c r="CG490" s="4">
        <v>0</v>
      </c>
      <c r="CH490" s="4">
        <v>0</v>
      </c>
      <c r="CI490" s="4">
        <v>0</v>
      </c>
      <c r="CJ490" s="34">
        <v>0</v>
      </c>
      <c r="CK490" s="34">
        <v>0</v>
      </c>
      <c r="CL490" s="34">
        <v>0</v>
      </c>
      <c r="CM490" s="4">
        <v>0</v>
      </c>
      <c r="CN490" s="53">
        <v>0</v>
      </c>
      <c r="CO490" s="54">
        <v>0</v>
      </c>
      <c r="CP490" s="54">
        <v>0</v>
      </c>
      <c r="CQ490" s="4">
        <v>0</v>
      </c>
    </row>
    <row r="491" spans="1:95" s="55" customFormat="1" x14ac:dyDescent="0.35">
      <c r="A491" s="55">
        <v>490</v>
      </c>
      <c r="B491" s="55" t="s">
        <v>87</v>
      </c>
      <c r="C491" s="27" t="s">
        <v>203</v>
      </c>
      <c r="D491" s="50" t="s">
        <v>94</v>
      </c>
      <c r="E491" s="33" t="s">
        <v>91</v>
      </c>
      <c r="F491" s="4">
        <f>IFERROR(AVERAGEIF(Table1[[#This Row],[2019-Apr]:[2025-July]],"&lt;&gt;0"),0)</f>
        <v>0.89637500000000003</v>
      </c>
      <c r="G491" s="4">
        <f ca="1">IFERROR(AVERAGEIF(OFFSET(Table1[[#This Row],[Status]],0,COUNT(Table1[[#This Row],[2019-May]:[2025-July]]),1,-12),"&lt;&gt;0"),0)</f>
        <v>0</v>
      </c>
      <c r="H491" s="55">
        <f>IFERROR(SMALL(Table1[[#This Row],[2019-Apr]:[2025-July]],COUNTIF(Table1[[#This Row],[2019-Apr]:[2025-July]],0)+1),0)</f>
        <v>0.46</v>
      </c>
      <c r="I491" s="55">
        <f>IFERROR(MAX(Table1[[#This Row],[2019-Apr]:[2025-July]]),0)</f>
        <v>3.6190000000000002</v>
      </c>
      <c r="J491" s="4" cm="1">
        <f t="array" ref="J49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0.50349999999999995</v>
      </c>
      <c r="K491" s="4">
        <v>4.5</v>
      </c>
      <c r="L491" s="4">
        <f>IF(Table1[[#This Row],[Standard as per ISO]]&gt;=Table1[[#This Row],[Avg of best 6]],Table1[[#This Row],[Standard as per ISO]],Table1[[#This Row],[Avg of best 6]])</f>
        <v>4.5</v>
      </c>
      <c r="M491" s="4" cm="1">
        <f t="array" ref="M491">IFERROR(LOOKUP(2,1/(Table1[[#This Row],[2019-May]:[2025-July]]&lt;&gt;0),Table1[[#This Row],[2019-May]:[2025-July]]),0)</f>
        <v>1.7969999999999999</v>
      </c>
      <c r="N491" s="4">
        <f>COUNTIF(Table1[[#This Row],[2019-Apr]:[2025-July]],"&gt;="&amp;Table1[[#This Row],[Target]])</f>
        <v>0</v>
      </c>
      <c r="O491" s="4">
        <f>IF(Table1[[#This Row],[Outliers 2Y]]=0,1,0)</f>
        <v>1</v>
      </c>
      <c r="P491" s="4">
        <f>IF(Table1[[#This Row],[Last value]]&gt;1.5*Table1[[#This Row],[Target]],1,0)</f>
        <v>0</v>
      </c>
      <c r="Q491" s="4">
        <f>IF(AND(1.5*Table1[[#This Row],[Target]]&gt;=Table1[[#This Row],[Last value]],Table1[[#This Row],[Last value]]&gt;Table1[[#This Row],[Target]]),1,0)</f>
        <v>0</v>
      </c>
      <c r="R491" s="4">
        <f>IF(Table1[[#This Row],[Target]]&gt;=Table1[[#This Row],[Last value]],1,0)</f>
        <v>1</v>
      </c>
      <c r="S491" s="4" t="str">
        <f t="shared" si="10"/>
        <v>Green</v>
      </c>
      <c r="T491" s="55">
        <v>0</v>
      </c>
      <c r="U491" s="55">
        <v>0.97</v>
      </c>
      <c r="V491" s="55">
        <v>0.48</v>
      </c>
      <c r="W491" s="55">
        <v>0.62</v>
      </c>
      <c r="X491" s="55">
        <v>0</v>
      </c>
      <c r="Y491" s="55">
        <v>0.53100000000000003</v>
      </c>
      <c r="Z491" s="55">
        <v>0.8</v>
      </c>
      <c r="AA491" s="55">
        <v>0.7</v>
      </c>
      <c r="AB491" s="55">
        <v>0.6</v>
      </c>
      <c r="AC491" s="55">
        <v>0.75</v>
      </c>
      <c r="AD491" s="55">
        <v>0</v>
      </c>
      <c r="AE491" s="55">
        <v>0.6</v>
      </c>
      <c r="AF491" s="55">
        <v>0.6</v>
      </c>
      <c r="AG491" s="55">
        <v>0</v>
      </c>
      <c r="AH491" s="55">
        <v>0</v>
      </c>
      <c r="AI491" s="55">
        <v>0.49</v>
      </c>
      <c r="AJ491" s="55">
        <v>0</v>
      </c>
      <c r="AK491" s="55">
        <v>0.63</v>
      </c>
      <c r="AL491" s="55">
        <v>0.5</v>
      </c>
      <c r="AM491" s="55">
        <v>0</v>
      </c>
      <c r="AN491" s="55">
        <v>0.6</v>
      </c>
      <c r="AO491" s="55">
        <v>0</v>
      </c>
      <c r="AP491" s="55">
        <v>0</v>
      </c>
      <c r="AQ491" s="55">
        <v>0</v>
      </c>
      <c r="AR491" s="8">
        <v>0</v>
      </c>
      <c r="AS491" s="8">
        <v>0</v>
      </c>
      <c r="AT491" s="8">
        <v>0</v>
      </c>
      <c r="AU491" s="50">
        <v>0</v>
      </c>
      <c r="AV491" s="50">
        <v>0</v>
      </c>
      <c r="AW491" s="50">
        <v>0.56000000000000005</v>
      </c>
      <c r="AX491" s="50">
        <v>0</v>
      </c>
      <c r="AY491" s="50">
        <v>0</v>
      </c>
      <c r="AZ491" s="50">
        <v>0.46</v>
      </c>
      <c r="BA491" s="50">
        <v>0.7</v>
      </c>
      <c r="BB491" s="50">
        <v>0.6</v>
      </c>
      <c r="BC491" s="55">
        <v>0.7</v>
      </c>
      <c r="BD491" s="55">
        <v>0</v>
      </c>
      <c r="BE491" s="11">
        <v>0.78200000000000003</v>
      </c>
      <c r="BF491" s="4">
        <v>0</v>
      </c>
      <c r="BG491" s="4">
        <v>0</v>
      </c>
      <c r="BH491" s="4">
        <v>0</v>
      </c>
      <c r="BI491" s="4">
        <v>0</v>
      </c>
      <c r="BJ491" s="14">
        <v>3.6190000000000002</v>
      </c>
      <c r="BK491" s="14">
        <v>0.81699999999999995</v>
      </c>
      <c r="BL491" s="4">
        <v>0.80100000000000005</v>
      </c>
      <c r="BM491" s="17">
        <v>0.66700000000000004</v>
      </c>
      <c r="BN491" s="4">
        <v>1.1120000000000001</v>
      </c>
      <c r="BO491" s="4">
        <v>0.81</v>
      </c>
      <c r="BP491" s="4">
        <v>1.57</v>
      </c>
      <c r="BQ491" s="4">
        <v>1.03</v>
      </c>
      <c r="BR491" s="4">
        <v>0.98899999999999999</v>
      </c>
      <c r="BS491" s="55">
        <v>1.677</v>
      </c>
      <c r="BT491" s="4">
        <v>1.1220000000000001</v>
      </c>
      <c r="BU491" s="4">
        <v>1.7969999999999999</v>
      </c>
      <c r="BV491" s="4">
        <v>0</v>
      </c>
      <c r="BW491" s="4">
        <v>0</v>
      </c>
      <c r="BX491" s="4">
        <v>0</v>
      </c>
      <c r="BY491" s="4">
        <v>0</v>
      </c>
      <c r="BZ491" s="55">
        <v>0</v>
      </c>
      <c r="CA491" s="55">
        <v>0</v>
      </c>
      <c r="CB491" s="55">
        <v>0</v>
      </c>
      <c r="CC491" s="55">
        <v>0</v>
      </c>
      <c r="CD491" s="55">
        <v>0</v>
      </c>
      <c r="CE491" s="19">
        <v>0</v>
      </c>
      <c r="CF491" s="19">
        <v>0</v>
      </c>
      <c r="CG491" s="4">
        <v>0</v>
      </c>
      <c r="CH491" s="4">
        <v>0</v>
      </c>
      <c r="CI491" s="4">
        <v>0</v>
      </c>
      <c r="CJ491" s="34">
        <v>0</v>
      </c>
      <c r="CK491" s="34">
        <v>0</v>
      </c>
      <c r="CL491" s="34">
        <v>0</v>
      </c>
      <c r="CM491" s="4">
        <v>0</v>
      </c>
      <c r="CN491" s="53">
        <v>0</v>
      </c>
      <c r="CO491" s="54">
        <v>0</v>
      </c>
      <c r="CP491" s="54">
        <v>0</v>
      </c>
      <c r="CQ491" s="4">
        <v>0</v>
      </c>
    </row>
    <row r="492" spans="1:95" s="55" customFormat="1" x14ac:dyDescent="0.35">
      <c r="A492" s="55">
        <v>491</v>
      </c>
      <c r="B492" s="55" t="s">
        <v>87</v>
      </c>
      <c r="C492" s="27" t="s">
        <v>204</v>
      </c>
      <c r="D492" s="50" t="s">
        <v>94</v>
      </c>
      <c r="E492" s="33" t="s">
        <v>91</v>
      </c>
      <c r="F492" s="4">
        <f>IFERROR(AVERAGEIF(Table1[[#This Row],[2019-Apr]:[2025-July]],"&lt;&gt;0"),0)</f>
        <v>3.6627209302325578</v>
      </c>
      <c r="G492" s="4">
        <f ca="1">IFERROR(AVERAGEIF(OFFSET(Table1[[#This Row],[Status]],0,COUNT(Table1[[#This Row],[2019-May]:[2025-July]]),1,-12),"&lt;&gt;0"),0)</f>
        <v>2.6850000000000001</v>
      </c>
      <c r="H492" s="55">
        <f>IFERROR(SMALL(Table1[[#This Row],[2019-Apr]:[2025-July]],COUNTIF(Table1[[#This Row],[2019-Apr]:[2025-July]],0)+1),0)</f>
        <v>2.4</v>
      </c>
      <c r="I492" s="55">
        <f>IFERROR(MAX(Table1[[#This Row],[2019-Apr]:[2025-July]]),0)</f>
        <v>4.7300000000000004</v>
      </c>
      <c r="J492" s="4" cm="1">
        <f t="array" ref="J49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2.6576666666666666</v>
      </c>
      <c r="K492" s="4">
        <v>4.5</v>
      </c>
      <c r="L492" s="4">
        <f>IF(Table1[[#This Row],[Standard as per ISO]]&gt;=Table1[[#This Row],[Avg of best 6]],Table1[[#This Row],[Standard as per ISO]],Table1[[#This Row],[Avg of best 6]])</f>
        <v>4.5</v>
      </c>
      <c r="M492" s="4" cm="1">
        <f t="array" ref="M492">IFERROR(LOOKUP(2,1/(Table1[[#This Row],[2019-May]:[2025-July]]&lt;&gt;0),Table1[[#This Row],[2019-May]:[2025-July]]),0)</f>
        <v>2.97</v>
      </c>
      <c r="N492" s="4">
        <f>COUNTIF(Table1[[#This Row],[2019-Apr]:[2025-July]],"&gt;="&amp;Table1[[#This Row],[Target]])</f>
        <v>4</v>
      </c>
      <c r="O492" s="4">
        <f>IF(Table1[[#This Row],[Outliers 2Y]]=0,1,0)</f>
        <v>0</v>
      </c>
      <c r="P492" s="4">
        <f>IF(Table1[[#This Row],[Last value]]&gt;1.5*Table1[[#This Row],[Target]],1,0)</f>
        <v>0</v>
      </c>
      <c r="Q492" s="4">
        <f>IF(AND(1.5*Table1[[#This Row],[Target]]&gt;=Table1[[#This Row],[Last value]],Table1[[#This Row],[Last value]]&gt;Table1[[#This Row],[Target]]),1,0)</f>
        <v>0</v>
      </c>
      <c r="R492" s="4">
        <f>IF(Table1[[#This Row],[Target]]&gt;=Table1[[#This Row],[Last value]],1,0)</f>
        <v>1</v>
      </c>
      <c r="S492" s="4" t="str">
        <f t="shared" si="10"/>
        <v>Green</v>
      </c>
      <c r="T492" s="55">
        <v>0</v>
      </c>
      <c r="U492" s="55">
        <v>4.0199999999999996</v>
      </c>
      <c r="V492" s="55">
        <v>4.4000000000000004</v>
      </c>
      <c r="W492" s="55">
        <v>3.85</v>
      </c>
      <c r="X492" s="55">
        <v>0</v>
      </c>
      <c r="Y492" s="55">
        <v>3.98</v>
      </c>
      <c r="Z492" s="55">
        <v>3.9</v>
      </c>
      <c r="AA492" s="55">
        <v>3.7</v>
      </c>
      <c r="AB492" s="55">
        <v>4</v>
      </c>
      <c r="AC492" s="55">
        <v>3.9</v>
      </c>
      <c r="AD492" s="55">
        <v>4.13</v>
      </c>
      <c r="AE492" s="55">
        <v>2.6</v>
      </c>
      <c r="AF492" s="55">
        <v>3.45</v>
      </c>
      <c r="AG492" s="55">
        <v>0</v>
      </c>
      <c r="AH492" s="55">
        <v>0</v>
      </c>
      <c r="AI492" s="55">
        <v>4.54</v>
      </c>
      <c r="AJ492" s="55">
        <v>0</v>
      </c>
      <c r="AK492" s="55">
        <v>4.41</v>
      </c>
      <c r="AL492" s="55">
        <v>4.24</v>
      </c>
      <c r="AM492" s="55">
        <v>0</v>
      </c>
      <c r="AN492" s="55">
        <v>0</v>
      </c>
      <c r="AO492" s="55">
        <v>4.51</v>
      </c>
      <c r="AP492" s="55">
        <v>4.26</v>
      </c>
      <c r="AQ492" s="55">
        <v>4.7300000000000004</v>
      </c>
      <c r="AR492" s="8">
        <v>0</v>
      </c>
      <c r="AS492" s="8">
        <v>4.3</v>
      </c>
      <c r="AT492" s="8">
        <v>4.17</v>
      </c>
      <c r="AU492" s="50">
        <v>4.2699999999999996</v>
      </c>
      <c r="AV492" s="50">
        <v>3.94</v>
      </c>
      <c r="AW492" s="50">
        <v>0</v>
      </c>
      <c r="AX492" s="50">
        <v>3.92</v>
      </c>
      <c r="AY492" s="50">
        <v>4.42</v>
      </c>
      <c r="AZ492" s="50">
        <v>4.2</v>
      </c>
      <c r="BA492" s="50">
        <v>4.3</v>
      </c>
      <c r="BB492" s="50">
        <v>0</v>
      </c>
      <c r="BC492" s="55">
        <v>4.5999999999999996</v>
      </c>
      <c r="BD492" s="55">
        <v>0</v>
      </c>
      <c r="BE492" s="11">
        <v>4.0069999999999997</v>
      </c>
      <c r="BF492" s="4">
        <v>0</v>
      </c>
      <c r="BG492" s="4">
        <v>0</v>
      </c>
      <c r="BH492" s="4">
        <v>0</v>
      </c>
      <c r="BI492" s="4">
        <v>0</v>
      </c>
      <c r="BJ492" s="13">
        <v>0</v>
      </c>
      <c r="BK492" s="13">
        <v>3.0339999999999998</v>
      </c>
      <c r="BL492" s="4">
        <v>2.9870000000000001</v>
      </c>
      <c r="BM492" s="16">
        <v>2.806</v>
      </c>
      <c r="BN492" s="4">
        <v>2.7589999999999999</v>
      </c>
      <c r="BO492" s="4">
        <v>2.8210000000000002</v>
      </c>
      <c r="BP492" s="4">
        <v>3.0640000000000001</v>
      </c>
      <c r="BQ492" s="4">
        <v>3.2629999999999999</v>
      </c>
      <c r="BR492" s="4">
        <v>2.9079999999999999</v>
      </c>
      <c r="BS492" s="55">
        <v>2.7719999999999998</v>
      </c>
      <c r="BT492" s="4">
        <v>2.782</v>
      </c>
      <c r="BU492" s="4">
        <v>2.8330000000000002</v>
      </c>
      <c r="BV492" s="4">
        <v>3.706</v>
      </c>
      <c r="BW492" s="4">
        <v>3.012</v>
      </c>
      <c r="BX492" s="4">
        <v>2.633</v>
      </c>
      <c r="BY492" s="4">
        <v>0</v>
      </c>
      <c r="BZ492" s="55">
        <v>0</v>
      </c>
      <c r="CA492" s="55">
        <v>0</v>
      </c>
      <c r="CB492" s="55">
        <v>0</v>
      </c>
      <c r="CC492" s="55">
        <v>0</v>
      </c>
      <c r="CD492" s="55">
        <v>0</v>
      </c>
      <c r="CE492" s="19">
        <v>0</v>
      </c>
      <c r="CF492" s="19">
        <v>2.4</v>
      </c>
      <c r="CG492" s="4">
        <v>0</v>
      </c>
      <c r="CH492" s="4">
        <v>0</v>
      </c>
      <c r="CI492" s="4">
        <v>2.97</v>
      </c>
      <c r="CJ492" s="34">
        <v>0</v>
      </c>
      <c r="CK492" s="34">
        <v>0</v>
      </c>
      <c r="CL492" s="34">
        <v>0</v>
      </c>
      <c r="CM492" s="4">
        <v>0</v>
      </c>
      <c r="CN492" s="53">
        <v>0</v>
      </c>
      <c r="CO492" s="54">
        <v>0</v>
      </c>
      <c r="CP492" s="54">
        <v>0</v>
      </c>
      <c r="CQ492" s="4">
        <v>0</v>
      </c>
    </row>
    <row r="493" spans="1:95" s="55" customFormat="1" x14ac:dyDescent="0.35">
      <c r="A493" s="55">
        <v>492</v>
      </c>
      <c r="B493" s="55" t="s">
        <v>87</v>
      </c>
      <c r="C493" s="27" t="s">
        <v>205</v>
      </c>
      <c r="D493" s="50" t="s">
        <v>94</v>
      </c>
      <c r="E493" s="33" t="s">
        <v>91</v>
      </c>
      <c r="F493" s="4">
        <f>IFERROR(AVERAGEIF(Table1[[#This Row],[2019-Apr]:[2025-July]],"&lt;&gt;0"),0)</f>
        <v>2.40959375</v>
      </c>
      <c r="G493" s="4">
        <f ca="1">IFERROR(AVERAGEIF(OFFSET(Table1[[#This Row],[Status]],0,COUNT(Table1[[#This Row],[2019-May]:[2025-July]]),1,-12),"&lt;&gt;0"),0)</f>
        <v>0</v>
      </c>
      <c r="H493" s="55">
        <f>IFERROR(SMALL(Table1[[#This Row],[2019-Apr]:[2025-July]],COUNTIF(Table1[[#This Row],[2019-Apr]:[2025-July]],0)+1),0)</f>
        <v>1</v>
      </c>
      <c r="I493" s="55">
        <f>IFERROR(MAX(Table1[[#This Row],[2019-Apr]:[2025-July]]),0)</f>
        <v>5.8689999999999998</v>
      </c>
      <c r="J493" s="4" cm="1">
        <f t="array" ref="J49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1.6333333333333335</v>
      </c>
      <c r="K493" s="4">
        <v>4.5</v>
      </c>
      <c r="L493" s="4">
        <f>IF(Table1[[#This Row],[Standard as per ISO]]&gt;=Table1[[#This Row],[Avg of best 6]],Table1[[#This Row],[Standard as per ISO]],Table1[[#This Row],[Avg of best 6]])</f>
        <v>4.5</v>
      </c>
      <c r="M493" s="4" cm="1">
        <f t="array" ref="M493">IFERROR(LOOKUP(2,1/(Table1[[#This Row],[2019-May]:[2025-July]]&lt;&gt;0),Table1[[#This Row],[2019-May]:[2025-July]]),0)</f>
        <v>2.847</v>
      </c>
      <c r="N493" s="4">
        <f>COUNTIF(Table1[[#This Row],[2019-Apr]:[2025-July]],"&gt;="&amp;Table1[[#This Row],[Target]])</f>
        <v>1</v>
      </c>
      <c r="O493" s="4">
        <f>IF(Table1[[#This Row],[Outliers 2Y]]=0,1,0)</f>
        <v>0</v>
      </c>
      <c r="P493" s="4">
        <f>IF(Table1[[#This Row],[Last value]]&gt;1.5*Table1[[#This Row],[Target]],1,0)</f>
        <v>0</v>
      </c>
      <c r="Q493" s="4">
        <f>IF(AND(1.5*Table1[[#This Row],[Target]]&gt;=Table1[[#This Row],[Last value]],Table1[[#This Row],[Last value]]&gt;Table1[[#This Row],[Target]]),1,0)</f>
        <v>0</v>
      </c>
      <c r="R493" s="4">
        <f>IF(Table1[[#This Row],[Target]]&gt;=Table1[[#This Row],[Last value]],1,0)</f>
        <v>1</v>
      </c>
      <c r="S493" s="4" t="str">
        <f t="shared" si="10"/>
        <v>Green</v>
      </c>
      <c r="T493" s="55">
        <v>0</v>
      </c>
      <c r="U493" s="55">
        <v>2.36</v>
      </c>
      <c r="V493" s="55">
        <v>2.52</v>
      </c>
      <c r="W493" s="55">
        <v>2.27</v>
      </c>
      <c r="X493" s="55">
        <v>0</v>
      </c>
      <c r="Y493" s="55">
        <v>2.3199999999999998</v>
      </c>
      <c r="Z493" s="55">
        <v>2.8</v>
      </c>
      <c r="AA493" s="55">
        <v>2.5</v>
      </c>
      <c r="AB493" s="55">
        <v>2</v>
      </c>
      <c r="AC493" s="55">
        <v>2.1</v>
      </c>
      <c r="AD493" s="55">
        <v>0</v>
      </c>
      <c r="AE493" s="55">
        <v>1.8</v>
      </c>
      <c r="AF493" s="55">
        <v>1</v>
      </c>
      <c r="AG493" s="55">
        <v>0</v>
      </c>
      <c r="AH493" s="55">
        <v>0</v>
      </c>
      <c r="AI493" s="55">
        <v>2.37</v>
      </c>
      <c r="AJ493" s="55">
        <v>0</v>
      </c>
      <c r="AK493" s="55">
        <v>1.96</v>
      </c>
      <c r="AL493" s="55">
        <v>2.0499999999999998</v>
      </c>
      <c r="AM493" s="55">
        <v>0</v>
      </c>
      <c r="AN493" s="55">
        <v>1.7</v>
      </c>
      <c r="AO493" s="55">
        <v>0</v>
      </c>
      <c r="AP493" s="55">
        <v>0</v>
      </c>
      <c r="AQ493" s="55">
        <v>0</v>
      </c>
      <c r="AR493" s="8">
        <v>0</v>
      </c>
      <c r="AS493" s="8">
        <v>0</v>
      </c>
      <c r="AT493" s="8">
        <v>0</v>
      </c>
      <c r="AU493" s="50">
        <v>0</v>
      </c>
      <c r="AV493" s="50">
        <v>0</v>
      </c>
      <c r="AW493" s="50">
        <v>2.15</v>
      </c>
      <c r="AX493" s="50">
        <v>0</v>
      </c>
      <c r="AY493" s="50">
        <v>0</v>
      </c>
      <c r="AZ493" s="50">
        <v>2</v>
      </c>
      <c r="BA493" s="50">
        <v>2.5</v>
      </c>
      <c r="BB493" s="50">
        <v>0</v>
      </c>
      <c r="BC493" s="55">
        <v>2.5</v>
      </c>
      <c r="BD493" s="55">
        <v>0</v>
      </c>
      <c r="BE493" s="11">
        <v>2.5870000000000002</v>
      </c>
      <c r="BF493" s="4">
        <v>0</v>
      </c>
      <c r="BG493" s="4">
        <v>0</v>
      </c>
      <c r="BH493" s="4">
        <v>0</v>
      </c>
      <c r="BI493" s="4">
        <v>0</v>
      </c>
      <c r="BJ493" s="14">
        <v>5.8689999999999998</v>
      </c>
      <c r="BK493" s="14">
        <v>3.5750000000000002</v>
      </c>
      <c r="BL493" s="4">
        <v>2.6749999999999998</v>
      </c>
      <c r="BM493" s="17">
        <v>1.3480000000000001</v>
      </c>
      <c r="BN493" s="4">
        <v>2.6219999999999999</v>
      </c>
      <c r="BO493" s="4">
        <v>2.0499999999999998</v>
      </c>
      <c r="BP493" s="4">
        <v>2.173</v>
      </c>
      <c r="BQ493" s="4">
        <v>1.992</v>
      </c>
      <c r="BR493" s="4">
        <v>3.403</v>
      </c>
      <c r="BS493" s="55">
        <v>2.5310000000000001</v>
      </c>
      <c r="BT493" s="4">
        <v>2.339</v>
      </c>
      <c r="BU493" s="4">
        <v>2.1960000000000002</v>
      </c>
      <c r="BV493" s="4">
        <v>2.847</v>
      </c>
      <c r="BW493" s="4">
        <v>0</v>
      </c>
      <c r="BX493" s="4">
        <v>0</v>
      </c>
      <c r="BY493" s="4">
        <v>0</v>
      </c>
      <c r="BZ493" s="55">
        <v>0</v>
      </c>
      <c r="CA493" s="55">
        <v>0</v>
      </c>
      <c r="CB493" s="55">
        <v>0</v>
      </c>
      <c r="CC493" s="55">
        <v>0</v>
      </c>
      <c r="CD493" s="55">
        <v>0</v>
      </c>
      <c r="CE493" s="19">
        <v>0</v>
      </c>
      <c r="CF493" s="19">
        <v>0</v>
      </c>
      <c r="CG493" s="4">
        <v>0</v>
      </c>
      <c r="CH493" s="4">
        <v>0</v>
      </c>
      <c r="CI493" s="4">
        <v>0</v>
      </c>
      <c r="CJ493" s="34">
        <v>0</v>
      </c>
      <c r="CK493" s="34">
        <v>0</v>
      </c>
      <c r="CL493" s="34">
        <v>0</v>
      </c>
      <c r="CM493" s="4">
        <v>0</v>
      </c>
      <c r="CN493" s="53">
        <v>0</v>
      </c>
      <c r="CO493" s="54">
        <v>0</v>
      </c>
      <c r="CP493" s="54">
        <v>0</v>
      </c>
      <c r="CQ493" s="4">
        <v>0</v>
      </c>
    </row>
    <row r="494" spans="1:95" s="55" customFormat="1" x14ac:dyDescent="0.35">
      <c r="A494" s="55">
        <v>493</v>
      </c>
      <c r="B494" s="55" t="s">
        <v>87</v>
      </c>
      <c r="C494" s="27" t="s">
        <v>206</v>
      </c>
      <c r="D494" s="50" t="s">
        <v>94</v>
      </c>
      <c r="E494" s="33" t="s">
        <v>91</v>
      </c>
      <c r="F494" s="4">
        <f>IFERROR(AVERAGEIF(Table1[[#This Row],[2019-Apr]:[2025-July]],"&lt;&gt;0"),0)</f>
        <v>5.5299534883720938</v>
      </c>
      <c r="G494" s="4">
        <f ca="1">IFERROR(AVERAGEIF(OFFSET(Table1[[#This Row],[Status]],0,COUNT(Table1[[#This Row],[2019-May]:[2025-July]]),1,-12),"&lt;&gt;0"),0)</f>
        <v>5.0449999999999999</v>
      </c>
      <c r="H494" s="55">
        <f>IFERROR(SMALL(Table1[[#This Row],[2019-Apr]:[2025-July]],COUNTIF(Table1[[#This Row],[2019-Apr]:[2025-July]],0)+1),0)</f>
        <v>1</v>
      </c>
      <c r="I494" s="55">
        <f>IFERROR(MAX(Table1[[#This Row],[2019-Apr]:[2025-July]]),0)</f>
        <v>7.9</v>
      </c>
      <c r="J494" s="4" cm="1">
        <f t="array" ref="J49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2.6824999999999997</v>
      </c>
      <c r="K494" s="4">
        <v>4.5</v>
      </c>
      <c r="L494" s="4">
        <f>IF(Table1[[#This Row],[Standard as per ISO]]&gt;=Table1[[#This Row],[Avg of best 6]],Table1[[#This Row],[Standard as per ISO]],Table1[[#This Row],[Avg of best 6]])</f>
        <v>4.5</v>
      </c>
      <c r="M494" s="4" cm="1">
        <f t="array" ref="M494">IFERROR(LOOKUP(2,1/(Table1[[#This Row],[2019-May]:[2025-July]]&lt;&gt;0),Table1[[#This Row],[2019-May]:[2025-July]]),0)</f>
        <v>4.59</v>
      </c>
      <c r="N494" s="4">
        <f>COUNTIF(Table1[[#This Row],[2019-Apr]:[2025-July]],"&gt;="&amp;Table1[[#This Row],[Target]])</f>
        <v>38</v>
      </c>
      <c r="O494" s="4">
        <f>IF(Table1[[#This Row],[Outliers 2Y]]=0,1,0)</f>
        <v>0</v>
      </c>
      <c r="P494" s="4">
        <f>IF(Table1[[#This Row],[Last value]]&gt;1.5*Table1[[#This Row],[Target]],1,0)</f>
        <v>0</v>
      </c>
      <c r="Q494" s="4">
        <f>IF(AND(1.5*Table1[[#This Row],[Target]]&gt;=Table1[[#This Row],[Last value]],Table1[[#This Row],[Last value]]&gt;Table1[[#This Row],[Target]]),1,0)</f>
        <v>1</v>
      </c>
      <c r="R494" s="4">
        <f>IF(Table1[[#This Row],[Target]]&gt;=Table1[[#This Row],[Last value]],1,0)</f>
        <v>0</v>
      </c>
      <c r="S494" s="4" t="str">
        <f t="shared" si="10"/>
        <v>Yellow</v>
      </c>
      <c r="T494" s="55">
        <v>0</v>
      </c>
      <c r="U494" s="55">
        <v>1.165</v>
      </c>
      <c r="V494" s="55">
        <v>4.7300000000000004</v>
      </c>
      <c r="W494" s="55">
        <v>1</v>
      </c>
      <c r="X494" s="55">
        <v>0</v>
      </c>
      <c r="Y494" s="55">
        <v>6.06</v>
      </c>
      <c r="Z494" s="55">
        <v>6.8</v>
      </c>
      <c r="AA494" s="55">
        <v>6.5</v>
      </c>
      <c r="AB494" s="55">
        <v>6.3</v>
      </c>
      <c r="AC494" s="55">
        <v>6.1</v>
      </c>
      <c r="AD494" s="55">
        <v>7.9</v>
      </c>
      <c r="AE494" s="55">
        <v>3.8</v>
      </c>
      <c r="AF494" s="55">
        <v>3.9</v>
      </c>
      <c r="AG494" s="55">
        <v>0</v>
      </c>
      <c r="AH494" s="55">
        <v>0</v>
      </c>
      <c r="AI494" s="55">
        <v>6.53</v>
      </c>
      <c r="AJ494" s="55">
        <v>0</v>
      </c>
      <c r="AK494" s="55">
        <v>7.22</v>
      </c>
      <c r="AL494" s="55">
        <v>6</v>
      </c>
      <c r="AM494" s="55">
        <v>0</v>
      </c>
      <c r="AN494" s="55">
        <v>0</v>
      </c>
      <c r="AO494" s="55">
        <v>1.72</v>
      </c>
      <c r="AP494" s="55">
        <v>5.99</v>
      </c>
      <c r="AQ494" s="55">
        <v>6.81</v>
      </c>
      <c r="AR494" s="8">
        <v>0</v>
      </c>
      <c r="AS494" s="8">
        <v>4.51</v>
      </c>
      <c r="AT494" s="8">
        <v>6.2</v>
      </c>
      <c r="AU494" s="50">
        <v>4.84</v>
      </c>
      <c r="AV494" s="50">
        <v>5.22</v>
      </c>
      <c r="AW494" s="50">
        <v>0</v>
      </c>
      <c r="AX494" s="50">
        <v>5.71</v>
      </c>
      <c r="AY494" s="50">
        <v>5.3</v>
      </c>
      <c r="AZ494" s="50">
        <v>7</v>
      </c>
      <c r="BA494" s="50">
        <v>5.3</v>
      </c>
      <c r="BB494" s="50">
        <v>6.3</v>
      </c>
      <c r="BC494" s="55">
        <v>5.4</v>
      </c>
      <c r="BD494" s="55">
        <v>0</v>
      </c>
      <c r="BE494" s="11">
        <v>6.67</v>
      </c>
      <c r="BF494" s="4">
        <v>0</v>
      </c>
      <c r="BG494" s="4">
        <v>0</v>
      </c>
      <c r="BH494" s="4">
        <v>0</v>
      </c>
      <c r="BI494" s="4">
        <v>0</v>
      </c>
      <c r="BJ494" s="13">
        <v>0</v>
      </c>
      <c r="BK494" s="13">
        <v>6.1589999999999998</v>
      </c>
      <c r="BL494" s="4">
        <v>6.65</v>
      </c>
      <c r="BM494" s="16">
        <v>5.94</v>
      </c>
      <c r="BN494" s="4">
        <v>6.306</v>
      </c>
      <c r="BO494" s="4">
        <v>6.2880000000000003</v>
      </c>
      <c r="BP494" s="4">
        <v>6.1539999999999999</v>
      </c>
      <c r="BQ494" s="4">
        <v>5.7030000000000003</v>
      </c>
      <c r="BR494" s="4">
        <v>5.7140000000000004</v>
      </c>
      <c r="BS494" s="55">
        <v>5.7089999999999996</v>
      </c>
      <c r="BT494" s="4">
        <v>6.4530000000000003</v>
      </c>
      <c r="BU494" s="4">
        <v>4.7530000000000001</v>
      </c>
      <c r="BV494" s="4">
        <v>0</v>
      </c>
      <c r="BW494" s="4">
        <v>5.2569999999999997</v>
      </c>
      <c r="BX494" s="4">
        <v>5.6369999999999996</v>
      </c>
      <c r="BY494" s="4">
        <v>0</v>
      </c>
      <c r="BZ494" s="55">
        <v>0</v>
      </c>
      <c r="CA494" s="55">
        <v>0</v>
      </c>
      <c r="CB494" s="55">
        <v>0</v>
      </c>
      <c r="CC494" s="55">
        <v>0</v>
      </c>
      <c r="CD494" s="55">
        <v>0</v>
      </c>
      <c r="CE494" s="19">
        <v>0</v>
      </c>
      <c r="CF494" s="19">
        <v>5.5</v>
      </c>
      <c r="CG494" s="4">
        <v>0</v>
      </c>
      <c r="CH494" s="4">
        <v>0</v>
      </c>
      <c r="CI494" s="4">
        <v>4.59</v>
      </c>
      <c r="CJ494" s="34">
        <v>0</v>
      </c>
      <c r="CK494" s="34">
        <v>0</v>
      </c>
      <c r="CL494" s="34">
        <v>0</v>
      </c>
      <c r="CM494" s="4">
        <v>0</v>
      </c>
      <c r="CN494" s="53">
        <v>0</v>
      </c>
      <c r="CO494" s="54">
        <v>0</v>
      </c>
      <c r="CP494" s="54">
        <v>0</v>
      </c>
      <c r="CQ494" s="4">
        <v>0</v>
      </c>
    </row>
    <row r="495" spans="1:95" s="55" customFormat="1" x14ac:dyDescent="0.35">
      <c r="A495" s="55">
        <v>494</v>
      </c>
      <c r="B495" s="55" t="s">
        <v>87</v>
      </c>
      <c r="C495" s="27" t="s">
        <v>207</v>
      </c>
      <c r="D495" s="50" t="s">
        <v>94</v>
      </c>
      <c r="E495" s="33" t="s">
        <v>91</v>
      </c>
      <c r="F495" s="4">
        <f>IFERROR(AVERAGEIF(Table1[[#This Row],[2019-Apr]:[2025-July]],"&lt;&gt;0"),0)</f>
        <v>1.8026060606060603</v>
      </c>
      <c r="G495" s="4">
        <f ca="1">IFERROR(AVERAGEIF(OFFSET(Table1[[#This Row],[Status]],0,COUNT(Table1[[#This Row],[2019-May]:[2025-July]]),1,-12),"&lt;&gt;0"),0)</f>
        <v>0</v>
      </c>
      <c r="H495" s="55">
        <f>IFERROR(SMALL(Table1[[#This Row],[2019-Apr]:[2025-July]],COUNTIF(Table1[[#This Row],[2019-Apr]:[2025-July]],0)+1),0)</f>
        <v>0.7</v>
      </c>
      <c r="I495" s="55">
        <f>IFERROR(MAX(Table1[[#This Row],[2019-Apr]:[2025-July]]),0)</f>
        <v>8.907</v>
      </c>
      <c r="J495" s="4" cm="1">
        <f t="array" ref="J49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0.7683333333333332</v>
      </c>
      <c r="K495" s="4">
        <v>4.5</v>
      </c>
      <c r="L495" s="4">
        <f>IF(Table1[[#This Row],[Standard as per ISO]]&gt;=Table1[[#This Row],[Avg of best 6]],Table1[[#This Row],[Standard as per ISO]],Table1[[#This Row],[Avg of best 6]])</f>
        <v>4.5</v>
      </c>
      <c r="M495" s="4" cm="1">
        <f t="array" ref="M495">IFERROR(LOOKUP(2,1/(Table1[[#This Row],[2019-May]:[2025-July]]&lt;&gt;0),Table1[[#This Row],[2019-May]:[2025-July]]),0)</f>
        <v>2.4359999999999999</v>
      </c>
      <c r="N495" s="4">
        <f>COUNTIF(Table1[[#This Row],[2019-Apr]:[2025-July]],"&gt;="&amp;Table1[[#This Row],[Target]])</f>
        <v>2</v>
      </c>
      <c r="O495" s="4">
        <f>IF(Table1[[#This Row],[Outliers 2Y]]=0,1,0)</f>
        <v>0</v>
      </c>
      <c r="P495" s="4">
        <f>IF(Table1[[#This Row],[Last value]]&gt;1.5*Table1[[#This Row],[Target]],1,0)</f>
        <v>0</v>
      </c>
      <c r="Q495" s="4">
        <f>IF(AND(1.5*Table1[[#This Row],[Target]]&gt;=Table1[[#This Row],[Last value]],Table1[[#This Row],[Last value]]&gt;Table1[[#This Row],[Target]]),1,0)</f>
        <v>0</v>
      </c>
      <c r="R495" s="4">
        <f>IF(Table1[[#This Row],[Target]]&gt;=Table1[[#This Row],[Last value]],1,0)</f>
        <v>1</v>
      </c>
      <c r="S495" s="4" t="str">
        <f t="shared" si="10"/>
        <v>Green</v>
      </c>
      <c r="T495" s="55">
        <v>0</v>
      </c>
      <c r="U495" s="55">
        <v>5.66</v>
      </c>
      <c r="V495" s="55">
        <v>0.9</v>
      </c>
      <c r="W495" s="55">
        <v>1.01</v>
      </c>
      <c r="X495" s="55">
        <v>0</v>
      </c>
      <c r="Y495" s="55">
        <v>0.9</v>
      </c>
      <c r="Z495" s="55">
        <v>1</v>
      </c>
      <c r="AA495" s="55">
        <v>1.64</v>
      </c>
      <c r="AB495" s="55">
        <v>0.74</v>
      </c>
      <c r="AC495" s="55">
        <v>0.8</v>
      </c>
      <c r="AD495" s="55">
        <v>0</v>
      </c>
      <c r="AE495" s="55">
        <v>0.8</v>
      </c>
      <c r="AF495" s="55">
        <v>0.7</v>
      </c>
      <c r="AG495" s="55">
        <v>0</v>
      </c>
      <c r="AH495" s="55">
        <v>0</v>
      </c>
      <c r="AI495" s="55">
        <v>0.99</v>
      </c>
      <c r="AJ495" s="55">
        <v>0</v>
      </c>
      <c r="AK495" s="55">
        <v>0.76</v>
      </c>
      <c r="AL495" s="55">
        <v>0.97</v>
      </c>
      <c r="AM495" s="55">
        <v>0</v>
      </c>
      <c r="AN495" s="55">
        <v>0.83</v>
      </c>
      <c r="AO495" s="55">
        <v>0</v>
      </c>
      <c r="AP495" s="55">
        <v>0</v>
      </c>
      <c r="AQ495" s="55">
        <v>0</v>
      </c>
      <c r="AR495" s="8">
        <v>0</v>
      </c>
      <c r="AS495" s="8">
        <v>0</v>
      </c>
      <c r="AT495" s="8">
        <v>0</v>
      </c>
      <c r="AU495" s="50">
        <v>0</v>
      </c>
      <c r="AV495" s="50">
        <v>0</v>
      </c>
      <c r="AW495" s="50">
        <v>0.81</v>
      </c>
      <c r="AX495" s="50">
        <v>0</v>
      </c>
      <c r="AY495" s="50">
        <v>0</v>
      </c>
      <c r="AZ495" s="50">
        <v>0.98</v>
      </c>
      <c r="BA495" s="50">
        <v>2</v>
      </c>
      <c r="BB495" s="50">
        <v>1.2</v>
      </c>
      <c r="BC495" s="55">
        <v>1.9</v>
      </c>
      <c r="BD495" s="55">
        <v>0</v>
      </c>
      <c r="BE495" s="11">
        <v>1.863</v>
      </c>
      <c r="BF495" s="4">
        <v>0</v>
      </c>
      <c r="BG495" s="4">
        <v>0</v>
      </c>
      <c r="BH495" s="4">
        <v>0</v>
      </c>
      <c r="BI495" s="4">
        <v>0</v>
      </c>
      <c r="BJ495" s="14">
        <v>8.907</v>
      </c>
      <c r="BK495" s="14">
        <v>1.3939999999999999</v>
      </c>
      <c r="BL495" s="4">
        <v>1.907</v>
      </c>
      <c r="BM495" s="17">
        <v>0.98299999999999998</v>
      </c>
      <c r="BN495" s="4">
        <v>1.702</v>
      </c>
      <c r="BO495" s="4">
        <v>2.1070000000000002</v>
      </c>
      <c r="BP495" s="4">
        <v>2.42</v>
      </c>
      <c r="BQ495" s="4">
        <v>2.6749999999999998</v>
      </c>
      <c r="BR495" s="4">
        <v>2.2599999999999998</v>
      </c>
      <c r="BS495" s="55">
        <v>2.0139999999999998</v>
      </c>
      <c r="BT495" s="4">
        <v>2.5619999999999998</v>
      </c>
      <c r="BU495" s="4">
        <v>1.6659999999999999</v>
      </c>
      <c r="BV495" s="4">
        <v>2.4359999999999999</v>
      </c>
      <c r="BW495" s="4">
        <v>0</v>
      </c>
      <c r="BX495" s="4">
        <v>0</v>
      </c>
      <c r="BY495" s="4">
        <v>0</v>
      </c>
      <c r="BZ495" s="55">
        <v>0</v>
      </c>
      <c r="CA495" s="55">
        <v>0</v>
      </c>
      <c r="CB495" s="55">
        <v>0</v>
      </c>
      <c r="CC495" s="55">
        <v>0</v>
      </c>
      <c r="CD495" s="55">
        <v>0</v>
      </c>
      <c r="CE495" s="19">
        <v>0</v>
      </c>
      <c r="CF495" s="19">
        <v>0</v>
      </c>
      <c r="CG495" s="4">
        <v>0</v>
      </c>
      <c r="CH495" s="4">
        <v>0</v>
      </c>
      <c r="CI495" s="4">
        <v>0</v>
      </c>
      <c r="CJ495" s="34">
        <v>0</v>
      </c>
      <c r="CK495" s="34">
        <v>0</v>
      </c>
      <c r="CL495" s="34">
        <v>0</v>
      </c>
      <c r="CM495" s="4">
        <v>0</v>
      </c>
      <c r="CN495" s="53">
        <v>0</v>
      </c>
      <c r="CO495" s="54">
        <v>0</v>
      </c>
      <c r="CP495" s="54">
        <v>0</v>
      </c>
      <c r="CQ495" s="4">
        <v>0</v>
      </c>
    </row>
    <row r="496" spans="1:95" s="55" customFormat="1" x14ac:dyDescent="0.35">
      <c r="A496" s="55">
        <v>495</v>
      </c>
      <c r="B496" s="55" t="s">
        <v>87</v>
      </c>
      <c r="C496" s="27" t="s">
        <v>208</v>
      </c>
      <c r="D496" s="50" t="s">
        <v>94</v>
      </c>
      <c r="E496" s="33" t="s">
        <v>91</v>
      </c>
      <c r="F496" s="4">
        <f>IFERROR(AVERAGEIF(Table1[[#This Row],[2019-Apr]:[2025-July]],"&lt;&gt;0"),0)</f>
        <v>8.0361944444444422</v>
      </c>
      <c r="G496" s="4">
        <f ca="1">IFERROR(AVERAGEIF(OFFSET(Table1[[#This Row],[Status]],0,COUNT(Table1[[#This Row],[2019-May]:[2025-July]]),1,-12),"&lt;&gt;0"),0)</f>
        <v>6.2533333333333339</v>
      </c>
      <c r="H496" s="55">
        <f>IFERROR(SMALL(Table1[[#This Row],[2019-Apr]:[2025-July]],COUNTIF(Table1[[#This Row],[2019-Apr]:[2025-July]],0)+1),0)</f>
        <v>4.72</v>
      </c>
      <c r="I496" s="55">
        <f>IFERROR(MAX(Table1[[#This Row],[2019-Apr]:[2025-July]]),0)</f>
        <v>12.5</v>
      </c>
      <c r="J496" s="4" cm="1">
        <f t="array" ref="J49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5.5983333333333336</v>
      </c>
      <c r="K496" s="4">
        <v>4.5</v>
      </c>
      <c r="L496" s="4">
        <f>IF(Table1[[#This Row],[Standard as per ISO]]&gt;=Table1[[#This Row],[Avg of best 6]],Table1[[#This Row],[Standard as per ISO]],Table1[[#This Row],[Avg of best 6]])</f>
        <v>5.5983333333333336</v>
      </c>
      <c r="M496" s="4" cm="1">
        <f t="array" ref="M496">IFERROR(LOOKUP(2,1/(Table1[[#This Row],[2019-May]:[2025-July]]&lt;&gt;0),Table1[[#This Row],[2019-May]:[2025-July]]),0)</f>
        <v>4.8600000000000003</v>
      </c>
      <c r="N496" s="4">
        <f>COUNTIF(Table1[[#This Row],[2019-Apr]:[2025-July]],"&gt;="&amp;Table1[[#This Row],[Target]])</f>
        <v>33</v>
      </c>
      <c r="O496" s="4">
        <f>IF(Table1[[#This Row],[Outliers 2Y]]=0,1,0)</f>
        <v>0</v>
      </c>
      <c r="P496" s="4">
        <f>IF(Table1[[#This Row],[Last value]]&gt;1.5*Table1[[#This Row],[Target]],1,0)</f>
        <v>0</v>
      </c>
      <c r="Q496" s="4">
        <f>IF(AND(1.5*Table1[[#This Row],[Target]]&gt;=Table1[[#This Row],[Last value]],Table1[[#This Row],[Last value]]&gt;Table1[[#This Row],[Target]]),1,0)</f>
        <v>0</v>
      </c>
      <c r="R496" s="4">
        <f>IF(Table1[[#This Row],[Target]]&gt;=Table1[[#This Row],[Last value]],1,0)</f>
        <v>1</v>
      </c>
      <c r="S496" s="4" t="str">
        <f t="shared" si="10"/>
        <v>Green</v>
      </c>
      <c r="T496" s="55">
        <v>0</v>
      </c>
      <c r="U496" s="55">
        <v>7.57</v>
      </c>
      <c r="V496" s="55">
        <v>6.19</v>
      </c>
      <c r="W496" s="55">
        <v>5.52</v>
      </c>
      <c r="X496" s="55">
        <v>6.1</v>
      </c>
      <c r="Y496" s="55">
        <v>9.07</v>
      </c>
      <c r="Z496" s="55">
        <v>7.24</v>
      </c>
      <c r="AA496" s="55">
        <v>12.5</v>
      </c>
      <c r="AB496" s="55">
        <v>9.9600000000000009</v>
      </c>
      <c r="AC496" s="55">
        <v>7.91</v>
      </c>
      <c r="AD496" s="55">
        <v>9.81</v>
      </c>
      <c r="AE496" s="55">
        <v>8.1</v>
      </c>
      <c r="AF496" s="55">
        <v>0</v>
      </c>
      <c r="AG496" s="55">
        <v>7.26</v>
      </c>
      <c r="AH496" s="55">
        <v>8.5</v>
      </c>
      <c r="AI496" s="55">
        <v>4.72</v>
      </c>
      <c r="AJ496" s="55">
        <v>7.16</v>
      </c>
      <c r="AK496" s="55">
        <v>9.59</v>
      </c>
      <c r="AL496" s="55">
        <v>8.4600000000000009</v>
      </c>
      <c r="AM496" s="55">
        <v>9.5299999999999994</v>
      </c>
      <c r="AN496" s="55">
        <v>9.48</v>
      </c>
      <c r="AO496" s="55">
        <v>9.3800000000000008</v>
      </c>
      <c r="AP496" s="55">
        <v>0</v>
      </c>
      <c r="AQ496" s="55">
        <v>0</v>
      </c>
      <c r="AR496" s="8">
        <v>9.6</v>
      </c>
      <c r="AS496" s="8">
        <v>7.91</v>
      </c>
      <c r="AT496" s="8">
        <v>0</v>
      </c>
      <c r="AU496" s="50">
        <v>8.32</v>
      </c>
      <c r="AV496" s="50">
        <v>8.7799999999999994</v>
      </c>
      <c r="AW496" s="50">
        <v>0</v>
      </c>
      <c r="AX496" s="50">
        <v>0</v>
      </c>
      <c r="AY496" s="50">
        <v>7.92</v>
      </c>
      <c r="AZ496" s="50">
        <v>0</v>
      </c>
      <c r="BA496" s="50">
        <v>6.2</v>
      </c>
      <c r="BB496" s="50">
        <v>7.1</v>
      </c>
      <c r="BC496" s="50">
        <v>0</v>
      </c>
      <c r="BD496" s="55">
        <v>9.1</v>
      </c>
      <c r="BE496" s="11">
        <v>0</v>
      </c>
      <c r="BF496" s="4">
        <v>0</v>
      </c>
      <c r="BG496" s="4">
        <v>0</v>
      </c>
      <c r="BH496" s="4">
        <v>0</v>
      </c>
      <c r="BI496" s="4">
        <v>0</v>
      </c>
      <c r="BJ496" s="13">
        <v>7.7939999999999996</v>
      </c>
      <c r="BK496" s="13">
        <v>9.1690000000000005</v>
      </c>
      <c r="BL496" s="4">
        <v>8.7520000000000007</v>
      </c>
      <c r="BM496" s="16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55">
        <v>0</v>
      </c>
      <c r="BT496" s="4">
        <v>0</v>
      </c>
      <c r="BU496" s="4">
        <v>0</v>
      </c>
      <c r="BV496" s="4">
        <v>8.4009999999999998</v>
      </c>
      <c r="BW496" s="4">
        <v>0</v>
      </c>
      <c r="BX496" s="4">
        <v>0</v>
      </c>
      <c r="BY496" s="4">
        <v>7.4470000000000001</v>
      </c>
      <c r="BZ496" s="55">
        <v>0</v>
      </c>
      <c r="CA496" s="55">
        <v>0</v>
      </c>
      <c r="CB496" s="55">
        <v>0</v>
      </c>
      <c r="CC496" s="55">
        <v>0</v>
      </c>
      <c r="CD496" s="55">
        <v>0</v>
      </c>
      <c r="CE496" s="19">
        <v>7.7</v>
      </c>
      <c r="CF496" s="19">
        <v>6.2</v>
      </c>
      <c r="CG496" s="4">
        <v>0</v>
      </c>
      <c r="CH496" s="4">
        <v>0</v>
      </c>
      <c r="CI496" s="4">
        <v>4.8600000000000003</v>
      </c>
      <c r="CJ496" s="34">
        <v>0</v>
      </c>
      <c r="CK496" s="34">
        <v>0</v>
      </c>
      <c r="CL496" s="34">
        <v>0</v>
      </c>
      <c r="CM496" s="4">
        <v>0</v>
      </c>
      <c r="CN496" s="53">
        <v>0</v>
      </c>
      <c r="CO496" s="54">
        <v>0</v>
      </c>
      <c r="CP496" s="54">
        <v>0</v>
      </c>
      <c r="CQ496" s="4">
        <v>0</v>
      </c>
    </row>
    <row r="497" spans="1:95" s="55" customFormat="1" x14ac:dyDescent="0.35">
      <c r="A497" s="55">
        <v>496</v>
      </c>
      <c r="B497" s="55" t="s">
        <v>87</v>
      </c>
      <c r="C497" s="27" t="s">
        <v>209</v>
      </c>
      <c r="D497" s="50" t="s">
        <v>94</v>
      </c>
      <c r="E497" s="33" t="s">
        <v>91</v>
      </c>
      <c r="F497" s="4">
        <f>IFERROR(AVERAGEIF(Table1[[#This Row],[2019-Apr]:[2025-July]],"&lt;&gt;0"),0)</f>
        <v>5.5147608695652162</v>
      </c>
      <c r="G497" s="4">
        <f ca="1">IFERROR(AVERAGEIF(OFFSET(Table1[[#This Row],[Status]],0,COUNT(Table1[[#This Row],[2019-May]:[2025-July]]),1,-12),"&lt;&gt;0"),0)</f>
        <v>6.8766666666666678</v>
      </c>
      <c r="H497" s="55">
        <f>IFERROR(SMALL(Table1[[#This Row],[2019-Apr]:[2025-July]],COUNTIF(Table1[[#This Row],[2019-Apr]:[2025-July]],0)+1),0)</f>
        <v>3.3</v>
      </c>
      <c r="I497" s="55">
        <f>IFERROR(MAX(Table1[[#This Row],[2019-Apr]:[2025-July]]),0)</f>
        <v>10.1</v>
      </c>
      <c r="J497" s="4" cm="1">
        <f t="array" ref="J49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3.6968333333333336</v>
      </c>
      <c r="K497" s="4">
        <v>4.5</v>
      </c>
      <c r="L497" s="4">
        <f>IF(Table1[[#This Row],[Standard as per ISO]]&gt;=Table1[[#This Row],[Avg of best 6]],Table1[[#This Row],[Standard as per ISO]],Table1[[#This Row],[Avg of best 6]])</f>
        <v>4.5</v>
      </c>
      <c r="M497" s="4" cm="1">
        <f t="array" ref="M497">IFERROR(LOOKUP(2,1/(Table1[[#This Row],[2019-May]:[2025-July]]&lt;&gt;0),Table1[[#This Row],[2019-May]:[2025-July]]),0)</f>
        <v>7.42</v>
      </c>
      <c r="N497" s="4">
        <f>COUNTIF(Table1[[#This Row],[2019-Apr]:[2025-July]],"&gt;="&amp;Table1[[#This Row],[Target]])</f>
        <v>35</v>
      </c>
      <c r="O497" s="4">
        <f>IF(Table1[[#This Row],[Outliers 2Y]]=0,1,0)</f>
        <v>0</v>
      </c>
      <c r="P497" s="4">
        <f>IF(Table1[[#This Row],[Last value]]&gt;1.5*Table1[[#This Row],[Target]],1,0)</f>
        <v>1</v>
      </c>
      <c r="Q497" s="4">
        <f>IF(AND(1.5*Table1[[#This Row],[Target]]&gt;=Table1[[#This Row],[Last value]],Table1[[#This Row],[Last value]]&gt;Table1[[#This Row],[Target]]),1,0)</f>
        <v>0</v>
      </c>
      <c r="R497" s="4">
        <f>IF(Table1[[#This Row],[Target]]&gt;=Table1[[#This Row],[Last value]],1,0)</f>
        <v>0</v>
      </c>
      <c r="S497" s="4" t="str">
        <f t="shared" si="10"/>
        <v>Red</v>
      </c>
      <c r="T497" s="55">
        <v>0</v>
      </c>
      <c r="U497" s="55">
        <v>5.56</v>
      </c>
      <c r="V497" s="55">
        <v>6.09</v>
      </c>
      <c r="W497" s="55">
        <v>6.36</v>
      </c>
      <c r="X497" s="55">
        <v>5.56</v>
      </c>
      <c r="Y497" s="55">
        <v>5.63</v>
      </c>
      <c r="Z497" s="55">
        <v>10.1</v>
      </c>
      <c r="AA497" s="55">
        <v>4.7</v>
      </c>
      <c r="AB497" s="55">
        <v>0</v>
      </c>
      <c r="AC497" s="55">
        <v>3.73</v>
      </c>
      <c r="AD497" s="55">
        <v>0</v>
      </c>
      <c r="AE497" s="55">
        <v>0</v>
      </c>
      <c r="AF497" s="55">
        <v>0</v>
      </c>
      <c r="AG497" s="55">
        <v>3.87</v>
      </c>
      <c r="AH497" s="55">
        <v>4.57</v>
      </c>
      <c r="AI497" s="55">
        <v>4.3499999999999996</v>
      </c>
      <c r="AJ497" s="55">
        <v>4.71</v>
      </c>
      <c r="AK497" s="55">
        <v>5.15</v>
      </c>
      <c r="AL497" s="55">
        <v>4.7699999999999996</v>
      </c>
      <c r="AM497" s="55">
        <v>4.3600000000000003</v>
      </c>
      <c r="AN497" s="55">
        <v>3.99</v>
      </c>
      <c r="AO497" s="55">
        <v>4.74</v>
      </c>
      <c r="AP497" s="55">
        <v>3.7</v>
      </c>
      <c r="AQ497" s="55">
        <v>3.91</v>
      </c>
      <c r="AR497" s="8">
        <v>0</v>
      </c>
      <c r="AS497" s="8">
        <v>0</v>
      </c>
      <c r="AT497" s="8">
        <v>0</v>
      </c>
      <c r="AU497" s="50">
        <v>0</v>
      </c>
      <c r="AV497" s="50">
        <v>4.16</v>
      </c>
      <c r="AW497" s="50">
        <v>5.29</v>
      </c>
      <c r="AX497" s="50">
        <v>4.96</v>
      </c>
      <c r="AY497" s="50">
        <v>6.38</v>
      </c>
      <c r="AZ497" s="50">
        <v>5.97</v>
      </c>
      <c r="BA497" s="50">
        <v>3.3</v>
      </c>
      <c r="BB497" s="50">
        <v>4.5999999999999996</v>
      </c>
      <c r="BC497" s="55">
        <v>8.6999999999999993</v>
      </c>
      <c r="BD497" s="55">
        <v>7.7</v>
      </c>
      <c r="BE497" s="11">
        <v>6.3220000000000001</v>
      </c>
      <c r="BF497" s="4">
        <v>0</v>
      </c>
      <c r="BG497" s="4">
        <v>0</v>
      </c>
      <c r="BH497" s="4">
        <v>0</v>
      </c>
      <c r="BI497" s="4">
        <v>0</v>
      </c>
      <c r="BJ497" s="14">
        <v>0</v>
      </c>
      <c r="BK497" s="14">
        <v>6.492</v>
      </c>
      <c r="BL497" s="4">
        <v>6.5140000000000002</v>
      </c>
      <c r="BM497" s="17">
        <v>5.8639999999999999</v>
      </c>
      <c r="BN497" s="4">
        <v>5.5030000000000001</v>
      </c>
      <c r="BO497" s="4">
        <v>6.53</v>
      </c>
      <c r="BP497" s="4">
        <v>7.0510000000000002</v>
      </c>
      <c r="BQ497" s="4">
        <v>5.3920000000000003</v>
      </c>
      <c r="BR497" s="4">
        <v>6.7629999999999999</v>
      </c>
      <c r="BS497" s="55">
        <v>3.6709999999999998</v>
      </c>
      <c r="BT497" s="4">
        <v>5.5090000000000003</v>
      </c>
      <c r="BU497" s="4">
        <v>3.9460000000000002</v>
      </c>
      <c r="BV497" s="4">
        <v>0</v>
      </c>
      <c r="BW497" s="4">
        <v>5.923</v>
      </c>
      <c r="BX497" s="4">
        <v>5.5289999999999999</v>
      </c>
      <c r="BY497" s="4">
        <v>0</v>
      </c>
      <c r="BZ497" s="55">
        <v>5.13</v>
      </c>
      <c r="CA497" s="55">
        <v>0</v>
      </c>
      <c r="CB497" s="55">
        <v>0</v>
      </c>
      <c r="CC497" s="55">
        <v>0</v>
      </c>
      <c r="CD497" s="55">
        <v>0</v>
      </c>
      <c r="CE497" s="19">
        <v>0</v>
      </c>
      <c r="CF497" s="19">
        <v>6.3</v>
      </c>
      <c r="CG497" s="4">
        <v>6.91</v>
      </c>
      <c r="CH497" s="4">
        <v>0</v>
      </c>
      <c r="CI497" s="4">
        <v>7.42</v>
      </c>
      <c r="CJ497" s="34">
        <v>0</v>
      </c>
      <c r="CK497" s="34">
        <v>0</v>
      </c>
      <c r="CL497" s="34">
        <v>0</v>
      </c>
      <c r="CM497" s="4">
        <v>0</v>
      </c>
      <c r="CN497" s="53">
        <v>0</v>
      </c>
      <c r="CO497" s="54">
        <v>0</v>
      </c>
      <c r="CP497" s="54">
        <v>0</v>
      </c>
      <c r="CQ497" s="4">
        <v>0</v>
      </c>
    </row>
    <row r="498" spans="1:95" s="55" customFormat="1" x14ac:dyDescent="0.35">
      <c r="A498" s="55">
        <v>497</v>
      </c>
      <c r="B498" s="55" t="s">
        <v>87</v>
      </c>
      <c r="C498" s="27" t="s">
        <v>210</v>
      </c>
      <c r="D498" s="50" t="s">
        <v>94</v>
      </c>
      <c r="E498" s="33" t="s">
        <v>91</v>
      </c>
      <c r="F498" s="4">
        <f>IFERROR(AVERAGEIF(Table1[[#This Row],[2019-Apr]:[2025-July]],"&lt;&gt;0"),0)</f>
        <v>7.632763157894737</v>
      </c>
      <c r="G498" s="4">
        <f ca="1">IFERROR(AVERAGEIF(OFFSET(Table1[[#This Row],[Status]],0,COUNT(Table1[[#This Row],[2019-May]:[2025-July]]),1,-12),"&lt;&gt;0"),0)</f>
        <v>5.7766666666666664</v>
      </c>
      <c r="H498" s="55">
        <f>IFERROR(SMALL(Table1[[#This Row],[2019-Apr]:[2025-July]],COUNTIF(Table1[[#This Row],[2019-Apr]:[2025-July]],0)+1),0)</f>
        <v>5.36</v>
      </c>
      <c r="I498" s="55">
        <f>IFERROR(MAX(Table1[[#This Row],[2019-Apr]:[2025-July]]),0)</f>
        <v>13.5</v>
      </c>
      <c r="J498" s="4" cm="1">
        <f t="array" ref="J49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5.5709999999999988</v>
      </c>
      <c r="K498" s="4">
        <v>4.5</v>
      </c>
      <c r="L498" s="4">
        <f>IF(Table1[[#This Row],[Standard as per ISO]]&gt;=Table1[[#This Row],[Avg of best 6]],Table1[[#This Row],[Standard as per ISO]],Table1[[#This Row],[Avg of best 6]])</f>
        <v>5.5709999999999988</v>
      </c>
      <c r="M498" s="4" cm="1">
        <f t="array" ref="M498">IFERROR(LOOKUP(2,1/(Table1[[#This Row],[2019-May]:[2025-July]]&lt;&gt;0),Table1[[#This Row],[2019-May]:[2025-July]]),0)</f>
        <v>5.36</v>
      </c>
      <c r="N498" s="4">
        <f>COUNTIF(Table1[[#This Row],[2019-Apr]:[2025-July]],"&gt;="&amp;Table1[[#This Row],[Target]])</f>
        <v>35</v>
      </c>
      <c r="O498" s="4">
        <f>IF(Table1[[#This Row],[Outliers 2Y]]=0,1,0)</f>
        <v>0</v>
      </c>
      <c r="P498" s="4">
        <f>IF(Table1[[#This Row],[Last value]]&gt;1.5*Table1[[#This Row],[Target]],1,0)</f>
        <v>0</v>
      </c>
      <c r="Q498" s="4">
        <f>IF(AND(1.5*Table1[[#This Row],[Target]]&gt;=Table1[[#This Row],[Last value]],Table1[[#This Row],[Last value]]&gt;Table1[[#This Row],[Target]]),1,0)</f>
        <v>0</v>
      </c>
      <c r="R498" s="4">
        <f>IF(Table1[[#This Row],[Target]]&gt;=Table1[[#This Row],[Last value]],1,0)</f>
        <v>1</v>
      </c>
      <c r="S498" s="4" t="str">
        <f t="shared" si="10"/>
        <v>Green</v>
      </c>
      <c r="T498" s="55">
        <v>0</v>
      </c>
      <c r="U498" s="55">
        <v>0</v>
      </c>
      <c r="V498" s="55">
        <v>0</v>
      </c>
      <c r="W498" s="55">
        <v>9.1999999999999993</v>
      </c>
      <c r="X498" s="55">
        <v>0</v>
      </c>
      <c r="Y498" s="55">
        <v>0</v>
      </c>
      <c r="Z498" s="55">
        <v>0</v>
      </c>
      <c r="AA498" s="55">
        <v>0</v>
      </c>
      <c r="AB498" s="55">
        <v>8.7100000000000009</v>
      </c>
      <c r="AC498" s="55">
        <v>0</v>
      </c>
      <c r="AD498" s="55">
        <v>7.87</v>
      </c>
      <c r="AE498" s="55">
        <v>7.8</v>
      </c>
      <c r="AF498" s="55">
        <v>0</v>
      </c>
      <c r="AG498" s="55">
        <v>0</v>
      </c>
      <c r="AH498" s="55">
        <v>7.07</v>
      </c>
      <c r="AI498" s="55">
        <v>6.8</v>
      </c>
      <c r="AJ498" s="55">
        <v>0</v>
      </c>
      <c r="AK498" s="55">
        <v>0</v>
      </c>
      <c r="AL498" s="55">
        <v>13.5</v>
      </c>
      <c r="AM498" s="55">
        <v>8.5</v>
      </c>
      <c r="AN498" s="55">
        <v>0</v>
      </c>
      <c r="AO498" s="55">
        <v>0</v>
      </c>
      <c r="AP498" s="55">
        <v>11.6</v>
      </c>
      <c r="AQ498" s="55">
        <v>11.8</v>
      </c>
      <c r="AR498" s="8">
        <v>12.1</v>
      </c>
      <c r="AS498" s="8">
        <v>6.96</v>
      </c>
      <c r="AT498" s="8">
        <v>0</v>
      </c>
      <c r="AU498" s="50">
        <v>7.83</v>
      </c>
      <c r="AV498" s="50">
        <v>0</v>
      </c>
      <c r="AW498" s="50">
        <v>6.87</v>
      </c>
      <c r="AX498" s="50">
        <v>10.199999999999999</v>
      </c>
      <c r="AY498" s="50">
        <v>0</v>
      </c>
      <c r="AZ498" s="50">
        <v>8.16</v>
      </c>
      <c r="BA498" s="50">
        <v>0</v>
      </c>
      <c r="BB498" s="50">
        <v>0</v>
      </c>
      <c r="BC498" s="55">
        <v>5.7</v>
      </c>
      <c r="BD498" s="55">
        <v>0</v>
      </c>
      <c r="BE498" s="11">
        <v>5.7</v>
      </c>
      <c r="BF498" s="4">
        <v>0</v>
      </c>
      <c r="BG498" s="4">
        <v>0</v>
      </c>
      <c r="BH498" s="4">
        <v>6.9039999999999999</v>
      </c>
      <c r="BI498" s="4">
        <v>0</v>
      </c>
      <c r="BJ498" s="13">
        <v>5.7050000000000001</v>
      </c>
      <c r="BK498" s="13">
        <v>7.2759999999999998</v>
      </c>
      <c r="BL498" s="4">
        <v>0</v>
      </c>
      <c r="BM498" s="16">
        <v>5.9790000000000001</v>
      </c>
      <c r="BN498" s="4">
        <v>6.5039999999999996</v>
      </c>
      <c r="BO498" s="4">
        <v>7.5910000000000002</v>
      </c>
      <c r="BP498" s="4">
        <v>7.1870000000000003</v>
      </c>
      <c r="BQ498" s="4">
        <v>5.4909999999999997</v>
      </c>
      <c r="BR498" s="4">
        <v>6.43</v>
      </c>
      <c r="BS498" s="55">
        <v>7.2130000000000001</v>
      </c>
      <c r="BT498" s="4">
        <v>6.7069999999999999</v>
      </c>
      <c r="BU498" s="4">
        <v>6.8559999999999999</v>
      </c>
      <c r="BV498" s="4">
        <v>7.42</v>
      </c>
      <c r="BW498" s="4">
        <v>7.657</v>
      </c>
      <c r="BX498" s="4">
        <v>6.867</v>
      </c>
      <c r="BY498" s="4">
        <v>6.9080000000000004</v>
      </c>
      <c r="BZ498" s="55">
        <v>7.65</v>
      </c>
      <c r="CA498" s="55">
        <v>0</v>
      </c>
      <c r="CB498" s="55">
        <v>0</v>
      </c>
      <c r="CC498" s="55">
        <v>0</v>
      </c>
      <c r="CD498" s="55">
        <v>0</v>
      </c>
      <c r="CE498" s="19">
        <v>6.5</v>
      </c>
      <c r="CF498" s="19">
        <v>0</v>
      </c>
      <c r="CG498" s="4">
        <v>5.47</v>
      </c>
      <c r="CH498" s="4">
        <v>0</v>
      </c>
      <c r="CI498" s="4">
        <v>5.36</v>
      </c>
      <c r="CJ498" s="34">
        <v>0</v>
      </c>
      <c r="CK498" s="34">
        <v>0</v>
      </c>
      <c r="CL498" s="34">
        <v>0</v>
      </c>
      <c r="CM498" s="4">
        <v>0</v>
      </c>
      <c r="CN498" s="53">
        <v>0</v>
      </c>
      <c r="CO498" s="54">
        <v>0</v>
      </c>
      <c r="CP498" s="54">
        <v>0</v>
      </c>
      <c r="CQ498" s="4">
        <v>0</v>
      </c>
    </row>
    <row r="499" spans="1:95" s="55" customFormat="1" x14ac:dyDescent="0.35">
      <c r="A499" s="55">
        <v>498</v>
      </c>
      <c r="B499" s="55" t="s">
        <v>87</v>
      </c>
      <c r="C499" s="27" t="s">
        <v>211</v>
      </c>
      <c r="D499" s="50" t="s">
        <v>94</v>
      </c>
      <c r="E499" s="33" t="s">
        <v>91</v>
      </c>
      <c r="F499" s="4">
        <f>IFERROR(AVERAGEIF(Table1[[#This Row],[2019-Apr]:[2025-July]],"&lt;&gt;0"),0)</f>
        <v>6.4238823529411757</v>
      </c>
      <c r="G499" s="4">
        <f ca="1">IFERROR(AVERAGEIF(OFFSET(Table1[[#This Row],[Status]],0,COUNT(Table1[[#This Row],[2019-May]:[2025-July]]),1,-12),"&lt;&gt;0"),0)</f>
        <v>5.8450000000000006</v>
      </c>
      <c r="H499" s="55">
        <f>IFERROR(SMALL(Table1[[#This Row],[2019-Apr]:[2025-July]],COUNTIF(Table1[[#This Row],[2019-Apr]:[2025-July]],0)+1),0)</f>
        <v>3.6120000000000001</v>
      </c>
      <c r="I499" s="55">
        <f>IFERROR(MAX(Table1[[#This Row],[2019-Apr]:[2025-July]]),0)</f>
        <v>9.25</v>
      </c>
      <c r="J499" s="4" cm="1">
        <f t="array" ref="J49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4.9581666666666662</v>
      </c>
      <c r="K499" s="4">
        <v>4.5</v>
      </c>
      <c r="L499" s="4">
        <f>IF(Table1[[#This Row],[Standard as per ISO]]&gt;=Table1[[#This Row],[Avg of best 6]],Table1[[#This Row],[Standard as per ISO]],Table1[[#This Row],[Avg of best 6]])</f>
        <v>4.9581666666666662</v>
      </c>
      <c r="M499" s="4" cm="1">
        <f t="array" ref="M499">IFERROR(LOOKUP(2,1/(Table1[[#This Row],[2019-May]:[2025-July]]&lt;&gt;0),Table1[[#This Row],[2019-May]:[2025-July]]),0)</f>
        <v>6.19</v>
      </c>
      <c r="N499" s="4">
        <f>COUNTIF(Table1[[#This Row],[2019-Apr]:[2025-July]],"&gt;="&amp;Table1[[#This Row],[Target]])</f>
        <v>32</v>
      </c>
      <c r="O499" s="4">
        <f>IF(Table1[[#This Row],[Outliers 2Y]]=0,1,0)</f>
        <v>0</v>
      </c>
      <c r="P499" s="4">
        <f>IF(Table1[[#This Row],[Last value]]&gt;1.5*Table1[[#This Row],[Target]],1,0)</f>
        <v>0</v>
      </c>
      <c r="Q499" s="4">
        <f>IF(AND(1.5*Table1[[#This Row],[Target]]&gt;=Table1[[#This Row],[Last value]],Table1[[#This Row],[Last value]]&gt;Table1[[#This Row],[Target]]),1,0)</f>
        <v>1</v>
      </c>
      <c r="R499" s="4">
        <f>IF(Table1[[#This Row],[Target]]&gt;=Table1[[#This Row],[Last value]],1,0)</f>
        <v>0</v>
      </c>
      <c r="S499" s="4" t="str">
        <f t="shared" si="10"/>
        <v>Yellow</v>
      </c>
      <c r="T499" s="55">
        <v>0</v>
      </c>
      <c r="U499" s="55">
        <v>6.85</v>
      </c>
      <c r="V499" s="55">
        <v>6.79</v>
      </c>
      <c r="W499" s="55">
        <v>6.76</v>
      </c>
      <c r="X499" s="55">
        <v>6.74</v>
      </c>
      <c r="Y499" s="55">
        <v>7.38</v>
      </c>
      <c r="Z499" s="55">
        <v>7.88</v>
      </c>
      <c r="AA499" s="55">
        <v>6.5</v>
      </c>
      <c r="AB499" s="55">
        <v>5.47</v>
      </c>
      <c r="AC499" s="55">
        <v>5.99</v>
      </c>
      <c r="AD499" s="55">
        <v>0</v>
      </c>
      <c r="AE499" s="55">
        <v>0</v>
      </c>
      <c r="AF499" s="55">
        <v>0</v>
      </c>
      <c r="AG499" s="55">
        <v>0</v>
      </c>
      <c r="AH499" s="55">
        <v>7.37</v>
      </c>
      <c r="AI499" s="55">
        <v>6</v>
      </c>
      <c r="AJ499" s="55">
        <v>7.5</v>
      </c>
      <c r="AK499" s="55">
        <v>0</v>
      </c>
      <c r="AL499" s="55">
        <v>0</v>
      </c>
      <c r="AM499" s="55">
        <v>7.15</v>
      </c>
      <c r="AN499" s="55">
        <v>8.7200000000000006</v>
      </c>
      <c r="AO499" s="55">
        <v>9.25</v>
      </c>
      <c r="AP499" s="55">
        <v>7.44</v>
      </c>
      <c r="AQ499" s="55">
        <v>8.5399999999999991</v>
      </c>
      <c r="AR499" s="8">
        <v>0</v>
      </c>
      <c r="AS499" s="8">
        <v>0</v>
      </c>
      <c r="AT499" s="8">
        <v>0</v>
      </c>
      <c r="AU499" s="50">
        <v>5.33</v>
      </c>
      <c r="AV499" s="50">
        <v>0</v>
      </c>
      <c r="AW499" s="50">
        <v>0</v>
      </c>
      <c r="AX499" s="50">
        <v>0</v>
      </c>
      <c r="AY499" s="50">
        <v>0</v>
      </c>
      <c r="AZ499" s="50">
        <v>5.33</v>
      </c>
      <c r="BA499" s="50">
        <v>0</v>
      </c>
      <c r="BB499" s="50">
        <v>5.6</v>
      </c>
      <c r="BC499" s="55">
        <v>5.5</v>
      </c>
      <c r="BD499" s="55">
        <v>6.5</v>
      </c>
      <c r="BE499" s="11">
        <v>6.4340000000000002</v>
      </c>
      <c r="BF499" s="4">
        <v>0</v>
      </c>
      <c r="BG499" s="4">
        <v>0</v>
      </c>
      <c r="BH499" s="4">
        <v>0</v>
      </c>
      <c r="BI499" s="4">
        <v>0</v>
      </c>
      <c r="BJ499" s="14">
        <v>0</v>
      </c>
      <c r="BK499" s="14">
        <v>4.5069999999999997</v>
      </c>
      <c r="BL499" s="4">
        <v>6.2869999999999999</v>
      </c>
      <c r="BM499" s="17">
        <v>5.7779999999999996</v>
      </c>
      <c r="BN499" s="4">
        <v>6.6920000000000002</v>
      </c>
      <c r="BO499" s="4">
        <v>5.6479999999999997</v>
      </c>
      <c r="BP499" s="4">
        <v>5.6459999999999999</v>
      </c>
      <c r="BQ499" s="4">
        <v>0</v>
      </c>
      <c r="BR499" s="4">
        <v>0</v>
      </c>
      <c r="BS499" s="55">
        <v>3.6120000000000001</v>
      </c>
      <c r="BT499" s="4">
        <v>0</v>
      </c>
      <c r="BU499" s="4">
        <v>0</v>
      </c>
      <c r="BV499" s="4">
        <v>0</v>
      </c>
      <c r="BW499" s="4">
        <v>0</v>
      </c>
      <c r="BX499" s="4">
        <v>5.6479999999999997</v>
      </c>
      <c r="BY499" s="4">
        <v>0</v>
      </c>
      <c r="BZ499" s="55">
        <v>5.88</v>
      </c>
      <c r="CA499" s="55">
        <v>0</v>
      </c>
      <c r="CB499" s="55">
        <v>0</v>
      </c>
      <c r="CC499" s="55">
        <v>0</v>
      </c>
      <c r="CD499" s="55">
        <v>0</v>
      </c>
      <c r="CE499" s="19">
        <v>5.5</v>
      </c>
      <c r="CF499" s="19">
        <v>0</v>
      </c>
      <c r="CG499" s="4">
        <v>6.19</v>
      </c>
      <c r="CH499" s="4">
        <v>0</v>
      </c>
      <c r="CI499" s="4">
        <v>0</v>
      </c>
      <c r="CJ499" s="34">
        <v>0</v>
      </c>
      <c r="CK499" s="34">
        <v>0</v>
      </c>
      <c r="CL499" s="34">
        <v>0</v>
      </c>
      <c r="CM499" s="4">
        <v>0</v>
      </c>
      <c r="CN499" s="53">
        <v>0</v>
      </c>
      <c r="CO499" s="54">
        <v>0</v>
      </c>
      <c r="CP499" s="54">
        <v>0</v>
      </c>
      <c r="CQ499" s="4">
        <v>0</v>
      </c>
    </row>
    <row r="500" spans="1:95" s="55" customFormat="1" x14ac:dyDescent="0.35">
      <c r="A500" s="55">
        <v>499</v>
      </c>
      <c r="B500" s="55" t="s">
        <v>87</v>
      </c>
      <c r="C500" s="27" t="s">
        <v>212</v>
      </c>
      <c r="D500" s="50" t="s">
        <v>94</v>
      </c>
      <c r="E500" s="33" t="s">
        <v>91</v>
      </c>
      <c r="F500" s="4">
        <f>IFERROR(AVERAGEIF(Table1[[#This Row],[2019-Apr]:[2025-July]],"&lt;&gt;0"),0)</f>
        <v>6.4955749999999997</v>
      </c>
      <c r="G500" s="4">
        <f ca="1">IFERROR(AVERAGEIF(OFFSET(Table1[[#This Row],[Status]],0,COUNT(Table1[[#This Row],[2019-May]:[2025-July]]),1,-12),"&lt;&gt;0"),0)</f>
        <v>4.0449999999999999</v>
      </c>
      <c r="H500" s="55">
        <f>IFERROR(SMALL(Table1[[#This Row],[2019-Apr]:[2025-July]],COUNTIF(Table1[[#This Row],[2019-Apr]:[2025-July]],0)+1),0)</f>
        <v>3.4260000000000002</v>
      </c>
      <c r="I500" s="55">
        <f>IFERROR(MAX(Table1[[#This Row],[2019-Apr]:[2025-July]]),0)</f>
        <v>28.3</v>
      </c>
      <c r="J500" s="4" cm="1">
        <f t="array" ref="J50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3.9258333333333333</v>
      </c>
      <c r="K500" s="4">
        <v>4.5</v>
      </c>
      <c r="L500" s="4">
        <f>IF(Table1[[#This Row],[Standard as per ISO]]&gt;=Table1[[#This Row],[Avg of best 6]],Table1[[#This Row],[Standard as per ISO]],Table1[[#This Row],[Avg of best 6]])</f>
        <v>4.5</v>
      </c>
      <c r="M500" s="4" cm="1">
        <f t="array" ref="M500">IFERROR(LOOKUP(2,1/(Table1[[#This Row],[2019-May]:[2025-July]]&lt;&gt;0),Table1[[#This Row],[2019-May]:[2025-July]]),0)</f>
        <v>4.09</v>
      </c>
      <c r="N500" s="4">
        <f>COUNTIF(Table1[[#This Row],[2019-Apr]:[2025-July]],"&gt;="&amp;Table1[[#This Row],[Target]])</f>
        <v>32</v>
      </c>
      <c r="O500" s="4">
        <f>IF(Table1[[#This Row],[Outliers 2Y]]=0,1,0)</f>
        <v>0</v>
      </c>
      <c r="P500" s="4">
        <f>IF(Table1[[#This Row],[Last value]]&gt;1.5*Table1[[#This Row],[Target]],1,0)</f>
        <v>0</v>
      </c>
      <c r="Q500" s="4">
        <f>IF(AND(1.5*Table1[[#This Row],[Target]]&gt;=Table1[[#This Row],[Last value]],Table1[[#This Row],[Last value]]&gt;Table1[[#This Row],[Target]]),1,0)</f>
        <v>0</v>
      </c>
      <c r="R500" s="4">
        <f>IF(Table1[[#This Row],[Target]]&gt;=Table1[[#This Row],[Last value]],1,0)</f>
        <v>1</v>
      </c>
      <c r="S500" s="4" t="str">
        <f t="shared" si="10"/>
        <v>Green</v>
      </c>
      <c r="T500" s="55">
        <v>0</v>
      </c>
      <c r="U500" s="55">
        <v>0</v>
      </c>
      <c r="V500" s="55">
        <v>5.31</v>
      </c>
      <c r="W500" s="55">
        <v>6.33</v>
      </c>
      <c r="X500" s="55">
        <v>0</v>
      </c>
      <c r="Y500" s="55">
        <v>7.25</v>
      </c>
      <c r="Z500" s="55">
        <v>7.62</v>
      </c>
      <c r="AA500" s="55">
        <v>7.5</v>
      </c>
      <c r="AB500" s="55">
        <v>0</v>
      </c>
      <c r="AC500" s="55">
        <v>9.83</v>
      </c>
      <c r="AD500" s="55">
        <v>11</v>
      </c>
      <c r="AE500" s="55">
        <v>8.6999999999999993</v>
      </c>
      <c r="AF500" s="55">
        <v>0</v>
      </c>
      <c r="AG500" s="55">
        <v>4.78</v>
      </c>
      <c r="AH500" s="55">
        <v>7.3</v>
      </c>
      <c r="AI500" s="55">
        <v>28.3</v>
      </c>
      <c r="AJ500" s="55">
        <v>6.8</v>
      </c>
      <c r="AK500" s="55">
        <v>6.77</v>
      </c>
      <c r="AL500" s="55">
        <v>5.93</v>
      </c>
      <c r="AM500" s="55">
        <v>6.19</v>
      </c>
      <c r="AN500" s="55">
        <v>0</v>
      </c>
      <c r="AO500" s="55">
        <v>0</v>
      </c>
      <c r="AP500" s="55">
        <v>0</v>
      </c>
      <c r="AQ500" s="55">
        <v>0</v>
      </c>
      <c r="AR500" s="8">
        <v>6.56</v>
      </c>
      <c r="AS500" s="8">
        <v>5.55</v>
      </c>
      <c r="AT500" s="8">
        <v>0</v>
      </c>
      <c r="AU500" s="50">
        <v>0</v>
      </c>
      <c r="AV500" s="50">
        <v>4.5</v>
      </c>
      <c r="AW500" s="50">
        <v>5.12</v>
      </c>
      <c r="AX500" s="50">
        <v>5.04</v>
      </c>
      <c r="AY500" s="50">
        <v>6.16</v>
      </c>
      <c r="AZ500" s="50">
        <v>4.24</v>
      </c>
      <c r="BA500" s="50">
        <v>4.5</v>
      </c>
      <c r="BB500" s="50">
        <v>0</v>
      </c>
      <c r="BC500" s="55">
        <v>4.4000000000000004</v>
      </c>
      <c r="BD500" s="55">
        <v>5.3</v>
      </c>
      <c r="BE500" s="11">
        <v>5.3360000000000003</v>
      </c>
      <c r="BF500" s="4">
        <v>0</v>
      </c>
      <c r="BG500" s="4">
        <v>0</v>
      </c>
      <c r="BH500" s="4">
        <v>0</v>
      </c>
      <c r="BI500" s="4">
        <v>0</v>
      </c>
      <c r="BJ500" s="13">
        <v>3.9510000000000001</v>
      </c>
      <c r="BK500" s="13">
        <v>5.4619999999999997</v>
      </c>
      <c r="BL500" s="4">
        <v>5.8250000000000002</v>
      </c>
      <c r="BM500" s="16">
        <v>5.8230000000000004</v>
      </c>
      <c r="BN500" s="4">
        <v>0</v>
      </c>
      <c r="BO500" s="4">
        <v>0</v>
      </c>
      <c r="BP500" s="4">
        <v>0</v>
      </c>
      <c r="BQ500" s="4">
        <v>4.9749999999999996</v>
      </c>
      <c r="BR500" s="4">
        <v>3.4260000000000002</v>
      </c>
      <c r="BS500" s="55">
        <v>0</v>
      </c>
      <c r="BT500" s="4">
        <v>5.867</v>
      </c>
      <c r="BU500" s="4">
        <v>6.9820000000000002</v>
      </c>
      <c r="BV500" s="4">
        <v>7.5069999999999997</v>
      </c>
      <c r="BW500" s="4">
        <v>7.5010000000000003</v>
      </c>
      <c r="BX500" s="4">
        <v>3.8479999999999999</v>
      </c>
      <c r="BY500" s="4">
        <v>4.25</v>
      </c>
      <c r="BZ500" s="55">
        <v>0</v>
      </c>
      <c r="CA500" s="55">
        <v>0</v>
      </c>
      <c r="CB500" s="55">
        <v>0</v>
      </c>
      <c r="CC500" s="55">
        <v>0</v>
      </c>
      <c r="CD500" s="55">
        <v>0</v>
      </c>
      <c r="CE500" s="19">
        <v>0</v>
      </c>
      <c r="CF500" s="19">
        <v>4</v>
      </c>
      <c r="CG500" s="4">
        <v>0</v>
      </c>
      <c r="CH500" s="4">
        <v>0</v>
      </c>
      <c r="CI500" s="4">
        <v>4.09</v>
      </c>
      <c r="CJ500" s="34">
        <v>0</v>
      </c>
      <c r="CK500" s="34">
        <v>0</v>
      </c>
      <c r="CL500" s="34">
        <v>0</v>
      </c>
      <c r="CM500" s="4">
        <v>0</v>
      </c>
      <c r="CN500" s="53">
        <v>0</v>
      </c>
      <c r="CO500" s="54">
        <v>0</v>
      </c>
      <c r="CP500" s="54">
        <v>0</v>
      </c>
      <c r="CQ500" s="4">
        <v>0</v>
      </c>
    </row>
    <row r="501" spans="1:95" s="55" customFormat="1" x14ac:dyDescent="0.35">
      <c r="A501" s="55">
        <v>500</v>
      </c>
      <c r="B501" s="55" t="s">
        <v>87</v>
      </c>
      <c r="C501" s="27" t="s">
        <v>213</v>
      </c>
      <c r="D501" s="50" t="s">
        <v>94</v>
      </c>
      <c r="E501" s="33" t="s">
        <v>91</v>
      </c>
      <c r="F501" s="4">
        <f>IFERROR(AVERAGEIF(Table1[[#This Row],[2019-Apr]:[2025-July]],"&lt;&gt;0"),0)</f>
        <v>5.5729756097560985</v>
      </c>
      <c r="G501" s="4">
        <f ca="1">IFERROR(AVERAGEIF(OFFSET(Table1[[#This Row],[Status]],0,COUNT(Table1[[#This Row],[2019-May]:[2025-July]]),1,-12),"&lt;&gt;0"),0)</f>
        <v>5.51</v>
      </c>
      <c r="H501" s="55">
        <f>IFERROR(SMALL(Table1[[#This Row],[2019-Apr]:[2025-July]],COUNTIF(Table1[[#This Row],[2019-Apr]:[2025-July]],0)+1),0)</f>
        <v>2.9</v>
      </c>
      <c r="I501" s="55">
        <f>IFERROR(MAX(Table1[[#This Row],[2019-Apr]:[2025-July]]),0)</f>
        <v>7.5</v>
      </c>
      <c r="J501" s="4" cm="1">
        <f t="array" ref="J50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3.436833333333333</v>
      </c>
      <c r="K501" s="4">
        <v>4.5</v>
      </c>
      <c r="L501" s="4">
        <f>IF(Table1[[#This Row],[Standard as per ISO]]&gt;=Table1[[#This Row],[Avg of best 6]],Table1[[#This Row],[Standard as per ISO]],Table1[[#This Row],[Avg of best 6]])</f>
        <v>4.5</v>
      </c>
      <c r="M501" s="4" cm="1">
        <f t="array" ref="M501">IFERROR(LOOKUP(2,1/(Table1[[#This Row],[2019-May]:[2025-July]]&lt;&gt;0),Table1[[#This Row],[2019-May]:[2025-July]]),0)</f>
        <v>6.1</v>
      </c>
      <c r="N501" s="4">
        <f>COUNTIF(Table1[[#This Row],[2019-Apr]:[2025-July]],"&gt;="&amp;Table1[[#This Row],[Target]])</f>
        <v>33</v>
      </c>
      <c r="O501" s="4">
        <f>IF(Table1[[#This Row],[Outliers 2Y]]=0,1,0)</f>
        <v>0</v>
      </c>
      <c r="P501" s="4">
        <f>IF(Table1[[#This Row],[Last value]]&gt;1.5*Table1[[#This Row],[Target]],1,0)</f>
        <v>0</v>
      </c>
      <c r="Q501" s="4">
        <f>IF(AND(1.5*Table1[[#This Row],[Target]]&gt;=Table1[[#This Row],[Last value]],Table1[[#This Row],[Last value]]&gt;Table1[[#This Row],[Target]]),1,0)</f>
        <v>1</v>
      </c>
      <c r="R501" s="4">
        <f>IF(Table1[[#This Row],[Target]]&gt;=Table1[[#This Row],[Last value]],1,0)</f>
        <v>0</v>
      </c>
      <c r="S501" s="4" t="str">
        <f t="shared" si="10"/>
        <v>Yellow</v>
      </c>
      <c r="T501" s="55">
        <v>0</v>
      </c>
      <c r="U501" s="55">
        <v>7.41</v>
      </c>
      <c r="V501" s="55">
        <v>5.31</v>
      </c>
      <c r="W501" s="55">
        <v>7.5</v>
      </c>
      <c r="X501" s="55">
        <v>6.77</v>
      </c>
      <c r="Y501" s="55">
        <v>0</v>
      </c>
      <c r="Z501" s="55">
        <v>0</v>
      </c>
      <c r="AA501" s="55">
        <v>0</v>
      </c>
      <c r="AB501" s="55">
        <v>6.75</v>
      </c>
      <c r="AC501" s="55">
        <v>0</v>
      </c>
      <c r="AD501" s="55">
        <v>6.05</v>
      </c>
      <c r="AE501" s="55">
        <v>5.0999999999999996</v>
      </c>
      <c r="AF501" s="55">
        <v>0</v>
      </c>
      <c r="AG501" s="55">
        <v>6.15</v>
      </c>
      <c r="AH501" s="55">
        <v>6.85</v>
      </c>
      <c r="AI501" s="55">
        <v>0</v>
      </c>
      <c r="AJ501" s="55">
        <v>0</v>
      </c>
      <c r="AK501" s="55">
        <v>5.62</v>
      </c>
      <c r="AL501" s="55">
        <v>5.29</v>
      </c>
      <c r="AM501" s="55">
        <v>0</v>
      </c>
      <c r="AN501" s="55">
        <v>5.84</v>
      </c>
      <c r="AO501" s="55">
        <v>7.17</v>
      </c>
      <c r="AP501" s="55">
        <v>5.2</v>
      </c>
      <c r="AQ501" s="55">
        <v>6.58</v>
      </c>
      <c r="AR501" s="8">
        <v>6.5</v>
      </c>
      <c r="AS501" s="8">
        <v>0</v>
      </c>
      <c r="AT501" s="8">
        <v>0</v>
      </c>
      <c r="AU501" s="50">
        <v>5.86</v>
      </c>
      <c r="AV501" s="50">
        <v>5.7</v>
      </c>
      <c r="AW501" s="50">
        <v>5.22</v>
      </c>
      <c r="AX501" s="50">
        <v>5.63</v>
      </c>
      <c r="AY501" s="50">
        <v>5.37</v>
      </c>
      <c r="AZ501" s="50">
        <v>0</v>
      </c>
      <c r="BA501" s="50">
        <v>2.9</v>
      </c>
      <c r="BB501" s="50">
        <v>4.4000000000000004</v>
      </c>
      <c r="BC501" s="50">
        <v>0</v>
      </c>
      <c r="BD501" s="55">
        <v>0</v>
      </c>
      <c r="BE501" s="11">
        <v>0</v>
      </c>
      <c r="BF501" s="4">
        <v>0</v>
      </c>
      <c r="BG501" s="4">
        <v>0</v>
      </c>
      <c r="BH501" s="4">
        <v>0</v>
      </c>
      <c r="BI501" s="4">
        <v>0</v>
      </c>
      <c r="BJ501" s="14">
        <v>6.6429999999999998</v>
      </c>
      <c r="BK501" s="14">
        <v>4.0960000000000001</v>
      </c>
      <c r="BL501" s="4">
        <v>0</v>
      </c>
      <c r="BM501" s="17">
        <v>0</v>
      </c>
      <c r="BN501" s="4">
        <v>3.8239999999999998</v>
      </c>
      <c r="BO501" s="4">
        <v>3.2519999999999998</v>
      </c>
      <c r="BP501" s="4">
        <v>2.9329999999999998</v>
      </c>
      <c r="BQ501" s="4">
        <v>3.6160000000000001</v>
      </c>
      <c r="BR501" s="4">
        <v>6.4109999999999996</v>
      </c>
      <c r="BS501" s="55">
        <v>5.5590000000000002</v>
      </c>
      <c r="BT501" s="4">
        <v>5.44</v>
      </c>
      <c r="BU501" s="4">
        <v>5.4059999999999997</v>
      </c>
      <c r="BV501" s="4">
        <v>5.9290000000000003</v>
      </c>
      <c r="BW501" s="4">
        <v>6.08</v>
      </c>
      <c r="BX501" s="4">
        <v>0</v>
      </c>
      <c r="BY501" s="4">
        <v>5.9329999999999998</v>
      </c>
      <c r="BZ501" s="55">
        <v>6.16</v>
      </c>
      <c r="CA501" s="55">
        <v>0</v>
      </c>
      <c r="CB501" s="55">
        <v>0</v>
      </c>
      <c r="CC501" s="55">
        <v>0</v>
      </c>
      <c r="CD501" s="55">
        <v>0</v>
      </c>
      <c r="CE501" s="19">
        <v>5.4</v>
      </c>
      <c r="CF501" s="19">
        <v>6.2</v>
      </c>
      <c r="CG501" s="4">
        <v>4.34</v>
      </c>
      <c r="CH501" s="4">
        <v>0</v>
      </c>
      <c r="CI501" s="4">
        <v>6.1</v>
      </c>
      <c r="CJ501" s="34">
        <v>0</v>
      </c>
      <c r="CK501" s="34">
        <v>0</v>
      </c>
      <c r="CL501" s="34">
        <v>0</v>
      </c>
      <c r="CM501" s="4">
        <v>0</v>
      </c>
      <c r="CN501" s="53">
        <v>0</v>
      </c>
      <c r="CO501" s="54">
        <v>0</v>
      </c>
      <c r="CP501" s="54">
        <v>0</v>
      </c>
      <c r="CQ501" s="4">
        <v>0</v>
      </c>
    </row>
    <row r="502" spans="1:95" s="55" customFormat="1" x14ac:dyDescent="0.35">
      <c r="A502" s="55">
        <v>501</v>
      </c>
      <c r="B502" s="55" t="s">
        <v>87</v>
      </c>
      <c r="C502" s="27" t="s">
        <v>214</v>
      </c>
      <c r="D502" s="50" t="s">
        <v>94</v>
      </c>
      <c r="E502" s="33" t="s">
        <v>91</v>
      </c>
      <c r="F502" s="4">
        <f>IFERROR(AVERAGEIF(Table1[[#This Row],[2019-Apr]:[2025-July]],"&lt;&gt;0"),0)</f>
        <v>6.4404705882352937</v>
      </c>
      <c r="G502" s="4">
        <f ca="1">IFERROR(AVERAGEIF(OFFSET(Table1[[#This Row],[Status]],0,COUNT(Table1[[#This Row],[2019-May]:[2025-July]]),1,-12),"&lt;&gt;0"),0)</f>
        <v>5.5233333333333334</v>
      </c>
      <c r="H502" s="55">
        <f>IFERROR(SMALL(Table1[[#This Row],[2019-Apr]:[2025-July]],COUNTIF(Table1[[#This Row],[2019-Apr]:[2025-July]],0)+1),0)</f>
        <v>4.04</v>
      </c>
      <c r="I502" s="55">
        <f>IFERROR(MAX(Table1[[#This Row],[2019-Apr]:[2025-July]]),0)</f>
        <v>11.2</v>
      </c>
      <c r="J502" s="4" cm="1">
        <f t="array" ref="J50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4.8283333333333331</v>
      </c>
      <c r="K502" s="4">
        <v>4.5</v>
      </c>
      <c r="L502" s="4">
        <f>IF(Table1[[#This Row],[Standard as per ISO]]&gt;=Table1[[#This Row],[Avg of best 6]],Table1[[#This Row],[Standard as per ISO]],Table1[[#This Row],[Avg of best 6]])</f>
        <v>4.8283333333333331</v>
      </c>
      <c r="M502" s="4" cm="1">
        <f t="array" ref="M502">IFERROR(LOOKUP(2,1/(Table1[[#This Row],[2019-May]:[2025-July]]&lt;&gt;0),Table1[[#This Row],[2019-May]:[2025-July]]),0)</f>
        <v>5.3</v>
      </c>
      <c r="N502" s="4">
        <f>COUNTIF(Table1[[#This Row],[2019-Apr]:[2025-July]],"&gt;="&amp;Table1[[#This Row],[Target]])</f>
        <v>32</v>
      </c>
      <c r="O502" s="4">
        <f>IF(Table1[[#This Row],[Outliers 2Y]]=0,1,0)</f>
        <v>0</v>
      </c>
      <c r="P502" s="4">
        <f>IF(Table1[[#This Row],[Last value]]&gt;1.5*Table1[[#This Row],[Target]],1,0)</f>
        <v>0</v>
      </c>
      <c r="Q502" s="4">
        <f>IF(AND(1.5*Table1[[#This Row],[Target]]&gt;=Table1[[#This Row],[Last value]],Table1[[#This Row],[Last value]]&gt;Table1[[#This Row],[Target]]),1,0)</f>
        <v>1</v>
      </c>
      <c r="R502" s="4">
        <f>IF(Table1[[#This Row],[Target]]&gt;=Table1[[#This Row],[Last value]],1,0)</f>
        <v>0</v>
      </c>
      <c r="S502" s="4" t="str">
        <f t="shared" si="10"/>
        <v>Yellow</v>
      </c>
      <c r="T502" s="55">
        <v>0</v>
      </c>
      <c r="U502" s="55">
        <v>0</v>
      </c>
      <c r="V502" s="55">
        <v>0</v>
      </c>
      <c r="W502" s="55">
        <v>4.99</v>
      </c>
      <c r="X502" s="55">
        <v>0</v>
      </c>
      <c r="Y502" s="55">
        <v>0</v>
      </c>
      <c r="Z502" s="55">
        <v>0</v>
      </c>
      <c r="AA502" s="55">
        <v>0</v>
      </c>
      <c r="AB502" s="55">
        <v>10</v>
      </c>
      <c r="AC502" s="55">
        <v>5.74</v>
      </c>
      <c r="AD502" s="55">
        <v>6.68</v>
      </c>
      <c r="AE502" s="55">
        <v>5</v>
      </c>
      <c r="AF502" s="55">
        <v>0</v>
      </c>
      <c r="AG502" s="55">
        <v>5.14</v>
      </c>
      <c r="AH502" s="55">
        <v>4.04</v>
      </c>
      <c r="AI502" s="55">
        <v>0</v>
      </c>
      <c r="AJ502" s="55">
        <v>0</v>
      </c>
      <c r="AK502" s="55">
        <v>0</v>
      </c>
      <c r="AL502" s="55">
        <v>0</v>
      </c>
      <c r="AM502" s="55">
        <v>4.8</v>
      </c>
      <c r="AN502" s="55">
        <v>6.3</v>
      </c>
      <c r="AO502" s="55">
        <v>11.2</v>
      </c>
      <c r="AP502" s="55">
        <v>9.7899999999999991</v>
      </c>
      <c r="AQ502" s="55">
        <v>5.87</v>
      </c>
      <c r="AR502" s="8">
        <v>0</v>
      </c>
      <c r="AS502" s="8">
        <v>0</v>
      </c>
      <c r="AT502" s="8">
        <v>0</v>
      </c>
      <c r="AU502" s="50">
        <v>0</v>
      </c>
      <c r="AV502" s="50">
        <v>5.63</v>
      </c>
      <c r="AW502" s="50">
        <v>0</v>
      </c>
      <c r="AX502" s="50">
        <v>0</v>
      </c>
      <c r="AY502" s="50">
        <v>7.08</v>
      </c>
      <c r="AZ502" s="50">
        <v>0</v>
      </c>
      <c r="BA502" s="50">
        <v>5</v>
      </c>
      <c r="BB502" s="50">
        <v>5.6</v>
      </c>
      <c r="BC502" s="55">
        <v>5.5</v>
      </c>
      <c r="BD502" s="55">
        <v>5.3</v>
      </c>
      <c r="BE502" s="11">
        <v>0</v>
      </c>
      <c r="BF502" s="4">
        <v>0</v>
      </c>
      <c r="BG502" s="4">
        <v>0</v>
      </c>
      <c r="BH502" s="4">
        <v>0</v>
      </c>
      <c r="BI502" s="4">
        <v>0</v>
      </c>
      <c r="BJ502" s="13">
        <v>6.4509999999999996</v>
      </c>
      <c r="BK502" s="13">
        <v>6.4749999999999996</v>
      </c>
      <c r="BL502" s="4">
        <v>0</v>
      </c>
      <c r="BM502" s="16">
        <v>8.4060000000000006</v>
      </c>
      <c r="BN502" s="4">
        <v>7.8810000000000002</v>
      </c>
      <c r="BO502" s="4">
        <v>6.7770000000000001</v>
      </c>
      <c r="BP502" s="4">
        <v>6.8220000000000001</v>
      </c>
      <c r="BQ502" s="4">
        <v>0</v>
      </c>
      <c r="BR502" s="4">
        <v>0</v>
      </c>
      <c r="BS502" s="55">
        <v>5.6970000000000001</v>
      </c>
      <c r="BT502" s="4">
        <v>6.46</v>
      </c>
      <c r="BU502" s="4">
        <v>6.37</v>
      </c>
      <c r="BV502" s="4">
        <v>7.9349999999999996</v>
      </c>
      <c r="BW502" s="4">
        <v>7.7229999999999999</v>
      </c>
      <c r="BX502" s="4">
        <v>5.9589999999999996</v>
      </c>
      <c r="BY502" s="4">
        <v>0</v>
      </c>
      <c r="BZ502" s="55">
        <v>5.79</v>
      </c>
      <c r="CA502" s="55">
        <v>0</v>
      </c>
      <c r="CB502" s="55">
        <v>0</v>
      </c>
      <c r="CC502" s="55">
        <v>0</v>
      </c>
      <c r="CD502" s="55">
        <v>0</v>
      </c>
      <c r="CE502" s="19"/>
      <c r="CF502" s="19">
        <v>5.4</v>
      </c>
      <c r="CG502" s="4">
        <v>5.87</v>
      </c>
      <c r="CH502" s="4">
        <v>0</v>
      </c>
      <c r="CI502" s="4">
        <v>5.3</v>
      </c>
      <c r="CJ502" s="34">
        <v>0</v>
      </c>
      <c r="CK502" s="34">
        <v>0</v>
      </c>
      <c r="CL502" s="34">
        <v>0</v>
      </c>
      <c r="CM502" s="4">
        <v>0</v>
      </c>
      <c r="CN502" s="53">
        <v>0</v>
      </c>
      <c r="CO502" s="54">
        <v>0</v>
      </c>
      <c r="CP502" s="54">
        <v>0</v>
      </c>
      <c r="CQ502" s="4">
        <v>0</v>
      </c>
    </row>
    <row r="503" spans="1:95" s="55" customFormat="1" x14ac:dyDescent="0.35">
      <c r="A503" s="55">
        <v>502</v>
      </c>
      <c r="B503" s="55" t="s">
        <v>87</v>
      </c>
      <c r="C503" s="27" t="s">
        <v>215</v>
      </c>
      <c r="D503" s="50" t="s">
        <v>94</v>
      </c>
      <c r="E503" s="33" t="s">
        <v>91</v>
      </c>
      <c r="F503" s="4">
        <f>IFERROR(AVERAGEIF(Table1[[#This Row],[2019-Apr]:[2025-July]],"&lt;&gt;0"),0)</f>
        <v>7.2756666666666661</v>
      </c>
      <c r="G503" s="4">
        <f ca="1">IFERROR(AVERAGEIF(OFFSET(Table1[[#This Row],[Status]],0,COUNT(Table1[[#This Row],[2019-May]:[2025-July]]),1,-12),"&lt;&gt;0"),0)</f>
        <v>7.3199999999999994</v>
      </c>
      <c r="H503" s="55">
        <f>IFERROR(SMALL(Table1[[#This Row],[2019-Apr]:[2025-July]],COUNTIF(Table1[[#This Row],[2019-Apr]:[2025-July]],0)+1),0)</f>
        <v>5.04</v>
      </c>
      <c r="I503" s="55">
        <f>IFERROR(MAX(Table1[[#This Row],[2019-Apr]:[2025-July]]),0)</f>
        <v>10.6</v>
      </c>
      <c r="J503" s="4" cm="1">
        <f t="array" ref="J50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5.4278333333333331</v>
      </c>
      <c r="K503" s="4">
        <v>4.5</v>
      </c>
      <c r="L503" s="4">
        <f>IF(Table1[[#This Row],[Standard as per ISO]]&gt;=Table1[[#This Row],[Avg of best 6]],Table1[[#This Row],[Standard as per ISO]],Table1[[#This Row],[Avg of best 6]])</f>
        <v>5.4278333333333331</v>
      </c>
      <c r="M503" s="4" cm="1">
        <f t="array" ref="M503">IFERROR(LOOKUP(2,1/(Table1[[#This Row],[2019-May]:[2025-July]]&lt;&gt;0),Table1[[#This Row],[2019-May]:[2025-July]]),0)</f>
        <v>7.13</v>
      </c>
      <c r="N503" s="4">
        <f>COUNTIF(Table1[[#This Row],[2019-Apr]:[2025-July]],"&gt;="&amp;Table1[[#This Row],[Target]])</f>
        <v>39</v>
      </c>
      <c r="O503" s="4">
        <f>IF(Table1[[#This Row],[Outliers 2Y]]=0,1,0)</f>
        <v>0</v>
      </c>
      <c r="P503" s="4">
        <f>IF(Table1[[#This Row],[Last value]]&gt;1.5*Table1[[#This Row],[Target]],1,0)</f>
        <v>0</v>
      </c>
      <c r="Q503" s="4">
        <f>IF(AND(1.5*Table1[[#This Row],[Target]]&gt;=Table1[[#This Row],[Last value]],Table1[[#This Row],[Last value]]&gt;Table1[[#This Row],[Target]]),1,0)</f>
        <v>1</v>
      </c>
      <c r="R503" s="4">
        <f>IF(Table1[[#This Row],[Target]]&gt;=Table1[[#This Row],[Last value]],1,0)</f>
        <v>0</v>
      </c>
      <c r="S503" s="4" t="str">
        <f t="shared" si="10"/>
        <v>Yellow</v>
      </c>
      <c r="T503" s="55">
        <v>0</v>
      </c>
      <c r="U503" s="55">
        <v>6.03</v>
      </c>
      <c r="V503" s="55">
        <v>6.07</v>
      </c>
      <c r="W503" s="55">
        <v>8.7799999999999994</v>
      </c>
      <c r="X503" s="55">
        <v>6.1</v>
      </c>
      <c r="Y503" s="55">
        <v>5.38</v>
      </c>
      <c r="Z503" s="55">
        <v>6.63</v>
      </c>
      <c r="AA503" s="55">
        <v>6.2</v>
      </c>
      <c r="AB503" s="55">
        <v>0</v>
      </c>
      <c r="AC503" s="55">
        <v>5.7</v>
      </c>
      <c r="AD503" s="55">
        <v>0</v>
      </c>
      <c r="AE503" s="55">
        <v>5.7</v>
      </c>
      <c r="AF503" s="55">
        <v>0</v>
      </c>
      <c r="AG503" s="55">
        <v>6.24</v>
      </c>
      <c r="AH503" s="55">
        <v>5.2</v>
      </c>
      <c r="AI503" s="55">
        <v>8.35</v>
      </c>
      <c r="AJ503" s="55">
        <v>9.6</v>
      </c>
      <c r="AK503" s="55">
        <v>7.69</v>
      </c>
      <c r="AL503" s="55">
        <v>9.31</v>
      </c>
      <c r="AM503" s="55">
        <v>7.54</v>
      </c>
      <c r="AN503" s="55">
        <v>0</v>
      </c>
      <c r="AO503" s="55">
        <v>7.47</v>
      </c>
      <c r="AP503" s="55">
        <v>10.6</v>
      </c>
      <c r="AQ503" s="55">
        <v>8.1199999999999992</v>
      </c>
      <c r="AR503" s="8">
        <v>8</v>
      </c>
      <c r="AS503" s="8">
        <v>9.24</v>
      </c>
      <c r="AT503" s="8">
        <v>0</v>
      </c>
      <c r="AU503" s="50">
        <v>7.55</v>
      </c>
      <c r="AV503" s="50">
        <v>6.8</v>
      </c>
      <c r="AW503" s="50">
        <v>6.58</v>
      </c>
      <c r="AX503" s="50">
        <v>5.04</v>
      </c>
      <c r="AY503" s="50">
        <v>8.18</v>
      </c>
      <c r="AZ503" s="50">
        <v>8.0500000000000007</v>
      </c>
      <c r="BA503" s="50">
        <v>6.7</v>
      </c>
      <c r="BB503" s="50">
        <v>8.6</v>
      </c>
      <c r="BC503" s="50">
        <v>0</v>
      </c>
      <c r="BD503" s="55">
        <v>0</v>
      </c>
      <c r="BE503" s="11">
        <v>5.5469999999999997</v>
      </c>
      <c r="BF503" s="4">
        <v>0</v>
      </c>
      <c r="BG503" s="4">
        <v>0</v>
      </c>
      <c r="BH503" s="4">
        <v>0</v>
      </c>
      <c r="BI503" s="4">
        <v>0</v>
      </c>
      <c r="BJ503" s="14">
        <v>0</v>
      </c>
      <c r="BK503" s="14">
        <v>7.1459999999999999</v>
      </c>
      <c r="BL503" s="4">
        <v>7.9669999999999996</v>
      </c>
      <c r="BM503" s="17">
        <v>0</v>
      </c>
      <c r="BN503" s="4">
        <v>0</v>
      </c>
      <c r="BO503" s="4">
        <v>0</v>
      </c>
      <c r="BP503" s="4">
        <v>0</v>
      </c>
      <c r="BQ503" s="4">
        <v>6.359</v>
      </c>
      <c r="BR503" s="4">
        <v>6.7539999999999996</v>
      </c>
      <c r="BS503" s="55">
        <v>0</v>
      </c>
      <c r="BT503" s="4">
        <v>0</v>
      </c>
      <c r="BU503" s="4">
        <v>0</v>
      </c>
      <c r="BV503" s="4">
        <v>8.1349999999999998</v>
      </c>
      <c r="BW503" s="4">
        <v>8.3879999999999999</v>
      </c>
      <c r="BX503" s="4">
        <v>7.6189999999999998</v>
      </c>
      <c r="BY503" s="4">
        <v>6.9329999999999998</v>
      </c>
      <c r="BZ503" s="55">
        <v>0</v>
      </c>
      <c r="CA503" s="55">
        <v>0</v>
      </c>
      <c r="CB503" s="55">
        <v>0</v>
      </c>
      <c r="CC503" s="55">
        <v>0</v>
      </c>
      <c r="CD503" s="55">
        <v>0</v>
      </c>
      <c r="CE503" s="19">
        <v>7.5</v>
      </c>
      <c r="CF503" s="19">
        <v>7</v>
      </c>
      <c r="CG503" s="4">
        <v>7.65</v>
      </c>
      <c r="CH503" s="4">
        <v>0</v>
      </c>
      <c r="CI503" s="4">
        <v>7.13</v>
      </c>
      <c r="CJ503" s="34">
        <v>0</v>
      </c>
      <c r="CK503" s="34">
        <v>0</v>
      </c>
      <c r="CL503" s="34">
        <v>0</v>
      </c>
      <c r="CM503" s="4">
        <v>0</v>
      </c>
      <c r="CN503" s="53">
        <v>0</v>
      </c>
      <c r="CO503" s="54">
        <v>0</v>
      </c>
      <c r="CP503" s="54">
        <v>0</v>
      </c>
      <c r="CQ503" s="4">
        <v>0</v>
      </c>
    </row>
    <row r="504" spans="1:95" s="55" customFormat="1" x14ac:dyDescent="0.35">
      <c r="A504" s="55">
        <v>503</v>
      </c>
      <c r="B504" s="55" t="s">
        <v>87</v>
      </c>
      <c r="C504" s="27" t="s">
        <v>216</v>
      </c>
      <c r="D504" s="50" t="s">
        <v>94</v>
      </c>
      <c r="E504" s="33" t="s">
        <v>91</v>
      </c>
      <c r="F504" s="4">
        <f>IFERROR(AVERAGEIF(Table1[[#This Row],[2019-Apr]:[2025-July]],"&lt;&gt;0"),0)</f>
        <v>4.9345897435897426</v>
      </c>
      <c r="G504" s="4">
        <f ca="1">IFERROR(AVERAGEIF(OFFSET(Table1[[#This Row],[Status]],0,COUNT(Table1[[#This Row],[2019-May]:[2025-July]]),1,-12),"&lt;&gt;0"),0)</f>
        <v>6</v>
      </c>
      <c r="H504" s="55">
        <f>IFERROR(SMALL(Table1[[#This Row],[2019-Apr]:[2025-July]],COUNTIF(Table1[[#This Row],[2019-Apr]:[2025-July]],0)+1),0)</f>
        <v>3.4660000000000002</v>
      </c>
      <c r="I504" s="55">
        <f>IFERROR(MAX(Table1[[#This Row],[2019-Apr]:[2025-July]]),0)</f>
        <v>6.6</v>
      </c>
      <c r="J504" s="4" cm="1">
        <f t="array" ref="J50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3.8419999999999992</v>
      </c>
      <c r="K504" s="4">
        <v>4.5</v>
      </c>
      <c r="L504" s="4">
        <f>IF(Table1[[#This Row],[Standard as per ISO]]&gt;=Table1[[#This Row],[Avg of best 6]],Table1[[#This Row],[Standard as per ISO]],Table1[[#This Row],[Avg of best 6]])</f>
        <v>4.5</v>
      </c>
      <c r="M504" s="4" cm="1">
        <f t="array" ref="M504">IFERROR(LOOKUP(2,1/(Table1[[#This Row],[2019-May]:[2025-July]]&lt;&gt;0),Table1[[#This Row],[2019-May]:[2025-July]]),0)</f>
        <v>6</v>
      </c>
      <c r="N504" s="4">
        <f>COUNTIF(Table1[[#This Row],[2019-Apr]:[2025-July]],"&gt;="&amp;Table1[[#This Row],[Target]])</f>
        <v>25</v>
      </c>
      <c r="O504" s="4">
        <f>IF(Table1[[#This Row],[Outliers 2Y]]=0,1,0)</f>
        <v>0</v>
      </c>
      <c r="P504" s="4">
        <f>IF(Table1[[#This Row],[Last value]]&gt;1.5*Table1[[#This Row],[Target]],1,0)</f>
        <v>0</v>
      </c>
      <c r="Q504" s="4">
        <f>IF(AND(1.5*Table1[[#This Row],[Target]]&gt;=Table1[[#This Row],[Last value]],Table1[[#This Row],[Last value]]&gt;Table1[[#This Row],[Target]]),1,0)</f>
        <v>1</v>
      </c>
      <c r="R504" s="4">
        <f>IF(Table1[[#This Row],[Target]]&gt;=Table1[[#This Row],[Last value]],1,0)</f>
        <v>0</v>
      </c>
      <c r="S504" s="4" t="str">
        <f t="shared" si="10"/>
        <v>Yellow</v>
      </c>
      <c r="T504" s="55">
        <v>0</v>
      </c>
      <c r="U504" s="55">
        <v>4.26</v>
      </c>
      <c r="V504" s="55">
        <v>4.13</v>
      </c>
      <c r="W504" s="55">
        <v>4.29</v>
      </c>
      <c r="X504" s="55">
        <v>5.83</v>
      </c>
      <c r="Y504" s="55">
        <v>3.87</v>
      </c>
      <c r="Z504" s="55">
        <v>4.49</v>
      </c>
      <c r="AA504" s="55">
        <v>5.3</v>
      </c>
      <c r="AB504" s="55">
        <v>6.1</v>
      </c>
      <c r="AC504" s="55">
        <v>0</v>
      </c>
      <c r="AD504" s="55">
        <v>5.43</v>
      </c>
      <c r="AE504" s="55">
        <v>0</v>
      </c>
      <c r="AF504" s="55">
        <v>0</v>
      </c>
      <c r="AG504" s="55">
        <v>0</v>
      </c>
      <c r="AH504" s="55">
        <v>4.9400000000000004</v>
      </c>
      <c r="AI504" s="55">
        <v>4.0599999999999996</v>
      </c>
      <c r="AJ504" s="55">
        <v>4.7</v>
      </c>
      <c r="AK504" s="55">
        <v>4.83</v>
      </c>
      <c r="AL504" s="55">
        <v>4.2</v>
      </c>
      <c r="AM504" s="55">
        <v>0</v>
      </c>
      <c r="AN504" s="55">
        <v>5.86</v>
      </c>
      <c r="AO504" s="55">
        <v>0</v>
      </c>
      <c r="AP504" s="55">
        <v>0</v>
      </c>
      <c r="AQ504" s="55">
        <v>0</v>
      </c>
      <c r="AR504" s="8">
        <v>4.4400000000000004</v>
      </c>
      <c r="AS504" s="8">
        <v>5.07</v>
      </c>
      <c r="AT504" s="8">
        <v>0</v>
      </c>
      <c r="AU504" s="50">
        <v>5.32</v>
      </c>
      <c r="AV504" s="50">
        <v>0</v>
      </c>
      <c r="AW504" s="50">
        <v>4.2300000000000004</v>
      </c>
      <c r="AX504" s="50">
        <v>4.49</v>
      </c>
      <c r="AY504" s="50">
        <v>0</v>
      </c>
      <c r="AZ504" s="50">
        <v>4.88</v>
      </c>
      <c r="BA504" s="50">
        <v>0</v>
      </c>
      <c r="BB504" s="50">
        <v>0</v>
      </c>
      <c r="BC504" s="55">
        <v>5.0999999999999996</v>
      </c>
      <c r="BD504" s="55">
        <v>5</v>
      </c>
      <c r="BE504" s="11">
        <v>3.714</v>
      </c>
      <c r="BF504" s="4">
        <v>0</v>
      </c>
      <c r="BG504" s="4">
        <v>0</v>
      </c>
      <c r="BH504" s="4">
        <v>0</v>
      </c>
      <c r="BI504" s="4">
        <v>0</v>
      </c>
      <c r="BJ504" s="13">
        <v>3.4660000000000002</v>
      </c>
      <c r="BK504" s="13">
        <v>5.2039999999999997</v>
      </c>
      <c r="BL504" s="4">
        <v>5.5469999999999997</v>
      </c>
      <c r="BM504" s="16">
        <v>6.03</v>
      </c>
      <c r="BN504" s="4">
        <v>5.95</v>
      </c>
      <c r="BO504" s="4">
        <v>4.8940000000000001</v>
      </c>
      <c r="BP504" s="4">
        <v>5.0730000000000004</v>
      </c>
      <c r="BQ504" s="4">
        <v>5.3869999999999996</v>
      </c>
      <c r="BR504" s="4">
        <v>4.9039999999999999</v>
      </c>
      <c r="BS504" s="55">
        <v>3.8119999999999998</v>
      </c>
      <c r="BT504" s="4">
        <v>4.4669999999999996</v>
      </c>
      <c r="BU504" s="4">
        <v>4.5510000000000002</v>
      </c>
      <c r="BV504" s="4">
        <v>0</v>
      </c>
      <c r="BW504" s="4">
        <v>0</v>
      </c>
      <c r="BX504" s="4">
        <v>0</v>
      </c>
      <c r="BY504" s="4">
        <v>6.6</v>
      </c>
      <c r="BZ504" s="55">
        <v>6.03</v>
      </c>
      <c r="CA504" s="55">
        <v>0</v>
      </c>
      <c r="CB504" s="55">
        <v>0</v>
      </c>
      <c r="CC504" s="55">
        <v>0</v>
      </c>
      <c r="CD504" s="55">
        <v>0</v>
      </c>
      <c r="CE504" s="19">
        <v>6</v>
      </c>
      <c r="CF504" s="19">
        <v>0</v>
      </c>
      <c r="CG504" s="4">
        <v>0</v>
      </c>
      <c r="CH504" s="4">
        <v>0</v>
      </c>
      <c r="CI504" s="4">
        <v>0</v>
      </c>
      <c r="CJ504" s="34">
        <v>0</v>
      </c>
      <c r="CK504" s="34">
        <v>0</v>
      </c>
      <c r="CL504" s="34">
        <v>0</v>
      </c>
      <c r="CM504" s="4">
        <v>0</v>
      </c>
      <c r="CN504" s="53">
        <v>0</v>
      </c>
      <c r="CO504" s="54">
        <v>0</v>
      </c>
      <c r="CP504" s="54">
        <v>0</v>
      </c>
      <c r="CQ504" s="4">
        <v>0</v>
      </c>
    </row>
    <row r="505" spans="1:95" s="55" customFormat="1" x14ac:dyDescent="0.35">
      <c r="A505" s="55">
        <v>504</v>
      </c>
      <c r="B505" s="55" t="s">
        <v>87</v>
      </c>
      <c r="C505" s="27" t="s">
        <v>217</v>
      </c>
      <c r="D505" s="50" t="s">
        <v>94</v>
      </c>
      <c r="E505" s="33" t="s">
        <v>91</v>
      </c>
      <c r="F505" s="4">
        <f>IFERROR(AVERAGEIF(Table1[[#This Row],[2019-Apr]:[2025-July]],"&lt;&gt;0"),0)</f>
        <v>4.1653421052631598</v>
      </c>
      <c r="G505" s="4">
        <f ca="1">IFERROR(AVERAGEIF(OFFSET(Table1[[#This Row],[Status]],0,COUNT(Table1[[#This Row],[2019-May]:[2025-July]]),1,-12),"&lt;&gt;0"),0)</f>
        <v>3.835</v>
      </c>
      <c r="H505" s="55">
        <f>IFERROR(SMALL(Table1[[#This Row],[2019-Apr]:[2025-July]],COUNTIF(Table1[[#This Row],[2019-Apr]:[2025-July]],0)+1),0)</f>
        <v>1.948</v>
      </c>
      <c r="I505" s="55">
        <f>IFERROR(MAX(Table1[[#This Row],[2019-Apr]:[2025-July]]),0)</f>
        <v>7</v>
      </c>
      <c r="J505" s="4" cm="1">
        <f t="array" ref="J50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3.0863333333333336</v>
      </c>
      <c r="K505" s="4">
        <v>4.5</v>
      </c>
      <c r="L505" s="4">
        <f>IF(Table1[[#This Row],[Standard as per ISO]]&gt;=Table1[[#This Row],[Avg of best 6]],Table1[[#This Row],[Standard as per ISO]],Table1[[#This Row],[Avg of best 6]])</f>
        <v>4.5</v>
      </c>
      <c r="M505" s="4" cm="1">
        <f t="array" ref="M505">IFERROR(LOOKUP(2,1/(Table1[[#This Row],[2019-May]:[2025-July]]&lt;&gt;0),Table1[[#This Row],[2019-May]:[2025-July]]),0)</f>
        <v>3.37</v>
      </c>
      <c r="N505" s="4">
        <f>COUNTIF(Table1[[#This Row],[2019-Apr]:[2025-July]],"&gt;="&amp;Table1[[#This Row],[Target]])</f>
        <v>10</v>
      </c>
      <c r="O505" s="4">
        <f>IF(Table1[[#This Row],[Outliers 2Y]]=0,1,0)</f>
        <v>0</v>
      </c>
      <c r="P505" s="4">
        <f>IF(Table1[[#This Row],[Last value]]&gt;1.5*Table1[[#This Row],[Target]],1,0)</f>
        <v>0</v>
      </c>
      <c r="Q505" s="4">
        <f>IF(AND(1.5*Table1[[#This Row],[Target]]&gt;=Table1[[#This Row],[Last value]],Table1[[#This Row],[Last value]]&gt;Table1[[#This Row],[Target]]),1,0)</f>
        <v>0</v>
      </c>
      <c r="R505" s="4">
        <f>IF(Table1[[#This Row],[Target]]&gt;=Table1[[#This Row],[Last value]],1,0)</f>
        <v>1</v>
      </c>
      <c r="S505" s="4" t="str">
        <f t="shared" si="10"/>
        <v>Green</v>
      </c>
      <c r="T505" s="55">
        <v>0</v>
      </c>
      <c r="U505" s="55">
        <v>0</v>
      </c>
      <c r="V505" s="55">
        <v>0</v>
      </c>
      <c r="W505" s="55">
        <v>0</v>
      </c>
      <c r="X505" s="55">
        <v>0</v>
      </c>
      <c r="Y505" s="55">
        <v>0</v>
      </c>
      <c r="Z505" s="55">
        <v>4.7</v>
      </c>
      <c r="AA505" s="55">
        <v>5.0999999999999996</v>
      </c>
      <c r="AB505" s="55">
        <v>7</v>
      </c>
      <c r="AC505" s="55">
        <v>4.6500000000000004</v>
      </c>
      <c r="AD505" s="55">
        <v>5.73</v>
      </c>
      <c r="AE505" s="55">
        <v>5.2</v>
      </c>
      <c r="AF505" s="55">
        <v>0</v>
      </c>
      <c r="AG505" s="55">
        <v>4.24</v>
      </c>
      <c r="AH505" s="55">
        <v>4.3499999999999996</v>
      </c>
      <c r="AI505" s="55">
        <v>4.74</v>
      </c>
      <c r="AJ505" s="55">
        <v>4.6500000000000004</v>
      </c>
      <c r="AK505" s="55">
        <v>4.0999999999999996</v>
      </c>
      <c r="AL505" s="55">
        <v>5.22</v>
      </c>
      <c r="AM505" s="55">
        <v>4.24</v>
      </c>
      <c r="AN505" s="55">
        <v>4.33</v>
      </c>
      <c r="AO505" s="55">
        <v>4.3099999999999996</v>
      </c>
      <c r="AP505" s="55">
        <v>4.0599999999999996</v>
      </c>
      <c r="AQ505" s="55">
        <v>4.72</v>
      </c>
      <c r="AR505" s="8">
        <v>3.58</v>
      </c>
      <c r="AS505" s="8">
        <v>3.77</v>
      </c>
      <c r="AT505" s="8">
        <v>0</v>
      </c>
      <c r="AU505" s="50">
        <v>3.98</v>
      </c>
      <c r="AV505" s="50">
        <v>0</v>
      </c>
      <c r="AW505" s="50">
        <v>3.91</v>
      </c>
      <c r="AX505" s="50">
        <v>3.92</v>
      </c>
      <c r="AY505" s="50">
        <v>0</v>
      </c>
      <c r="AZ505" s="50">
        <v>3.78</v>
      </c>
      <c r="BA505" s="50">
        <v>4.4000000000000004</v>
      </c>
      <c r="BB505" s="50">
        <v>0</v>
      </c>
      <c r="BC505" s="50">
        <v>0</v>
      </c>
      <c r="BD505" s="55">
        <v>0</v>
      </c>
      <c r="BE505" s="11">
        <v>0</v>
      </c>
      <c r="BF505" s="4">
        <v>0</v>
      </c>
      <c r="BG505" s="4">
        <v>0</v>
      </c>
      <c r="BH505" s="4">
        <v>0</v>
      </c>
      <c r="BI505" s="4">
        <v>0</v>
      </c>
      <c r="BJ505" s="14">
        <v>0</v>
      </c>
      <c r="BK505" s="14">
        <v>4.0490000000000004</v>
      </c>
      <c r="BL505" s="4">
        <v>0</v>
      </c>
      <c r="BM505" s="17">
        <v>3.6219999999999999</v>
      </c>
      <c r="BN505" s="4">
        <v>3.7149999999999999</v>
      </c>
      <c r="BO505" s="4">
        <v>3.6080000000000001</v>
      </c>
      <c r="BP505" s="4">
        <v>3.5489999999999999</v>
      </c>
      <c r="BQ505" s="4">
        <v>3.8740000000000001</v>
      </c>
      <c r="BR505" s="4">
        <v>3.2410000000000001</v>
      </c>
      <c r="BS505" s="55">
        <v>3.399</v>
      </c>
      <c r="BT505" s="4">
        <v>0</v>
      </c>
      <c r="BU505" s="4">
        <v>0</v>
      </c>
      <c r="BV505" s="4">
        <v>0</v>
      </c>
      <c r="BW505" s="4">
        <v>3.0110000000000001</v>
      </c>
      <c r="BX505" s="4">
        <v>3.9670000000000001</v>
      </c>
      <c r="BY505" s="4">
        <v>1.948</v>
      </c>
      <c r="BZ505" s="55">
        <v>3.95</v>
      </c>
      <c r="CA505" s="55">
        <v>0</v>
      </c>
      <c r="CB505" s="55">
        <v>0</v>
      </c>
      <c r="CC505" s="55">
        <v>0</v>
      </c>
      <c r="CD505" s="55">
        <v>0</v>
      </c>
      <c r="CE505" s="19">
        <v>4.3</v>
      </c>
      <c r="CF505" s="19">
        <v>0</v>
      </c>
      <c r="CG505" s="4">
        <v>0</v>
      </c>
      <c r="CH505" s="4">
        <v>0</v>
      </c>
      <c r="CI505" s="4">
        <v>3.37</v>
      </c>
      <c r="CJ505" s="34">
        <v>0</v>
      </c>
      <c r="CK505" s="34">
        <v>0</v>
      </c>
      <c r="CL505" s="34">
        <v>0</v>
      </c>
      <c r="CM505" s="4">
        <v>0</v>
      </c>
      <c r="CN505" s="53">
        <v>0</v>
      </c>
      <c r="CO505" s="54">
        <v>0</v>
      </c>
      <c r="CP505" s="54">
        <v>0</v>
      </c>
      <c r="CQ505" s="4">
        <v>0</v>
      </c>
    </row>
    <row r="506" spans="1:95" s="55" customFormat="1" x14ac:dyDescent="0.35">
      <c r="A506" s="55">
        <v>505</v>
      </c>
      <c r="B506" s="55" t="s">
        <v>87</v>
      </c>
      <c r="C506" s="27" t="s">
        <v>218</v>
      </c>
      <c r="D506" s="50" t="s">
        <v>94</v>
      </c>
      <c r="E506" s="33" t="s">
        <v>91</v>
      </c>
      <c r="F506" s="4">
        <f>IFERROR(AVERAGEIF(Table1[[#This Row],[2019-Apr]:[2025-July]],"&lt;&gt;0"),0)</f>
        <v>4.0603571428571419</v>
      </c>
      <c r="G506" s="4">
        <f ca="1">IFERROR(AVERAGEIF(OFFSET(Table1[[#This Row],[Status]],0,COUNT(Table1[[#This Row],[2019-May]:[2025-July]]),1,-12),"&lt;&gt;0"),0)</f>
        <v>4.3</v>
      </c>
      <c r="H506" s="55">
        <f>IFERROR(SMALL(Table1[[#This Row],[2019-Apr]:[2025-July]],COUNTIF(Table1[[#This Row],[2019-Apr]:[2025-July]],0)+1),0)</f>
        <v>1.774</v>
      </c>
      <c r="I506" s="55">
        <f>IFERROR(MAX(Table1[[#This Row],[2019-Apr]:[2025-July]]),0)</f>
        <v>6.22</v>
      </c>
      <c r="J506" s="4" cm="1">
        <f t="array" ref="J50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3.0841666666666665</v>
      </c>
      <c r="K506" s="4">
        <v>4.5</v>
      </c>
      <c r="L506" s="4">
        <f>IF(Table1[[#This Row],[Standard as per ISO]]&gt;=Table1[[#This Row],[Avg of best 6]],Table1[[#This Row],[Standard as per ISO]],Table1[[#This Row],[Avg of best 6]])</f>
        <v>4.5</v>
      </c>
      <c r="M506" s="4" cm="1">
        <f t="array" ref="M506">IFERROR(LOOKUP(2,1/(Table1[[#This Row],[2019-May]:[2025-July]]&lt;&gt;0),Table1[[#This Row],[2019-May]:[2025-July]]),0)</f>
        <v>4.3</v>
      </c>
      <c r="N506" s="4">
        <f>COUNTIF(Table1[[#This Row],[2019-Apr]:[2025-July]],"&gt;="&amp;Table1[[#This Row],[Target]])</f>
        <v>3</v>
      </c>
      <c r="O506" s="4">
        <f>IF(Table1[[#This Row],[Outliers 2Y]]=0,1,0)</f>
        <v>0</v>
      </c>
      <c r="P506" s="4">
        <f>IF(Table1[[#This Row],[Last value]]&gt;1.5*Table1[[#This Row],[Target]],1,0)</f>
        <v>0</v>
      </c>
      <c r="Q506" s="4">
        <f>IF(AND(1.5*Table1[[#This Row],[Target]]&gt;=Table1[[#This Row],[Last value]],Table1[[#This Row],[Last value]]&gt;Table1[[#This Row],[Target]]),1,0)</f>
        <v>0</v>
      </c>
      <c r="R506" s="4">
        <f>IF(Table1[[#This Row],[Target]]&gt;=Table1[[#This Row],[Last value]],1,0)</f>
        <v>1</v>
      </c>
      <c r="S506" s="4" t="str">
        <f t="shared" si="10"/>
        <v>Green</v>
      </c>
      <c r="T506" s="55">
        <v>0</v>
      </c>
      <c r="U506" s="55">
        <v>5.6</v>
      </c>
      <c r="V506" s="55">
        <v>4.49</v>
      </c>
      <c r="W506" s="55">
        <v>4.6100000000000003</v>
      </c>
      <c r="X506" s="55">
        <v>0</v>
      </c>
      <c r="Y506" s="55">
        <v>6.22</v>
      </c>
      <c r="Z506" s="55">
        <v>0</v>
      </c>
      <c r="AA506" s="55">
        <v>0</v>
      </c>
      <c r="AB506" s="55">
        <v>0</v>
      </c>
      <c r="AC506" s="55">
        <v>0</v>
      </c>
      <c r="AD506" s="55">
        <v>0</v>
      </c>
      <c r="AE506" s="55">
        <v>0</v>
      </c>
      <c r="AF506" s="55">
        <v>0</v>
      </c>
      <c r="AG506" s="55">
        <v>0</v>
      </c>
      <c r="AH506" s="55">
        <v>0</v>
      </c>
      <c r="AI506" s="55">
        <v>0</v>
      </c>
      <c r="AJ506" s="55">
        <v>0</v>
      </c>
      <c r="AK506" s="55">
        <v>0</v>
      </c>
      <c r="AL506" s="55">
        <v>0</v>
      </c>
      <c r="AM506" s="55">
        <v>0</v>
      </c>
      <c r="AN506" s="55">
        <v>0</v>
      </c>
      <c r="AO506" s="55">
        <v>0</v>
      </c>
      <c r="AP506" s="55">
        <v>0</v>
      </c>
      <c r="AQ506" s="55">
        <v>0</v>
      </c>
      <c r="AR506" s="8">
        <v>0</v>
      </c>
      <c r="AS506" s="8">
        <v>0</v>
      </c>
      <c r="AT506" s="8">
        <v>0</v>
      </c>
      <c r="AU506" s="50">
        <v>0</v>
      </c>
      <c r="AV506" s="50">
        <v>3.34</v>
      </c>
      <c r="AW506" s="50">
        <v>0</v>
      </c>
      <c r="AX506" s="50">
        <v>0</v>
      </c>
      <c r="AY506" s="50">
        <v>4.2300000000000004</v>
      </c>
      <c r="AZ506" s="50">
        <v>0</v>
      </c>
      <c r="BA506" s="50">
        <v>0</v>
      </c>
      <c r="BB506" s="50">
        <v>0</v>
      </c>
      <c r="BC506" s="50">
        <v>0</v>
      </c>
      <c r="BD506" s="55">
        <v>0</v>
      </c>
      <c r="BE506" s="11">
        <v>3.3450000000000002</v>
      </c>
      <c r="BF506" s="4">
        <v>0</v>
      </c>
      <c r="BG506" s="4">
        <v>0</v>
      </c>
      <c r="BH506" s="4">
        <v>0</v>
      </c>
      <c r="BI506" s="4">
        <v>0</v>
      </c>
      <c r="BJ506" s="13">
        <v>1.774</v>
      </c>
      <c r="BK506" s="13">
        <v>3.4249999999999998</v>
      </c>
      <c r="BL506" s="4">
        <v>4.4649999999999999</v>
      </c>
      <c r="BM506" s="16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55">
        <v>0</v>
      </c>
      <c r="BT506" s="4">
        <v>2.7440000000000002</v>
      </c>
      <c r="BU506" s="4">
        <v>3.8769999999999998</v>
      </c>
      <c r="BV506" s="4">
        <v>4.4249999999999998</v>
      </c>
      <c r="BW506" s="4">
        <v>0</v>
      </c>
      <c r="BX506" s="4">
        <v>0</v>
      </c>
      <c r="BY506" s="4">
        <v>0</v>
      </c>
      <c r="BZ506" s="55">
        <v>0</v>
      </c>
      <c r="CA506" s="55">
        <v>0</v>
      </c>
      <c r="CB506" s="55">
        <v>0</v>
      </c>
      <c r="CC506" s="55">
        <v>0</v>
      </c>
      <c r="CD506" s="55">
        <v>0</v>
      </c>
      <c r="CE506" s="19">
        <v>0</v>
      </c>
      <c r="CF506" s="19">
        <v>4.3</v>
      </c>
      <c r="CG506" s="4">
        <v>0</v>
      </c>
      <c r="CH506" s="4">
        <v>0</v>
      </c>
      <c r="CI506" s="4">
        <v>0</v>
      </c>
      <c r="CJ506" s="34">
        <v>0</v>
      </c>
      <c r="CK506" s="34">
        <v>0</v>
      </c>
      <c r="CL506" s="34">
        <v>0</v>
      </c>
      <c r="CM506" s="4">
        <v>0</v>
      </c>
      <c r="CN506" s="53">
        <v>0</v>
      </c>
      <c r="CO506" s="54">
        <v>0</v>
      </c>
      <c r="CP506" s="54">
        <v>0</v>
      </c>
      <c r="CQ506" s="4">
        <v>0</v>
      </c>
    </row>
    <row r="507" spans="1:95" s="55" customFormat="1" x14ac:dyDescent="0.35">
      <c r="A507" s="55">
        <v>506</v>
      </c>
      <c r="B507" s="55" t="s">
        <v>87</v>
      </c>
      <c r="C507" s="27" t="s">
        <v>219</v>
      </c>
      <c r="D507" s="50" t="s">
        <v>94</v>
      </c>
      <c r="E507" s="33" t="s">
        <v>91</v>
      </c>
      <c r="F507" s="4">
        <f>IFERROR(AVERAGEIF(Table1[[#This Row],[2019-Apr]:[2025-July]],"&lt;&gt;0"),0)</f>
        <v>1.9763611111111112</v>
      </c>
      <c r="G507" s="4">
        <f ca="1">IFERROR(AVERAGEIF(OFFSET(Table1[[#This Row],[Status]],0,COUNT(Table1[[#This Row],[2019-May]:[2025-July]]),1,-12),"&lt;&gt;0"),0)</f>
        <v>1.7</v>
      </c>
      <c r="H507" s="55">
        <f>IFERROR(SMALL(Table1[[#This Row],[2019-Apr]:[2025-July]],COUNTIF(Table1[[#This Row],[2019-Apr]:[2025-July]],0)+1),0)</f>
        <v>1.3</v>
      </c>
      <c r="I507" s="55">
        <f>IFERROR(MAX(Table1[[#This Row],[2019-Apr]:[2025-July]]),0)</f>
        <v>2.7519999999999998</v>
      </c>
      <c r="J507" s="4" cm="1">
        <f t="array" ref="J50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1.4718333333333333</v>
      </c>
      <c r="K507" s="4">
        <v>4.5</v>
      </c>
      <c r="L507" s="4">
        <f>IF(Table1[[#This Row],[Standard as per ISO]]&gt;=Table1[[#This Row],[Avg of best 6]],Table1[[#This Row],[Standard as per ISO]],Table1[[#This Row],[Avg of best 6]])</f>
        <v>4.5</v>
      </c>
      <c r="M507" s="4" cm="1">
        <f t="array" ref="M507">IFERROR(LOOKUP(2,1/(Table1[[#This Row],[2019-May]:[2025-July]]&lt;&gt;0),Table1[[#This Row],[2019-May]:[2025-July]]),0)</f>
        <v>1.7</v>
      </c>
      <c r="N507" s="4">
        <f>COUNTIF(Table1[[#This Row],[2019-Apr]:[2025-July]],"&gt;="&amp;Table1[[#This Row],[Target]])</f>
        <v>0</v>
      </c>
      <c r="O507" s="4">
        <f>IF(Table1[[#This Row],[Outliers 2Y]]=0,1,0)</f>
        <v>1</v>
      </c>
      <c r="P507" s="4">
        <f>IF(Table1[[#This Row],[Last value]]&gt;1.5*Table1[[#This Row],[Target]],1,0)</f>
        <v>0</v>
      </c>
      <c r="Q507" s="4">
        <f>IF(AND(1.5*Table1[[#This Row],[Target]]&gt;=Table1[[#This Row],[Last value]],Table1[[#This Row],[Last value]]&gt;Table1[[#This Row],[Target]]),1,0)</f>
        <v>0</v>
      </c>
      <c r="R507" s="4">
        <f>IF(Table1[[#This Row],[Target]]&gt;=Table1[[#This Row],[Last value]],1,0)</f>
        <v>1</v>
      </c>
      <c r="S507" s="4" t="str">
        <f t="shared" si="10"/>
        <v>Green</v>
      </c>
      <c r="T507" s="55">
        <v>0</v>
      </c>
      <c r="U507" s="55">
        <v>0</v>
      </c>
      <c r="V507" s="55">
        <v>0</v>
      </c>
      <c r="W507" s="55">
        <v>2.56</v>
      </c>
      <c r="X507" s="55">
        <v>0</v>
      </c>
      <c r="Y507" s="55">
        <v>0</v>
      </c>
      <c r="Z507" s="55">
        <v>2.2999999999999998</v>
      </c>
      <c r="AA507" s="55">
        <v>2.1</v>
      </c>
      <c r="AB507" s="55">
        <v>1.8</v>
      </c>
      <c r="AC507" s="55">
        <v>1.75</v>
      </c>
      <c r="AD507" s="55">
        <v>0</v>
      </c>
      <c r="AE507" s="55">
        <v>2.5</v>
      </c>
      <c r="AF507" s="55">
        <v>1.9</v>
      </c>
      <c r="AG507" s="55">
        <v>1.81</v>
      </c>
      <c r="AH507" s="55">
        <v>1.9</v>
      </c>
      <c r="AI507" s="55">
        <v>1.89</v>
      </c>
      <c r="AJ507" s="55">
        <v>1.9</v>
      </c>
      <c r="AK507" s="55">
        <v>0</v>
      </c>
      <c r="AL507" s="55">
        <v>1.96</v>
      </c>
      <c r="AM507" s="55">
        <v>0</v>
      </c>
      <c r="AN507" s="55">
        <v>2.42</v>
      </c>
      <c r="AO507" s="55">
        <v>2</v>
      </c>
      <c r="AP507" s="55">
        <v>0</v>
      </c>
      <c r="AQ507" s="55">
        <v>2.21</v>
      </c>
      <c r="AR507" s="8">
        <v>0</v>
      </c>
      <c r="AS507" s="8">
        <v>2.3199999999999998</v>
      </c>
      <c r="AT507" s="8">
        <v>0</v>
      </c>
      <c r="AU507" s="50">
        <v>2.35</v>
      </c>
      <c r="AV507" s="50">
        <v>2.27</v>
      </c>
      <c r="AW507" s="50">
        <v>1.53</v>
      </c>
      <c r="AX507" s="50">
        <v>1.85</v>
      </c>
      <c r="AY507" s="50">
        <v>1.56</v>
      </c>
      <c r="AZ507" s="50">
        <v>0</v>
      </c>
      <c r="BA507" s="50">
        <v>1.3</v>
      </c>
      <c r="BB507" s="50">
        <v>0</v>
      </c>
      <c r="BC507" s="50">
        <v>0</v>
      </c>
      <c r="BD507" s="55">
        <v>1.7</v>
      </c>
      <c r="BE507" s="11">
        <v>1.7909999999999999</v>
      </c>
      <c r="BF507" s="4">
        <v>0</v>
      </c>
      <c r="BG507" s="4">
        <v>0</v>
      </c>
      <c r="BH507" s="4">
        <v>1.931</v>
      </c>
      <c r="BI507" s="4">
        <v>1.5089999999999999</v>
      </c>
      <c r="BJ507" s="14">
        <v>0</v>
      </c>
      <c r="BK507" s="14">
        <v>1.5620000000000001</v>
      </c>
      <c r="BL507" s="4">
        <v>1.69</v>
      </c>
      <c r="BM507" s="17">
        <v>0</v>
      </c>
      <c r="BN507" s="4">
        <v>2.0939999999999999</v>
      </c>
      <c r="BO507" s="4">
        <v>2.7519999999999998</v>
      </c>
      <c r="BP507" s="4">
        <v>2.032</v>
      </c>
      <c r="BQ507" s="4">
        <v>0</v>
      </c>
      <c r="BR507" s="4">
        <v>0</v>
      </c>
      <c r="BS507" s="55">
        <v>2.5179999999999998</v>
      </c>
      <c r="BT507" s="4">
        <v>0</v>
      </c>
      <c r="BU507" s="4">
        <v>1.913</v>
      </c>
      <c r="BV507" s="4">
        <v>0</v>
      </c>
      <c r="BW507" s="4">
        <v>2.407</v>
      </c>
      <c r="BX507" s="4">
        <v>0</v>
      </c>
      <c r="BY507" s="4">
        <v>0</v>
      </c>
      <c r="BZ507" s="55">
        <v>1.37</v>
      </c>
      <c r="CA507" s="55">
        <v>0</v>
      </c>
      <c r="CB507" s="55">
        <v>0</v>
      </c>
      <c r="CC507" s="55">
        <v>0</v>
      </c>
      <c r="CD507" s="55">
        <v>0</v>
      </c>
      <c r="CE507" s="19">
        <v>0</v>
      </c>
      <c r="CF507" s="19">
        <v>1.7</v>
      </c>
      <c r="CG507" s="4">
        <v>0</v>
      </c>
      <c r="CH507" s="4">
        <v>0</v>
      </c>
      <c r="CI507" s="4">
        <v>0</v>
      </c>
      <c r="CJ507" s="34">
        <v>0</v>
      </c>
      <c r="CK507" s="34">
        <v>0</v>
      </c>
      <c r="CL507" s="34">
        <v>0</v>
      </c>
      <c r="CM507" s="4">
        <v>0</v>
      </c>
      <c r="CN507" s="53">
        <v>0</v>
      </c>
      <c r="CO507" s="54">
        <v>0</v>
      </c>
      <c r="CP507" s="54">
        <v>0</v>
      </c>
      <c r="CQ507" s="4">
        <v>0</v>
      </c>
    </row>
    <row r="508" spans="1:95" s="55" customFormat="1" x14ac:dyDescent="0.35">
      <c r="A508" s="55">
        <v>507</v>
      </c>
      <c r="B508" s="55" t="s">
        <v>87</v>
      </c>
      <c r="C508" s="27" t="s">
        <v>220</v>
      </c>
      <c r="D508" s="50" t="s">
        <v>94</v>
      </c>
      <c r="E508" s="33" t="s">
        <v>91</v>
      </c>
      <c r="F508" s="4">
        <f>IFERROR(AVERAGEIF(Table1[[#This Row],[2019-Apr]:[2025-July]],"&lt;&gt;0"),0)</f>
        <v>3.4025925925925922</v>
      </c>
      <c r="G508" s="4">
        <f ca="1">IFERROR(AVERAGEIF(OFFSET(Table1[[#This Row],[Status]],0,COUNT(Table1[[#This Row],[2019-May]:[2025-July]]),1,-12),"&lt;&gt;0"),0)</f>
        <v>3.5750000000000002</v>
      </c>
      <c r="H508" s="55">
        <f>IFERROR(SMALL(Table1[[#This Row],[2019-Apr]:[2025-July]],COUNTIF(Table1[[#This Row],[2019-Apr]:[2025-July]],0)+1),0)</f>
        <v>1.968</v>
      </c>
      <c r="I508" s="55">
        <f>IFERROR(MAX(Table1[[#This Row],[2019-Apr]:[2025-July]]),0)</f>
        <v>7.04</v>
      </c>
      <c r="J508" s="4" cm="1">
        <f t="array" ref="J50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2.3031666666666664</v>
      </c>
      <c r="K508" s="4">
        <v>4.5</v>
      </c>
      <c r="L508" s="4">
        <f>IF(Table1[[#This Row],[Standard as per ISO]]&gt;=Table1[[#This Row],[Avg of best 6]],Table1[[#This Row],[Standard as per ISO]],Table1[[#This Row],[Avg of best 6]])</f>
        <v>4.5</v>
      </c>
      <c r="M508" s="4" cm="1">
        <f t="array" ref="M508">IFERROR(LOOKUP(2,1/(Table1[[#This Row],[2019-May]:[2025-July]]&lt;&gt;0),Table1[[#This Row],[2019-May]:[2025-July]]),0)</f>
        <v>2.75</v>
      </c>
      <c r="N508" s="4">
        <f>COUNTIF(Table1[[#This Row],[2019-Apr]:[2025-July]],"&gt;="&amp;Table1[[#This Row],[Target]])</f>
        <v>5</v>
      </c>
      <c r="O508" s="4">
        <f>IF(Table1[[#This Row],[Outliers 2Y]]=0,1,0)</f>
        <v>0</v>
      </c>
      <c r="P508" s="4">
        <f>IF(Table1[[#This Row],[Last value]]&gt;1.5*Table1[[#This Row],[Target]],1,0)</f>
        <v>0</v>
      </c>
      <c r="Q508" s="4">
        <f>IF(AND(1.5*Table1[[#This Row],[Target]]&gt;=Table1[[#This Row],[Last value]],Table1[[#This Row],[Last value]]&gt;Table1[[#This Row],[Target]]),1,0)</f>
        <v>0</v>
      </c>
      <c r="R508" s="4">
        <f>IF(Table1[[#This Row],[Target]]&gt;=Table1[[#This Row],[Last value]],1,0)</f>
        <v>1</v>
      </c>
      <c r="S508" s="4" t="str">
        <f t="shared" si="10"/>
        <v>Green</v>
      </c>
      <c r="T508" s="55">
        <v>0</v>
      </c>
      <c r="U508" s="55">
        <v>5.01</v>
      </c>
      <c r="V508" s="55">
        <v>4.7699999999999996</v>
      </c>
      <c r="W508" s="55">
        <v>0</v>
      </c>
      <c r="X508" s="55">
        <v>0</v>
      </c>
      <c r="Y508" s="55">
        <v>6.14</v>
      </c>
      <c r="Z508" s="55">
        <v>0</v>
      </c>
      <c r="AA508" s="55">
        <v>0</v>
      </c>
      <c r="AB508" s="55">
        <v>0</v>
      </c>
      <c r="AC508" s="55">
        <v>0</v>
      </c>
      <c r="AD508" s="55">
        <v>5.29</v>
      </c>
      <c r="AE508" s="55">
        <v>0</v>
      </c>
      <c r="AF508" s="55">
        <v>0</v>
      </c>
      <c r="AG508" s="55">
        <v>0</v>
      </c>
      <c r="AH508" s="55">
        <v>0</v>
      </c>
      <c r="AI508" s="55">
        <v>0</v>
      </c>
      <c r="AJ508" s="55">
        <v>0</v>
      </c>
      <c r="AK508" s="55">
        <v>7.04</v>
      </c>
      <c r="AL508" s="55">
        <v>0</v>
      </c>
      <c r="AM508" s="55">
        <v>3.84</v>
      </c>
      <c r="AN508" s="55">
        <v>4.3600000000000003</v>
      </c>
      <c r="AO508" s="55">
        <v>2.6</v>
      </c>
      <c r="AP508" s="55">
        <v>2.71</v>
      </c>
      <c r="AQ508" s="55">
        <v>0</v>
      </c>
      <c r="AR508" s="8">
        <v>0</v>
      </c>
      <c r="AS508" s="8">
        <v>2.74</v>
      </c>
      <c r="AT508" s="8">
        <v>0</v>
      </c>
      <c r="AU508" s="50">
        <v>0</v>
      </c>
      <c r="AV508" s="50">
        <v>2.83</v>
      </c>
      <c r="AW508" s="50">
        <v>2.7</v>
      </c>
      <c r="AX508" s="50">
        <v>0</v>
      </c>
      <c r="AY508" s="50">
        <v>0</v>
      </c>
      <c r="AZ508" s="50">
        <v>2.72</v>
      </c>
      <c r="BA508" s="50">
        <v>0</v>
      </c>
      <c r="BB508" s="50">
        <v>0</v>
      </c>
      <c r="BC508" s="55">
        <v>2.6</v>
      </c>
      <c r="BD508" s="55">
        <v>0</v>
      </c>
      <c r="BE508" s="11">
        <v>0</v>
      </c>
      <c r="BF508" s="4">
        <v>0</v>
      </c>
      <c r="BG508" s="4">
        <v>3.08</v>
      </c>
      <c r="BH508" s="4">
        <v>2.7360000000000002</v>
      </c>
      <c r="BI508" s="4">
        <v>0</v>
      </c>
      <c r="BJ508" s="13">
        <v>3.823</v>
      </c>
      <c r="BK508" s="13">
        <v>0</v>
      </c>
      <c r="BL508" s="4">
        <v>0</v>
      </c>
      <c r="BM508" s="16">
        <v>2.0419999999999998</v>
      </c>
      <c r="BN508" s="4">
        <v>0</v>
      </c>
      <c r="BO508" s="4">
        <v>2.573</v>
      </c>
      <c r="BP508" s="4">
        <v>1.968</v>
      </c>
      <c r="BQ508" s="4">
        <v>2.4950000000000001</v>
      </c>
      <c r="BR508" s="4">
        <v>2.4359999999999999</v>
      </c>
      <c r="BS508" s="55">
        <v>0</v>
      </c>
      <c r="BT508" s="4">
        <v>0</v>
      </c>
      <c r="BU508" s="4">
        <v>0</v>
      </c>
      <c r="BV508" s="4">
        <v>2.3050000000000002</v>
      </c>
      <c r="BW508" s="4">
        <v>0</v>
      </c>
      <c r="BX508" s="4">
        <v>3.07</v>
      </c>
      <c r="BY508" s="4">
        <v>2.8420000000000001</v>
      </c>
      <c r="BZ508" s="55">
        <v>0</v>
      </c>
      <c r="CA508" s="55">
        <v>0</v>
      </c>
      <c r="CB508" s="55">
        <v>0</v>
      </c>
      <c r="CC508" s="55">
        <v>0</v>
      </c>
      <c r="CD508" s="55">
        <v>0</v>
      </c>
      <c r="CE508" s="19">
        <v>4.4000000000000004</v>
      </c>
      <c r="CF508" s="19">
        <v>0</v>
      </c>
      <c r="CG508" s="4">
        <v>0</v>
      </c>
      <c r="CH508" s="4">
        <v>0</v>
      </c>
      <c r="CI508" s="4">
        <v>2.75</v>
      </c>
      <c r="CJ508" s="34">
        <v>0</v>
      </c>
      <c r="CK508" s="34">
        <v>0</v>
      </c>
      <c r="CL508" s="34">
        <v>0</v>
      </c>
      <c r="CM508" s="4">
        <v>0</v>
      </c>
      <c r="CN508" s="53">
        <v>0</v>
      </c>
      <c r="CO508" s="54">
        <v>0</v>
      </c>
      <c r="CP508" s="54">
        <v>0</v>
      </c>
      <c r="CQ508" s="4">
        <v>0</v>
      </c>
    </row>
    <row r="509" spans="1:95" s="55" customFormat="1" x14ac:dyDescent="0.35">
      <c r="A509" s="55">
        <v>508</v>
      </c>
      <c r="B509" s="55" t="s">
        <v>87</v>
      </c>
      <c r="C509" s="27" t="s">
        <v>221</v>
      </c>
      <c r="D509" s="50" t="s">
        <v>94</v>
      </c>
      <c r="E509" s="33" t="s">
        <v>89</v>
      </c>
      <c r="F509" s="4">
        <f>IFERROR(AVERAGEIF(Table1[[#This Row],[2019-Apr]:[2025-July]],"&lt;&gt;0"),0)</f>
        <v>6.9852972972972989</v>
      </c>
      <c r="G509" s="4">
        <f ca="1">IFERROR(AVERAGEIF(OFFSET(Table1[[#This Row],[Status]],0,COUNT(Table1[[#This Row],[2019-May]:[2025-July]]),1,-12),"&lt;&gt;0"),0)</f>
        <v>6.805714285714286</v>
      </c>
      <c r="H509" s="55">
        <f>IFERROR(SMALL(Table1[[#This Row],[2019-Apr]:[2025-July]],COUNTIF(Table1[[#This Row],[2019-Apr]:[2025-July]],0)+1),0)</f>
        <v>3.4390000000000001</v>
      </c>
      <c r="I509" s="55">
        <f>IFERROR(MAX(Table1[[#This Row],[2019-Apr]:[2025-July]]),0)</f>
        <v>14.4</v>
      </c>
      <c r="J509" s="4" cm="1">
        <f t="array" ref="J50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3.7490000000000001</v>
      </c>
      <c r="K509" s="4">
        <v>4.5</v>
      </c>
      <c r="L509" s="4">
        <f>IF(Table1[[#This Row],[Standard as per ISO]]&gt;=Table1[[#This Row],[Avg of best 6]],Table1[[#This Row],[Standard as per ISO]],Table1[[#This Row],[Avg of best 6]])</f>
        <v>4.5</v>
      </c>
      <c r="M509" s="4" cm="1">
        <f t="array" ref="M509">IFERROR(LOOKUP(2,1/(Table1[[#This Row],[2019-May]:[2025-July]]&lt;&gt;0),Table1[[#This Row],[2019-May]:[2025-July]]),0)</f>
        <v>9.6</v>
      </c>
      <c r="N509" s="4">
        <f>COUNTIF(Table1[[#This Row],[2019-Apr]:[2025-July]],"&gt;="&amp;Table1[[#This Row],[Target]])</f>
        <v>30</v>
      </c>
      <c r="O509" s="4">
        <f>IF(Table1[[#This Row],[Outliers 2Y]]=0,1,0)</f>
        <v>0</v>
      </c>
      <c r="P509" s="4">
        <f>IF(Table1[[#This Row],[Last value]]&gt;1.5*Table1[[#This Row],[Target]],1,0)</f>
        <v>1</v>
      </c>
      <c r="Q509" s="4">
        <f>IF(AND(1.5*Table1[[#This Row],[Target]]&gt;=Table1[[#This Row],[Last value]],Table1[[#This Row],[Last value]]&gt;Table1[[#This Row],[Target]]),1,0)</f>
        <v>0</v>
      </c>
      <c r="R509" s="4">
        <f>IF(Table1[[#This Row],[Target]]&gt;=Table1[[#This Row],[Last value]],1,0)</f>
        <v>0</v>
      </c>
      <c r="S509" s="4" t="str">
        <f t="shared" si="10"/>
        <v>Red</v>
      </c>
      <c r="T509" s="55">
        <v>14.4</v>
      </c>
      <c r="U509" s="55">
        <v>0</v>
      </c>
      <c r="V509" s="55">
        <v>0</v>
      </c>
      <c r="W509" s="55">
        <v>0</v>
      </c>
      <c r="X509" s="55">
        <v>0</v>
      </c>
      <c r="Y509" s="55">
        <v>12.8</v>
      </c>
      <c r="Z509" s="55">
        <v>0</v>
      </c>
      <c r="AA509" s="55">
        <v>0</v>
      </c>
      <c r="AB509" s="55">
        <v>9.1</v>
      </c>
      <c r="AC509" s="55">
        <v>9.9</v>
      </c>
      <c r="AD509" s="55">
        <v>0</v>
      </c>
      <c r="AE509" s="55">
        <v>10.5</v>
      </c>
      <c r="AF509" s="55">
        <v>12.4</v>
      </c>
      <c r="AG509" s="55">
        <v>0</v>
      </c>
      <c r="AH509" s="55">
        <v>6.2</v>
      </c>
      <c r="AI509" s="55">
        <v>6.2</v>
      </c>
      <c r="AJ509" s="55">
        <v>0</v>
      </c>
      <c r="AK509" s="55">
        <v>0</v>
      </c>
      <c r="AL509" s="55">
        <v>0</v>
      </c>
      <c r="AM509" s="55">
        <v>7.41</v>
      </c>
      <c r="AN509" s="55">
        <v>0</v>
      </c>
      <c r="AO509" s="55">
        <v>0</v>
      </c>
      <c r="AP509" s="55">
        <v>9.65</v>
      </c>
      <c r="AQ509" s="55">
        <v>8.31</v>
      </c>
      <c r="AR509" s="8">
        <v>0</v>
      </c>
      <c r="AS509" s="8">
        <v>9.2799999999999994</v>
      </c>
      <c r="AT509" s="8">
        <v>0</v>
      </c>
      <c r="AU509" s="50">
        <v>6.02</v>
      </c>
      <c r="AV509" s="50">
        <v>5.44</v>
      </c>
      <c r="AW509" s="50">
        <v>5.74</v>
      </c>
      <c r="AX509" s="50">
        <v>5.78</v>
      </c>
      <c r="AY509" s="50">
        <v>7.84</v>
      </c>
      <c r="AZ509" s="50">
        <v>0</v>
      </c>
      <c r="BA509" s="50">
        <v>5.4</v>
      </c>
      <c r="BB509" s="50">
        <v>0</v>
      </c>
      <c r="BC509" s="55">
        <v>5.0999999999999996</v>
      </c>
      <c r="BD509" s="55">
        <v>7</v>
      </c>
      <c r="BE509" s="11">
        <v>3.6030000000000002</v>
      </c>
      <c r="BF509" s="4">
        <v>0</v>
      </c>
      <c r="BG509" s="4">
        <v>0</v>
      </c>
      <c r="BH509" s="4">
        <v>4.6319999999999997</v>
      </c>
      <c r="BI509" s="4">
        <v>0</v>
      </c>
      <c r="BJ509" s="14">
        <v>0</v>
      </c>
      <c r="BK509" s="14">
        <v>0</v>
      </c>
      <c r="BL509" s="4">
        <v>3.9260000000000002</v>
      </c>
      <c r="BM509" s="17">
        <v>0</v>
      </c>
      <c r="BN509" s="4">
        <v>0</v>
      </c>
      <c r="BO509" s="4">
        <v>3.7789999999999999</v>
      </c>
      <c r="BP509" s="4">
        <v>3.903</v>
      </c>
      <c r="BQ509" s="4">
        <v>3.8439999999999999</v>
      </c>
      <c r="BR509" s="4">
        <v>3.4390000000000001</v>
      </c>
      <c r="BS509" s="55">
        <v>0</v>
      </c>
      <c r="BT509" s="4">
        <v>0</v>
      </c>
      <c r="BU509" s="4">
        <v>0</v>
      </c>
      <c r="BV509" s="4">
        <v>5.5490000000000004</v>
      </c>
      <c r="BW509" s="4">
        <v>6.3230000000000004</v>
      </c>
      <c r="BX509" s="4">
        <v>7.3479999999999999</v>
      </c>
      <c r="BY509" s="4">
        <v>0</v>
      </c>
      <c r="BZ509" s="55">
        <v>0</v>
      </c>
      <c r="CA509" s="55">
        <v>0</v>
      </c>
      <c r="CB509" s="55">
        <v>0</v>
      </c>
      <c r="CC509" s="55">
        <v>0</v>
      </c>
      <c r="CD509" s="55">
        <v>0</v>
      </c>
      <c r="CE509" s="19">
        <v>4.0999999999999996</v>
      </c>
      <c r="CF509" s="19">
        <v>0</v>
      </c>
      <c r="CG509" s="4">
        <v>0</v>
      </c>
      <c r="CH509" s="4">
        <v>0</v>
      </c>
      <c r="CI509" s="4">
        <v>5.74</v>
      </c>
      <c r="CJ509" s="34">
        <v>0</v>
      </c>
      <c r="CK509" s="34">
        <v>9.1999999999999993</v>
      </c>
      <c r="CL509" s="27">
        <v>7.3</v>
      </c>
      <c r="CM509" s="4">
        <v>5.4</v>
      </c>
      <c r="CN509" s="53">
        <v>0</v>
      </c>
      <c r="CO509" s="54">
        <v>6.3</v>
      </c>
      <c r="CP509" s="54">
        <v>9.6</v>
      </c>
      <c r="CQ509" s="4">
        <v>0</v>
      </c>
    </row>
    <row r="510" spans="1:95" s="55" customFormat="1" x14ac:dyDescent="0.35">
      <c r="A510" s="55">
        <v>509</v>
      </c>
      <c r="B510" s="55" t="s">
        <v>87</v>
      </c>
      <c r="C510" s="27" t="s">
        <v>222</v>
      </c>
      <c r="D510" s="50" t="s">
        <v>94</v>
      </c>
      <c r="E510" s="33" t="s">
        <v>89</v>
      </c>
      <c r="F510" s="4">
        <f>IFERROR(AVERAGEIF(Table1[[#This Row],[2019-Apr]:[2025-July]],"&lt;&gt;0"),0)</f>
        <v>6.3063409090909097</v>
      </c>
      <c r="G510" s="4">
        <f ca="1">IFERROR(AVERAGEIF(OFFSET(Table1[[#This Row],[Status]],0,COUNT(Table1[[#This Row],[2019-May]:[2025-July]]),1,-12),"&lt;&gt;0"),0)</f>
        <v>7.9580000000000002</v>
      </c>
      <c r="H510" s="55">
        <f>IFERROR(SMALL(Table1[[#This Row],[2019-Apr]:[2025-July]],COUNTIF(Table1[[#This Row],[2019-Apr]:[2025-July]],0)+1),0)</f>
        <v>3.371</v>
      </c>
      <c r="I510" s="55">
        <f>IFERROR(MAX(Table1[[#This Row],[2019-Apr]:[2025-July]]),0)</f>
        <v>13.4</v>
      </c>
      <c r="J510" s="4" cm="1">
        <f t="array" ref="J51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3.621</v>
      </c>
      <c r="K510" s="4">
        <v>4.5</v>
      </c>
      <c r="L510" s="4">
        <f>IF(Table1[[#This Row],[Standard as per ISO]]&gt;=Table1[[#This Row],[Avg of best 6]],Table1[[#This Row],[Standard as per ISO]],Table1[[#This Row],[Avg of best 6]])</f>
        <v>4.5</v>
      </c>
      <c r="M510" s="4" cm="1">
        <f t="array" ref="M510">IFERROR(LOOKUP(2,1/(Table1[[#This Row],[2019-May]:[2025-July]]&lt;&gt;0),Table1[[#This Row],[2019-May]:[2025-July]]),0)</f>
        <v>3.6</v>
      </c>
      <c r="N510" s="4">
        <f>COUNTIF(Table1[[#This Row],[2019-Apr]:[2025-July]],"&gt;="&amp;Table1[[#This Row],[Target]])</f>
        <v>32</v>
      </c>
      <c r="O510" s="4">
        <f>IF(Table1[[#This Row],[Outliers 2Y]]=0,1,0)</f>
        <v>0</v>
      </c>
      <c r="P510" s="4">
        <f>IF(Table1[[#This Row],[Last value]]&gt;1.5*Table1[[#This Row],[Target]],1,0)</f>
        <v>0</v>
      </c>
      <c r="Q510" s="4">
        <f>IF(AND(1.5*Table1[[#This Row],[Target]]&gt;=Table1[[#This Row],[Last value]],Table1[[#This Row],[Last value]]&gt;Table1[[#This Row],[Target]]),1,0)</f>
        <v>0</v>
      </c>
      <c r="R510" s="4">
        <f>IF(Table1[[#This Row],[Target]]&gt;=Table1[[#This Row],[Last value]],1,0)</f>
        <v>1</v>
      </c>
      <c r="S510" s="4" t="str">
        <f t="shared" si="10"/>
        <v>Green</v>
      </c>
      <c r="T510" s="55">
        <v>0</v>
      </c>
      <c r="U510" s="55">
        <v>5.46</v>
      </c>
      <c r="V510" s="55">
        <v>4.29</v>
      </c>
      <c r="W510" s="55">
        <v>7.97</v>
      </c>
      <c r="X510" s="55">
        <v>0</v>
      </c>
      <c r="Y510" s="55">
        <v>0</v>
      </c>
      <c r="Z510" s="55">
        <v>11.7</v>
      </c>
      <c r="AA510" s="55">
        <v>9.8000000000000007</v>
      </c>
      <c r="AB510" s="55">
        <v>9.3000000000000007</v>
      </c>
      <c r="AC510" s="55">
        <v>0</v>
      </c>
      <c r="AD510" s="55">
        <v>10</v>
      </c>
      <c r="AE510" s="55">
        <v>0</v>
      </c>
      <c r="AF510" s="55">
        <v>0</v>
      </c>
      <c r="AG510" s="55">
        <v>6.65</v>
      </c>
      <c r="AH510" s="55">
        <v>5.6</v>
      </c>
      <c r="AI510" s="55">
        <v>8.49</v>
      </c>
      <c r="AJ510" s="55">
        <v>6.18</v>
      </c>
      <c r="AK510" s="55">
        <v>6.19</v>
      </c>
      <c r="AL510" s="55">
        <v>6.37</v>
      </c>
      <c r="AM510" s="55">
        <v>0</v>
      </c>
      <c r="AN510" s="55">
        <v>5.63</v>
      </c>
      <c r="AO510" s="55">
        <v>6.76</v>
      </c>
      <c r="AP510" s="55">
        <v>0</v>
      </c>
      <c r="AQ510" s="55">
        <v>0</v>
      </c>
      <c r="AR510" s="8">
        <v>0</v>
      </c>
      <c r="AS510" s="8">
        <v>0</v>
      </c>
      <c r="AT510" s="8">
        <v>0</v>
      </c>
      <c r="AU510" s="50">
        <v>6.75</v>
      </c>
      <c r="AV510" s="50">
        <v>7.57</v>
      </c>
      <c r="AW510" s="50">
        <v>5.72</v>
      </c>
      <c r="AX510" s="50">
        <v>7.75</v>
      </c>
      <c r="AY510" s="50">
        <v>0</v>
      </c>
      <c r="AZ510" s="50">
        <v>9.83</v>
      </c>
      <c r="BA510" s="50">
        <v>0</v>
      </c>
      <c r="BB510" s="50">
        <v>6.8</v>
      </c>
      <c r="BC510" s="55">
        <v>7.1</v>
      </c>
      <c r="BD510" s="55">
        <v>0</v>
      </c>
      <c r="BE510" s="11">
        <v>3.8029999999999999</v>
      </c>
      <c r="BF510" s="4">
        <v>0</v>
      </c>
      <c r="BG510" s="4">
        <v>6.21</v>
      </c>
      <c r="BH510" s="4">
        <v>4.4029999999999996</v>
      </c>
      <c r="BI510" s="4">
        <v>3.621</v>
      </c>
      <c r="BJ510" s="13">
        <v>3.371</v>
      </c>
      <c r="BK510" s="13">
        <v>3.8780000000000001</v>
      </c>
      <c r="BL510" s="4">
        <v>4.1239999999999997</v>
      </c>
      <c r="BM510" s="16">
        <v>3.6429999999999998</v>
      </c>
      <c r="BN510" s="4">
        <v>4.3280000000000003</v>
      </c>
      <c r="BO510" s="4">
        <v>3.6880000000000002</v>
      </c>
      <c r="BP510" s="4">
        <v>4.5620000000000003</v>
      </c>
      <c r="BQ510" s="4">
        <v>0</v>
      </c>
      <c r="BR510" s="4">
        <v>0</v>
      </c>
      <c r="BS510" s="55">
        <v>4.4370000000000003</v>
      </c>
      <c r="BT510" s="4">
        <v>4.5119999999999996</v>
      </c>
      <c r="BU510" s="4">
        <v>8.1050000000000004</v>
      </c>
      <c r="BV510" s="4">
        <v>0</v>
      </c>
      <c r="BW510" s="4">
        <v>0</v>
      </c>
      <c r="BX510" s="4">
        <v>0</v>
      </c>
      <c r="BY510" s="4">
        <v>4.9039999999999999</v>
      </c>
      <c r="BZ510" s="55">
        <v>4.59</v>
      </c>
      <c r="CA510" s="55">
        <v>0</v>
      </c>
      <c r="CB510" s="55">
        <v>0</v>
      </c>
      <c r="CC510" s="55">
        <v>0</v>
      </c>
      <c r="CD510" s="55">
        <v>0</v>
      </c>
      <c r="CE510" s="19">
        <v>0</v>
      </c>
      <c r="CF510" s="19">
        <v>4.5</v>
      </c>
      <c r="CG510" s="4">
        <v>0</v>
      </c>
      <c r="CH510" s="4">
        <v>0</v>
      </c>
      <c r="CI510" s="4">
        <v>0</v>
      </c>
      <c r="CJ510" s="34">
        <v>0</v>
      </c>
      <c r="CK510" s="34">
        <v>13.4</v>
      </c>
      <c r="CL510" s="43">
        <v>0</v>
      </c>
      <c r="CM510" s="4">
        <v>0</v>
      </c>
      <c r="CN510" s="53">
        <v>11.09</v>
      </c>
      <c r="CO510" s="54">
        <v>5.2</v>
      </c>
      <c r="CP510" s="54">
        <v>5.6</v>
      </c>
      <c r="CQ510" s="4">
        <v>3.6</v>
      </c>
    </row>
    <row r="511" spans="1:95" s="55" customFormat="1" x14ac:dyDescent="0.35">
      <c r="A511" s="55">
        <v>510</v>
      </c>
      <c r="B511" s="55" t="s">
        <v>87</v>
      </c>
      <c r="C511" s="27" t="s">
        <v>223</v>
      </c>
      <c r="D511" s="50" t="s">
        <v>94</v>
      </c>
      <c r="E511" s="33" t="s">
        <v>89</v>
      </c>
      <c r="F511" s="4">
        <f>IFERROR(AVERAGEIF(Table1[[#This Row],[2019-Apr]:[2025-July]],"&lt;&gt;0"),0)</f>
        <v>3.3829799999999999</v>
      </c>
      <c r="G511" s="4">
        <f ca="1">IFERROR(AVERAGEIF(OFFSET(Table1[[#This Row],[Status]],0,COUNT(Table1[[#This Row],[2019-May]:[2025-July]]),1,-12),"&lt;&gt;0"),0)</f>
        <v>4.0487500000000001</v>
      </c>
      <c r="H511" s="55">
        <f>IFERROR(SMALL(Table1[[#This Row],[2019-Apr]:[2025-July]],COUNTIF(Table1[[#This Row],[2019-Apr]:[2025-July]],0)+1),0)</f>
        <v>1.81</v>
      </c>
      <c r="I511" s="55">
        <f>IFERROR(MAX(Table1[[#This Row],[2019-Apr]:[2025-July]]),0)</f>
        <v>8.34</v>
      </c>
      <c r="J511" s="4" cm="1">
        <f t="array" ref="J51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1.9616666666666667</v>
      </c>
      <c r="K511" s="4">
        <v>4.5</v>
      </c>
      <c r="L511" s="4">
        <f>IF(Table1[[#This Row],[Standard as per ISO]]&gt;=Table1[[#This Row],[Avg of best 6]],Table1[[#This Row],[Standard as per ISO]],Table1[[#This Row],[Avg of best 6]])</f>
        <v>4.5</v>
      </c>
      <c r="M511" s="4" cm="1">
        <f t="array" ref="M511">IFERROR(LOOKUP(2,1/(Table1[[#This Row],[2019-May]:[2025-July]]&lt;&gt;0),Table1[[#This Row],[2019-May]:[2025-July]]),0)</f>
        <v>3.53</v>
      </c>
      <c r="N511" s="4">
        <f>COUNTIF(Table1[[#This Row],[2019-Apr]:[2025-July]],"&gt;="&amp;Table1[[#This Row],[Target]])</f>
        <v>6</v>
      </c>
      <c r="O511" s="4">
        <f>IF(Table1[[#This Row],[Outliers 2Y]]=0,1,0)</f>
        <v>0</v>
      </c>
      <c r="P511" s="4">
        <f>IF(Table1[[#This Row],[Last value]]&gt;1.5*Table1[[#This Row],[Target]],1,0)</f>
        <v>0</v>
      </c>
      <c r="Q511" s="4">
        <f>IF(AND(1.5*Table1[[#This Row],[Target]]&gt;=Table1[[#This Row],[Last value]],Table1[[#This Row],[Last value]]&gt;Table1[[#This Row],[Target]]),1,0)</f>
        <v>0</v>
      </c>
      <c r="R511" s="4">
        <f>IF(Table1[[#This Row],[Target]]&gt;=Table1[[#This Row],[Last value]],1,0)</f>
        <v>1</v>
      </c>
      <c r="S511" s="4" t="str">
        <f t="shared" si="10"/>
        <v>Green</v>
      </c>
      <c r="T511" s="55">
        <v>0</v>
      </c>
      <c r="U511" s="55">
        <v>1.99</v>
      </c>
      <c r="V511" s="55">
        <v>2.38</v>
      </c>
      <c r="W511" s="55">
        <v>0</v>
      </c>
      <c r="X511" s="55">
        <v>0</v>
      </c>
      <c r="Y511" s="55">
        <v>0</v>
      </c>
      <c r="Z511" s="55">
        <v>2</v>
      </c>
      <c r="AA511" s="55">
        <v>1.83</v>
      </c>
      <c r="AB511" s="55">
        <v>2.19</v>
      </c>
      <c r="AC511" s="55">
        <v>2.2999999999999998</v>
      </c>
      <c r="AD511" s="55">
        <v>2.81</v>
      </c>
      <c r="AE511" s="55">
        <v>3</v>
      </c>
      <c r="AF511" s="55">
        <v>2.14</v>
      </c>
      <c r="AG511" s="55">
        <v>2</v>
      </c>
      <c r="AH511" s="55">
        <v>4.42</v>
      </c>
      <c r="AI511" s="55">
        <v>1.81</v>
      </c>
      <c r="AJ511" s="55">
        <v>0</v>
      </c>
      <c r="AK511" s="55">
        <v>5.21</v>
      </c>
      <c r="AL511" s="55">
        <v>2.89</v>
      </c>
      <c r="AM511" s="55">
        <v>4.33</v>
      </c>
      <c r="AN511" s="55">
        <v>0</v>
      </c>
      <c r="AO511" s="55">
        <v>2.25</v>
      </c>
      <c r="AP511" s="55">
        <v>3.68</v>
      </c>
      <c r="AQ511" s="55">
        <v>4.5</v>
      </c>
      <c r="AR511" s="8">
        <v>3.75</v>
      </c>
      <c r="AS511" s="8">
        <v>3.93</v>
      </c>
      <c r="AT511" s="8">
        <v>0</v>
      </c>
      <c r="AU511" s="50">
        <v>0</v>
      </c>
      <c r="AV511" s="50">
        <v>0</v>
      </c>
      <c r="AW511" s="50">
        <v>3.54</v>
      </c>
      <c r="AX511" s="50">
        <v>3</v>
      </c>
      <c r="AY511" s="50">
        <v>2.57</v>
      </c>
      <c r="AZ511" s="50">
        <v>3.79</v>
      </c>
      <c r="BA511" s="50">
        <v>4.8</v>
      </c>
      <c r="BB511" s="50">
        <v>3.7</v>
      </c>
      <c r="BC511" s="55">
        <v>4</v>
      </c>
      <c r="BD511" s="55">
        <v>3.9</v>
      </c>
      <c r="BE511" s="11">
        <v>6.1710000000000003</v>
      </c>
      <c r="BF511" s="4">
        <v>0</v>
      </c>
      <c r="BG511" s="4">
        <v>0</v>
      </c>
      <c r="BH511" s="4">
        <v>0</v>
      </c>
      <c r="BI511" s="4">
        <v>0</v>
      </c>
      <c r="BJ511" s="14">
        <v>0</v>
      </c>
      <c r="BK511" s="14">
        <v>0</v>
      </c>
      <c r="BL511" s="4">
        <v>2.3010000000000002</v>
      </c>
      <c r="BM511" s="17">
        <v>0</v>
      </c>
      <c r="BN511" s="4">
        <v>3.169</v>
      </c>
      <c r="BO511" s="4">
        <v>0</v>
      </c>
      <c r="BP511" s="4">
        <v>4.6360000000000001</v>
      </c>
      <c r="BQ511" s="4">
        <v>0</v>
      </c>
      <c r="BR511" s="4">
        <v>3.3109999999999999</v>
      </c>
      <c r="BS511" s="55">
        <v>2.42</v>
      </c>
      <c r="BT511" s="4">
        <v>0</v>
      </c>
      <c r="BU511" s="4">
        <v>2.7949999999999999</v>
      </c>
      <c r="BV511" s="4">
        <v>3.4660000000000002</v>
      </c>
      <c r="BW511" s="4">
        <v>0</v>
      </c>
      <c r="BX511" s="4">
        <v>2.96</v>
      </c>
      <c r="BY511" s="4">
        <v>0</v>
      </c>
      <c r="BZ511" s="55">
        <v>3.01</v>
      </c>
      <c r="CA511" s="55">
        <v>3.08</v>
      </c>
      <c r="CB511" s="55">
        <v>4.1500000000000004</v>
      </c>
      <c r="CC511" s="55">
        <v>3.05</v>
      </c>
      <c r="CD511" s="55">
        <v>0</v>
      </c>
      <c r="CE511" s="19">
        <v>0</v>
      </c>
      <c r="CF511" s="19">
        <v>2.7</v>
      </c>
      <c r="CG511" s="4">
        <v>0</v>
      </c>
      <c r="CH511" s="4">
        <v>0</v>
      </c>
      <c r="CI511" s="4">
        <v>3.25</v>
      </c>
      <c r="CJ511" s="34">
        <v>0</v>
      </c>
      <c r="CK511" s="34">
        <v>4.3</v>
      </c>
      <c r="CL511" s="43">
        <v>3</v>
      </c>
      <c r="CM511" s="4">
        <v>3.7</v>
      </c>
      <c r="CN511" s="53">
        <v>8.34</v>
      </c>
      <c r="CO511" s="54">
        <v>4.0999999999999996</v>
      </c>
      <c r="CP511" s="54">
        <v>3</v>
      </c>
      <c r="CQ511" s="4">
        <v>3.53</v>
      </c>
    </row>
    <row r="512" spans="1:95" s="55" customFormat="1" x14ac:dyDescent="0.35">
      <c r="A512" s="55">
        <v>511</v>
      </c>
      <c r="B512" s="55" t="s">
        <v>87</v>
      </c>
      <c r="C512" s="27" t="s">
        <v>224</v>
      </c>
      <c r="D512" s="50" t="s">
        <v>94</v>
      </c>
      <c r="E512" s="33" t="s">
        <v>89</v>
      </c>
      <c r="F512" s="4">
        <f>IFERROR(AVERAGEIF(Table1[[#This Row],[2019-Apr]:[2025-July]],"&lt;&gt;0"),0)</f>
        <v>4.8070238095238107</v>
      </c>
      <c r="G512" s="4">
        <f ca="1">IFERROR(AVERAGEIF(OFFSET(Table1[[#This Row],[Status]],0,COUNT(Table1[[#This Row],[2019-May]:[2025-July]]),1,-12),"&lt;&gt;0"),0)</f>
        <v>3.9474999999999998</v>
      </c>
      <c r="H512" s="55">
        <f>IFERROR(SMALL(Table1[[#This Row],[2019-Apr]:[2025-July]],COUNTIF(Table1[[#This Row],[2019-Apr]:[2025-July]],0)+1),0)</f>
        <v>2.37</v>
      </c>
      <c r="I512" s="55">
        <f>IFERROR(MAX(Table1[[#This Row],[2019-Apr]:[2025-July]]),0)</f>
        <v>14</v>
      </c>
      <c r="J512" s="4" cm="1">
        <f t="array" ref="J51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2.6613333333333329</v>
      </c>
      <c r="K512" s="4">
        <v>4.5</v>
      </c>
      <c r="L512" s="4">
        <f>IF(Table1[[#This Row],[Standard as per ISO]]&gt;=Table1[[#This Row],[Avg of best 6]],Table1[[#This Row],[Standard as per ISO]],Table1[[#This Row],[Avg of best 6]])</f>
        <v>4.5</v>
      </c>
      <c r="M512" s="4" cm="1">
        <f t="array" ref="M512">IFERROR(LOOKUP(2,1/(Table1[[#This Row],[2019-May]:[2025-July]]&lt;&gt;0),Table1[[#This Row],[2019-May]:[2025-July]]),0)</f>
        <v>2.37</v>
      </c>
      <c r="N512" s="4">
        <f>COUNTIF(Table1[[#This Row],[2019-Apr]:[2025-July]],"&gt;="&amp;Table1[[#This Row],[Target]])</f>
        <v>16</v>
      </c>
      <c r="O512" s="4">
        <f>IF(Table1[[#This Row],[Outliers 2Y]]=0,1,0)</f>
        <v>0</v>
      </c>
      <c r="P512" s="4">
        <f>IF(Table1[[#This Row],[Last value]]&gt;1.5*Table1[[#This Row],[Target]],1,0)</f>
        <v>0</v>
      </c>
      <c r="Q512" s="4">
        <f>IF(AND(1.5*Table1[[#This Row],[Target]]&gt;=Table1[[#This Row],[Last value]],Table1[[#This Row],[Last value]]&gt;Table1[[#This Row],[Target]]),1,0)</f>
        <v>0</v>
      </c>
      <c r="R512" s="4">
        <f>IF(Table1[[#This Row],[Target]]&gt;=Table1[[#This Row],[Last value]],1,0)</f>
        <v>1</v>
      </c>
      <c r="S512" s="4" t="str">
        <f t="shared" si="10"/>
        <v>Green</v>
      </c>
      <c r="T512" s="55">
        <v>0</v>
      </c>
      <c r="U512" s="55">
        <v>4.49</v>
      </c>
      <c r="V512" s="55">
        <v>5.61</v>
      </c>
      <c r="W512" s="55">
        <v>8.27</v>
      </c>
      <c r="X512" s="55">
        <v>0</v>
      </c>
      <c r="Y512" s="55">
        <v>14</v>
      </c>
      <c r="Z512" s="55">
        <v>0</v>
      </c>
      <c r="AA512" s="55">
        <v>0</v>
      </c>
      <c r="AB512" s="55">
        <v>8.98</v>
      </c>
      <c r="AC512" s="55">
        <v>6.4</v>
      </c>
      <c r="AD512" s="55">
        <v>0</v>
      </c>
      <c r="AE512" s="55">
        <v>12.6</v>
      </c>
      <c r="AF512" s="55">
        <v>3</v>
      </c>
      <c r="AG512" s="55">
        <v>0</v>
      </c>
      <c r="AH512" s="55">
        <v>0</v>
      </c>
      <c r="AI512" s="55">
        <v>0</v>
      </c>
      <c r="AJ512" s="55">
        <v>3.98</v>
      </c>
      <c r="AK512" s="55">
        <v>0</v>
      </c>
      <c r="AL512" s="55">
        <v>2.6</v>
      </c>
      <c r="AM512" s="55">
        <v>4.3099999999999996</v>
      </c>
      <c r="AN512" s="55">
        <v>0</v>
      </c>
      <c r="AO512" s="55">
        <v>2.95</v>
      </c>
      <c r="AP512" s="55">
        <v>4.47</v>
      </c>
      <c r="AQ512" s="55">
        <v>4.5599999999999996</v>
      </c>
      <c r="AR512" s="8">
        <v>0</v>
      </c>
      <c r="AS512" s="8">
        <v>4.3899999999999997</v>
      </c>
      <c r="AT512" s="8">
        <v>0</v>
      </c>
      <c r="AU512" s="50">
        <v>4.2699999999999996</v>
      </c>
      <c r="AV512" s="50">
        <v>4.88</v>
      </c>
      <c r="AW512" s="50">
        <v>0</v>
      </c>
      <c r="AX512" s="50">
        <v>3.22</v>
      </c>
      <c r="AY512" s="50">
        <v>3.99</v>
      </c>
      <c r="AZ512" s="50">
        <v>4.0999999999999996</v>
      </c>
      <c r="BA512" s="50">
        <v>3.3</v>
      </c>
      <c r="BB512" s="50">
        <v>4.3</v>
      </c>
      <c r="BC512" s="55">
        <v>4.0999999999999996</v>
      </c>
      <c r="BD512" s="55">
        <v>0</v>
      </c>
      <c r="BE512" s="11">
        <v>5.351</v>
      </c>
      <c r="BF512" s="4">
        <v>0</v>
      </c>
      <c r="BG512" s="4">
        <v>5.3</v>
      </c>
      <c r="BH512" s="4">
        <v>0</v>
      </c>
      <c r="BI512" s="4">
        <v>5.5259999999999998</v>
      </c>
      <c r="BJ512" s="13">
        <v>2.4380000000000002</v>
      </c>
      <c r="BK512" s="13">
        <v>0</v>
      </c>
      <c r="BL512" s="4">
        <v>0</v>
      </c>
      <c r="BM512" s="16">
        <v>0</v>
      </c>
      <c r="BN512" s="4">
        <v>0</v>
      </c>
      <c r="BO512" s="4">
        <v>0</v>
      </c>
      <c r="BP512" s="4">
        <v>5.24</v>
      </c>
      <c r="BQ512" s="4">
        <v>0</v>
      </c>
      <c r="BR512" s="4">
        <v>0</v>
      </c>
      <c r="BS512" s="55">
        <v>0</v>
      </c>
      <c r="BT512" s="4">
        <v>0</v>
      </c>
      <c r="BU512" s="4">
        <v>0</v>
      </c>
      <c r="BV512" s="4">
        <v>0</v>
      </c>
      <c r="BW512" s="4">
        <v>3.45</v>
      </c>
      <c r="BX512" s="4">
        <v>0</v>
      </c>
      <c r="BY512" s="4">
        <v>5.3</v>
      </c>
      <c r="BZ512" s="55">
        <v>0</v>
      </c>
      <c r="CA512" s="55">
        <v>2.86</v>
      </c>
      <c r="CB512" s="55">
        <v>5.31</v>
      </c>
      <c r="CC512" s="55">
        <v>4.4000000000000004</v>
      </c>
      <c r="CD512" s="55">
        <v>0</v>
      </c>
      <c r="CE512" s="19">
        <v>0</v>
      </c>
      <c r="CF512" s="19">
        <v>4.0999999999999996</v>
      </c>
      <c r="CG512" s="4">
        <v>0</v>
      </c>
      <c r="CH512" s="4">
        <v>0</v>
      </c>
      <c r="CI512" s="4">
        <v>4.18</v>
      </c>
      <c r="CJ512" s="34">
        <v>0</v>
      </c>
      <c r="CK512" s="34">
        <v>4.8</v>
      </c>
      <c r="CL512" s="43">
        <v>6.3</v>
      </c>
      <c r="CM512" s="4">
        <v>2.8</v>
      </c>
      <c r="CN512" s="53">
        <v>3.34</v>
      </c>
      <c r="CO512" s="54">
        <v>3.16</v>
      </c>
      <c r="CP512" s="54">
        <v>2.9</v>
      </c>
      <c r="CQ512" s="4">
        <v>2.37</v>
      </c>
    </row>
    <row r="513" spans="1:95" s="55" customFormat="1" x14ac:dyDescent="0.35">
      <c r="A513" s="55">
        <v>512</v>
      </c>
      <c r="B513" s="55" t="s">
        <v>87</v>
      </c>
      <c r="C513" s="27" t="s">
        <v>225</v>
      </c>
      <c r="D513" s="50" t="s">
        <v>94</v>
      </c>
      <c r="E513" s="33" t="s">
        <v>89</v>
      </c>
      <c r="F513" s="4">
        <f>IFERROR(AVERAGEIF(Table1[[#This Row],[2019-Apr]:[2025-July]],"&lt;&gt;0"),0)</f>
        <v>3.5843947368421065</v>
      </c>
      <c r="G513" s="4">
        <f ca="1">IFERROR(AVERAGEIF(OFFSET(Table1[[#This Row],[Status]],0,COUNT(Table1[[#This Row],[2019-May]:[2025-July]]),1,-12),"&lt;&gt;0"),0)</f>
        <v>5.2</v>
      </c>
      <c r="H513" s="55">
        <f>IFERROR(SMALL(Table1[[#This Row],[2019-Apr]:[2025-July]],COUNTIF(Table1[[#This Row],[2019-Apr]:[2025-July]],0)+1),0)</f>
        <v>1.57</v>
      </c>
      <c r="I513" s="55">
        <f>IFERROR(MAX(Table1[[#This Row],[2019-Apr]:[2025-July]]),0)</f>
        <v>6.8</v>
      </c>
      <c r="J513" s="4" cm="1">
        <f t="array" ref="J51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1.8741666666666668</v>
      </c>
      <c r="K513" s="4">
        <v>4.5</v>
      </c>
      <c r="L513" s="4">
        <f>IF(Table1[[#This Row],[Standard as per ISO]]&gt;=Table1[[#This Row],[Avg of best 6]],Table1[[#This Row],[Standard as per ISO]],Table1[[#This Row],[Avg of best 6]])</f>
        <v>4.5</v>
      </c>
      <c r="M513" s="4" cm="1">
        <f t="array" ref="M513">IFERROR(LOOKUP(2,1/(Table1[[#This Row],[2019-May]:[2025-July]]&lt;&gt;0),Table1[[#This Row],[2019-May]:[2025-July]]),0)</f>
        <v>6.8</v>
      </c>
      <c r="N513" s="4">
        <f>COUNTIF(Table1[[#This Row],[2019-Apr]:[2025-July]],"&gt;="&amp;Table1[[#This Row],[Target]])</f>
        <v>11</v>
      </c>
      <c r="O513" s="4">
        <f>IF(Table1[[#This Row],[Outliers 2Y]]=0,1,0)</f>
        <v>0</v>
      </c>
      <c r="P513" s="4">
        <f>IF(Table1[[#This Row],[Last value]]&gt;1.5*Table1[[#This Row],[Target]],1,0)</f>
        <v>1</v>
      </c>
      <c r="Q513" s="4">
        <f>IF(AND(1.5*Table1[[#This Row],[Target]]&gt;=Table1[[#This Row],[Last value]],Table1[[#This Row],[Last value]]&gt;Table1[[#This Row],[Target]]),1,0)</f>
        <v>0</v>
      </c>
      <c r="R513" s="4">
        <f>IF(Table1[[#This Row],[Target]]&gt;=Table1[[#This Row],[Last value]],1,0)</f>
        <v>0</v>
      </c>
      <c r="S513" s="4" t="str">
        <f t="shared" si="10"/>
        <v>Red</v>
      </c>
      <c r="T513" s="55">
        <v>0</v>
      </c>
      <c r="U513" s="55">
        <v>5.24</v>
      </c>
      <c r="V513" s="55">
        <v>2.76</v>
      </c>
      <c r="W513" s="55">
        <v>3.62</v>
      </c>
      <c r="X513" s="55">
        <v>1.57</v>
      </c>
      <c r="Y513" s="55">
        <v>5.16</v>
      </c>
      <c r="Z513" s="55">
        <v>1.9</v>
      </c>
      <c r="AA513" s="55">
        <v>3.6</v>
      </c>
      <c r="AB513" s="55">
        <v>0</v>
      </c>
      <c r="AC513" s="55">
        <v>0</v>
      </c>
      <c r="AD513" s="55">
        <v>3.03</v>
      </c>
      <c r="AE513" s="55">
        <v>0</v>
      </c>
      <c r="AF513" s="55">
        <v>0</v>
      </c>
      <c r="AG513" s="55">
        <v>4.0999999999999996</v>
      </c>
      <c r="AH513" s="55">
        <v>5.74</v>
      </c>
      <c r="AI513" s="55">
        <v>4.62</v>
      </c>
      <c r="AJ513" s="55">
        <v>6.74</v>
      </c>
      <c r="AK513" s="55">
        <v>5.74</v>
      </c>
      <c r="AL513" s="55">
        <v>0</v>
      </c>
      <c r="AM513" s="55">
        <v>0</v>
      </c>
      <c r="AN513" s="55">
        <v>0</v>
      </c>
      <c r="AO513" s="55">
        <v>0</v>
      </c>
      <c r="AP513" s="55">
        <v>0</v>
      </c>
      <c r="AQ513" s="55">
        <v>0</v>
      </c>
      <c r="AR513" s="8">
        <v>3.84</v>
      </c>
      <c r="AS513" s="8">
        <v>0</v>
      </c>
      <c r="AT513" s="8">
        <v>0</v>
      </c>
      <c r="AU513" s="50">
        <v>3.11</v>
      </c>
      <c r="AV513" s="50">
        <v>2.5499999999999998</v>
      </c>
      <c r="AW513" s="50">
        <v>2.77</v>
      </c>
      <c r="AX513" s="50">
        <v>0</v>
      </c>
      <c r="AY513" s="50">
        <v>0</v>
      </c>
      <c r="AZ513" s="50">
        <v>0</v>
      </c>
      <c r="BA513" s="50">
        <v>0</v>
      </c>
      <c r="BB513" s="50">
        <v>2.7</v>
      </c>
      <c r="BC513" s="55">
        <v>3.6</v>
      </c>
      <c r="BD513" s="55">
        <v>3.3</v>
      </c>
      <c r="BE513" s="11">
        <v>5.5970000000000004</v>
      </c>
      <c r="BF513" s="4">
        <v>0</v>
      </c>
      <c r="BG513" s="4">
        <v>3.09</v>
      </c>
      <c r="BH513" s="4">
        <v>0</v>
      </c>
      <c r="BI513" s="4">
        <v>1.9339999999999999</v>
      </c>
      <c r="BJ513" s="14">
        <v>1.5720000000000001</v>
      </c>
      <c r="BK513" s="14">
        <v>0</v>
      </c>
      <c r="BL513" s="4">
        <v>2.0190000000000001</v>
      </c>
      <c r="BM513" s="17">
        <v>0</v>
      </c>
      <c r="BN513" s="4">
        <v>2.5190000000000001</v>
      </c>
      <c r="BO513" s="4">
        <v>0</v>
      </c>
      <c r="BP513" s="4">
        <v>4.907</v>
      </c>
      <c r="BQ513" s="4">
        <v>0</v>
      </c>
      <c r="BR513" s="4">
        <v>2.5179999999999998</v>
      </c>
      <c r="BS513" s="55">
        <v>2.3170000000000002</v>
      </c>
      <c r="BT513" s="4">
        <v>0</v>
      </c>
      <c r="BU513" s="4">
        <v>2.665</v>
      </c>
      <c r="BV513" s="4">
        <v>2.8580000000000001</v>
      </c>
      <c r="BW513" s="4">
        <v>2.4590000000000001</v>
      </c>
      <c r="BX513" s="4">
        <v>2.65</v>
      </c>
      <c r="BY513" s="4">
        <v>5.5620000000000003</v>
      </c>
      <c r="BZ513" s="55">
        <v>2.25</v>
      </c>
      <c r="CA513" s="55">
        <v>0</v>
      </c>
      <c r="CB513" s="55">
        <v>0</v>
      </c>
      <c r="CC513" s="55">
        <v>0</v>
      </c>
      <c r="CD513" s="55">
        <v>0</v>
      </c>
      <c r="CE513" s="19">
        <v>5.4</v>
      </c>
      <c r="CF513" s="19">
        <v>0</v>
      </c>
      <c r="CG513" s="4">
        <v>0</v>
      </c>
      <c r="CH513" s="4">
        <v>0</v>
      </c>
      <c r="CI513" s="4">
        <v>0</v>
      </c>
      <c r="CJ513" s="34">
        <v>0</v>
      </c>
      <c r="CK513" s="34">
        <v>0</v>
      </c>
      <c r="CL513" s="43">
        <v>3.4</v>
      </c>
      <c r="CM513" s="4">
        <v>0</v>
      </c>
      <c r="CN513" s="53">
        <v>0</v>
      </c>
      <c r="CO513" s="54">
        <v>0</v>
      </c>
      <c r="CP513" s="54">
        <v>6.8</v>
      </c>
      <c r="CQ513" s="4">
        <v>0</v>
      </c>
    </row>
    <row r="514" spans="1:95" s="55" customFormat="1" x14ac:dyDescent="0.35">
      <c r="A514" s="55">
        <v>513</v>
      </c>
      <c r="B514" s="55" t="s">
        <v>87</v>
      </c>
      <c r="C514" s="27" t="s">
        <v>226</v>
      </c>
      <c r="D514" s="50" t="s">
        <v>94</v>
      </c>
      <c r="E514" s="33" t="s">
        <v>89</v>
      </c>
      <c r="F514" s="4">
        <f>IFERROR(AVERAGEIF(Table1[[#This Row],[2019-Apr]:[2025-July]],"&lt;&gt;0"),0)</f>
        <v>2.0951764705882354</v>
      </c>
      <c r="G514" s="4">
        <f ca="1">IFERROR(AVERAGEIF(OFFSET(Table1[[#This Row],[Status]],0,COUNT(Table1[[#This Row],[2019-May]:[2025-July]]),1,-12),"&lt;&gt;0"),0)</f>
        <v>3.7999999999999994</v>
      </c>
      <c r="H514" s="55">
        <f>IFERROR(SMALL(Table1[[#This Row],[2019-Apr]:[2025-July]],COUNTIF(Table1[[#This Row],[2019-Apr]:[2025-July]],0)+1),0)</f>
        <v>1.258</v>
      </c>
      <c r="I514" s="55">
        <f>IFERROR(MAX(Table1[[#This Row],[2019-Apr]:[2025-July]]),0)</f>
        <v>6.8</v>
      </c>
      <c r="J514" s="4" cm="1">
        <f t="array" ref="J51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1.3688333333333336</v>
      </c>
      <c r="K514" s="4">
        <v>4.5</v>
      </c>
      <c r="L514" s="4">
        <f>IF(Table1[[#This Row],[Standard as per ISO]]&gt;=Table1[[#This Row],[Avg of best 6]],Table1[[#This Row],[Standard as per ISO]],Table1[[#This Row],[Avg of best 6]])</f>
        <v>4.5</v>
      </c>
      <c r="M514" s="4" cm="1">
        <f t="array" ref="M514">IFERROR(LOOKUP(2,1/(Table1[[#This Row],[2019-May]:[2025-July]]&lt;&gt;0),Table1[[#This Row],[2019-May]:[2025-July]]),0)</f>
        <v>3.51</v>
      </c>
      <c r="N514" s="4">
        <f>COUNTIF(Table1[[#This Row],[2019-Apr]:[2025-July]],"&gt;="&amp;Table1[[#This Row],[Target]])</f>
        <v>1</v>
      </c>
      <c r="O514" s="4">
        <f>IF(Table1[[#This Row],[Outliers 2Y]]=0,1,0)</f>
        <v>0</v>
      </c>
      <c r="P514" s="4">
        <f>IF(Table1[[#This Row],[Last value]]&gt;1.5*Table1[[#This Row],[Target]],1,0)</f>
        <v>0</v>
      </c>
      <c r="Q514" s="4">
        <f>IF(AND(1.5*Table1[[#This Row],[Target]]&gt;=Table1[[#This Row],[Last value]],Table1[[#This Row],[Last value]]&gt;Table1[[#This Row],[Target]]),1,0)</f>
        <v>0</v>
      </c>
      <c r="R514" s="4">
        <f>IF(Table1[[#This Row],[Target]]&gt;=Table1[[#This Row],[Last value]],1,0)</f>
        <v>1</v>
      </c>
      <c r="S514" s="4" t="str">
        <f t="shared" si="10"/>
        <v>Green</v>
      </c>
      <c r="T514" s="55">
        <v>0</v>
      </c>
      <c r="U514" s="55">
        <v>1.45</v>
      </c>
      <c r="V514" s="55">
        <v>2.44</v>
      </c>
      <c r="W514" s="55">
        <v>1.53</v>
      </c>
      <c r="X514" s="55">
        <v>4.1500000000000004</v>
      </c>
      <c r="Y514" s="55">
        <v>1.38</v>
      </c>
      <c r="Z514" s="55">
        <v>2.5</v>
      </c>
      <c r="AA514" s="55">
        <v>0</v>
      </c>
      <c r="AB514" s="55">
        <v>1.8</v>
      </c>
      <c r="AC514" s="55">
        <v>1.8</v>
      </c>
      <c r="AD514" s="55">
        <v>1.63</v>
      </c>
      <c r="AE514" s="55">
        <v>1.9</v>
      </c>
      <c r="AF514" s="55">
        <v>1.8</v>
      </c>
      <c r="AG514" s="55">
        <v>1.7</v>
      </c>
      <c r="AH514" s="55">
        <v>1.71</v>
      </c>
      <c r="AI514" s="55">
        <v>0</v>
      </c>
      <c r="AJ514" s="55">
        <v>1.47</v>
      </c>
      <c r="AK514" s="55">
        <v>1.98</v>
      </c>
      <c r="AL514" s="55">
        <v>1.39</v>
      </c>
      <c r="AM514" s="55">
        <v>1.35</v>
      </c>
      <c r="AN514" s="55">
        <v>1.8</v>
      </c>
      <c r="AO514" s="55">
        <v>1.78</v>
      </c>
      <c r="AP514" s="55">
        <v>1.55</v>
      </c>
      <c r="AQ514" s="55">
        <v>3.01</v>
      </c>
      <c r="AR514" s="8">
        <v>0</v>
      </c>
      <c r="AS514" s="8">
        <v>2.31</v>
      </c>
      <c r="AT514" s="8">
        <v>0</v>
      </c>
      <c r="AU514" s="50">
        <v>3.14</v>
      </c>
      <c r="AV514" s="50">
        <v>2.1800000000000002</v>
      </c>
      <c r="AW514" s="50">
        <v>2.1</v>
      </c>
      <c r="AX514" s="50">
        <v>2.1800000000000002</v>
      </c>
      <c r="AY514" s="50">
        <v>2.5099999999999998</v>
      </c>
      <c r="AZ514" s="50">
        <v>1.7</v>
      </c>
      <c r="BA514" s="50">
        <v>1.6</v>
      </c>
      <c r="BB514" s="50">
        <v>1.7</v>
      </c>
      <c r="BC514" s="55">
        <v>2</v>
      </c>
      <c r="BD514" s="55">
        <v>1.4</v>
      </c>
      <c r="BE514" s="11">
        <v>1.4350000000000001</v>
      </c>
      <c r="BF514" s="4">
        <v>0</v>
      </c>
      <c r="BG514" s="4">
        <v>2.42</v>
      </c>
      <c r="BH514" s="4">
        <v>0</v>
      </c>
      <c r="BI514" s="4">
        <v>2.7309999999999999</v>
      </c>
      <c r="BJ514" s="13">
        <v>0</v>
      </c>
      <c r="BK514" s="13">
        <v>0</v>
      </c>
      <c r="BL514" s="4">
        <v>1.704</v>
      </c>
      <c r="BM514" s="16">
        <v>0</v>
      </c>
      <c r="BN514" s="4">
        <v>1.593</v>
      </c>
      <c r="BO514" s="4">
        <v>0</v>
      </c>
      <c r="BP514" s="4">
        <v>2.0129999999999999</v>
      </c>
      <c r="BQ514" s="4">
        <v>0</v>
      </c>
      <c r="BR514" s="4">
        <v>0</v>
      </c>
      <c r="BS514" s="55">
        <v>1.5349999999999999</v>
      </c>
      <c r="BT514" s="4">
        <v>0</v>
      </c>
      <c r="BU514" s="4">
        <v>1.728</v>
      </c>
      <c r="BV514" s="4">
        <v>1.794</v>
      </c>
      <c r="BW514" s="4">
        <v>1.258</v>
      </c>
      <c r="BX514" s="4">
        <v>2.0720000000000001</v>
      </c>
      <c r="BY514" s="4">
        <v>1.641</v>
      </c>
      <c r="BZ514" s="55">
        <v>2.4300000000000002</v>
      </c>
      <c r="CA514" s="55">
        <v>0</v>
      </c>
      <c r="CB514" s="55">
        <v>2.29</v>
      </c>
      <c r="CC514" s="55">
        <v>2.36</v>
      </c>
      <c r="CD514" s="55">
        <v>0</v>
      </c>
      <c r="CE514" s="19">
        <v>0</v>
      </c>
      <c r="CF514" s="19">
        <v>0</v>
      </c>
      <c r="CG514" s="4">
        <v>0</v>
      </c>
      <c r="CH514" s="4">
        <v>0</v>
      </c>
      <c r="CI514" s="4">
        <v>0</v>
      </c>
      <c r="CJ514" s="34">
        <v>0</v>
      </c>
      <c r="CK514" s="34">
        <v>0</v>
      </c>
      <c r="CL514" s="43">
        <v>0</v>
      </c>
      <c r="CM514" s="4">
        <v>2.2999999999999998</v>
      </c>
      <c r="CN514" s="53">
        <v>2.2999999999999998</v>
      </c>
      <c r="CO514" s="54">
        <v>0</v>
      </c>
      <c r="CP514" s="54">
        <v>6.8</v>
      </c>
      <c r="CQ514" s="4">
        <v>3.51</v>
      </c>
    </row>
    <row r="515" spans="1:95" s="55" customFormat="1" x14ac:dyDescent="0.35">
      <c r="A515" s="55">
        <v>514</v>
      </c>
      <c r="B515" s="55" t="s">
        <v>87</v>
      </c>
      <c r="C515" s="27" t="s">
        <v>227</v>
      </c>
      <c r="D515" s="50" t="s">
        <v>94</v>
      </c>
      <c r="E515" s="33" t="s">
        <v>89</v>
      </c>
      <c r="F515" s="4">
        <f>IFERROR(AVERAGEIF(Table1[[#This Row],[2019-Apr]:[2025-July]],"&lt;&gt;0"),0)</f>
        <v>2.6575937500000002</v>
      </c>
      <c r="G515" s="4">
        <f ca="1">IFERROR(AVERAGEIF(OFFSET(Table1[[#This Row],[Status]],0,COUNT(Table1[[#This Row],[2019-May]:[2025-July]]),1,-12),"&lt;&gt;0"),0)</f>
        <v>3.5362499999999999</v>
      </c>
      <c r="H515" s="55">
        <f>IFERROR(SMALL(Table1[[#This Row],[2019-Apr]:[2025-July]],COUNTIF(Table1[[#This Row],[2019-Apr]:[2025-July]],0)+1),0)</f>
        <v>1.1000000000000001</v>
      </c>
      <c r="I515" s="55">
        <f>IFERROR(MAX(Table1[[#This Row],[2019-Apr]:[2025-July]]),0)</f>
        <v>10.199999999999999</v>
      </c>
      <c r="J515" s="4" cm="1">
        <f t="array" ref="J51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1.3483333333333334</v>
      </c>
      <c r="K515" s="4">
        <v>4.5</v>
      </c>
      <c r="L515" s="4">
        <f>IF(Table1[[#This Row],[Standard as per ISO]]&gt;=Table1[[#This Row],[Avg of best 6]],Table1[[#This Row],[Standard as per ISO]],Table1[[#This Row],[Avg of best 6]])</f>
        <v>4.5</v>
      </c>
      <c r="M515" s="4" cm="1">
        <f t="array" ref="M515">IFERROR(LOOKUP(2,1/(Table1[[#This Row],[2019-May]:[2025-July]]&lt;&gt;0),Table1[[#This Row],[2019-May]:[2025-July]]),0)</f>
        <v>3.5</v>
      </c>
      <c r="N515" s="4">
        <f>COUNTIF(Table1[[#This Row],[2019-Apr]:[2025-July]],"&gt;="&amp;Table1[[#This Row],[Target]])</f>
        <v>2</v>
      </c>
      <c r="O515" s="4">
        <f>IF(Table1[[#This Row],[Outliers 2Y]]=0,1,0)</f>
        <v>0</v>
      </c>
      <c r="P515" s="4">
        <f>IF(Table1[[#This Row],[Last value]]&gt;1.5*Table1[[#This Row],[Target]],1,0)</f>
        <v>0</v>
      </c>
      <c r="Q515" s="4">
        <f>IF(AND(1.5*Table1[[#This Row],[Target]]&gt;=Table1[[#This Row],[Last value]],Table1[[#This Row],[Last value]]&gt;Table1[[#This Row],[Target]]),1,0)</f>
        <v>0</v>
      </c>
      <c r="R515" s="4">
        <f>IF(Table1[[#This Row],[Target]]&gt;=Table1[[#This Row],[Last value]],1,0)</f>
        <v>1</v>
      </c>
      <c r="S515" s="4" t="str">
        <f t="shared" si="10"/>
        <v>Green</v>
      </c>
      <c r="T515" s="55">
        <v>0</v>
      </c>
      <c r="U515" s="55">
        <v>1.1000000000000001</v>
      </c>
      <c r="V515" s="55">
        <v>0</v>
      </c>
      <c r="W515" s="55">
        <v>0</v>
      </c>
      <c r="X515" s="55">
        <v>10.199999999999999</v>
      </c>
      <c r="Y515" s="55">
        <v>0</v>
      </c>
      <c r="Z515" s="55">
        <v>0</v>
      </c>
      <c r="AA515" s="55">
        <v>1.3</v>
      </c>
      <c r="AB515" s="55">
        <v>1.52</v>
      </c>
      <c r="AC515" s="55">
        <v>0</v>
      </c>
      <c r="AD515" s="55">
        <v>0</v>
      </c>
      <c r="AE515" s="55">
        <v>0</v>
      </c>
      <c r="AF515" s="55">
        <v>0</v>
      </c>
      <c r="AG515" s="55">
        <v>0</v>
      </c>
      <c r="AH515" s="55">
        <v>0</v>
      </c>
      <c r="AI515" s="55">
        <v>1.47</v>
      </c>
      <c r="AJ515" s="55">
        <v>0</v>
      </c>
      <c r="AK515" s="55">
        <v>0</v>
      </c>
      <c r="AL515" s="55">
        <v>0</v>
      </c>
      <c r="AM515" s="55">
        <v>0</v>
      </c>
      <c r="AN515" s="55">
        <v>0</v>
      </c>
      <c r="AO515" s="55">
        <v>0</v>
      </c>
      <c r="AP515" s="55">
        <v>0</v>
      </c>
      <c r="AQ515" s="55">
        <v>0</v>
      </c>
      <c r="AR515" s="8">
        <v>0</v>
      </c>
      <c r="AS515" s="8">
        <v>2.08</v>
      </c>
      <c r="AT515" s="8">
        <v>0</v>
      </c>
      <c r="AU515" s="50">
        <v>0</v>
      </c>
      <c r="AV515" s="50">
        <v>3.26</v>
      </c>
      <c r="AW515" s="50">
        <v>2.2999999999999998</v>
      </c>
      <c r="AX515" s="50">
        <v>3.26</v>
      </c>
      <c r="AY515" s="50">
        <v>1.93</v>
      </c>
      <c r="AZ515" s="50">
        <v>1.67</v>
      </c>
      <c r="BA515" s="50">
        <v>1.3</v>
      </c>
      <c r="BB515" s="50">
        <v>1.4</v>
      </c>
      <c r="BC515" s="55">
        <v>1.8</v>
      </c>
      <c r="BD515" s="55">
        <v>1.6</v>
      </c>
      <c r="BE515" s="11">
        <v>1.5960000000000001</v>
      </c>
      <c r="BF515" s="4">
        <v>0</v>
      </c>
      <c r="BG515" s="4">
        <v>0</v>
      </c>
      <c r="BH515" s="4">
        <v>0</v>
      </c>
      <c r="BI515" s="4">
        <v>0</v>
      </c>
      <c r="BJ515" s="14">
        <v>3.0920000000000001</v>
      </c>
      <c r="BK515" s="14">
        <v>0</v>
      </c>
      <c r="BL515" s="4">
        <v>2.2909999999999999</v>
      </c>
      <c r="BM515" s="17">
        <v>0</v>
      </c>
      <c r="BN515" s="4">
        <v>2.125</v>
      </c>
      <c r="BO515" s="4">
        <v>0</v>
      </c>
      <c r="BP515" s="4">
        <v>2.407</v>
      </c>
      <c r="BQ515" s="4">
        <v>0</v>
      </c>
      <c r="BR515" s="4">
        <v>2.891</v>
      </c>
      <c r="BS515" s="55">
        <v>2.6040000000000001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1.5569999999999999</v>
      </c>
      <c r="BZ515" s="55">
        <v>0</v>
      </c>
      <c r="CA515" s="55">
        <v>0</v>
      </c>
      <c r="CB515" s="55">
        <v>0</v>
      </c>
      <c r="CC515" s="55">
        <v>2</v>
      </c>
      <c r="CD515" s="55">
        <v>0</v>
      </c>
      <c r="CE515" s="19">
        <v>4.2</v>
      </c>
      <c r="CF515" s="19">
        <v>3.1</v>
      </c>
      <c r="CG515" s="4">
        <v>0</v>
      </c>
      <c r="CH515" s="4">
        <v>0</v>
      </c>
      <c r="CI515" s="4">
        <v>2.5299999999999998</v>
      </c>
      <c r="CJ515" s="34">
        <v>0</v>
      </c>
      <c r="CK515" s="34">
        <v>4.7</v>
      </c>
      <c r="CL515" s="43">
        <v>3.5</v>
      </c>
      <c r="CM515" s="4">
        <v>3.2</v>
      </c>
      <c r="CN515" s="53">
        <v>3.56</v>
      </c>
      <c r="CO515" s="54">
        <v>3.5</v>
      </c>
      <c r="CP515" s="54">
        <v>0</v>
      </c>
      <c r="CQ515" s="4">
        <v>0</v>
      </c>
    </row>
    <row r="516" spans="1:95" s="55" customFormat="1" x14ac:dyDescent="0.35">
      <c r="A516" s="55">
        <v>515</v>
      </c>
      <c r="B516" s="55" t="s">
        <v>87</v>
      </c>
      <c r="C516" s="27" t="s">
        <v>228</v>
      </c>
      <c r="D516" s="50" t="s">
        <v>94</v>
      </c>
      <c r="E516" s="33" t="s">
        <v>89</v>
      </c>
      <c r="F516" s="4">
        <f>IFERROR(AVERAGEIF(Table1[[#This Row],[2019-Apr]:[2025-July]],"&lt;&gt;0"),0)</f>
        <v>2.2955609756097566</v>
      </c>
      <c r="G516" s="4">
        <f ca="1">IFERROR(AVERAGEIF(OFFSET(Table1[[#This Row],[Status]],0,COUNT(Table1[[#This Row],[2019-May]:[2025-July]]),1,-12),"&lt;&gt;0"),0)</f>
        <v>2.59</v>
      </c>
      <c r="H516" s="55">
        <f>IFERROR(SMALL(Table1[[#This Row],[2019-Apr]:[2025-July]],COUNTIF(Table1[[#This Row],[2019-Apr]:[2025-July]],0)+1),0)</f>
        <v>1.022</v>
      </c>
      <c r="I516" s="55">
        <f>IFERROR(MAX(Table1[[#This Row],[2019-Apr]:[2025-July]]),0)</f>
        <v>6.2</v>
      </c>
      <c r="J516" s="4" cm="1">
        <f t="array" ref="J51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1.2266666666666666</v>
      </c>
      <c r="K516" s="4">
        <v>4.5</v>
      </c>
      <c r="L516" s="4">
        <f>IF(Table1[[#This Row],[Standard as per ISO]]&gt;=Table1[[#This Row],[Avg of best 6]],Table1[[#This Row],[Standard as per ISO]],Table1[[#This Row],[Avg of best 6]])</f>
        <v>4.5</v>
      </c>
      <c r="M516" s="4" cm="1">
        <f t="array" ref="M516">IFERROR(LOOKUP(2,1/(Table1[[#This Row],[2019-May]:[2025-July]]&lt;&gt;0),Table1[[#This Row],[2019-May]:[2025-July]]),0)</f>
        <v>2.54</v>
      </c>
      <c r="N516" s="4">
        <f>COUNTIF(Table1[[#This Row],[2019-Apr]:[2025-July]],"&gt;="&amp;Table1[[#This Row],[Target]])</f>
        <v>3</v>
      </c>
      <c r="O516" s="4">
        <f>IF(Table1[[#This Row],[Outliers 2Y]]=0,1,0)</f>
        <v>0</v>
      </c>
      <c r="P516" s="4">
        <f>IF(Table1[[#This Row],[Last value]]&gt;1.5*Table1[[#This Row],[Target]],1,0)</f>
        <v>0</v>
      </c>
      <c r="Q516" s="4">
        <f>IF(AND(1.5*Table1[[#This Row],[Target]]&gt;=Table1[[#This Row],[Last value]],Table1[[#This Row],[Last value]]&gt;Table1[[#This Row],[Target]]),1,0)</f>
        <v>0</v>
      </c>
      <c r="R516" s="4">
        <f>IF(Table1[[#This Row],[Target]]&gt;=Table1[[#This Row],[Last value]],1,0)</f>
        <v>1</v>
      </c>
      <c r="S516" s="4" t="str">
        <f t="shared" si="10"/>
        <v>Green</v>
      </c>
      <c r="T516" s="55">
        <v>0</v>
      </c>
      <c r="U516" s="55">
        <v>1.98</v>
      </c>
      <c r="V516" s="55">
        <v>1.74</v>
      </c>
      <c r="W516" s="55">
        <v>1.99</v>
      </c>
      <c r="X516" s="55">
        <v>0</v>
      </c>
      <c r="Y516" s="55">
        <v>1.22</v>
      </c>
      <c r="Z516" s="55">
        <v>6.2</v>
      </c>
      <c r="AA516" s="55">
        <v>1.61</v>
      </c>
      <c r="AB516" s="55">
        <v>0</v>
      </c>
      <c r="AC516" s="55">
        <v>2.1</v>
      </c>
      <c r="AD516" s="55">
        <v>1.32</v>
      </c>
      <c r="AE516" s="55">
        <v>1.3</v>
      </c>
      <c r="AF516" s="55">
        <v>1.45</v>
      </c>
      <c r="AG516" s="55">
        <v>1.5</v>
      </c>
      <c r="AH516" s="55">
        <v>1.18</v>
      </c>
      <c r="AI516" s="55">
        <v>2.0099999999999998</v>
      </c>
      <c r="AJ516" s="55">
        <v>1.37</v>
      </c>
      <c r="AK516" s="55">
        <v>1.9</v>
      </c>
      <c r="AL516" s="55">
        <v>1.64</v>
      </c>
      <c r="AM516" s="55">
        <v>1.76</v>
      </c>
      <c r="AN516" s="55">
        <v>1.5</v>
      </c>
      <c r="AO516" s="55">
        <v>1.88</v>
      </c>
      <c r="AP516" s="55">
        <v>1.78</v>
      </c>
      <c r="AQ516" s="55">
        <v>5.36</v>
      </c>
      <c r="AR516" s="8">
        <v>0</v>
      </c>
      <c r="AS516" s="8">
        <v>0</v>
      </c>
      <c r="AT516" s="8">
        <v>0</v>
      </c>
      <c r="AU516" s="50">
        <v>3.71</v>
      </c>
      <c r="AV516" s="50">
        <v>3.71</v>
      </c>
      <c r="AW516" s="50">
        <v>0</v>
      </c>
      <c r="AX516" s="50">
        <v>0</v>
      </c>
      <c r="AY516" s="50">
        <v>0</v>
      </c>
      <c r="AZ516" s="50">
        <v>0</v>
      </c>
      <c r="BA516" s="50">
        <v>0</v>
      </c>
      <c r="BB516" s="50">
        <v>0</v>
      </c>
      <c r="BC516" s="50">
        <v>0</v>
      </c>
      <c r="BD516" s="55">
        <v>0</v>
      </c>
      <c r="BE516" s="11">
        <v>0</v>
      </c>
      <c r="BF516" s="4">
        <v>0</v>
      </c>
      <c r="BG516" s="4">
        <v>2.63</v>
      </c>
      <c r="BH516" s="4">
        <v>0</v>
      </c>
      <c r="BI516" s="4">
        <v>3.206</v>
      </c>
      <c r="BJ516" s="13">
        <v>4.6589999999999998</v>
      </c>
      <c r="BK516" s="13">
        <v>0</v>
      </c>
      <c r="BL516" s="4">
        <v>0</v>
      </c>
      <c r="BM516" s="16">
        <v>0</v>
      </c>
      <c r="BN516" s="4">
        <v>0</v>
      </c>
      <c r="BO516" s="4">
        <v>0</v>
      </c>
      <c r="BP516" s="4">
        <v>3.0920000000000001</v>
      </c>
      <c r="BQ516" s="4">
        <v>0</v>
      </c>
      <c r="BR516" s="4">
        <v>3.48</v>
      </c>
      <c r="BS516" s="55">
        <v>0</v>
      </c>
      <c r="BT516" s="4">
        <v>0</v>
      </c>
      <c r="BU516" s="4">
        <v>1.3180000000000001</v>
      </c>
      <c r="BV516" s="4">
        <v>1.022</v>
      </c>
      <c r="BW516" s="4">
        <v>1.837</v>
      </c>
      <c r="BX516" s="4">
        <v>1.734</v>
      </c>
      <c r="BY516" s="4">
        <v>0</v>
      </c>
      <c r="BZ516" s="55">
        <v>1.44</v>
      </c>
      <c r="CA516" s="55">
        <v>0</v>
      </c>
      <c r="CB516" s="55">
        <v>1.41</v>
      </c>
      <c r="CC516" s="55">
        <v>0</v>
      </c>
      <c r="CD516" s="55">
        <v>0</v>
      </c>
      <c r="CE516" s="19">
        <v>0</v>
      </c>
      <c r="CF516" s="19">
        <v>2.9</v>
      </c>
      <c r="CG516" s="4">
        <v>0</v>
      </c>
      <c r="CH516" s="4">
        <v>0</v>
      </c>
      <c r="CI516" s="4">
        <v>2.14</v>
      </c>
      <c r="CJ516" s="34">
        <v>0</v>
      </c>
      <c r="CK516" s="34">
        <v>2.7</v>
      </c>
      <c r="CL516" s="43">
        <v>2.6</v>
      </c>
      <c r="CM516" s="4">
        <v>0</v>
      </c>
      <c r="CN516" s="53">
        <v>0</v>
      </c>
      <c r="CO516" s="54">
        <v>2.4</v>
      </c>
      <c r="CP516" s="54">
        <v>2.8</v>
      </c>
      <c r="CQ516" s="4">
        <v>2.54</v>
      </c>
    </row>
    <row r="517" spans="1:95" s="55" customFormat="1" x14ac:dyDescent="0.35">
      <c r="A517" s="55">
        <v>516</v>
      </c>
      <c r="B517" s="55" t="s">
        <v>87</v>
      </c>
      <c r="C517" s="27" t="s">
        <v>229</v>
      </c>
      <c r="D517" s="50" t="s">
        <v>94</v>
      </c>
      <c r="E517" s="33" t="s">
        <v>91</v>
      </c>
      <c r="F517" s="4">
        <f>IFERROR(AVERAGEIF(Table1[[#This Row],[2019-Apr]:[2025-July]],"&lt;&gt;0"),0)</f>
        <v>5.8694905660377357</v>
      </c>
      <c r="G517" s="4">
        <f ca="1">IFERROR(AVERAGEIF(OFFSET(Table1[[#This Row],[Status]],0,COUNT(Table1[[#This Row],[2019-May]:[2025-July]]),1,-12),"&lt;&gt;0"),0)</f>
        <v>4.84</v>
      </c>
      <c r="H517" s="55">
        <f>IFERROR(SMALL(Table1[[#This Row],[2019-Apr]:[2025-July]],COUNTIF(Table1[[#This Row],[2019-Apr]:[2025-July]],0)+1),0)</f>
        <v>2.0670000000000002</v>
      </c>
      <c r="I517" s="55">
        <f>IFERROR(MAX(Table1[[#This Row],[2019-Apr]:[2025-July]]),0)</f>
        <v>18</v>
      </c>
      <c r="J517" s="4" cm="1">
        <f t="array" ref="J51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2.7353333333333332</v>
      </c>
      <c r="K517" s="4">
        <v>4.5</v>
      </c>
      <c r="L517" s="4">
        <f>IF(Table1[[#This Row],[Standard as per ISO]]&gt;=Table1[[#This Row],[Avg of best 6]],Table1[[#This Row],[Standard as per ISO]],Table1[[#This Row],[Avg of best 6]])</f>
        <v>4.5</v>
      </c>
      <c r="M517" s="4" cm="1">
        <f t="array" ref="M517">IFERROR(LOOKUP(2,1/(Table1[[#This Row],[2019-May]:[2025-July]]&lt;&gt;0),Table1[[#This Row],[2019-May]:[2025-July]]),0)</f>
        <v>4.84</v>
      </c>
      <c r="N517" s="4">
        <f>COUNTIF(Table1[[#This Row],[2019-Apr]:[2025-July]],"&gt;="&amp;Table1[[#This Row],[Target]])</f>
        <v>30</v>
      </c>
      <c r="O517" s="4">
        <f>IF(Table1[[#This Row],[Outliers 2Y]]=0,1,0)</f>
        <v>0</v>
      </c>
      <c r="P517" s="4">
        <f>IF(Table1[[#This Row],[Last value]]&gt;1.5*Table1[[#This Row],[Target]],1,0)</f>
        <v>0</v>
      </c>
      <c r="Q517" s="4">
        <f>IF(AND(1.5*Table1[[#This Row],[Target]]&gt;=Table1[[#This Row],[Last value]],Table1[[#This Row],[Last value]]&gt;Table1[[#This Row],[Target]]),1,0)</f>
        <v>1</v>
      </c>
      <c r="R517" s="4">
        <f>IF(Table1[[#This Row],[Target]]&gt;=Table1[[#This Row],[Last value]],1,0)</f>
        <v>0</v>
      </c>
      <c r="S517" s="4" t="str">
        <f t="shared" si="10"/>
        <v>Yellow</v>
      </c>
      <c r="T517" s="55">
        <v>0</v>
      </c>
      <c r="U517" s="55">
        <v>3.51</v>
      </c>
      <c r="V517" s="55">
        <v>5.83</v>
      </c>
      <c r="W517" s="55">
        <v>3.46</v>
      </c>
      <c r="X517" s="55">
        <v>9.73</v>
      </c>
      <c r="Y517" s="55">
        <v>8.2799999999999994</v>
      </c>
      <c r="Z517" s="55">
        <v>5.6</v>
      </c>
      <c r="AA517" s="55">
        <v>4.75</v>
      </c>
      <c r="AB517" s="55">
        <v>6.11</v>
      </c>
      <c r="AC517" s="55">
        <v>5.8</v>
      </c>
      <c r="AD517" s="55">
        <v>5.04</v>
      </c>
      <c r="AE517" s="55">
        <v>8</v>
      </c>
      <c r="AF517" s="55">
        <v>11.5</v>
      </c>
      <c r="AG517" s="55">
        <v>8.8000000000000007</v>
      </c>
      <c r="AH517" s="55">
        <v>15.4</v>
      </c>
      <c r="AI517" s="55">
        <v>7.16</v>
      </c>
      <c r="AJ517" s="55">
        <v>15.1</v>
      </c>
      <c r="AK517" s="55">
        <v>18</v>
      </c>
      <c r="AL517" s="55">
        <v>12</v>
      </c>
      <c r="AM517" s="55">
        <v>5.67</v>
      </c>
      <c r="AN517" s="55">
        <v>4.93</v>
      </c>
      <c r="AO517" s="55">
        <v>5.71</v>
      </c>
      <c r="AP517" s="55">
        <v>13.7</v>
      </c>
      <c r="AQ517" s="55">
        <v>5.31</v>
      </c>
      <c r="AR517" s="8">
        <v>6.44</v>
      </c>
      <c r="AS517" s="8">
        <v>5.95</v>
      </c>
      <c r="AT517" s="8">
        <v>0</v>
      </c>
      <c r="AU517" s="50">
        <v>5.12</v>
      </c>
      <c r="AV517" s="50">
        <v>3.46</v>
      </c>
      <c r="AW517" s="50">
        <v>4.55</v>
      </c>
      <c r="AX517" s="50">
        <v>4.01</v>
      </c>
      <c r="AY517" s="50">
        <v>3.28</v>
      </c>
      <c r="AZ517" s="50">
        <v>3.65</v>
      </c>
      <c r="BA517" s="50">
        <v>3.3</v>
      </c>
      <c r="BB517" s="50">
        <v>4.3</v>
      </c>
      <c r="BC517" s="55">
        <v>2.6</v>
      </c>
      <c r="BD517" s="55">
        <v>4.3</v>
      </c>
      <c r="BE517" s="11">
        <v>3.105</v>
      </c>
      <c r="BF517" s="4">
        <v>0</v>
      </c>
      <c r="BG517" s="4">
        <v>4.76</v>
      </c>
      <c r="BH517" s="4">
        <v>0</v>
      </c>
      <c r="BI517" s="4">
        <v>4.4489999999999998</v>
      </c>
      <c r="BJ517" s="14">
        <v>7.0510000000000002</v>
      </c>
      <c r="BK517" s="14">
        <v>0</v>
      </c>
      <c r="BL517" s="4">
        <v>4.0679999999999996</v>
      </c>
      <c r="BM517" s="17">
        <v>0</v>
      </c>
      <c r="BN517" s="4">
        <v>4.5389999999999997</v>
      </c>
      <c r="BO517" s="4">
        <v>0</v>
      </c>
      <c r="BP517" s="4">
        <v>5.0060000000000002</v>
      </c>
      <c r="BQ517" s="4">
        <v>0</v>
      </c>
      <c r="BR517" s="4">
        <v>3.8119999999999998</v>
      </c>
      <c r="BS517" s="55">
        <v>3.085</v>
      </c>
      <c r="BT517" s="4">
        <v>4.2990000000000004</v>
      </c>
      <c r="BU517" s="4">
        <v>0</v>
      </c>
      <c r="BV517" s="4">
        <v>4.3499999999999996</v>
      </c>
      <c r="BW517" s="4">
        <v>0</v>
      </c>
      <c r="BX517" s="4">
        <v>3.1720000000000002</v>
      </c>
      <c r="BY517" s="4">
        <v>2.0670000000000002</v>
      </c>
      <c r="BZ517" s="55">
        <v>2.65</v>
      </c>
      <c r="CA517" s="55">
        <v>3.09</v>
      </c>
      <c r="CB517" s="55">
        <v>3.47</v>
      </c>
      <c r="CC517" s="55">
        <v>2.92</v>
      </c>
      <c r="CD517" s="55">
        <v>0</v>
      </c>
      <c r="CE517" s="19">
        <v>0</v>
      </c>
      <c r="CF517" s="19">
        <v>0</v>
      </c>
      <c r="CG517" s="4">
        <v>0</v>
      </c>
      <c r="CH517" s="4">
        <v>0</v>
      </c>
      <c r="CI517" s="4">
        <v>4.84</v>
      </c>
      <c r="CJ517" s="34">
        <v>0</v>
      </c>
      <c r="CK517" s="34">
        <v>0</v>
      </c>
      <c r="CL517" s="34">
        <v>0</v>
      </c>
      <c r="CM517" s="4">
        <v>0</v>
      </c>
      <c r="CN517" s="53">
        <v>0</v>
      </c>
      <c r="CO517" s="54">
        <v>0</v>
      </c>
      <c r="CP517" s="54">
        <v>0</v>
      </c>
      <c r="CQ517" s="4">
        <v>0</v>
      </c>
    </row>
    <row r="518" spans="1:95" s="55" customFormat="1" x14ac:dyDescent="0.35">
      <c r="A518" s="55">
        <v>517</v>
      </c>
      <c r="B518" s="55" t="s">
        <v>87</v>
      </c>
      <c r="C518" s="27" t="s">
        <v>230</v>
      </c>
      <c r="D518" s="50" t="s">
        <v>94</v>
      </c>
      <c r="E518" s="33" t="s">
        <v>91</v>
      </c>
      <c r="F518" s="4">
        <f>IFERROR(AVERAGEIF(Table1[[#This Row],[2019-Apr]:[2025-July]],"&lt;&gt;0"),0)</f>
        <v>6.5477916666666678</v>
      </c>
      <c r="G518" s="4">
        <f ca="1">IFERROR(AVERAGEIF(OFFSET(Table1[[#This Row],[Status]],0,COUNT(Table1[[#This Row],[2019-May]:[2025-July]]),1,-12),"&lt;&gt;0"),0)</f>
        <v>15.913333333333332</v>
      </c>
      <c r="H518" s="55">
        <f>IFERROR(SMALL(Table1[[#This Row],[2019-Apr]:[2025-July]],COUNTIF(Table1[[#This Row],[2019-Apr]:[2025-July]],0)+1),0)</f>
        <v>1.23</v>
      </c>
      <c r="I518" s="55">
        <f>IFERROR(MAX(Table1[[#This Row],[2019-Apr]:[2025-July]]),0)</f>
        <v>24.59</v>
      </c>
      <c r="J518" s="4" cm="1">
        <f t="array" ref="J51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2.97</v>
      </c>
      <c r="K518" s="4">
        <v>4.5</v>
      </c>
      <c r="L518" s="4">
        <f>IF(Table1[[#This Row],[Standard as per ISO]]&gt;=Table1[[#This Row],[Avg of best 6]],Table1[[#This Row],[Standard as per ISO]],Table1[[#This Row],[Avg of best 6]])</f>
        <v>4.5</v>
      </c>
      <c r="M518" s="4" cm="1">
        <f t="array" ref="M518">IFERROR(LOOKUP(2,1/(Table1[[#This Row],[2019-May]:[2025-July]]&lt;&gt;0),Table1[[#This Row],[2019-May]:[2025-July]]),0)</f>
        <v>24.59</v>
      </c>
      <c r="N518" s="4">
        <f>COUNTIF(Table1[[#This Row],[2019-Apr]:[2025-July]],"&gt;="&amp;Table1[[#This Row],[Target]])</f>
        <v>38</v>
      </c>
      <c r="O518" s="4">
        <f>IF(Table1[[#This Row],[Outliers 2Y]]=0,1,0)</f>
        <v>0</v>
      </c>
      <c r="P518" s="4">
        <f>IF(Table1[[#This Row],[Last value]]&gt;1.5*Table1[[#This Row],[Target]],1,0)</f>
        <v>1</v>
      </c>
      <c r="Q518" s="4">
        <f>IF(AND(1.5*Table1[[#This Row],[Target]]&gt;=Table1[[#This Row],[Last value]],Table1[[#This Row],[Last value]]&gt;Table1[[#This Row],[Target]]),1,0)</f>
        <v>0</v>
      </c>
      <c r="R518" s="4">
        <f>IF(Table1[[#This Row],[Target]]&gt;=Table1[[#This Row],[Last value]],1,0)</f>
        <v>0</v>
      </c>
      <c r="S518" s="4" t="str">
        <f t="shared" si="10"/>
        <v>Red</v>
      </c>
      <c r="T518" s="55">
        <v>0</v>
      </c>
      <c r="U518" s="55">
        <v>0</v>
      </c>
      <c r="V518" s="55">
        <v>2.64</v>
      </c>
      <c r="W518" s="55">
        <v>7.74</v>
      </c>
      <c r="X518" s="55">
        <v>3.8</v>
      </c>
      <c r="Y518" s="55">
        <v>7.42</v>
      </c>
      <c r="Z518" s="55">
        <v>5.6</v>
      </c>
      <c r="AA518" s="55">
        <v>3.7</v>
      </c>
      <c r="AB518" s="55">
        <v>3.99</v>
      </c>
      <c r="AC518" s="55">
        <v>4.9000000000000004</v>
      </c>
      <c r="AD518" s="55">
        <v>1.23</v>
      </c>
      <c r="AE518" s="55">
        <v>6</v>
      </c>
      <c r="AF518" s="55">
        <v>5.6</v>
      </c>
      <c r="AG518" s="55">
        <v>5.2</v>
      </c>
      <c r="AH518" s="55">
        <v>5.39</v>
      </c>
      <c r="AI518" s="55">
        <v>4.74</v>
      </c>
      <c r="AJ518" s="55">
        <v>4</v>
      </c>
      <c r="AK518" s="55">
        <v>3.26</v>
      </c>
      <c r="AL518" s="55">
        <v>10.9</v>
      </c>
      <c r="AM518" s="55">
        <v>6.39</v>
      </c>
      <c r="AN518" s="55">
        <v>5.57</v>
      </c>
      <c r="AO518" s="55">
        <v>5.56</v>
      </c>
      <c r="AP518" s="55">
        <v>5.5</v>
      </c>
      <c r="AQ518" s="55">
        <v>4.6900000000000004</v>
      </c>
      <c r="AR518" s="8">
        <v>5.19</v>
      </c>
      <c r="AS518" s="8">
        <v>4.9400000000000004</v>
      </c>
      <c r="AT518" s="8">
        <v>0</v>
      </c>
      <c r="AU518" s="50">
        <v>4.2300000000000004</v>
      </c>
      <c r="AV518" s="50">
        <v>6.53</v>
      </c>
      <c r="AW518" s="50">
        <v>7.55</v>
      </c>
      <c r="AX518" s="50">
        <v>6.6</v>
      </c>
      <c r="AY518" s="50">
        <v>7.28</v>
      </c>
      <c r="AZ518" s="50">
        <v>5.61</v>
      </c>
      <c r="BA518" s="50">
        <v>6.5</v>
      </c>
      <c r="BB518" s="50">
        <v>6.8</v>
      </c>
      <c r="BC518" s="55">
        <v>3.2</v>
      </c>
      <c r="BD518" s="55">
        <v>7.5</v>
      </c>
      <c r="BE518" s="11">
        <v>3.79</v>
      </c>
      <c r="BF518" s="4">
        <v>0</v>
      </c>
      <c r="BG518" s="4">
        <v>5.9</v>
      </c>
      <c r="BH518" s="4">
        <v>0</v>
      </c>
      <c r="BI518" s="4">
        <v>6.4459999999999997</v>
      </c>
      <c r="BJ518" s="13">
        <v>4.8239999999999998</v>
      </c>
      <c r="BK518" s="13">
        <v>0</v>
      </c>
      <c r="BL518" s="4">
        <v>5.1660000000000004</v>
      </c>
      <c r="BM518" s="16">
        <v>0</v>
      </c>
      <c r="BN518" s="4">
        <v>6.6779999999999999</v>
      </c>
      <c r="BO518" s="4">
        <v>0</v>
      </c>
      <c r="BP518" s="4">
        <v>0</v>
      </c>
      <c r="BQ518" s="4">
        <v>0</v>
      </c>
      <c r="BR518" s="4">
        <v>6.0609999999999999</v>
      </c>
      <c r="BS518" s="55">
        <v>7.2889999999999997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55">
        <v>0</v>
      </c>
      <c r="CA518" s="55">
        <v>10.220000000000001</v>
      </c>
      <c r="CB518" s="55">
        <v>11.16</v>
      </c>
      <c r="CC518" s="55">
        <v>13.27</v>
      </c>
      <c r="CD518" s="55">
        <v>0</v>
      </c>
      <c r="CE518" s="19">
        <v>0</v>
      </c>
      <c r="CF518" s="19">
        <v>10.1</v>
      </c>
      <c r="CG518" s="4">
        <v>13.05</v>
      </c>
      <c r="CH518" s="4">
        <v>0</v>
      </c>
      <c r="CI518" s="4">
        <v>24.59</v>
      </c>
      <c r="CJ518" s="34">
        <v>0</v>
      </c>
      <c r="CK518" s="34">
        <v>0</v>
      </c>
      <c r="CL518" s="34">
        <v>0</v>
      </c>
      <c r="CM518" s="4">
        <v>0</v>
      </c>
      <c r="CN518" s="53">
        <v>0</v>
      </c>
      <c r="CO518" s="54">
        <v>0</v>
      </c>
      <c r="CP518" s="54">
        <v>0</v>
      </c>
      <c r="CQ518" s="4">
        <v>0</v>
      </c>
    </row>
    <row r="519" spans="1:95" s="55" customFormat="1" x14ac:dyDescent="0.35">
      <c r="A519" s="55">
        <v>518</v>
      </c>
      <c r="B519" s="55" t="s">
        <v>87</v>
      </c>
      <c r="C519" s="27" t="s">
        <v>231</v>
      </c>
      <c r="D519" s="50" t="s">
        <v>94</v>
      </c>
      <c r="E519" s="33" t="s">
        <v>89</v>
      </c>
      <c r="F519" s="4">
        <f>IFERROR(AVERAGEIF(Table1[[#This Row],[2019-Apr]:[2025-July]],"&lt;&gt;0"),0)</f>
        <v>4.1168163265306132</v>
      </c>
      <c r="G519" s="4">
        <f ca="1">IFERROR(AVERAGEIF(OFFSET(Table1[[#This Row],[Status]],0,COUNT(Table1[[#This Row],[2019-May]:[2025-July]]),1,-12),"&lt;&gt;0"),0)</f>
        <v>3.5344444444444449</v>
      </c>
      <c r="H519" s="55">
        <f>IFERROR(SMALL(Table1[[#This Row],[2019-Apr]:[2025-July]],COUNTIF(Table1[[#This Row],[2019-Apr]:[2025-July]],0)+1),0)</f>
        <v>1.734</v>
      </c>
      <c r="I519" s="55">
        <f>IFERROR(MAX(Table1[[#This Row],[2019-Apr]:[2025-July]]),0)</f>
        <v>11.1</v>
      </c>
      <c r="J519" s="4" cm="1">
        <f t="array" ref="J51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2.2206666666666668</v>
      </c>
      <c r="K519" s="4">
        <v>4.5</v>
      </c>
      <c r="L519" s="4">
        <f>IF(Table1[[#This Row],[Standard as per ISO]]&gt;=Table1[[#This Row],[Avg of best 6]],Table1[[#This Row],[Standard as per ISO]],Table1[[#This Row],[Avg of best 6]])</f>
        <v>4.5</v>
      </c>
      <c r="M519" s="4" cm="1">
        <f t="array" ref="M519">IFERROR(LOOKUP(2,1/(Table1[[#This Row],[2019-May]:[2025-July]]&lt;&gt;0),Table1[[#This Row],[2019-May]:[2025-July]]),0)</f>
        <v>3.36</v>
      </c>
      <c r="N519" s="4">
        <f>COUNTIF(Table1[[#This Row],[2019-Apr]:[2025-July]],"&gt;="&amp;Table1[[#This Row],[Target]])</f>
        <v>16</v>
      </c>
      <c r="O519" s="4">
        <f>IF(Table1[[#This Row],[Outliers 2Y]]=0,1,0)</f>
        <v>0</v>
      </c>
      <c r="P519" s="4">
        <f>IF(Table1[[#This Row],[Last value]]&gt;1.5*Table1[[#This Row],[Target]],1,0)</f>
        <v>0</v>
      </c>
      <c r="Q519" s="4">
        <f>IF(AND(1.5*Table1[[#This Row],[Target]]&gt;=Table1[[#This Row],[Last value]],Table1[[#This Row],[Last value]]&gt;Table1[[#This Row],[Target]]),1,0)</f>
        <v>0</v>
      </c>
      <c r="R519" s="4">
        <f>IF(Table1[[#This Row],[Target]]&gt;=Table1[[#This Row],[Last value]],1,0)</f>
        <v>1</v>
      </c>
      <c r="S519" s="4" t="str">
        <f t="shared" si="10"/>
        <v>Green</v>
      </c>
      <c r="T519" s="55">
        <v>0</v>
      </c>
      <c r="U519" s="55">
        <v>2.2599999999999998</v>
      </c>
      <c r="V519" s="55">
        <v>2.7</v>
      </c>
      <c r="W519" s="55">
        <v>4.9000000000000004</v>
      </c>
      <c r="X519" s="55">
        <v>2.2599999999999998</v>
      </c>
      <c r="Y519" s="55">
        <v>2.78</v>
      </c>
      <c r="Z519" s="55">
        <v>0</v>
      </c>
      <c r="AA519" s="55">
        <v>3.8</v>
      </c>
      <c r="AB519" s="55">
        <v>2.71</v>
      </c>
      <c r="AC519" s="55">
        <v>2.7</v>
      </c>
      <c r="AD519" s="55">
        <v>2.64</v>
      </c>
      <c r="AE519" s="55">
        <v>11.1</v>
      </c>
      <c r="AF519" s="55">
        <v>8.5</v>
      </c>
      <c r="AG519" s="55">
        <v>0</v>
      </c>
      <c r="AH519" s="55">
        <v>0</v>
      </c>
      <c r="AI519" s="55">
        <v>5.67</v>
      </c>
      <c r="AJ519" s="55">
        <v>0</v>
      </c>
      <c r="AK519" s="55">
        <v>5.48</v>
      </c>
      <c r="AL519" s="55">
        <v>0</v>
      </c>
      <c r="AM519" s="55">
        <v>9.7799999999999994</v>
      </c>
      <c r="AN519" s="55">
        <v>5.5</v>
      </c>
      <c r="AO519" s="55">
        <v>6</v>
      </c>
      <c r="AP519" s="55">
        <v>0</v>
      </c>
      <c r="AQ519" s="55">
        <v>0</v>
      </c>
      <c r="AR519" s="8">
        <v>4.0199999999999996</v>
      </c>
      <c r="AS519" s="8">
        <v>3.57</v>
      </c>
      <c r="AT519" s="8">
        <v>0</v>
      </c>
      <c r="AU519" s="50">
        <v>5.21</v>
      </c>
      <c r="AV519" s="50">
        <v>3.99</v>
      </c>
      <c r="AW519" s="50">
        <v>3.44</v>
      </c>
      <c r="AX519" s="50">
        <v>0</v>
      </c>
      <c r="AY519" s="50">
        <v>8.0500000000000007</v>
      </c>
      <c r="AZ519" s="50">
        <v>4.6100000000000003</v>
      </c>
      <c r="BA519" s="50">
        <v>4.9000000000000004</v>
      </c>
      <c r="BB519" s="50">
        <v>2.5</v>
      </c>
      <c r="BC519" s="55">
        <v>4</v>
      </c>
      <c r="BD519" s="55">
        <v>3.7</v>
      </c>
      <c r="BE519" s="11">
        <v>2.5750000000000002</v>
      </c>
      <c r="BF519" s="4">
        <v>0</v>
      </c>
      <c r="BG519" s="4">
        <v>2.4900000000000002</v>
      </c>
      <c r="BH519" s="4">
        <v>0</v>
      </c>
      <c r="BI519" s="4">
        <v>2.4900000000000002</v>
      </c>
      <c r="BJ519" s="14">
        <v>0</v>
      </c>
      <c r="BK519" s="14">
        <v>0</v>
      </c>
      <c r="BL519" s="4">
        <v>4.1870000000000003</v>
      </c>
      <c r="BM519" s="17">
        <v>0</v>
      </c>
      <c r="BN519" s="4">
        <v>4.0439999999999996</v>
      </c>
      <c r="BO519" s="4">
        <v>0</v>
      </c>
      <c r="BP519" s="4">
        <v>1.734</v>
      </c>
      <c r="BQ519" s="4">
        <v>0</v>
      </c>
      <c r="BR519" s="4">
        <v>0</v>
      </c>
      <c r="BS519" s="55">
        <v>4.7880000000000003</v>
      </c>
      <c r="BT519" s="4">
        <v>0</v>
      </c>
      <c r="BU519" s="4">
        <v>2.89</v>
      </c>
      <c r="BV519" s="4">
        <v>0</v>
      </c>
      <c r="BW519" s="4">
        <v>0</v>
      </c>
      <c r="BX519" s="4">
        <v>0</v>
      </c>
      <c r="BY519" s="4">
        <v>2.5960000000000001</v>
      </c>
      <c r="BZ519" s="55">
        <v>4.7699999999999996</v>
      </c>
      <c r="CA519" s="55">
        <v>2.09</v>
      </c>
      <c r="CB519" s="55">
        <v>5.13</v>
      </c>
      <c r="CC519" s="55">
        <v>0</v>
      </c>
      <c r="CD519" s="55">
        <v>0</v>
      </c>
      <c r="CE519" s="19">
        <v>5.4</v>
      </c>
      <c r="CF519" s="19">
        <v>0</v>
      </c>
      <c r="CG519" s="4">
        <v>3.63</v>
      </c>
      <c r="CH519" s="4">
        <v>0</v>
      </c>
      <c r="CI519" s="4">
        <v>2.56</v>
      </c>
      <c r="CJ519" s="34">
        <v>0</v>
      </c>
      <c r="CK519" s="34">
        <v>3.8</v>
      </c>
      <c r="CL519" s="43">
        <v>2.6</v>
      </c>
      <c r="CM519" s="4">
        <v>2.6</v>
      </c>
      <c r="CN519" s="53">
        <v>4.0999999999999996</v>
      </c>
      <c r="CO519" s="54">
        <v>4.0999999999999996</v>
      </c>
      <c r="CP519" s="54">
        <v>3.02</v>
      </c>
      <c r="CQ519" s="4">
        <v>3.36</v>
      </c>
    </row>
    <row r="520" spans="1:95" s="55" customFormat="1" x14ac:dyDescent="0.35">
      <c r="A520" s="55">
        <v>519</v>
      </c>
      <c r="B520" s="55" t="s">
        <v>87</v>
      </c>
      <c r="C520" s="27" t="s">
        <v>232</v>
      </c>
      <c r="D520" s="50" t="s">
        <v>94</v>
      </c>
      <c r="E520" s="33" t="s">
        <v>89</v>
      </c>
      <c r="F520" s="4">
        <f>IFERROR(AVERAGEIF(Table1[[#This Row],[2019-Apr]:[2025-July]],"&lt;&gt;0"),0)</f>
        <v>4.2478333333333333</v>
      </c>
      <c r="G520" s="4">
        <f ca="1">IFERROR(AVERAGEIF(OFFSET(Table1[[#This Row],[Status]],0,COUNT(Table1[[#This Row],[2019-May]:[2025-July]]),1,-12),"&lt;&gt;0"),0)</f>
        <v>3.7450000000000001</v>
      </c>
      <c r="H520" s="55">
        <f>IFERROR(SMALL(Table1[[#This Row],[2019-Apr]:[2025-July]],COUNTIF(Table1[[#This Row],[2019-Apr]:[2025-July]],0)+1),0)</f>
        <v>1.31</v>
      </c>
      <c r="I520" s="55">
        <f>IFERROR(MAX(Table1[[#This Row],[2019-Apr]:[2025-July]]),0)</f>
        <v>11.3</v>
      </c>
      <c r="J520" s="4" cm="1">
        <f t="array" ref="J52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1.7033333333333331</v>
      </c>
      <c r="K520" s="4">
        <v>4.5</v>
      </c>
      <c r="L520" s="4">
        <f>IF(Table1[[#This Row],[Standard as per ISO]]&gt;=Table1[[#This Row],[Avg of best 6]],Table1[[#This Row],[Standard as per ISO]],Table1[[#This Row],[Avg of best 6]])</f>
        <v>4.5</v>
      </c>
      <c r="M520" s="4" cm="1">
        <f t="array" ref="M520">IFERROR(LOOKUP(2,1/(Table1[[#This Row],[2019-May]:[2025-July]]&lt;&gt;0),Table1[[#This Row],[2019-May]:[2025-July]]),0)</f>
        <v>3.26</v>
      </c>
      <c r="N520" s="4">
        <f>COUNTIF(Table1[[#This Row],[2019-Apr]:[2025-July]],"&gt;="&amp;Table1[[#This Row],[Target]])</f>
        <v>17</v>
      </c>
      <c r="O520" s="4">
        <f>IF(Table1[[#This Row],[Outliers 2Y]]=0,1,0)</f>
        <v>0</v>
      </c>
      <c r="P520" s="4">
        <f>IF(Table1[[#This Row],[Last value]]&gt;1.5*Table1[[#This Row],[Target]],1,0)</f>
        <v>0</v>
      </c>
      <c r="Q520" s="4">
        <f>IF(AND(1.5*Table1[[#This Row],[Target]]&gt;=Table1[[#This Row],[Last value]],Table1[[#This Row],[Last value]]&gt;Table1[[#This Row],[Target]]),1,0)</f>
        <v>0</v>
      </c>
      <c r="R520" s="4">
        <f>IF(Table1[[#This Row],[Target]]&gt;=Table1[[#This Row],[Last value]],1,0)</f>
        <v>1</v>
      </c>
      <c r="S520" s="4" t="str">
        <f t="shared" si="10"/>
        <v>Green</v>
      </c>
      <c r="T520" s="55">
        <v>0</v>
      </c>
      <c r="U520" s="55">
        <v>6.73</v>
      </c>
      <c r="V520" s="55">
        <v>0</v>
      </c>
      <c r="W520" s="55">
        <v>0</v>
      </c>
      <c r="X520" s="55">
        <v>1.31</v>
      </c>
      <c r="Y520" s="55">
        <v>1.99</v>
      </c>
      <c r="Z520" s="55">
        <v>2.95</v>
      </c>
      <c r="AA520" s="55">
        <v>0</v>
      </c>
      <c r="AB520" s="55">
        <v>2.95</v>
      </c>
      <c r="AC520" s="55">
        <v>0</v>
      </c>
      <c r="AD520" s="55">
        <v>0</v>
      </c>
      <c r="AE520" s="55">
        <v>0</v>
      </c>
      <c r="AF520" s="55">
        <v>0</v>
      </c>
      <c r="AG520" s="55">
        <v>4.6399999999999997</v>
      </c>
      <c r="AH520" s="55">
        <v>1.42</v>
      </c>
      <c r="AI520" s="55">
        <v>0</v>
      </c>
      <c r="AJ520" s="55">
        <v>6.4</v>
      </c>
      <c r="AK520" s="55">
        <v>7.01</v>
      </c>
      <c r="AL520" s="55">
        <v>5.28</v>
      </c>
      <c r="AM520" s="55">
        <v>5.73</v>
      </c>
      <c r="AN520" s="55">
        <v>8.6999999999999993</v>
      </c>
      <c r="AO520" s="55">
        <v>0</v>
      </c>
      <c r="AP520" s="55">
        <v>6.14</v>
      </c>
      <c r="AQ520" s="55">
        <v>4.8099999999999996</v>
      </c>
      <c r="AR520" s="8">
        <v>6.16</v>
      </c>
      <c r="AS520" s="8">
        <v>0</v>
      </c>
      <c r="AT520" s="8">
        <v>0</v>
      </c>
      <c r="AU520" s="50">
        <v>11.3</v>
      </c>
      <c r="AV520" s="50">
        <v>8.51</v>
      </c>
      <c r="AW520" s="50">
        <v>0</v>
      </c>
      <c r="AX520" s="50">
        <v>4.26</v>
      </c>
      <c r="AY520" s="50">
        <v>0</v>
      </c>
      <c r="AZ520" s="50">
        <v>1.95</v>
      </c>
      <c r="BA520" s="50">
        <v>7.4</v>
      </c>
      <c r="BB520" s="50">
        <v>2.1</v>
      </c>
      <c r="BC520" s="55">
        <v>2.1</v>
      </c>
      <c r="BD520" s="55">
        <v>0</v>
      </c>
      <c r="BE520" s="11">
        <v>0</v>
      </c>
      <c r="BF520" s="4">
        <v>0</v>
      </c>
      <c r="BG520" s="4">
        <v>1.93</v>
      </c>
      <c r="BH520" s="4">
        <v>0</v>
      </c>
      <c r="BI520" s="4">
        <v>0</v>
      </c>
      <c r="BJ520" s="13">
        <v>4.9260000000000002</v>
      </c>
      <c r="BK520" s="13">
        <v>0</v>
      </c>
      <c r="BL520" s="4">
        <v>0</v>
      </c>
      <c r="BM520" s="16">
        <v>0</v>
      </c>
      <c r="BN520" s="4">
        <v>0</v>
      </c>
      <c r="BO520" s="4">
        <v>0</v>
      </c>
      <c r="BP520" s="4">
        <v>3.3420000000000001</v>
      </c>
      <c r="BQ520" s="4">
        <v>0</v>
      </c>
      <c r="BR520" s="4">
        <v>3.43</v>
      </c>
      <c r="BS520" s="55">
        <v>0</v>
      </c>
      <c r="BT520" s="4">
        <v>0</v>
      </c>
      <c r="BU520" s="4">
        <v>0</v>
      </c>
      <c r="BV520" s="4">
        <v>3.4209999999999998</v>
      </c>
      <c r="BW520" s="4">
        <v>2.5329999999999999</v>
      </c>
      <c r="BX520" s="4">
        <v>2.7770000000000001</v>
      </c>
      <c r="BY520" s="4">
        <v>0</v>
      </c>
      <c r="BZ520" s="55">
        <v>0</v>
      </c>
      <c r="CA520" s="55">
        <v>1.62</v>
      </c>
      <c r="CB520" s="55">
        <v>3.88</v>
      </c>
      <c r="CC520" s="55">
        <v>0</v>
      </c>
      <c r="CD520" s="55">
        <v>0</v>
      </c>
      <c r="CE520" s="19">
        <v>4.9000000000000004</v>
      </c>
      <c r="CF520" s="19">
        <v>5.7</v>
      </c>
      <c r="CG520" s="4">
        <v>2.6</v>
      </c>
      <c r="CH520" s="4">
        <v>0</v>
      </c>
      <c r="CI520" s="4">
        <v>4.09</v>
      </c>
      <c r="CJ520" s="34">
        <v>0</v>
      </c>
      <c r="CK520" s="34">
        <v>4.8</v>
      </c>
      <c r="CL520" s="43">
        <v>2.6</v>
      </c>
      <c r="CM520" s="4">
        <v>3.1</v>
      </c>
      <c r="CN520" s="53">
        <v>3.7</v>
      </c>
      <c r="CO520" s="54">
        <v>3.1</v>
      </c>
      <c r="CP520" s="54">
        <v>2.86</v>
      </c>
      <c r="CQ520" s="4">
        <v>3.26</v>
      </c>
    </row>
    <row r="521" spans="1:95" s="55" customFormat="1" x14ac:dyDescent="0.35">
      <c r="A521" s="55">
        <v>520</v>
      </c>
      <c r="B521" s="55" t="s">
        <v>87</v>
      </c>
      <c r="C521" s="27" t="s">
        <v>233</v>
      </c>
      <c r="D521" s="50" t="s">
        <v>94</v>
      </c>
      <c r="E521" s="33" t="s">
        <v>89</v>
      </c>
      <c r="F521" s="4">
        <f>IFERROR(AVERAGEIF(Table1[[#This Row],[2019-Apr]:[2025-July]],"&lt;&gt;0"),0)</f>
        <v>3.4399999999999991</v>
      </c>
      <c r="G521" s="4">
        <f ca="1">IFERROR(AVERAGEIF(OFFSET(Table1[[#This Row],[Status]],0,COUNT(Table1[[#This Row],[2019-May]:[2025-July]]),1,-12),"&lt;&gt;0"),0)</f>
        <v>4.0999999999999996</v>
      </c>
      <c r="H521" s="55">
        <f>IFERROR(SMALL(Table1[[#This Row],[2019-Apr]:[2025-July]],COUNTIF(Table1[[#This Row],[2019-Apr]:[2025-July]],0)+1),0)</f>
        <v>1.413</v>
      </c>
      <c r="I521" s="55">
        <f>IFERROR(MAX(Table1[[#This Row],[2019-Apr]:[2025-July]]),0)</f>
        <v>8.16</v>
      </c>
      <c r="J521" s="4" cm="1">
        <f t="array" ref="J52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1.9694999999999998</v>
      </c>
      <c r="K521" s="4">
        <v>4.5</v>
      </c>
      <c r="L521" s="4">
        <f>IF(Table1[[#This Row],[Standard as per ISO]]&gt;=Table1[[#This Row],[Avg of best 6]],Table1[[#This Row],[Standard as per ISO]],Table1[[#This Row],[Avg of best 6]])</f>
        <v>4.5</v>
      </c>
      <c r="M521" s="4" cm="1">
        <f t="array" ref="M521">IFERROR(LOOKUP(2,1/(Table1[[#This Row],[2019-May]:[2025-July]]&lt;&gt;0),Table1[[#This Row],[2019-May]:[2025-July]]),0)</f>
        <v>4.0999999999999996</v>
      </c>
      <c r="N521" s="4">
        <f>COUNTIF(Table1[[#This Row],[2019-Apr]:[2025-July]],"&gt;="&amp;Table1[[#This Row],[Target]])</f>
        <v>3</v>
      </c>
      <c r="O521" s="4">
        <f>IF(Table1[[#This Row],[Outliers 2Y]]=0,1,0)</f>
        <v>0</v>
      </c>
      <c r="P521" s="4">
        <f>IF(Table1[[#This Row],[Last value]]&gt;1.5*Table1[[#This Row],[Target]],1,0)</f>
        <v>0</v>
      </c>
      <c r="Q521" s="4">
        <f>IF(AND(1.5*Table1[[#This Row],[Target]]&gt;=Table1[[#This Row],[Last value]],Table1[[#This Row],[Last value]]&gt;Table1[[#This Row],[Target]]),1,0)</f>
        <v>0</v>
      </c>
      <c r="R521" s="4">
        <f>IF(Table1[[#This Row],[Target]]&gt;=Table1[[#This Row],[Last value]],1,0)</f>
        <v>1</v>
      </c>
      <c r="S521" s="4" t="str">
        <f t="shared" si="10"/>
        <v>Green</v>
      </c>
      <c r="T521" s="55">
        <v>0</v>
      </c>
      <c r="U521" s="55">
        <v>4.16</v>
      </c>
      <c r="V521" s="55">
        <v>2.66</v>
      </c>
      <c r="W521" s="55">
        <v>3.3</v>
      </c>
      <c r="X521" s="55">
        <v>0</v>
      </c>
      <c r="Y521" s="55">
        <v>2.5299999999999998</v>
      </c>
      <c r="Z521" s="55">
        <v>0</v>
      </c>
      <c r="AA521" s="55">
        <v>4.05</v>
      </c>
      <c r="AB521" s="55">
        <v>2.69</v>
      </c>
      <c r="AC521" s="55">
        <v>2.2999999999999998</v>
      </c>
      <c r="AD521" s="55">
        <v>3.25</v>
      </c>
      <c r="AE521" s="55">
        <v>2.6</v>
      </c>
      <c r="AF521" s="55">
        <v>2.6</v>
      </c>
      <c r="AG521" s="55">
        <v>2.2799999999999998</v>
      </c>
      <c r="AH521" s="55">
        <v>2.99</v>
      </c>
      <c r="AI521" s="55">
        <v>3.35</v>
      </c>
      <c r="AJ521" s="55">
        <v>3.45</v>
      </c>
      <c r="AK521" s="55">
        <v>0</v>
      </c>
      <c r="AL521" s="55">
        <v>2.15</v>
      </c>
      <c r="AM521" s="55">
        <v>0</v>
      </c>
      <c r="AN521" s="55">
        <v>0</v>
      </c>
      <c r="AO521" s="55">
        <v>4</v>
      </c>
      <c r="AP521" s="55">
        <v>4.09</v>
      </c>
      <c r="AQ521" s="55">
        <v>2.78</v>
      </c>
      <c r="AR521" s="8">
        <v>0</v>
      </c>
      <c r="AS521" s="8">
        <v>3.08</v>
      </c>
      <c r="AT521" s="8">
        <v>0</v>
      </c>
      <c r="AU521" s="50">
        <v>1.61</v>
      </c>
      <c r="AV521" s="50">
        <v>8.16</v>
      </c>
      <c r="AW521" s="50">
        <v>3.21</v>
      </c>
      <c r="AX521" s="50">
        <v>4.2699999999999996</v>
      </c>
      <c r="AY521" s="50">
        <v>7.08</v>
      </c>
      <c r="AZ521" s="50">
        <v>0</v>
      </c>
      <c r="BA521" s="50">
        <v>3.9</v>
      </c>
      <c r="BB521" s="50">
        <v>0</v>
      </c>
      <c r="BC521" s="50">
        <v>0</v>
      </c>
      <c r="BD521" s="55">
        <v>2.5</v>
      </c>
      <c r="BE521" s="11">
        <v>2.097</v>
      </c>
      <c r="BF521" s="4">
        <v>0</v>
      </c>
      <c r="BG521" s="4">
        <v>0</v>
      </c>
      <c r="BH521" s="4">
        <v>0</v>
      </c>
      <c r="BI521" s="4">
        <v>3.79</v>
      </c>
      <c r="BJ521" s="14">
        <v>4.1689999999999996</v>
      </c>
      <c r="BK521" s="14">
        <v>0</v>
      </c>
      <c r="BL521" s="4">
        <v>6.1840000000000002</v>
      </c>
      <c r="BM521" s="17">
        <v>0</v>
      </c>
      <c r="BN521" s="4">
        <v>4.274</v>
      </c>
      <c r="BO521" s="4">
        <v>0</v>
      </c>
      <c r="BP521" s="4">
        <v>0</v>
      </c>
      <c r="BQ521" s="4">
        <v>0</v>
      </c>
      <c r="BR521" s="4">
        <v>3.4740000000000002</v>
      </c>
      <c r="BS521" s="55">
        <v>3.4670000000000001</v>
      </c>
      <c r="BT521" s="4">
        <v>0</v>
      </c>
      <c r="BU521" s="4">
        <v>3.1219999999999999</v>
      </c>
      <c r="BV521" s="4">
        <v>2.3919999999999999</v>
      </c>
      <c r="BW521" s="4">
        <v>2.2669999999999999</v>
      </c>
      <c r="BX521" s="4">
        <v>2.8610000000000002</v>
      </c>
      <c r="BY521" s="4">
        <v>1.413</v>
      </c>
      <c r="BZ521" s="55">
        <v>3.95</v>
      </c>
      <c r="CA521" s="55">
        <v>0</v>
      </c>
      <c r="CB521" s="55">
        <v>4.4400000000000004</v>
      </c>
      <c r="CC521" s="55">
        <v>0</v>
      </c>
      <c r="CD521" s="55">
        <v>0</v>
      </c>
      <c r="CE521" s="19">
        <v>0</v>
      </c>
      <c r="CF521" s="19">
        <v>4.0999999999999996</v>
      </c>
      <c r="CG521" s="4">
        <v>0</v>
      </c>
      <c r="CH521" s="4">
        <v>0</v>
      </c>
      <c r="CI521" s="4">
        <v>0</v>
      </c>
      <c r="CJ521" s="34">
        <v>0</v>
      </c>
      <c r="CK521" s="34">
        <v>0</v>
      </c>
      <c r="CL521" s="43">
        <v>0</v>
      </c>
      <c r="CM521" s="4">
        <v>0</v>
      </c>
      <c r="CN521" s="53">
        <v>0</v>
      </c>
      <c r="CO521" s="54">
        <v>0</v>
      </c>
      <c r="CP521" s="54">
        <v>0</v>
      </c>
      <c r="CQ521" s="4">
        <v>0</v>
      </c>
    </row>
    <row r="522" spans="1:95" s="55" customFormat="1" x14ac:dyDescent="0.35">
      <c r="A522" s="55">
        <v>521</v>
      </c>
      <c r="B522" s="55" t="s">
        <v>87</v>
      </c>
      <c r="C522" s="27" t="s">
        <v>234</v>
      </c>
      <c r="D522" s="50" t="s">
        <v>94</v>
      </c>
      <c r="E522" s="33" t="s">
        <v>89</v>
      </c>
      <c r="F522" s="4">
        <f>IFERROR(AVERAGEIF(Table1[[#This Row],[2019-Apr]:[2025-July]],"&lt;&gt;0"),0)</f>
        <v>2.6142909090909088</v>
      </c>
      <c r="G522" s="4">
        <f ca="1">IFERROR(AVERAGEIF(OFFSET(Table1[[#This Row],[Status]],0,COUNT(Table1[[#This Row],[2019-May]:[2025-July]]),1,-12),"&lt;&gt;0"),0)</f>
        <v>2.50875</v>
      </c>
      <c r="H522" s="55">
        <f>IFERROR(SMALL(Table1[[#This Row],[2019-Apr]:[2025-July]],COUNTIF(Table1[[#This Row],[2019-Apr]:[2025-July]],0)+1),0)</f>
        <v>1.18</v>
      </c>
      <c r="I522" s="55">
        <f>IFERROR(MAX(Table1[[#This Row],[2019-Apr]:[2025-July]]),0)</f>
        <v>9.7070000000000007</v>
      </c>
      <c r="J522" s="4" cm="1">
        <f t="array" ref="J52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1.3173333333333332</v>
      </c>
      <c r="K522" s="4">
        <v>4.5</v>
      </c>
      <c r="L522" s="4">
        <f>IF(Table1[[#This Row],[Standard as per ISO]]&gt;=Table1[[#This Row],[Avg of best 6]],Table1[[#This Row],[Standard as per ISO]],Table1[[#This Row],[Avg of best 6]])</f>
        <v>4.5</v>
      </c>
      <c r="M522" s="4" cm="1">
        <f t="array" ref="M522">IFERROR(LOOKUP(2,1/(Table1[[#This Row],[2019-May]:[2025-July]]&lt;&gt;0),Table1[[#This Row],[2019-May]:[2025-July]]),0)</f>
        <v>4.3</v>
      </c>
      <c r="N522" s="4">
        <f>COUNTIF(Table1[[#This Row],[2019-Apr]:[2025-July]],"&gt;="&amp;Table1[[#This Row],[Target]])</f>
        <v>5</v>
      </c>
      <c r="O522" s="4">
        <f>IF(Table1[[#This Row],[Outliers 2Y]]=0,1,0)</f>
        <v>0</v>
      </c>
      <c r="P522" s="4">
        <f>IF(Table1[[#This Row],[Last value]]&gt;1.5*Table1[[#This Row],[Target]],1,0)</f>
        <v>0</v>
      </c>
      <c r="Q522" s="4">
        <f>IF(AND(1.5*Table1[[#This Row],[Target]]&gt;=Table1[[#This Row],[Last value]],Table1[[#This Row],[Last value]]&gt;Table1[[#This Row],[Target]]),1,0)</f>
        <v>0</v>
      </c>
      <c r="R522" s="4">
        <f>IF(Table1[[#This Row],[Target]]&gt;=Table1[[#This Row],[Last value]],1,0)</f>
        <v>1</v>
      </c>
      <c r="S522" s="4" t="str">
        <f t="shared" si="10"/>
        <v>Green</v>
      </c>
      <c r="T522" s="55">
        <v>0</v>
      </c>
      <c r="U522" s="55">
        <v>1.21</v>
      </c>
      <c r="V522" s="55">
        <v>1.94</v>
      </c>
      <c r="W522" s="55">
        <v>1.18</v>
      </c>
      <c r="X522" s="55">
        <v>2.4900000000000002</v>
      </c>
      <c r="Y522" s="55">
        <v>1.88</v>
      </c>
      <c r="Z522" s="55">
        <v>5.52</v>
      </c>
      <c r="AA522" s="55">
        <v>1.9</v>
      </c>
      <c r="AB522" s="55">
        <v>2.41</v>
      </c>
      <c r="AC522" s="55">
        <v>1.4</v>
      </c>
      <c r="AD522" s="55">
        <v>0</v>
      </c>
      <c r="AE522" s="55">
        <v>1.7</v>
      </c>
      <c r="AF522" s="55">
        <v>1.8</v>
      </c>
      <c r="AG522" s="55">
        <v>0</v>
      </c>
      <c r="AH522" s="55">
        <v>0</v>
      </c>
      <c r="AI522" s="55">
        <v>1.36</v>
      </c>
      <c r="AJ522" s="55">
        <v>2</v>
      </c>
      <c r="AK522" s="55">
        <v>2.54</v>
      </c>
      <c r="AL522" s="55">
        <v>3.34</v>
      </c>
      <c r="AM522" s="55">
        <v>2.42</v>
      </c>
      <c r="AN522" s="55">
        <v>1.7</v>
      </c>
      <c r="AO522" s="55">
        <v>1.81</v>
      </c>
      <c r="AP522" s="55">
        <v>1.76</v>
      </c>
      <c r="AQ522" s="55">
        <v>3.28</v>
      </c>
      <c r="AR522" s="8">
        <v>3.93</v>
      </c>
      <c r="AS522" s="8">
        <v>2.58</v>
      </c>
      <c r="AT522" s="8">
        <v>0</v>
      </c>
      <c r="AU522" s="50">
        <v>4.97</v>
      </c>
      <c r="AV522" s="50">
        <v>2.5299999999999998</v>
      </c>
      <c r="AW522" s="50">
        <v>2.44</v>
      </c>
      <c r="AX522" s="50">
        <v>2.72</v>
      </c>
      <c r="AY522" s="50">
        <v>2.65</v>
      </c>
      <c r="AZ522" s="50">
        <v>2.57</v>
      </c>
      <c r="BA522" s="50">
        <v>1.8</v>
      </c>
      <c r="BB522" s="50">
        <v>2.1</v>
      </c>
      <c r="BC522" s="50">
        <v>0</v>
      </c>
      <c r="BD522" s="55">
        <v>2.6</v>
      </c>
      <c r="BE522" s="11">
        <v>5.4740000000000002</v>
      </c>
      <c r="BF522" s="4">
        <v>0</v>
      </c>
      <c r="BG522" s="4">
        <v>5.0999999999999996</v>
      </c>
      <c r="BH522" s="4">
        <v>0</v>
      </c>
      <c r="BI522" s="4">
        <v>3.33</v>
      </c>
      <c r="BJ522" s="13">
        <v>2.6589999999999998</v>
      </c>
      <c r="BK522" s="13">
        <v>0</v>
      </c>
      <c r="BL522" s="4">
        <v>9.7070000000000007</v>
      </c>
      <c r="BM522" s="16">
        <v>0</v>
      </c>
      <c r="BN522" s="4">
        <v>1.4059999999999999</v>
      </c>
      <c r="BO522" s="4">
        <v>0</v>
      </c>
      <c r="BP522" s="4">
        <v>0</v>
      </c>
      <c r="BQ522" s="4">
        <v>0</v>
      </c>
      <c r="BR522" s="4">
        <v>1.5840000000000001</v>
      </c>
      <c r="BS522" s="55">
        <v>1.3480000000000001</v>
      </c>
      <c r="BT522" s="4">
        <v>0</v>
      </c>
      <c r="BU522" s="4">
        <v>1.734</v>
      </c>
      <c r="BV522" s="4">
        <v>1.542</v>
      </c>
      <c r="BW522" s="4">
        <v>1.5529999999999999</v>
      </c>
      <c r="BX522" s="4">
        <v>1.6779999999999999</v>
      </c>
      <c r="BY522" s="4">
        <v>3.8410000000000002</v>
      </c>
      <c r="BZ522" s="55">
        <v>1.79</v>
      </c>
      <c r="CA522" s="55">
        <v>0</v>
      </c>
      <c r="CB522" s="55">
        <v>2.14</v>
      </c>
      <c r="CC522" s="55">
        <v>0</v>
      </c>
      <c r="CD522" s="55">
        <v>0</v>
      </c>
      <c r="CE522" s="19">
        <v>2.7</v>
      </c>
      <c r="CF522" s="19">
        <v>2.1</v>
      </c>
      <c r="CG522" s="4">
        <v>0</v>
      </c>
      <c r="CH522" s="4">
        <v>0</v>
      </c>
      <c r="CI522" s="4">
        <v>1.79</v>
      </c>
      <c r="CJ522" s="34">
        <v>0</v>
      </c>
      <c r="CK522" s="34">
        <v>2</v>
      </c>
      <c r="CL522" s="43">
        <v>2.6</v>
      </c>
      <c r="CM522" s="4">
        <v>2.6</v>
      </c>
      <c r="CN522" s="53">
        <v>3.23</v>
      </c>
      <c r="CO522" s="54">
        <v>0</v>
      </c>
      <c r="CP522" s="54">
        <v>3.05</v>
      </c>
      <c r="CQ522" s="4">
        <v>4.3</v>
      </c>
    </row>
    <row r="523" spans="1:95" s="55" customFormat="1" x14ac:dyDescent="0.35">
      <c r="A523" s="55">
        <v>522</v>
      </c>
      <c r="B523" s="55" t="s">
        <v>87</v>
      </c>
      <c r="C523" s="27" t="s">
        <v>235</v>
      </c>
      <c r="D523" s="50" t="s">
        <v>94</v>
      </c>
      <c r="E523" s="33" t="s">
        <v>89</v>
      </c>
      <c r="F523" s="4">
        <f>IFERROR(AVERAGEIF(Table1[[#This Row],[2019-Apr]:[2025-July]],"&lt;&gt;0"),0)</f>
        <v>2.3406585365853658</v>
      </c>
      <c r="G523" s="4">
        <f ca="1">IFERROR(AVERAGEIF(OFFSET(Table1[[#This Row],[Status]],0,COUNT(Table1[[#This Row],[2019-May]:[2025-July]]),1,-12),"&lt;&gt;0"),0)</f>
        <v>2.245714285714286</v>
      </c>
      <c r="H523" s="55">
        <f>IFERROR(SMALL(Table1[[#This Row],[2019-Apr]:[2025-July]],COUNTIF(Table1[[#This Row],[2019-Apr]:[2025-July]],0)+1),0)</f>
        <v>0.7</v>
      </c>
      <c r="I523" s="55">
        <f>IFERROR(MAX(Table1[[#This Row],[2019-Apr]:[2025-July]]),0)</f>
        <v>10.8</v>
      </c>
      <c r="J523" s="4" cm="1">
        <f t="array" ref="J52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1.25</v>
      </c>
      <c r="K523" s="4">
        <v>4.5</v>
      </c>
      <c r="L523" s="4">
        <f>IF(Table1[[#This Row],[Standard as per ISO]]&gt;=Table1[[#This Row],[Avg of best 6]],Table1[[#This Row],[Standard as per ISO]],Table1[[#This Row],[Avg of best 6]])</f>
        <v>4.5</v>
      </c>
      <c r="M523" s="4" cm="1">
        <f t="array" ref="M523">IFERROR(LOOKUP(2,1/(Table1[[#This Row],[2019-May]:[2025-July]]&lt;&gt;0),Table1[[#This Row],[2019-May]:[2025-July]]),0)</f>
        <v>2.52</v>
      </c>
      <c r="N523" s="4">
        <f>COUNTIF(Table1[[#This Row],[2019-Apr]:[2025-July]],"&gt;="&amp;Table1[[#This Row],[Target]])</f>
        <v>1</v>
      </c>
      <c r="O523" s="4">
        <f>IF(Table1[[#This Row],[Outliers 2Y]]=0,1,0)</f>
        <v>0</v>
      </c>
      <c r="P523" s="4">
        <f>IF(Table1[[#This Row],[Last value]]&gt;1.5*Table1[[#This Row],[Target]],1,0)</f>
        <v>0</v>
      </c>
      <c r="Q523" s="4">
        <f>IF(AND(1.5*Table1[[#This Row],[Target]]&gt;=Table1[[#This Row],[Last value]],Table1[[#This Row],[Last value]]&gt;Table1[[#This Row],[Target]]),1,0)</f>
        <v>0</v>
      </c>
      <c r="R523" s="4">
        <f>IF(Table1[[#This Row],[Target]]&gt;=Table1[[#This Row],[Last value]],1,0)</f>
        <v>1</v>
      </c>
      <c r="S523" s="4" t="str">
        <f t="shared" si="10"/>
        <v>Green</v>
      </c>
      <c r="T523" s="55">
        <v>0</v>
      </c>
      <c r="U523" s="55">
        <v>2.36</v>
      </c>
      <c r="V523" s="55">
        <v>2.44</v>
      </c>
      <c r="W523" s="55">
        <v>2.04</v>
      </c>
      <c r="X523" s="55">
        <v>0</v>
      </c>
      <c r="Y523" s="55">
        <v>2.27</v>
      </c>
      <c r="Z523" s="55">
        <v>0</v>
      </c>
      <c r="AA523" s="55">
        <v>1.7</v>
      </c>
      <c r="AB523" s="55">
        <v>1.85</v>
      </c>
      <c r="AC523" s="55">
        <v>1.8</v>
      </c>
      <c r="AD523" s="55">
        <v>1.51</v>
      </c>
      <c r="AE523" s="55">
        <v>1.7</v>
      </c>
      <c r="AF523" s="55">
        <v>1.7</v>
      </c>
      <c r="AG523" s="55">
        <v>1.48</v>
      </c>
      <c r="AH523" s="55">
        <v>10.8</v>
      </c>
      <c r="AI523" s="55">
        <v>1.26</v>
      </c>
      <c r="AJ523" s="55">
        <v>1.9</v>
      </c>
      <c r="AK523" s="55">
        <v>1.84</v>
      </c>
      <c r="AL523" s="55">
        <v>1.88</v>
      </c>
      <c r="AM523" s="55">
        <v>0</v>
      </c>
      <c r="AN523" s="55">
        <v>2.2000000000000002</v>
      </c>
      <c r="AO523" s="55">
        <v>1.48</v>
      </c>
      <c r="AP523" s="55">
        <v>0</v>
      </c>
      <c r="AQ523" s="55">
        <v>0</v>
      </c>
      <c r="AR523" s="8">
        <v>0</v>
      </c>
      <c r="AS523" s="8">
        <v>0</v>
      </c>
      <c r="AT523" s="8">
        <v>0</v>
      </c>
      <c r="AU523" s="50">
        <v>3.46</v>
      </c>
      <c r="AV523" s="50">
        <v>0</v>
      </c>
      <c r="AW523" s="50">
        <v>1.89</v>
      </c>
      <c r="AX523" s="50">
        <v>2.08</v>
      </c>
      <c r="AY523" s="50">
        <v>0</v>
      </c>
      <c r="AZ523" s="50">
        <v>2.17</v>
      </c>
      <c r="BA523" s="50">
        <v>0</v>
      </c>
      <c r="BB523" s="50">
        <v>1.4</v>
      </c>
      <c r="BC523" s="55">
        <v>1.3</v>
      </c>
      <c r="BD523" s="55">
        <v>1.6</v>
      </c>
      <c r="BE523" s="11">
        <v>0</v>
      </c>
      <c r="BF523" s="4">
        <v>0</v>
      </c>
      <c r="BG523" s="4">
        <v>0</v>
      </c>
      <c r="BH523" s="4">
        <v>0</v>
      </c>
      <c r="BI523" s="4">
        <v>1.962</v>
      </c>
      <c r="BJ523" s="14">
        <v>0</v>
      </c>
      <c r="BK523" s="14">
        <v>0</v>
      </c>
      <c r="BL523" s="4">
        <v>2.4039999999999999</v>
      </c>
      <c r="BM523" s="17">
        <v>0</v>
      </c>
      <c r="BN523" s="4">
        <v>0</v>
      </c>
      <c r="BO523" s="4">
        <v>0</v>
      </c>
      <c r="BP523" s="4">
        <v>3.6219999999999999</v>
      </c>
      <c r="BQ523" s="4">
        <v>0</v>
      </c>
      <c r="BR523" s="4">
        <v>0</v>
      </c>
      <c r="BS523" s="55">
        <v>0</v>
      </c>
      <c r="BT523" s="4">
        <v>0</v>
      </c>
      <c r="BU523" s="4">
        <v>3.181</v>
      </c>
      <c r="BV523" s="4">
        <v>2.8879999999999999</v>
      </c>
      <c r="BW523" s="4">
        <v>0</v>
      </c>
      <c r="BX523" s="4">
        <v>0</v>
      </c>
      <c r="BY523" s="4">
        <v>0</v>
      </c>
      <c r="BZ523" s="55">
        <v>1.36</v>
      </c>
      <c r="CA523" s="55">
        <v>4.05</v>
      </c>
      <c r="CB523" s="55">
        <v>2.15</v>
      </c>
      <c r="CC523" s="55">
        <v>0</v>
      </c>
      <c r="CD523" s="55">
        <v>0</v>
      </c>
      <c r="CE523" s="19">
        <v>3.1</v>
      </c>
      <c r="CF523" s="19">
        <v>0</v>
      </c>
      <c r="CG523" s="4">
        <v>0</v>
      </c>
      <c r="CH523" s="4">
        <v>0</v>
      </c>
      <c r="CI523" s="4">
        <v>1.84</v>
      </c>
      <c r="CJ523" s="34">
        <v>0</v>
      </c>
      <c r="CK523" s="34">
        <v>1.6</v>
      </c>
      <c r="CL523" s="43">
        <v>0</v>
      </c>
      <c r="CM523" s="4">
        <v>0.7</v>
      </c>
      <c r="CN523" s="53">
        <v>2.98</v>
      </c>
      <c r="CO523" s="54">
        <v>3.2</v>
      </c>
      <c r="CP523" s="54">
        <v>2.2999999999999998</v>
      </c>
      <c r="CQ523" s="4">
        <v>2.52</v>
      </c>
    </row>
    <row r="524" spans="1:95" s="55" customFormat="1" x14ac:dyDescent="0.35">
      <c r="A524" s="55">
        <v>523</v>
      </c>
      <c r="B524" s="55" t="s">
        <v>87</v>
      </c>
      <c r="C524" s="27" t="s">
        <v>236</v>
      </c>
      <c r="D524" s="50" t="s">
        <v>94</v>
      </c>
      <c r="E524" s="33" t="s">
        <v>89</v>
      </c>
      <c r="F524" s="4">
        <f>IFERROR(AVERAGEIF(Table1[[#This Row],[2019-Apr]:[2025-July]],"&lt;&gt;0"),0)</f>
        <v>2.9161290322580644</v>
      </c>
      <c r="G524" s="4">
        <f ca="1">IFERROR(AVERAGEIF(OFFSET(Table1[[#This Row],[Status]],0,COUNT(Table1[[#This Row],[2019-May]:[2025-July]]),1,-12),"&lt;&gt;0"),0)</f>
        <v>2.75</v>
      </c>
      <c r="H524" s="55">
        <f>IFERROR(SMALL(Table1[[#This Row],[2019-Apr]:[2025-July]],COUNTIF(Table1[[#This Row],[2019-Apr]:[2025-July]],0)+1),0)</f>
        <v>1.4</v>
      </c>
      <c r="I524" s="55">
        <f>IFERROR(MAX(Table1[[#This Row],[2019-Apr]:[2025-July]]),0)</f>
        <v>8.2100000000000009</v>
      </c>
      <c r="J524" s="4" cm="1">
        <f t="array" ref="J52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1.8025</v>
      </c>
      <c r="K524" s="4">
        <v>4.5</v>
      </c>
      <c r="L524" s="4">
        <f>IF(Table1[[#This Row],[Standard as per ISO]]&gt;=Table1[[#This Row],[Avg of best 6]],Table1[[#This Row],[Standard as per ISO]],Table1[[#This Row],[Avg of best 6]])</f>
        <v>4.5</v>
      </c>
      <c r="M524" s="4" cm="1">
        <f t="array" ref="M524">IFERROR(LOOKUP(2,1/(Table1[[#This Row],[2019-May]:[2025-July]]&lt;&gt;0),Table1[[#This Row],[2019-May]:[2025-July]]),0)</f>
        <v>3.2</v>
      </c>
      <c r="N524" s="4">
        <f>COUNTIF(Table1[[#This Row],[2019-Apr]:[2025-July]],"&gt;="&amp;Table1[[#This Row],[Target]])</f>
        <v>2</v>
      </c>
      <c r="O524" s="4">
        <f>IF(Table1[[#This Row],[Outliers 2Y]]=0,1,0)</f>
        <v>0</v>
      </c>
      <c r="P524" s="4">
        <f>IF(Table1[[#This Row],[Last value]]&gt;1.5*Table1[[#This Row],[Target]],1,0)</f>
        <v>0</v>
      </c>
      <c r="Q524" s="4">
        <f>IF(AND(1.5*Table1[[#This Row],[Target]]&gt;=Table1[[#This Row],[Last value]],Table1[[#This Row],[Last value]]&gt;Table1[[#This Row],[Target]]),1,0)</f>
        <v>0</v>
      </c>
      <c r="R524" s="4">
        <f>IF(Table1[[#This Row],[Target]]&gt;=Table1[[#This Row],[Last value]],1,0)</f>
        <v>1</v>
      </c>
      <c r="S524" s="4" t="str">
        <f t="shared" si="10"/>
        <v>Green</v>
      </c>
      <c r="T524" s="55">
        <v>0</v>
      </c>
      <c r="U524" s="55">
        <v>1.98</v>
      </c>
      <c r="V524" s="55">
        <v>0</v>
      </c>
      <c r="W524" s="55">
        <v>0</v>
      </c>
      <c r="X524" s="55">
        <v>2.54</v>
      </c>
      <c r="Y524" s="55">
        <v>0</v>
      </c>
      <c r="Z524" s="55">
        <v>2.82</v>
      </c>
      <c r="AA524" s="55">
        <v>0</v>
      </c>
      <c r="AB524" s="55">
        <v>2.82</v>
      </c>
      <c r="AC524" s="55">
        <v>0</v>
      </c>
      <c r="AD524" s="55">
        <v>1.4</v>
      </c>
      <c r="AE524" s="55">
        <v>0</v>
      </c>
      <c r="AF524" s="55">
        <v>0</v>
      </c>
      <c r="AG524" s="55">
        <v>3.14</v>
      </c>
      <c r="AH524" s="55">
        <v>3.41</v>
      </c>
      <c r="AI524" s="55">
        <v>0</v>
      </c>
      <c r="AJ524" s="55">
        <v>0</v>
      </c>
      <c r="AK524" s="55">
        <v>0</v>
      </c>
      <c r="AL524" s="55">
        <v>0</v>
      </c>
      <c r="AM524" s="55">
        <v>8.2100000000000009</v>
      </c>
      <c r="AN524" s="55">
        <v>0</v>
      </c>
      <c r="AO524" s="55">
        <v>0</v>
      </c>
      <c r="AP524" s="55">
        <v>1.78</v>
      </c>
      <c r="AQ524" s="55">
        <v>2.89</v>
      </c>
      <c r="AR524" s="8">
        <v>3.28</v>
      </c>
      <c r="AS524" s="8">
        <v>3.41</v>
      </c>
      <c r="AT524" s="8">
        <v>0</v>
      </c>
      <c r="AU524" s="50">
        <v>0</v>
      </c>
      <c r="AV524" s="50">
        <v>3.69</v>
      </c>
      <c r="AW524" s="50">
        <v>0</v>
      </c>
      <c r="AX524" s="50">
        <v>0</v>
      </c>
      <c r="AY524" s="50">
        <v>2.68</v>
      </c>
      <c r="AZ524" s="50">
        <v>0</v>
      </c>
      <c r="BA524" s="50">
        <v>1.7</v>
      </c>
      <c r="BB524" s="50">
        <v>0</v>
      </c>
      <c r="BC524" s="55">
        <v>1.8</v>
      </c>
      <c r="BD524" s="55">
        <v>0</v>
      </c>
      <c r="BE524" s="11">
        <v>2.4710000000000001</v>
      </c>
      <c r="BF524" s="4">
        <v>0</v>
      </c>
      <c r="BG524" s="4">
        <v>4.5</v>
      </c>
      <c r="BH524" s="4">
        <v>0</v>
      </c>
      <c r="BI524" s="4">
        <v>0</v>
      </c>
      <c r="BJ524" s="13">
        <v>3.8809999999999998</v>
      </c>
      <c r="BK524" s="13">
        <v>0</v>
      </c>
      <c r="BL524" s="4">
        <v>0</v>
      </c>
      <c r="BM524" s="16">
        <v>0</v>
      </c>
      <c r="BN524" s="4">
        <v>2.1549999999999998</v>
      </c>
      <c r="BO524" s="4">
        <v>0</v>
      </c>
      <c r="BP524" s="4">
        <v>2.38</v>
      </c>
      <c r="BQ524" s="4">
        <v>0</v>
      </c>
      <c r="BR524" s="4">
        <v>2.4</v>
      </c>
      <c r="BS524" s="55">
        <v>2.2810000000000001</v>
      </c>
      <c r="BT524" s="4">
        <v>0</v>
      </c>
      <c r="BU524" s="4">
        <v>0</v>
      </c>
      <c r="BV524" s="4">
        <v>0</v>
      </c>
      <c r="BW524" s="4">
        <v>3.012</v>
      </c>
      <c r="BX524" s="4">
        <v>2.3439999999999999</v>
      </c>
      <c r="BY524" s="4">
        <v>2.4359999999999999</v>
      </c>
      <c r="BZ524" s="55">
        <v>0</v>
      </c>
      <c r="CA524" s="55">
        <v>3.99</v>
      </c>
      <c r="CB524" s="55">
        <v>0</v>
      </c>
      <c r="CC524" s="55">
        <v>0</v>
      </c>
      <c r="CD524" s="55">
        <v>0</v>
      </c>
      <c r="CE524" s="19">
        <v>0</v>
      </c>
      <c r="CF524" s="19">
        <v>3</v>
      </c>
      <c r="CG524" s="4">
        <v>0</v>
      </c>
      <c r="CH524" s="4">
        <v>0</v>
      </c>
      <c r="CI524" s="4">
        <v>0</v>
      </c>
      <c r="CJ524" s="34">
        <v>0</v>
      </c>
      <c r="CK524" s="34">
        <v>0</v>
      </c>
      <c r="CL524" s="43">
        <v>2.6</v>
      </c>
      <c r="CM524" s="4">
        <v>2.2000000000000002</v>
      </c>
      <c r="CN524" s="53">
        <v>0</v>
      </c>
      <c r="CO524" s="54">
        <v>3.2</v>
      </c>
      <c r="CP524" s="54">
        <v>0</v>
      </c>
      <c r="CQ524" s="4">
        <v>0</v>
      </c>
    </row>
    <row r="525" spans="1:95" s="55" customFormat="1" x14ac:dyDescent="0.35">
      <c r="A525" s="55">
        <v>524</v>
      </c>
      <c r="B525" s="55" t="s">
        <v>87</v>
      </c>
      <c r="C525" s="27" t="s">
        <v>237</v>
      </c>
      <c r="D525" s="50" t="s">
        <v>94</v>
      </c>
      <c r="E525" s="33" t="s">
        <v>91</v>
      </c>
      <c r="F525" s="4">
        <f>IFERROR(AVERAGEIF(Table1[[#This Row],[2019-Apr]:[2025-July]],"&lt;&gt;0"),0)</f>
        <v>4.9662641509433936</v>
      </c>
      <c r="G525" s="4">
        <f ca="1">IFERROR(AVERAGEIF(OFFSET(Table1[[#This Row],[Status]],0,COUNT(Table1[[#This Row],[2019-May]:[2025-July]]),1,-12),"&lt;&gt;0"),0)</f>
        <v>6.7</v>
      </c>
      <c r="H525" s="55">
        <f>IFERROR(SMALL(Table1[[#This Row],[2019-Apr]:[2025-July]],COUNTIF(Table1[[#This Row],[2019-Apr]:[2025-July]],0)+1),0)</f>
        <v>1.7</v>
      </c>
      <c r="I525" s="55">
        <f>IFERROR(MAX(Table1[[#This Row],[2019-Apr]:[2025-July]]),0)</f>
        <v>9.5500000000000007</v>
      </c>
      <c r="J525" s="4" cm="1">
        <f t="array" ref="J52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2.1086666666666667</v>
      </c>
      <c r="K525" s="4">
        <v>4.5</v>
      </c>
      <c r="L525" s="4">
        <f>IF(Table1[[#This Row],[Standard as per ISO]]&gt;=Table1[[#This Row],[Avg of best 6]],Table1[[#This Row],[Standard as per ISO]],Table1[[#This Row],[Avg of best 6]])</f>
        <v>4.5</v>
      </c>
      <c r="M525" s="4" cm="1">
        <f t="array" ref="M525">IFERROR(LOOKUP(2,1/(Table1[[#This Row],[2019-May]:[2025-July]]&lt;&gt;0),Table1[[#This Row],[2019-May]:[2025-July]]),0)</f>
        <v>4.45</v>
      </c>
      <c r="N525" s="4">
        <f>COUNTIF(Table1[[#This Row],[2019-Apr]:[2025-July]],"&gt;="&amp;Table1[[#This Row],[Target]])</f>
        <v>34</v>
      </c>
      <c r="O525" s="4">
        <f>IF(Table1[[#This Row],[Outliers 2Y]]=0,1,0)</f>
        <v>0</v>
      </c>
      <c r="P525" s="4">
        <f>IF(Table1[[#This Row],[Last value]]&gt;1.5*Table1[[#This Row],[Target]],1,0)</f>
        <v>0</v>
      </c>
      <c r="Q525" s="4">
        <f>IF(AND(1.5*Table1[[#This Row],[Target]]&gt;=Table1[[#This Row],[Last value]],Table1[[#This Row],[Last value]]&gt;Table1[[#This Row],[Target]]),1,0)</f>
        <v>0</v>
      </c>
      <c r="R525" s="4">
        <f>IF(Table1[[#This Row],[Target]]&gt;=Table1[[#This Row],[Last value]],1,0)</f>
        <v>1</v>
      </c>
      <c r="S525" s="4" t="str">
        <f t="shared" si="10"/>
        <v>Green</v>
      </c>
      <c r="T525" s="55">
        <v>0</v>
      </c>
      <c r="U525" s="55">
        <v>5.85</v>
      </c>
      <c r="V525" s="55">
        <v>7.71</v>
      </c>
      <c r="W525" s="55">
        <v>6.35</v>
      </c>
      <c r="X525" s="55">
        <v>5.23</v>
      </c>
      <c r="Y525" s="55">
        <v>3.89</v>
      </c>
      <c r="Z525" s="55">
        <v>4.71</v>
      </c>
      <c r="AA525" s="55">
        <v>6.5</v>
      </c>
      <c r="AB525" s="55">
        <v>5.52</v>
      </c>
      <c r="AC525" s="55">
        <v>8.5</v>
      </c>
      <c r="AD525" s="55">
        <v>5.46</v>
      </c>
      <c r="AE525" s="55">
        <v>5.3</v>
      </c>
      <c r="AF525" s="55">
        <v>5.2</v>
      </c>
      <c r="AG525" s="55">
        <v>6.71</v>
      </c>
      <c r="AH525" s="55">
        <v>5.14</v>
      </c>
      <c r="AI525" s="55">
        <v>4.99</v>
      </c>
      <c r="AJ525" s="55">
        <v>5.2</v>
      </c>
      <c r="AK525" s="55">
        <v>4.57</v>
      </c>
      <c r="AL525" s="55">
        <v>4.8899999999999997</v>
      </c>
      <c r="AM525" s="55">
        <v>9.5500000000000007</v>
      </c>
      <c r="AN525" s="55">
        <v>3.43</v>
      </c>
      <c r="AO525" s="55">
        <v>5.08</v>
      </c>
      <c r="AP525" s="55">
        <v>9.2100000000000009</v>
      </c>
      <c r="AQ525" s="55">
        <v>5.38</v>
      </c>
      <c r="AR525" s="8">
        <v>6.64</v>
      </c>
      <c r="AS525" s="8">
        <v>5.43</v>
      </c>
      <c r="AT525" s="8">
        <v>0</v>
      </c>
      <c r="AU525" s="50">
        <v>6.3</v>
      </c>
      <c r="AV525" s="50">
        <v>4.78</v>
      </c>
      <c r="AW525" s="50">
        <v>6.64</v>
      </c>
      <c r="AX525" s="50">
        <v>4.01</v>
      </c>
      <c r="AY525" s="50">
        <v>3.78</v>
      </c>
      <c r="AZ525" s="50">
        <v>4.17</v>
      </c>
      <c r="BA525" s="50">
        <v>1.7</v>
      </c>
      <c r="BB525" s="50">
        <v>3.1</v>
      </c>
      <c r="BC525" s="55">
        <v>3.8</v>
      </c>
      <c r="BD525" s="55">
        <v>2.1</v>
      </c>
      <c r="BE525" s="11">
        <v>5.109</v>
      </c>
      <c r="BF525" s="4">
        <v>0</v>
      </c>
      <c r="BG525" s="4">
        <v>4.71</v>
      </c>
      <c r="BH525" s="4">
        <v>0</v>
      </c>
      <c r="BI525" s="4">
        <v>4.71</v>
      </c>
      <c r="BJ525" s="14">
        <v>4.8899999999999997</v>
      </c>
      <c r="BK525" s="14">
        <v>0</v>
      </c>
      <c r="BL525" s="4">
        <v>3.9750000000000001</v>
      </c>
      <c r="BM525" s="17">
        <v>0</v>
      </c>
      <c r="BN525" s="4">
        <v>1.833</v>
      </c>
      <c r="BO525" s="4">
        <v>0</v>
      </c>
      <c r="BP525" s="4">
        <v>3.4729999999999999</v>
      </c>
      <c r="BQ525" s="4">
        <v>0</v>
      </c>
      <c r="BR525" s="4">
        <v>2.2250000000000001</v>
      </c>
      <c r="BS525" s="55">
        <v>3.3959999999999999</v>
      </c>
      <c r="BT525" s="4">
        <v>0</v>
      </c>
      <c r="BU525" s="4">
        <v>0</v>
      </c>
      <c r="BV525" s="4">
        <v>5.0270000000000001</v>
      </c>
      <c r="BW525" s="4">
        <v>0</v>
      </c>
      <c r="BX525" s="4">
        <v>2.1539999999999999</v>
      </c>
      <c r="BY525" s="4">
        <v>0</v>
      </c>
      <c r="BZ525" s="55">
        <v>2.64</v>
      </c>
      <c r="CA525" s="55">
        <v>4.9000000000000004</v>
      </c>
      <c r="CB525" s="55">
        <v>2.91</v>
      </c>
      <c r="CC525" s="55">
        <v>4.34</v>
      </c>
      <c r="CD525" s="55">
        <v>0</v>
      </c>
      <c r="CE525" s="19">
        <v>0</v>
      </c>
      <c r="CF525" s="19">
        <v>7</v>
      </c>
      <c r="CG525" s="4">
        <v>8.65</v>
      </c>
      <c r="CH525" s="4">
        <v>0</v>
      </c>
      <c r="CI525" s="4">
        <v>4.45</v>
      </c>
      <c r="CJ525" s="34">
        <v>0</v>
      </c>
      <c r="CK525" s="34">
        <v>0</v>
      </c>
      <c r="CL525" s="34">
        <v>0</v>
      </c>
      <c r="CM525" s="4">
        <v>0</v>
      </c>
      <c r="CN525" s="53">
        <v>0</v>
      </c>
      <c r="CO525" s="54">
        <v>0</v>
      </c>
      <c r="CP525" s="54">
        <v>0</v>
      </c>
      <c r="CQ525" s="4">
        <v>0</v>
      </c>
    </row>
    <row r="526" spans="1:95" s="55" customFormat="1" x14ac:dyDescent="0.35">
      <c r="A526" s="55">
        <v>525</v>
      </c>
      <c r="B526" s="55" t="s">
        <v>87</v>
      </c>
      <c r="C526" s="27" t="s">
        <v>238</v>
      </c>
      <c r="D526" s="50" t="s">
        <v>94</v>
      </c>
      <c r="E526" s="33" t="s">
        <v>91</v>
      </c>
      <c r="F526" s="4">
        <f>IFERROR(AVERAGEIF(Table1[[#This Row],[2019-Apr]:[2025-July]],"&lt;&gt;0"),0)</f>
        <v>6.8724313725490189</v>
      </c>
      <c r="G526" s="4">
        <f ca="1">IFERROR(AVERAGEIF(OFFSET(Table1[[#This Row],[Status]],0,COUNT(Table1[[#This Row],[2019-May]:[2025-July]]),1,-12),"&lt;&gt;0"),0)</f>
        <v>2.89</v>
      </c>
      <c r="H526" s="55">
        <f>IFERROR(SMALL(Table1[[#This Row],[2019-Apr]:[2025-July]],COUNTIF(Table1[[#This Row],[2019-Apr]:[2025-July]],0)+1),0)</f>
        <v>2.89</v>
      </c>
      <c r="I526" s="55">
        <f>IFERROR(MAX(Table1[[#This Row],[2019-Apr]:[2025-July]]),0)</f>
        <v>16.600000000000001</v>
      </c>
      <c r="J526" s="4" cm="1">
        <f t="array" ref="J52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3.4750000000000001</v>
      </c>
      <c r="K526" s="4">
        <v>4.5</v>
      </c>
      <c r="L526" s="4">
        <f>IF(Table1[[#This Row],[Standard as per ISO]]&gt;=Table1[[#This Row],[Avg of best 6]],Table1[[#This Row],[Standard as per ISO]],Table1[[#This Row],[Avg of best 6]])</f>
        <v>4.5</v>
      </c>
      <c r="M526" s="4" cm="1">
        <f t="array" ref="M526">IFERROR(LOOKUP(2,1/(Table1[[#This Row],[2019-May]:[2025-July]]&lt;&gt;0),Table1[[#This Row],[2019-May]:[2025-July]]),0)</f>
        <v>2.89</v>
      </c>
      <c r="N526" s="4">
        <f>COUNTIF(Table1[[#This Row],[2019-Apr]:[2025-July]],"&gt;="&amp;Table1[[#This Row],[Target]])</f>
        <v>42</v>
      </c>
      <c r="O526" s="4">
        <f>IF(Table1[[#This Row],[Outliers 2Y]]=0,1,0)</f>
        <v>0</v>
      </c>
      <c r="P526" s="4">
        <f>IF(Table1[[#This Row],[Last value]]&gt;1.5*Table1[[#This Row],[Target]],1,0)</f>
        <v>0</v>
      </c>
      <c r="Q526" s="4">
        <f>IF(AND(1.5*Table1[[#This Row],[Target]]&gt;=Table1[[#This Row],[Last value]],Table1[[#This Row],[Last value]]&gt;Table1[[#This Row],[Target]]),1,0)</f>
        <v>0</v>
      </c>
      <c r="R526" s="4">
        <f>IF(Table1[[#This Row],[Target]]&gt;=Table1[[#This Row],[Last value]],1,0)</f>
        <v>1</v>
      </c>
      <c r="S526" s="4" t="str">
        <f t="shared" si="10"/>
        <v>Green</v>
      </c>
      <c r="T526" s="55">
        <v>0</v>
      </c>
      <c r="U526" s="55">
        <v>4.0199999999999996</v>
      </c>
      <c r="V526" s="55">
        <v>5.09</v>
      </c>
      <c r="W526" s="55">
        <v>3.68</v>
      </c>
      <c r="X526" s="55">
        <v>4.41</v>
      </c>
      <c r="Y526" s="55">
        <v>3.16</v>
      </c>
      <c r="Z526" s="55">
        <v>7.17</v>
      </c>
      <c r="AA526" s="55">
        <v>4.9800000000000004</v>
      </c>
      <c r="AB526" s="55">
        <v>10.6</v>
      </c>
      <c r="AC526" s="55">
        <v>7.5</v>
      </c>
      <c r="AD526" s="55">
        <v>8</v>
      </c>
      <c r="AE526" s="55">
        <v>8.1</v>
      </c>
      <c r="AF526" s="55">
        <v>9.5</v>
      </c>
      <c r="AG526" s="55">
        <v>7.23</v>
      </c>
      <c r="AH526" s="55">
        <v>7.12</v>
      </c>
      <c r="AI526" s="55">
        <v>9.73</v>
      </c>
      <c r="AJ526" s="55">
        <v>9.1199999999999992</v>
      </c>
      <c r="AK526" s="55">
        <v>5.05</v>
      </c>
      <c r="AL526" s="55">
        <v>5.83</v>
      </c>
      <c r="AM526" s="55">
        <v>7.83</v>
      </c>
      <c r="AN526" s="55">
        <v>4.16</v>
      </c>
      <c r="AO526" s="55">
        <v>4.82</v>
      </c>
      <c r="AP526" s="55">
        <v>7.64</v>
      </c>
      <c r="AQ526" s="55">
        <v>4.92</v>
      </c>
      <c r="AR526" s="8">
        <v>5.84</v>
      </c>
      <c r="AS526" s="8">
        <v>5.15</v>
      </c>
      <c r="AT526" s="8">
        <v>0</v>
      </c>
      <c r="AU526" s="50">
        <v>4.9800000000000004</v>
      </c>
      <c r="AV526" s="50">
        <v>6.39</v>
      </c>
      <c r="AW526" s="50">
        <v>6.84</v>
      </c>
      <c r="AX526" s="50">
        <v>16.600000000000001</v>
      </c>
      <c r="AY526" s="50">
        <v>6.15</v>
      </c>
      <c r="AZ526" s="50">
        <v>5.99</v>
      </c>
      <c r="BA526" s="50">
        <v>4.3</v>
      </c>
      <c r="BB526" s="50">
        <v>6.8</v>
      </c>
      <c r="BC526" s="55">
        <v>6.5</v>
      </c>
      <c r="BD526" s="55">
        <v>4.5</v>
      </c>
      <c r="BE526" s="11">
        <v>7.4</v>
      </c>
      <c r="BF526" s="4">
        <v>0</v>
      </c>
      <c r="BG526" s="4">
        <v>3.55</v>
      </c>
      <c r="BH526" s="4">
        <v>0</v>
      </c>
      <c r="BI526" s="4">
        <v>3.55</v>
      </c>
      <c r="BJ526" s="13">
        <v>0</v>
      </c>
      <c r="BK526" s="13">
        <v>0</v>
      </c>
      <c r="BL526" s="4">
        <v>4.875</v>
      </c>
      <c r="BM526" s="16">
        <v>0</v>
      </c>
      <c r="BN526" s="4">
        <v>6.0650000000000004</v>
      </c>
      <c r="BO526" s="4">
        <v>0</v>
      </c>
      <c r="BP526" s="4">
        <v>6.5170000000000003</v>
      </c>
      <c r="BQ526" s="4">
        <v>0</v>
      </c>
      <c r="BR526" s="4">
        <v>8.1809999999999992</v>
      </c>
      <c r="BS526" s="55">
        <v>7.6020000000000003</v>
      </c>
      <c r="BT526" s="4">
        <v>9.3659999999999997</v>
      </c>
      <c r="BU526" s="4">
        <v>10.36</v>
      </c>
      <c r="BV526" s="4">
        <v>0</v>
      </c>
      <c r="BW526" s="4">
        <v>6.8070000000000004</v>
      </c>
      <c r="BX526" s="4">
        <v>0</v>
      </c>
      <c r="BY526" s="4">
        <v>7.0609999999999999</v>
      </c>
      <c r="BZ526" s="55">
        <v>0</v>
      </c>
      <c r="CA526" s="55">
        <v>13.03</v>
      </c>
      <c r="CB526" s="55">
        <v>11.68</v>
      </c>
      <c r="CC526" s="55">
        <v>11.86</v>
      </c>
      <c r="CD526" s="55">
        <v>0</v>
      </c>
      <c r="CE526" s="19">
        <v>0</v>
      </c>
      <c r="CF526" s="19">
        <v>0</v>
      </c>
      <c r="CG526" s="4">
        <v>0</v>
      </c>
      <c r="CH526" s="4">
        <v>0</v>
      </c>
      <c r="CI526" s="4">
        <v>2.89</v>
      </c>
      <c r="CJ526" s="34">
        <v>0</v>
      </c>
      <c r="CK526" s="34">
        <v>0</v>
      </c>
      <c r="CL526" s="34">
        <v>0</v>
      </c>
      <c r="CM526" s="4">
        <v>0</v>
      </c>
      <c r="CN526" s="53">
        <v>0</v>
      </c>
      <c r="CO526" s="54">
        <v>0</v>
      </c>
      <c r="CP526" s="54">
        <v>0</v>
      </c>
      <c r="CQ526" s="4">
        <v>0</v>
      </c>
    </row>
    <row r="527" spans="1:95" s="55" customFormat="1" x14ac:dyDescent="0.35">
      <c r="A527" s="55">
        <v>526</v>
      </c>
      <c r="B527" s="55" t="s">
        <v>87</v>
      </c>
      <c r="C527" s="27" t="s">
        <v>239</v>
      </c>
      <c r="D527" s="50" t="s">
        <v>94</v>
      </c>
      <c r="E527" s="33" t="s">
        <v>91</v>
      </c>
      <c r="F527" s="4">
        <f>IFERROR(AVERAGEIF(Table1[[#This Row],[2019-Apr]:[2025-July]],"&lt;&gt;0"),0)</f>
        <v>5.1507105263157884</v>
      </c>
      <c r="G527" s="4">
        <f ca="1">IFERROR(AVERAGEIF(OFFSET(Table1[[#This Row],[Status]],0,COUNT(Table1[[#This Row],[2019-May]:[2025-July]]),1,-12),"&lt;&gt;0"),0)</f>
        <v>3.3449999999999998</v>
      </c>
      <c r="H527" s="55">
        <f>IFERROR(SMALL(Table1[[#This Row],[2019-Apr]:[2025-July]],COUNTIF(Table1[[#This Row],[2019-Apr]:[2025-July]],0)+1),0)</f>
        <v>2.8</v>
      </c>
      <c r="I527" s="55">
        <f>IFERROR(MAX(Table1[[#This Row],[2019-Apr]:[2025-July]]),0)</f>
        <v>10.4</v>
      </c>
      <c r="J527" s="4" cm="1">
        <f t="array" ref="J52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3.11</v>
      </c>
      <c r="K527" s="4">
        <v>4.5</v>
      </c>
      <c r="L527" s="4">
        <f>IF(Table1[[#This Row],[Standard as per ISO]]&gt;=Table1[[#This Row],[Avg of best 6]],Table1[[#This Row],[Standard as per ISO]],Table1[[#This Row],[Avg of best 6]])</f>
        <v>4.5</v>
      </c>
      <c r="M527" s="4" cm="1">
        <f t="array" ref="M527">IFERROR(LOOKUP(2,1/(Table1[[#This Row],[2019-May]:[2025-July]]&lt;&gt;0),Table1[[#This Row],[2019-May]:[2025-July]]),0)</f>
        <v>3.89</v>
      </c>
      <c r="N527" s="4">
        <f>COUNTIF(Table1[[#This Row],[2019-Apr]:[2025-July]],"&gt;="&amp;Table1[[#This Row],[Target]])</f>
        <v>18</v>
      </c>
      <c r="O527" s="4">
        <f>IF(Table1[[#This Row],[Outliers 2Y]]=0,1,0)</f>
        <v>0</v>
      </c>
      <c r="P527" s="4">
        <f>IF(Table1[[#This Row],[Last value]]&gt;1.5*Table1[[#This Row],[Target]],1,0)</f>
        <v>0</v>
      </c>
      <c r="Q527" s="4">
        <f>IF(AND(1.5*Table1[[#This Row],[Target]]&gt;=Table1[[#This Row],[Last value]],Table1[[#This Row],[Last value]]&gt;Table1[[#This Row],[Target]]),1,0)</f>
        <v>0</v>
      </c>
      <c r="R527" s="4">
        <f>IF(Table1[[#This Row],[Target]]&gt;=Table1[[#This Row],[Last value]],1,0)</f>
        <v>1</v>
      </c>
      <c r="S527" s="4" t="str">
        <f t="shared" si="10"/>
        <v>Green</v>
      </c>
      <c r="T527" s="55">
        <v>0</v>
      </c>
      <c r="U527" s="55">
        <v>5.91</v>
      </c>
      <c r="V527" s="55">
        <v>6.4</v>
      </c>
      <c r="W527" s="55">
        <v>10.4</v>
      </c>
      <c r="X527" s="55">
        <v>0</v>
      </c>
      <c r="Y527" s="55">
        <v>7.06</v>
      </c>
      <c r="Z527" s="55">
        <v>5.34</v>
      </c>
      <c r="AA527" s="55">
        <v>6.6</v>
      </c>
      <c r="AB527" s="55">
        <v>10</v>
      </c>
      <c r="AC527" s="55">
        <v>9.1999999999999993</v>
      </c>
      <c r="AD527" s="55">
        <v>0</v>
      </c>
      <c r="AE527" s="55">
        <v>8.5</v>
      </c>
      <c r="AF527" s="55">
        <v>7.6</v>
      </c>
      <c r="AG527" s="55">
        <v>4.29</v>
      </c>
      <c r="AH527" s="55">
        <v>3.6</v>
      </c>
      <c r="AI527" s="55">
        <v>3.4</v>
      </c>
      <c r="AJ527" s="55">
        <v>0</v>
      </c>
      <c r="AK527" s="55">
        <v>3.76</v>
      </c>
      <c r="AL527" s="55">
        <v>3.47</v>
      </c>
      <c r="AM527" s="55">
        <v>3.82</v>
      </c>
      <c r="AN527" s="55">
        <v>4.04</v>
      </c>
      <c r="AO527" s="55">
        <v>4.43</v>
      </c>
      <c r="AP527" s="55">
        <v>4.05</v>
      </c>
      <c r="AQ527" s="55">
        <v>5.37</v>
      </c>
      <c r="AR527" s="8">
        <v>4.83</v>
      </c>
      <c r="AS527" s="8">
        <v>0</v>
      </c>
      <c r="AT527" s="8">
        <v>5.0199999999999996</v>
      </c>
      <c r="AU527" s="50">
        <v>5.28</v>
      </c>
      <c r="AV527" s="50">
        <v>4.01</v>
      </c>
      <c r="AW527" s="50">
        <v>2.99</v>
      </c>
      <c r="AX527" s="50">
        <v>4.2</v>
      </c>
      <c r="AY527" s="50">
        <v>3.37</v>
      </c>
      <c r="AZ527" s="50">
        <v>0</v>
      </c>
      <c r="BA527" s="50">
        <v>3.2</v>
      </c>
      <c r="BB527" s="50">
        <v>2.9</v>
      </c>
      <c r="BC527" s="55">
        <v>3.7</v>
      </c>
      <c r="BD527" s="55">
        <v>0</v>
      </c>
      <c r="BE527" s="11">
        <v>3.8519999999999999</v>
      </c>
      <c r="BF527" s="4">
        <v>0</v>
      </c>
      <c r="BG527" s="4">
        <v>0</v>
      </c>
      <c r="BH527" s="4">
        <v>0</v>
      </c>
      <c r="BI527" s="4">
        <v>0</v>
      </c>
      <c r="BJ527" s="14">
        <v>0</v>
      </c>
      <c r="BK527" s="14">
        <v>0</v>
      </c>
      <c r="BL527" s="4">
        <v>6.0890000000000004</v>
      </c>
      <c r="BM527" s="17">
        <v>0</v>
      </c>
      <c r="BN527" s="4">
        <v>5.91</v>
      </c>
      <c r="BO527" s="4">
        <v>0</v>
      </c>
      <c r="BP527" s="4">
        <v>8.3629999999999995</v>
      </c>
      <c r="BQ527" s="4">
        <v>0</v>
      </c>
      <c r="BR527" s="4">
        <v>0</v>
      </c>
      <c r="BS527" s="55">
        <v>4.6580000000000004</v>
      </c>
      <c r="BT527" s="4">
        <v>0</v>
      </c>
      <c r="BU527" s="4">
        <v>0</v>
      </c>
      <c r="BV527" s="4">
        <v>0</v>
      </c>
      <c r="BW527" s="4">
        <v>3.4249999999999998</v>
      </c>
      <c r="BX527" s="4">
        <v>0</v>
      </c>
      <c r="BY527" s="4">
        <v>0</v>
      </c>
      <c r="BZ527" s="55">
        <v>0</v>
      </c>
      <c r="CA527" s="55">
        <v>0</v>
      </c>
      <c r="CB527" s="55">
        <v>0</v>
      </c>
      <c r="CC527" s="55">
        <v>0</v>
      </c>
      <c r="CD527" s="55">
        <v>0</v>
      </c>
      <c r="CE527" s="19">
        <v>0</v>
      </c>
      <c r="CF527" s="19">
        <v>2.8</v>
      </c>
      <c r="CG527" s="4">
        <v>0</v>
      </c>
      <c r="CH527" s="4">
        <v>0</v>
      </c>
      <c r="CI527" s="4">
        <v>3.89</v>
      </c>
      <c r="CJ527" s="34">
        <v>0</v>
      </c>
      <c r="CK527" s="34">
        <v>0</v>
      </c>
      <c r="CL527" s="34">
        <v>0</v>
      </c>
      <c r="CM527" s="4">
        <v>0</v>
      </c>
      <c r="CN527" s="53">
        <v>0</v>
      </c>
      <c r="CO527" s="54">
        <v>0</v>
      </c>
      <c r="CP527" s="54">
        <v>0</v>
      </c>
      <c r="CQ527" s="4">
        <v>0</v>
      </c>
    </row>
    <row r="528" spans="1:95" s="55" customFormat="1" x14ac:dyDescent="0.35">
      <c r="A528" s="55">
        <v>527</v>
      </c>
      <c r="B528" s="55" t="s">
        <v>87</v>
      </c>
      <c r="C528" s="27" t="s">
        <v>240</v>
      </c>
      <c r="D528" s="50" t="s">
        <v>94</v>
      </c>
      <c r="E528" s="33" t="s">
        <v>91</v>
      </c>
      <c r="F528" s="4">
        <f>IFERROR(AVERAGEIF(Table1[[#This Row],[2019-Apr]:[2025-July]],"&lt;&gt;0"),0)</f>
        <v>1.6552941176470588</v>
      </c>
      <c r="G528" s="4">
        <f ca="1">IFERROR(AVERAGEIF(OFFSET(Table1[[#This Row],[Status]],0,COUNT(Table1[[#This Row],[2019-May]:[2025-July]]),1,-12),"&lt;&gt;0"),0)</f>
        <v>0</v>
      </c>
      <c r="H528" s="55">
        <f>IFERROR(SMALL(Table1[[#This Row],[2019-Apr]:[2025-July]],COUNTIF(Table1[[#This Row],[2019-Apr]:[2025-July]],0)+1),0)</f>
        <v>0.65</v>
      </c>
      <c r="I528" s="55">
        <f>IFERROR(MAX(Table1[[#This Row],[2019-Apr]:[2025-July]]),0)</f>
        <v>5.64</v>
      </c>
      <c r="J528" s="4" cm="1">
        <f t="array" ref="J52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0.89</v>
      </c>
      <c r="K528" s="4">
        <v>4.5</v>
      </c>
      <c r="L528" s="4">
        <f>IF(Table1[[#This Row],[Standard as per ISO]]&gt;=Table1[[#This Row],[Avg of best 6]],Table1[[#This Row],[Standard as per ISO]],Table1[[#This Row],[Avg of best 6]])</f>
        <v>4.5</v>
      </c>
      <c r="M528" s="4" cm="1">
        <f t="array" ref="M528">IFERROR(LOOKUP(2,1/(Table1[[#This Row],[2019-May]:[2025-July]]&lt;&gt;0),Table1[[#This Row],[2019-May]:[2025-July]]),0)</f>
        <v>1.58</v>
      </c>
      <c r="N528" s="4">
        <f>COUNTIF(Table1[[#This Row],[2019-Apr]:[2025-July]],"&gt;="&amp;Table1[[#This Row],[Target]])</f>
        <v>1</v>
      </c>
      <c r="O528" s="4">
        <f>IF(Table1[[#This Row],[Outliers 2Y]]=0,1,0)</f>
        <v>0</v>
      </c>
      <c r="P528" s="4">
        <f>IF(Table1[[#This Row],[Last value]]&gt;1.5*Table1[[#This Row],[Target]],1,0)</f>
        <v>0</v>
      </c>
      <c r="Q528" s="4">
        <f>IF(AND(1.5*Table1[[#This Row],[Target]]&gt;=Table1[[#This Row],[Last value]],Table1[[#This Row],[Last value]]&gt;Table1[[#This Row],[Target]]),1,0)</f>
        <v>0</v>
      </c>
      <c r="R528" s="4">
        <f>IF(Table1[[#This Row],[Target]]&gt;=Table1[[#This Row],[Last value]],1,0)</f>
        <v>1</v>
      </c>
      <c r="S528" s="4" t="str">
        <f t="shared" si="10"/>
        <v>Green</v>
      </c>
      <c r="T528" s="55">
        <v>0</v>
      </c>
      <c r="U528" s="55">
        <v>0</v>
      </c>
      <c r="V528" s="55">
        <v>0.93</v>
      </c>
      <c r="W528" s="55">
        <v>1.05</v>
      </c>
      <c r="X528" s="55">
        <v>0</v>
      </c>
      <c r="Y528" s="55">
        <v>1.03</v>
      </c>
      <c r="Z528" s="55">
        <v>0.65</v>
      </c>
      <c r="AA528" s="55">
        <v>1.3</v>
      </c>
      <c r="AB528" s="55">
        <v>0.9</v>
      </c>
      <c r="AC528" s="55">
        <v>1.43</v>
      </c>
      <c r="AD528" s="55">
        <v>1.28</v>
      </c>
      <c r="AE528" s="55">
        <v>1.2</v>
      </c>
      <c r="AF528" s="55">
        <v>0</v>
      </c>
      <c r="AG528" s="55">
        <v>0</v>
      </c>
      <c r="AH528" s="55">
        <v>0</v>
      </c>
      <c r="AI528" s="55">
        <v>1.72</v>
      </c>
      <c r="AJ528" s="55">
        <v>1.27</v>
      </c>
      <c r="AK528" s="55">
        <v>0</v>
      </c>
      <c r="AL528" s="55">
        <v>1.08</v>
      </c>
      <c r="AM528" s="55">
        <v>0</v>
      </c>
      <c r="AN528" s="55">
        <v>0</v>
      </c>
      <c r="AO528" s="55">
        <v>0</v>
      </c>
      <c r="AP528" s="55">
        <v>0</v>
      </c>
      <c r="AQ528" s="55">
        <v>0.78</v>
      </c>
      <c r="AR528" s="8">
        <v>0</v>
      </c>
      <c r="AS528" s="8">
        <v>3.8</v>
      </c>
      <c r="AT528" s="8">
        <v>0</v>
      </c>
      <c r="AU528" s="50">
        <v>0</v>
      </c>
      <c r="AV528" s="50">
        <v>2.5</v>
      </c>
      <c r="AW528" s="50"/>
      <c r="AX528" s="50">
        <v>0</v>
      </c>
      <c r="AY528" s="50">
        <v>0</v>
      </c>
      <c r="AZ528" s="50">
        <v>0</v>
      </c>
      <c r="BA528" s="50">
        <v>0</v>
      </c>
      <c r="BB528" s="50">
        <v>0</v>
      </c>
      <c r="BC528" s="50">
        <v>0</v>
      </c>
      <c r="BD528" s="55">
        <v>0</v>
      </c>
      <c r="BE528" s="11">
        <v>0</v>
      </c>
      <c r="BF528" s="4">
        <v>0</v>
      </c>
      <c r="BG528" s="4">
        <v>0</v>
      </c>
      <c r="BH528" s="4">
        <v>0</v>
      </c>
      <c r="BI528" s="4">
        <v>0</v>
      </c>
      <c r="BJ528" s="13">
        <v>0</v>
      </c>
      <c r="BK528" s="13">
        <v>0</v>
      </c>
      <c r="BL528" s="4">
        <v>0</v>
      </c>
      <c r="BM528" s="16">
        <v>0</v>
      </c>
      <c r="BN528" s="4">
        <v>0</v>
      </c>
      <c r="BO528" s="4">
        <v>0</v>
      </c>
      <c r="BP528" s="4">
        <v>5.64</v>
      </c>
      <c r="BQ528" s="4">
        <v>0</v>
      </c>
      <c r="BR528" s="4">
        <v>0</v>
      </c>
      <c r="BS528" s="55">
        <v>1.58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55">
        <v>0</v>
      </c>
      <c r="CA528" s="55">
        <v>0</v>
      </c>
      <c r="CB528" s="55">
        <v>0</v>
      </c>
      <c r="CC528" s="55">
        <v>0</v>
      </c>
      <c r="CD528" s="55">
        <v>0</v>
      </c>
      <c r="CE528" s="19">
        <v>0</v>
      </c>
      <c r="CF528" s="19">
        <v>0</v>
      </c>
      <c r="CG528" s="4">
        <v>0</v>
      </c>
      <c r="CH528" s="4">
        <v>0</v>
      </c>
      <c r="CI528" s="4">
        <v>0</v>
      </c>
      <c r="CJ528" s="34">
        <v>0</v>
      </c>
      <c r="CK528" s="34">
        <v>0</v>
      </c>
      <c r="CL528" s="34">
        <v>0</v>
      </c>
      <c r="CM528" s="4">
        <v>0</v>
      </c>
      <c r="CN528" s="53">
        <v>0</v>
      </c>
      <c r="CO528" s="54">
        <v>0</v>
      </c>
      <c r="CP528" s="54">
        <v>0</v>
      </c>
      <c r="CQ528" s="4">
        <v>0</v>
      </c>
    </row>
    <row r="529" spans="1:95" s="55" customFormat="1" x14ac:dyDescent="0.35">
      <c r="A529" s="55">
        <v>528</v>
      </c>
      <c r="B529" s="55" t="s">
        <v>87</v>
      </c>
      <c r="C529" s="27" t="s">
        <v>241</v>
      </c>
      <c r="D529" s="50" t="s">
        <v>94</v>
      </c>
      <c r="E529" s="33" t="s">
        <v>91</v>
      </c>
      <c r="F529" s="4">
        <f>IFERROR(AVERAGEIF(Table1[[#This Row],[2019-Apr]:[2025-July]],"&lt;&gt;0"),0)</f>
        <v>2.3746666666666663</v>
      </c>
      <c r="G529" s="4">
        <f ca="1">IFERROR(AVERAGEIF(OFFSET(Table1[[#This Row],[Status]],0,COUNT(Table1[[#This Row],[2019-May]:[2025-July]]),1,-12),"&lt;&gt;0"),0)</f>
        <v>3.01</v>
      </c>
      <c r="H529" s="55">
        <f>IFERROR(SMALL(Table1[[#This Row],[2019-Apr]:[2025-July]],COUNTIF(Table1[[#This Row],[2019-Apr]:[2025-July]],0)+1),0)</f>
        <v>0.76</v>
      </c>
      <c r="I529" s="55">
        <f>IFERROR(MAX(Table1[[#This Row],[2019-Apr]:[2025-July]]),0)</f>
        <v>4.7</v>
      </c>
      <c r="J529" s="4" cm="1">
        <f t="array" ref="J52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1.0168333333333333</v>
      </c>
      <c r="K529" s="4">
        <v>4.5</v>
      </c>
      <c r="L529" s="4">
        <f>IF(Table1[[#This Row],[Standard as per ISO]]&gt;=Table1[[#This Row],[Avg of best 6]],Table1[[#This Row],[Standard as per ISO]],Table1[[#This Row],[Avg of best 6]])</f>
        <v>4.5</v>
      </c>
      <c r="M529" s="4" cm="1">
        <f t="array" ref="M529">IFERROR(LOOKUP(2,1/(Table1[[#This Row],[2019-May]:[2025-July]]&lt;&gt;0),Table1[[#This Row],[2019-May]:[2025-July]]),0)</f>
        <v>3.12</v>
      </c>
      <c r="N529" s="4">
        <f>COUNTIF(Table1[[#This Row],[2019-Apr]:[2025-July]],"&gt;="&amp;Table1[[#This Row],[Target]])</f>
        <v>1</v>
      </c>
      <c r="O529" s="4">
        <f>IF(Table1[[#This Row],[Outliers 2Y]]=0,1,0)</f>
        <v>0</v>
      </c>
      <c r="P529" s="4">
        <f>IF(Table1[[#This Row],[Last value]]&gt;1.5*Table1[[#This Row],[Target]],1,0)</f>
        <v>0</v>
      </c>
      <c r="Q529" s="4">
        <f>IF(AND(1.5*Table1[[#This Row],[Target]]&gt;=Table1[[#This Row],[Last value]],Table1[[#This Row],[Last value]]&gt;Table1[[#This Row],[Target]]),1,0)</f>
        <v>0</v>
      </c>
      <c r="R529" s="4">
        <f>IF(Table1[[#This Row],[Target]]&gt;=Table1[[#This Row],[Last value]],1,0)</f>
        <v>1</v>
      </c>
      <c r="S529" s="4" t="str">
        <f t="shared" si="10"/>
        <v>Green</v>
      </c>
      <c r="T529" s="55">
        <v>0</v>
      </c>
      <c r="U529" s="55">
        <v>2.4700000000000002</v>
      </c>
      <c r="V529" s="55">
        <v>2.5</v>
      </c>
      <c r="W529" s="55">
        <v>2.5499999999999998</v>
      </c>
      <c r="X529" s="55">
        <v>0</v>
      </c>
      <c r="Y529" s="55">
        <v>2.5099999999999998</v>
      </c>
      <c r="Z529" s="55">
        <v>2.61</v>
      </c>
      <c r="AA529" s="55">
        <v>2.7</v>
      </c>
      <c r="AB529" s="55">
        <v>4.7</v>
      </c>
      <c r="AC529" s="55">
        <v>3.77</v>
      </c>
      <c r="AD529" s="55">
        <v>4.0199999999999996</v>
      </c>
      <c r="AE529" s="55">
        <v>0</v>
      </c>
      <c r="AF529" s="55">
        <v>0</v>
      </c>
      <c r="AG529" s="55">
        <v>0</v>
      </c>
      <c r="AH529" s="55">
        <v>0</v>
      </c>
      <c r="AI529" s="55">
        <v>0</v>
      </c>
      <c r="AJ529" s="55">
        <v>0</v>
      </c>
      <c r="AK529" s="55">
        <v>0</v>
      </c>
      <c r="AL529" s="55">
        <v>1.3</v>
      </c>
      <c r="AM529" s="55">
        <v>0.97</v>
      </c>
      <c r="AN529" s="55">
        <v>0.78</v>
      </c>
      <c r="AO529" s="55">
        <v>0.99</v>
      </c>
      <c r="AP529" s="55">
        <v>0.76</v>
      </c>
      <c r="AQ529" s="55">
        <v>0</v>
      </c>
      <c r="AR529" s="8">
        <v>0</v>
      </c>
      <c r="AS529" s="8">
        <v>3.32</v>
      </c>
      <c r="AT529" s="8">
        <v>0</v>
      </c>
      <c r="AU529" s="50">
        <v>2.58</v>
      </c>
      <c r="AV529" s="50">
        <v>0</v>
      </c>
      <c r="AW529" s="50">
        <v>2.44</v>
      </c>
      <c r="AX529" s="50">
        <v>2.12</v>
      </c>
      <c r="AY529" s="50">
        <v>2.17</v>
      </c>
      <c r="AZ529" s="50">
        <v>0</v>
      </c>
      <c r="BA529" s="50">
        <v>2.2000000000000002</v>
      </c>
      <c r="BB529" s="50">
        <v>0</v>
      </c>
      <c r="BC529" s="50">
        <v>0</v>
      </c>
      <c r="BD529" s="55">
        <v>0</v>
      </c>
      <c r="BE529" s="11">
        <v>0</v>
      </c>
      <c r="BF529" s="4">
        <v>0</v>
      </c>
      <c r="BG529" s="4">
        <v>0</v>
      </c>
      <c r="BH529" s="4">
        <v>0</v>
      </c>
      <c r="BI529" s="4">
        <v>0</v>
      </c>
      <c r="BJ529" s="14">
        <v>0</v>
      </c>
      <c r="BK529" s="14">
        <v>0</v>
      </c>
      <c r="BL529" s="4">
        <v>0</v>
      </c>
      <c r="BM529" s="17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55">
        <v>1.3009999999999999</v>
      </c>
      <c r="BT529" s="4">
        <v>0</v>
      </c>
      <c r="BU529" s="4">
        <v>0</v>
      </c>
      <c r="BV529" s="4">
        <v>0</v>
      </c>
      <c r="BW529" s="4">
        <v>2.2109999999999999</v>
      </c>
      <c r="BX529" s="4">
        <v>0</v>
      </c>
      <c r="BY529" s="4">
        <v>0</v>
      </c>
      <c r="BZ529" s="55">
        <v>0</v>
      </c>
      <c r="CA529" s="55">
        <v>0</v>
      </c>
      <c r="CB529" s="55">
        <v>0</v>
      </c>
      <c r="CC529" s="55">
        <v>0</v>
      </c>
      <c r="CD529" s="55">
        <v>0</v>
      </c>
      <c r="CE529" s="19">
        <v>0</v>
      </c>
      <c r="CF529" s="19">
        <v>2.9</v>
      </c>
      <c r="CG529" s="4">
        <v>0</v>
      </c>
      <c r="CH529" s="4">
        <v>0</v>
      </c>
      <c r="CI529" s="4">
        <v>3.12</v>
      </c>
      <c r="CJ529" s="34">
        <v>0</v>
      </c>
      <c r="CK529" s="34">
        <v>0</v>
      </c>
      <c r="CL529" s="34">
        <v>0</v>
      </c>
      <c r="CM529" s="4">
        <v>0</v>
      </c>
      <c r="CN529" s="53">
        <v>0</v>
      </c>
      <c r="CO529" s="54">
        <v>0</v>
      </c>
      <c r="CP529" s="54">
        <v>0</v>
      </c>
      <c r="CQ529" s="4">
        <v>0</v>
      </c>
    </row>
    <row r="530" spans="1:95" s="55" customFormat="1" x14ac:dyDescent="0.35">
      <c r="A530" s="55">
        <v>529</v>
      </c>
      <c r="B530" s="55" t="s">
        <v>87</v>
      </c>
      <c r="C530" s="27" t="s">
        <v>242</v>
      </c>
      <c r="D530" s="50" t="s">
        <v>94</v>
      </c>
      <c r="E530" s="33" t="s">
        <v>91</v>
      </c>
      <c r="F530" s="4">
        <f>IFERROR(AVERAGEIF(Table1[[#This Row],[2019-Apr]:[2025-July]],"&lt;&gt;0"),0)</f>
        <v>2.7053437499999999</v>
      </c>
      <c r="G530" s="4">
        <f ca="1">IFERROR(AVERAGEIF(OFFSET(Table1[[#This Row],[Status]],0,COUNT(Table1[[#This Row],[2019-May]:[2025-July]]),1,-12),"&lt;&gt;0"),0)</f>
        <v>2.88</v>
      </c>
      <c r="H530" s="55">
        <f>IFERROR(SMALL(Table1[[#This Row],[2019-Apr]:[2025-July]],COUNTIF(Table1[[#This Row],[2019-Apr]:[2025-July]],0)+1),0)</f>
        <v>1.6</v>
      </c>
      <c r="I530" s="55">
        <f>IFERROR(MAX(Table1[[#This Row],[2019-Apr]:[2025-July]]),0)</f>
        <v>5.72</v>
      </c>
      <c r="J530" s="4" cm="1">
        <f t="array" ref="J53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1.6716666666666669</v>
      </c>
      <c r="K530" s="4">
        <v>4.5</v>
      </c>
      <c r="L530" s="4">
        <f>IF(Table1[[#This Row],[Standard as per ISO]]&gt;=Table1[[#This Row],[Avg of best 6]],Table1[[#This Row],[Standard as per ISO]],Table1[[#This Row],[Avg of best 6]])</f>
        <v>4.5</v>
      </c>
      <c r="M530" s="4" cm="1">
        <f t="array" ref="M530">IFERROR(LOOKUP(2,1/(Table1[[#This Row],[2019-May]:[2025-July]]&lt;&gt;0),Table1[[#This Row],[2019-May]:[2025-July]]),0)</f>
        <v>3.76</v>
      </c>
      <c r="N530" s="4">
        <f>COUNTIF(Table1[[#This Row],[2019-Apr]:[2025-July]],"&gt;="&amp;Table1[[#This Row],[Target]])</f>
        <v>1</v>
      </c>
      <c r="O530" s="4">
        <f>IF(Table1[[#This Row],[Outliers 2Y]]=0,1,0)</f>
        <v>0</v>
      </c>
      <c r="P530" s="4">
        <f>IF(Table1[[#This Row],[Last value]]&gt;1.5*Table1[[#This Row],[Target]],1,0)</f>
        <v>0</v>
      </c>
      <c r="Q530" s="4">
        <f>IF(AND(1.5*Table1[[#This Row],[Target]]&gt;=Table1[[#This Row],[Last value]],Table1[[#This Row],[Last value]]&gt;Table1[[#This Row],[Target]]),1,0)</f>
        <v>0</v>
      </c>
      <c r="R530" s="4">
        <f>IF(Table1[[#This Row],[Target]]&gt;=Table1[[#This Row],[Last value]],1,0)</f>
        <v>1</v>
      </c>
      <c r="S530" s="4" t="str">
        <f t="shared" si="10"/>
        <v>Green</v>
      </c>
      <c r="T530" s="55">
        <v>0</v>
      </c>
      <c r="U530" s="55">
        <v>2.35</v>
      </c>
      <c r="V530" s="55">
        <v>2.19</v>
      </c>
      <c r="W530" s="55">
        <v>1.88</v>
      </c>
      <c r="X530" s="55">
        <v>0</v>
      </c>
      <c r="Y530" s="55">
        <v>2.0099999999999998</v>
      </c>
      <c r="Z530" s="55">
        <v>0</v>
      </c>
      <c r="AA530" s="55">
        <v>1.7</v>
      </c>
      <c r="AB530" s="55">
        <v>1.6</v>
      </c>
      <c r="AC530" s="55">
        <v>1.6</v>
      </c>
      <c r="AD530" s="55">
        <v>1.65</v>
      </c>
      <c r="AE530" s="55">
        <v>2.9</v>
      </c>
      <c r="AF530" s="55">
        <v>3</v>
      </c>
      <c r="AG530" s="55">
        <v>1.6</v>
      </c>
      <c r="AH530" s="55">
        <v>3.54</v>
      </c>
      <c r="AI530" s="55">
        <v>3.67</v>
      </c>
      <c r="AJ530" s="55">
        <v>3.87</v>
      </c>
      <c r="AK530" s="55">
        <v>1.93</v>
      </c>
      <c r="AL530" s="55">
        <v>0</v>
      </c>
      <c r="AM530" s="55">
        <v>0</v>
      </c>
      <c r="AN530" s="55">
        <v>2.2599999999999998</v>
      </c>
      <c r="AO530" s="55">
        <v>0</v>
      </c>
      <c r="AP530" s="55">
        <v>0</v>
      </c>
      <c r="AQ530" s="55">
        <v>0</v>
      </c>
      <c r="AR530" s="8">
        <v>2.4300000000000002</v>
      </c>
      <c r="AS530" s="8">
        <v>0</v>
      </c>
      <c r="AT530" s="8">
        <v>2.4900000000000002</v>
      </c>
      <c r="AU530" s="50">
        <v>2.42</v>
      </c>
      <c r="AV530" s="50">
        <v>0</v>
      </c>
      <c r="AW530" s="50">
        <v>3.2</v>
      </c>
      <c r="AX530" s="50">
        <v>2.33</v>
      </c>
      <c r="AY530" s="50">
        <v>0</v>
      </c>
      <c r="AZ530" s="50">
        <v>0</v>
      </c>
      <c r="BA530" s="50">
        <v>2.7</v>
      </c>
      <c r="BB530" s="50">
        <v>3.1</v>
      </c>
      <c r="BC530" s="55">
        <v>3.6</v>
      </c>
      <c r="BD530" s="55">
        <v>0</v>
      </c>
      <c r="BE530" s="11">
        <v>2.9580000000000002</v>
      </c>
      <c r="BF530" s="4">
        <v>0</v>
      </c>
      <c r="BG530" s="4">
        <v>0</v>
      </c>
      <c r="BH530" s="4">
        <v>2.048</v>
      </c>
      <c r="BI530" s="4">
        <v>0</v>
      </c>
      <c r="BJ530" s="13">
        <v>0</v>
      </c>
      <c r="BK530" s="13">
        <v>0</v>
      </c>
      <c r="BL530" s="4">
        <v>5.72</v>
      </c>
      <c r="BM530" s="16">
        <v>0</v>
      </c>
      <c r="BN530" s="4">
        <v>4.431</v>
      </c>
      <c r="BO530" s="4">
        <v>0</v>
      </c>
      <c r="BP530" s="4">
        <v>2.96</v>
      </c>
      <c r="BQ530" s="4">
        <v>0</v>
      </c>
      <c r="BR530" s="4">
        <v>0</v>
      </c>
      <c r="BS530" s="55">
        <v>0</v>
      </c>
      <c r="BT530" s="4">
        <v>0</v>
      </c>
      <c r="BU530" s="4">
        <v>0</v>
      </c>
      <c r="BV530" s="4">
        <v>0</v>
      </c>
      <c r="BW530" s="4">
        <v>2.6739999999999999</v>
      </c>
      <c r="BX530" s="4">
        <v>0</v>
      </c>
      <c r="BY530" s="4">
        <v>0</v>
      </c>
      <c r="BZ530" s="55">
        <v>0</v>
      </c>
      <c r="CA530" s="55">
        <v>0</v>
      </c>
      <c r="CB530" s="55">
        <v>0</v>
      </c>
      <c r="CC530" s="55">
        <v>0</v>
      </c>
      <c r="CD530" s="55">
        <v>0</v>
      </c>
      <c r="CE530" s="19">
        <v>0</v>
      </c>
      <c r="CF530" s="19">
        <v>2</v>
      </c>
      <c r="CG530" s="4">
        <v>0</v>
      </c>
      <c r="CH530" s="4">
        <v>0</v>
      </c>
      <c r="CI530" s="4">
        <v>3.76</v>
      </c>
      <c r="CJ530" s="34">
        <v>0</v>
      </c>
      <c r="CK530" s="34">
        <v>0</v>
      </c>
      <c r="CL530" s="34">
        <v>0</v>
      </c>
      <c r="CM530" s="4">
        <v>0</v>
      </c>
      <c r="CN530" s="53">
        <v>0</v>
      </c>
      <c r="CO530" s="54">
        <v>0</v>
      </c>
      <c r="CP530" s="54">
        <v>0</v>
      </c>
      <c r="CQ530" s="4">
        <v>0</v>
      </c>
    </row>
    <row r="531" spans="1:95" s="55" customFormat="1" x14ac:dyDescent="0.35">
      <c r="A531" s="55">
        <v>530</v>
      </c>
      <c r="B531" s="55" t="s">
        <v>87</v>
      </c>
      <c r="C531" s="27" t="s">
        <v>243</v>
      </c>
      <c r="D531" s="50" t="s">
        <v>94</v>
      </c>
      <c r="E531" s="33" t="s">
        <v>91</v>
      </c>
      <c r="F531" s="4">
        <f>IFERROR(AVERAGEIF(Table1[[#This Row],[2019-Apr]:[2025-July]],"&lt;&gt;0"),0)</f>
        <v>2.9689705882352944</v>
      </c>
      <c r="G531" s="4">
        <f ca="1">IFERROR(AVERAGEIF(OFFSET(Table1[[#This Row],[Status]],0,COUNT(Table1[[#This Row],[2019-May]:[2025-July]]),1,-12),"&lt;&gt;0"),0)</f>
        <v>0</v>
      </c>
      <c r="H531" s="55">
        <f>IFERROR(SMALL(Table1[[#This Row],[2019-Apr]:[2025-July]],COUNTIF(Table1[[#This Row],[2019-Apr]:[2025-July]],0)+1),0)</f>
        <v>1.6</v>
      </c>
      <c r="I531" s="55">
        <f>IFERROR(MAX(Table1[[#This Row],[2019-Apr]:[2025-July]]),0)</f>
        <v>5.9269999999999996</v>
      </c>
      <c r="J531" s="4" cm="1">
        <f t="array" ref="J53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1.6366666666666667</v>
      </c>
      <c r="K531" s="4">
        <v>4.5</v>
      </c>
      <c r="L531" s="4">
        <f>IF(Table1[[#This Row],[Standard as per ISO]]&gt;=Table1[[#This Row],[Avg of best 6]],Table1[[#This Row],[Standard as per ISO]],Table1[[#This Row],[Avg of best 6]])</f>
        <v>4.5</v>
      </c>
      <c r="M531" s="4" cm="1">
        <f t="array" ref="M531">IFERROR(LOOKUP(2,1/(Table1[[#This Row],[2019-May]:[2025-July]]&lt;&gt;0),Table1[[#This Row],[2019-May]:[2025-July]]),0)</f>
        <v>5.7889999999999997</v>
      </c>
      <c r="N531" s="4">
        <f>COUNTIF(Table1[[#This Row],[2019-Apr]:[2025-July]],"&gt;="&amp;Table1[[#This Row],[Target]])</f>
        <v>4</v>
      </c>
      <c r="O531" s="4">
        <f>IF(Table1[[#This Row],[Outliers 2Y]]=0,1,0)</f>
        <v>0</v>
      </c>
      <c r="P531" s="4">
        <f>IF(Table1[[#This Row],[Last value]]&gt;1.5*Table1[[#This Row],[Target]],1,0)</f>
        <v>0</v>
      </c>
      <c r="Q531" s="4">
        <f>IF(AND(1.5*Table1[[#This Row],[Target]]&gt;=Table1[[#This Row],[Last value]],Table1[[#This Row],[Last value]]&gt;Table1[[#This Row],[Target]]),1,0)</f>
        <v>1</v>
      </c>
      <c r="R531" s="4">
        <f>IF(Table1[[#This Row],[Target]]&gt;=Table1[[#This Row],[Last value]],1,0)</f>
        <v>0</v>
      </c>
      <c r="S531" s="4" t="str">
        <f t="shared" si="10"/>
        <v>Yellow</v>
      </c>
      <c r="T531" s="55">
        <v>0</v>
      </c>
      <c r="U531" s="55">
        <v>1.8</v>
      </c>
      <c r="V531" s="55">
        <v>1.6</v>
      </c>
      <c r="W531" s="55">
        <v>1.73</v>
      </c>
      <c r="X531" s="55">
        <v>0</v>
      </c>
      <c r="Y531" s="55">
        <v>1.77</v>
      </c>
      <c r="Z531" s="55">
        <v>1.65</v>
      </c>
      <c r="AA531" s="55">
        <v>1.9</v>
      </c>
      <c r="AB531" s="55">
        <v>1.6</v>
      </c>
      <c r="AC531" s="55">
        <v>1.83</v>
      </c>
      <c r="AD531" s="55">
        <v>0</v>
      </c>
      <c r="AE531" s="55">
        <v>0</v>
      </c>
      <c r="AF531" s="55">
        <v>1.6</v>
      </c>
      <c r="AG531" s="55">
        <v>1.9</v>
      </c>
      <c r="AH531" s="55">
        <v>4.09</v>
      </c>
      <c r="AI531" s="55">
        <v>2.19</v>
      </c>
      <c r="AJ531" s="55">
        <v>1.64</v>
      </c>
      <c r="AK531" s="55">
        <v>0</v>
      </c>
      <c r="AL531" s="55">
        <v>2.62</v>
      </c>
      <c r="AM531" s="55">
        <v>0</v>
      </c>
      <c r="AN531" s="55">
        <v>2.23</v>
      </c>
      <c r="AO531" s="55">
        <v>2.62</v>
      </c>
      <c r="AP531" s="55">
        <v>2.21</v>
      </c>
      <c r="AQ531" s="55">
        <v>4.22</v>
      </c>
      <c r="AR531" s="8">
        <v>0</v>
      </c>
      <c r="AS531" s="8">
        <v>0</v>
      </c>
      <c r="AT531" s="8">
        <v>2.46</v>
      </c>
      <c r="AU531" s="50">
        <v>2.62</v>
      </c>
      <c r="AV531" s="50">
        <v>2.2000000000000002</v>
      </c>
      <c r="AW531" s="50">
        <v>0</v>
      </c>
      <c r="AX531" s="50">
        <v>0</v>
      </c>
      <c r="AY531" s="50">
        <v>3.93</v>
      </c>
      <c r="AZ531" s="50">
        <v>2.99</v>
      </c>
      <c r="BA531" s="50">
        <v>3.4</v>
      </c>
      <c r="BB531" s="50">
        <v>3.9</v>
      </c>
      <c r="BC531" s="55">
        <v>3.7</v>
      </c>
      <c r="BD531" s="55">
        <v>0</v>
      </c>
      <c r="BE531" s="11">
        <v>3.8929999999999998</v>
      </c>
      <c r="BF531" s="4">
        <v>0</v>
      </c>
      <c r="BG531" s="4">
        <v>0</v>
      </c>
      <c r="BH531" s="4">
        <v>3.5409999999999999</v>
      </c>
      <c r="BI531" s="4">
        <v>0</v>
      </c>
      <c r="BJ531" s="14">
        <v>3.476</v>
      </c>
      <c r="BK531" s="14">
        <v>0</v>
      </c>
      <c r="BL531" s="4">
        <v>4.9020000000000001</v>
      </c>
      <c r="BM531" s="17">
        <v>0</v>
      </c>
      <c r="BN531" s="4">
        <v>5.9269999999999996</v>
      </c>
      <c r="BO531" s="4">
        <v>0</v>
      </c>
      <c r="BP531" s="4">
        <v>5.633</v>
      </c>
      <c r="BQ531" s="4">
        <v>0</v>
      </c>
      <c r="BR531" s="4">
        <v>0</v>
      </c>
      <c r="BS531" s="55">
        <v>3.3839999999999999</v>
      </c>
      <c r="BT531" s="4">
        <v>0</v>
      </c>
      <c r="BU531" s="4">
        <v>0</v>
      </c>
      <c r="BV531" s="4">
        <v>0</v>
      </c>
      <c r="BW531" s="4">
        <v>5.7889999999999997</v>
      </c>
      <c r="BX531" s="4">
        <v>0</v>
      </c>
      <c r="BY531" s="4">
        <v>0</v>
      </c>
      <c r="BZ531" s="55">
        <v>0</v>
      </c>
      <c r="CA531" s="55">
        <v>0</v>
      </c>
      <c r="CB531" s="55">
        <v>0</v>
      </c>
      <c r="CC531" s="55">
        <v>0</v>
      </c>
      <c r="CD531" s="55">
        <v>0</v>
      </c>
      <c r="CE531" s="19">
        <v>0</v>
      </c>
      <c r="CF531" s="19">
        <v>0</v>
      </c>
      <c r="CG531" s="4">
        <v>0</v>
      </c>
      <c r="CH531" s="4">
        <v>0</v>
      </c>
      <c r="CI531" s="4">
        <v>0</v>
      </c>
      <c r="CJ531" s="34">
        <v>0</v>
      </c>
      <c r="CK531" s="34">
        <v>0</v>
      </c>
      <c r="CL531" s="34">
        <v>0</v>
      </c>
      <c r="CM531" s="4">
        <v>0</v>
      </c>
      <c r="CN531" s="53">
        <v>0</v>
      </c>
      <c r="CO531" s="54">
        <v>0</v>
      </c>
      <c r="CP531" s="54">
        <v>0</v>
      </c>
      <c r="CQ531" s="4">
        <v>0</v>
      </c>
    </row>
    <row r="532" spans="1:95" s="55" customFormat="1" x14ac:dyDescent="0.35">
      <c r="A532" s="55">
        <v>531</v>
      </c>
      <c r="B532" s="55" t="s">
        <v>87</v>
      </c>
      <c r="C532" s="27" t="s">
        <v>244</v>
      </c>
      <c r="D532" s="50" t="s">
        <v>93</v>
      </c>
      <c r="E532" s="33" t="s">
        <v>91</v>
      </c>
      <c r="F532" s="4">
        <f>IFERROR(AVERAGEIF(Table1[[#This Row],[2019-Apr]:[2025-July]],"&lt;&gt;0"),0)</f>
        <v>4.6423703703703705</v>
      </c>
      <c r="G532" s="4">
        <f ca="1">IFERROR(AVERAGEIF(OFFSET(Table1[[#This Row],[Status]],0,COUNT(Table1[[#This Row],[2019-May]:[2025-July]]),1,-12),"&lt;&gt;0"),0)</f>
        <v>4.9033333333333333</v>
      </c>
      <c r="H532" s="55">
        <f>IFERROR(SMALL(Table1[[#This Row],[2019-Apr]:[2025-July]],COUNTIF(Table1[[#This Row],[2019-Apr]:[2025-July]],0)+1),0)</f>
        <v>2.64</v>
      </c>
      <c r="I532" s="55">
        <f>IFERROR(MAX(Table1[[#This Row],[2019-Apr]:[2025-July]]),0)</f>
        <v>7.9</v>
      </c>
      <c r="J532" s="4" cm="1">
        <f t="array" ref="J53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3.0413333333333328</v>
      </c>
      <c r="K532" s="4">
        <v>4.5</v>
      </c>
      <c r="L532" s="4">
        <f>IF(Table1[[#This Row],[Standard as per ISO]]&gt;=Table1[[#This Row],[Avg of best 6]],Table1[[#This Row],[Standard as per ISO]],Table1[[#This Row],[Avg of best 6]])</f>
        <v>4.5</v>
      </c>
      <c r="M532" s="4" cm="1">
        <f t="array" ref="M532">IFERROR(LOOKUP(2,1/(Table1[[#This Row],[2019-May]:[2025-July]]&lt;&gt;0),Table1[[#This Row],[2019-May]:[2025-July]]),0)</f>
        <v>5.9</v>
      </c>
      <c r="N532" s="4">
        <f>COUNTIF(Table1[[#This Row],[2019-Apr]:[2025-July]],"&gt;="&amp;Table1[[#This Row],[Target]])</f>
        <v>27</v>
      </c>
      <c r="O532" s="4">
        <f>IF(Table1[[#This Row],[Outliers 2Y]]=0,1,0)</f>
        <v>0</v>
      </c>
      <c r="P532" s="4">
        <f>IF(Table1[[#This Row],[Last value]]&gt;1.5*Table1[[#This Row],[Target]],1,0)</f>
        <v>0</v>
      </c>
      <c r="Q532" s="4">
        <f>IF(AND(1.5*Table1[[#This Row],[Target]]&gt;=Table1[[#This Row],[Last value]],Table1[[#This Row],[Last value]]&gt;Table1[[#This Row],[Target]]),1,0)</f>
        <v>1</v>
      </c>
      <c r="R532" s="4">
        <f>IF(Table1[[#This Row],[Target]]&gt;=Table1[[#This Row],[Last value]],1,0)</f>
        <v>0</v>
      </c>
      <c r="S532" s="4" t="str">
        <f t="shared" si="10"/>
        <v>Yellow</v>
      </c>
      <c r="T532" s="55">
        <v>0</v>
      </c>
      <c r="U532" s="55">
        <v>5.98</v>
      </c>
      <c r="V532" s="55">
        <v>4.8099999999999996</v>
      </c>
      <c r="W532" s="55">
        <v>6.18</v>
      </c>
      <c r="X532" s="55">
        <v>4.8600000000000003</v>
      </c>
      <c r="Y532" s="55">
        <v>4.7</v>
      </c>
      <c r="Z532" s="55">
        <v>6.5</v>
      </c>
      <c r="AA532" s="55">
        <v>4.3</v>
      </c>
      <c r="AB532" s="55">
        <v>5.62</v>
      </c>
      <c r="AC532" s="55">
        <v>7.9</v>
      </c>
      <c r="AD532" s="55">
        <v>5.9</v>
      </c>
      <c r="AE532" s="55">
        <v>4.8</v>
      </c>
      <c r="AF532" s="55">
        <v>5.6</v>
      </c>
      <c r="AG532" s="55">
        <v>4.2</v>
      </c>
      <c r="AH532" s="55">
        <v>6</v>
      </c>
      <c r="AI532" s="55">
        <v>3.76</v>
      </c>
      <c r="AJ532" s="55">
        <v>6.5</v>
      </c>
      <c r="AK532" s="55">
        <v>0</v>
      </c>
      <c r="AL532" s="55">
        <v>3.72</v>
      </c>
      <c r="AM532" s="55">
        <v>5.59</v>
      </c>
      <c r="AN532" s="55">
        <v>4.63</v>
      </c>
      <c r="AO532" s="55">
        <v>3.8</v>
      </c>
      <c r="AP532" s="55">
        <v>3.68</v>
      </c>
      <c r="AQ532" s="55">
        <v>4.51</v>
      </c>
      <c r="AR532" s="8">
        <v>4.9800000000000004</v>
      </c>
      <c r="AS532" s="8">
        <v>6.45</v>
      </c>
      <c r="AT532" s="8">
        <v>0</v>
      </c>
      <c r="AU532" s="50">
        <v>3.9</v>
      </c>
      <c r="AV532" s="50">
        <v>2.64</v>
      </c>
      <c r="AW532" s="50">
        <v>3.74</v>
      </c>
      <c r="AX532" s="50">
        <v>4.03</v>
      </c>
      <c r="AY532" s="50">
        <v>3.79</v>
      </c>
      <c r="AZ532" s="50">
        <v>4.8499999999999996</v>
      </c>
      <c r="BA532" s="50">
        <v>4.2</v>
      </c>
      <c r="BB532" s="50">
        <v>3.1</v>
      </c>
      <c r="BC532" s="55">
        <v>3.4</v>
      </c>
      <c r="BD532" s="55">
        <v>3.8</v>
      </c>
      <c r="BE532" s="11">
        <v>3.27</v>
      </c>
      <c r="BF532" s="4">
        <v>0</v>
      </c>
      <c r="BG532" s="4">
        <v>3.64</v>
      </c>
      <c r="BH532" s="4">
        <v>3.2669999999999999</v>
      </c>
      <c r="BI532" s="4">
        <v>5.21</v>
      </c>
      <c r="BJ532" s="13">
        <v>6.89</v>
      </c>
      <c r="BK532" s="13">
        <v>3.1389999999999998</v>
      </c>
      <c r="BL532" s="4">
        <v>2.8639999999999999</v>
      </c>
      <c r="BM532" s="16">
        <v>3.3250000000000002</v>
      </c>
      <c r="BN532" s="4">
        <v>5.2350000000000003</v>
      </c>
      <c r="BO532" s="4">
        <v>4.08</v>
      </c>
      <c r="BP532" s="4">
        <v>6.6639999999999997</v>
      </c>
      <c r="BQ532" s="4">
        <v>3.238</v>
      </c>
      <c r="BR532" s="4">
        <v>0</v>
      </c>
      <c r="BS532" s="55">
        <v>6.3559999999999999</v>
      </c>
      <c r="BT532" s="4">
        <v>0</v>
      </c>
      <c r="BU532" s="4">
        <v>0</v>
      </c>
      <c r="BV532" s="4">
        <v>0</v>
      </c>
      <c r="BW532" s="4">
        <v>3.5</v>
      </c>
      <c r="BX532" s="4">
        <v>0</v>
      </c>
      <c r="BY532" s="4">
        <v>0</v>
      </c>
      <c r="BZ532" s="55">
        <v>0</v>
      </c>
      <c r="CA532" s="55">
        <v>4.99</v>
      </c>
      <c r="CB532" s="55">
        <v>3.48</v>
      </c>
      <c r="CC532" s="55">
        <v>4.41</v>
      </c>
      <c r="CD532" s="55">
        <v>0</v>
      </c>
      <c r="CE532" s="19">
        <v>0</v>
      </c>
      <c r="CF532" s="19">
        <v>4.5</v>
      </c>
      <c r="CG532" s="4">
        <v>0</v>
      </c>
      <c r="CH532" s="4">
        <v>0</v>
      </c>
      <c r="CI532" s="4">
        <v>4.3099999999999996</v>
      </c>
      <c r="CJ532" s="34">
        <v>5.9</v>
      </c>
      <c r="CK532" s="34">
        <v>0</v>
      </c>
      <c r="CL532" s="34">
        <v>0</v>
      </c>
      <c r="CM532" s="4">
        <v>0</v>
      </c>
      <c r="CN532" s="53">
        <v>0</v>
      </c>
      <c r="CO532" s="54">
        <v>0</v>
      </c>
      <c r="CP532" s="54">
        <v>0</v>
      </c>
      <c r="CQ532" s="4">
        <v>0</v>
      </c>
    </row>
    <row r="533" spans="1:95" s="55" customFormat="1" x14ac:dyDescent="0.35">
      <c r="A533" s="55">
        <v>532</v>
      </c>
      <c r="B533" s="55" t="s">
        <v>87</v>
      </c>
      <c r="C533" s="27" t="s">
        <v>245</v>
      </c>
      <c r="D533" s="50" t="s">
        <v>93</v>
      </c>
      <c r="E533" s="33" t="s">
        <v>91</v>
      </c>
      <c r="F533" s="4">
        <f>IFERROR(AVERAGEIF(Table1[[#This Row],[2019-Apr]:[2025-July]],"&lt;&gt;0"),0)</f>
        <v>7.2620892857142865</v>
      </c>
      <c r="G533" s="4">
        <f ca="1">IFERROR(AVERAGEIF(OFFSET(Table1[[#This Row],[Status]],0,COUNT(Table1[[#This Row],[2019-May]:[2025-July]]),1,-12),"&lt;&gt;0"),0)</f>
        <v>7.41</v>
      </c>
      <c r="H533" s="55">
        <f>IFERROR(SMALL(Table1[[#This Row],[2019-Apr]:[2025-July]],COUNTIF(Table1[[#This Row],[2019-Apr]:[2025-July]],0)+1),0)</f>
        <v>4.42</v>
      </c>
      <c r="I533" s="55">
        <f>IFERROR(MAX(Table1[[#This Row],[2019-Apr]:[2025-July]]),0)</f>
        <v>11.9</v>
      </c>
      <c r="J533" s="4" cm="1">
        <f t="array" ref="J53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4.9533333333333331</v>
      </c>
      <c r="K533" s="4">
        <v>4.5</v>
      </c>
      <c r="L533" s="4">
        <f>IF(Table1[[#This Row],[Standard as per ISO]]&gt;=Table1[[#This Row],[Avg of best 6]],Table1[[#This Row],[Standard as per ISO]],Table1[[#This Row],[Avg of best 6]])</f>
        <v>4.9533333333333331</v>
      </c>
      <c r="M533" s="4" cm="1">
        <f t="array" ref="M533">IFERROR(LOOKUP(2,1/(Table1[[#This Row],[2019-May]:[2025-July]]&lt;&gt;0),Table1[[#This Row],[2019-May]:[2025-July]]),0)</f>
        <v>7.6</v>
      </c>
      <c r="N533" s="4">
        <f>COUNTIF(Table1[[#This Row],[2019-Apr]:[2025-July]],"&gt;="&amp;Table1[[#This Row],[Target]])</f>
        <v>53</v>
      </c>
      <c r="O533" s="4">
        <f>IF(Table1[[#This Row],[Outliers 2Y]]=0,1,0)</f>
        <v>0</v>
      </c>
      <c r="P533" s="4">
        <f>IF(Table1[[#This Row],[Last value]]&gt;1.5*Table1[[#This Row],[Target]],1,0)</f>
        <v>1</v>
      </c>
      <c r="Q533" s="4">
        <f>IF(AND(1.5*Table1[[#This Row],[Target]]&gt;=Table1[[#This Row],[Last value]],Table1[[#This Row],[Last value]]&gt;Table1[[#This Row],[Target]]),1,0)</f>
        <v>0</v>
      </c>
      <c r="R533" s="4">
        <f>IF(Table1[[#This Row],[Target]]&gt;=Table1[[#This Row],[Last value]],1,0)</f>
        <v>0</v>
      </c>
      <c r="S533" s="4" t="str">
        <f t="shared" si="10"/>
        <v>Red</v>
      </c>
      <c r="T533" s="55">
        <v>0</v>
      </c>
      <c r="U533" s="55">
        <v>7.13</v>
      </c>
      <c r="V533" s="55">
        <v>6.81</v>
      </c>
      <c r="W533" s="55">
        <v>11.9</v>
      </c>
      <c r="X533" s="55">
        <v>7.71</v>
      </c>
      <c r="Y533" s="55">
        <v>8.4499999999999993</v>
      </c>
      <c r="Z533" s="55">
        <v>6.8</v>
      </c>
      <c r="AA533" s="55">
        <v>7.1</v>
      </c>
      <c r="AB533" s="55">
        <v>8.52</v>
      </c>
      <c r="AC533" s="55">
        <v>6.32</v>
      </c>
      <c r="AD533" s="55">
        <v>8.36</v>
      </c>
      <c r="AE533" s="55">
        <v>8.3000000000000007</v>
      </c>
      <c r="AF533" s="55">
        <v>9.1</v>
      </c>
      <c r="AG533" s="55">
        <v>8.1</v>
      </c>
      <c r="AH533" s="55">
        <v>7.7</v>
      </c>
      <c r="AI533" s="55">
        <v>5.42</v>
      </c>
      <c r="AJ533" s="55">
        <v>6.95</v>
      </c>
      <c r="AK533" s="55">
        <v>0</v>
      </c>
      <c r="AL533" s="55">
        <v>5.69</v>
      </c>
      <c r="AM533" s="55">
        <v>8.6999999999999993</v>
      </c>
      <c r="AN533" s="55">
        <v>8.34</v>
      </c>
      <c r="AO533" s="55">
        <v>6.63</v>
      </c>
      <c r="AP533" s="55">
        <v>5.19</v>
      </c>
      <c r="AQ533" s="55">
        <v>6.95</v>
      </c>
      <c r="AR533" s="8">
        <v>6.16</v>
      </c>
      <c r="AS533" s="8">
        <v>6.22</v>
      </c>
      <c r="AT533" s="8">
        <v>0</v>
      </c>
      <c r="AU533" s="50">
        <v>5.43</v>
      </c>
      <c r="AV533" s="50">
        <v>6.73</v>
      </c>
      <c r="AW533" s="50">
        <v>5.89</v>
      </c>
      <c r="AX533" s="50">
        <v>4.42</v>
      </c>
      <c r="AY533" s="50">
        <v>6.84</v>
      </c>
      <c r="AZ533" s="50">
        <v>5.67</v>
      </c>
      <c r="BA533" s="50">
        <v>5.0999999999999996</v>
      </c>
      <c r="BB533" s="50">
        <v>6.1</v>
      </c>
      <c r="BC533" s="55">
        <v>4.9000000000000004</v>
      </c>
      <c r="BD533" s="55">
        <v>5.7</v>
      </c>
      <c r="BE533" s="11">
        <v>6.0439999999999996</v>
      </c>
      <c r="BF533" s="4">
        <v>0</v>
      </c>
      <c r="BG533" s="4">
        <v>6.1</v>
      </c>
      <c r="BH533" s="4">
        <v>6.077</v>
      </c>
      <c r="BI533" s="4">
        <v>6.4379999999999997</v>
      </c>
      <c r="BJ533" s="14">
        <v>6.5119999999999996</v>
      </c>
      <c r="BK533" s="14">
        <v>6.3209999999999997</v>
      </c>
      <c r="BL533" s="4">
        <v>8.01</v>
      </c>
      <c r="BM533" s="17">
        <v>9.6460000000000008</v>
      </c>
      <c r="BN533" s="4">
        <v>10.51</v>
      </c>
      <c r="BO533" s="4">
        <v>8.7439999999999998</v>
      </c>
      <c r="BP533" s="4">
        <v>6.8739999999999997</v>
      </c>
      <c r="BQ533" s="4">
        <v>7.4139999999999997</v>
      </c>
      <c r="BR533" s="4">
        <v>0</v>
      </c>
      <c r="BS533" s="55">
        <v>11.47</v>
      </c>
      <c r="BT533" s="4">
        <v>0</v>
      </c>
      <c r="BU533" s="4">
        <v>0</v>
      </c>
      <c r="BV533" s="4">
        <v>0</v>
      </c>
      <c r="BW533" s="4">
        <v>8.2469999999999999</v>
      </c>
      <c r="BX533" s="4">
        <v>0</v>
      </c>
      <c r="BY533" s="4">
        <v>0</v>
      </c>
      <c r="BZ533" s="55">
        <v>9.73</v>
      </c>
      <c r="CA533" s="55">
        <v>8.82</v>
      </c>
      <c r="CB533" s="55">
        <v>0</v>
      </c>
      <c r="CC533" s="55">
        <v>8.31</v>
      </c>
      <c r="CD533" s="55">
        <v>6.44</v>
      </c>
      <c r="CE533" s="19">
        <v>0</v>
      </c>
      <c r="CF533" s="19">
        <v>7.7</v>
      </c>
      <c r="CG533" s="4">
        <v>9.65</v>
      </c>
      <c r="CH533" s="4">
        <v>0</v>
      </c>
      <c r="CI533" s="4">
        <v>4.6900000000000004</v>
      </c>
      <c r="CJ533" s="34">
        <v>7.6</v>
      </c>
      <c r="CK533" s="34">
        <v>0</v>
      </c>
      <c r="CL533" s="34">
        <v>0</v>
      </c>
      <c r="CM533" s="4">
        <v>0</v>
      </c>
      <c r="CN533" s="53">
        <v>0</v>
      </c>
      <c r="CO533" s="54">
        <v>0</v>
      </c>
      <c r="CP533" s="54">
        <v>0</v>
      </c>
      <c r="CQ533" s="4">
        <v>0</v>
      </c>
    </row>
    <row r="534" spans="1:95" s="55" customFormat="1" x14ac:dyDescent="0.35">
      <c r="A534" s="55">
        <v>533</v>
      </c>
      <c r="B534" s="55" t="s">
        <v>87</v>
      </c>
      <c r="C534" s="27" t="s">
        <v>246</v>
      </c>
      <c r="D534" s="50" t="s">
        <v>93</v>
      </c>
      <c r="E534" s="33" t="s">
        <v>91</v>
      </c>
      <c r="F534" s="4">
        <f>IFERROR(AVERAGEIF(Table1[[#This Row],[2019-Apr]:[2025-July]],"&lt;&gt;0"),0)</f>
        <v>7.1611090909090915</v>
      </c>
      <c r="G534" s="4">
        <f ca="1">IFERROR(AVERAGEIF(OFFSET(Table1[[#This Row],[Status]],0,COUNT(Table1[[#This Row],[2019-May]:[2025-July]]),1,-12),"&lt;&gt;0"),0)</f>
        <v>10.293333333333333</v>
      </c>
      <c r="H534" s="55">
        <f>IFERROR(SMALL(Table1[[#This Row],[2019-Apr]:[2025-July]],COUNTIF(Table1[[#This Row],[2019-Apr]:[2025-July]],0)+1),0)</f>
        <v>4.13</v>
      </c>
      <c r="I534" s="55">
        <f>IFERROR(MAX(Table1[[#This Row],[2019-Apr]:[2025-July]]),0)</f>
        <v>14.6</v>
      </c>
      <c r="J534" s="4" cm="1">
        <f t="array" ref="J53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4.6733333333333329</v>
      </c>
      <c r="K534" s="4">
        <v>4.5</v>
      </c>
      <c r="L534" s="4">
        <f>IF(Table1[[#This Row],[Standard as per ISO]]&gt;=Table1[[#This Row],[Avg of best 6]],Table1[[#This Row],[Standard as per ISO]],Table1[[#This Row],[Avg of best 6]])</f>
        <v>4.6733333333333329</v>
      </c>
      <c r="M534" s="4" cm="1">
        <f t="array" ref="M534">IFERROR(LOOKUP(2,1/(Table1[[#This Row],[2019-May]:[2025-July]]&lt;&gt;0),Table1[[#This Row],[2019-May]:[2025-July]]),0)</f>
        <v>9.8000000000000007</v>
      </c>
      <c r="N534" s="4">
        <f>COUNTIF(Table1[[#This Row],[2019-Apr]:[2025-July]],"&gt;="&amp;Table1[[#This Row],[Target]])</f>
        <v>54</v>
      </c>
      <c r="O534" s="4">
        <f>IF(Table1[[#This Row],[Outliers 2Y]]=0,1,0)</f>
        <v>0</v>
      </c>
      <c r="P534" s="4">
        <f>IF(Table1[[#This Row],[Last value]]&gt;1.5*Table1[[#This Row],[Target]],1,0)</f>
        <v>1</v>
      </c>
      <c r="Q534" s="4">
        <f>IF(AND(1.5*Table1[[#This Row],[Target]]&gt;=Table1[[#This Row],[Last value]],Table1[[#This Row],[Last value]]&gt;Table1[[#This Row],[Target]]),1,0)</f>
        <v>0</v>
      </c>
      <c r="R534" s="4">
        <f>IF(Table1[[#This Row],[Target]]&gt;=Table1[[#This Row],[Last value]],1,0)</f>
        <v>0</v>
      </c>
      <c r="S534" s="4" t="str">
        <f t="shared" si="10"/>
        <v>Red</v>
      </c>
      <c r="T534" s="55">
        <v>0</v>
      </c>
      <c r="U534" s="55">
        <v>5.49</v>
      </c>
      <c r="V534" s="55">
        <v>4.68</v>
      </c>
      <c r="W534" s="55">
        <v>8.57</v>
      </c>
      <c r="X534" s="55">
        <v>4.68</v>
      </c>
      <c r="Y534" s="55">
        <v>6.11</v>
      </c>
      <c r="Z534" s="55">
        <v>6.4</v>
      </c>
      <c r="AA534" s="55">
        <v>4.13</v>
      </c>
      <c r="AB534" s="55">
        <v>5.61</v>
      </c>
      <c r="AC534" s="55">
        <v>5.69</v>
      </c>
      <c r="AD534" s="55">
        <v>4.74</v>
      </c>
      <c r="AE534" s="55">
        <v>6.1</v>
      </c>
      <c r="AF534" s="55">
        <v>4.9000000000000004</v>
      </c>
      <c r="AG534" s="55">
        <v>6.1</v>
      </c>
      <c r="AH534" s="55">
        <v>7.2</v>
      </c>
      <c r="AI534" s="55">
        <v>5.36</v>
      </c>
      <c r="AJ534" s="55">
        <v>5.7</v>
      </c>
      <c r="AK534" s="55">
        <v>0</v>
      </c>
      <c r="AL534" s="55">
        <v>6.47</v>
      </c>
      <c r="AM534" s="55">
        <v>5.56</v>
      </c>
      <c r="AN534" s="55">
        <v>4.91</v>
      </c>
      <c r="AO534" s="55">
        <v>6.47</v>
      </c>
      <c r="AP534" s="55">
        <v>5.61</v>
      </c>
      <c r="AQ534" s="55">
        <v>5.0599999999999996</v>
      </c>
      <c r="AR534" s="8">
        <v>5.76</v>
      </c>
      <c r="AS534" s="8">
        <v>8.02</v>
      </c>
      <c r="AT534" s="8">
        <v>0</v>
      </c>
      <c r="AU534" s="50">
        <v>7.26</v>
      </c>
      <c r="AV534" s="50">
        <v>7.59</v>
      </c>
      <c r="AW534" s="50">
        <v>6.56</v>
      </c>
      <c r="AX534" s="50">
        <v>5.7</v>
      </c>
      <c r="AY534" s="50">
        <v>5.6</v>
      </c>
      <c r="AZ534" s="50">
        <v>6.72</v>
      </c>
      <c r="BA534" s="50">
        <v>6.1</v>
      </c>
      <c r="BB534" s="50">
        <v>5.8</v>
      </c>
      <c r="BC534" s="55">
        <v>6.2</v>
      </c>
      <c r="BD534" s="55">
        <v>8</v>
      </c>
      <c r="BE534" s="11">
        <v>8.9540000000000006</v>
      </c>
      <c r="BF534" s="4">
        <v>0</v>
      </c>
      <c r="BG534" s="4">
        <v>8.43</v>
      </c>
      <c r="BH534" s="4">
        <v>8.5579999999999998</v>
      </c>
      <c r="BI534" s="4">
        <v>6.8079999999999998</v>
      </c>
      <c r="BJ534" s="13">
        <v>0</v>
      </c>
      <c r="BK534" s="13">
        <v>6.9889999999999999</v>
      </c>
      <c r="BL534" s="4">
        <v>8.3510000000000009</v>
      </c>
      <c r="BM534" s="16">
        <v>7.9279999999999999</v>
      </c>
      <c r="BN534" s="4">
        <v>7.976</v>
      </c>
      <c r="BO534" s="4">
        <v>6.7709999999999999</v>
      </c>
      <c r="BP534" s="4">
        <v>7.5209999999999999</v>
      </c>
      <c r="BQ534" s="4">
        <v>6.6050000000000004</v>
      </c>
      <c r="BR534" s="4">
        <v>0</v>
      </c>
      <c r="BS534" s="55">
        <v>12.63</v>
      </c>
      <c r="BT534" s="4">
        <v>0</v>
      </c>
      <c r="BU534" s="4">
        <v>0</v>
      </c>
      <c r="BV534" s="4">
        <v>0</v>
      </c>
      <c r="BW534" s="4">
        <v>10.79</v>
      </c>
      <c r="BX534" s="4">
        <v>0</v>
      </c>
      <c r="BY534" s="4">
        <v>0</v>
      </c>
      <c r="BZ534" s="55">
        <v>9.92</v>
      </c>
      <c r="CA534" s="55">
        <v>8.59</v>
      </c>
      <c r="CB534" s="55">
        <v>14.6</v>
      </c>
      <c r="CC534" s="55">
        <v>11.26</v>
      </c>
      <c r="CD534" s="55">
        <v>5.45</v>
      </c>
      <c r="CE534" s="19">
        <v>0</v>
      </c>
      <c r="CF534" s="19">
        <v>10.9</v>
      </c>
      <c r="CG534" s="4">
        <v>10.18</v>
      </c>
      <c r="CH534" s="4">
        <v>0</v>
      </c>
      <c r="CI534" s="4">
        <v>0</v>
      </c>
      <c r="CJ534" s="34">
        <v>9.8000000000000007</v>
      </c>
      <c r="CK534" s="34">
        <v>0</v>
      </c>
      <c r="CL534" s="34">
        <v>0</v>
      </c>
      <c r="CM534" s="4">
        <v>0</v>
      </c>
      <c r="CN534" s="53">
        <v>0</v>
      </c>
      <c r="CO534" s="54">
        <v>0</v>
      </c>
      <c r="CP534" s="54">
        <v>0</v>
      </c>
      <c r="CQ534" s="4">
        <v>0</v>
      </c>
    </row>
    <row r="535" spans="1:95" s="55" customFormat="1" x14ac:dyDescent="0.35">
      <c r="A535" s="55">
        <v>534</v>
      </c>
      <c r="B535" s="55" t="s">
        <v>87</v>
      </c>
      <c r="C535" s="27" t="s">
        <v>247</v>
      </c>
      <c r="D535" s="50" t="s">
        <v>94</v>
      </c>
      <c r="E535" s="33" t="s">
        <v>91</v>
      </c>
      <c r="F535" s="4">
        <f>IFERROR(AVERAGEIF(Table1[[#This Row],[2019-Apr]:[2025-July]],"&lt;&gt;0"),0)</f>
        <v>5.5897209302325592</v>
      </c>
      <c r="G535" s="4">
        <f ca="1">IFERROR(AVERAGEIF(OFFSET(Table1[[#This Row],[Status]],0,COUNT(Table1[[#This Row],[2019-May]:[2025-July]]),1,-12),"&lt;&gt;0"),0)</f>
        <v>2.1550000000000002</v>
      </c>
      <c r="H535" s="55">
        <f>IFERROR(SMALL(Table1[[#This Row],[2019-Apr]:[2025-July]],COUNTIF(Table1[[#This Row],[2019-Apr]:[2025-July]],0)+1),0)</f>
        <v>1.35</v>
      </c>
      <c r="I535" s="55">
        <f>IFERROR(MAX(Table1[[#This Row],[2019-Apr]:[2025-July]]),0)</f>
        <v>35.4</v>
      </c>
      <c r="J535" s="4" cm="1">
        <f t="array" ref="J53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1.6026666666666667</v>
      </c>
      <c r="K535" s="4">
        <v>4.5</v>
      </c>
      <c r="L535" s="4">
        <f>IF(Table1[[#This Row],[Standard as per ISO]]&gt;=Table1[[#This Row],[Avg of best 6]],Table1[[#This Row],[Standard as per ISO]],Table1[[#This Row],[Avg of best 6]])</f>
        <v>4.5</v>
      </c>
      <c r="M535" s="4" cm="1">
        <f t="array" ref="M535">IFERROR(LOOKUP(2,1/(Table1[[#This Row],[2019-May]:[2025-July]]&lt;&gt;0),Table1[[#This Row],[2019-May]:[2025-July]]),0)</f>
        <v>2.41</v>
      </c>
      <c r="N535" s="4">
        <f>COUNTIF(Table1[[#This Row],[2019-Apr]:[2025-July]],"&gt;="&amp;Table1[[#This Row],[Target]])</f>
        <v>15</v>
      </c>
      <c r="O535" s="4">
        <f>IF(Table1[[#This Row],[Outliers 2Y]]=0,1,0)</f>
        <v>0</v>
      </c>
      <c r="P535" s="4">
        <f>IF(Table1[[#This Row],[Last value]]&gt;1.5*Table1[[#This Row],[Target]],1,0)</f>
        <v>0</v>
      </c>
      <c r="Q535" s="4">
        <f>IF(AND(1.5*Table1[[#This Row],[Target]]&gt;=Table1[[#This Row],[Last value]],Table1[[#This Row],[Last value]]&gt;Table1[[#This Row],[Target]]),1,0)</f>
        <v>0</v>
      </c>
      <c r="R535" s="4">
        <f>IF(Table1[[#This Row],[Target]]&gt;=Table1[[#This Row],[Last value]],1,0)</f>
        <v>1</v>
      </c>
      <c r="S535" s="4" t="str">
        <f t="shared" si="10"/>
        <v>Green</v>
      </c>
      <c r="T535" s="55">
        <v>0</v>
      </c>
      <c r="U535" s="55">
        <v>2.93</v>
      </c>
      <c r="V535" s="55">
        <v>2.2599999999999998</v>
      </c>
      <c r="W535" s="55">
        <v>5.59</v>
      </c>
      <c r="X535" s="55">
        <v>2.21</v>
      </c>
      <c r="Y535" s="55">
        <v>2.89</v>
      </c>
      <c r="Z535" s="55">
        <v>2.6</v>
      </c>
      <c r="AA535" s="55">
        <v>10.1</v>
      </c>
      <c r="AB535" s="55">
        <v>12.1</v>
      </c>
      <c r="AC535" s="55">
        <v>18</v>
      </c>
      <c r="AD535" s="55">
        <v>11.7</v>
      </c>
      <c r="AE535" s="55">
        <v>4.8</v>
      </c>
      <c r="AF535" s="55">
        <v>4.2</v>
      </c>
      <c r="AG535" s="55">
        <v>6.3</v>
      </c>
      <c r="AH535" s="55">
        <v>5.53</v>
      </c>
      <c r="AI535" s="55">
        <v>0</v>
      </c>
      <c r="AJ535" s="55">
        <v>35.4</v>
      </c>
      <c r="AK535" s="55">
        <v>0</v>
      </c>
      <c r="AL535" s="55">
        <v>30.1</v>
      </c>
      <c r="AM535" s="55">
        <v>3.87</v>
      </c>
      <c r="AN535" s="55">
        <v>4.07</v>
      </c>
      <c r="AO535" s="55">
        <v>5.33</v>
      </c>
      <c r="AP535" s="55">
        <v>6.62</v>
      </c>
      <c r="AQ535" s="55">
        <v>4.16</v>
      </c>
      <c r="AR535" s="8">
        <v>2.12</v>
      </c>
      <c r="AS535" s="8">
        <v>2.02</v>
      </c>
      <c r="AT535" s="8">
        <v>0</v>
      </c>
      <c r="AU535" s="50">
        <v>1.78</v>
      </c>
      <c r="AV535" s="50">
        <v>3.27</v>
      </c>
      <c r="AW535" s="50">
        <v>1.35</v>
      </c>
      <c r="AX535" s="50">
        <v>1.86</v>
      </c>
      <c r="AY535" s="50">
        <v>1.81</v>
      </c>
      <c r="AZ535" s="50">
        <v>2.4300000000000002</v>
      </c>
      <c r="BA535" s="50">
        <v>2.2000000000000002</v>
      </c>
      <c r="BB535" s="50">
        <v>2.8</v>
      </c>
      <c r="BC535" s="55">
        <v>4</v>
      </c>
      <c r="BD535" s="55">
        <v>4.5</v>
      </c>
      <c r="BE535" s="11">
        <v>1.421</v>
      </c>
      <c r="BF535" s="4">
        <v>0</v>
      </c>
      <c r="BG535" s="4">
        <v>3.39</v>
      </c>
      <c r="BH535" s="4">
        <v>0</v>
      </c>
      <c r="BI535" s="4">
        <v>5.56</v>
      </c>
      <c r="BJ535" s="14">
        <v>0</v>
      </c>
      <c r="BK535" s="14">
        <v>0</v>
      </c>
      <c r="BL535" s="4">
        <v>7.1719999999999997</v>
      </c>
      <c r="BM535" s="17">
        <v>0</v>
      </c>
      <c r="BN535" s="4">
        <v>2.1749999999999998</v>
      </c>
      <c r="BO535" s="4">
        <v>0</v>
      </c>
      <c r="BP535" s="4">
        <v>2.1749999999999998</v>
      </c>
      <c r="BQ535" s="4">
        <v>0</v>
      </c>
      <c r="BR535" s="4">
        <v>0</v>
      </c>
      <c r="BS535" s="55">
        <v>1.825</v>
      </c>
      <c r="BT535" s="4">
        <v>0</v>
      </c>
      <c r="BU535" s="4">
        <v>0</v>
      </c>
      <c r="BV535" s="4">
        <v>0</v>
      </c>
      <c r="BW535" s="4">
        <v>1.43</v>
      </c>
      <c r="BX535" s="4">
        <v>0</v>
      </c>
      <c r="BY535" s="4">
        <v>0</v>
      </c>
      <c r="BZ535" s="55">
        <v>0</v>
      </c>
      <c r="CA535" s="55">
        <v>0</v>
      </c>
      <c r="CB535" s="55">
        <v>0</v>
      </c>
      <c r="CC535" s="55">
        <v>0</v>
      </c>
      <c r="CD535" s="55">
        <v>0</v>
      </c>
      <c r="CE535" s="19">
        <v>1.9</v>
      </c>
      <c r="CF535" s="19">
        <v>0</v>
      </c>
      <c r="CG535" s="4">
        <v>0</v>
      </c>
      <c r="CH535" s="4">
        <v>0</v>
      </c>
      <c r="CI535" s="4">
        <v>2.41</v>
      </c>
      <c r="CJ535" s="34">
        <v>0</v>
      </c>
      <c r="CK535" s="34">
        <v>0</v>
      </c>
      <c r="CL535" s="34">
        <v>0</v>
      </c>
      <c r="CM535" s="4">
        <v>0</v>
      </c>
      <c r="CN535" s="53">
        <v>0</v>
      </c>
      <c r="CO535" s="54">
        <v>0</v>
      </c>
      <c r="CP535" s="54">
        <v>0</v>
      </c>
      <c r="CQ535" s="4">
        <v>0</v>
      </c>
    </row>
    <row r="536" spans="1:95" s="55" customFormat="1" x14ac:dyDescent="0.35">
      <c r="A536" s="55">
        <v>535</v>
      </c>
      <c r="B536" s="55" t="s">
        <v>87</v>
      </c>
      <c r="C536" s="27" t="s">
        <v>248</v>
      </c>
      <c r="D536" s="50" t="s">
        <v>94</v>
      </c>
      <c r="E536" s="33" t="s">
        <v>91</v>
      </c>
      <c r="F536" s="4">
        <f>IFERROR(AVERAGEIF(Table1[[#This Row],[2019-Apr]:[2025-July]],"&lt;&gt;0"),0)</f>
        <v>3.3101395348837199</v>
      </c>
      <c r="G536" s="4">
        <f ca="1">IFERROR(AVERAGEIF(OFFSET(Table1[[#This Row],[Status]],0,COUNT(Table1[[#This Row],[2019-May]:[2025-July]]),1,-12),"&lt;&gt;0"),0)</f>
        <v>3.85</v>
      </c>
      <c r="H536" s="55">
        <f>IFERROR(SMALL(Table1[[#This Row],[2019-Apr]:[2025-July]],COUNTIF(Table1[[#This Row],[2019-Apr]:[2025-July]],0)+1),0)</f>
        <v>1.4119999999999999</v>
      </c>
      <c r="I536" s="55">
        <f>IFERROR(MAX(Table1[[#This Row],[2019-Apr]:[2025-July]]),0)</f>
        <v>17.600000000000001</v>
      </c>
      <c r="J536" s="4" cm="1">
        <f t="array" ref="J53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1.5951666666666668</v>
      </c>
      <c r="K536" s="4">
        <v>4.5</v>
      </c>
      <c r="L536" s="4">
        <f>IF(Table1[[#This Row],[Standard as per ISO]]&gt;=Table1[[#This Row],[Avg of best 6]],Table1[[#This Row],[Standard as per ISO]],Table1[[#This Row],[Avg of best 6]])</f>
        <v>4.5</v>
      </c>
      <c r="M536" s="4" cm="1">
        <f t="array" ref="M536">IFERROR(LOOKUP(2,1/(Table1[[#This Row],[2019-May]:[2025-July]]&lt;&gt;0),Table1[[#This Row],[2019-May]:[2025-July]]),0)</f>
        <v>4.5</v>
      </c>
      <c r="N536" s="4">
        <f>COUNTIF(Table1[[#This Row],[2019-Apr]:[2025-July]],"&gt;="&amp;Table1[[#This Row],[Target]])</f>
        <v>5</v>
      </c>
      <c r="O536" s="4">
        <f>IF(Table1[[#This Row],[Outliers 2Y]]=0,1,0)</f>
        <v>0</v>
      </c>
      <c r="P536" s="4">
        <f>IF(Table1[[#This Row],[Last value]]&gt;1.5*Table1[[#This Row],[Target]],1,0)</f>
        <v>0</v>
      </c>
      <c r="Q536" s="4">
        <f>IF(AND(1.5*Table1[[#This Row],[Target]]&gt;=Table1[[#This Row],[Last value]],Table1[[#This Row],[Last value]]&gt;Table1[[#This Row],[Target]]),1,0)</f>
        <v>0</v>
      </c>
      <c r="R536" s="4">
        <f>IF(Table1[[#This Row],[Target]]&gt;=Table1[[#This Row],[Last value]],1,0)</f>
        <v>1</v>
      </c>
      <c r="S536" s="4" t="str">
        <f t="shared" si="10"/>
        <v>Green</v>
      </c>
      <c r="T536" s="55">
        <v>0</v>
      </c>
      <c r="U536" s="55">
        <v>1.93</v>
      </c>
      <c r="V536" s="55">
        <v>2.94</v>
      </c>
      <c r="W536" s="55">
        <v>2.2400000000000002</v>
      </c>
      <c r="X536" s="55">
        <v>2.72</v>
      </c>
      <c r="Y536" s="55">
        <v>2.66</v>
      </c>
      <c r="Z536" s="55">
        <v>2.1</v>
      </c>
      <c r="AA536" s="55">
        <v>2.5</v>
      </c>
      <c r="AB536" s="55">
        <v>2.14</v>
      </c>
      <c r="AC536" s="55">
        <v>2.61</v>
      </c>
      <c r="AD536" s="55">
        <v>2.77</v>
      </c>
      <c r="AE536" s="55">
        <v>2.8</v>
      </c>
      <c r="AF536" s="55">
        <v>3</v>
      </c>
      <c r="AG536" s="55">
        <v>4.3</v>
      </c>
      <c r="AH536" s="55">
        <v>5.0999999999999996</v>
      </c>
      <c r="AI536" s="55">
        <v>17.600000000000001</v>
      </c>
      <c r="AJ536" s="55">
        <v>3.35</v>
      </c>
      <c r="AK536" s="55">
        <v>0</v>
      </c>
      <c r="AL536" s="55">
        <v>5.45</v>
      </c>
      <c r="AM536" s="55">
        <v>4.29</v>
      </c>
      <c r="AN536" s="55">
        <v>1.98</v>
      </c>
      <c r="AO536" s="55">
        <v>0</v>
      </c>
      <c r="AP536" s="55">
        <v>8.43</v>
      </c>
      <c r="AQ536" s="55">
        <v>4.0999999999999996</v>
      </c>
      <c r="AR536" s="8">
        <v>2.63</v>
      </c>
      <c r="AS536" s="8">
        <v>3.71</v>
      </c>
      <c r="AT536" s="8">
        <v>0</v>
      </c>
      <c r="AU536" s="50">
        <v>3.21</v>
      </c>
      <c r="AV536" s="50">
        <v>3.9</v>
      </c>
      <c r="AW536" s="50">
        <v>3.32</v>
      </c>
      <c r="AX536" s="50">
        <v>3.46</v>
      </c>
      <c r="AY536" s="50">
        <v>2.52</v>
      </c>
      <c r="AZ536" s="50">
        <v>3.24</v>
      </c>
      <c r="BA536" s="50">
        <v>2.9</v>
      </c>
      <c r="BB536" s="50">
        <v>2.6</v>
      </c>
      <c r="BC536" s="55">
        <v>2.6</v>
      </c>
      <c r="BD536" s="55">
        <v>2</v>
      </c>
      <c r="BE536" s="11">
        <v>1.4119999999999999</v>
      </c>
      <c r="BF536" s="4">
        <v>0</v>
      </c>
      <c r="BG536" s="4">
        <v>1.57</v>
      </c>
      <c r="BH536" s="4">
        <v>0</v>
      </c>
      <c r="BI536" s="4">
        <v>1.57</v>
      </c>
      <c r="BJ536" s="13">
        <v>0</v>
      </c>
      <c r="BK536" s="13">
        <v>0</v>
      </c>
      <c r="BL536" s="4">
        <v>1.5720000000000001</v>
      </c>
      <c r="BM536" s="16">
        <v>0</v>
      </c>
      <c r="BN536" s="4">
        <v>1.8140000000000001</v>
      </c>
      <c r="BO536" s="4">
        <v>0</v>
      </c>
      <c r="BP536" s="4">
        <v>1.633</v>
      </c>
      <c r="BQ536" s="4">
        <v>0</v>
      </c>
      <c r="BR536" s="4">
        <v>0</v>
      </c>
      <c r="BS536" s="55">
        <v>1.825</v>
      </c>
      <c r="BT536" s="4">
        <v>0</v>
      </c>
      <c r="BU536" s="4">
        <v>0</v>
      </c>
      <c r="BV536" s="4">
        <v>0</v>
      </c>
      <c r="BW536" s="4">
        <v>2.14</v>
      </c>
      <c r="BX536" s="4">
        <v>0</v>
      </c>
      <c r="BY536" s="4">
        <v>0</v>
      </c>
      <c r="BZ536" s="55">
        <v>0</v>
      </c>
      <c r="CA536" s="55">
        <v>0</v>
      </c>
      <c r="CB536" s="55">
        <v>0</v>
      </c>
      <c r="CC536" s="55">
        <v>0</v>
      </c>
      <c r="CD536" s="55">
        <v>0</v>
      </c>
      <c r="CE536" s="19">
        <v>3.2</v>
      </c>
      <c r="CF536" s="19">
        <v>0</v>
      </c>
      <c r="CG536" s="4">
        <v>0</v>
      </c>
      <c r="CH536" s="4">
        <v>0</v>
      </c>
      <c r="CI536" s="4">
        <v>4.5</v>
      </c>
      <c r="CJ536" s="34">
        <v>0</v>
      </c>
      <c r="CK536" s="34">
        <v>0</v>
      </c>
      <c r="CL536" s="34">
        <v>0</v>
      </c>
      <c r="CM536" s="4">
        <v>0</v>
      </c>
      <c r="CN536" s="53">
        <v>0</v>
      </c>
      <c r="CO536" s="54">
        <v>0</v>
      </c>
      <c r="CP536" s="54">
        <v>0</v>
      </c>
      <c r="CQ536" s="4">
        <v>0</v>
      </c>
    </row>
    <row r="537" spans="1:95" s="55" customFormat="1" x14ac:dyDescent="0.35">
      <c r="A537" s="55">
        <v>536</v>
      </c>
      <c r="B537" s="55" t="s">
        <v>87</v>
      </c>
      <c r="C537" s="27" t="s">
        <v>249</v>
      </c>
      <c r="D537" s="50" t="s">
        <v>94</v>
      </c>
      <c r="E537" s="33" t="s">
        <v>91</v>
      </c>
      <c r="F537" s="4">
        <f>IFERROR(AVERAGEIF(Table1[[#This Row],[2019-Apr]:[2025-July]],"&lt;&gt;0"),0)</f>
        <v>3.345954545454545</v>
      </c>
      <c r="G537" s="4">
        <f ca="1">IFERROR(AVERAGEIF(OFFSET(Table1[[#This Row],[Status]],0,COUNT(Table1[[#This Row],[2019-May]:[2025-July]]),1,-12),"&lt;&gt;0"),0)</f>
        <v>1.23</v>
      </c>
      <c r="H537" s="55">
        <f>IFERROR(SMALL(Table1[[#This Row],[2019-Apr]:[2025-July]],COUNTIF(Table1[[#This Row],[2019-Apr]:[2025-July]],0)+1),0)</f>
        <v>1</v>
      </c>
      <c r="I537" s="55">
        <f>IFERROR(MAX(Table1[[#This Row],[2019-Apr]:[2025-July]]),0)</f>
        <v>10.6</v>
      </c>
      <c r="J537" s="4" cm="1">
        <f t="array" ref="J53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1.4371666666666669</v>
      </c>
      <c r="K537" s="4">
        <v>4.5</v>
      </c>
      <c r="L537" s="4">
        <f>IF(Table1[[#This Row],[Standard as per ISO]]&gt;=Table1[[#This Row],[Avg of best 6]],Table1[[#This Row],[Standard as per ISO]],Table1[[#This Row],[Avg of best 6]])</f>
        <v>4.5</v>
      </c>
      <c r="M537" s="4" cm="1">
        <f t="array" ref="M537">IFERROR(LOOKUP(2,1/(Table1[[#This Row],[2019-May]:[2025-July]]&lt;&gt;0),Table1[[#This Row],[2019-May]:[2025-July]]),0)</f>
        <v>1.46</v>
      </c>
      <c r="N537" s="4">
        <f>COUNTIF(Table1[[#This Row],[2019-Apr]:[2025-July]],"&gt;="&amp;Table1[[#This Row],[Target]])</f>
        <v>8</v>
      </c>
      <c r="O537" s="4">
        <f>IF(Table1[[#This Row],[Outliers 2Y]]=0,1,0)</f>
        <v>0</v>
      </c>
      <c r="P537" s="4">
        <f>IF(Table1[[#This Row],[Last value]]&gt;1.5*Table1[[#This Row],[Target]],1,0)</f>
        <v>0</v>
      </c>
      <c r="Q537" s="4">
        <f>IF(AND(1.5*Table1[[#This Row],[Target]]&gt;=Table1[[#This Row],[Last value]],Table1[[#This Row],[Last value]]&gt;Table1[[#This Row],[Target]]),1,0)</f>
        <v>0</v>
      </c>
      <c r="R537" s="4">
        <f>IF(Table1[[#This Row],[Target]]&gt;=Table1[[#This Row],[Last value]],1,0)</f>
        <v>1</v>
      </c>
      <c r="S537" s="4" t="str">
        <f t="shared" si="10"/>
        <v>Green</v>
      </c>
      <c r="T537" s="55">
        <v>0</v>
      </c>
      <c r="U537" s="55">
        <v>3.68</v>
      </c>
      <c r="V537" s="55">
        <v>2.38</v>
      </c>
      <c r="W537" s="55">
        <v>2.42</v>
      </c>
      <c r="X537" s="55">
        <v>1.79</v>
      </c>
      <c r="Y537" s="55">
        <v>4.03</v>
      </c>
      <c r="Z537" s="55">
        <v>4.5</v>
      </c>
      <c r="AA537" s="55">
        <v>3.4</v>
      </c>
      <c r="AB537" s="55">
        <v>7.7</v>
      </c>
      <c r="AC537" s="55">
        <v>5.49</v>
      </c>
      <c r="AD537" s="55">
        <v>10.6</v>
      </c>
      <c r="AE537" s="55">
        <v>2.4</v>
      </c>
      <c r="AF537" s="55">
        <v>3</v>
      </c>
      <c r="AG537" s="55">
        <v>3.8</v>
      </c>
      <c r="AH537" s="55">
        <v>5</v>
      </c>
      <c r="AI537" s="55">
        <v>7.24</v>
      </c>
      <c r="AJ537" s="55">
        <v>3.5</v>
      </c>
      <c r="AK537" s="55">
        <v>0</v>
      </c>
      <c r="AL537" s="55">
        <v>2.38</v>
      </c>
      <c r="AM537" s="55">
        <v>3.7</v>
      </c>
      <c r="AN537" s="55">
        <v>8.7799999999999994</v>
      </c>
      <c r="AO537" s="55">
        <v>3.35</v>
      </c>
      <c r="AP537" s="55">
        <v>2.64</v>
      </c>
      <c r="AQ537" s="55">
        <v>2.8</v>
      </c>
      <c r="AR537" s="8">
        <v>3.63</v>
      </c>
      <c r="AS537" s="8">
        <v>2.86</v>
      </c>
      <c r="AT537" s="8">
        <v>0</v>
      </c>
      <c r="AU537" s="50">
        <v>2.0299999999999998</v>
      </c>
      <c r="AV537" s="50">
        <v>2.33</v>
      </c>
      <c r="AW537" s="50">
        <v>2.06</v>
      </c>
      <c r="AX537" s="50">
        <v>3.05</v>
      </c>
      <c r="AY537" s="50">
        <v>1.97</v>
      </c>
      <c r="AZ537" s="50">
        <v>2.08</v>
      </c>
      <c r="BA537" s="50">
        <v>2.6</v>
      </c>
      <c r="BB537" s="50">
        <v>2.2000000000000002</v>
      </c>
      <c r="BC537" s="55">
        <v>2</v>
      </c>
      <c r="BD537" s="55">
        <v>3.2</v>
      </c>
      <c r="BE537" s="11">
        <v>2.8</v>
      </c>
      <c r="BF537" s="4">
        <v>0</v>
      </c>
      <c r="BG537" s="4">
        <v>2.38</v>
      </c>
      <c r="BH537" s="4">
        <v>0</v>
      </c>
      <c r="BI537" s="4">
        <v>4.992</v>
      </c>
      <c r="BJ537" s="14">
        <v>0</v>
      </c>
      <c r="BK537" s="14">
        <v>0</v>
      </c>
      <c r="BL537" s="4">
        <v>3.0790000000000002</v>
      </c>
      <c r="BM537" s="17">
        <v>0</v>
      </c>
      <c r="BN537" s="4">
        <v>1.3959999999999999</v>
      </c>
      <c r="BO537" s="4">
        <v>0</v>
      </c>
      <c r="BP537" s="4">
        <v>2.548</v>
      </c>
      <c r="BQ537" s="4">
        <v>0</v>
      </c>
      <c r="BR537" s="4">
        <v>0</v>
      </c>
      <c r="BS537" s="55">
        <v>1.597</v>
      </c>
      <c r="BT537" s="4">
        <v>0</v>
      </c>
      <c r="BU537" s="4">
        <v>0</v>
      </c>
      <c r="BV537" s="4">
        <v>0</v>
      </c>
      <c r="BW537" s="4">
        <v>1.38</v>
      </c>
      <c r="BX537" s="4">
        <v>0</v>
      </c>
      <c r="BY537" s="4">
        <v>0</v>
      </c>
      <c r="BZ537" s="55">
        <v>0</v>
      </c>
      <c r="CA537" s="55">
        <v>0</v>
      </c>
      <c r="CB537" s="55">
        <v>0</v>
      </c>
      <c r="CC537" s="55">
        <v>0</v>
      </c>
      <c r="CD537" s="55">
        <v>0</v>
      </c>
      <c r="CE537" s="19">
        <v>1</v>
      </c>
      <c r="CF537" s="19">
        <v>0</v>
      </c>
      <c r="CG537" s="4">
        <v>0</v>
      </c>
      <c r="CH537" s="4">
        <v>0</v>
      </c>
      <c r="CI537" s="4">
        <v>1.46</v>
      </c>
      <c r="CJ537" s="34">
        <v>0</v>
      </c>
      <c r="CK537" s="34">
        <v>0</v>
      </c>
      <c r="CL537" s="34">
        <v>0</v>
      </c>
      <c r="CM537" s="4">
        <v>0</v>
      </c>
      <c r="CN537" s="53">
        <v>0</v>
      </c>
      <c r="CO537" s="54">
        <v>0</v>
      </c>
      <c r="CP537" s="54">
        <v>0</v>
      </c>
      <c r="CQ537" s="4">
        <v>0</v>
      </c>
    </row>
    <row r="538" spans="1:95" s="55" customFormat="1" x14ac:dyDescent="0.35">
      <c r="A538" s="55">
        <v>537</v>
      </c>
      <c r="B538" s="55" t="s">
        <v>87</v>
      </c>
      <c r="C538" s="27" t="s">
        <v>250</v>
      </c>
      <c r="D538" s="50" t="s">
        <v>94</v>
      </c>
      <c r="E538" s="33" t="s">
        <v>91</v>
      </c>
      <c r="F538" s="4">
        <f>IFERROR(AVERAGEIF(Table1[[#This Row],[2019-Apr]:[2025-July]],"&lt;&gt;0"),0)</f>
        <v>1.4987692307692311</v>
      </c>
      <c r="G538" s="4">
        <f ca="1">IFERROR(AVERAGEIF(OFFSET(Table1[[#This Row],[Status]],0,COUNT(Table1[[#This Row],[2019-May]:[2025-July]]),1,-12),"&lt;&gt;0"),0)</f>
        <v>1.095</v>
      </c>
      <c r="H538" s="55">
        <f>IFERROR(SMALL(Table1[[#This Row],[2019-Apr]:[2025-July]],COUNTIF(Table1[[#This Row],[2019-Apr]:[2025-July]],0)+1),0)</f>
        <v>0.372</v>
      </c>
      <c r="I538" s="55">
        <f>IFERROR(MAX(Table1[[#This Row],[2019-Apr]:[2025-July]]),0)</f>
        <v>5.24</v>
      </c>
      <c r="J538" s="4" cm="1">
        <f t="array" ref="J53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0.45666666666666672</v>
      </c>
      <c r="K538" s="4">
        <v>4.5</v>
      </c>
      <c r="L538" s="4">
        <f>IF(Table1[[#This Row],[Standard as per ISO]]&gt;=Table1[[#This Row],[Avg of best 6]],Table1[[#This Row],[Standard as per ISO]],Table1[[#This Row],[Avg of best 6]])</f>
        <v>4.5</v>
      </c>
      <c r="M538" s="4" cm="1">
        <f t="array" ref="M538">IFERROR(LOOKUP(2,1/(Table1[[#This Row],[2019-May]:[2025-July]]&lt;&gt;0),Table1[[#This Row],[2019-May]:[2025-July]]),0)</f>
        <v>1.69</v>
      </c>
      <c r="N538" s="4">
        <f>COUNTIF(Table1[[#This Row],[2019-Apr]:[2025-July]],"&gt;="&amp;Table1[[#This Row],[Target]])</f>
        <v>1</v>
      </c>
      <c r="O538" s="4">
        <f>IF(Table1[[#This Row],[Outliers 2Y]]=0,1,0)</f>
        <v>0</v>
      </c>
      <c r="P538" s="4">
        <f>IF(Table1[[#This Row],[Last value]]&gt;1.5*Table1[[#This Row],[Target]],1,0)</f>
        <v>0</v>
      </c>
      <c r="Q538" s="4">
        <f>IF(AND(1.5*Table1[[#This Row],[Target]]&gt;=Table1[[#This Row],[Last value]],Table1[[#This Row],[Last value]]&gt;Table1[[#This Row],[Target]]),1,0)</f>
        <v>0</v>
      </c>
      <c r="R538" s="4">
        <f>IF(Table1[[#This Row],[Target]]&gt;=Table1[[#This Row],[Last value]],1,0)</f>
        <v>1</v>
      </c>
      <c r="S538" s="4" t="str">
        <f t="shared" si="10"/>
        <v>Green</v>
      </c>
      <c r="T538" s="55">
        <v>0</v>
      </c>
      <c r="U538" s="55">
        <v>1.86</v>
      </c>
      <c r="V538" s="55">
        <v>5.24</v>
      </c>
      <c r="W538" s="55">
        <v>3.98</v>
      </c>
      <c r="X538" s="55">
        <v>2.12</v>
      </c>
      <c r="Y538" s="55">
        <v>0.496</v>
      </c>
      <c r="Z538" s="55">
        <v>0.6</v>
      </c>
      <c r="AA538" s="55">
        <v>0.97</v>
      </c>
      <c r="AB538" s="55">
        <v>0.52</v>
      </c>
      <c r="AC538" s="55">
        <v>1.1000000000000001</v>
      </c>
      <c r="AD538" s="55">
        <v>0.67</v>
      </c>
      <c r="AE538" s="55">
        <v>0.6</v>
      </c>
      <c r="AF538" s="55">
        <v>0.6</v>
      </c>
      <c r="AG538" s="55">
        <v>1.1000000000000001</v>
      </c>
      <c r="AH538" s="55">
        <v>0.8</v>
      </c>
      <c r="AI538" s="55">
        <v>1.4</v>
      </c>
      <c r="AJ538" s="55">
        <v>0</v>
      </c>
      <c r="AK538" s="55">
        <v>0</v>
      </c>
      <c r="AL538" s="55">
        <v>0</v>
      </c>
      <c r="AM538" s="55">
        <v>0</v>
      </c>
      <c r="AN538" s="55">
        <v>1.57</v>
      </c>
      <c r="AO538" s="55">
        <v>0</v>
      </c>
      <c r="AP538" s="55">
        <v>1.42</v>
      </c>
      <c r="AQ538" s="55">
        <v>0.43</v>
      </c>
      <c r="AR538" s="8">
        <v>0.57999999999999996</v>
      </c>
      <c r="AS538" s="8">
        <v>1.21</v>
      </c>
      <c r="AT538" s="8">
        <v>0</v>
      </c>
      <c r="AU538" s="50">
        <v>0.68</v>
      </c>
      <c r="AV538" s="50">
        <v>3.27</v>
      </c>
      <c r="AW538" s="50">
        <v>1.27</v>
      </c>
      <c r="AX538" s="50">
        <v>3.59</v>
      </c>
      <c r="AY538" s="50">
        <v>1.46</v>
      </c>
      <c r="AZ538" s="50">
        <v>2.16</v>
      </c>
      <c r="BA538" s="50">
        <v>2.1</v>
      </c>
      <c r="BB538" s="50">
        <v>2.1</v>
      </c>
      <c r="BC538" s="55">
        <v>1.9</v>
      </c>
      <c r="BD538" s="55">
        <v>1.5</v>
      </c>
      <c r="BE538" s="11">
        <v>0.372</v>
      </c>
      <c r="BF538" s="4">
        <v>0</v>
      </c>
      <c r="BG538" s="4">
        <v>0.51</v>
      </c>
      <c r="BH538" s="4">
        <v>0</v>
      </c>
      <c r="BI538" s="4">
        <v>2.298</v>
      </c>
      <c r="BJ538" s="13">
        <v>0</v>
      </c>
      <c r="BK538" s="13">
        <v>0</v>
      </c>
      <c r="BL538" s="4">
        <v>0.432</v>
      </c>
      <c r="BM538" s="16">
        <v>0</v>
      </c>
      <c r="BN538" s="4">
        <v>0</v>
      </c>
      <c r="BO538" s="4">
        <v>0</v>
      </c>
      <c r="BP538" s="4">
        <v>3.2330000000000001</v>
      </c>
      <c r="BQ538" s="4">
        <v>0</v>
      </c>
      <c r="BR538" s="4">
        <v>0</v>
      </c>
      <c r="BS538" s="55">
        <v>0.96199999999999997</v>
      </c>
      <c r="BT538" s="4">
        <v>0</v>
      </c>
      <c r="BU538" s="4">
        <v>0</v>
      </c>
      <c r="BV538" s="4">
        <v>0</v>
      </c>
      <c r="BW538" s="4">
        <v>1.159</v>
      </c>
      <c r="BX538" s="4">
        <v>0</v>
      </c>
      <c r="BY538" s="4">
        <v>0</v>
      </c>
      <c r="BZ538" s="55">
        <v>0</v>
      </c>
      <c r="CA538" s="55">
        <v>0</v>
      </c>
      <c r="CB538" s="55">
        <v>0</v>
      </c>
      <c r="CC538" s="55">
        <v>0</v>
      </c>
      <c r="CD538" s="55">
        <v>0</v>
      </c>
      <c r="CE538" s="19">
        <v>0.5</v>
      </c>
      <c r="CF538" s="19">
        <v>0</v>
      </c>
      <c r="CG538" s="4">
        <v>0</v>
      </c>
      <c r="CH538" s="4">
        <v>0</v>
      </c>
      <c r="CI538" s="4">
        <v>1.69</v>
      </c>
      <c r="CJ538" s="34">
        <v>0</v>
      </c>
      <c r="CK538" s="34">
        <v>0</v>
      </c>
      <c r="CL538" s="34">
        <v>0</v>
      </c>
      <c r="CM538" s="4">
        <v>0</v>
      </c>
      <c r="CN538" s="53">
        <v>0</v>
      </c>
      <c r="CO538" s="54">
        <v>0</v>
      </c>
      <c r="CP538" s="54">
        <v>0</v>
      </c>
      <c r="CQ538" s="4">
        <v>0</v>
      </c>
    </row>
    <row r="539" spans="1:95" s="55" customFormat="1" x14ac:dyDescent="0.35">
      <c r="A539" s="55">
        <v>538</v>
      </c>
      <c r="B539" s="55" t="s">
        <v>87</v>
      </c>
      <c r="C539" s="27" t="s">
        <v>251</v>
      </c>
      <c r="D539" s="50" t="s">
        <v>94</v>
      </c>
      <c r="E539" s="33" t="s">
        <v>91</v>
      </c>
      <c r="F539" s="4">
        <f>IFERROR(AVERAGEIF(Table1[[#This Row],[2019-Apr]:[2025-July]],"&lt;&gt;0"),0)</f>
        <v>2.2770465116279071</v>
      </c>
      <c r="G539" s="4">
        <f ca="1">IFERROR(AVERAGEIF(OFFSET(Table1[[#This Row],[Status]],0,COUNT(Table1[[#This Row],[2019-May]:[2025-July]]),1,-12),"&lt;&gt;0"),0)</f>
        <v>3.6399999999999997</v>
      </c>
      <c r="H539" s="55">
        <f>IFERROR(SMALL(Table1[[#This Row],[2019-Apr]:[2025-July]],COUNTIF(Table1[[#This Row],[2019-Apr]:[2025-July]],0)+1),0)</f>
        <v>0.502</v>
      </c>
      <c r="I539" s="55">
        <f>IFERROR(MAX(Table1[[#This Row],[2019-Apr]:[2025-July]]),0)</f>
        <v>9.77</v>
      </c>
      <c r="J539" s="4" cm="1">
        <f t="array" ref="J53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0.82300000000000006</v>
      </c>
      <c r="K539" s="4">
        <v>4.5</v>
      </c>
      <c r="L539" s="4">
        <f>IF(Table1[[#This Row],[Standard as per ISO]]&gt;=Table1[[#This Row],[Avg of best 6]],Table1[[#This Row],[Standard as per ISO]],Table1[[#This Row],[Avg of best 6]])</f>
        <v>4.5</v>
      </c>
      <c r="M539" s="4" cm="1">
        <f t="array" ref="M539">IFERROR(LOOKUP(2,1/(Table1[[#This Row],[2019-May]:[2025-July]]&lt;&gt;0),Table1[[#This Row],[2019-May]:[2025-July]]),0)</f>
        <v>3.48</v>
      </c>
      <c r="N539" s="4">
        <f>COUNTIF(Table1[[#This Row],[2019-Apr]:[2025-July]],"&gt;="&amp;Table1[[#This Row],[Target]])</f>
        <v>1</v>
      </c>
      <c r="O539" s="4">
        <f>IF(Table1[[#This Row],[Outliers 2Y]]=0,1,0)</f>
        <v>0</v>
      </c>
      <c r="P539" s="4">
        <f>IF(Table1[[#This Row],[Last value]]&gt;1.5*Table1[[#This Row],[Target]],1,0)</f>
        <v>0</v>
      </c>
      <c r="Q539" s="4">
        <f>IF(AND(1.5*Table1[[#This Row],[Target]]&gt;=Table1[[#This Row],[Last value]],Table1[[#This Row],[Last value]]&gt;Table1[[#This Row],[Target]]),1,0)</f>
        <v>0</v>
      </c>
      <c r="R539" s="4">
        <f>IF(Table1[[#This Row],[Target]]&gt;=Table1[[#This Row],[Last value]],1,0)</f>
        <v>1</v>
      </c>
      <c r="S539" s="4" t="str">
        <f t="shared" si="10"/>
        <v>Green</v>
      </c>
      <c r="T539" s="55">
        <v>0</v>
      </c>
      <c r="U539" s="55">
        <v>1.95</v>
      </c>
      <c r="V539" s="55">
        <v>2.8</v>
      </c>
      <c r="W539" s="55">
        <v>1.25</v>
      </c>
      <c r="X539" s="55">
        <v>2.5099999999999998</v>
      </c>
      <c r="Y539" s="55">
        <v>3.61</v>
      </c>
      <c r="Z539" s="55">
        <v>4.4000000000000004</v>
      </c>
      <c r="AA539" s="55">
        <v>9.77</v>
      </c>
      <c r="AB539" s="55">
        <v>1.22</v>
      </c>
      <c r="AC539" s="55">
        <v>2.75</v>
      </c>
      <c r="AD539" s="55">
        <v>2.4300000000000002</v>
      </c>
      <c r="AE539" s="55">
        <v>1.1000000000000001</v>
      </c>
      <c r="AF539" s="55">
        <v>1.3</v>
      </c>
      <c r="AG539" s="55">
        <v>1.1000000000000001</v>
      </c>
      <c r="AH539" s="55">
        <v>1</v>
      </c>
      <c r="AI539" s="55">
        <v>1.2</v>
      </c>
      <c r="AJ539" s="55">
        <v>0.97</v>
      </c>
      <c r="AK539" s="55">
        <v>0</v>
      </c>
      <c r="AL539" s="55">
        <v>1.31</v>
      </c>
      <c r="AM539" s="55">
        <v>1.48</v>
      </c>
      <c r="AN539" s="55">
        <v>1</v>
      </c>
      <c r="AO539" s="55">
        <v>1.07</v>
      </c>
      <c r="AP539" s="55">
        <v>2.95</v>
      </c>
      <c r="AQ539" s="55">
        <v>1.2</v>
      </c>
      <c r="AR539" s="8">
        <v>0.99</v>
      </c>
      <c r="AS539" s="8">
        <v>1.01</v>
      </c>
      <c r="AT539" s="8">
        <v>0</v>
      </c>
      <c r="AU539" s="50">
        <v>0.87</v>
      </c>
      <c r="AV539" s="50">
        <v>3.64</v>
      </c>
      <c r="AW539" s="50">
        <v>2.61</v>
      </c>
      <c r="AX539" s="50">
        <v>4.4400000000000004</v>
      </c>
      <c r="AY539" s="50">
        <v>2.8</v>
      </c>
      <c r="AZ539" s="50">
        <v>3.54</v>
      </c>
      <c r="BA539" s="50">
        <v>2.7</v>
      </c>
      <c r="BB539" s="50">
        <v>3.6</v>
      </c>
      <c r="BC539" s="55">
        <v>2.7</v>
      </c>
      <c r="BD539" s="55">
        <v>2.7</v>
      </c>
      <c r="BE539" s="11">
        <v>1.6910000000000001</v>
      </c>
      <c r="BF539" s="4">
        <v>0</v>
      </c>
      <c r="BG539" s="4">
        <v>0.91</v>
      </c>
      <c r="BH539" s="4">
        <v>0</v>
      </c>
      <c r="BI539" s="4">
        <v>2.2000000000000002</v>
      </c>
      <c r="BJ539" s="14">
        <v>0</v>
      </c>
      <c r="BK539" s="14">
        <v>0</v>
      </c>
      <c r="BL539" s="4">
        <v>0.69599999999999995</v>
      </c>
      <c r="BM539" s="17">
        <v>0</v>
      </c>
      <c r="BN539" s="4">
        <v>0.502</v>
      </c>
      <c r="BO539" s="4">
        <v>0</v>
      </c>
      <c r="BP539" s="4">
        <v>0</v>
      </c>
      <c r="BQ539" s="4">
        <v>0</v>
      </c>
      <c r="BR539" s="4">
        <v>0</v>
      </c>
      <c r="BS539" s="55">
        <v>2.6739999999999999</v>
      </c>
      <c r="BT539" s="4">
        <v>0</v>
      </c>
      <c r="BU539" s="4">
        <v>0</v>
      </c>
      <c r="BV539" s="4">
        <v>0</v>
      </c>
      <c r="BW539" s="4">
        <v>1.99</v>
      </c>
      <c r="BX539" s="4">
        <v>0</v>
      </c>
      <c r="BY539" s="4">
        <v>0</v>
      </c>
      <c r="BZ539" s="55">
        <v>0</v>
      </c>
      <c r="CA539" s="55">
        <v>0</v>
      </c>
      <c r="CB539" s="55">
        <v>0</v>
      </c>
      <c r="CC539" s="55">
        <v>0</v>
      </c>
      <c r="CD539" s="55">
        <v>0</v>
      </c>
      <c r="CE539" s="19">
        <v>3.8</v>
      </c>
      <c r="CF539" s="19">
        <v>0</v>
      </c>
      <c r="CG539" s="4">
        <v>0</v>
      </c>
      <c r="CH539" s="4">
        <v>0</v>
      </c>
      <c r="CI539" s="4">
        <v>3.48</v>
      </c>
      <c r="CJ539" s="34">
        <v>0</v>
      </c>
      <c r="CK539" s="34">
        <v>0</v>
      </c>
      <c r="CL539" s="34">
        <v>0</v>
      </c>
      <c r="CM539" s="4">
        <v>0</v>
      </c>
      <c r="CN539" s="53">
        <v>0</v>
      </c>
      <c r="CO539" s="54">
        <v>0</v>
      </c>
      <c r="CP539" s="54">
        <v>0</v>
      </c>
      <c r="CQ539" s="4">
        <v>0</v>
      </c>
    </row>
    <row r="540" spans="1:95" s="55" customFormat="1" x14ac:dyDescent="0.35">
      <c r="A540" s="55">
        <v>539</v>
      </c>
      <c r="B540" s="55" t="s">
        <v>87</v>
      </c>
      <c r="C540" s="27" t="s">
        <v>252</v>
      </c>
      <c r="D540" s="50" t="s">
        <v>94</v>
      </c>
      <c r="E540" s="33" t="s">
        <v>91</v>
      </c>
      <c r="F540" s="4">
        <f>IFERROR(AVERAGEIF(Table1[[#This Row],[2019-Apr]:[2025-July]],"&lt;&gt;0"),0)</f>
        <v>1.9797727272727272</v>
      </c>
      <c r="G540" s="4">
        <f ca="1">IFERROR(AVERAGEIF(OFFSET(Table1[[#This Row],[Status]],0,COUNT(Table1[[#This Row],[2019-May]:[2025-July]]),1,-12),"&lt;&gt;0"),0)</f>
        <v>2.61</v>
      </c>
      <c r="H540" s="55">
        <f>IFERROR(SMALL(Table1[[#This Row],[2019-Apr]:[2025-July]],COUNTIF(Table1[[#This Row],[2019-Apr]:[2025-July]],0)+1),0)</f>
        <v>0.5</v>
      </c>
      <c r="I540" s="55">
        <f>IFERROR(MAX(Table1[[#This Row],[2019-Apr]:[2025-July]]),0)</f>
        <v>4.95</v>
      </c>
      <c r="J540" s="4" cm="1">
        <f t="array" ref="J54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0.70416666666666672</v>
      </c>
      <c r="K540" s="4">
        <v>4.5</v>
      </c>
      <c r="L540" s="4">
        <f>IF(Table1[[#This Row],[Standard as per ISO]]&gt;=Table1[[#This Row],[Avg of best 6]],Table1[[#This Row],[Standard as per ISO]],Table1[[#This Row],[Avg of best 6]])</f>
        <v>4.5</v>
      </c>
      <c r="M540" s="4" cm="1">
        <f t="array" ref="M540">IFERROR(LOOKUP(2,1/(Table1[[#This Row],[2019-May]:[2025-July]]&lt;&gt;0),Table1[[#This Row],[2019-May]:[2025-July]]),0)</f>
        <v>4.0199999999999996</v>
      </c>
      <c r="N540" s="4">
        <f>COUNTIF(Table1[[#This Row],[2019-Apr]:[2025-July]],"&gt;="&amp;Table1[[#This Row],[Target]])</f>
        <v>2</v>
      </c>
      <c r="O540" s="4">
        <f>IF(Table1[[#This Row],[Outliers 2Y]]=0,1,0)</f>
        <v>0</v>
      </c>
      <c r="P540" s="4">
        <f>IF(Table1[[#This Row],[Last value]]&gt;1.5*Table1[[#This Row],[Target]],1,0)</f>
        <v>0</v>
      </c>
      <c r="Q540" s="4">
        <f>IF(AND(1.5*Table1[[#This Row],[Target]]&gt;=Table1[[#This Row],[Last value]],Table1[[#This Row],[Last value]]&gt;Table1[[#This Row],[Target]]),1,0)</f>
        <v>0</v>
      </c>
      <c r="R540" s="4">
        <f>IF(Table1[[#This Row],[Target]]&gt;=Table1[[#This Row],[Last value]],1,0)</f>
        <v>1</v>
      </c>
      <c r="S540" s="4" t="str">
        <f t="shared" si="10"/>
        <v>Green</v>
      </c>
      <c r="T540" s="55">
        <v>0</v>
      </c>
      <c r="U540" s="55">
        <v>1.24</v>
      </c>
      <c r="V540" s="55">
        <v>1.27</v>
      </c>
      <c r="W540" s="55">
        <v>1.2</v>
      </c>
      <c r="X540" s="55">
        <v>1.18</v>
      </c>
      <c r="Y540" s="55">
        <v>1.44</v>
      </c>
      <c r="Z540" s="55">
        <v>1.2</v>
      </c>
      <c r="AA540" s="55">
        <v>3.3</v>
      </c>
      <c r="AB540" s="55">
        <v>0.81</v>
      </c>
      <c r="AC540" s="55">
        <v>1.56</v>
      </c>
      <c r="AD540" s="55">
        <v>0.92</v>
      </c>
      <c r="AE540" s="55">
        <v>0.7</v>
      </c>
      <c r="AF540" s="55">
        <v>2.5</v>
      </c>
      <c r="AG540" s="55">
        <v>1</v>
      </c>
      <c r="AH540" s="55">
        <v>1.6</v>
      </c>
      <c r="AI540" s="55">
        <v>1.07</v>
      </c>
      <c r="AJ540" s="55">
        <v>1.2</v>
      </c>
      <c r="AK540" s="55">
        <v>0</v>
      </c>
      <c r="AL540" s="55">
        <v>1.1599999999999999</v>
      </c>
      <c r="AM540" s="55">
        <v>1.07</v>
      </c>
      <c r="AN540" s="55">
        <v>0.98</v>
      </c>
      <c r="AO540" s="55">
        <v>2.14</v>
      </c>
      <c r="AP540" s="55">
        <v>4.55</v>
      </c>
      <c r="AQ540" s="55">
        <v>1.2</v>
      </c>
      <c r="AR540" s="8">
        <v>1.08</v>
      </c>
      <c r="AS540" s="8">
        <v>1.48</v>
      </c>
      <c r="AT540" s="8">
        <v>0</v>
      </c>
      <c r="AU540" s="50">
        <v>1.35</v>
      </c>
      <c r="AV540" s="50">
        <v>4.95</v>
      </c>
      <c r="AW540" s="50">
        <v>2.98</v>
      </c>
      <c r="AX540" s="50">
        <v>3.98</v>
      </c>
      <c r="AY540" s="50">
        <v>2.92</v>
      </c>
      <c r="AZ540" s="50">
        <v>3.68</v>
      </c>
      <c r="BA540" s="50">
        <v>3.4</v>
      </c>
      <c r="BB540" s="50">
        <v>3.8</v>
      </c>
      <c r="BC540" s="55">
        <v>3.2</v>
      </c>
      <c r="BD540" s="55">
        <v>3.2</v>
      </c>
      <c r="BE540" s="11">
        <v>0.76800000000000002</v>
      </c>
      <c r="BF540" s="4">
        <v>0</v>
      </c>
      <c r="BG540" s="4">
        <v>0.98</v>
      </c>
      <c r="BH540" s="4">
        <v>0</v>
      </c>
      <c r="BI540" s="4">
        <v>2.8719999999999999</v>
      </c>
      <c r="BJ540" s="13">
        <v>0</v>
      </c>
      <c r="BK540" s="13">
        <v>0</v>
      </c>
      <c r="BL540" s="4">
        <v>0.52700000000000002</v>
      </c>
      <c r="BM540" s="16">
        <v>0</v>
      </c>
      <c r="BN540" s="4">
        <v>0.5</v>
      </c>
      <c r="BO540" s="4">
        <v>0</v>
      </c>
      <c r="BP540" s="4">
        <v>3.85</v>
      </c>
      <c r="BQ540" s="4">
        <v>0</v>
      </c>
      <c r="BR540" s="4">
        <v>0</v>
      </c>
      <c r="BS540" s="55">
        <v>1.5529999999999999</v>
      </c>
      <c r="BT540" s="4">
        <v>0</v>
      </c>
      <c r="BU540" s="4">
        <v>0</v>
      </c>
      <c r="BV540" s="4">
        <v>0</v>
      </c>
      <c r="BW540" s="4">
        <v>1.53</v>
      </c>
      <c r="BX540" s="4">
        <v>0</v>
      </c>
      <c r="BY540" s="4">
        <v>0</v>
      </c>
      <c r="BZ540" s="55">
        <v>0</v>
      </c>
      <c r="CA540" s="55">
        <v>0</v>
      </c>
      <c r="CB540" s="55">
        <v>0</v>
      </c>
      <c r="CC540" s="55">
        <v>0</v>
      </c>
      <c r="CD540" s="55">
        <v>0</v>
      </c>
      <c r="CE540" s="19">
        <v>1.2</v>
      </c>
      <c r="CF540" s="19">
        <v>0</v>
      </c>
      <c r="CG540" s="4">
        <v>0</v>
      </c>
      <c r="CH540" s="4">
        <v>0</v>
      </c>
      <c r="CI540" s="4">
        <v>4.0199999999999996</v>
      </c>
      <c r="CJ540" s="34">
        <v>0</v>
      </c>
      <c r="CK540" s="34">
        <v>0</v>
      </c>
      <c r="CL540" s="34">
        <v>0</v>
      </c>
      <c r="CM540" s="4">
        <v>0</v>
      </c>
      <c r="CN540" s="53">
        <v>0</v>
      </c>
      <c r="CO540" s="54">
        <v>0</v>
      </c>
      <c r="CP540" s="54">
        <v>0</v>
      </c>
      <c r="CQ540" s="4">
        <v>0</v>
      </c>
    </row>
    <row r="541" spans="1:95" s="55" customFormat="1" x14ac:dyDescent="0.35">
      <c r="A541" s="55">
        <v>540</v>
      </c>
      <c r="B541" s="55" t="s">
        <v>87</v>
      </c>
      <c r="C541" s="27" t="s">
        <v>253</v>
      </c>
      <c r="D541" s="50" t="s">
        <v>94</v>
      </c>
      <c r="E541" s="33" t="s">
        <v>91</v>
      </c>
      <c r="F541" s="4">
        <f>IFERROR(AVERAGEIF(Table1[[#This Row],[2019-Apr]:[2025-July]],"&lt;&gt;0"),0)</f>
        <v>6.4136190476190462</v>
      </c>
      <c r="G541" s="4">
        <f ca="1">IFERROR(AVERAGEIF(OFFSET(Table1[[#This Row],[Status]],0,COUNT(Table1[[#This Row],[2019-May]:[2025-July]]),1,-12),"&lt;&gt;0"),0)</f>
        <v>3.6849999999999996</v>
      </c>
      <c r="H541" s="55">
        <f>IFERROR(SMALL(Table1[[#This Row],[2019-Apr]:[2025-July]],COUNTIF(Table1[[#This Row],[2019-Apr]:[2025-July]],0)+1),0)</f>
        <v>2.8</v>
      </c>
      <c r="I541" s="55">
        <f>IFERROR(MAX(Table1[[#This Row],[2019-Apr]:[2025-July]]),0)</f>
        <v>21.8</v>
      </c>
      <c r="J541" s="4" cm="1">
        <f t="array" ref="J54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2.9866666666666668</v>
      </c>
      <c r="K541" s="4">
        <v>4.5</v>
      </c>
      <c r="L541" s="4">
        <f>IF(Table1[[#This Row],[Standard as per ISO]]&gt;=Table1[[#This Row],[Avg of best 6]],Table1[[#This Row],[Standard as per ISO]],Table1[[#This Row],[Avg of best 6]])</f>
        <v>4.5</v>
      </c>
      <c r="M541" s="4" cm="1">
        <f t="array" ref="M541">IFERROR(LOOKUP(2,1/(Table1[[#This Row],[2019-May]:[2025-July]]&lt;&gt;0),Table1[[#This Row],[2019-May]:[2025-July]]),0)</f>
        <v>4.47</v>
      </c>
      <c r="N541" s="4">
        <f>COUNTIF(Table1[[#This Row],[2019-Apr]:[2025-July]],"&gt;="&amp;Table1[[#This Row],[Target]])</f>
        <v>23</v>
      </c>
      <c r="O541" s="4">
        <f>IF(Table1[[#This Row],[Outliers 2Y]]=0,1,0)</f>
        <v>0</v>
      </c>
      <c r="P541" s="4">
        <f>IF(Table1[[#This Row],[Last value]]&gt;1.5*Table1[[#This Row],[Target]],1,0)</f>
        <v>0</v>
      </c>
      <c r="Q541" s="4">
        <f>IF(AND(1.5*Table1[[#This Row],[Target]]&gt;=Table1[[#This Row],[Last value]],Table1[[#This Row],[Last value]]&gt;Table1[[#This Row],[Target]]),1,0)</f>
        <v>0</v>
      </c>
      <c r="R541" s="4">
        <f>IF(Table1[[#This Row],[Target]]&gt;=Table1[[#This Row],[Last value]],1,0)</f>
        <v>1</v>
      </c>
      <c r="S541" s="4" t="str">
        <f t="shared" si="10"/>
        <v>Green</v>
      </c>
      <c r="T541" s="55">
        <v>0</v>
      </c>
      <c r="U541" s="55">
        <v>3.99</v>
      </c>
      <c r="V541" s="55">
        <v>5.71</v>
      </c>
      <c r="W541" s="55">
        <v>5.95</v>
      </c>
      <c r="X541" s="55">
        <v>9.4600000000000009</v>
      </c>
      <c r="Y541" s="55">
        <v>8.15</v>
      </c>
      <c r="Z541" s="55">
        <v>5.6</v>
      </c>
      <c r="AA541" s="55">
        <v>3.3</v>
      </c>
      <c r="AB541" s="55">
        <v>5.83</v>
      </c>
      <c r="AC541" s="55">
        <v>5.0999999999999996</v>
      </c>
      <c r="AD541" s="55">
        <v>2.8</v>
      </c>
      <c r="AE541" s="55">
        <v>3.7</v>
      </c>
      <c r="AF541" s="55">
        <v>3.2</v>
      </c>
      <c r="AG541" s="55">
        <v>3.4</v>
      </c>
      <c r="AH541" s="55">
        <v>3.13</v>
      </c>
      <c r="AI541" s="55">
        <v>0</v>
      </c>
      <c r="AJ541" s="55">
        <v>7.32</v>
      </c>
      <c r="AK541" s="55">
        <v>0</v>
      </c>
      <c r="AL541" s="55">
        <v>7.02</v>
      </c>
      <c r="AM541" s="55">
        <v>0</v>
      </c>
      <c r="AN541" s="55">
        <v>8.9700000000000006</v>
      </c>
      <c r="AO541" s="55">
        <v>14.8</v>
      </c>
      <c r="AP541" s="55">
        <v>5.57</v>
      </c>
      <c r="AQ541" s="55">
        <v>6.07</v>
      </c>
      <c r="AR541" s="8">
        <v>12.5</v>
      </c>
      <c r="AS541" s="8">
        <v>12.7</v>
      </c>
      <c r="AT541" s="8">
        <v>0</v>
      </c>
      <c r="AU541" s="50">
        <v>12.3</v>
      </c>
      <c r="AV541" s="50">
        <v>21.8</v>
      </c>
      <c r="AW541" s="50">
        <v>3.88</v>
      </c>
      <c r="AX541" s="50">
        <v>4.4000000000000004</v>
      </c>
      <c r="AY541" s="50">
        <v>3.95</v>
      </c>
      <c r="AZ541" s="50">
        <v>0</v>
      </c>
      <c r="BA541" s="50">
        <v>3</v>
      </c>
      <c r="BB541" s="50">
        <v>3.3</v>
      </c>
      <c r="BC541" s="55">
        <v>2.9</v>
      </c>
      <c r="BD541" s="55">
        <v>4.0999999999999996</v>
      </c>
      <c r="BE541" s="11">
        <v>7.6159999999999997</v>
      </c>
      <c r="BF541" s="4">
        <v>0</v>
      </c>
      <c r="BG541" s="4">
        <v>3.19</v>
      </c>
      <c r="BH541" s="4">
        <v>0</v>
      </c>
      <c r="BI541" s="4">
        <v>3.4740000000000002</v>
      </c>
      <c r="BJ541" s="14">
        <v>0</v>
      </c>
      <c r="BK541" s="14">
        <v>0</v>
      </c>
      <c r="BL541" s="4">
        <v>7.3849999999999998</v>
      </c>
      <c r="BM541" s="17">
        <v>0</v>
      </c>
      <c r="BN541" s="4">
        <v>7.7889999999999997</v>
      </c>
      <c r="BO541" s="4">
        <v>0</v>
      </c>
      <c r="BP541" s="4">
        <v>7.5519999999999996</v>
      </c>
      <c r="BQ541" s="4">
        <v>0</v>
      </c>
      <c r="BR541" s="4">
        <v>0</v>
      </c>
      <c r="BS541" s="55">
        <v>12.34</v>
      </c>
      <c r="BT541" s="4">
        <v>0</v>
      </c>
      <c r="BU541" s="4">
        <v>5.0359999999999996</v>
      </c>
      <c r="BV541" s="4">
        <v>0</v>
      </c>
      <c r="BW541" s="4">
        <v>3.72</v>
      </c>
      <c r="BX541" s="4">
        <v>0</v>
      </c>
      <c r="BY541" s="4">
        <v>0</v>
      </c>
      <c r="BZ541" s="55">
        <v>0</v>
      </c>
      <c r="CA541" s="55">
        <v>0</v>
      </c>
      <c r="CB541" s="55">
        <v>0</v>
      </c>
      <c r="CC541" s="55">
        <v>0</v>
      </c>
      <c r="CD541" s="55">
        <v>0</v>
      </c>
      <c r="CE541" s="19">
        <v>2.9</v>
      </c>
      <c r="CF541" s="19">
        <v>0</v>
      </c>
      <c r="CG541" s="4">
        <v>0</v>
      </c>
      <c r="CH541" s="4">
        <v>0</v>
      </c>
      <c r="CI541" s="4">
        <v>4.47</v>
      </c>
      <c r="CJ541" s="34">
        <v>0</v>
      </c>
      <c r="CK541" s="34">
        <v>0</v>
      </c>
      <c r="CL541" s="34">
        <v>0</v>
      </c>
      <c r="CM541" s="4">
        <v>0</v>
      </c>
      <c r="CN541" s="53">
        <v>0</v>
      </c>
      <c r="CO541" s="54">
        <v>0</v>
      </c>
      <c r="CP541" s="54">
        <v>0</v>
      </c>
      <c r="CQ541" s="4">
        <v>0</v>
      </c>
    </row>
    <row r="542" spans="1:95" s="55" customFormat="1" x14ac:dyDescent="0.35">
      <c r="A542" s="55">
        <v>541</v>
      </c>
      <c r="B542" s="55" t="s">
        <v>87</v>
      </c>
      <c r="C542" s="27" t="s">
        <v>254</v>
      </c>
      <c r="D542" s="50" t="s">
        <v>94</v>
      </c>
      <c r="E542" s="33" t="s">
        <v>91</v>
      </c>
      <c r="F542" s="4">
        <f>IFERROR(AVERAGEIF(Table1[[#This Row],[2019-Apr]:[2025-July]],"&lt;&gt;0"),0)</f>
        <v>5.4120697674418601</v>
      </c>
      <c r="G542" s="4">
        <f ca="1">IFERROR(AVERAGEIF(OFFSET(Table1[[#This Row],[Status]],0,COUNT(Table1[[#This Row],[2019-May]:[2025-July]]),1,-12),"&lt;&gt;0"),0)</f>
        <v>4.0749999999999993</v>
      </c>
      <c r="H542" s="55">
        <f>IFERROR(SMALL(Table1[[#This Row],[2019-Apr]:[2025-July]],COUNTIF(Table1[[#This Row],[2019-Apr]:[2025-July]],0)+1),0)</f>
        <v>2.2999999999999998</v>
      </c>
      <c r="I542" s="55">
        <f>IFERROR(MAX(Table1[[#This Row],[2019-Apr]:[2025-July]]),0)</f>
        <v>15.72</v>
      </c>
      <c r="J542" s="4" cm="1">
        <f t="array" ref="J54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2.4716666666666662</v>
      </c>
      <c r="K542" s="4">
        <v>4.5</v>
      </c>
      <c r="L542" s="4">
        <f>IF(Table1[[#This Row],[Standard as per ISO]]&gt;=Table1[[#This Row],[Avg of best 6]],Table1[[#This Row],[Standard as per ISO]],Table1[[#This Row],[Avg of best 6]])</f>
        <v>4.5</v>
      </c>
      <c r="M542" s="4" cm="1">
        <f t="array" ref="M542">IFERROR(LOOKUP(2,1/(Table1[[#This Row],[2019-May]:[2025-July]]&lt;&gt;0),Table1[[#This Row],[2019-May]:[2025-July]]),0)</f>
        <v>3.05</v>
      </c>
      <c r="N542" s="4">
        <f>COUNTIF(Table1[[#This Row],[2019-Apr]:[2025-July]],"&gt;="&amp;Table1[[#This Row],[Target]])</f>
        <v>21</v>
      </c>
      <c r="O542" s="4">
        <f>IF(Table1[[#This Row],[Outliers 2Y]]=0,1,0)</f>
        <v>0</v>
      </c>
      <c r="P542" s="4">
        <f>IF(Table1[[#This Row],[Last value]]&gt;1.5*Table1[[#This Row],[Target]],1,0)</f>
        <v>0</v>
      </c>
      <c r="Q542" s="4">
        <f>IF(AND(1.5*Table1[[#This Row],[Target]]&gt;=Table1[[#This Row],[Last value]],Table1[[#This Row],[Last value]]&gt;Table1[[#This Row],[Target]]),1,0)</f>
        <v>0</v>
      </c>
      <c r="R542" s="4">
        <f>IF(Table1[[#This Row],[Target]]&gt;=Table1[[#This Row],[Last value]],1,0)</f>
        <v>1</v>
      </c>
      <c r="S542" s="4" t="str">
        <f t="shared" si="10"/>
        <v>Green</v>
      </c>
      <c r="T542" s="55">
        <v>0</v>
      </c>
      <c r="U542" s="55">
        <v>2.82</v>
      </c>
      <c r="V542" s="55">
        <v>3.58</v>
      </c>
      <c r="W542" s="55">
        <v>2.77</v>
      </c>
      <c r="X542" s="55">
        <v>3.97</v>
      </c>
      <c r="Y542" s="55">
        <v>5.54</v>
      </c>
      <c r="Z542" s="55">
        <v>2.6</v>
      </c>
      <c r="AA542" s="55">
        <v>2.4</v>
      </c>
      <c r="AB542" s="55">
        <v>5.99</v>
      </c>
      <c r="AC542" s="55">
        <v>2.4300000000000002</v>
      </c>
      <c r="AD542" s="55">
        <v>3</v>
      </c>
      <c r="AE542" s="55">
        <v>2.4</v>
      </c>
      <c r="AF542" s="55">
        <v>3.4</v>
      </c>
      <c r="AG542" s="55">
        <v>2.2999999999999998</v>
      </c>
      <c r="AH542" s="55">
        <v>7.92</v>
      </c>
      <c r="AI542" s="55">
        <v>8.3699999999999992</v>
      </c>
      <c r="AJ542" s="55">
        <v>4.7</v>
      </c>
      <c r="AK542" s="55">
        <v>0</v>
      </c>
      <c r="AL542" s="55">
        <v>2.7</v>
      </c>
      <c r="AM542" s="55">
        <v>0</v>
      </c>
      <c r="AN542" s="55">
        <v>5.31</v>
      </c>
      <c r="AO542" s="55">
        <v>9.0500000000000007</v>
      </c>
      <c r="AP542" s="55">
        <v>5.7</v>
      </c>
      <c r="AQ542" s="55">
        <v>7.5</v>
      </c>
      <c r="AR542" s="8">
        <v>3.91</v>
      </c>
      <c r="AS542" s="8">
        <v>4.46</v>
      </c>
      <c r="AT542" s="8">
        <v>0</v>
      </c>
      <c r="AU542" s="50">
        <v>4.2699999999999996</v>
      </c>
      <c r="AV542" s="50">
        <v>8.19</v>
      </c>
      <c r="AW542" s="50">
        <v>6.95</v>
      </c>
      <c r="AX542" s="50">
        <v>8.16</v>
      </c>
      <c r="AY542" s="50">
        <v>8.18</v>
      </c>
      <c r="AZ542" s="50">
        <v>8.8000000000000007</v>
      </c>
      <c r="BA542" s="50">
        <v>7.4</v>
      </c>
      <c r="BB542" s="50">
        <v>7.6</v>
      </c>
      <c r="BC542" s="55">
        <v>7</v>
      </c>
      <c r="BD542" s="55">
        <v>9.1999999999999993</v>
      </c>
      <c r="BE542" s="11">
        <v>10.57</v>
      </c>
      <c r="BF542" s="4">
        <v>0</v>
      </c>
      <c r="BG542" s="4">
        <v>15.72</v>
      </c>
      <c r="BH542" s="4">
        <v>0</v>
      </c>
      <c r="BI542" s="4">
        <v>2.87</v>
      </c>
      <c r="BJ542" s="13">
        <v>0</v>
      </c>
      <c r="BK542" s="13">
        <v>0</v>
      </c>
      <c r="BL542" s="4">
        <v>2.726</v>
      </c>
      <c r="BM542" s="16">
        <v>0</v>
      </c>
      <c r="BN542" s="4">
        <v>3.1320000000000001</v>
      </c>
      <c r="BO542" s="4">
        <v>0</v>
      </c>
      <c r="BP542" s="4">
        <v>3.28</v>
      </c>
      <c r="BQ542" s="4">
        <v>0</v>
      </c>
      <c r="BR542" s="4">
        <v>0</v>
      </c>
      <c r="BS542" s="55">
        <v>3.3010000000000002</v>
      </c>
      <c r="BT542" s="4">
        <v>0</v>
      </c>
      <c r="BU542" s="4">
        <v>0</v>
      </c>
      <c r="BV542" s="4">
        <v>0</v>
      </c>
      <c r="BW542" s="4">
        <v>4.4000000000000004</v>
      </c>
      <c r="BX542" s="4">
        <v>0</v>
      </c>
      <c r="BY542" s="4">
        <v>0</v>
      </c>
      <c r="BZ542" s="55">
        <v>0</v>
      </c>
      <c r="CA542" s="55">
        <v>0</v>
      </c>
      <c r="CB542" s="55">
        <v>0</v>
      </c>
      <c r="CC542" s="55">
        <v>0</v>
      </c>
      <c r="CD542" s="55">
        <v>0</v>
      </c>
      <c r="CE542" s="19">
        <v>5.0999999999999996</v>
      </c>
      <c r="CF542" s="19">
        <v>0</v>
      </c>
      <c r="CG542" s="4">
        <v>0</v>
      </c>
      <c r="CH542" s="4">
        <v>0</v>
      </c>
      <c r="CI542" s="4">
        <v>3.05</v>
      </c>
      <c r="CJ542" s="34">
        <v>0</v>
      </c>
      <c r="CK542" s="34">
        <v>0</v>
      </c>
      <c r="CL542" s="34">
        <v>0</v>
      </c>
      <c r="CM542" s="4">
        <v>0</v>
      </c>
      <c r="CN542" s="53">
        <v>0</v>
      </c>
      <c r="CO542" s="54">
        <v>0</v>
      </c>
      <c r="CP542" s="54">
        <v>0</v>
      </c>
      <c r="CQ542" s="4">
        <v>0</v>
      </c>
    </row>
    <row r="543" spans="1:95" s="55" customFormat="1" x14ac:dyDescent="0.35">
      <c r="A543" s="55">
        <v>542</v>
      </c>
      <c r="B543" s="55" t="s">
        <v>87</v>
      </c>
      <c r="C543" s="27" t="s">
        <v>255</v>
      </c>
      <c r="D543" s="50" t="s">
        <v>94</v>
      </c>
      <c r="E543" s="33" t="s">
        <v>91</v>
      </c>
      <c r="F543" s="4">
        <f>IFERROR(AVERAGEIF(Table1[[#This Row],[2019-Apr]:[2025-July]],"&lt;&gt;0"),0)</f>
        <v>5.7257999999999996</v>
      </c>
      <c r="G543" s="4">
        <f ca="1">IFERROR(AVERAGEIF(OFFSET(Table1[[#This Row],[Status]],0,COUNT(Table1[[#This Row],[2019-May]:[2025-July]]),1,-12),"&lt;&gt;0"),0)</f>
        <v>6.13</v>
      </c>
      <c r="H543" s="55">
        <f>IFERROR(SMALL(Table1[[#This Row],[2019-Apr]:[2025-July]],COUNTIF(Table1[[#This Row],[2019-Apr]:[2025-July]],0)+1),0)</f>
        <v>1.625</v>
      </c>
      <c r="I543" s="55">
        <f>IFERROR(MAX(Table1[[#This Row],[2019-Apr]:[2025-July]]),0)</f>
        <v>21.44</v>
      </c>
      <c r="J543" s="4" cm="1">
        <f t="array" ref="J54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2.1803333333333335</v>
      </c>
      <c r="K543" s="4">
        <v>4.5</v>
      </c>
      <c r="L543" s="4">
        <f>IF(Table1[[#This Row],[Standard as per ISO]]&gt;=Table1[[#This Row],[Avg of best 6]],Table1[[#This Row],[Standard as per ISO]],Table1[[#This Row],[Avg of best 6]])</f>
        <v>4.5</v>
      </c>
      <c r="M543" s="4" cm="1">
        <f t="array" ref="M543">IFERROR(LOOKUP(2,1/(Table1[[#This Row],[2019-May]:[2025-July]]&lt;&gt;0),Table1[[#This Row],[2019-May]:[2025-July]]),0)</f>
        <v>8.66</v>
      </c>
      <c r="N543" s="4">
        <f>COUNTIF(Table1[[#This Row],[2019-Apr]:[2025-July]],"&gt;="&amp;Table1[[#This Row],[Target]])</f>
        <v>27</v>
      </c>
      <c r="O543" s="4">
        <f>IF(Table1[[#This Row],[Outliers 2Y]]=0,1,0)</f>
        <v>0</v>
      </c>
      <c r="P543" s="4">
        <f>IF(Table1[[#This Row],[Last value]]&gt;1.5*Table1[[#This Row],[Target]],1,0)</f>
        <v>1</v>
      </c>
      <c r="Q543" s="4">
        <f>IF(AND(1.5*Table1[[#This Row],[Target]]&gt;=Table1[[#This Row],[Last value]],Table1[[#This Row],[Last value]]&gt;Table1[[#This Row],[Target]]),1,0)</f>
        <v>0</v>
      </c>
      <c r="R543" s="4">
        <f>IF(Table1[[#This Row],[Target]]&gt;=Table1[[#This Row],[Last value]],1,0)</f>
        <v>0</v>
      </c>
      <c r="S543" s="4" t="str">
        <f t="shared" ref="S543:S560" si="11">IF(P543=1, "Red", IF(Q543=1, "Yellow", "Green"))</f>
        <v>Red</v>
      </c>
      <c r="T543" s="55">
        <v>0</v>
      </c>
      <c r="U543" s="55">
        <v>0</v>
      </c>
      <c r="V543" s="55">
        <v>5.99</v>
      </c>
      <c r="W543" s="55">
        <v>5.84</v>
      </c>
      <c r="X543" s="55">
        <v>5.64</v>
      </c>
      <c r="Y543" s="55">
        <v>6.54</v>
      </c>
      <c r="Z543" s="55">
        <v>4.8</v>
      </c>
      <c r="AA543" s="55">
        <v>2.7</v>
      </c>
      <c r="AB543" s="55">
        <v>7.78</v>
      </c>
      <c r="AC543" s="55">
        <v>3.97</v>
      </c>
      <c r="AD543" s="55">
        <v>2.78</v>
      </c>
      <c r="AE543" s="55">
        <v>6</v>
      </c>
      <c r="AF543" s="55">
        <v>2.2000000000000002</v>
      </c>
      <c r="AG543" s="55">
        <v>4.5999999999999996</v>
      </c>
      <c r="AH543" s="55">
        <v>0</v>
      </c>
      <c r="AI543" s="55">
        <v>6.27</v>
      </c>
      <c r="AJ543" s="55">
        <v>4.5599999999999996</v>
      </c>
      <c r="AK543" s="55">
        <v>0</v>
      </c>
      <c r="AL543" s="55">
        <v>5.81</v>
      </c>
      <c r="AM543" s="55">
        <v>5.25</v>
      </c>
      <c r="AN543" s="55">
        <v>4.91</v>
      </c>
      <c r="AO543" s="55">
        <v>5.38</v>
      </c>
      <c r="AP543" s="55">
        <v>4.83</v>
      </c>
      <c r="AQ543" s="55">
        <v>4.2</v>
      </c>
      <c r="AR543" s="8">
        <v>3.31</v>
      </c>
      <c r="AS543" s="8">
        <v>0</v>
      </c>
      <c r="AT543" s="8">
        <v>0</v>
      </c>
      <c r="AU543" s="50">
        <v>4.43</v>
      </c>
      <c r="AV543" s="50">
        <v>5.54</v>
      </c>
      <c r="AW543" s="50">
        <v>5.62</v>
      </c>
      <c r="AX543" s="50">
        <v>8.17</v>
      </c>
      <c r="AY543" s="50">
        <v>9.4</v>
      </c>
      <c r="AZ543" s="50">
        <v>7.91</v>
      </c>
      <c r="BA543" s="50">
        <v>5.3</v>
      </c>
      <c r="BB543" s="50">
        <v>6.1</v>
      </c>
      <c r="BC543" s="55">
        <v>5.2</v>
      </c>
      <c r="BD543" s="55">
        <v>0</v>
      </c>
      <c r="BE543" s="11">
        <v>6.1</v>
      </c>
      <c r="BF543" s="4">
        <v>0</v>
      </c>
      <c r="BG543" s="4">
        <v>2.0299999999999998</v>
      </c>
      <c r="BH543" s="4">
        <v>0</v>
      </c>
      <c r="BI543" s="4">
        <v>21.44</v>
      </c>
      <c r="BJ543" s="14">
        <v>0</v>
      </c>
      <c r="BK543" s="14">
        <v>0</v>
      </c>
      <c r="BL543" s="4">
        <v>2.395</v>
      </c>
      <c r="BM543" s="17">
        <v>0</v>
      </c>
      <c r="BN543" s="4">
        <v>17.32</v>
      </c>
      <c r="BO543" s="4">
        <v>0</v>
      </c>
      <c r="BP543" s="4">
        <v>1.625</v>
      </c>
      <c r="BQ543" s="4">
        <v>0</v>
      </c>
      <c r="BR543" s="4">
        <v>0</v>
      </c>
      <c r="BS543" s="55">
        <v>2.3620000000000001</v>
      </c>
      <c r="BT543" s="4">
        <v>0</v>
      </c>
      <c r="BU543" s="4">
        <v>0</v>
      </c>
      <c r="BV543" s="4">
        <v>0</v>
      </c>
      <c r="BW543" s="4">
        <v>2.4700000000000002</v>
      </c>
      <c r="BX543" s="4">
        <v>0</v>
      </c>
      <c r="BY543" s="4">
        <v>0</v>
      </c>
      <c r="BZ543" s="55">
        <v>0</v>
      </c>
      <c r="CA543" s="55">
        <v>0</v>
      </c>
      <c r="CB543" s="55">
        <v>0</v>
      </c>
      <c r="CC543" s="55">
        <v>0</v>
      </c>
      <c r="CD543" s="55">
        <v>0</v>
      </c>
      <c r="CE543" s="19">
        <v>3.6</v>
      </c>
      <c r="CF543" s="19">
        <v>0</v>
      </c>
      <c r="CG543" s="4">
        <v>0</v>
      </c>
      <c r="CH543" s="4">
        <v>0</v>
      </c>
      <c r="CI543" s="4">
        <v>8.66</v>
      </c>
      <c r="CJ543" s="34">
        <v>0</v>
      </c>
      <c r="CK543" s="34">
        <v>0</v>
      </c>
      <c r="CL543" s="34">
        <v>0</v>
      </c>
      <c r="CM543" s="4">
        <v>0</v>
      </c>
      <c r="CN543" s="53">
        <v>0</v>
      </c>
      <c r="CO543" s="54">
        <v>0</v>
      </c>
      <c r="CP543" s="54">
        <v>0</v>
      </c>
      <c r="CQ543" s="4">
        <v>0</v>
      </c>
    </row>
    <row r="544" spans="1:95" s="55" customFormat="1" x14ac:dyDescent="0.35">
      <c r="A544" s="55">
        <v>543</v>
      </c>
      <c r="B544" s="55" t="s">
        <v>87</v>
      </c>
      <c r="C544" s="27" t="s">
        <v>256</v>
      </c>
      <c r="D544" s="50" t="s">
        <v>94</v>
      </c>
      <c r="E544" s="33" t="s">
        <v>91</v>
      </c>
      <c r="F544" s="4">
        <f>IFERROR(AVERAGEIF(Table1[[#This Row],[2019-Apr]:[2025-July]],"&lt;&gt;0"),0)</f>
        <v>2.7139268292682917</v>
      </c>
      <c r="G544" s="4">
        <f ca="1">IFERROR(AVERAGEIF(OFFSET(Table1[[#This Row],[Status]],0,COUNT(Table1[[#This Row],[2019-May]:[2025-July]]),1,-12),"&lt;&gt;0"),0)</f>
        <v>3.7649999999999997</v>
      </c>
      <c r="H544" s="55">
        <f>IFERROR(SMALL(Table1[[#This Row],[2019-Apr]:[2025-July]],COUNTIF(Table1[[#This Row],[2019-Apr]:[2025-July]],0)+1),0)</f>
        <v>1.3</v>
      </c>
      <c r="I544" s="55">
        <f>IFERROR(MAX(Table1[[#This Row],[2019-Apr]:[2025-July]]),0)</f>
        <v>11.2</v>
      </c>
      <c r="J544" s="4" cm="1">
        <f t="array" ref="J54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1.42</v>
      </c>
      <c r="K544" s="4">
        <v>4.5</v>
      </c>
      <c r="L544" s="4">
        <f>IF(Table1[[#This Row],[Standard as per ISO]]&gt;=Table1[[#This Row],[Avg of best 6]],Table1[[#This Row],[Standard as per ISO]],Table1[[#This Row],[Avg of best 6]])</f>
        <v>4.5</v>
      </c>
      <c r="M544" s="4" cm="1">
        <f t="array" ref="M544">IFERROR(LOOKUP(2,1/(Table1[[#This Row],[2019-May]:[2025-July]]&lt;&gt;0),Table1[[#This Row],[2019-May]:[2025-July]]),0)</f>
        <v>5.93</v>
      </c>
      <c r="N544" s="4">
        <f>COUNTIF(Table1[[#This Row],[2019-Apr]:[2025-July]],"&gt;="&amp;Table1[[#This Row],[Target]])</f>
        <v>4</v>
      </c>
      <c r="O544" s="4">
        <f>IF(Table1[[#This Row],[Outliers 2Y]]=0,1,0)</f>
        <v>0</v>
      </c>
      <c r="P544" s="4">
        <f>IF(Table1[[#This Row],[Last value]]&gt;1.5*Table1[[#This Row],[Target]],1,0)</f>
        <v>0</v>
      </c>
      <c r="Q544" s="4">
        <f>IF(AND(1.5*Table1[[#This Row],[Target]]&gt;=Table1[[#This Row],[Last value]],Table1[[#This Row],[Last value]]&gt;Table1[[#This Row],[Target]]),1,0)</f>
        <v>1</v>
      </c>
      <c r="R544" s="4">
        <f>IF(Table1[[#This Row],[Target]]&gt;=Table1[[#This Row],[Last value]],1,0)</f>
        <v>0</v>
      </c>
      <c r="S544" s="4" t="str">
        <f t="shared" si="11"/>
        <v>Yellow</v>
      </c>
      <c r="T544" s="55">
        <v>0</v>
      </c>
      <c r="U544" s="55">
        <v>3.7</v>
      </c>
      <c r="V544" s="55">
        <v>6.88</v>
      </c>
      <c r="W544" s="55">
        <v>11.2</v>
      </c>
      <c r="X544" s="55">
        <v>2.75</v>
      </c>
      <c r="Y544" s="55">
        <v>2.89</v>
      </c>
      <c r="Z544" s="55">
        <v>2.4</v>
      </c>
      <c r="AA544" s="55">
        <v>2.9</v>
      </c>
      <c r="AB544" s="55">
        <v>2.5</v>
      </c>
      <c r="AC544" s="55">
        <v>3.1</v>
      </c>
      <c r="AD544" s="55">
        <v>2.17</v>
      </c>
      <c r="AE544" s="55">
        <v>2.4</v>
      </c>
      <c r="AF544" s="55">
        <v>1.8</v>
      </c>
      <c r="AG544" s="55">
        <v>1.8</v>
      </c>
      <c r="AH544" s="55">
        <v>1.32</v>
      </c>
      <c r="AI544" s="55">
        <v>0</v>
      </c>
      <c r="AJ544" s="55">
        <v>2.4500000000000002</v>
      </c>
      <c r="AK544" s="55">
        <v>0</v>
      </c>
      <c r="AL544" s="55">
        <v>6.1</v>
      </c>
      <c r="AM544" s="55">
        <v>3.47</v>
      </c>
      <c r="AN544" s="55">
        <v>0</v>
      </c>
      <c r="AO544" s="55">
        <v>1.54</v>
      </c>
      <c r="AP544" s="55">
        <v>2.57</v>
      </c>
      <c r="AQ544" s="55">
        <v>1.8</v>
      </c>
      <c r="AR544" s="8">
        <v>1.72</v>
      </c>
      <c r="AS544" s="8">
        <v>1.58</v>
      </c>
      <c r="AT544" s="8">
        <v>0</v>
      </c>
      <c r="AU544" s="50">
        <v>1.83</v>
      </c>
      <c r="AV544" s="50">
        <v>1.96</v>
      </c>
      <c r="AW544" s="50">
        <v>1.51</v>
      </c>
      <c r="AX544" s="50">
        <v>2.64</v>
      </c>
      <c r="AY544" s="50">
        <v>1.55</v>
      </c>
      <c r="AZ544" s="50">
        <v>1.93</v>
      </c>
      <c r="BA544" s="50">
        <v>1.3</v>
      </c>
      <c r="BB544" s="50">
        <v>1.3</v>
      </c>
      <c r="BC544" s="55">
        <v>1.6</v>
      </c>
      <c r="BD544" s="55">
        <v>0</v>
      </c>
      <c r="BE544" s="11">
        <v>2.548</v>
      </c>
      <c r="BF544" s="4">
        <v>0</v>
      </c>
      <c r="BG544" s="4">
        <v>2.39</v>
      </c>
      <c r="BH544" s="4">
        <v>0</v>
      </c>
      <c r="BI544" s="4">
        <v>2.39</v>
      </c>
      <c r="BJ544" s="13">
        <v>0</v>
      </c>
      <c r="BK544" s="13">
        <v>0</v>
      </c>
      <c r="BL544" s="4">
        <v>2.69</v>
      </c>
      <c r="BM544" s="16">
        <v>0</v>
      </c>
      <c r="BN544" s="4">
        <v>1.94</v>
      </c>
      <c r="BO544" s="4">
        <v>0</v>
      </c>
      <c r="BP544" s="4">
        <v>3.327</v>
      </c>
      <c r="BQ544" s="4">
        <v>0</v>
      </c>
      <c r="BR544" s="4">
        <v>0</v>
      </c>
      <c r="BS544" s="55">
        <v>2.145</v>
      </c>
      <c r="BT544" s="4">
        <v>0</v>
      </c>
      <c r="BU544" s="4">
        <v>0</v>
      </c>
      <c r="BV544" s="4">
        <v>0</v>
      </c>
      <c r="BW544" s="4">
        <v>1.651</v>
      </c>
      <c r="BX544" s="4">
        <v>0</v>
      </c>
      <c r="BY544" s="4">
        <v>0</v>
      </c>
      <c r="BZ544" s="55">
        <v>0</v>
      </c>
      <c r="CA544" s="55">
        <v>0</v>
      </c>
      <c r="CB544" s="55">
        <v>0</v>
      </c>
      <c r="CC544" s="55">
        <v>0</v>
      </c>
      <c r="CD544" s="55">
        <v>0</v>
      </c>
      <c r="CE544" s="19">
        <v>1.6</v>
      </c>
      <c r="CF544" s="19">
        <v>0</v>
      </c>
      <c r="CG544" s="4">
        <v>0</v>
      </c>
      <c r="CH544" s="4">
        <v>0</v>
      </c>
      <c r="CI544" s="4">
        <v>5.93</v>
      </c>
      <c r="CJ544" s="34">
        <v>0</v>
      </c>
      <c r="CK544" s="34">
        <v>0</v>
      </c>
      <c r="CL544" s="34">
        <v>0</v>
      </c>
      <c r="CM544" s="4">
        <v>0</v>
      </c>
      <c r="CN544" s="53">
        <v>0</v>
      </c>
      <c r="CO544" s="54">
        <v>0</v>
      </c>
      <c r="CP544" s="54">
        <v>0</v>
      </c>
      <c r="CQ544" s="4">
        <v>0</v>
      </c>
    </row>
    <row r="545" spans="1:95" s="55" customFormat="1" x14ac:dyDescent="0.35">
      <c r="A545" s="55">
        <v>544</v>
      </c>
      <c r="B545" s="55" t="s">
        <v>87</v>
      </c>
      <c r="C545" s="27" t="s">
        <v>257</v>
      </c>
      <c r="D545" s="50" t="s">
        <v>94</v>
      </c>
      <c r="E545" s="33" t="s">
        <v>91</v>
      </c>
      <c r="F545" s="4">
        <f>IFERROR(AVERAGEIF(Table1[[#This Row],[2019-Apr]:[2025-July]],"&lt;&gt;0"),0)</f>
        <v>0.82143750000000015</v>
      </c>
      <c r="G545" s="4">
        <f ca="1">IFERROR(AVERAGEIF(OFFSET(Table1[[#This Row],[Status]],0,COUNT(Table1[[#This Row],[2019-May]:[2025-July]]),1,-12),"&lt;&gt;0"),0)</f>
        <v>0.505</v>
      </c>
      <c r="H545" s="55">
        <f>IFERROR(SMALL(Table1[[#This Row],[2019-Apr]:[2025-July]],COUNTIF(Table1[[#This Row],[2019-Apr]:[2025-July]],0)+1),0)</f>
        <v>0.3</v>
      </c>
      <c r="I545" s="55">
        <f>IFERROR(MAX(Table1[[#This Row],[2019-Apr]:[2025-July]]),0)</f>
        <v>5.0999999999999996</v>
      </c>
      <c r="J545" s="4" cm="1">
        <f t="array" ref="J54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0.37166666666666665</v>
      </c>
      <c r="K545" s="4">
        <v>4.5</v>
      </c>
      <c r="L545" s="4">
        <f>IF(Table1[[#This Row],[Standard as per ISO]]&gt;=Table1[[#This Row],[Avg of best 6]],Table1[[#This Row],[Standard as per ISO]],Table1[[#This Row],[Avg of best 6]])</f>
        <v>4.5</v>
      </c>
      <c r="M545" s="4" cm="1">
        <f t="array" ref="M545">IFERROR(LOOKUP(2,1/(Table1[[#This Row],[2019-May]:[2025-July]]&lt;&gt;0),Table1[[#This Row],[2019-May]:[2025-July]]),0)</f>
        <v>0.41</v>
      </c>
      <c r="N545" s="4">
        <f>COUNTIF(Table1[[#This Row],[2019-Apr]:[2025-July]],"&gt;="&amp;Table1[[#This Row],[Target]])</f>
        <v>1</v>
      </c>
      <c r="O545" s="4">
        <f>IF(Table1[[#This Row],[Outliers 2Y]]=0,1,0)</f>
        <v>0</v>
      </c>
      <c r="P545" s="4">
        <f>IF(Table1[[#This Row],[Last value]]&gt;1.5*Table1[[#This Row],[Target]],1,0)</f>
        <v>0</v>
      </c>
      <c r="Q545" s="4">
        <f>IF(AND(1.5*Table1[[#This Row],[Target]]&gt;=Table1[[#This Row],[Last value]],Table1[[#This Row],[Last value]]&gt;Table1[[#This Row],[Target]]),1,0)</f>
        <v>0</v>
      </c>
      <c r="R545" s="4">
        <f>IF(Table1[[#This Row],[Target]]&gt;=Table1[[#This Row],[Last value]],1,0)</f>
        <v>1</v>
      </c>
      <c r="S545" s="4" t="str">
        <f t="shared" si="11"/>
        <v>Green</v>
      </c>
      <c r="T545" s="55">
        <v>0</v>
      </c>
      <c r="U545" s="55">
        <v>0</v>
      </c>
      <c r="V545" s="55">
        <v>0.69</v>
      </c>
      <c r="W545" s="55">
        <v>0.54</v>
      </c>
      <c r="X545" s="55">
        <v>0</v>
      </c>
      <c r="Y545" s="55">
        <v>0.54300000000000004</v>
      </c>
      <c r="Z545" s="55">
        <v>0.4</v>
      </c>
      <c r="AA545" s="55">
        <v>0</v>
      </c>
      <c r="AB545" s="55">
        <v>0.39</v>
      </c>
      <c r="AC545" s="55">
        <v>0</v>
      </c>
      <c r="AD545" s="55">
        <v>0.43</v>
      </c>
      <c r="AE545" s="55">
        <v>1.55</v>
      </c>
      <c r="AF545" s="55">
        <v>0.6</v>
      </c>
      <c r="AG545" s="55">
        <v>0</v>
      </c>
      <c r="AH545" s="55">
        <v>0</v>
      </c>
      <c r="AI545" s="55">
        <v>0.33</v>
      </c>
      <c r="AJ545" s="55">
        <v>1.1000000000000001</v>
      </c>
      <c r="AK545" s="55">
        <v>0</v>
      </c>
      <c r="AL545" s="55">
        <v>0</v>
      </c>
      <c r="AM545" s="55">
        <v>0</v>
      </c>
      <c r="AN545" s="55">
        <v>0.75</v>
      </c>
      <c r="AO545" s="55">
        <v>1.03</v>
      </c>
      <c r="AP545" s="55">
        <v>5.0999999999999996</v>
      </c>
      <c r="AQ545" s="55">
        <v>0.99</v>
      </c>
      <c r="AR545" s="8">
        <v>0</v>
      </c>
      <c r="AS545" s="8">
        <v>0.98</v>
      </c>
      <c r="AT545" s="8">
        <v>0</v>
      </c>
      <c r="AU545" s="50">
        <v>0.51</v>
      </c>
      <c r="AV545" s="50">
        <v>0.69</v>
      </c>
      <c r="AW545" s="50">
        <v>0.41</v>
      </c>
      <c r="AX545" s="50">
        <v>1.75</v>
      </c>
      <c r="AY545" s="50">
        <v>0.68</v>
      </c>
      <c r="AZ545" s="50">
        <v>0.46</v>
      </c>
      <c r="BA545" s="50">
        <v>0.8</v>
      </c>
      <c r="BB545" s="50">
        <v>0</v>
      </c>
      <c r="BC545" s="55">
        <v>0.4</v>
      </c>
      <c r="BD545" s="55">
        <v>0.3</v>
      </c>
      <c r="BE545" s="11">
        <v>0.623</v>
      </c>
      <c r="BF545" s="4">
        <v>0</v>
      </c>
      <c r="BG545" s="4">
        <v>0.55000000000000004</v>
      </c>
      <c r="BH545" s="4">
        <v>0.55000000000000004</v>
      </c>
      <c r="BI545" s="4">
        <v>0</v>
      </c>
      <c r="BJ545" s="14">
        <v>0</v>
      </c>
      <c r="BK545" s="14">
        <v>0</v>
      </c>
      <c r="BL545" s="4">
        <v>0</v>
      </c>
      <c r="BM545" s="17">
        <v>0</v>
      </c>
      <c r="BN545" s="4">
        <v>0.79300000000000004</v>
      </c>
      <c r="BO545" s="4">
        <v>0</v>
      </c>
      <c r="BP545" s="4">
        <v>0.84099999999999997</v>
      </c>
      <c r="BQ545" s="4">
        <v>0</v>
      </c>
      <c r="BR545" s="4">
        <v>0</v>
      </c>
      <c r="BS545" s="55">
        <v>0</v>
      </c>
      <c r="BT545" s="4">
        <v>0</v>
      </c>
      <c r="BU545" s="4">
        <v>0</v>
      </c>
      <c r="BV545" s="4">
        <v>0</v>
      </c>
      <c r="BW545" s="4">
        <v>0.496</v>
      </c>
      <c r="BX545" s="4">
        <v>0</v>
      </c>
      <c r="BY545" s="4">
        <v>0</v>
      </c>
      <c r="BZ545" s="55">
        <v>0</v>
      </c>
      <c r="CA545" s="55">
        <v>0</v>
      </c>
      <c r="CB545" s="55">
        <v>0</v>
      </c>
      <c r="CC545" s="55">
        <v>0</v>
      </c>
      <c r="CD545" s="55">
        <v>0</v>
      </c>
      <c r="CE545" s="19">
        <v>0.6</v>
      </c>
      <c r="CF545" s="19">
        <v>0</v>
      </c>
      <c r="CG545" s="4">
        <v>0</v>
      </c>
      <c r="CH545" s="4">
        <v>0</v>
      </c>
      <c r="CI545" s="4">
        <v>0.41</v>
      </c>
      <c r="CJ545" s="34">
        <v>0</v>
      </c>
      <c r="CK545" s="34">
        <v>0</v>
      </c>
      <c r="CL545" s="34">
        <v>0</v>
      </c>
      <c r="CM545" s="4">
        <v>0</v>
      </c>
      <c r="CN545" s="53">
        <v>0</v>
      </c>
      <c r="CO545" s="54">
        <v>0</v>
      </c>
      <c r="CP545" s="54">
        <v>0</v>
      </c>
      <c r="CQ545" s="4">
        <v>0</v>
      </c>
    </row>
    <row r="546" spans="1:95" s="55" customFormat="1" x14ac:dyDescent="0.35">
      <c r="A546" s="55">
        <v>545</v>
      </c>
      <c r="B546" s="55" t="s">
        <v>87</v>
      </c>
      <c r="C546" s="27" t="s">
        <v>258</v>
      </c>
      <c r="D546" s="50" t="s">
        <v>94</v>
      </c>
      <c r="E546" s="33" t="s">
        <v>91</v>
      </c>
      <c r="F546" s="4">
        <f>IFERROR(AVERAGEIF(Table1[[#This Row],[2019-Apr]:[2025-July]],"&lt;&gt;0"),0)</f>
        <v>1.1860740740740738</v>
      </c>
      <c r="G546" s="4">
        <f ca="1">IFERROR(AVERAGEIF(OFFSET(Table1[[#This Row],[Status]],0,COUNT(Table1[[#This Row],[2019-May]:[2025-July]]),1,-12),"&lt;&gt;0"),0)</f>
        <v>1.63</v>
      </c>
      <c r="H546" s="55">
        <f>IFERROR(SMALL(Table1[[#This Row],[2019-Apr]:[2025-July]],COUNTIF(Table1[[#This Row],[2019-Apr]:[2025-July]],0)+1),0)</f>
        <v>0.42099999999999999</v>
      </c>
      <c r="I546" s="55">
        <f>IFERROR(MAX(Table1[[#This Row],[2019-Apr]:[2025-July]]),0)</f>
        <v>3.8</v>
      </c>
      <c r="J546" s="4" cm="1">
        <f t="array" ref="J54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0.53500000000000003</v>
      </c>
      <c r="K546" s="4">
        <v>4.5</v>
      </c>
      <c r="L546" s="4">
        <f>IF(Table1[[#This Row],[Standard as per ISO]]&gt;=Table1[[#This Row],[Avg of best 6]],Table1[[#This Row],[Standard as per ISO]],Table1[[#This Row],[Avg of best 6]])</f>
        <v>4.5</v>
      </c>
      <c r="M546" s="4" cm="1">
        <f t="array" ref="M546">IFERROR(LOOKUP(2,1/(Table1[[#This Row],[2019-May]:[2025-July]]&lt;&gt;0),Table1[[#This Row],[2019-May]:[2025-July]]),0)</f>
        <v>0.96</v>
      </c>
      <c r="N546" s="4">
        <f>COUNTIF(Table1[[#This Row],[2019-Apr]:[2025-July]],"&gt;="&amp;Table1[[#This Row],[Target]])</f>
        <v>0</v>
      </c>
      <c r="O546" s="4">
        <f>IF(Table1[[#This Row],[Outliers 2Y]]=0,1,0)</f>
        <v>1</v>
      </c>
      <c r="P546" s="4">
        <f>IF(Table1[[#This Row],[Last value]]&gt;1.5*Table1[[#This Row],[Target]],1,0)</f>
        <v>0</v>
      </c>
      <c r="Q546" s="4">
        <f>IF(AND(1.5*Table1[[#This Row],[Target]]&gt;=Table1[[#This Row],[Last value]],Table1[[#This Row],[Last value]]&gt;Table1[[#This Row],[Target]]),1,0)</f>
        <v>0</v>
      </c>
      <c r="R546" s="4">
        <f>IF(Table1[[#This Row],[Target]]&gt;=Table1[[#This Row],[Last value]],1,0)</f>
        <v>1</v>
      </c>
      <c r="S546" s="4" t="str">
        <f t="shared" si="11"/>
        <v>Green</v>
      </c>
      <c r="T546" s="55">
        <v>0</v>
      </c>
      <c r="U546" s="55">
        <v>0</v>
      </c>
      <c r="V546" s="55">
        <v>1.22</v>
      </c>
      <c r="W546" s="55">
        <v>2.96</v>
      </c>
      <c r="X546" s="55">
        <v>0</v>
      </c>
      <c r="Y546" s="55">
        <v>0</v>
      </c>
      <c r="Z546" s="55">
        <v>0</v>
      </c>
      <c r="AA546" s="55">
        <v>3.8</v>
      </c>
      <c r="AB546" s="55">
        <v>0.8</v>
      </c>
      <c r="AC546" s="55">
        <v>0.79</v>
      </c>
      <c r="AD546" s="55">
        <v>0.6</v>
      </c>
      <c r="AE546" s="55">
        <v>1.4</v>
      </c>
      <c r="AF546" s="55">
        <v>1.3</v>
      </c>
      <c r="AG546" s="55">
        <v>0</v>
      </c>
      <c r="AH546" s="55">
        <v>0</v>
      </c>
      <c r="AI546" s="55">
        <v>1.61</v>
      </c>
      <c r="AJ546" s="55">
        <v>0</v>
      </c>
      <c r="AK546" s="55">
        <v>1.28</v>
      </c>
      <c r="AL546" s="55">
        <v>1.89</v>
      </c>
      <c r="AM546" s="55">
        <v>0</v>
      </c>
      <c r="AN546" s="55">
        <v>0</v>
      </c>
      <c r="AO546" s="55">
        <v>0</v>
      </c>
      <c r="AP546" s="55">
        <v>0</v>
      </c>
      <c r="AQ546" s="55">
        <v>0</v>
      </c>
      <c r="AR546" s="8">
        <v>0</v>
      </c>
      <c r="AS546" s="8">
        <v>0.74</v>
      </c>
      <c r="AT546" s="8">
        <v>0</v>
      </c>
      <c r="AU546" s="50">
        <v>0.96</v>
      </c>
      <c r="AV546" s="50">
        <v>0.56000000000000005</v>
      </c>
      <c r="AW546" s="50">
        <v>0.7</v>
      </c>
      <c r="AX546" s="50">
        <v>0</v>
      </c>
      <c r="AY546" s="50">
        <v>1.39</v>
      </c>
      <c r="AZ546" s="50">
        <v>0.54</v>
      </c>
      <c r="BA546" s="50">
        <v>0</v>
      </c>
      <c r="BB546" s="50">
        <v>0</v>
      </c>
      <c r="BC546" s="55">
        <v>0.6</v>
      </c>
      <c r="BD546" s="55">
        <v>0.5</v>
      </c>
      <c r="BE546" s="11">
        <v>0.623</v>
      </c>
      <c r="BF546" s="4">
        <v>0</v>
      </c>
      <c r="BG546" s="4">
        <v>1.5</v>
      </c>
      <c r="BH546" s="4">
        <v>0</v>
      </c>
      <c r="BI546" s="4">
        <v>0.58899999999999997</v>
      </c>
      <c r="BJ546" s="13">
        <v>0</v>
      </c>
      <c r="BK546" s="13">
        <v>0</v>
      </c>
      <c r="BL546" s="4">
        <v>0</v>
      </c>
      <c r="BM546" s="16">
        <v>0</v>
      </c>
      <c r="BN546" s="4">
        <v>0.97299999999999998</v>
      </c>
      <c r="BO546" s="4">
        <v>0</v>
      </c>
      <c r="BP546" s="4">
        <v>1.018</v>
      </c>
      <c r="BQ546" s="4">
        <v>0</v>
      </c>
      <c r="BR546" s="4">
        <v>0</v>
      </c>
      <c r="BS546" s="55">
        <v>0</v>
      </c>
      <c r="BT546" s="4">
        <v>0</v>
      </c>
      <c r="BU546" s="4">
        <v>0</v>
      </c>
      <c r="BV546" s="4">
        <v>0</v>
      </c>
      <c r="BW546" s="4">
        <v>0.42099999999999999</v>
      </c>
      <c r="BX546" s="4">
        <v>0</v>
      </c>
      <c r="BY546" s="4">
        <v>0</v>
      </c>
      <c r="BZ546" s="55">
        <v>0</v>
      </c>
      <c r="CA546" s="55">
        <v>0</v>
      </c>
      <c r="CB546" s="55">
        <v>0</v>
      </c>
      <c r="CC546" s="55">
        <v>0</v>
      </c>
      <c r="CD546" s="55">
        <v>0</v>
      </c>
      <c r="CE546" s="19">
        <v>2.2999999999999998</v>
      </c>
      <c r="CF546" s="19">
        <v>0</v>
      </c>
      <c r="CG546" s="4">
        <v>0</v>
      </c>
      <c r="CH546" s="4">
        <v>0</v>
      </c>
      <c r="CI546" s="4">
        <v>0.96</v>
      </c>
      <c r="CJ546" s="34">
        <v>0</v>
      </c>
      <c r="CK546" s="34">
        <v>0</v>
      </c>
      <c r="CL546" s="34">
        <v>0</v>
      </c>
      <c r="CM546" s="4">
        <v>0</v>
      </c>
      <c r="CN546" s="53">
        <v>0</v>
      </c>
      <c r="CO546" s="54">
        <v>0</v>
      </c>
      <c r="CP546" s="54">
        <v>0</v>
      </c>
      <c r="CQ546" s="4">
        <v>0</v>
      </c>
    </row>
    <row r="547" spans="1:95" s="55" customFormat="1" x14ac:dyDescent="0.35">
      <c r="A547" s="55">
        <v>546</v>
      </c>
      <c r="B547" s="55" t="s">
        <v>87</v>
      </c>
      <c r="C547" s="27" t="s">
        <v>259</v>
      </c>
      <c r="D547" s="50" t="s">
        <v>94</v>
      </c>
      <c r="E547" s="33" t="s">
        <v>91</v>
      </c>
      <c r="F547" s="4">
        <f>IFERROR(AVERAGEIF(Table1[[#This Row],[2019-Apr]:[2025-July]],"&lt;&gt;0"),0)</f>
        <v>0.88764516129032256</v>
      </c>
      <c r="G547" s="4">
        <f ca="1">IFERROR(AVERAGEIF(OFFSET(Table1[[#This Row],[Status]],0,COUNT(Table1[[#This Row],[2019-May]:[2025-July]]),1,-12),"&lt;&gt;0"),0)</f>
        <v>0</v>
      </c>
      <c r="H547" s="55">
        <f>IFERROR(SMALL(Table1[[#This Row],[2019-Apr]:[2025-July]],COUNTIF(Table1[[#This Row],[2019-Apr]:[2025-July]],0)+1),0)</f>
        <v>0.59</v>
      </c>
      <c r="I547" s="55">
        <f>IFERROR(MAX(Table1[[#This Row],[2019-Apr]:[2025-July]]),0)</f>
        <v>1.6</v>
      </c>
      <c r="J547" s="4" cm="1">
        <f t="array" ref="J54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0.68499999999999994</v>
      </c>
      <c r="K547" s="4">
        <v>4.5</v>
      </c>
      <c r="L547" s="4">
        <f>IF(Table1[[#This Row],[Standard as per ISO]]&gt;=Table1[[#This Row],[Avg of best 6]],Table1[[#This Row],[Standard as per ISO]],Table1[[#This Row],[Avg of best 6]])</f>
        <v>4.5</v>
      </c>
      <c r="M547" s="4" cm="1">
        <f t="array" ref="M547">IFERROR(LOOKUP(2,1/(Table1[[#This Row],[2019-May]:[2025-July]]&lt;&gt;0),Table1[[#This Row],[2019-May]:[2025-July]]),0)</f>
        <v>0.81299999999999994</v>
      </c>
      <c r="N547" s="4">
        <f>COUNTIF(Table1[[#This Row],[2019-Apr]:[2025-July]],"&gt;="&amp;Table1[[#This Row],[Target]])</f>
        <v>0</v>
      </c>
      <c r="O547" s="4">
        <f>IF(Table1[[#This Row],[Outliers 2Y]]=0,1,0)</f>
        <v>1</v>
      </c>
      <c r="P547" s="4">
        <f>IF(Table1[[#This Row],[Last value]]&gt;1.5*Table1[[#This Row],[Target]],1,0)</f>
        <v>0</v>
      </c>
      <c r="Q547" s="4">
        <f>IF(AND(1.5*Table1[[#This Row],[Target]]&gt;=Table1[[#This Row],[Last value]],Table1[[#This Row],[Last value]]&gt;Table1[[#This Row],[Target]]),1,0)</f>
        <v>0</v>
      </c>
      <c r="R547" s="4">
        <f>IF(Table1[[#This Row],[Target]]&gt;=Table1[[#This Row],[Last value]],1,0)</f>
        <v>1</v>
      </c>
      <c r="S547" s="4" t="str">
        <f t="shared" si="11"/>
        <v>Green</v>
      </c>
      <c r="T547" s="55">
        <v>0</v>
      </c>
      <c r="U547" s="55">
        <v>0</v>
      </c>
      <c r="V547" s="55">
        <v>0</v>
      </c>
      <c r="W547" s="55">
        <v>0</v>
      </c>
      <c r="X547" s="55">
        <v>0</v>
      </c>
      <c r="Y547" s="55">
        <v>0</v>
      </c>
      <c r="Z547" s="55">
        <v>0.8</v>
      </c>
      <c r="AA547" s="55">
        <v>0.95</v>
      </c>
      <c r="AB547" s="55">
        <v>1.6</v>
      </c>
      <c r="AC547" s="55">
        <v>0.88</v>
      </c>
      <c r="AD547" s="55">
        <v>0.8</v>
      </c>
      <c r="AE547" s="55">
        <v>0.9</v>
      </c>
      <c r="AF547" s="55">
        <v>0.7</v>
      </c>
      <c r="AG547" s="55">
        <v>0</v>
      </c>
      <c r="AH547" s="55">
        <v>0</v>
      </c>
      <c r="AI547" s="55">
        <v>0.71</v>
      </c>
      <c r="AJ547" s="55">
        <v>0.66</v>
      </c>
      <c r="AK547" s="55">
        <v>0.89</v>
      </c>
      <c r="AL547" s="55">
        <v>0.8</v>
      </c>
      <c r="AM547" s="55">
        <v>0</v>
      </c>
      <c r="AN547" s="55">
        <v>0.75</v>
      </c>
      <c r="AO547" s="55">
        <v>0.77</v>
      </c>
      <c r="AP547" s="55">
        <v>1</v>
      </c>
      <c r="AQ547" s="55">
        <v>0</v>
      </c>
      <c r="AR547" s="8">
        <v>0</v>
      </c>
      <c r="AS547" s="8">
        <v>1.05</v>
      </c>
      <c r="AT547" s="8">
        <v>0</v>
      </c>
      <c r="AU547" s="50">
        <v>0</v>
      </c>
      <c r="AV547" s="50">
        <v>0.95</v>
      </c>
      <c r="AW547" s="50">
        <v>0.99</v>
      </c>
      <c r="AX547" s="50">
        <v>1.05</v>
      </c>
      <c r="AY547" s="50">
        <v>0.92</v>
      </c>
      <c r="AZ547" s="50">
        <v>0.99</v>
      </c>
      <c r="BA547" s="50">
        <v>1</v>
      </c>
      <c r="BB547" s="50">
        <v>0</v>
      </c>
      <c r="BC547" s="55">
        <v>0.8</v>
      </c>
      <c r="BD547" s="55">
        <v>0.7</v>
      </c>
      <c r="BE547" s="11">
        <v>0.84799999999999998</v>
      </c>
      <c r="BF547" s="4">
        <v>0</v>
      </c>
      <c r="BG547" s="4">
        <v>0.59</v>
      </c>
      <c r="BH547" s="4">
        <v>0</v>
      </c>
      <c r="BI547" s="4">
        <v>0.78</v>
      </c>
      <c r="BJ547" s="14">
        <v>0</v>
      </c>
      <c r="BK547" s="14">
        <v>0</v>
      </c>
      <c r="BL547" s="4">
        <v>0.89300000000000002</v>
      </c>
      <c r="BM547" s="17">
        <v>0</v>
      </c>
      <c r="BN547" s="4">
        <v>1.097</v>
      </c>
      <c r="BO547" s="4">
        <v>0</v>
      </c>
      <c r="BP547" s="4">
        <v>1</v>
      </c>
      <c r="BQ547" s="4">
        <v>0</v>
      </c>
      <c r="BR547" s="4">
        <v>0</v>
      </c>
      <c r="BS547" s="55">
        <v>0.83599999999999997</v>
      </c>
      <c r="BT547" s="4">
        <v>0</v>
      </c>
      <c r="BU547" s="4">
        <v>0</v>
      </c>
      <c r="BV547" s="4">
        <v>0</v>
      </c>
      <c r="BW547" s="4">
        <v>0.81299999999999994</v>
      </c>
      <c r="BX547" s="4">
        <v>0</v>
      </c>
      <c r="BY547" s="4">
        <v>0</v>
      </c>
      <c r="BZ547" s="55">
        <v>0</v>
      </c>
      <c r="CA547" s="55">
        <v>0</v>
      </c>
      <c r="CB547" s="55">
        <v>0</v>
      </c>
      <c r="CC547" s="55">
        <v>0</v>
      </c>
      <c r="CD547" s="55">
        <v>0</v>
      </c>
      <c r="CE547" s="19">
        <v>0</v>
      </c>
      <c r="CF547" s="19">
        <v>0</v>
      </c>
      <c r="CG547" s="4">
        <v>0</v>
      </c>
      <c r="CH547" s="4">
        <v>0</v>
      </c>
      <c r="CI547" s="4">
        <v>0</v>
      </c>
      <c r="CJ547" s="34">
        <v>0</v>
      </c>
      <c r="CK547" s="34">
        <v>0</v>
      </c>
      <c r="CL547" s="34">
        <v>0</v>
      </c>
      <c r="CM547" s="4">
        <v>0</v>
      </c>
      <c r="CN547" s="53">
        <v>0</v>
      </c>
      <c r="CO547" s="54">
        <v>0</v>
      </c>
      <c r="CP547" s="54">
        <v>0</v>
      </c>
      <c r="CQ547" s="4">
        <v>0</v>
      </c>
    </row>
    <row r="548" spans="1:95" s="55" customFormat="1" x14ac:dyDescent="0.35">
      <c r="A548" s="55">
        <v>547</v>
      </c>
      <c r="B548" s="55" t="s">
        <v>87</v>
      </c>
      <c r="C548" s="27" t="s">
        <v>260</v>
      </c>
      <c r="D548" s="50" t="s">
        <v>94</v>
      </c>
      <c r="E548" s="33" t="s">
        <v>91</v>
      </c>
      <c r="F548" s="4">
        <f>IFERROR(AVERAGEIF(Table1[[#This Row],[2019-Apr]:[2025-July]],"&lt;&gt;0"),0)</f>
        <v>1.6848571428571428</v>
      </c>
      <c r="G548" s="4">
        <f ca="1">IFERROR(AVERAGEIF(OFFSET(Table1[[#This Row],[Status]],0,COUNT(Table1[[#This Row],[2019-May]:[2025-July]]),1,-12),"&lt;&gt;0"),0)</f>
        <v>1.4100000000000001</v>
      </c>
      <c r="H548" s="55">
        <f>IFERROR(SMALL(Table1[[#This Row],[2019-Apr]:[2025-July]],COUNTIF(Table1[[#This Row],[2019-Apr]:[2025-July]],0)+1),0)</f>
        <v>0.97</v>
      </c>
      <c r="I548" s="55">
        <f>IFERROR(MAX(Table1[[#This Row],[2019-Apr]:[2025-July]]),0)</f>
        <v>2.23</v>
      </c>
      <c r="J548" s="4" cm="1">
        <f t="array" ref="J54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1.1615</v>
      </c>
      <c r="K548" s="4">
        <v>4.5</v>
      </c>
      <c r="L548" s="4">
        <f>IF(Table1[[#This Row],[Standard as per ISO]]&gt;=Table1[[#This Row],[Avg of best 6]],Table1[[#This Row],[Standard as per ISO]],Table1[[#This Row],[Avg of best 6]])</f>
        <v>4.5</v>
      </c>
      <c r="M548" s="4" cm="1">
        <f t="array" ref="M548">IFERROR(LOOKUP(2,1/(Table1[[#This Row],[2019-May]:[2025-July]]&lt;&gt;0),Table1[[#This Row],[2019-May]:[2025-July]]),0)</f>
        <v>1.82</v>
      </c>
      <c r="N548" s="4">
        <f>COUNTIF(Table1[[#This Row],[2019-Apr]:[2025-July]],"&gt;="&amp;Table1[[#This Row],[Target]])</f>
        <v>0</v>
      </c>
      <c r="O548" s="4">
        <f>IF(Table1[[#This Row],[Outliers 2Y]]=0,1,0)</f>
        <v>1</v>
      </c>
      <c r="P548" s="4">
        <f>IF(Table1[[#This Row],[Last value]]&gt;1.5*Table1[[#This Row],[Target]],1,0)</f>
        <v>0</v>
      </c>
      <c r="Q548" s="4">
        <f>IF(AND(1.5*Table1[[#This Row],[Target]]&gt;=Table1[[#This Row],[Last value]],Table1[[#This Row],[Last value]]&gt;Table1[[#This Row],[Target]]),1,0)</f>
        <v>0</v>
      </c>
      <c r="R548" s="4">
        <f>IF(Table1[[#This Row],[Target]]&gt;=Table1[[#This Row],[Last value]],1,0)</f>
        <v>1</v>
      </c>
      <c r="S548" s="4" t="str">
        <f t="shared" si="11"/>
        <v>Green</v>
      </c>
      <c r="T548" s="55">
        <v>0</v>
      </c>
      <c r="U548" s="55">
        <v>1.37</v>
      </c>
      <c r="V548" s="55">
        <v>1.94</v>
      </c>
      <c r="W548" s="55">
        <v>2.1800000000000002</v>
      </c>
      <c r="X548" s="55">
        <v>0</v>
      </c>
      <c r="Y548" s="55">
        <v>2.04</v>
      </c>
      <c r="Z548" s="55">
        <v>0</v>
      </c>
      <c r="AA548" s="55">
        <v>0</v>
      </c>
      <c r="AB548" s="55">
        <v>2</v>
      </c>
      <c r="AC548" s="55">
        <v>0</v>
      </c>
      <c r="AD548" s="55">
        <v>0</v>
      </c>
      <c r="AE548" s="55">
        <v>0</v>
      </c>
      <c r="AF548" s="55">
        <v>0</v>
      </c>
      <c r="AG548" s="55">
        <v>0</v>
      </c>
      <c r="AH548" s="55">
        <v>0</v>
      </c>
      <c r="AI548" s="55">
        <v>0</v>
      </c>
      <c r="AJ548" s="55">
        <v>0</v>
      </c>
      <c r="AK548" s="55">
        <v>0</v>
      </c>
      <c r="AL548" s="55">
        <v>0</v>
      </c>
      <c r="AM548" s="55">
        <v>0</v>
      </c>
      <c r="AN548" s="55">
        <v>0</v>
      </c>
      <c r="AO548" s="55">
        <v>0</v>
      </c>
      <c r="AP548" s="55">
        <v>0</v>
      </c>
      <c r="AQ548" s="55">
        <v>0.97</v>
      </c>
      <c r="AR548" s="8">
        <v>0</v>
      </c>
      <c r="AS548" s="8">
        <v>2.21</v>
      </c>
      <c r="AT548" s="8">
        <v>0</v>
      </c>
      <c r="AU548" s="50">
        <v>1.73</v>
      </c>
      <c r="AV548" s="50">
        <v>0</v>
      </c>
      <c r="AW548" s="50">
        <v>0</v>
      </c>
      <c r="AX548" s="50">
        <v>0</v>
      </c>
      <c r="AY548" s="50">
        <v>0</v>
      </c>
      <c r="AZ548" s="50">
        <v>2.23</v>
      </c>
      <c r="BA548" s="50">
        <v>1.3</v>
      </c>
      <c r="BB548" s="50">
        <v>0</v>
      </c>
      <c r="BC548" s="55">
        <v>1.6</v>
      </c>
      <c r="BD548" s="55">
        <v>1.5</v>
      </c>
      <c r="BE548" s="11">
        <v>1.7090000000000001</v>
      </c>
      <c r="BF548" s="4">
        <v>0</v>
      </c>
      <c r="BG548" s="4">
        <v>1.04</v>
      </c>
      <c r="BH548" s="4">
        <v>0</v>
      </c>
      <c r="BI548" s="4">
        <v>0</v>
      </c>
      <c r="BJ548" s="13">
        <v>0</v>
      </c>
      <c r="BK548" s="13">
        <v>0</v>
      </c>
      <c r="BL548" s="4">
        <v>1.9059999999999999</v>
      </c>
      <c r="BM548" s="16">
        <v>0</v>
      </c>
      <c r="BN548" s="4">
        <v>1.2889999999999999</v>
      </c>
      <c r="BO548" s="4">
        <v>0</v>
      </c>
      <c r="BP548" s="4">
        <v>1.607</v>
      </c>
      <c r="BQ548" s="4">
        <v>0</v>
      </c>
      <c r="BR548" s="4">
        <v>0</v>
      </c>
      <c r="BS548" s="55">
        <v>1.772</v>
      </c>
      <c r="BT548" s="4">
        <v>0</v>
      </c>
      <c r="BU548" s="4">
        <v>0</v>
      </c>
      <c r="BV548" s="4">
        <v>0</v>
      </c>
      <c r="BW548" s="4">
        <v>2.169</v>
      </c>
      <c r="BX548" s="4">
        <v>0</v>
      </c>
      <c r="BY548" s="4">
        <v>0</v>
      </c>
      <c r="BZ548" s="55">
        <v>0</v>
      </c>
      <c r="CA548" s="55">
        <v>0</v>
      </c>
      <c r="CB548" s="55">
        <v>0</v>
      </c>
      <c r="CC548" s="55">
        <v>0</v>
      </c>
      <c r="CD548" s="55">
        <v>0</v>
      </c>
      <c r="CE548" s="19">
        <v>1</v>
      </c>
      <c r="CF548" s="19">
        <v>0</v>
      </c>
      <c r="CG548" s="4">
        <v>0</v>
      </c>
      <c r="CH548" s="4">
        <v>0</v>
      </c>
      <c r="CI548" s="4">
        <v>1.82</v>
      </c>
      <c r="CJ548" s="34">
        <v>0</v>
      </c>
      <c r="CK548" s="34">
        <v>0</v>
      </c>
      <c r="CL548" s="34">
        <v>0</v>
      </c>
      <c r="CM548" s="4">
        <v>0</v>
      </c>
      <c r="CN548" s="53">
        <v>0</v>
      </c>
      <c r="CO548" s="54">
        <v>0</v>
      </c>
      <c r="CP548" s="54">
        <v>0</v>
      </c>
      <c r="CQ548" s="4">
        <v>0</v>
      </c>
    </row>
    <row r="549" spans="1:95" s="55" customFormat="1" x14ac:dyDescent="0.35">
      <c r="A549" s="55">
        <v>548</v>
      </c>
      <c r="B549" s="55" t="s">
        <v>87</v>
      </c>
      <c r="C549" s="27" t="s">
        <v>261</v>
      </c>
      <c r="D549" s="50" t="s">
        <v>94</v>
      </c>
      <c r="E549" s="33" t="s">
        <v>91</v>
      </c>
      <c r="F549" s="4">
        <f>IFERROR(AVERAGEIF(Table1[[#This Row],[2019-Apr]:[2025-July]],"&lt;&gt;0"),0)</f>
        <v>1.2702307692307693</v>
      </c>
      <c r="G549" s="4">
        <f ca="1">IFERROR(AVERAGEIF(OFFSET(Table1[[#This Row],[Status]],0,COUNT(Table1[[#This Row],[2019-May]:[2025-July]]),1,-12),"&lt;&gt;0"),0)</f>
        <v>1</v>
      </c>
      <c r="H549" s="55">
        <f>IFERROR(SMALL(Table1[[#This Row],[2019-Apr]:[2025-July]],COUNTIF(Table1[[#This Row],[2019-Apr]:[2025-July]],0)+1),0)</f>
        <v>0.48</v>
      </c>
      <c r="I549" s="55">
        <f>IFERROR(MAX(Table1[[#This Row],[2019-Apr]:[2025-July]]),0)</f>
        <v>4.5250000000000004</v>
      </c>
      <c r="J549" s="4" cm="1">
        <f t="array" ref="J54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0.54566666666666674</v>
      </c>
      <c r="K549" s="4">
        <v>4.5</v>
      </c>
      <c r="L549" s="4">
        <f>IF(Table1[[#This Row],[Standard as per ISO]]&gt;=Table1[[#This Row],[Avg of best 6]],Table1[[#This Row],[Standard as per ISO]],Table1[[#This Row],[Avg of best 6]])</f>
        <v>4.5</v>
      </c>
      <c r="M549" s="4" cm="1">
        <f t="array" ref="M549">IFERROR(LOOKUP(2,1/(Table1[[#This Row],[2019-May]:[2025-July]]&lt;&gt;0),Table1[[#This Row],[2019-May]:[2025-July]]),0)</f>
        <v>1.3</v>
      </c>
      <c r="N549" s="4">
        <f>COUNTIF(Table1[[#This Row],[2019-Apr]:[2025-July]],"&gt;="&amp;Table1[[#This Row],[Target]])</f>
        <v>1</v>
      </c>
      <c r="O549" s="4">
        <f>IF(Table1[[#This Row],[Outliers 2Y]]=0,1,0)</f>
        <v>0</v>
      </c>
      <c r="P549" s="4">
        <f>IF(Table1[[#This Row],[Last value]]&gt;1.5*Table1[[#This Row],[Target]],1,0)</f>
        <v>0</v>
      </c>
      <c r="Q549" s="4">
        <f>IF(AND(1.5*Table1[[#This Row],[Target]]&gt;=Table1[[#This Row],[Last value]],Table1[[#This Row],[Last value]]&gt;Table1[[#This Row],[Target]]),1,0)</f>
        <v>0</v>
      </c>
      <c r="R549" s="4">
        <f>IF(Table1[[#This Row],[Target]]&gt;=Table1[[#This Row],[Last value]],1,0)</f>
        <v>1</v>
      </c>
      <c r="S549" s="4" t="str">
        <f t="shared" si="11"/>
        <v>Green</v>
      </c>
      <c r="T549" s="55">
        <v>0</v>
      </c>
      <c r="U549" s="55">
        <v>0</v>
      </c>
      <c r="V549" s="55">
        <v>0.76</v>
      </c>
      <c r="W549" s="55">
        <v>0.48</v>
      </c>
      <c r="X549" s="55">
        <v>0</v>
      </c>
      <c r="Y549" s="55">
        <v>0.748</v>
      </c>
      <c r="Z549" s="55">
        <v>0.57999999999999996</v>
      </c>
      <c r="AA549" s="55">
        <v>1.06</v>
      </c>
      <c r="AB549" s="55">
        <v>0.6</v>
      </c>
      <c r="AC549" s="55">
        <v>0.64</v>
      </c>
      <c r="AD549" s="55">
        <v>0.61</v>
      </c>
      <c r="AE549" s="55">
        <v>0.8</v>
      </c>
      <c r="AF549" s="55">
        <v>0.6</v>
      </c>
      <c r="AG549" s="55">
        <v>0</v>
      </c>
      <c r="AH549" s="55">
        <v>0</v>
      </c>
      <c r="AI549" s="55">
        <v>0.66</v>
      </c>
      <c r="AJ549" s="55">
        <v>1.37</v>
      </c>
      <c r="AK549" s="55">
        <v>0.87</v>
      </c>
      <c r="AL549" s="55">
        <v>1.0900000000000001</v>
      </c>
      <c r="AM549" s="55">
        <v>0</v>
      </c>
      <c r="AN549" s="55">
        <v>0.74</v>
      </c>
      <c r="AO549" s="55">
        <v>0</v>
      </c>
      <c r="AP549" s="55">
        <v>1.07</v>
      </c>
      <c r="AQ549" s="55">
        <v>1.39</v>
      </c>
      <c r="AR549" s="8">
        <v>0</v>
      </c>
      <c r="AS549" s="8">
        <v>1.43</v>
      </c>
      <c r="AT549" s="8">
        <v>0</v>
      </c>
      <c r="AU549" s="50">
        <v>1.27</v>
      </c>
      <c r="AV549" s="50">
        <v>2.57</v>
      </c>
      <c r="AW549" s="50">
        <v>0</v>
      </c>
      <c r="AX549" s="50">
        <v>0</v>
      </c>
      <c r="AY549" s="50">
        <v>0</v>
      </c>
      <c r="AZ549" s="50">
        <v>1.5</v>
      </c>
      <c r="BA549" s="50">
        <v>0.8</v>
      </c>
      <c r="BB549" s="50">
        <v>0</v>
      </c>
      <c r="BC549" s="55">
        <v>1.2</v>
      </c>
      <c r="BD549" s="55">
        <v>1.3</v>
      </c>
      <c r="BE549" s="11">
        <v>0.66200000000000003</v>
      </c>
      <c r="BF549" s="4">
        <v>0</v>
      </c>
      <c r="BG549" s="4">
        <v>0.55000000000000004</v>
      </c>
      <c r="BH549" s="4">
        <v>0</v>
      </c>
      <c r="BI549" s="4">
        <v>0.54400000000000004</v>
      </c>
      <c r="BJ549" s="14">
        <v>0</v>
      </c>
      <c r="BK549" s="14">
        <v>0</v>
      </c>
      <c r="BL549" s="4">
        <v>1.66</v>
      </c>
      <c r="BM549" s="17">
        <v>0</v>
      </c>
      <c r="BN549" s="4">
        <v>4.5250000000000004</v>
      </c>
      <c r="BO549" s="4">
        <v>0</v>
      </c>
      <c r="BP549" s="4">
        <v>2.665</v>
      </c>
      <c r="BQ549" s="4">
        <v>0</v>
      </c>
      <c r="BR549" s="4">
        <v>4.1150000000000002</v>
      </c>
      <c r="BS549" s="55">
        <v>1</v>
      </c>
      <c r="BT549" s="4">
        <v>0</v>
      </c>
      <c r="BU549" s="4">
        <v>0.52</v>
      </c>
      <c r="BV549" s="4">
        <v>0</v>
      </c>
      <c r="BW549" s="4">
        <v>2.4540000000000002</v>
      </c>
      <c r="BX549" s="4">
        <v>0.81499999999999995</v>
      </c>
      <c r="BY549" s="4">
        <v>0.61099999999999999</v>
      </c>
      <c r="BZ549" s="55">
        <v>3.28</v>
      </c>
      <c r="CA549" s="55">
        <v>0</v>
      </c>
      <c r="CB549" s="55">
        <v>0</v>
      </c>
      <c r="CC549" s="55">
        <v>0</v>
      </c>
      <c r="CD549" s="55">
        <v>0</v>
      </c>
      <c r="CE549" s="19">
        <v>0.7</v>
      </c>
      <c r="CF549" s="19">
        <v>0</v>
      </c>
      <c r="CG549" s="4">
        <v>0</v>
      </c>
      <c r="CH549" s="4">
        <v>0</v>
      </c>
      <c r="CI549" s="4">
        <v>1.3</v>
      </c>
      <c r="CJ549" s="34">
        <v>0</v>
      </c>
      <c r="CK549" s="34">
        <v>0</v>
      </c>
      <c r="CL549" s="34">
        <v>0</v>
      </c>
      <c r="CM549" s="4">
        <v>0</v>
      </c>
      <c r="CN549" s="53">
        <v>0</v>
      </c>
      <c r="CO549" s="54">
        <v>0</v>
      </c>
      <c r="CP549" s="54">
        <v>0</v>
      </c>
      <c r="CQ549" s="4">
        <v>0</v>
      </c>
    </row>
    <row r="550" spans="1:95" s="55" customFormat="1" x14ac:dyDescent="0.35">
      <c r="A550" s="55">
        <v>549</v>
      </c>
      <c r="B550" s="55" t="s">
        <v>87</v>
      </c>
      <c r="C550" s="27" t="s">
        <v>262</v>
      </c>
      <c r="D550" s="50" t="s">
        <v>94</v>
      </c>
      <c r="E550" s="33" t="s">
        <v>91</v>
      </c>
      <c r="F550" s="4">
        <f>IFERROR(AVERAGEIF(Table1[[#This Row],[2019-Apr]:[2025-July]],"&lt;&gt;0"),0)</f>
        <v>0.68948571428571448</v>
      </c>
      <c r="G550" s="4">
        <f ca="1">IFERROR(AVERAGEIF(OFFSET(Table1[[#This Row],[Status]],0,COUNT(Table1[[#This Row],[2019-May]:[2025-July]]),1,-12),"&lt;&gt;0"),0)</f>
        <v>0.9</v>
      </c>
      <c r="H550" s="55">
        <f>IFERROR(SMALL(Table1[[#This Row],[2019-Apr]:[2025-July]],COUNTIF(Table1[[#This Row],[2019-Apr]:[2025-July]],0)+1),0)</f>
        <v>0.3</v>
      </c>
      <c r="I550" s="55">
        <f>IFERROR(MAX(Table1[[#This Row],[2019-Apr]:[2025-July]]),0)</f>
        <v>1.18</v>
      </c>
      <c r="J550" s="4" cm="1">
        <f t="array" ref="J55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0.3746666666666667</v>
      </c>
      <c r="K550" s="4">
        <v>4.5</v>
      </c>
      <c r="L550" s="4">
        <f>IF(Table1[[#This Row],[Standard as per ISO]]&gt;=Table1[[#This Row],[Avg of best 6]],Table1[[#This Row],[Standard as per ISO]],Table1[[#This Row],[Avg of best 6]])</f>
        <v>4.5</v>
      </c>
      <c r="M550" s="4" cm="1">
        <f t="array" ref="M550">IFERROR(LOOKUP(2,1/(Table1[[#This Row],[2019-May]:[2025-July]]&lt;&gt;0),Table1[[#This Row],[2019-May]:[2025-July]]),0)</f>
        <v>0.9</v>
      </c>
      <c r="N550" s="4">
        <f>COUNTIF(Table1[[#This Row],[2019-Apr]:[2025-July]],"&gt;="&amp;Table1[[#This Row],[Target]])</f>
        <v>0</v>
      </c>
      <c r="O550" s="4">
        <f>IF(Table1[[#This Row],[Outliers 2Y]]=0,1,0)</f>
        <v>1</v>
      </c>
      <c r="P550" s="4">
        <f>IF(Table1[[#This Row],[Last value]]&gt;1.5*Table1[[#This Row],[Target]],1,0)</f>
        <v>0</v>
      </c>
      <c r="Q550" s="4">
        <f>IF(AND(1.5*Table1[[#This Row],[Target]]&gt;=Table1[[#This Row],[Last value]],Table1[[#This Row],[Last value]]&gt;Table1[[#This Row],[Target]]),1,0)</f>
        <v>0</v>
      </c>
      <c r="R550" s="4">
        <f>IF(Table1[[#This Row],[Target]]&gt;=Table1[[#This Row],[Last value]],1,0)</f>
        <v>1</v>
      </c>
      <c r="S550" s="4" t="str">
        <f t="shared" si="11"/>
        <v>Green</v>
      </c>
      <c r="T550" s="55">
        <v>0</v>
      </c>
      <c r="U550" s="55">
        <v>0.69</v>
      </c>
      <c r="V550" s="55">
        <v>1.08</v>
      </c>
      <c r="W550" s="55">
        <v>1.0900000000000001</v>
      </c>
      <c r="X550" s="55">
        <v>0</v>
      </c>
      <c r="Y550" s="55">
        <v>0.72199999999999998</v>
      </c>
      <c r="Z550" s="55">
        <v>0</v>
      </c>
      <c r="AA550" s="55">
        <v>0.61</v>
      </c>
      <c r="AB550" s="55">
        <v>0.86</v>
      </c>
      <c r="AC550" s="55">
        <v>0.64</v>
      </c>
      <c r="AD550" s="55">
        <v>0.6</v>
      </c>
      <c r="AE550" s="55">
        <v>0.5</v>
      </c>
      <c r="AF550" s="55">
        <v>0.5</v>
      </c>
      <c r="AG550" s="55">
        <v>0</v>
      </c>
      <c r="AH550" s="55">
        <v>0</v>
      </c>
      <c r="AI550" s="55">
        <v>0.97699999999999998</v>
      </c>
      <c r="AJ550" s="55">
        <v>0.64</v>
      </c>
      <c r="AK550" s="55">
        <v>0.81</v>
      </c>
      <c r="AL550" s="55">
        <v>0.5</v>
      </c>
      <c r="AM550" s="55">
        <v>0</v>
      </c>
      <c r="AN550" s="55">
        <v>0.81</v>
      </c>
      <c r="AO550" s="55">
        <v>0.51</v>
      </c>
      <c r="AP550" s="55">
        <v>0</v>
      </c>
      <c r="AQ550" s="55">
        <v>0</v>
      </c>
      <c r="AR550" s="8">
        <v>0</v>
      </c>
      <c r="AS550" s="8">
        <v>0.72</v>
      </c>
      <c r="AT550" s="8">
        <v>0</v>
      </c>
      <c r="AU550" s="50">
        <v>0</v>
      </c>
      <c r="AV550" s="50">
        <v>0.69</v>
      </c>
      <c r="AW550" s="50">
        <v>0.37</v>
      </c>
      <c r="AX550" s="50">
        <v>0.35</v>
      </c>
      <c r="AY550" s="50">
        <v>0.56999999999999995</v>
      </c>
      <c r="AZ550" s="50">
        <v>0.31</v>
      </c>
      <c r="BA550" s="50">
        <v>0.3</v>
      </c>
      <c r="BB550" s="50">
        <v>0</v>
      </c>
      <c r="BC550" s="50">
        <v>0</v>
      </c>
      <c r="BD550" s="55">
        <v>0</v>
      </c>
      <c r="BE550" s="11">
        <v>0.56000000000000005</v>
      </c>
      <c r="BF550" s="4">
        <v>0</v>
      </c>
      <c r="BG550" s="4">
        <v>0.96</v>
      </c>
      <c r="BH550" s="4">
        <v>0</v>
      </c>
      <c r="BI550" s="4">
        <v>0.66100000000000003</v>
      </c>
      <c r="BJ550" s="13">
        <v>0</v>
      </c>
      <c r="BK550" s="13">
        <v>0</v>
      </c>
      <c r="BL550" s="4">
        <v>0.58099999999999996</v>
      </c>
      <c r="BM550" s="16">
        <v>0</v>
      </c>
      <c r="BN550" s="4">
        <v>0.84199999999999997</v>
      </c>
      <c r="BO550" s="4">
        <v>0</v>
      </c>
      <c r="BP550" s="4">
        <v>0</v>
      </c>
      <c r="BQ550" s="4">
        <v>0</v>
      </c>
      <c r="BR550" s="4">
        <v>0.93100000000000005</v>
      </c>
      <c r="BS550" s="55">
        <v>1.159</v>
      </c>
      <c r="BT550" s="4">
        <v>0</v>
      </c>
      <c r="BU550" s="4">
        <v>0.59099999999999997</v>
      </c>
      <c r="BV550" s="4">
        <v>0.44900000000000001</v>
      </c>
      <c r="BW550" s="4">
        <v>0</v>
      </c>
      <c r="BX550" s="4">
        <v>0</v>
      </c>
      <c r="BY550" s="4">
        <v>0.46899999999999997</v>
      </c>
      <c r="BZ550" s="55">
        <v>1.18</v>
      </c>
      <c r="CA550" s="55">
        <v>0</v>
      </c>
      <c r="CB550" s="55">
        <v>0</v>
      </c>
      <c r="CC550" s="55">
        <v>0</v>
      </c>
      <c r="CD550" s="55">
        <v>0</v>
      </c>
      <c r="CE550" s="19">
        <v>0.9</v>
      </c>
      <c r="CF550" s="19">
        <v>0</v>
      </c>
      <c r="CG550" s="4">
        <v>0</v>
      </c>
      <c r="CH550" s="4">
        <v>0</v>
      </c>
      <c r="CI550" s="4">
        <v>0</v>
      </c>
      <c r="CJ550" s="34">
        <v>0</v>
      </c>
      <c r="CK550" s="34">
        <v>0</v>
      </c>
      <c r="CL550" s="34">
        <v>0</v>
      </c>
      <c r="CM550" s="4">
        <v>0</v>
      </c>
      <c r="CN550" s="53">
        <v>0</v>
      </c>
      <c r="CO550" s="54">
        <v>0</v>
      </c>
      <c r="CP550" s="54">
        <v>0</v>
      </c>
      <c r="CQ550" s="4">
        <v>0</v>
      </c>
    </row>
    <row r="551" spans="1:95" s="55" customFormat="1" x14ac:dyDescent="0.35">
      <c r="A551" s="55">
        <v>550</v>
      </c>
      <c r="B551" s="55" t="s">
        <v>87</v>
      </c>
      <c r="C551" s="27" t="s">
        <v>263</v>
      </c>
      <c r="D551" s="50" t="s">
        <v>94</v>
      </c>
      <c r="E551" s="33" t="s">
        <v>91</v>
      </c>
      <c r="F551" s="4">
        <f>IFERROR(AVERAGEIF(Table1[[#This Row],[2019-Apr]:[2025-July]],"&lt;&gt;0"),0)</f>
        <v>0.70403571428571421</v>
      </c>
      <c r="G551" s="4">
        <f ca="1">IFERROR(AVERAGEIF(OFFSET(Table1[[#This Row],[Status]],0,COUNT(Table1[[#This Row],[2019-May]:[2025-July]]),1,-12),"&lt;&gt;0"),0)</f>
        <v>0.80499999999999994</v>
      </c>
      <c r="H551" s="55">
        <f>IFERROR(SMALL(Table1[[#This Row],[2019-Apr]:[2025-July]],COUNTIF(Table1[[#This Row],[2019-Apr]:[2025-July]],0)+1),0)</f>
        <v>0.48</v>
      </c>
      <c r="I551" s="55">
        <f>IFERROR(MAX(Table1[[#This Row],[2019-Apr]:[2025-July]]),0)</f>
        <v>2.61</v>
      </c>
      <c r="J551" s="4" cm="1">
        <f t="array" ref="J55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0.5093333333333333</v>
      </c>
      <c r="K551" s="4">
        <v>4.5</v>
      </c>
      <c r="L551" s="4">
        <f>IF(Table1[[#This Row],[Standard as per ISO]]&gt;=Table1[[#This Row],[Avg of best 6]],Table1[[#This Row],[Standard as per ISO]],Table1[[#This Row],[Avg of best 6]])</f>
        <v>4.5</v>
      </c>
      <c r="M551" s="4" cm="1">
        <f t="array" ref="M551">IFERROR(LOOKUP(2,1/(Table1[[#This Row],[2019-May]:[2025-July]]&lt;&gt;0),Table1[[#This Row],[2019-May]:[2025-July]]),0)</f>
        <v>0.71</v>
      </c>
      <c r="N551" s="4">
        <f>COUNTIF(Table1[[#This Row],[2019-Apr]:[2025-July]],"&gt;="&amp;Table1[[#This Row],[Target]])</f>
        <v>0</v>
      </c>
      <c r="O551" s="4">
        <f>IF(Table1[[#This Row],[Outliers 2Y]]=0,1,0)</f>
        <v>1</v>
      </c>
      <c r="P551" s="4">
        <f>IF(Table1[[#This Row],[Last value]]&gt;1.5*Table1[[#This Row],[Target]],1,0)</f>
        <v>0</v>
      </c>
      <c r="Q551" s="4">
        <f>IF(AND(1.5*Table1[[#This Row],[Target]]&gt;=Table1[[#This Row],[Last value]],Table1[[#This Row],[Last value]]&gt;Table1[[#This Row],[Target]]),1,0)</f>
        <v>0</v>
      </c>
      <c r="R551" s="4">
        <f>IF(Table1[[#This Row],[Target]]&gt;=Table1[[#This Row],[Last value]],1,0)</f>
        <v>1</v>
      </c>
      <c r="S551" s="4" t="str">
        <f t="shared" si="11"/>
        <v>Green</v>
      </c>
      <c r="T551" s="55">
        <v>0</v>
      </c>
      <c r="U551" s="55">
        <v>0</v>
      </c>
      <c r="V551" s="55">
        <v>0</v>
      </c>
      <c r="W551" s="55">
        <v>0</v>
      </c>
      <c r="X551" s="55">
        <v>0</v>
      </c>
      <c r="Y551" s="55">
        <v>0</v>
      </c>
      <c r="Z551" s="55">
        <v>0.6</v>
      </c>
      <c r="AA551" s="55">
        <v>0</v>
      </c>
      <c r="AB551" s="55">
        <v>0.6</v>
      </c>
      <c r="AC551" s="55">
        <v>0.48</v>
      </c>
      <c r="AD551" s="55">
        <v>0</v>
      </c>
      <c r="AE551" s="55">
        <v>0</v>
      </c>
      <c r="AF551" s="55">
        <v>0.5</v>
      </c>
      <c r="AG551" s="55">
        <v>0</v>
      </c>
      <c r="AH551" s="55">
        <v>0</v>
      </c>
      <c r="AI551" s="55">
        <v>0.88</v>
      </c>
      <c r="AJ551" s="55">
        <v>0</v>
      </c>
      <c r="AK551" s="55">
        <v>0</v>
      </c>
      <c r="AL551" s="55">
        <v>0</v>
      </c>
      <c r="AM551" s="55">
        <v>0</v>
      </c>
      <c r="AN551" s="55">
        <v>0.53</v>
      </c>
      <c r="AO551" s="55">
        <v>0.62</v>
      </c>
      <c r="AP551" s="55">
        <v>0.59</v>
      </c>
      <c r="AQ551" s="55">
        <v>0.67</v>
      </c>
      <c r="AR551" s="8">
        <v>0</v>
      </c>
      <c r="AS551" s="8">
        <v>2.61</v>
      </c>
      <c r="AT551" s="8">
        <v>0</v>
      </c>
      <c r="AU551" s="50">
        <v>0.56000000000000005</v>
      </c>
      <c r="AV551" s="50">
        <v>0</v>
      </c>
      <c r="AW551" s="50">
        <v>0.62</v>
      </c>
      <c r="AX551" s="50">
        <v>0.78</v>
      </c>
      <c r="AY551" s="50">
        <v>0.52</v>
      </c>
      <c r="AZ551" s="50">
        <v>0</v>
      </c>
      <c r="BA551" s="50">
        <v>0.6</v>
      </c>
      <c r="BB551" s="50">
        <v>0</v>
      </c>
      <c r="BC551" s="55">
        <v>0.6</v>
      </c>
      <c r="BD551" s="55">
        <v>0</v>
      </c>
      <c r="BE551" s="11">
        <v>0.98099999999999998</v>
      </c>
      <c r="BF551" s="4">
        <v>0</v>
      </c>
      <c r="BG551" s="4">
        <v>0</v>
      </c>
      <c r="BH551" s="4">
        <v>0</v>
      </c>
      <c r="BI551" s="4">
        <v>0.54600000000000004</v>
      </c>
      <c r="BJ551" s="14">
        <v>0</v>
      </c>
      <c r="BK551" s="14">
        <v>0</v>
      </c>
      <c r="BL551" s="4">
        <v>0.60899999999999999</v>
      </c>
      <c r="BM551" s="17">
        <v>0</v>
      </c>
      <c r="BN551" s="4">
        <v>0.48</v>
      </c>
      <c r="BO551" s="4">
        <v>0</v>
      </c>
      <c r="BP551" s="4">
        <v>0.65100000000000002</v>
      </c>
      <c r="BQ551" s="4">
        <v>0</v>
      </c>
      <c r="BR551" s="4">
        <v>0.55500000000000005</v>
      </c>
      <c r="BS551" s="55">
        <v>0.68</v>
      </c>
      <c r="BT551" s="4">
        <v>0</v>
      </c>
      <c r="BU551" s="4">
        <v>0.65400000000000003</v>
      </c>
      <c r="BV551" s="4">
        <v>0.58199999999999996</v>
      </c>
      <c r="BW551" s="4">
        <v>0</v>
      </c>
      <c r="BX551" s="4">
        <v>0.60499999999999998</v>
      </c>
      <c r="BY551" s="4">
        <v>0</v>
      </c>
      <c r="BZ551" s="55">
        <v>0</v>
      </c>
      <c r="CA551" s="55">
        <v>0</v>
      </c>
      <c r="CB551" s="55">
        <v>0</v>
      </c>
      <c r="CC551" s="55">
        <v>0</v>
      </c>
      <c r="CD551" s="55">
        <v>0</v>
      </c>
      <c r="CE551" s="19">
        <v>0</v>
      </c>
      <c r="CF551" s="19">
        <v>0.9</v>
      </c>
      <c r="CG551" s="4">
        <v>0</v>
      </c>
      <c r="CH551" s="4">
        <v>0</v>
      </c>
      <c r="CI551" s="4">
        <v>0.71</v>
      </c>
      <c r="CJ551" s="34">
        <v>0</v>
      </c>
      <c r="CK551" s="34">
        <v>0</v>
      </c>
      <c r="CL551" s="34">
        <v>0</v>
      </c>
      <c r="CM551" s="4">
        <v>0</v>
      </c>
      <c r="CN551" s="53">
        <v>0</v>
      </c>
      <c r="CO551" s="54">
        <v>0</v>
      </c>
      <c r="CP551" s="54">
        <v>0</v>
      </c>
      <c r="CQ551" s="4">
        <v>0</v>
      </c>
    </row>
    <row r="552" spans="1:95" s="55" customFormat="1" x14ac:dyDescent="0.35">
      <c r="A552" s="55">
        <v>551</v>
      </c>
      <c r="B552" s="55" t="s">
        <v>87</v>
      </c>
      <c r="C552" s="27" t="s">
        <v>264</v>
      </c>
      <c r="D552" s="50" t="s">
        <v>94</v>
      </c>
      <c r="E552" s="33" t="s">
        <v>91</v>
      </c>
      <c r="F552" s="4">
        <f>IFERROR(AVERAGEIF(Table1[[#This Row],[2019-Apr]:[2025-July]],"&lt;&gt;0"),0)</f>
        <v>0</v>
      </c>
      <c r="G552" s="4">
        <f ca="1">IFERROR(AVERAGEIF(OFFSET(Table1[[#This Row],[Status]],0,COUNT(Table1[[#This Row],[2019-May]:[2025-July]]),1,-12),"&lt;&gt;0"),0)</f>
        <v>0</v>
      </c>
      <c r="H552" s="55">
        <f>IFERROR(SMALL(Table1[[#This Row],[2019-Apr]:[2025-July]],COUNTIF(Table1[[#This Row],[2019-Apr]:[2025-July]],0)+1),0)</f>
        <v>0</v>
      </c>
      <c r="I552" s="55">
        <f>IFERROR(MAX(Table1[[#This Row],[2019-Apr]:[2025-July]]),0)</f>
        <v>0</v>
      </c>
      <c r="J552" s="4" cm="1">
        <f t="array" ref="J55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552" s="4">
        <v>4.5</v>
      </c>
      <c r="L552" s="4">
        <f>IF(Table1[[#This Row],[Standard as per ISO]]&gt;=Table1[[#This Row],[Avg of best 6]],Table1[[#This Row],[Standard as per ISO]],Table1[[#This Row],[Avg of best 6]])</f>
        <v>4.5</v>
      </c>
      <c r="M552" s="4" cm="1">
        <f t="array" ref="M552">IFERROR(LOOKUP(2,1/(Table1[[#This Row],[2019-May]:[2025-July]]&lt;&gt;0),Table1[[#This Row],[2019-May]:[2025-July]]),0)</f>
        <v>0</v>
      </c>
      <c r="N552" s="4">
        <f>COUNTIF(Table1[[#This Row],[2019-Apr]:[2025-July]],"&gt;="&amp;Table1[[#This Row],[Target]])</f>
        <v>0</v>
      </c>
      <c r="O552" s="4">
        <f>IF(Table1[[#This Row],[Outliers 2Y]]=0,1,0)</f>
        <v>1</v>
      </c>
      <c r="P552" s="4">
        <f>IF(Table1[[#This Row],[Last value]]&gt;1.5*Table1[[#This Row],[Target]],1,0)</f>
        <v>0</v>
      </c>
      <c r="Q552" s="4">
        <f>IF(AND(1.5*Table1[[#This Row],[Target]]&gt;=Table1[[#This Row],[Last value]],Table1[[#This Row],[Last value]]&gt;Table1[[#This Row],[Target]]),1,0)</f>
        <v>0</v>
      </c>
      <c r="R552" s="4">
        <f>IF(Table1[[#This Row],[Target]]&gt;=Table1[[#This Row],[Last value]],1,0)</f>
        <v>1</v>
      </c>
      <c r="S552" s="4" t="str">
        <f t="shared" si="11"/>
        <v>Green</v>
      </c>
      <c r="T552" s="55">
        <v>0</v>
      </c>
      <c r="U552" s="55">
        <v>0</v>
      </c>
      <c r="V552" s="55">
        <v>0</v>
      </c>
      <c r="W552" s="55">
        <v>0</v>
      </c>
      <c r="X552" s="55">
        <v>0</v>
      </c>
      <c r="Y552" s="55">
        <v>0</v>
      </c>
      <c r="Z552" s="55">
        <v>0</v>
      </c>
      <c r="AA552" s="55">
        <v>0</v>
      </c>
      <c r="AB552" s="55">
        <v>0</v>
      </c>
      <c r="AC552" s="55">
        <v>0</v>
      </c>
      <c r="AD552" s="55">
        <v>0</v>
      </c>
      <c r="AE552" s="55">
        <v>0</v>
      </c>
      <c r="AF552" s="55">
        <v>0</v>
      </c>
      <c r="AG552" s="55">
        <v>0</v>
      </c>
      <c r="AH552" s="55">
        <v>0</v>
      </c>
      <c r="AI552" s="55">
        <v>0</v>
      </c>
      <c r="AJ552" s="55">
        <v>0</v>
      </c>
      <c r="AK552" s="55">
        <v>0</v>
      </c>
      <c r="AL552" s="55">
        <v>0</v>
      </c>
      <c r="AM552" s="55">
        <v>0</v>
      </c>
      <c r="AN552" s="55">
        <v>0</v>
      </c>
      <c r="AO552" s="55">
        <v>0</v>
      </c>
      <c r="AP552" s="55">
        <v>0</v>
      </c>
      <c r="AQ552" s="55">
        <v>0</v>
      </c>
      <c r="AR552" s="8">
        <v>0</v>
      </c>
      <c r="AS552" s="8">
        <v>0</v>
      </c>
      <c r="AT552" s="8">
        <v>0</v>
      </c>
      <c r="AU552" s="50">
        <v>0</v>
      </c>
      <c r="AV552" s="50">
        <v>0</v>
      </c>
      <c r="AW552" s="50">
        <v>0</v>
      </c>
      <c r="AX552" s="50">
        <v>0</v>
      </c>
      <c r="AY552" s="50">
        <v>0</v>
      </c>
      <c r="AZ552" s="50">
        <v>0</v>
      </c>
      <c r="BA552" s="50">
        <v>0</v>
      </c>
      <c r="BB552" s="50">
        <v>0</v>
      </c>
      <c r="BC552" s="50">
        <v>0</v>
      </c>
      <c r="BD552" s="55">
        <v>0</v>
      </c>
      <c r="BE552" s="11">
        <v>0</v>
      </c>
      <c r="BF552" s="4">
        <v>0</v>
      </c>
      <c r="BG552" s="4">
        <v>0</v>
      </c>
      <c r="BH552" s="4">
        <v>0</v>
      </c>
      <c r="BI552" s="4">
        <v>0</v>
      </c>
      <c r="BJ552" s="13">
        <v>0</v>
      </c>
      <c r="BK552" s="13">
        <v>0</v>
      </c>
      <c r="BL552" s="4">
        <v>0</v>
      </c>
      <c r="BM552" s="16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55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55">
        <v>0</v>
      </c>
      <c r="CA552" s="55">
        <v>0</v>
      </c>
      <c r="CB552" s="55">
        <v>0</v>
      </c>
      <c r="CC552" s="55">
        <v>0</v>
      </c>
      <c r="CD552" s="55">
        <v>0</v>
      </c>
      <c r="CE552" s="19">
        <v>0</v>
      </c>
      <c r="CF552" s="19">
        <v>0</v>
      </c>
      <c r="CG552" s="4">
        <v>0</v>
      </c>
      <c r="CH552" s="4">
        <v>0</v>
      </c>
      <c r="CI552" s="4">
        <v>0</v>
      </c>
      <c r="CJ552" s="34">
        <v>0</v>
      </c>
      <c r="CK552" s="34">
        <v>0</v>
      </c>
      <c r="CL552" s="34">
        <v>0</v>
      </c>
      <c r="CM552" s="4">
        <v>0</v>
      </c>
      <c r="CN552" s="53">
        <v>0</v>
      </c>
      <c r="CO552" s="54">
        <v>0</v>
      </c>
      <c r="CP552" s="54">
        <v>0</v>
      </c>
      <c r="CQ552" s="4">
        <v>0</v>
      </c>
    </row>
    <row r="553" spans="1:95" s="55" customFormat="1" x14ac:dyDescent="0.35">
      <c r="A553" s="55">
        <v>552</v>
      </c>
      <c r="B553" s="55" t="s">
        <v>87</v>
      </c>
      <c r="C553" s="27" t="s">
        <v>265</v>
      </c>
      <c r="D553" s="50" t="s">
        <v>94</v>
      </c>
      <c r="E553" s="33" t="s">
        <v>91</v>
      </c>
      <c r="F553" s="4">
        <f>IFERROR(AVERAGEIF(Table1[[#This Row],[2019-Apr]:[2025-July]],"&lt;&gt;0"),0)</f>
        <v>7.1739183673469409</v>
      </c>
      <c r="G553" s="4">
        <f ca="1">IFERROR(AVERAGEIF(OFFSET(Table1[[#This Row],[Status]],0,COUNT(Table1[[#This Row],[2019-May]:[2025-July]]),1,-12),"&lt;&gt;0"),0)</f>
        <v>2.0933333333333333</v>
      </c>
      <c r="H553" s="55">
        <f>IFERROR(SMALL(Table1[[#This Row],[2019-Apr]:[2025-July]],COUNTIF(Table1[[#This Row],[2019-Apr]:[2025-July]],0)+1),0)</f>
        <v>1</v>
      </c>
      <c r="I553" s="55">
        <f>IFERROR(MAX(Table1[[#This Row],[2019-Apr]:[2025-July]]),0)</f>
        <v>21.17</v>
      </c>
      <c r="J553" s="4" cm="1">
        <f t="array" ref="J55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2.4615</v>
      </c>
      <c r="K553" s="4">
        <v>4.5</v>
      </c>
      <c r="L553" s="4">
        <f>IF(Table1[[#This Row],[Standard as per ISO]]&gt;=Table1[[#This Row],[Avg of best 6]],Table1[[#This Row],[Standard as per ISO]],Table1[[#This Row],[Avg of best 6]])</f>
        <v>4.5</v>
      </c>
      <c r="M553" s="4" cm="1">
        <f t="array" ref="M553">IFERROR(LOOKUP(2,1/(Table1[[#This Row],[2019-May]:[2025-July]]&lt;&gt;0),Table1[[#This Row],[2019-May]:[2025-July]]),0)</f>
        <v>4.18</v>
      </c>
      <c r="N553" s="4">
        <f>COUNTIF(Table1[[#This Row],[2019-Apr]:[2025-July]],"&gt;="&amp;Table1[[#This Row],[Target]])</f>
        <v>41</v>
      </c>
      <c r="O553" s="4">
        <f>IF(Table1[[#This Row],[Outliers 2Y]]=0,1,0)</f>
        <v>0</v>
      </c>
      <c r="P553" s="4">
        <f>IF(Table1[[#This Row],[Last value]]&gt;1.5*Table1[[#This Row],[Target]],1,0)</f>
        <v>0</v>
      </c>
      <c r="Q553" s="4">
        <f>IF(AND(1.5*Table1[[#This Row],[Target]]&gt;=Table1[[#This Row],[Last value]],Table1[[#This Row],[Last value]]&gt;Table1[[#This Row],[Target]]),1,0)</f>
        <v>0</v>
      </c>
      <c r="R553" s="4">
        <f>IF(Table1[[#This Row],[Target]]&gt;=Table1[[#This Row],[Last value]],1,0)</f>
        <v>1</v>
      </c>
      <c r="S553" s="4" t="str">
        <f t="shared" si="11"/>
        <v>Green</v>
      </c>
      <c r="T553" s="55">
        <v>0</v>
      </c>
      <c r="U553" s="55">
        <v>8.6300000000000008</v>
      </c>
      <c r="V553" s="55">
        <v>5.1100000000000003</v>
      </c>
      <c r="W553" s="55">
        <v>12.9</v>
      </c>
      <c r="X553" s="55">
        <v>0</v>
      </c>
      <c r="Y553" s="55">
        <v>8.1</v>
      </c>
      <c r="Z553" s="55">
        <v>7</v>
      </c>
      <c r="AA553" s="55">
        <v>8.9</v>
      </c>
      <c r="AB553" s="55">
        <v>7.5</v>
      </c>
      <c r="AC553" s="55">
        <v>9.26</v>
      </c>
      <c r="AD553" s="55">
        <v>6.2</v>
      </c>
      <c r="AE553" s="55">
        <v>7.5</v>
      </c>
      <c r="AF553" s="55">
        <v>3.6</v>
      </c>
      <c r="AG553" s="55">
        <v>7.2</v>
      </c>
      <c r="AH553" s="55">
        <v>6.3</v>
      </c>
      <c r="AI553" s="55">
        <v>5.8</v>
      </c>
      <c r="AJ553" s="55">
        <v>4</v>
      </c>
      <c r="AK553" s="55">
        <v>6.23</v>
      </c>
      <c r="AL553" s="55">
        <v>11.2</v>
      </c>
      <c r="AM553" s="55">
        <v>0</v>
      </c>
      <c r="AN553" s="55">
        <v>9.19</v>
      </c>
      <c r="AO553" s="55">
        <v>6.07</v>
      </c>
      <c r="AP553" s="55">
        <v>11.3</v>
      </c>
      <c r="AQ553" s="55">
        <v>8.84</v>
      </c>
      <c r="AR553" s="8">
        <v>0</v>
      </c>
      <c r="AS553" s="8">
        <v>10.1</v>
      </c>
      <c r="AT553" s="8">
        <v>0</v>
      </c>
      <c r="AU553" s="50">
        <v>8.82</v>
      </c>
      <c r="AV553" s="50">
        <v>9.8699999999999992</v>
      </c>
      <c r="AW553" s="50">
        <v>7.79</v>
      </c>
      <c r="AX553" s="50">
        <v>6.28</v>
      </c>
      <c r="AY553" s="50">
        <v>9.77</v>
      </c>
      <c r="AZ553" s="50">
        <v>7.2</v>
      </c>
      <c r="BA553" s="50">
        <v>6.8</v>
      </c>
      <c r="BB553" s="50">
        <v>0</v>
      </c>
      <c r="BC553" s="55">
        <v>5.5</v>
      </c>
      <c r="BD553" s="55">
        <v>0</v>
      </c>
      <c r="BE553" s="11">
        <v>6.1050000000000004</v>
      </c>
      <c r="BF553" s="4">
        <v>0</v>
      </c>
      <c r="BG553" s="4">
        <v>0</v>
      </c>
      <c r="BH553" s="4">
        <v>7.016</v>
      </c>
      <c r="BI553" s="4">
        <v>8.2720000000000002</v>
      </c>
      <c r="BJ553" s="14">
        <v>3.673</v>
      </c>
      <c r="BK553" s="14">
        <v>0</v>
      </c>
      <c r="BL553" s="4">
        <v>7.1360000000000001</v>
      </c>
      <c r="BM553" s="17">
        <v>0</v>
      </c>
      <c r="BN553" s="4">
        <v>6.7569999999999997</v>
      </c>
      <c r="BO553" s="4">
        <v>0</v>
      </c>
      <c r="BP553" s="4">
        <v>3.1960000000000002</v>
      </c>
      <c r="BQ553" s="4">
        <v>0</v>
      </c>
      <c r="BR553" s="4">
        <v>6.2320000000000002</v>
      </c>
      <c r="BS553" s="55">
        <v>6.125</v>
      </c>
      <c r="BT553" s="4">
        <v>0</v>
      </c>
      <c r="BU553" s="4">
        <v>5.5659999999999998</v>
      </c>
      <c r="BV553" s="4">
        <v>7.0279999999999996</v>
      </c>
      <c r="BW553" s="4">
        <v>8.0980000000000008</v>
      </c>
      <c r="BX553" s="4">
        <v>6.3719999999999999</v>
      </c>
      <c r="BY553" s="4">
        <v>7.3360000000000003</v>
      </c>
      <c r="BZ553" s="55">
        <v>2.2000000000000002</v>
      </c>
      <c r="CA553" s="55">
        <v>21.17</v>
      </c>
      <c r="CB553" s="55">
        <v>0</v>
      </c>
      <c r="CC553" s="55">
        <v>0</v>
      </c>
      <c r="CD553" s="55">
        <v>0</v>
      </c>
      <c r="CE553" s="19">
        <v>1.1000000000000001</v>
      </c>
      <c r="CF553" s="19">
        <v>1</v>
      </c>
      <c r="CG553" s="4">
        <v>0</v>
      </c>
      <c r="CH553" s="4">
        <v>0</v>
      </c>
      <c r="CI553" s="4">
        <v>4.18</v>
      </c>
      <c r="CJ553" s="34">
        <v>0</v>
      </c>
      <c r="CK553" s="34">
        <v>0</v>
      </c>
      <c r="CL553" s="34">
        <v>0</v>
      </c>
      <c r="CM553" s="4">
        <v>0</v>
      </c>
      <c r="CN553" s="53">
        <v>0</v>
      </c>
      <c r="CO553" s="54">
        <v>0</v>
      </c>
      <c r="CP553" s="54">
        <v>0</v>
      </c>
      <c r="CQ553" s="4">
        <v>0</v>
      </c>
    </row>
    <row r="554" spans="1:95" s="55" customFormat="1" x14ac:dyDescent="0.35">
      <c r="A554" s="55">
        <v>553</v>
      </c>
      <c r="B554" s="55" t="s">
        <v>87</v>
      </c>
      <c r="C554" s="27" t="s">
        <v>266</v>
      </c>
      <c r="D554" s="50" t="s">
        <v>93</v>
      </c>
      <c r="E554" s="33" t="s">
        <v>89</v>
      </c>
      <c r="F554" s="4">
        <f>IFERROR(AVERAGEIF(Table1[[#This Row],[2019-Apr]:[2025-July]],"&lt;&gt;0"),0)</f>
        <v>3.0360163934426234</v>
      </c>
      <c r="G554" s="4">
        <f ca="1">IFERROR(AVERAGEIF(OFFSET(Table1[[#This Row],[Status]],0,COUNT(Table1[[#This Row],[2019-May]:[2025-July]]),1,-12),"&lt;&gt;0"),0)</f>
        <v>2.1445454545454541</v>
      </c>
      <c r="H554" s="55">
        <f>IFERROR(SMALL(Table1[[#This Row],[2019-Apr]:[2025-July]],COUNTIF(Table1[[#This Row],[2019-Apr]:[2025-July]],0)+1),0)</f>
        <v>1.1160000000000001</v>
      </c>
      <c r="I554" s="55">
        <f>IFERROR(MAX(Table1[[#This Row],[2019-Apr]:[2025-July]]),0)</f>
        <v>16.71</v>
      </c>
      <c r="J554" s="4" cm="1">
        <f t="array" ref="J55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1.3266666666666667</v>
      </c>
      <c r="K554" s="4">
        <v>4.5</v>
      </c>
      <c r="L554" s="4">
        <f>IF(Table1[[#This Row],[Standard as per ISO]]&gt;=Table1[[#This Row],[Avg of best 6]],Table1[[#This Row],[Standard as per ISO]],Table1[[#This Row],[Avg of best 6]])</f>
        <v>4.5</v>
      </c>
      <c r="M554" s="4" cm="1">
        <f t="array" ref="M554">IFERROR(LOOKUP(2,1/(Table1[[#This Row],[2019-May]:[2025-July]]&lt;&gt;0),Table1[[#This Row],[2019-May]:[2025-July]]),0)</f>
        <v>1.8</v>
      </c>
      <c r="N554" s="4">
        <f>COUNTIF(Table1[[#This Row],[2019-Apr]:[2025-July]],"&gt;="&amp;Table1[[#This Row],[Target]])</f>
        <v>7</v>
      </c>
      <c r="O554" s="4">
        <f>IF(Table1[[#This Row],[Outliers 2Y]]=0,1,0)</f>
        <v>0</v>
      </c>
      <c r="P554" s="4">
        <f>IF(Table1[[#This Row],[Last value]]&gt;1.5*Table1[[#This Row],[Target]],1,0)</f>
        <v>0</v>
      </c>
      <c r="Q554" s="4">
        <f>IF(AND(1.5*Table1[[#This Row],[Target]]&gt;=Table1[[#This Row],[Last value]],Table1[[#This Row],[Last value]]&gt;Table1[[#This Row],[Target]]),1,0)</f>
        <v>0</v>
      </c>
      <c r="R554" s="4">
        <f>IF(Table1[[#This Row],[Target]]&gt;=Table1[[#This Row],[Last value]],1,0)</f>
        <v>1</v>
      </c>
      <c r="S554" s="4" t="str">
        <f t="shared" si="11"/>
        <v>Green</v>
      </c>
      <c r="T554" s="55">
        <v>0</v>
      </c>
      <c r="U554" s="55">
        <v>3.18</v>
      </c>
      <c r="V554" s="55">
        <v>2.56</v>
      </c>
      <c r="W554" s="55">
        <v>0</v>
      </c>
      <c r="X554" s="55">
        <v>2.4</v>
      </c>
      <c r="Y554" s="55">
        <v>1.8</v>
      </c>
      <c r="Z554" s="55">
        <v>3.3</v>
      </c>
      <c r="AA554" s="55">
        <v>3.2</v>
      </c>
      <c r="AB554" s="55">
        <v>4.08</v>
      </c>
      <c r="AC554" s="55">
        <v>5.14</v>
      </c>
      <c r="AD554" s="55">
        <v>1.4</v>
      </c>
      <c r="AE554" s="55">
        <v>0</v>
      </c>
      <c r="AF554" s="55">
        <v>1.5</v>
      </c>
      <c r="AG554" s="55">
        <v>3.1</v>
      </c>
      <c r="AH554" s="55">
        <v>1.7</v>
      </c>
      <c r="AI554" s="55">
        <v>2.39</v>
      </c>
      <c r="AJ554" s="55">
        <v>1.7</v>
      </c>
      <c r="AK554" s="55">
        <v>1.49</v>
      </c>
      <c r="AL554" s="55">
        <v>1.6</v>
      </c>
      <c r="AM554" s="55">
        <v>0</v>
      </c>
      <c r="AN554" s="55">
        <v>2.65</v>
      </c>
      <c r="AO554" s="55">
        <v>0</v>
      </c>
      <c r="AP554" s="55">
        <v>1.94</v>
      </c>
      <c r="AQ554" s="55">
        <v>0</v>
      </c>
      <c r="AR554" s="8">
        <v>2.16</v>
      </c>
      <c r="AS554" s="8">
        <v>1.92</v>
      </c>
      <c r="AT554" s="8">
        <v>0</v>
      </c>
      <c r="AU554" s="50">
        <v>3.1</v>
      </c>
      <c r="AV554" s="50">
        <v>13.5</v>
      </c>
      <c r="AW554" s="50">
        <v>3.24</v>
      </c>
      <c r="AX554" s="50">
        <v>4.37</v>
      </c>
      <c r="AY554" s="50">
        <v>9.68</v>
      </c>
      <c r="AZ554" s="50">
        <v>3.84</v>
      </c>
      <c r="BA554" s="50">
        <v>3.2</v>
      </c>
      <c r="BB554" s="50">
        <v>3.3</v>
      </c>
      <c r="BC554" s="55">
        <v>4.8</v>
      </c>
      <c r="BD554" s="55">
        <v>5.5</v>
      </c>
      <c r="BE554" s="11">
        <v>3.0009999999999999</v>
      </c>
      <c r="BF554" s="4">
        <v>0</v>
      </c>
      <c r="BG554" s="4">
        <v>0</v>
      </c>
      <c r="BH554" s="4">
        <v>6.5190000000000001</v>
      </c>
      <c r="BI554" s="4">
        <v>2.2709999999999999</v>
      </c>
      <c r="BJ554" s="13">
        <v>2.1280000000000001</v>
      </c>
      <c r="BK554" s="13">
        <v>16.71</v>
      </c>
      <c r="BL554" s="4">
        <v>2.2999999999999998</v>
      </c>
      <c r="BM554" s="16">
        <v>2.4</v>
      </c>
      <c r="BN554" s="4">
        <v>0</v>
      </c>
      <c r="BO554" s="4">
        <v>1.714</v>
      </c>
      <c r="BP554" s="4">
        <v>1.462</v>
      </c>
      <c r="BQ554" s="4">
        <v>0</v>
      </c>
      <c r="BR554" s="4">
        <v>1.994</v>
      </c>
      <c r="BS554" s="55">
        <v>1.5449999999999999</v>
      </c>
      <c r="BT554" s="4">
        <v>1.1160000000000001</v>
      </c>
      <c r="BU554" s="4">
        <v>0</v>
      </c>
      <c r="BV554" s="4">
        <v>0</v>
      </c>
      <c r="BW554" s="4">
        <v>1.5449999999999999</v>
      </c>
      <c r="BX554" s="4">
        <v>1.246</v>
      </c>
      <c r="BY554" s="4">
        <v>1.246</v>
      </c>
      <c r="BZ554" s="55">
        <v>1.77</v>
      </c>
      <c r="CA554" s="55">
        <v>3.18</v>
      </c>
      <c r="CB554" s="55">
        <v>0</v>
      </c>
      <c r="CC554" s="55">
        <v>2.13</v>
      </c>
      <c r="CD554" s="55">
        <v>1.79</v>
      </c>
      <c r="CE554" s="19">
        <v>2</v>
      </c>
      <c r="CF554" s="19">
        <v>2.5</v>
      </c>
      <c r="CG554" s="4">
        <v>2.74</v>
      </c>
      <c r="CH554" s="4">
        <v>2.21</v>
      </c>
      <c r="CI554" s="4">
        <v>2.04</v>
      </c>
      <c r="CJ554" s="34">
        <v>2.6</v>
      </c>
      <c r="CK554" s="34">
        <v>2</v>
      </c>
      <c r="CL554" s="43">
        <v>1.9</v>
      </c>
      <c r="CM554" s="4">
        <v>0</v>
      </c>
      <c r="CN554" s="53">
        <v>1.9</v>
      </c>
      <c r="CO554" s="54">
        <v>2</v>
      </c>
      <c r="CP554" s="54">
        <v>1.7</v>
      </c>
      <c r="CQ554" s="4">
        <v>1.8</v>
      </c>
    </row>
    <row r="555" spans="1:95" s="55" customFormat="1" x14ac:dyDescent="0.35">
      <c r="A555" s="55">
        <v>554</v>
      </c>
      <c r="B555" s="55" t="s">
        <v>87</v>
      </c>
      <c r="C555" s="27" t="s">
        <v>267</v>
      </c>
      <c r="D555" s="50" t="s">
        <v>93</v>
      </c>
      <c r="E555" s="33" t="s">
        <v>89</v>
      </c>
      <c r="F555" s="4">
        <f>IFERROR(AVERAGEIF(Table1[[#This Row],[2019-Apr]:[2025-July]],"&lt;&gt;0"),0)</f>
        <v>2.5307017543859653</v>
      </c>
      <c r="G555" s="4">
        <f ca="1">IFERROR(AVERAGEIF(OFFSET(Table1[[#This Row],[Status]],0,COUNT(Table1[[#This Row],[2019-May]:[2025-July]]),1,-12),"&lt;&gt;0"),0)</f>
        <v>2.9618181818181815</v>
      </c>
      <c r="H555" s="55">
        <f>IFERROR(SMALL(Table1[[#This Row],[2019-Apr]:[2025-July]],COUNTIF(Table1[[#This Row],[2019-Apr]:[2025-July]],0)+1),0)</f>
        <v>1.33</v>
      </c>
      <c r="I555" s="55">
        <f>IFERROR(MAX(Table1[[#This Row],[2019-Apr]:[2025-July]]),0)</f>
        <v>7.4</v>
      </c>
      <c r="J555" s="4" cm="1">
        <f t="array" ref="J55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1.5363333333333333</v>
      </c>
      <c r="K555" s="4">
        <v>4.5</v>
      </c>
      <c r="L555" s="4">
        <f>IF(Table1[[#This Row],[Standard as per ISO]]&gt;=Table1[[#This Row],[Avg of best 6]],Table1[[#This Row],[Standard as per ISO]],Table1[[#This Row],[Avg of best 6]])</f>
        <v>4.5</v>
      </c>
      <c r="M555" s="4" cm="1">
        <f t="array" ref="M555">IFERROR(LOOKUP(2,1/(Table1[[#This Row],[2019-May]:[2025-July]]&lt;&gt;0),Table1[[#This Row],[2019-May]:[2025-July]]),0)</f>
        <v>2.7</v>
      </c>
      <c r="N555" s="4">
        <f>COUNTIF(Table1[[#This Row],[2019-Apr]:[2025-July]],"&gt;="&amp;Table1[[#This Row],[Target]])</f>
        <v>3</v>
      </c>
      <c r="O555" s="4">
        <f>IF(Table1[[#This Row],[Outliers 2Y]]=0,1,0)</f>
        <v>0</v>
      </c>
      <c r="P555" s="4">
        <f>IF(Table1[[#This Row],[Last value]]&gt;1.5*Table1[[#This Row],[Target]],1,0)</f>
        <v>0</v>
      </c>
      <c r="Q555" s="4">
        <f>IF(AND(1.5*Table1[[#This Row],[Target]]&gt;=Table1[[#This Row],[Last value]],Table1[[#This Row],[Last value]]&gt;Table1[[#This Row],[Target]]),1,0)</f>
        <v>0</v>
      </c>
      <c r="R555" s="4">
        <f>IF(Table1[[#This Row],[Target]]&gt;=Table1[[#This Row],[Last value]],1,0)</f>
        <v>1</v>
      </c>
      <c r="S555" s="4" t="str">
        <f t="shared" si="11"/>
        <v>Green</v>
      </c>
      <c r="T555" s="55">
        <v>0</v>
      </c>
      <c r="U555" s="55">
        <v>0</v>
      </c>
      <c r="V555" s="55">
        <v>7.4</v>
      </c>
      <c r="W555" s="55">
        <v>2.85</v>
      </c>
      <c r="X555" s="55">
        <v>0</v>
      </c>
      <c r="Y555" s="55">
        <v>1.9</v>
      </c>
      <c r="Z555" s="55">
        <v>2</v>
      </c>
      <c r="AA555" s="55">
        <v>2.2000000000000002</v>
      </c>
      <c r="AB555" s="55">
        <v>1.33</v>
      </c>
      <c r="AC555" s="55">
        <v>1.48</v>
      </c>
      <c r="AD555" s="55">
        <v>1.4</v>
      </c>
      <c r="AE555" s="55">
        <v>1.6</v>
      </c>
      <c r="AF555" s="55">
        <v>2</v>
      </c>
      <c r="AG555" s="55">
        <v>0</v>
      </c>
      <c r="AH555" s="55">
        <v>0</v>
      </c>
      <c r="AI555" s="55">
        <v>1.98</v>
      </c>
      <c r="AJ555" s="55">
        <v>2.2999999999999998</v>
      </c>
      <c r="AK555" s="55">
        <v>1.92</v>
      </c>
      <c r="AL555" s="55">
        <v>0</v>
      </c>
      <c r="AM555" s="55">
        <v>0</v>
      </c>
      <c r="AN555" s="55">
        <v>2.2400000000000002</v>
      </c>
      <c r="AO555" s="55">
        <v>2.65</v>
      </c>
      <c r="AP555" s="55">
        <v>0</v>
      </c>
      <c r="AQ555" s="55">
        <v>2.19</v>
      </c>
      <c r="AR555" s="8">
        <v>2.09</v>
      </c>
      <c r="AS555" s="8">
        <v>0</v>
      </c>
      <c r="AT555" s="8">
        <v>0</v>
      </c>
      <c r="AU555" s="50">
        <v>2.35</v>
      </c>
      <c r="AV555" s="50">
        <v>2.38</v>
      </c>
      <c r="AW555" s="50">
        <v>2.39</v>
      </c>
      <c r="AX555" s="50">
        <v>2.54</v>
      </c>
      <c r="AY555" s="50">
        <v>2.77</v>
      </c>
      <c r="AZ555" s="50">
        <v>2.83</v>
      </c>
      <c r="BA555" s="50">
        <v>2.1</v>
      </c>
      <c r="BB555" s="50">
        <v>2.1</v>
      </c>
      <c r="BC555" s="55">
        <v>2.2000000000000002</v>
      </c>
      <c r="BD555" s="55">
        <v>0</v>
      </c>
      <c r="BE555" s="11">
        <v>3.9</v>
      </c>
      <c r="BF555" s="4">
        <v>0</v>
      </c>
      <c r="BG555" s="4">
        <v>0</v>
      </c>
      <c r="BH555" s="4">
        <v>0</v>
      </c>
      <c r="BI555" s="4">
        <v>1.7589999999999999</v>
      </c>
      <c r="BJ555" s="14">
        <v>1.921</v>
      </c>
      <c r="BK555" s="14">
        <v>2.1280000000000001</v>
      </c>
      <c r="BL555" s="4">
        <v>0</v>
      </c>
      <c r="BM555" s="17">
        <v>0</v>
      </c>
      <c r="BN555" s="4">
        <v>2.2970000000000002</v>
      </c>
      <c r="BO555" s="4">
        <v>2.0459999999999998</v>
      </c>
      <c r="BP555" s="4">
        <v>1.8620000000000001</v>
      </c>
      <c r="BQ555" s="4">
        <v>1.794</v>
      </c>
      <c r="BR555" s="4">
        <v>2.734</v>
      </c>
      <c r="BS555" s="55">
        <v>2.4550000000000001</v>
      </c>
      <c r="BT555" s="4">
        <v>2.427</v>
      </c>
      <c r="BU555" s="4">
        <v>2.1309999999999998</v>
      </c>
      <c r="BV555" s="4">
        <v>2.0089999999999999</v>
      </c>
      <c r="BW555" s="4">
        <v>1.649</v>
      </c>
      <c r="BX555" s="4">
        <v>0</v>
      </c>
      <c r="BY555" s="4">
        <v>2.5880000000000001</v>
      </c>
      <c r="BZ555" s="55">
        <v>2.46</v>
      </c>
      <c r="CA555" s="55">
        <v>2.34</v>
      </c>
      <c r="CB555" s="55">
        <v>2.31</v>
      </c>
      <c r="CC555" s="55">
        <v>5.12</v>
      </c>
      <c r="CD555" s="55">
        <v>4.55</v>
      </c>
      <c r="CE555" s="19">
        <v>2.5</v>
      </c>
      <c r="CF555" s="19">
        <v>0</v>
      </c>
      <c r="CG555" s="4">
        <v>2.78</v>
      </c>
      <c r="CH555" s="4">
        <v>2.74</v>
      </c>
      <c r="CI555" s="4">
        <v>2.56</v>
      </c>
      <c r="CJ555" s="34">
        <v>3.4</v>
      </c>
      <c r="CK555" s="34">
        <v>4.0999999999999996</v>
      </c>
      <c r="CL555" s="43">
        <v>2.2999999999999998</v>
      </c>
      <c r="CM555" s="4">
        <v>2.9</v>
      </c>
      <c r="CN555" s="53">
        <v>2.6</v>
      </c>
      <c r="CO555" s="54">
        <v>4</v>
      </c>
      <c r="CP555" s="54">
        <v>2.7</v>
      </c>
      <c r="CQ555" s="4">
        <v>0</v>
      </c>
    </row>
    <row r="556" spans="1:95" s="55" customFormat="1" x14ac:dyDescent="0.35">
      <c r="A556" s="55">
        <v>555</v>
      </c>
      <c r="B556" s="55" t="s">
        <v>87</v>
      </c>
      <c r="C556" s="27" t="s">
        <v>268</v>
      </c>
      <c r="D556" s="50" t="s">
        <v>93</v>
      </c>
      <c r="E556" s="33" t="s">
        <v>89</v>
      </c>
      <c r="F556" s="4">
        <f>IFERROR(AVERAGEIF(Table1[[#This Row],[2019-Apr]:[2025-July]],"&lt;&gt;0"),0)</f>
        <v>2.700107142857143</v>
      </c>
      <c r="G556" s="4">
        <f ca="1">IFERROR(AVERAGEIF(OFFSET(Table1[[#This Row],[Status]],0,COUNT(Table1[[#This Row],[2019-May]:[2025-July]]),1,-12),"&lt;&gt;0"),0)</f>
        <v>5.5340000000000007</v>
      </c>
      <c r="H556" s="55">
        <f>IFERROR(SMALL(Table1[[#This Row],[2019-Apr]:[2025-July]],COUNTIF(Table1[[#This Row],[2019-Apr]:[2025-July]],0)+1),0)</f>
        <v>0.88800000000000001</v>
      </c>
      <c r="I556" s="55">
        <f>IFERROR(MAX(Table1[[#This Row],[2019-Apr]:[2025-July]]),0)</f>
        <v>14.6</v>
      </c>
      <c r="J556" s="4" cm="1">
        <f t="array" ref="J55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1.0218333333333334</v>
      </c>
      <c r="K556" s="4">
        <v>4.5</v>
      </c>
      <c r="L556" s="4">
        <f>IF(Table1[[#This Row],[Standard as per ISO]]&gt;=Table1[[#This Row],[Avg of best 6]],Table1[[#This Row],[Standard as per ISO]],Table1[[#This Row],[Avg of best 6]])</f>
        <v>4.5</v>
      </c>
      <c r="M556" s="4" cm="1">
        <f t="array" ref="M556">IFERROR(LOOKUP(2,1/(Table1[[#This Row],[2019-May]:[2025-July]]&lt;&gt;0),Table1[[#This Row],[2019-May]:[2025-July]]),0)</f>
        <v>1.5</v>
      </c>
      <c r="N556" s="4">
        <f>COUNTIF(Table1[[#This Row],[2019-Apr]:[2025-July]],"&gt;="&amp;Table1[[#This Row],[Target]])</f>
        <v>5</v>
      </c>
      <c r="O556" s="4">
        <f>IF(Table1[[#This Row],[Outliers 2Y]]=0,1,0)</f>
        <v>0</v>
      </c>
      <c r="P556" s="4">
        <f>IF(Table1[[#This Row],[Last value]]&gt;1.5*Table1[[#This Row],[Target]],1,0)</f>
        <v>0</v>
      </c>
      <c r="Q556" s="4">
        <f>IF(AND(1.5*Table1[[#This Row],[Target]]&gt;=Table1[[#This Row],[Last value]],Table1[[#This Row],[Last value]]&gt;Table1[[#This Row],[Target]]),1,0)</f>
        <v>0</v>
      </c>
      <c r="R556" s="4">
        <f>IF(Table1[[#This Row],[Target]]&gt;=Table1[[#This Row],[Last value]],1,0)</f>
        <v>1</v>
      </c>
      <c r="S556" s="4" t="str">
        <f t="shared" si="11"/>
        <v>Green</v>
      </c>
      <c r="T556" s="55">
        <v>0</v>
      </c>
      <c r="U556" s="55">
        <v>3.07</v>
      </c>
      <c r="V556" s="55">
        <v>0</v>
      </c>
      <c r="W556" s="55">
        <v>2.11</v>
      </c>
      <c r="X556" s="55">
        <v>1.4</v>
      </c>
      <c r="Y556" s="55">
        <v>0</v>
      </c>
      <c r="Z556" s="55">
        <v>0</v>
      </c>
      <c r="AA556" s="55">
        <v>2.2999999999999998</v>
      </c>
      <c r="AB556" s="55">
        <v>1.61</v>
      </c>
      <c r="AC556" s="55">
        <v>1.1200000000000001</v>
      </c>
      <c r="AD556" s="55">
        <v>1.7</v>
      </c>
      <c r="AE556" s="55">
        <v>1.1000000000000001</v>
      </c>
      <c r="AF556" s="55">
        <v>0</v>
      </c>
      <c r="AG556" s="55">
        <v>1.7</v>
      </c>
      <c r="AH556" s="55">
        <v>1.3</v>
      </c>
      <c r="AI556" s="55">
        <v>1.06</v>
      </c>
      <c r="AJ556" s="55">
        <v>1.9</v>
      </c>
      <c r="AK556" s="55">
        <v>0</v>
      </c>
      <c r="AL556" s="55">
        <v>2.23</v>
      </c>
      <c r="AM556" s="55">
        <v>0</v>
      </c>
      <c r="AN556" s="55">
        <v>2.2999999999999998</v>
      </c>
      <c r="AO556" s="55">
        <v>3.15</v>
      </c>
      <c r="AP556" s="55">
        <v>3.7</v>
      </c>
      <c r="AQ556" s="55">
        <v>3.31</v>
      </c>
      <c r="AR556" s="8">
        <v>2.5299999999999998</v>
      </c>
      <c r="AS556" s="8">
        <v>2.97</v>
      </c>
      <c r="AT556" s="8">
        <v>0</v>
      </c>
      <c r="AU556" s="50">
        <v>0</v>
      </c>
      <c r="AV556" s="50">
        <v>0</v>
      </c>
      <c r="AW556" s="50">
        <v>0</v>
      </c>
      <c r="AX556" s="50">
        <v>2.97</v>
      </c>
      <c r="AY556" s="50">
        <v>0</v>
      </c>
      <c r="AZ556" s="50">
        <v>3.93</v>
      </c>
      <c r="BA556" s="50">
        <v>2.7</v>
      </c>
      <c r="BB556" s="50">
        <v>3.1</v>
      </c>
      <c r="BC556" s="55">
        <v>3.7</v>
      </c>
      <c r="BD556" s="55">
        <v>3.4</v>
      </c>
      <c r="BE556" s="11">
        <v>3.395</v>
      </c>
      <c r="BF556" s="4">
        <v>0</v>
      </c>
      <c r="BG556" s="4">
        <v>0</v>
      </c>
      <c r="BH556" s="4">
        <v>1.92</v>
      </c>
      <c r="BI556" s="4">
        <v>0</v>
      </c>
      <c r="BJ556" s="13">
        <v>1.363</v>
      </c>
      <c r="BK556" s="13">
        <v>1.921</v>
      </c>
      <c r="BL556" s="4">
        <v>0</v>
      </c>
      <c r="BM556" s="16">
        <v>0</v>
      </c>
      <c r="BN556" s="4">
        <v>1.921</v>
      </c>
      <c r="BO556" s="4">
        <v>1.921</v>
      </c>
      <c r="BP556" s="4">
        <v>1.921</v>
      </c>
      <c r="BQ556" s="4">
        <v>1.921</v>
      </c>
      <c r="BR556" s="4">
        <v>1.921</v>
      </c>
      <c r="BS556" s="55">
        <v>0.97099999999999997</v>
      </c>
      <c r="BT556" s="4">
        <v>1.1020000000000001</v>
      </c>
      <c r="BU556" s="4">
        <v>1.4059999999999999</v>
      </c>
      <c r="BV556" s="4">
        <v>1.177</v>
      </c>
      <c r="BW556" s="4">
        <v>0</v>
      </c>
      <c r="BX556" s="4">
        <v>1.238</v>
      </c>
      <c r="BY556" s="4">
        <v>0.88800000000000001</v>
      </c>
      <c r="BZ556" s="55">
        <v>1.3</v>
      </c>
      <c r="CA556" s="55">
        <v>1.01</v>
      </c>
      <c r="CB556" s="55">
        <v>1.97</v>
      </c>
      <c r="CC556" s="55">
        <v>2.77</v>
      </c>
      <c r="CD556" s="55">
        <v>1.97</v>
      </c>
      <c r="CE556" s="19">
        <v>1.6</v>
      </c>
      <c r="CF556" s="19">
        <v>1.8</v>
      </c>
      <c r="CG556" s="4">
        <v>0</v>
      </c>
      <c r="CH556" s="4">
        <v>6.35</v>
      </c>
      <c r="CI556" s="4">
        <v>4.6900000000000004</v>
      </c>
      <c r="CJ556" s="34">
        <v>5.8</v>
      </c>
      <c r="CK556" s="34">
        <v>4.3</v>
      </c>
      <c r="CL556" s="43">
        <v>14.6</v>
      </c>
      <c r="CM556" s="4">
        <v>12.7</v>
      </c>
      <c r="CN556" s="53">
        <v>0</v>
      </c>
      <c r="CO556" s="54">
        <v>2</v>
      </c>
      <c r="CP556" s="54">
        <v>1.5</v>
      </c>
      <c r="CQ556" s="4">
        <v>1.5</v>
      </c>
    </row>
    <row r="557" spans="1:95" s="55" customFormat="1" x14ac:dyDescent="0.35">
      <c r="A557" s="55">
        <v>556</v>
      </c>
      <c r="B557" s="55" t="s">
        <v>87</v>
      </c>
      <c r="C557" s="27" t="s">
        <v>269</v>
      </c>
      <c r="D557" s="50" t="s">
        <v>93</v>
      </c>
      <c r="E557" s="33" t="s">
        <v>89</v>
      </c>
      <c r="F557" s="4">
        <f>IFERROR(AVERAGEIF(Table1[[#This Row],[2019-Apr]:[2025-July]],"&lt;&gt;0"),0)</f>
        <v>2.2048813559322031</v>
      </c>
      <c r="G557" s="4">
        <f ca="1">IFERROR(AVERAGEIF(OFFSET(Table1[[#This Row],[Status]],0,COUNT(Table1[[#This Row],[2019-May]:[2025-July]]),1,-12),"&lt;&gt;0"),0)</f>
        <v>1.8922222222222222</v>
      </c>
      <c r="H557" s="55">
        <f>IFERROR(SMALL(Table1[[#This Row],[2019-Apr]:[2025-July]],COUNTIF(Table1[[#This Row],[2019-Apr]:[2025-July]],0)+1),0)</f>
        <v>1.1000000000000001</v>
      </c>
      <c r="I557" s="55">
        <f>IFERROR(MAX(Table1[[#This Row],[2019-Apr]:[2025-July]]),0)</f>
        <v>4.5960000000000001</v>
      </c>
      <c r="J557" s="4" cm="1">
        <f t="array" ref="J55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1.2666666666666666</v>
      </c>
      <c r="K557" s="4">
        <v>4.5</v>
      </c>
      <c r="L557" s="4">
        <f>IF(Table1[[#This Row],[Standard as per ISO]]&gt;=Table1[[#This Row],[Avg of best 6]],Table1[[#This Row],[Standard as per ISO]],Table1[[#This Row],[Avg of best 6]])</f>
        <v>4.5</v>
      </c>
      <c r="M557" s="4" cm="1">
        <f t="array" ref="M557">IFERROR(LOOKUP(2,1/(Table1[[#This Row],[2019-May]:[2025-July]]&lt;&gt;0),Table1[[#This Row],[2019-May]:[2025-July]]),0)</f>
        <v>1.2</v>
      </c>
      <c r="N557" s="4">
        <f>COUNTIF(Table1[[#This Row],[2019-Apr]:[2025-July]],"&gt;="&amp;Table1[[#This Row],[Target]])</f>
        <v>1</v>
      </c>
      <c r="O557" s="4">
        <f>IF(Table1[[#This Row],[Outliers 2Y]]=0,1,0)</f>
        <v>0</v>
      </c>
      <c r="P557" s="4">
        <f>IF(Table1[[#This Row],[Last value]]&gt;1.5*Table1[[#This Row],[Target]],1,0)</f>
        <v>0</v>
      </c>
      <c r="Q557" s="4">
        <f>IF(AND(1.5*Table1[[#This Row],[Target]]&gt;=Table1[[#This Row],[Last value]],Table1[[#This Row],[Last value]]&gt;Table1[[#This Row],[Target]]),1,0)</f>
        <v>0</v>
      </c>
      <c r="R557" s="4">
        <f>IF(Table1[[#This Row],[Target]]&gt;=Table1[[#This Row],[Last value]],1,0)</f>
        <v>1</v>
      </c>
      <c r="S557" s="4" t="str">
        <f t="shared" si="11"/>
        <v>Green</v>
      </c>
      <c r="T557" s="55">
        <v>0</v>
      </c>
      <c r="U557" s="55">
        <v>1.43</v>
      </c>
      <c r="V557" s="55">
        <v>1.51</v>
      </c>
      <c r="W557" s="55">
        <v>2.25</v>
      </c>
      <c r="X557" s="55">
        <v>1.52</v>
      </c>
      <c r="Y557" s="55">
        <v>1.6</v>
      </c>
      <c r="Z557" s="55">
        <v>1.7</v>
      </c>
      <c r="AA557" s="55">
        <v>2.6</v>
      </c>
      <c r="AB557" s="55">
        <v>1.85</v>
      </c>
      <c r="AC557" s="55">
        <v>0</v>
      </c>
      <c r="AD557" s="55">
        <v>1.88</v>
      </c>
      <c r="AE557" s="55">
        <v>2.5</v>
      </c>
      <c r="AF557" s="55">
        <v>3</v>
      </c>
      <c r="AG557" s="55">
        <v>1.3</v>
      </c>
      <c r="AH557" s="55">
        <v>0</v>
      </c>
      <c r="AI557" s="55">
        <v>1.7</v>
      </c>
      <c r="AJ557" s="55">
        <v>0</v>
      </c>
      <c r="AK557" s="55">
        <v>2.63</v>
      </c>
      <c r="AL557" s="55">
        <v>3.7</v>
      </c>
      <c r="AM557" s="55">
        <v>0</v>
      </c>
      <c r="AN557" s="55">
        <v>2.5</v>
      </c>
      <c r="AO557" s="55">
        <v>2.3199999999999998</v>
      </c>
      <c r="AP557" s="55">
        <v>2.86</v>
      </c>
      <c r="AQ557" s="55">
        <v>1.75</v>
      </c>
      <c r="AR557" s="8">
        <v>3.39</v>
      </c>
      <c r="AS557" s="8">
        <v>3.15</v>
      </c>
      <c r="AT557" s="8">
        <v>0</v>
      </c>
      <c r="AU557" s="50">
        <v>2.27</v>
      </c>
      <c r="AV557" s="50">
        <v>2.74</v>
      </c>
      <c r="AW557" s="50">
        <v>1.99</v>
      </c>
      <c r="AX557" s="50">
        <v>1.48</v>
      </c>
      <c r="AY557" s="50">
        <v>1.3</v>
      </c>
      <c r="AZ557" s="50">
        <v>0</v>
      </c>
      <c r="BA557" s="50">
        <v>1.1000000000000001</v>
      </c>
      <c r="BB557" s="50">
        <v>2.2000000000000002</v>
      </c>
      <c r="BC557" s="55">
        <v>2.4</v>
      </c>
      <c r="BD557" s="55">
        <v>2.2000000000000002</v>
      </c>
      <c r="BE557" s="11">
        <v>2.4</v>
      </c>
      <c r="BF557" s="4">
        <v>0</v>
      </c>
      <c r="BG557" s="4">
        <v>1.9370000000000001</v>
      </c>
      <c r="BH557" s="4">
        <v>1.9370000000000001</v>
      </c>
      <c r="BI557" s="4">
        <v>2.6970000000000001</v>
      </c>
      <c r="BJ557" s="14">
        <v>2.3069999999999999</v>
      </c>
      <c r="BK557" s="14">
        <v>2.4510000000000001</v>
      </c>
      <c r="BL557" s="4">
        <v>0</v>
      </c>
      <c r="BM557" s="17">
        <v>0</v>
      </c>
      <c r="BN557" s="4">
        <v>1.827</v>
      </c>
      <c r="BO557" s="4">
        <v>0</v>
      </c>
      <c r="BP557" s="4">
        <v>2.67</v>
      </c>
      <c r="BQ557" s="4">
        <v>2.7450000000000001</v>
      </c>
      <c r="BR557" s="4">
        <v>0</v>
      </c>
      <c r="BS557" s="55">
        <v>2.9670000000000001</v>
      </c>
      <c r="BT557" s="4">
        <v>3.66</v>
      </c>
      <c r="BU557" s="4">
        <v>4.5960000000000001</v>
      </c>
      <c r="BV557" s="4">
        <v>3.569</v>
      </c>
      <c r="BW557" s="4">
        <v>2.282</v>
      </c>
      <c r="BX557" s="4">
        <v>1.66</v>
      </c>
      <c r="BY557" s="4">
        <v>1.403</v>
      </c>
      <c r="BZ557" s="55">
        <v>0</v>
      </c>
      <c r="CA557" s="55">
        <v>0</v>
      </c>
      <c r="CB557" s="55">
        <v>1.84</v>
      </c>
      <c r="CC557" s="55">
        <v>2.67</v>
      </c>
      <c r="CD557" s="55">
        <v>1.42</v>
      </c>
      <c r="CE557" s="19">
        <v>2</v>
      </c>
      <c r="CF557" s="19">
        <v>2.2999999999999998</v>
      </c>
      <c r="CG557" s="4">
        <v>2.21</v>
      </c>
      <c r="CH557" s="4">
        <v>1.92</v>
      </c>
      <c r="CI557" s="4">
        <v>0</v>
      </c>
      <c r="CJ557" s="34">
        <v>1.4</v>
      </c>
      <c r="CK557" s="34">
        <v>0</v>
      </c>
      <c r="CL557" s="43">
        <v>2</v>
      </c>
      <c r="CM557" s="4">
        <v>1.8</v>
      </c>
      <c r="CN557" s="53">
        <v>2.1</v>
      </c>
      <c r="CO557" s="54">
        <v>1.3</v>
      </c>
      <c r="CP557" s="54">
        <v>0</v>
      </c>
      <c r="CQ557" s="4">
        <v>1.2</v>
      </c>
    </row>
    <row r="558" spans="1:95" s="55" customFormat="1" x14ac:dyDescent="0.35">
      <c r="A558" s="55">
        <v>557</v>
      </c>
      <c r="B558" s="55" t="s">
        <v>87</v>
      </c>
      <c r="C558" s="27" t="s">
        <v>270</v>
      </c>
      <c r="D558" s="50" t="s">
        <v>93</v>
      </c>
      <c r="E558" s="33" t="s">
        <v>89</v>
      </c>
      <c r="F558" s="4">
        <f>IFERROR(AVERAGEIF(Table1[[#This Row],[2019-Apr]:[2025-July]],"&lt;&gt;0"),0)</f>
        <v>2.360358208955224</v>
      </c>
      <c r="G558" s="4">
        <f ca="1">IFERROR(AVERAGEIF(OFFSET(Table1[[#This Row],[Status]],0,COUNT(Table1[[#This Row],[2019-May]:[2025-July]]),1,-12),"&lt;&gt;0"),0)</f>
        <v>3.9083333333333332</v>
      </c>
      <c r="H558" s="55">
        <f>IFERROR(SMALL(Table1[[#This Row],[2019-Apr]:[2025-July]],COUNTIF(Table1[[#This Row],[2019-Apr]:[2025-July]],0)+1),0)</f>
        <v>0.67700000000000005</v>
      </c>
      <c r="I558" s="55">
        <f>IFERROR(MAX(Table1[[#This Row],[2019-Apr]:[2025-July]]),0)</f>
        <v>4.9000000000000004</v>
      </c>
      <c r="J558" s="4" cm="1">
        <f t="array" ref="J55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1.0925</v>
      </c>
      <c r="K558" s="4">
        <v>4.5</v>
      </c>
      <c r="L558" s="4">
        <f>IF(Table1[[#This Row],[Standard as per ISO]]&gt;=Table1[[#This Row],[Avg of best 6]],Table1[[#This Row],[Standard as per ISO]],Table1[[#This Row],[Avg of best 6]])</f>
        <v>4.5</v>
      </c>
      <c r="M558" s="4" cm="1">
        <f t="array" ref="M558">IFERROR(LOOKUP(2,1/(Table1[[#This Row],[2019-May]:[2025-July]]&lt;&gt;0),Table1[[#This Row],[2019-May]:[2025-July]]),0)</f>
        <v>4.3</v>
      </c>
      <c r="N558" s="4">
        <f>COUNTIF(Table1[[#This Row],[2019-Apr]:[2025-July]],"&gt;="&amp;Table1[[#This Row],[Target]])</f>
        <v>4</v>
      </c>
      <c r="O558" s="4">
        <f>IF(Table1[[#This Row],[Outliers 2Y]]=0,1,0)</f>
        <v>0</v>
      </c>
      <c r="P558" s="4">
        <f>IF(Table1[[#This Row],[Last value]]&gt;1.5*Table1[[#This Row],[Target]],1,0)</f>
        <v>0</v>
      </c>
      <c r="Q558" s="4">
        <f>IF(AND(1.5*Table1[[#This Row],[Target]]&gt;=Table1[[#This Row],[Last value]],Table1[[#This Row],[Last value]]&gt;Table1[[#This Row],[Target]]),1,0)</f>
        <v>0</v>
      </c>
      <c r="R558" s="4">
        <f>IF(Table1[[#This Row],[Target]]&gt;=Table1[[#This Row],[Last value]],1,0)</f>
        <v>1</v>
      </c>
      <c r="S558" s="4" t="str">
        <f t="shared" si="11"/>
        <v>Green</v>
      </c>
      <c r="T558" s="55">
        <v>0</v>
      </c>
      <c r="U558" s="55">
        <v>1.42</v>
      </c>
      <c r="V558" s="55">
        <v>1.45</v>
      </c>
      <c r="W558" s="55">
        <v>1.24</v>
      </c>
      <c r="X558" s="55">
        <v>1.56</v>
      </c>
      <c r="Y558" s="55">
        <v>1.75</v>
      </c>
      <c r="Z558" s="55">
        <v>1.7</v>
      </c>
      <c r="AA558" s="55">
        <v>1.98</v>
      </c>
      <c r="AB558" s="55">
        <v>2.16</v>
      </c>
      <c r="AC558" s="55">
        <v>2.21</v>
      </c>
      <c r="AD558" s="55">
        <v>1.83</v>
      </c>
      <c r="AE558" s="55">
        <v>1.9</v>
      </c>
      <c r="AF558" s="55">
        <v>1.9</v>
      </c>
      <c r="AG558" s="55">
        <v>2.0099999999999998</v>
      </c>
      <c r="AH558" s="55">
        <v>2</v>
      </c>
      <c r="AI558" s="55">
        <v>1.59</v>
      </c>
      <c r="AJ558" s="55">
        <v>1.37</v>
      </c>
      <c r="AK558" s="55">
        <v>1.54</v>
      </c>
      <c r="AL558" s="55">
        <v>1.43</v>
      </c>
      <c r="AM558" s="55">
        <v>0</v>
      </c>
      <c r="AN558" s="55">
        <v>1.53</v>
      </c>
      <c r="AO558" s="55">
        <v>2.3199999999999998</v>
      </c>
      <c r="AP558" s="55">
        <v>1.4</v>
      </c>
      <c r="AQ558" s="55">
        <v>1.82</v>
      </c>
      <c r="AR558" s="8">
        <v>2.0299999999999998</v>
      </c>
      <c r="AS558" s="8">
        <v>2.33</v>
      </c>
      <c r="AT558" s="8">
        <v>0</v>
      </c>
      <c r="AU558" s="50">
        <v>1.37</v>
      </c>
      <c r="AV558" s="50">
        <v>1.75</v>
      </c>
      <c r="AW558" s="50">
        <v>0.82</v>
      </c>
      <c r="AX558" s="50">
        <v>1.71</v>
      </c>
      <c r="AY558" s="50">
        <v>1.63</v>
      </c>
      <c r="AZ558" s="50">
        <v>1.6</v>
      </c>
      <c r="BA558" s="50">
        <v>1.5</v>
      </c>
      <c r="BB558" s="50">
        <v>0</v>
      </c>
      <c r="BC558" s="55">
        <v>1.8</v>
      </c>
      <c r="BD558" s="55">
        <v>1.5</v>
      </c>
      <c r="BE558" s="11">
        <v>1.6739999999999999</v>
      </c>
      <c r="BF558" s="4">
        <v>0</v>
      </c>
      <c r="BG558" s="4">
        <v>2.2120000000000002</v>
      </c>
      <c r="BH558" s="4">
        <v>2.82</v>
      </c>
      <c r="BI558" s="4">
        <v>0</v>
      </c>
      <c r="BJ558" s="13">
        <v>0.67700000000000005</v>
      </c>
      <c r="BK558" s="13">
        <v>1.647</v>
      </c>
      <c r="BL558" s="4">
        <v>1.665</v>
      </c>
      <c r="BM558" s="16">
        <v>0</v>
      </c>
      <c r="BN558" s="4">
        <v>1.5860000000000001</v>
      </c>
      <c r="BO558" s="4">
        <v>1.591</v>
      </c>
      <c r="BP558" s="4">
        <v>1.6850000000000001</v>
      </c>
      <c r="BQ558" s="4">
        <v>1.35</v>
      </c>
      <c r="BR558" s="4">
        <v>1.0980000000000001</v>
      </c>
      <c r="BS558" s="55">
        <v>3</v>
      </c>
      <c r="BT558" s="4">
        <v>3.0670000000000002</v>
      </c>
      <c r="BU558" s="4">
        <v>1.5660000000000001</v>
      </c>
      <c r="BV558" s="4">
        <v>2.593</v>
      </c>
      <c r="BW558" s="4">
        <v>3.3519999999999999</v>
      </c>
      <c r="BX558" s="4">
        <v>2.4910000000000001</v>
      </c>
      <c r="BY558" s="4">
        <v>2.4</v>
      </c>
      <c r="BZ558" s="55">
        <v>0</v>
      </c>
      <c r="CA558" s="55">
        <v>0</v>
      </c>
      <c r="CB558" s="55">
        <v>4.88</v>
      </c>
      <c r="CC558" s="55">
        <v>4.6399999999999997</v>
      </c>
      <c r="CD558" s="55">
        <v>4.8</v>
      </c>
      <c r="CE558" s="19">
        <v>4.2</v>
      </c>
      <c r="CF558" s="19">
        <v>4.9000000000000004</v>
      </c>
      <c r="CG558" s="4">
        <v>4.42</v>
      </c>
      <c r="CH558" s="4">
        <v>2.71</v>
      </c>
      <c r="CI558" s="4">
        <v>3.57</v>
      </c>
      <c r="CJ558" s="34">
        <v>3</v>
      </c>
      <c r="CK558" s="34">
        <v>3.8</v>
      </c>
      <c r="CL558" s="43">
        <v>3.9</v>
      </c>
      <c r="CM558" s="4">
        <v>3.9</v>
      </c>
      <c r="CN558" s="53">
        <v>3.7</v>
      </c>
      <c r="CO558" s="54">
        <v>4.4000000000000004</v>
      </c>
      <c r="CP558" s="54">
        <v>4.4000000000000004</v>
      </c>
      <c r="CQ558" s="4">
        <v>4.3</v>
      </c>
    </row>
    <row r="559" spans="1:95" s="55" customFormat="1" x14ac:dyDescent="0.35">
      <c r="A559" s="55">
        <v>558</v>
      </c>
      <c r="B559" s="55" t="s">
        <v>87</v>
      </c>
      <c r="C559" s="27" t="s">
        <v>271</v>
      </c>
      <c r="D559" s="50" t="s">
        <v>96</v>
      </c>
      <c r="E559" s="33" t="s">
        <v>89</v>
      </c>
      <c r="F559" s="4">
        <f>IFERROR(AVERAGEIF(Table1[[#This Row],[2019-Apr]:[2025-July]],"&lt;&gt;0"),0)</f>
        <v>0.97562068965517235</v>
      </c>
      <c r="G559" s="4">
        <f ca="1">IFERROR(AVERAGEIF(OFFSET(Table1[[#This Row],[Status]],0,COUNT(Table1[[#This Row],[2019-May]:[2025-July]]),1,-12),"&lt;&gt;0"),0)</f>
        <v>0.75363636363636377</v>
      </c>
      <c r="H559" s="55">
        <f>IFERROR(SMALL(Table1[[#This Row],[2019-Apr]:[2025-July]],COUNTIF(Table1[[#This Row],[2019-Apr]:[2025-July]],0)+1),0)</f>
        <v>0.6</v>
      </c>
      <c r="I559" s="55">
        <f>IFERROR(MAX(Table1[[#This Row],[2019-Apr]:[2025-July]]),0)</f>
        <v>2.2000000000000002</v>
      </c>
      <c r="J559" s="4" cm="1">
        <f t="array" ref="J55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0.63833333333333331</v>
      </c>
      <c r="K559" s="4">
        <v>4.5</v>
      </c>
      <c r="L559" s="4">
        <f>IF(Table1[[#This Row],[Standard as per ISO]]&gt;=Table1[[#This Row],[Avg of best 6]],Table1[[#This Row],[Standard as per ISO]],Table1[[#This Row],[Avg of best 6]])</f>
        <v>4.5</v>
      </c>
      <c r="M559" s="4" cm="1">
        <f t="array" ref="M559">IFERROR(LOOKUP(2,1/(Table1[[#This Row],[2019-May]:[2025-July]]&lt;&gt;0),Table1[[#This Row],[2019-May]:[2025-July]]),0)</f>
        <v>0.7</v>
      </c>
      <c r="N559" s="4">
        <f>COUNTIF(Table1[[#This Row],[2019-Apr]:[2025-July]],"&gt;="&amp;Table1[[#This Row],[Target]])</f>
        <v>0</v>
      </c>
      <c r="O559" s="4">
        <f>IF(Table1[[#This Row],[Outliers 2Y]]=0,1,0)</f>
        <v>1</v>
      </c>
      <c r="P559" s="4">
        <f>IF(Table1[[#This Row],[Last value]]&gt;1.5*Table1[[#This Row],[Target]],1,0)</f>
        <v>0</v>
      </c>
      <c r="Q559" s="4">
        <f>IF(AND(1.5*Table1[[#This Row],[Target]]&gt;=Table1[[#This Row],[Last value]],Table1[[#This Row],[Last value]]&gt;Table1[[#This Row],[Target]]),1,0)</f>
        <v>0</v>
      </c>
      <c r="R559" s="4">
        <f>IF(Table1[[#This Row],[Target]]&gt;=Table1[[#This Row],[Last value]],1,0)</f>
        <v>1</v>
      </c>
      <c r="S559" s="4" t="str">
        <f t="shared" si="11"/>
        <v>Green</v>
      </c>
      <c r="T559" s="55">
        <v>0</v>
      </c>
      <c r="U559" s="55">
        <v>1.47</v>
      </c>
      <c r="V559" s="55">
        <v>0.99</v>
      </c>
      <c r="W559" s="55">
        <v>1.1200000000000001</v>
      </c>
      <c r="X559" s="55">
        <v>0</v>
      </c>
      <c r="Y559" s="55">
        <v>0.9</v>
      </c>
      <c r="Z559" s="55">
        <v>0.8</v>
      </c>
      <c r="AA559" s="55">
        <v>0.96</v>
      </c>
      <c r="AB559" s="55">
        <v>1.1399999999999999</v>
      </c>
      <c r="AC559" s="55">
        <v>1.2</v>
      </c>
      <c r="AD559" s="55">
        <v>1.1000000000000001</v>
      </c>
      <c r="AE559" s="55">
        <v>0.6</v>
      </c>
      <c r="AF559" s="55">
        <v>0</v>
      </c>
      <c r="AG559" s="55">
        <v>1.04</v>
      </c>
      <c r="AH559" s="55">
        <v>1.1000000000000001</v>
      </c>
      <c r="AI559" s="55">
        <v>1.27</v>
      </c>
      <c r="AJ559" s="55">
        <v>1</v>
      </c>
      <c r="AK559" s="55">
        <v>0</v>
      </c>
      <c r="AL559" s="55">
        <v>0.86</v>
      </c>
      <c r="AM559" s="55">
        <v>1.81</v>
      </c>
      <c r="AN559" s="55">
        <v>1.44</v>
      </c>
      <c r="AO559" s="55">
        <v>0.7</v>
      </c>
      <c r="AP559" s="55">
        <v>0.7</v>
      </c>
      <c r="AQ559" s="55">
        <v>0</v>
      </c>
      <c r="AR559" s="8">
        <v>2.2000000000000002</v>
      </c>
      <c r="AS559" s="8">
        <v>1.66</v>
      </c>
      <c r="AT559" s="8">
        <v>0.72</v>
      </c>
      <c r="AU559" s="50">
        <v>1.51</v>
      </c>
      <c r="AV559" s="50">
        <v>0.9</v>
      </c>
      <c r="AW559" s="50">
        <v>0.86</v>
      </c>
      <c r="AX559" s="50">
        <v>1.44</v>
      </c>
      <c r="AY559" s="50">
        <v>0.97</v>
      </c>
      <c r="AZ559" s="50">
        <v>1.18</v>
      </c>
      <c r="BA559" s="50">
        <v>1.1000000000000001</v>
      </c>
      <c r="BB559" s="50">
        <v>0</v>
      </c>
      <c r="BC559" s="55">
        <v>1.3</v>
      </c>
      <c r="BD559" s="55">
        <v>0</v>
      </c>
      <c r="BE559" s="11">
        <v>1.24</v>
      </c>
      <c r="BF559" s="4">
        <v>0</v>
      </c>
      <c r="BG559" s="4">
        <v>0</v>
      </c>
      <c r="BH559" s="4">
        <v>0</v>
      </c>
      <c r="BI559" s="4">
        <v>0</v>
      </c>
      <c r="BJ559" s="14">
        <v>0.71299999999999997</v>
      </c>
      <c r="BK559" s="14">
        <v>0.72699999999999998</v>
      </c>
      <c r="BL559" s="4">
        <v>0</v>
      </c>
      <c r="BM559" s="17">
        <v>0</v>
      </c>
      <c r="BN559" s="4">
        <v>1.159</v>
      </c>
      <c r="BO559" s="4">
        <v>0</v>
      </c>
      <c r="BP559" s="4">
        <v>0</v>
      </c>
      <c r="BQ559" s="4">
        <v>0.751</v>
      </c>
      <c r="BR559" s="4">
        <v>0.79</v>
      </c>
      <c r="BS559" s="55">
        <v>0.61599999999999999</v>
      </c>
      <c r="BT559" s="4">
        <v>0.66800000000000004</v>
      </c>
      <c r="BU559" s="4">
        <v>0.66600000000000004</v>
      </c>
      <c r="BV559" s="4">
        <v>1.0069999999999999</v>
      </c>
      <c r="BW559" s="4">
        <v>0</v>
      </c>
      <c r="BX559" s="4">
        <v>0.93</v>
      </c>
      <c r="BY559" s="4">
        <v>0.95899999999999996</v>
      </c>
      <c r="BZ559" s="55">
        <v>0</v>
      </c>
      <c r="CA559" s="55">
        <v>0.91</v>
      </c>
      <c r="CB559" s="55">
        <v>0.95</v>
      </c>
      <c r="CC559" s="55">
        <v>0.68</v>
      </c>
      <c r="CD559" s="55">
        <v>0.79</v>
      </c>
      <c r="CE559" s="19">
        <v>0.7</v>
      </c>
      <c r="CF559" s="19">
        <v>0.9</v>
      </c>
      <c r="CG559" s="4">
        <v>0.9</v>
      </c>
      <c r="CH559" s="4">
        <v>0</v>
      </c>
      <c r="CI559" s="4">
        <v>0.79</v>
      </c>
      <c r="CJ559" s="34">
        <v>0.7</v>
      </c>
      <c r="CK559" s="34">
        <v>0.7</v>
      </c>
      <c r="CL559" s="43">
        <v>0.7</v>
      </c>
      <c r="CM559" s="4">
        <v>0.9</v>
      </c>
      <c r="CN559" s="53">
        <v>0.7</v>
      </c>
      <c r="CO559" s="54">
        <v>0.7</v>
      </c>
      <c r="CP559" s="54">
        <v>0.6</v>
      </c>
      <c r="CQ559" s="4">
        <v>0.7</v>
      </c>
    </row>
    <row r="560" spans="1:95" s="55" customFormat="1" x14ac:dyDescent="0.35">
      <c r="A560" s="55">
        <v>559</v>
      </c>
      <c r="B560" s="55" t="s">
        <v>87</v>
      </c>
      <c r="C560" s="27" t="s">
        <v>273</v>
      </c>
      <c r="D560" s="50" t="s">
        <v>97</v>
      </c>
      <c r="E560" s="33" t="s">
        <v>89</v>
      </c>
      <c r="F560" s="4">
        <f>IFERROR(AVERAGEIF(Table1[[#This Row],[2019-Apr]:[2025-July]],"&lt;&gt;0"),0)</f>
        <v>0.80673529411764722</v>
      </c>
      <c r="G560" s="4">
        <f ca="1">IFERROR(AVERAGEIF(OFFSET(Table1[[#This Row],[Status]],0,COUNT(Table1[[#This Row],[2019-May]:[2025-July]]),1,-12),"&lt;&gt;0"),0)</f>
        <v>0.69666666666666677</v>
      </c>
      <c r="H560" s="55">
        <f>IFERROR(SMALL(Table1[[#This Row],[2019-Apr]:[2025-July]],COUNTIF(Table1[[#This Row],[2019-Apr]:[2025-July]],0)+1),0)</f>
        <v>0.41</v>
      </c>
      <c r="I560" s="55">
        <f>IFERROR(MAX(Table1[[#This Row],[2019-Apr]:[2025-July]]),0)</f>
        <v>2.65</v>
      </c>
      <c r="J560" s="4" cm="1">
        <f t="array" ref="J56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0.46666666666666662</v>
      </c>
      <c r="K560" s="4">
        <v>4.5</v>
      </c>
      <c r="L560" s="4">
        <f>IF(Table1[[#This Row],[Standard as per ISO]]&gt;=Table1[[#This Row],[Avg of best 6]],Table1[[#This Row],[Standard as per ISO]],Table1[[#This Row],[Avg of best 6]])</f>
        <v>4.5</v>
      </c>
      <c r="M560" s="4" cm="1">
        <f t="array" ref="M560">IFERROR(LOOKUP(2,1/(Table1[[#This Row],[2019-May]:[2025-July]]&lt;&gt;0),Table1[[#This Row],[2019-May]:[2025-July]]),0)</f>
        <v>0.6</v>
      </c>
      <c r="N560" s="4">
        <f>COUNTIF(Table1[[#This Row],[2019-Apr]:[2025-July]],"&gt;="&amp;Table1[[#This Row],[Target]])</f>
        <v>0</v>
      </c>
      <c r="O560" s="4">
        <f>IF(Table1[[#This Row],[Outliers 2Y]]=0,1,0)</f>
        <v>1</v>
      </c>
      <c r="P560" s="4">
        <f>IF(Table1[[#This Row],[Last value]]&gt;1.5*Table1[[#This Row],[Target]],1,0)</f>
        <v>0</v>
      </c>
      <c r="Q560" s="4">
        <f>IF(AND(1.5*Table1[[#This Row],[Target]]&gt;=Table1[[#This Row],[Last value]],Table1[[#This Row],[Last value]]&gt;Table1[[#This Row],[Target]]),1,0)</f>
        <v>0</v>
      </c>
      <c r="R560" s="4">
        <f>IF(Table1[[#This Row],[Target]]&gt;=Table1[[#This Row],[Last value]],1,0)</f>
        <v>1</v>
      </c>
      <c r="S560" s="4" t="str">
        <f t="shared" si="11"/>
        <v>Green</v>
      </c>
      <c r="T560" s="55">
        <v>0</v>
      </c>
      <c r="U560" s="55">
        <v>0.41</v>
      </c>
      <c r="V560" s="55">
        <v>0.56000000000000005</v>
      </c>
      <c r="W560" s="55">
        <v>0.46</v>
      </c>
      <c r="X560" s="55">
        <v>1.1200000000000001</v>
      </c>
      <c r="Y560" s="55">
        <v>0.57199999999999995</v>
      </c>
      <c r="Z560" s="55">
        <v>0.6</v>
      </c>
      <c r="AA560" s="55">
        <v>0.68</v>
      </c>
      <c r="AB560" s="55">
        <v>0.73</v>
      </c>
      <c r="AC560" s="55">
        <v>0.75</v>
      </c>
      <c r="AD560" s="55">
        <v>0.6</v>
      </c>
      <c r="AE560" s="55">
        <v>1</v>
      </c>
      <c r="AF560" s="55">
        <v>0.5</v>
      </c>
      <c r="AG560" s="55">
        <v>0.52</v>
      </c>
      <c r="AH560" s="55">
        <v>0.6</v>
      </c>
      <c r="AI560" s="55">
        <v>0.95</v>
      </c>
      <c r="AJ560" s="55">
        <v>0.73</v>
      </c>
      <c r="AK560" s="55">
        <v>0.42</v>
      </c>
      <c r="AL560" s="55">
        <v>2.5</v>
      </c>
      <c r="AM560" s="55">
        <v>0</v>
      </c>
      <c r="AN560" s="55">
        <v>0</v>
      </c>
      <c r="AO560" s="55">
        <v>0.76</v>
      </c>
      <c r="AP560" s="55">
        <v>0.53</v>
      </c>
      <c r="AQ560" s="55">
        <v>0.51</v>
      </c>
      <c r="AR560" s="8">
        <v>0.78</v>
      </c>
      <c r="AS560" s="8">
        <v>0.86</v>
      </c>
      <c r="AT560" s="8">
        <v>0</v>
      </c>
      <c r="AU560" s="50">
        <v>0.93</v>
      </c>
      <c r="AV560" s="50">
        <v>0.72</v>
      </c>
      <c r="AW560" s="50">
        <v>0.7</v>
      </c>
      <c r="AX560" s="50">
        <v>2.65</v>
      </c>
      <c r="AY560" s="50">
        <v>0.96</v>
      </c>
      <c r="AZ560" s="50">
        <v>1.32</v>
      </c>
      <c r="BA560" s="50">
        <v>0.7</v>
      </c>
      <c r="BB560" s="50">
        <v>0.7</v>
      </c>
      <c r="BC560" s="55">
        <v>0.7</v>
      </c>
      <c r="BD560" s="55">
        <v>1</v>
      </c>
      <c r="BE560" s="11">
        <v>0.60299999999999998</v>
      </c>
      <c r="BF560" s="4">
        <v>0</v>
      </c>
      <c r="BG560" s="4">
        <v>1.0680000000000001</v>
      </c>
      <c r="BH560" s="4">
        <v>1.0680000000000001</v>
      </c>
      <c r="BI560" s="4">
        <v>0.86699999999999999</v>
      </c>
      <c r="BJ560" s="13">
        <v>0.51500000000000001</v>
      </c>
      <c r="BK560" s="13">
        <v>0.89800000000000002</v>
      </c>
      <c r="BL560" s="4">
        <v>0.746</v>
      </c>
      <c r="BM560" s="16">
        <v>0.73399999999999999</v>
      </c>
      <c r="BN560" s="4">
        <v>0.92400000000000004</v>
      </c>
      <c r="BO560" s="4">
        <v>0.59399999999999997</v>
      </c>
      <c r="BP560" s="4">
        <v>1.0329999999999999</v>
      </c>
      <c r="BQ560" s="4">
        <v>0.57399999999999995</v>
      </c>
      <c r="BR560" s="4">
        <v>0.95499999999999996</v>
      </c>
      <c r="BS560" s="55">
        <v>0.72199999999999998</v>
      </c>
      <c r="BT560" s="4">
        <v>1.0029999999999999</v>
      </c>
      <c r="BU560" s="4">
        <v>0.54100000000000004</v>
      </c>
      <c r="BV560" s="4">
        <v>0.64700000000000002</v>
      </c>
      <c r="BW560" s="4">
        <v>0.76200000000000001</v>
      </c>
      <c r="BX560" s="4">
        <v>1.079</v>
      </c>
      <c r="BY560" s="4">
        <v>0.76300000000000001</v>
      </c>
      <c r="BZ560" s="55">
        <v>0.97</v>
      </c>
      <c r="CA560" s="55">
        <v>0.99</v>
      </c>
      <c r="CB560" s="55">
        <v>0.7</v>
      </c>
      <c r="CC560" s="55">
        <v>0.83</v>
      </c>
      <c r="CD560" s="55">
        <v>0.88</v>
      </c>
      <c r="CE560" s="19">
        <v>0.5</v>
      </c>
      <c r="CF560" s="19">
        <v>0.8</v>
      </c>
      <c r="CG560" s="4">
        <v>0.86</v>
      </c>
      <c r="CH560" s="4">
        <v>0</v>
      </c>
      <c r="CI560" s="4">
        <v>0.61</v>
      </c>
      <c r="CJ560" s="34">
        <v>0.7</v>
      </c>
      <c r="CK560" s="34">
        <v>0.7</v>
      </c>
      <c r="CL560" s="43">
        <v>0</v>
      </c>
      <c r="CM560" s="4">
        <v>0</v>
      </c>
      <c r="CN560" s="53">
        <v>0.7</v>
      </c>
      <c r="CO560" s="54">
        <v>0.7</v>
      </c>
      <c r="CP560" s="54">
        <v>0.7</v>
      </c>
      <c r="CQ560" s="4">
        <v>0.6</v>
      </c>
    </row>
    <row r="561" spans="1:95" s="55" customFormat="1" x14ac:dyDescent="0.35">
      <c r="A561" s="55">
        <v>560</v>
      </c>
      <c r="B561" s="55" t="s">
        <v>87</v>
      </c>
      <c r="C561" s="27" t="s">
        <v>272</v>
      </c>
      <c r="D561" s="50" t="s">
        <v>97</v>
      </c>
      <c r="E561" s="33" t="s">
        <v>89</v>
      </c>
      <c r="F561" s="4">
        <f>IFERROR(AVERAGEIF(Table1[[#This Row],[2019-Apr]:[2025-July]],"&lt;&gt;0"),0)</f>
        <v>0.72810810810810811</v>
      </c>
      <c r="G561" s="4">
        <f ca="1">IFERROR(AVERAGEIF(OFFSET(Table1[[#This Row],[Status]],0,COUNT(Table1[[#This Row],[2019-May]:[2025-July]]),1,-12),"&lt;&gt;0"),0)</f>
        <v>0.78285714285714292</v>
      </c>
      <c r="H561" s="55">
        <f>IFERROR(SMALL(Table1[[#This Row],[2019-Apr]:[2025-July]],COUNTIF(Table1[[#This Row],[2019-Apr]:[2025-July]],0)+1),0)</f>
        <v>0.45</v>
      </c>
      <c r="I561" s="55">
        <f>IFERROR(MAX(Table1[[#This Row],[2019-Apr]:[2025-July]]),0)</f>
        <v>1.31</v>
      </c>
      <c r="J561" s="4" cm="1">
        <f t="array" ref="J56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0.48333333333333334</v>
      </c>
      <c r="K561" s="4">
        <v>4.5</v>
      </c>
      <c r="L561" s="4">
        <f>IF(Table1[[#This Row],[Standard as per ISO]]&gt;=Table1[[#This Row],[Avg of best 6]],Table1[[#This Row],[Standard as per ISO]],Table1[[#This Row],[Avg of best 6]])</f>
        <v>4.5</v>
      </c>
      <c r="M561" s="4" cm="1">
        <f t="array" ref="M561">IFERROR(LOOKUP(2,1/(Table1[[#This Row],[2019-May]:[2025-July]]&lt;&gt;0),Table1[[#This Row],[2019-May]:[2025-July]]),0)</f>
        <v>0.9</v>
      </c>
      <c r="N561" s="4">
        <f>COUNTIF(Table1[[#This Row],[2019-Apr]:[2025-July]],"&gt;="&amp;Table1[[#This Row],[Target]])</f>
        <v>0</v>
      </c>
      <c r="O561" s="4">
        <f>IF(Table1[[#This Row],[Outliers 2Y]]=0,1,0)</f>
        <v>1</v>
      </c>
      <c r="P561" s="4">
        <f>IF(Table1[[#This Row],[Last value]]&gt;1.5*Table1[[#This Row],[Target]],1,0)</f>
        <v>0</v>
      </c>
      <c r="Q561" s="4">
        <f>IF(AND(1.5*Table1[[#This Row],[Target]]&gt;=Table1[[#This Row],[Last value]],Table1[[#This Row],[Last value]]&gt;Table1[[#This Row],[Target]]),1,0)</f>
        <v>0</v>
      </c>
      <c r="R561" s="4">
        <f>IF(Table1[[#This Row],[Target]]&gt;=Table1[[#This Row],[Last value]],1,0)</f>
        <v>1</v>
      </c>
      <c r="S561" s="4" t="str">
        <f>IF(P561=1, "Red", IF(Q561=1, "Yellow", "Green"))</f>
        <v>Green</v>
      </c>
      <c r="T561" s="55">
        <v>0</v>
      </c>
      <c r="U561" s="55">
        <v>0</v>
      </c>
      <c r="V561" s="55">
        <v>0</v>
      </c>
      <c r="W561" s="55">
        <v>0</v>
      </c>
      <c r="X561" s="55">
        <v>0</v>
      </c>
      <c r="Y561" s="55">
        <v>0</v>
      </c>
      <c r="Z561" s="55">
        <v>0</v>
      </c>
      <c r="AA561" s="55">
        <v>0</v>
      </c>
      <c r="AB561" s="55">
        <v>0</v>
      </c>
      <c r="AC561" s="55">
        <v>0</v>
      </c>
      <c r="AD561" s="55">
        <v>0</v>
      </c>
      <c r="AE561" s="55">
        <v>0</v>
      </c>
      <c r="AF561" s="55">
        <v>0</v>
      </c>
      <c r="AG561" s="55">
        <v>0</v>
      </c>
      <c r="AH561" s="55">
        <v>0</v>
      </c>
      <c r="AI561" s="55">
        <v>0</v>
      </c>
      <c r="AJ561" s="55">
        <v>0</v>
      </c>
      <c r="AK561" s="55">
        <v>0</v>
      </c>
      <c r="AL561" s="55">
        <v>0</v>
      </c>
      <c r="AM561" s="55">
        <v>0</v>
      </c>
      <c r="AN561" s="55">
        <v>0</v>
      </c>
      <c r="AO561" s="55">
        <v>0</v>
      </c>
      <c r="AP561" s="55">
        <v>0</v>
      </c>
      <c r="AQ561" s="55">
        <v>0</v>
      </c>
      <c r="AR561" s="55">
        <v>0</v>
      </c>
      <c r="AS561" s="55">
        <v>0</v>
      </c>
      <c r="AT561" s="55">
        <v>0</v>
      </c>
      <c r="AU561" s="55">
        <v>0</v>
      </c>
      <c r="AV561" s="55">
        <v>0</v>
      </c>
      <c r="AW561" s="55">
        <v>0</v>
      </c>
      <c r="AX561" s="55">
        <v>0</v>
      </c>
      <c r="AY561" s="55">
        <v>0</v>
      </c>
      <c r="AZ561" s="55">
        <v>0</v>
      </c>
      <c r="BA561" s="50">
        <v>0.99</v>
      </c>
      <c r="BB561" s="50">
        <v>0.5</v>
      </c>
      <c r="BC561" s="55">
        <v>0.62</v>
      </c>
      <c r="BD561" s="55">
        <v>0.81</v>
      </c>
      <c r="BE561" s="11">
        <v>0.45</v>
      </c>
      <c r="BF561" s="4">
        <v>0</v>
      </c>
      <c r="BG561" s="4">
        <v>0.47</v>
      </c>
      <c r="BH561" s="4">
        <v>0.5</v>
      </c>
      <c r="BI561" s="4">
        <v>0.56999999999999995</v>
      </c>
      <c r="BJ561" s="13">
        <v>0.52</v>
      </c>
      <c r="BK561" s="13">
        <v>0.8</v>
      </c>
      <c r="BL561" s="4">
        <v>0.49</v>
      </c>
      <c r="BM561" s="16">
        <v>0.64</v>
      </c>
      <c r="BN561" s="4">
        <v>0.76</v>
      </c>
      <c r="BO561" s="4">
        <v>0.78</v>
      </c>
      <c r="BP561" s="4">
        <v>1.21</v>
      </c>
      <c r="BQ561" s="4">
        <v>0.6</v>
      </c>
      <c r="BR561" s="4">
        <v>0.67</v>
      </c>
      <c r="BS561" s="4">
        <v>0.59</v>
      </c>
      <c r="BT561" s="4">
        <v>0.71</v>
      </c>
      <c r="BU561" s="4">
        <v>0.65</v>
      </c>
      <c r="BV561" s="4">
        <v>0.61</v>
      </c>
      <c r="BW561" s="4">
        <v>0.64</v>
      </c>
      <c r="BX561" s="4">
        <v>0.69</v>
      </c>
      <c r="BY561" s="4">
        <v>0.94</v>
      </c>
      <c r="BZ561" s="4">
        <v>1.31</v>
      </c>
      <c r="CA561" s="4">
        <v>0.49</v>
      </c>
      <c r="CB561" s="4">
        <v>0.64</v>
      </c>
      <c r="CC561" s="4">
        <v>0.97</v>
      </c>
      <c r="CD561" s="4">
        <v>0.94</v>
      </c>
      <c r="CE561" s="24">
        <v>0.9</v>
      </c>
      <c r="CF561" s="24">
        <v>1.28</v>
      </c>
      <c r="CG561" s="4">
        <v>0</v>
      </c>
      <c r="CH561" s="4">
        <v>0</v>
      </c>
      <c r="CI561" s="4">
        <v>0.6</v>
      </c>
      <c r="CJ561" s="34">
        <v>0.6</v>
      </c>
      <c r="CK561" s="34">
        <v>0</v>
      </c>
      <c r="CL561" s="43">
        <v>0.8</v>
      </c>
      <c r="CM561" s="4">
        <v>0.5</v>
      </c>
      <c r="CN561" s="53">
        <v>0</v>
      </c>
      <c r="CO561" s="54">
        <v>0</v>
      </c>
      <c r="CP561" s="54">
        <v>0.8</v>
      </c>
      <c r="CQ561" s="4">
        <v>0.9</v>
      </c>
    </row>
    <row r="562" spans="1:95" s="55" customFormat="1" x14ac:dyDescent="0.35">
      <c r="A562" s="55">
        <v>561</v>
      </c>
      <c r="B562" s="55" t="s">
        <v>87</v>
      </c>
      <c r="C562" s="27" t="s">
        <v>274</v>
      </c>
      <c r="D562" s="50" t="s">
        <v>93</v>
      </c>
      <c r="E562" s="33" t="s">
        <v>89</v>
      </c>
      <c r="F562" s="4">
        <f>IFERROR(AVERAGEIF(Table1[[#This Row],[2019-Apr]:[2025-July]],"&lt;&gt;0"),0)</f>
        <v>4.010673469387755</v>
      </c>
      <c r="G562" s="4">
        <f ca="1">IFERROR(AVERAGEIF(OFFSET(Table1[[#This Row],[Status]],0,COUNT(Table1[[#This Row],[2019-May]:[2025-July]]),1,-12),"&lt;&gt;0"),0)</f>
        <v>4.0909999999999993</v>
      </c>
      <c r="H562" s="55">
        <f>IFERROR(SMALL(Table1[[#This Row],[2019-Apr]:[2025-July]],COUNTIF(Table1[[#This Row],[2019-Apr]:[2025-July]],0)+1),0)</f>
        <v>2.19</v>
      </c>
      <c r="I562" s="55">
        <f>IFERROR(MAX(Table1[[#This Row],[2019-Apr]:[2025-July]]),0)</f>
        <v>6.78</v>
      </c>
      <c r="J562" s="4" cm="1">
        <f t="array" ref="J56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2.8153333333333332</v>
      </c>
      <c r="K562" s="4">
        <v>4.5</v>
      </c>
      <c r="L562" s="4">
        <f>IF(Table1[[#This Row],[Standard as per ISO]]&gt;=Table1[[#This Row],[Avg of best 6]],Table1[[#This Row],[Standard as per ISO]],Table1[[#This Row],[Avg of best 6]])</f>
        <v>4.5</v>
      </c>
      <c r="M562" s="4" cm="1">
        <f t="array" ref="M562">IFERROR(LOOKUP(2,1/(Table1[[#This Row],[2019-May]:[2025-July]]&lt;&gt;0),Table1[[#This Row],[2019-May]:[2025-July]]),0)</f>
        <v>5.5</v>
      </c>
      <c r="N562" s="4">
        <f>COUNTIF(Table1[[#This Row],[2019-Apr]:[2025-July]],"&gt;="&amp;Table1[[#This Row],[Target]])</f>
        <v>14</v>
      </c>
      <c r="O562" s="4">
        <f>IF(Table1[[#This Row],[Outliers 2Y]]=0,1,0)</f>
        <v>0</v>
      </c>
      <c r="P562" s="4">
        <f>IF(Table1[[#This Row],[Last value]]&gt;1.5*Table1[[#This Row],[Target]],1,0)</f>
        <v>0</v>
      </c>
      <c r="Q562" s="4">
        <f>IF(AND(1.5*Table1[[#This Row],[Target]]&gt;=Table1[[#This Row],[Last value]],Table1[[#This Row],[Last value]]&gt;Table1[[#This Row],[Target]]),1,0)</f>
        <v>1</v>
      </c>
      <c r="R562" s="4">
        <f>IF(Table1[[#This Row],[Target]]&gt;=Table1[[#This Row],[Last value]],1,0)</f>
        <v>0</v>
      </c>
      <c r="S562" s="4" t="str">
        <f t="shared" ref="S562" si="12">IF(P562=1, "Red", IF(Q562=1, "Yellow", "Green"))</f>
        <v>Yellow</v>
      </c>
      <c r="T562" s="55">
        <v>0</v>
      </c>
      <c r="U562" s="55">
        <v>0</v>
      </c>
      <c r="V562" s="55">
        <v>0</v>
      </c>
      <c r="W562" s="55">
        <v>0</v>
      </c>
      <c r="X562" s="55">
        <v>0</v>
      </c>
      <c r="Y562" s="55">
        <v>0</v>
      </c>
      <c r="Z562" s="55">
        <v>0</v>
      </c>
      <c r="AA562" s="55">
        <v>0</v>
      </c>
      <c r="AB562" s="55">
        <v>0</v>
      </c>
      <c r="AC562" s="55">
        <v>0</v>
      </c>
      <c r="AD562" s="55">
        <v>0</v>
      </c>
      <c r="AE562" s="55">
        <v>0</v>
      </c>
      <c r="AF562" s="55">
        <v>0</v>
      </c>
      <c r="AG562" s="55">
        <v>0</v>
      </c>
      <c r="AH562" s="55">
        <v>0</v>
      </c>
      <c r="AI562" s="55">
        <v>0</v>
      </c>
      <c r="AJ562" s="55">
        <v>0</v>
      </c>
      <c r="AK562" s="55">
        <v>0</v>
      </c>
      <c r="AL562" s="55">
        <v>0</v>
      </c>
      <c r="AM562" s="55">
        <v>0</v>
      </c>
      <c r="AN562" s="55">
        <v>4.92</v>
      </c>
      <c r="AO562" s="55">
        <v>0</v>
      </c>
      <c r="AP562" s="55">
        <v>3.98</v>
      </c>
      <c r="AQ562" s="55">
        <v>0</v>
      </c>
      <c r="AR562" s="8">
        <v>4.5999999999999996</v>
      </c>
      <c r="AS562" s="8">
        <v>4.2</v>
      </c>
      <c r="AT562" s="8">
        <v>0</v>
      </c>
      <c r="AU562" s="50">
        <v>4.49</v>
      </c>
      <c r="AV562" s="50">
        <v>4.3</v>
      </c>
      <c r="AW562" s="50">
        <v>4.08</v>
      </c>
      <c r="AX562" s="50">
        <v>4.6900000000000004</v>
      </c>
      <c r="AY562" s="50">
        <v>5.42</v>
      </c>
      <c r="AZ562" s="50">
        <v>2.19</v>
      </c>
      <c r="BA562" s="50">
        <v>3.3</v>
      </c>
      <c r="BB562" s="50">
        <v>4.5999999999999996</v>
      </c>
      <c r="BC562" s="55">
        <v>4.5999999999999996</v>
      </c>
      <c r="BD562" s="55">
        <v>4.2</v>
      </c>
      <c r="BE562" s="11">
        <v>4.5990000000000002</v>
      </c>
      <c r="BF562" s="4">
        <v>0</v>
      </c>
      <c r="BG562" s="4">
        <v>3.827</v>
      </c>
      <c r="BH562" s="4">
        <v>3.8479999999999999</v>
      </c>
      <c r="BI562" s="4">
        <v>3.7879999999999998</v>
      </c>
      <c r="BJ562" s="14">
        <v>3.7879999999999998</v>
      </c>
      <c r="BK562" s="14">
        <v>3.2930000000000001</v>
      </c>
      <c r="BL562" s="4">
        <v>5.7629999999999999</v>
      </c>
      <c r="BM562" s="17">
        <v>4.9729999999999999</v>
      </c>
      <c r="BN562" s="4">
        <v>2.9239999999999999</v>
      </c>
      <c r="BO562" s="4">
        <v>3.1760000000000002</v>
      </c>
      <c r="BP562" s="4">
        <v>4.0960000000000001</v>
      </c>
      <c r="BQ562" s="4">
        <v>2.7669999999999999</v>
      </c>
      <c r="BR562" s="4">
        <v>3.048</v>
      </c>
      <c r="BS562" s="55">
        <v>3.1440000000000001</v>
      </c>
      <c r="BT562" s="4">
        <v>3.51</v>
      </c>
      <c r="BU562" s="4">
        <v>3.073</v>
      </c>
      <c r="BV562" s="4">
        <v>3.3580000000000001</v>
      </c>
      <c r="BW562" s="4">
        <v>3.1320000000000001</v>
      </c>
      <c r="BX562" s="4">
        <v>3.3980000000000001</v>
      </c>
      <c r="BY562" s="4">
        <v>3.5779999999999998</v>
      </c>
      <c r="BZ562" s="55">
        <v>2.89</v>
      </c>
      <c r="CA562" s="55">
        <v>6.78</v>
      </c>
      <c r="CB562" s="55">
        <v>3.86</v>
      </c>
      <c r="CC562" s="55">
        <v>0</v>
      </c>
      <c r="CD562" s="55">
        <v>3.93</v>
      </c>
      <c r="CE562" s="55">
        <v>3.2</v>
      </c>
      <c r="CF562" s="55">
        <v>4.3</v>
      </c>
      <c r="CG562" s="4">
        <v>5.41</v>
      </c>
      <c r="CH562" s="4">
        <v>3.39</v>
      </c>
      <c r="CI562" s="4">
        <v>4.71</v>
      </c>
      <c r="CJ562" s="34">
        <v>4.5999999999999996</v>
      </c>
      <c r="CK562" s="34">
        <v>3.7</v>
      </c>
      <c r="CL562" s="43">
        <v>0</v>
      </c>
      <c r="CM562" s="4">
        <v>0</v>
      </c>
      <c r="CN562" s="53">
        <v>3.2</v>
      </c>
      <c r="CO562" s="54">
        <v>4</v>
      </c>
      <c r="CP562" s="54">
        <v>4.4000000000000004</v>
      </c>
      <c r="CQ562" s="4">
        <v>5.5</v>
      </c>
    </row>
    <row r="563" spans="1:95" s="55" customFormat="1" x14ac:dyDescent="0.35">
      <c r="A563" s="55">
        <v>562</v>
      </c>
      <c r="B563" s="55" t="s">
        <v>87</v>
      </c>
      <c r="C563" s="27" t="s">
        <v>275</v>
      </c>
      <c r="D563" s="50" t="s">
        <v>93</v>
      </c>
      <c r="E563" s="33" t="s">
        <v>89</v>
      </c>
      <c r="F563" s="4">
        <f>IFERROR(AVERAGEIF(Table1[[#This Row],[2019-Apr]:[2025-July]],"&lt;&gt;0"),0)</f>
        <v>4.738421052631578</v>
      </c>
      <c r="G563" s="4">
        <f ca="1">IFERROR(AVERAGEIF(OFFSET(Table1[[#This Row],[Status]],0,COUNT(Table1[[#This Row],[2019-May]:[2025-July]]),1,-12),"&lt;&gt;0"),0)</f>
        <v>5.3744444444444444</v>
      </c>
      <c r="H563" s="55">
        <f>IFERROR(SMALL(Table1[[#This Row],[2019-Apr]:[2025-July]],COUNTIF(Table1[[#This Row],[2019-Apr]:[2025-July]],0)+1),0)</f>
        <v>1.19</v>
      </c>
      <c r="I563" s="55">
        <f>IFERROR(MAX(Table1[[#This Row],[2019-Apr]:[2025-July]]),0)</f>
        <v>10.53</v>
      </c>
      <c r="J563" s="4" cm="1">
        <f t="array" ref="J56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2.7533333333333334</v>
      </c>
      <c r="K563" s="4">
        <v>4.5</v>
      </c>
      <c r="L563" s="4">
        <f>IF(Table1[[#This Row],[Standard as per ISO]]&gt;=Table1[[#This Row],[Avg of best 6]],Table1[[#This Row],[Standard as per ISO]],Table1[[#This Row],[Avg of best 6]])</f>
        <v>4.5</v>
      </c>
      <c r="M563" s="4" cm="1">
        <f t="array" ref="M563">IFERROR(LOOKUP(2,1/(Table1[[#This Row],[2019-May]:[2025-July]]&lt;&gt;0),Table1[[#This Row],[2019-May]:[2025-July]]),0)</f>
        <v>6.1</v>
      </c>
      <c r="N563" s="4">
        <f>COUNTIF(Table1[[#This Row],[2019-Apr]:[2025-July]],"&gt;="&amp;Table1[[#This Row],[Target]])</f>
        <v>19</v>
      </c>
      <c r="O563" s="4">
        <f>IF(Table1[[#This Row],[Outliers 2Y]]=0,1,0)</f>
        <v>0</v>
      </c>
      <c r="P563" s="4">
        <f>IF(Table1[[#This Row],[Last value]]&gt;1.5*Table1[[#This Row],[Target]],1,0)</f>
        <v>0</v>
      </c>
      <c r="Q563" s="4">
        <f>IF(AND(1.5*Table1[[#This Row],[Target]]&gt;=Table1[[#This Row],[Last value]],Table1[[#This Row],[Last value]]&gt;Table1[[#This Row],[Target]]),1,0)</f>
        <v>1</v>
      </c>
      <c r="R563" s="4">
        <f>IF(Table1[[#This Row],[Target]]&gt;=Table1[[#This Row],[Last value]],1,0)</f>
        <v>0</v>
      </c>
      <c r="S563" s="4" t="str">
        <f>IF(P563=1, "Red", IF(Q563=1, "Yellow", "Green"))</f>
        <v>Yellow</v>
      </c>
      <c r="T563" s="55">
        <v>0</v>
      </c>
      <c r="U563" s="55">
        <v>0</v>
      </c>
      <c r="V563" s="55">
        <v>0</v>
      </c>
      <c r="W563" s="55">
        <v>0</v>
      </c>
      <c r="X563" s="55">
        <v>0</v>
      </c>
      <c r="Y563" s="55">
        <v>0</v>
      </c>
      <c r="Z563" s="55">
        <v>0</v>
      </c>
      <c r="AA563" s="55">
        <v>0</v>
      </c>
      <c r="AB563" s="55">
        <v>0</v>
      </c>
      <c r="AC563" s="55">
        <v>0</v>
      </c>
      <c r="AD563" s="55">
        <v>0</v>
      </c>
      <c r="AE563" s="55">
        <v>0</v>
      </c>
      <c r="AF563" s="55">
        <v>0</v>
      </c>
      <c r="AG563" s="55">
        <v>0</v>
      </c>
      <c r="AH563" s="55">
        <v>0</v>
      </c>
      <c r="AI563" s="55">
        <v>0</v>
      </c>
      <c r="AJ563" s="55">
        <v>0</v>
      </c>
      <c r="AK563" s="55">
        <v>0</v>
      </c>
      <c r="AL563" s="55">
        <v>0</v>
      </c>
      <c r="AM563" s="55">
        <v>0</v>
      </c>
      <c r="AN563" s="55">
        <v>0</v>
      </c>
      <c r="AO563" s="55">
        <v>0</v>
      </c>
      <c r="AP563" s="55">
        <v>0</v>
      </c>
      <c r="AQ563" s="55">
        <v>0</v>
      </c>
      <c r="AR563" s="55">
        <v>0</v>
      </c>
      <c r="AS563" s="55">
        <v>0</v>
      </c>
      <c r="AT563" s="55">
        <v>0</v>
      </c>
      <c r="AU563" s="55">
        <v>0</v>
      </c>
      <c r="AV563" s="55">
        <v>0</v>
      </c>
      <c r="AW563" s="55">
        <v>0</v>
      </c>
      <c r="AX563" s="55">
        <v>0</v>
      </c>
      <c r="AY563" s="55">
        <v>0</v>
      </c>
      <c r="AZ563" s="55">
        <v>0</v>
      </c>
      <c r="BA563" s="50">
        <v>2.98</v>
      </c>
      <c r="BB563" s="50">
        <v>3.2</v>
      </c>
      <c r="BC563" s="55">
        <v>1.19</v>
      </c>
      <c r="BD563" s="55">
        <v>4.34</v>
      </c>
      <c r="BE563" s="11">
        <v>3.51</v>
      </c>
      <c r="BF563" s="4">
        <v>0</v>
      </c>
      <c r="BG563" s="4">
        <v>3.5</v>
      </c>
      <c r="BH563" s="4">
        <v>3.7</v>
      </c>
      <c r="BI563" s="4">
        <v>3.96</v>
      </c>
      <c r="BJ563" s="14">
        <v>5.78</v>
      </c>
      <c r="BK563" s="14">
        <v>5.39</v>
      </c>
      <c r="BL563" s="4">
        <v>3.25</v>
      </c>
      <c r="BM563" s="16">
        <v>3.55</v>
      </c>
      <c r="BN563" s="4">
        <v>5.0599999999999996</v>
      </c>
      <c r="BO563" s="4">
        <v>4.1100000000000003</v>
      </c>
      <c r="BP563" s="4">
        <v>3.15</v>
      </c>
      <c r="BQ563" s="4">
        <v>3.65</v>
      </c>
      <c r="BR563" s="4">
        <v>5.78</v>
      </c>
      <c r="BS563" s="4">
        <v>5.44</v>
      </c>
      <c r="BT563" s="4">
        <v>4.6900000000000004</v>
      </c>
      <c r="BU563" s="4">
        <v>0</v>
      </c>
      <c r="BV563" s="4">
        <v>5.82</v>
      </c>
      <c r="BW563" s="4">
        <v>5.96</v>
      </c>
      <c r="BX563" s="4">
        <v>8.8699999999999992</v>
      </c>
      <c r="BY563" s="4">
        <v>6.9</v>
      </c>
      <c r="BZ563" s="4">
        <v>5.81</v>
      </c>
      <c r="CA563" s="4">
        <v>3.95</v>
      </c>
      <c r="CB563" s="4">
        <v>3.56</v>
      </c>
      <c r="CC563" s="4">
        <v>3.69</v>
      </c>
      <c r="CD563" s="4">
        <v>4.8</v>
      </c>
      <c r="CE563" s="4">
        <v>10.53</v>
      </c>
      <c r="CF563" s="4">
        <v>6.05</v>
      </c>
      <c r="CG563" s="4">
        <v>5.14</v>
      </c>
      <c r="CH563" s="4">
        <v>2.75</v>
      </c>
      <c r="CI563" s="4">
        <v>3.9</v>
      </c>
      <c r="CJ563" s="34">
        <v>5.4</v>
      </c>
      <c r="CK563" s="34">
        <v>0</v>
      </c>
      <c r="CL563" s="43">
        <v>4.9000000000000004</v>
      </c>
      <c r="CM563" s="4">
        <v>4</v>
      </c>
      <c r="CN563" s="53">
        <v>0</v>
      </c>
      <c r="CO563" s="54">
        <v>0</v>
      </c>
      <c r="CP563" s="54">
        <v>5.7</v>
      </c>
      <c r="CQ563" s="4">
        <v>6.1</v>
      </c>
    </row>
    <row r="564" spans="1:95" s="55" customFormat="1" x14ac:dyDescent="0.35">
      <c r="A564" s="55">
        <v>563</v>
      </c>
      <c r="B564" s="55" t="s">
        <v>87</v>
      </c>
      <c r="C564" s="27" t="s">
        <v>276</v>
      </c>
      <c r="D564" s="50" t="s">
        <v>98</v>
      </c>
      <c r="E564" s="33" t="s">
        <v>89</v>
      </c>
      <c r="F564" s="4">
        <f>IFERROR(AVERAGEIF(Table1[[#This Row],[2019-Apr]:[2025-July]],"&lt;&gt;0"),0)</f>
        <v>8.4130615384615339</v>
      </c>
      <c r="G564" s="4">
        <f ca="1">IFERROR(AVERAGEIF(OFFSET(Table1[[#This Row],[Status]],0,COUNT(Table1[[#This Row],[2019-May]:[2025-July]]),1,-12),"&lt;&gt;0"),0)</f>
        <v>3.4762500000000003</v>
      </c>
      <c r="H564" s="55">
        <f>IFERROR(SMALL(Table1[[#This Row],[2019-Apr]:[2025-July]],COUNTIF(Table1[[#This Row],[2019-Apr]:[2025-July]],0)+1),0)</f>
        <v>1.62</v>
      </c>
      <c r="I564" s="55">
        <f>IFERROR(MAX(Table1[[#This Row],[2019-Apr]:[2025-July]]),0)</f>
        <v>33</v>
      </c>
      <c r="J564" s="4" cm="1">
        <f t="array" ref="J56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1.8841666666666665</v>
      </c>
      <c r="K564" s="4">
        <v>4.5</v>
      </c>
      <c r="L564" s="4">
        <f>IF(Table1[[#This Row],[Standard as per ISO]]&gt;=Table1[[#This Row],[Avg of best 6]],Table1[[#This Row],[Standard as per ISO]],Table1[[#This Row],[Avg of best 6]])</f>
        <v>4.5</v>
      </c>
      <c r="M564" s="4" cm="1">
        <f t="array" ref="M564">IFERROR(LOOKUP(2,1/(Table1[[#This Row],[2019-May]:[2025-July]]&lt;&gt;0),Table1[[#This Row],[2019-May]:[2025-July]]),0)</f>
        <v>3.1</v>
      </c>
      <c r="N564" s="4">
        <f>COUNTIF(Table1[[#This Row],[2019-Apr]:[2025-July]],"&gt;="&amp;Table1[[#This Row],[Target]])</f>
        <v>43</v>
      </c>
      <c r="O564" s="4">
        <f>IF(Table1[[#This Row],[Outliers 2Y]]=0,1,0)</f>
        <v>0</v>
      </c>
      <c r="P564" s="4">
        <f>IF(Table1[[#This Row],[Last value]]&gt;1.5*Table1[[#This Row],[Target]],1,0)</f>
        <v>0</v>
      </c>
      <c r="Q564" s="4">
        <f>IF(AND(1.5*Table1[[#This Row],[Target]]&gt;=Table1[[#This Row],[Last value]],Table1[[#This Row],[Last value]]&gt;Table1[[#This Row],[Target]]),1,0)</f>
        <v>0</v>
      </c>
      <c r="R564" s="4">
        <f>IF(Table1[[#This Row],[Target]]&gt;=Table1[[#This Row],[Last value]],1,0)</f>
        <v>1</v>
      </c>
      <c r="S564" s="4" t="str">
        <f t="shared" ref="S564" si="13">IF(P564=1, "Red", IF(Q564=1, "Yellow", "Green"))</f>
        <v>Green</v>
      </c>
      <c r="T564" s="55">
        <v>0</v>
      </c>
      <c r="U564" s="55">
        <v>33</v>
      </c>
      <c r="V564" s="55">
        <v>12.3</v>
      </c>
      <c r="W564" s="55">
        <v>7.64</v>
      </c>
      <c r="X564" s="55">
        <v>10.9</v>
      </c>
      <c r="Y564" s="55">
        <v>5.91</v>
      </c>
      <c r="Z564" s="55">
        <v>10.199999999999999</v>
      </c>
      <c r="AA564" s="55">
        <v>7.88</v>
      </c>
      <c r="AB564" s="55">
        <v>8.7899999999999991</v>
      </c>
      <c r="AC564" s="55">
        <v>7.94</v>
      </c>
      <c r="AD564" s="55">
        <v>7.76</v>
      </c>
      <c r="AE564" s="55">
        <v>8.1</v>
      </c>
      <c r="AF564" s="55">
        <v>7.6</v>
      </c>
      <c r="AG564" s="55">
        <v>8.5</v>
      </c>
      <c r="AH564" s="55">
        <v>11.2</v>
      </c>
      <c r="AI564" s="55">
        <v>8.57</v>
      </c>
      <c r="AJ564" s="55">
        <v>24.6</v>
      </c>
      <c r="AK564" s="55">
        <v>12</v>
      </c>
      <c r="AL564" s="55">
        <v>13.8</v>
      </c>
      <c r="AM564" s="55">
        <v>0</v>
      </c>
      <c r="AN564" s="55">
        <v>0</v>
      </c>
      <c r="AO564" s="55">
        <v>7.91</v>
      </c>
      <c r="AP564" s="55">
        <v>9.75</v>
      </c>
      <c r="AQ564" s="55">
        <v>9.73</v>
      </c>
      <c r="AR564" s="8">
        <v>11.7</v>
      </c>
      <c r="AS564" s="8">
        <v>14.7</v>
      </c>
      <c r="AT564" s="8">
        <v>0</v>
      </c>
      <c r="AU564" s="50">
        <v>16.600000000000001</v>
      </c>
      <c r="AV564" s="50">
        <v>14</v>
      </c>
      <c r="AW564" s="50">
        <v>4.1500000000000004</v>
      </c>
      <c r="AX564" s="50">
        <v>2.86</v>
      </c>
      <c r="AY564" s="50">
        <v>14.2</v>
      </c>
      <c r="AZ564" s="50">
        <v>17.899999999999999</v>
      </c>
      <c r="BA564" s="50">
        <v>8.3000000000000007</v>
      </c>
      <c r="BB564" s="50">
        <v>14.8</v>
      </c>
      <c r="BC564" s="55">
        <v>13.8</v>
      </c>
      <c r="BD564" s="55">
        <v>9.9</v>
      </c>
      <c r="BE564" s="11">
        <v>10.39</v>
      </c>
      <c r="BF564" s="4">
        <v>0</v>
      </c>
      <c r="BG564" s="4">
        <v>14.89</v>
      </c>
      <c r="BH564" s="4">
        <v>13.71</v>
      </c>
      <c r="BI564" s="4">
        <v>12.86</v>
      </c>
      <c r="BJ564" s="13">
        <v>5.782</v>
      </c>
      <c r="BK564" s="13">
        <v>3.1139999999999999</v>
      </c>
      <c r="BL564" s="4">
        <v>9.6999999999999993</v>
      </c>
      <c r="BM564" s="16">
        <v>8.5739999999999998</v>
      </c>
      <c r="BN564" s="4">
        <v>15.35</v>
      </c>
      <c r="BO564" s="4">
        <v>2.109</v>
      </c>
      <c r="BP564" s="4">
        <v>2.7050000000000001</v>
      </c>
      <c r="BQ564" s="4">
        <v>1.7490000000000001</v>
      </c>
      <c r="BR564" s="4">
        <v>10.4</v>
      </c>
      <c r="BS564" s="55">
        <v>3.363</v>
      </c>
      <c r="BT564" s="4">
        <v>3.1720000000000002</v>
      </c>
      <c r="BU564" s="4">
        <v>1.7370000000000001</v>
      </c>
      <c r="BV564" s="4">
        <v>1.62</v>
      </c>
      <c r="BW564" s="4">
        <v>2.65</v>
      </c>
      <c r="BX564" s="4">
        <v>3.8439999999999999</v>
      </c>
      <c r="BY564" s="4">
        <v>4.7699999999999996</v>
      </c>
      <c r="BZ564" s="55">
        <v>0</v>
      </c>
      <c r="CA564" s="55">
        <v>1.88</v>
      </c>
      <c r="CB564" s="55">
        <v>2.37</v>
      </c>
      <c r="CC564" s="55">
        <v>2.21</v>
      </c>
      <c r="CD564" s="55">
        <v>0</v>
      </c>
      <c r="CE564" s="55">
        <v>0</v>
      </c>
      <c r="CF564" s="55">
        <v>4.8</v>
      </c>
      <c r="CG564" s="4">
        <v>2.4300000000000002</v>
      </c>
      <c r="CH564" s="4">
        <v>0</v>
      </c>
      <c r="CI564" s="4">
        <v>3.68</v>
      </c>
      <c r="CJ564" s="34">
        <v>0</v>
      </c>
      <c r="CK564" s="34">
        <v>0</v>
      </c>
      <c r="CL564" s="43">
        <v>2.9</v>
      </c>
      <c r="CM564" s="4">
        <v>5</v>
      </c>
      <c r="CN564" s="53">
        <v>2.7</v>
      </c>
      <c r="CO564" s="54">
        <v>3.3</v>
      </c>
      <c r="CP564" s="54">
        <v>3</v>
      </c>
      <c r="CQ564" s="4">
        <v>3.1</v>
      </c>
    </row>
    <row r="565" spans="1:95" s="55" customFormat="1" x14ac:dyDescent="0.35">
      <c r="A565" s="55">
        <v>564</v>
      </c>
      <c r="B565" s="55" t="s">
        <v>87</v>
      </c>
      <c r="C565" s="27" t="s">
        <v>277</v>
      </c>
      <c r="D565" s="50" t="s">
        <v>98</v>
      </c>
      <c r="E565" s="33" t="s">
        <v>89</v>
      </c>
      <c r="F565" s="4">
        <f>IFERROR(AVERAGEIF(Table1[[#This Row],[2019-Apr]:[2025-July]],"&lt;&gt;0"),0)</f>
        <v>6.4931034482758623</v>
      </c>
      <c r="G565" s="4">
        <f ca="1">IFERROR(AVERAGEIF(OFFSET(Table1[[#This Row],[Status]],0,COUNT(Table1[[#This Row],[2019-May]:[2025-July]]),1,-12),"&lt;&gt;0"),0)</f>
        <v>3.1799999999999997</v>
      </c>
      <c r="H565" s="55">
        <f>IFERROR(SMALL(Table1[[#This Row],[2019-Apr]:[2025-July]],COUNTIF(Table1[[#This Row],[2019-Apr]:[2025-July]],0)+1),0)</f>
        <v>1.1200000000000001</v>
      </c>
      <c r="I565" s="55">
        <f>IFERROR(MAX(Table1[[#This Row],[2019-Apr]:[2025-July]]),0)</f>
        <v>29.33</v>
      </c>
      <c r="J565" s="4" cm="1">
        <f t="array" ref="J56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1.3783333333333332</v>
      </c>
      <c r="K565" s="4">
        <v>4.5</v>
      </c>
      <c r="L565" s="4">
        <f>IF(Table1[[#This Row],[Standard as per ISO]]&gt;=Table1[[#This Row],[Avg of best 6]],Table1[[#This Row],[Standard as per ISO]],Table1[[#This Row],[Avg of best 6]])</f>
        <v>4.5</v>
      </c>
      <c r="M565" s="4" cm="1">
        <f t="array" ref="M565">IFERROR(LOOKUP(2,1/(Table1[[#This Row],[2019-May]:[2025-July]]&lt;&gt;0),Table1[[#This Row],[2019-May]:[2025-July]]),0)</f>
        <v>3</v>
      </c>
      <c r="N565" s="4">
        <f>COUNTIF(Table1[[#This Row],[2019-Apr]:[2025-July]],"&gt;="&amp;Table1[[#This Row],[Target]])</f>
        <v>10</v>
      </c>
      <c r="O565" s="4">
        <f>IF(Table1[[#This Row],[Outliers 2Y]]=0,1,0)</f>
        <v>0</v>
      </c>
      <c r="P565" s="4">
        <f>IF(Table1[[#This Row],[Last value]]&gt;1.5*Table1[[#This Row],[Target]],1,0)</f>
        <v>0</v>
      </c>
      <c r="Q565" s="4">
        <f>IF(AND(1.5*Table1[[#This Row],[Target]]&gt;=Table1[[#This Row],[Last value]],Table1[[#This Row],[Last value]]&gt;Table1[[#This Row],[Target]]),1,0)</f>
        <v>0</v>
      </c>
      <c r="R565" s="4">
        <f>IF(Table1[[#This Row],[Target]]&gt;=Table1[[#This Row],[Last value]],1,0)</f>
        <v>1</v>
      </c>
      <c r="S565" s="4" t="str">
        <f>IF(P565=1, "Red", IF(Q565=1, "Yellow", "Green"))</f>
        <v>Green</v>
      </c>
      <c r="T565" s="55">
        <v>0</v>
      </c>
      <c r="U565" s="55">
        <v>0</v>
      </c>
      <c r="V565" s="55">
        <v>0</v>
      </c>
      <c r="W565" s="55">
        <v>0</v>
      </c>
      <c r="X565" s="55">
        <v>0</v>
      </c>
      <c r="Y565" s="55">
        <v>0</v>
      </c>
      <c r="Z565" s="55">
        <v>0</v>
      </c>
      <c r="AA565" s="55">
        <v>0</v>
      </c>
      <c r="AB565" s="55">
        <v>0</v>
      </c>
      <c r="AC565" s="55">
        <v>0</v>
      </c>
      <c r="AD565" s="55">
        <v>0</v>
      </c>
      <c r="AE565" s="55">
        <v>0</v>
      </c>
      <c r="AF565" s="55">
        <v>0</v>
      </c>
      <c r="AG565" s="55">
        <v>0</v>
      </c>
      <c r="AH565" s="55">
        <v>0</v>
      </c>
      <c r="AI565" s="55">
        <v>0</v>
      </c>
      <c r="AJ565" s="55">
        <v>0</v>
      </c>
      <c r="AK565" s="55">
        <v>0</v>
      </c>
      <c r="AL565" s="55">
        <v>0</v>
      </c>
      <c r="AM565" s="55">
        <v>0</v>
      </c>
      <c r="AN565" s="55">
        <v>0</v>
      </c>
      <c r="AO565" s="55">
        <v>0</v>
      </c>
      <c r="AP565" s="55">
        <v>0</v>
      </c>
      <c r="AQ565" s="55">
        <v>0</v>
      </c>
      <c r="AR565" s="55">
        <v>0</v>
      </c>
      <c r="AS565" s="55">
        <v>0</v>
      </c>
      <c r="AT565" s="55">
        <v>0</v>
      </c>
      <c r="AU565" s="55">
        <v>0</v>
      </c>
      <c r="AV565" s="55">
        <v>0</v>
      </c>
      <c r="AW565" s="55">
        <v>0</v>
      </c>
      <c r="AX565" s="55">
        <v>0</v>
      </c>
      <c r="AY565" s="55">
        <v>0</v>
      </c>
      <c r="AZ565" s="55">
        <v>0</v>
      </c>
      <c r="BA565" s="50">
        <v>13</v>
      </c>
      <c r="BB565" s="50">
        <v>15.3</v>
      </c>
      <c r="BC565" s="55">
        <v>8.9600000000000009</v>
      </c>
      <c r="BD565" s="55">
        <v>13.3</v>
      </c>
      <c r="BE565" s="11">
        <v>0</v>
      </c>
      <c r="BF565" s="4">
        <v>0</v>
      </c>
      <c r="BG565" s="4">
        <v>9.4700000000000006</v>
      </c>
      <c r="BH565" s="4">
        <v>29.33</v>
      </c>
      <c r="BI565" s="4">
        <v>16.75</v>
      </c>
      <c r="BJ565" s="13">
        <v>10.43</v>
      </c>
      <c r="BK565" s="13">
        <v>20.78</v>
      </c>
      <c r="BL565" s="4">
        <v>1.17</v>
      </c>
      <c r="BM565" s="16">
        <v>8.9600000000000009</v>
      </c>
      <c r="BN565" s="4">
        <v>1.46</v>
      </c>
      <c r="BO565" s="4">
        <v>2.23</v>
      </c>
      <c r="BP565" s="4">
        <v>1.93</v>
      </c>
      <c r="BQ565" s="4">
        <v>2.4900000000000002</v>
      </c>
      <c r="BR565" s="4">
        <v>2.0299999999999998</v>
      </c>
      <c r="BS565" s="4">
        <v>1.1200000000000001</v>
      </c>
      <c r="BT565" s="4">
        <v>1.66</v>
      </c>
      <c r="BU565" s="4">
        <v>1.42</v>
      </c>
      <c r="BV565" s="4">
        <v>0</v>
      </c>
      <c r="BW565" s="4">
        <v>1.76</v>
      </c>
      <c r="BX565" s="4">
        <v>2.5299999999999998</v>
      </c>
      <c r="BY565" s="4">
        <v>0</v>
      </c>
      <c r="BZ565" s="4">
        <v>0</v>
      </c>
      <c r="CA565" s="4">
        <v>1.44</v>
      </c>
      <c r="CB565" s="4">
        <v>2.4900000000000002</v>
      </c>
      <c r="CC565" s="4">
        <v>2.2999999999999998</v>
      </c>
      <c r="CD565" s="4">
        <v>3.27</v>
      </c>
      <c r="CE565" s="4">
        <v>0</v>
      </c>
      <c r="CF565" s="4">
        <v>2.29</v>
      </c>
      <c r="CG565" s="4">
        <v>3.13</v>
      </c>
      <c r="CH565" s="4">
        <v>0</v>
      </c>
      <c r="CI565" s="4">
        <v>0</v>
      </c>
      <c r="CJ565" s="34">
        <v>4.3</v>
      </c>
      <c r="CK565" s="34">
        <v>0</v>
      </c>
      <c r="CL565" s="43">
        <v>0</v>
      </c>
      <c r="CM565" s="4">
        <v>0</v>
      </c>
      <c r="CN565" s="53">
        <v>3</v>
      </c>
      <c r="CO565" s="54">
        <v>0</v>
      </c>
      <c r="CP565" s="54">
        <v>0</v>
      </c>
      <c r="CQ565" s="4">
        <v>0</v>
      </c>
    </row>
    <row r="566" spans="1:95" s="55" customFormat="1" x14ac:dyDescent="0.35">
      <c r="A566" s="55">
        <v>565</v>
      </c>
      <c r="B566" s="55" t="s">
        <v>87</v>
      </c>
      <c r="C566" s="27" t="s">
        <v>278</v>
      </c>
      <c r="D566" s="50" t="s">
        <v>93</v>
      </c>
      <c r="E566" s="33" t="s">
        <v>89</v>
      </c>
      <c r="F566" s="4">
        <f>IFERROR(AVERAGEIF(Table1[[#This Row],[2019-Apr]:[2025-July]],"&lt;&gt;0"),0)</f>
        <v>2.3675970149253738</v>
      </c>
      <c r="G566" s="4">
        <f ca="1">IFERROR(AVERAGEIF(OFFSET(Table1[[#This Row],[Status]],0,COUNT(Table1[[#This Row],[2019-May]:[2025-July]]),1,-12),"&lt;&gt;0"),0)</f>
        <v>1.6430000000000002</v>
      </c>
      <c r="H566" s="55">
        <f>IFERROR(SMALL(Table1[[#This Row],[2019-Apr]:[2025-July]],COUNTIF(Table1[[#This Row],[2019-Apr]:[2025-July]],0)+1),0)</f>
        <v>0.4</v>
      </c>
      <c r="I566" s="55">
        <f>IFERROR(MAX(Table1[[#This Row],[2019-Apr]:[2025-July]]),0)</f>
        <v>5.3</v>
      </c>
      <c r="J566" s="4" cm="1">
        <f t="array" ref="J56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0.99316666666666675</v>
      </c>
      <c r="K566" s="4">
        <v>4.5</v>
      </c>
      <c r="L566" s="4">
        <f>IF(Table1[[#This Row],[Standard as per ISO]]&gt;=Table1[[#This Row],[Avg of best 6]],Table1[[#This Row],[Standard as per ISO]],Table1[[#This Row],[Avg of best 6]])</f>
        <v>4.5</v>
      </c>
      <c r="M566" s="4" cm="1">
        <f t="array" ref="M566">IFERROR(LOOKUP(2,1/(Table1[[#This Row],[2019-May]:[2025-July]]&lt;&gt;0),Table1[[#This Row],[2019-May]:[2025-July]]),0)</f>
        <v>1.2</v>
      </c>
      <c r="N566" s="4">
        <f>COUNTIF(Table1[[#This Row],[2019-Apr]:[2025-July]],"&gt;="&amp;Table1[[#This Row],[Target]])</f>
        <v>3</v>
      </c>
      <c r="O566" s="4">
        <f>IF(Table1[[#This Row],[Outliers 2Y]]=0,1,0)</f>
        <v>0</v>
      </c>
      <c r="P566" s="4">
        <f>IF(Table1[[#This Row],[Last value]]&gt;1.5*Table1[[#This Row],[Target]],1,0)</f>
        <v>0</v>
      </c>
      <c r="Q566" s="4">
        <f>IF(AND(1.5*Table1[[#This Row],[Target]]&gt;=Table1[[#This Row],[Last value]],Table1[[#This Row],[Last value]]&gt;Table1[[#This Row],[Target]]),1,0)</f>
        <v>0</v>
      </c>
      <c r="R566" s="4">
        <f>IF(Table1[[#This Row],[Target]]&gt;=Table1[[#This Row],[Last value]],1,0)</f>
        <v>1</v>
      </c>
      <c r="S566" s="4" t="str">
        <f t="shared" ref="S566:S582" si="14">IF(P566=1, "Red", IF(Q566=1, "Yellow", "Green"))</f>
        <v>Green</v>
      </c>
      <c r="T566" s="55">
        <v>0</v>
      </c>
      <c r="U566" s="55">
        <v>2.5499999999999998</v>
      </c>
      <c r="V566" s="55">
        <v>2.76</v>
      </c>
      <c r="W566" s="55">
        <v>2.56</v>
      </c>
      <c r="X566" s="55">
        <v>5.3</v>
      </c>
      <c r="Y566" s="55">
        <v>4.26</v>
      </c>
      <c r="Z566" s="55">
        <v>3.3</v>
      </c>
      <c r="AA566" s="55">
        <v>0</v>
      </c>
      <c r="AB566" s="55">
        <v>3.03</v>
      </c>
      <c r="AC566" s="55">
        <v>3.2</v>
      </c>
      <c r="AD566" s="55">
        <v>3.32</v>
      </c>
      <c r="AE566" s="55">
        <v>2.66</v>
      </c>
      <c r="AF566" s="55">
        <v>3.3</v>
      </c>
      <c r="AG566" s="55">
        <v>3.42</v>
      </c>
      <c r="AH566" s="55">
        <v>0.4</v>
      </c>
      <c r="AI566" s="55">
        <v>3.85</v>
      </c>
      <c r="AJ566" s="55">
        <v>3.5</v>
      </c>
      <c r="AK566" s="55">
        <v>3.84</v>
      </c>
      <c r="AL566" s="55">
        <v>4.4400000000000004</v>
      </c>
      <c r="AM566" s="55">
        <v>0</v>
      </c>
      <c r="AN566" s="55">
        <v>0</v>
      </c>
      <c r="AO566" s="55">
        <v>5.28</v>
      </c>
      <c r="AP566" s="55">
        <v>3.97</v>
      </c>
      <c r="AQ566" s="55">
        <v>5.08</v>
      </c>
      <c r="AR566" s="8">
        <v>4.2699999999999996</v>
      </c>
      <c r="AS566" s="8">
        <v>3.82</v>
      </c>
      <c r="AT566" s="8">
        <v>0</v>
      </c>
      <c r="AU566" s="50">
        <v>3.94</v>
      </c>
      <c r="AV566" s="50">
        <v>4.18</v>
      </c>
      <c r="AW566" s="50">
        <v>2.67</v>
      </c>
      <c r="AX566" s="50">
        <v>2.63</v>
      </c>
      <c r="AY566" s="50">
        <v>2.92</v>
      </c>
      <c r="AZ566" s="50">
        <v>3.04</v>
      </c>
      <c r="BA566" s="50">
        <v>2.6</v>
      </c>
      <c r="BB566" s="50">
        <v>2.8</v>
      </c>
      <c r="BC566" s="55">
        <v>1.2</v>
      </c>
      <c r="BD566" s="55">
        <v>1.5</v>
      </c>
      <c r="BE566" s="11">
        <v>1.45</v>
      </c>
      <c r="BF566" s="4">
        <v>0</v>
      </c>
      <c r="BG566" s="4">
        <v>1.3260000000000001</v>
      </c>
      <c r="BH566" s="4">
        <v>1.3580000000000001</v>
      </c>
      <c r="BI566" s="4">
        <v>1.385</v>
      </c>
      <c r="BJ566" s="14">
        <v>1.63</v>
      </c>
      <c r="BK566" s="14">
        <v>1.258</v>
      </c>
      <c r="BL566" s="4">
        <v>1.321</v>
      </c>
      <c r="BM566" s="17">
        <v>1.877</v>
      </c>
      <c r="BN566" s="4">
        <v>1.643</v>
      </c>
      <c r="BO566" s="4">
        <v>1.569</v>
      </c>
      <c r="BP566" s="4">
        <v>1.6759999999999999</v>
      </c>
      <c r="BQ566" s="4">
        <v>1.615</v>
      </c>
      <c r="BR566" s="4">
        <v>1.1459999999999999</v>
      </c>
      <c r="BS566" s="55">
        <v>0.98899999999999999</v>
      </c>
      <c r="BT566" s="4">
        <v>1.1040000000000001</v>
      </c>
      <c r="BU566" s="4">
        <v>0</v>
      </c>
      <c r="BV566" s="4">
        <v>2.7879999999999998</v>
      </c>
      <c r="BW566" s="4">
        <v>1.464</v>
      </c>
      <c r="BX566" s="4">
        <v>1.5720000000000001</v>
      </c>
      <c r="BY566" s="4">
        <v>1.3879999999999999</v>
      </c>
      <c r="BZ566" s="55">
        <v>1.63</v>
      </c>
      <c r="CA566" s="55">
        <v>1.28</v>
      </c>
      <c r="CB566" s="55">
        <v>1.52</v>
      </c>
      <c r="CC566" s="55">
        <v>1.1200000000000001</v>
      </c>
      <c r="CD566" s="55">
        <v>1.3</v>
      </c>
      <c r="CE566" s="55">
        <v>1.4</v>
      </c>
      <c r="CF566" s="55">
        <v>1.6</v>
      </c>
      <c r="CG566" s="4">
        <v>1.92</v>
      </c>
      <c r="CH566" s="4">
        <v>1.9</v>
      </c>
      <c r="CI566" s="4">
        <v>1.83</v>
      </c>
      <c r="CJ566" s="34">
        <v>1.5</v>
      </c>
      <c r="CK566" s="34">
        <v>1.8</v>
      </c>
      <c r="CL566" s="43">
        <v>0</v>
      </c>
      <c r="CM566" s="4">
        <v>0</v>
      </c>
      <c r="CN566" s="53">
        <v>1.3</v>
      </c>
      <c r="CO566" s="54">
        <v>1.4</v>
      </c>
      <c r="CP566" s="54">
        <v>1.78</v>
      </c>
      <c r="CQ566" s="4">
        <v>1.2</v>
      </c>
    </row>
    <row r="567" spans="1:95" s="55" customFormat="1" x14ac:dyDescent="0.35">
      <c r="A567" s="55">
        <v>566</v>
      </c>
      <c r="B567" s="55" t="s">
        <v>87</v>
      </c>
      <c r="C567" s="27" t="s">
        <v>279</v>
      </c>
      <c r="D567" s="50" t="s">
        <v>93</v>
      </c>
      <c r="E567" s="33" t="s">
        <v>89</v>
      </c>
      <c r="F567" s="4">
        <f>IFERROR(AVERAGEIF(Table1[[#This Row],[2019-Apr]:[2025-July]],"&lt;&gt;0"),0)</f>
        <v>2.3787083333333334</v>
      </c>
      <c r="G567" s="4">
        <f ca="1">IFERROR(AVERAGEIF(OFFSET(Table1[[#This Row],[Status]],0,COUNT(Table1[[#This Row],[2019-May]:[2025-July]]),1,-12),"&lt;&gt;0"),0)</f>
        <v>2.5655555555555556</v>
      </c>
      <c r="H567" s="55">
        <f>IFERROR(SMALL(Table1[[#This Row],[2019-Apr]:[2025-July]],COUNTIF(Table1[[#This Row],[2019-Apr]:[2025-July]],0)+1),0)</f>
        <v>0.92</v>
      </c>
      <c r="I567" s="55">
        <f>IFERROR(MAX(Table1[[#This Row],[2019-Apr]:[2025-July]]),0)</f>
        <v>3.6</v>
      </c>
      <c r="J567" s="4" cm="1">
        <f t="array" ref="J56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1.5395000000000001</v>
      </c>
      <c r="K567" s="4">
        <v>4.5</v>
      </c>
      <c r="L567" s="4">
        <f>IF(Table1[[#This Row],[Standard as per ISO]]&gt;=Table1[[#This Row],[Avg of best 6]],Table1[[#This Row],[Standard as per ISO]],Table1[[#This Row],[Avg of best 6]])</f>
        <v>4.5</v>
      </c>
      <c r="M567" s="4" cm="1">
        <f t="array" ref="M567">IFERROR(LOOKUP(2,1/(Table1[[#This Row],[2019-May]:[2025-July]]&lt;&gt;0),Table1[[#This Row],[2019-May]:[2025-July]]),0)</f>
        <v>3.6</v>
      </c>
      <c r="N567" s="4">
        <f>COUNTIF(Table1[[#This Row],[2019-Apr]:[2025-July]],"&gt;="&amp;Table1[[#This Row],[Target]])</f>
        <v>0</v>
      </c>
      <c r="O567" s="4">
        <f>IF(Table1[[#This Row],[Outliers 2Y]]=0,1,0)</f>
        <v>1</v>
      </c>
      <c r="P567" s="4">
        <f>IF(Table1[[#This Row],[Last value]]&gt;1.5*Table1[[#This Row],[Target]],1,0)</f>
        <v>0</v>
      </c>
      <c r="Q567" s="4">
        <f>IF(AND(1.5*Table1[[#This Row],[Target]]&gt;=Table1[[#This Row],[Last value]],Table1[[#This Row],[Last value]]&gt;Table1[[#This Row],[Target]]),1,0)</f>
        <v>0</v>
      </c>
      <c r="R567" s="4">
        <f>IF(Table1[[#This Row],[Target]]&gt;=Table1[[#This Row],[Last value]],1,0)</f>
        <v>1</v>
      </c>
      <c r="S567" s="4" t="str">
        <f t="shared" si="14"/>
        <v>Green</v>
      </c>
      <c r="T567" s="55">
        <v>0</v>
      </c>
      <c r="U567" s="55">
        <v>0</v>
      </c>
      <c r="V567" s="55">
        <v>0</v>
      </c>
      <c r="W567" s="55">
        <v>0</v>
      </c>
      <c r="X567" s="55">
        <v>0</v>
      </c>
      <c r="Y567" s="55">
        <v>0</v>
      </c>
      <c r="Z567" s="55">
        <v>0</v>
      </c>
      <c r="AA567" s="55">
        <v>1.4</v>
      </c>
      <c r="AB567" s="55">
        <v>0</v>
      </c>
      <c r="AC567" s="55">
        <v>0</v>
      </c>
      <c r="AD567" s="55">
        <v>0</v>
      </c>
      <c r="AE567" s="55">
        <v>0</v>
      </c>
      <c r="AF567" s="55">
        <v>0</v>
      </c>
      <c r="AG567" s="55">
        <v>0</v>
      </c>
      <c r="AH567" s="55">
        <v>0</v>
      </c>
      <c r="AI567" s="55">
        <v>0</v>
      </c>
      <c r="AJ567" s="55">
        <v>0</v>
      </c>
      <c r="AK567" s="55">
        <v>2.06</v>
      </c>
      <c r="AL567" s="55">
        <v>1.9</v>
      </c>
      <c r="AM567" s="55">
        <v>0</v>
      </c>
      <c r="AN567" s="55">
        <v>2.69</v>
      </c>
      <c r="AO567" s="55">
        <v>2.6</v>
      </c>
      <c r="AP567" s="55">
        <v>2.65</v>
      </c>
      <c r="AQ567" s="55">
        <v>0</v>
      </c>
      <c r="AR567" s="8">
        <v>0</v>
      </c>
      <c r="AS567" s="8">
        <v>0</v>
      </c>
      <c r="AT567" s="8">
        <v>0</v>
      </c>
      <c r="AU567" s="50">
        <v>1.97</v>
      </c>
      <c r="AV567" s="50">
        <v>0</v>
      </c>
      <c r="AW567" s="50">
        <v>2.0499999999999998</v>
      </c>
      <c r="AX567" s="50">
        <v>2.52</v>
      </c>
      <c r="AY567" s="50">
        <v>2.0099999999999998</v>
      </c>
      <c r="AZ567" s="50">
        <v>1.9</v>
      </c>
      <c r="BA567" s="50">
        <v>1.9</v>
      </c>
      <c r="BB567" s="50">
        <v>2.6</v>
      </c>
      <c r="BC567" s="55">
        <v>2</v>
      </c>
      <c r="BD567" s="55">
        <v>2.2000000000000002</v>
      </c>
      <c r="BE567" s="11">
        <v>2.5859999999999999</v>
      </c>
      <c r="BF567" s="4">
        <v>0</v>
      </c>
      <c r="BG567" s="4">
        <v>2.04</v>
      </c>
      <c r="BH567" s="4">
        <v>2.2450000000000001</v>
      </c>
      <c r="BI567" s="4">
        <v>2.0249999999999999</v>
      </c>
      <c r="BJ567" s="13">
        <v>0</v>
      </c>
      <c r="BK567" s="13">
        <v>1.6779999999999999</v>
      </c>
      <c r="BL567" s="4">
        <v>1.9339999999999999</v>
      </c>
      <c r="BM567" s="16">
        <v>1.7430000000000001</v>
      </c>
      <c r="BN567" s="4">
        <v>2.0049999999999999</v>
      </c>
      <c r="BO567" s="4">
        <v>3.3519999999999999</v>
      </c>
      <c r="BP567" s="4">
        <v>2.052</v>
      </c>
      <c r="BQ567" s="4">
        <v>2.145</v>
      </c>
      <c r="BR567" s="4">
        <v>2.6920000000000002</v>
      </c>
      <c r="BS567" s="55">
        <v>3.1520000000000001</v>
      </c>
      <c r="BT567" s="4">
        <v>2.7589999999999999</v>
      </c>
      <c r="BU567" s="4">
        <v>2.74</v>
      </c>
      <c r="BV567" s="4">
        <v>1.5960000000000001</v>
      </c>
      <c r="BW567" s="4">
        <v>2.73</v>
      </c>
      <c r="BX567" s="4">
        <v>3.0310000000000001</v>
      </c>
      <c r="BY567" s="4">
        <v>2.613</v>
      </c>
      <c r="BZ567" s="55">
        <v>0</v>
      </c>
      <c r="CA567" s="55">
        <v>2.06</v>
      </c>
      <c r="CB567" s="55">
        <v>2.86</v>
      </c>
      <c r="CC567" s="55">
        <v>2.5499999999999998</v>
      </c>
      <c r="CD567" s="55">
        <v>2.4500000000000002</v>
      </c>
      <c r="CE567" s="55">
        <v>2.7</v>
      </c>
      <c r="CF567" s="55">
        <v>2.5</v>
      </c>
      <c r="CG567" s="4">
        <v>0.92</v>
      </c>
      <c r="CH567" s="4">
        <v>2.86</v>
      </c>
      <c r="CI567" s="4">
        <v>2.87</v>
      </c>
      <c r="CJ567" s="34">
        <v>2.7</v>
      </c>
      <c r="CK567" s="34">
        <v>0</v>
      </c>
      <c r="CL567" s="43">
        <v>2.9</v>
      </c>
      <c r="CM567" s="4">
        <v>2.7</v>
      </c>
      <c r="CN567" s="53">
        <v>0</v>
      </c>
      <c r="CO567" s="54">
        <v>0</v>
      </c>
      <c r="CP567" s="54">
        <v>2.94</v>
      </c>
      <c r="CQ567" s="4">
        <v>3.6</v>
      </c>
    </row>
    <row r="568" spans="1:95" s="55" customFormat="1" x14ac:dyDescent="0.35">
      <c r="A568" s="55">
        <v>567</v>
      </c>
      <c r="B568" s="55" t="s">
        <v>87</v>
      </c>
      <c r="C568" s="27" t="s">
        <v>280</v>
      </c>
      <c r="D568" s="50" t="s">
        <v>93</v>
      </c>
      <c r="E568" s="33" t="s">
        <v>89</v>
      </c>
      <c r="F568" s="4">
        <f>IFERROR(AVERAGEIF(Table1[[#This Row],[2019-Apr]:[2025-July]],"&lt;&gt;0"),0)</f>
        <v>7.3332941176470614</v>
      </c>
      <c r="G568" s="4">
        <f ca="1">IFERROR(AVERAGEIF(OFFSET(Table1[[#This Row],[Status]],0,COUNT(Table1[[#This Row],[2019-May]:[2025-July]]),1,-12),"&lt;&gt;0"),0)</f>
        <v>5.4418181818181823</v>
      </c>
      <c r="H568" s="55">
        <f>IFERROR(SMALL(Table1[[#This Row],[2019-Apr]:[2025-July]],COUNTIF(Table1[[#This Row],[2019-Apr]:[2025-July]],0)+1),0)</f>
        <v>4.12</v>
      </c>
      <c r="I568" s="55">
        <f>IFERROR(MAX(Table1[[#This Row],[2019-Apr]:[2025-July]]),0)</f>
        <v>10.6</v>
      </c>
      <c r="J568" s="4" cm="1">
        <f t="array" ref="J56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4.5884999999999998</v>
      </c>
      <c r="K568" s="4">
        <v>4.5</v>
      </c>
      <c r="L568" s="4">
        <f>IF(Table1[[#This Row],[Standard as per ISO]]&gt;=Table1[[#This Row],[Avg of best 6]],Table1[[#This Row],[Standard as per ISO]],Table1[[#This Row],[Avg of best 6]])</f>
        <v>4.5884999999999998</v>
      </c>
      <c r="M568" s="4" cm="1">
        <f t="array" ref="M568">IFERROR(LOOKUP(2,1/(Table1[[#This Row],[2019-May]:[2025-July]]&lt;&gt;0),Table1[[#This Row],[2019-May]:[2025-July]]),0)</f>
        <v>6.2</v>
      </c>
      <c r="N568" s="4">
        <f>COUNTIF(Table1[[#This Row],[2019-Apr]:[2025-July]],"&gt;="&amp;Table1[[#This Row],[Target]])</f>
        <v>66</v>
      </c>
      <c r="O568" s="4">
        <f>IF(Table1[[#This Row],[Outliers 2Y]]=0,1,0)</f>
        <v>0</v>
      </c>
      <c r="P568" s="4">
        <f>IF(Table1[[#This Row],[Last value]]&gt;1.5*Table1[[#This Row],[Target]],1,0)</f>
        <v>0</v>
      </c>
      <c r="Q568" s="4">
        <f>IF(AND(1.5*Table1[[#This Row],[Target]]&gt;=Table1[[#This Row],[Last value]],Table1[[#This Row],[Last value]]&gt;Table1[[#This Row],[Target]]),1,0)</f>
        <v>1</v>
      </c>
      <c r="R568" s="4">
        <f>IF(Table1[[#This Row],[Target]]&gt;=Table1[[#This Row],[Last value]],1,0)</f>
        <v>0</v>
      </c>
      <c r="S568" s="4" t="str">
        <f t="shared" si="14"/>
        <v>Yellow</v>
      </c>
      <c r="T568" s="55">
        <v>0</v>
      </c>
      <c r="U568" s="55">
        <v>8.01</v>
      </c>
      <c r="V568" s="55">
        <v>8.26</v>
      </c>
      <c r="W568" s="55">
        <v>7.7</v>
      </c>
      <c r="X568" s="55">
        <v>9.14</v>
      </c>
      <c r="Y568" s="55">
        <v>6.79</v>
      </c>
      <c r="Z568" s="55">
        <v>7.5</v>
      </c>
      <c r="AA568" s="55">
        <v>8.6</v>
      </c>
      <c r="AB568" s="55">
        <v>7.31</v>
      </c>
      <c r="AC568" s="55">
        <v>8.8000000000000007</v>
      </c>
      <c r="AD568" s="55">
        <v>9.49</v>
      </c>
      <c r="AE568" s="55">
        <v>9.9</v>
      </c>
      <c r="AF568" s="55">
        <v>6.7</v>
      </c>
      <c r="AG568" s="55">
        <v>9.14</v>
      </c>
      <c r="AH568" s="55">
        <v>8.6999999999999993</v>
      </c>
      <c r="AI568" s="55">
        <v>9.1</v>
      </c>
      <c r="AJ568" s="55">
        <v>8.3000000000000007</v>
      </c>
      <c r="AK568" s="55">
        <v>9.86</v>
      </c>
      <c r="AL568" s="55">
        <v>8.6300000000000008</v>
      </c>
      <c r="AM568" s="55">
        <v>0</v>
      </c>
      <c r="AN568" s="55">
        <v>0</v>
      </c>
      <c r="AO568" s="55">
        <v>8.2899999999999991</v>
      </c>
      <c r="AP568" s="55">
        <v>10.5</v>
      </c>
      <c r="AQ568" s="55">
        <v>10.6</v>
      </c>
      <c r="AR568" s="8">
        <v>0</v>
      </c>
      <c r="AS568" s="8">
        <v>10.4</v>
      </c>
      <c r="AT568" s="8">
        <v>0</v>
      </c>
      <c r="AU568" s="50">
        <v>8.32</v>
      </c>
      <c r="AV568" s="50">
        <v>6.93</v>
      </c>
      <c r="AW568" s="50">
        <v>9.32</v>
      </c>
      <c r="AX568" s="50">
        <v>9.43</v>
      </c>
      <c r="AY568" s="50">
        <v>10.3</v>
      </c>
      <c r="AZ568" s="50">
        <v>9.9</v>
      </c>
      <c r="BA568" s="50">
        <v>8.3000000000000007</v>
      </c>
      <c r="BB568" s="50">
        <v>8.5</v>
      </c>
      <c r="BC568" s="55">
        <v>9.6999999999999993</v>
      </c>
      <c r="BD568" s="55">
        <v>8.4</v>
      </c>
      <c r="BE568" s="11">
        <v>8.2780000000000005</v>
      </c>
      <c r="BF568" s="4">
        <v>0</v>
      </c>
      <c r="BG568" s="4">
        <v>0</v>
      </c>
      <c r="BH568" s="4">
        <v>8.9220000000000006</v>
      </c>
      <c r="BI568" s="4">
        <v>9.0660000000000007</v>
      </c>
      <c r="BJ568" s="13">
        <v>10.43</v>
      </c>
      <c r="BK568" s="13">
        <v>7.7279999999999998</v>
      </c>
      <c r="BL568" s="4">
        <v>8.41</v>
      </c>
      <c r="BM568" s="16">
        <v>4.2889999999999997</v>
      </c>
      <c r="BN568" s="4">
        <v>4.7089999999999996</v>
      </c>
      <c r="BO568" s="4">
        <v>4.7530000000000001</v>
      </c>
      <c r="BP568" s="4">
        <v>4.8600000000000003</v>
      </c>
      <c r="BQ568" s="4">
        <v>4.9509999999999996</v>
      </c>
      <c r="BR568" s="4">
        <v>5.0529999999999999</v>
      </c>
      <c r="BS568" s="55">
        <v>5.2</v>
      </c>
      <c r="BT568" s="4">
        <v>4.9610000000000003</v>
      </c>
      <c r="BU568" s="4">
        <v>5.1059999999999999</v>
      </c>
      <c r="BV568" s="4">
        <v>5.1820000000000004</v>
      </c>
      <c r="BW568" s="4">
        <v>5.7489999999999997</v>
      </c>
      <c r="BX568" s="4">
        <v>5.7249999999999996</v>
      </c>
      <c r="BY568" s="4">
        <v>6.1920000000000002</v>
      </c>
      <c r="BZ568" s="55">
        <v>6.54</v>
      </c>
      <c r="CA568" s="55">
        <v>6.05</v>
      </c>
      <c r="CB568" s="55">
        <v>8.7100000000000009</v>
      </c>
      <c r="CC568" s="55">
        <v>5.61</v>
      </c>
      <c r="CD568" s="55">
        <v>5.31</v>
      </c>
      <c r="CE568" s="19">
        <v>4.8</v>
      </c>
      <c r="CF568" s="19">
        <v>5.8</v>
      </c>
      <c r="CG568" s="4">
        <v>6.61</v>
      </c>
      <c r="CH568" s="4">
        <v>4.12</v>
      </c>
      <c r="CI568" s="4">
        <v>5.43</v>
      </c>
      <c r="CJ568" s="34">
        <v>5.7</v>
      </c>
      <c r="CK568" s="34">
        <v>5.4</v>
      </c>
      <c r="CL568" s="43">
        <v>0</v>
      </c>
      <c r="CM568" s="4">
        <v>5.2</v>
      </c>
      <c r="CN568" s="53">
        <v>5.7</v>
      </c>
      <c r="CO568" s="54">
        <v>5.6</v>
      </c>
      <c r="CP568" s="54">
        <v>5.5</v>
      </c>
      <c r="CQ568" s="4">
        <v>6.2</v>
      </c>
    </row>
    <row r="569" spans="1:95" s="55" customFormat="1" x14ac:dyDescent="0.35">
      <c r="A569" s="55">
        <v>568</v>
      </c>
      <c r="B569" s="55" t="s">
        <v>87</v>
      </c>
      <c r="C569" s="27" t="s">
        <v>281</v>
      </c>
      <c r="D569" s="50" t="s">
        <v>93</v>
      </c>
      <c r="E569" s="33" t="s">
        <v>89</v>
      </c>
      <c r="F569" s="4">
        <f>IFERROR(AVERAGEIF(Table1[[#This Row],[2019-Apr]:[2025-July]],"&lt;&gt;0"),0)</f>
        <v>7.3484130434782626</v>
      </c>
      <c r="G569" s="4">
        <f ca="1">IFERROR(AVERAGEIF(OFFSET(Table1[[#This Row],[Status]],0,COUNT(Table1[[#This Row],[2019-May]:[2025-July]]),1,-12),"&lt;&gt;0"),0)</f>
        <v>4.5166666666666675</v>
      </c>
      <c r="H569" s="55">
        <f>IFERROR(SMALL(Table1[[#This Row],[2019-Apr]:[2025-July]],COUNTIF(Table1[[#This Row],[2019-Apr]:[2025-July]],0)+1),0)</f>
        <v>1.9</v>
      </c>
      <c r="I569" s="55">
        <f>IFERROR(MAX(Table1[[#This Row],[2019-Apr]:[2025-July]]),0)</f>
        <v>20.6</v>
      </c>
      <c r="J569" s="4" cm="1">
        <f t="array" ref="J56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3.5733333333333328</v>
      </c>
      <c r="K569" s="4">
        <v>4.5</v>
      </c>
      <c r="L569" s="4">
        <f>IF(Table1[[#This Row],[Standard as per ISO]]&gt;=Table1[[#This Row],[Avg of best 6]],Table1[[#This Row],[Standard as per ISO]],Table1[[#This Row],[Avg of best 6]])</f>
        <v>4.5</v>
      </c>
      <c r="M569" s="4" cm="1">
        <f t="array" ref="M569">IFERROR(LOOKUP(2,1/(Table1[[#This Row],[2019-May]:[2025-July]]&lt;&gt;0),Table1[[#This Row],[2019-May]:[2025-July]]),0)</f>
        <v>3.6</v>
      </c>
      <c r="N569" s="4">
        <f>COUNTIF(Table1[[#This Row],[2019-Apr]:[2025-July]],"&gt;="&amp;Table1[[#This Row],[Target]])</f>
        <v>34</v>
      </c>
      <c r="O569" s="4">
        <f>IF(Table1[[#This Row],[Outliers 2Y]]=0,1,0)</f>
        <v>0</v>
      </c>
      <c r="P569" s="4">
        <f>IF(Table1[[#This Row],[Last value]]&gt;1.5*Table1[[#This Row],[Target]],1,0)</f>
        <v>0</v>
      </c>
      <c r="Q569" s="4">
        <f>IF(AND(1.5*Table1[[#This Row],[Target]]&gt;=Table1[[#This Row],[Last value]],Table1[[#This Row],[Last value]]&gt;Table1[[#This Row],[Target]]),1,0)</f>
        <v>0</v>
      </c>
      <c r="R569" s="4">
        <f>IF(Table1[[#This Row],[Target]]&gt;=Table1[[#This Row],[Last value]],1,0)</f>
        <v>1</v>
      </c>
      <c r="S569" s="4" t="str">
        <f t="shared" si="14"/>
        <v>Green</v>
      </c>
      <c r="T569" s="55">
        <v>0</v>
      </c>
      <c r="U569" s="55">
        <v>0</v>
      </c>
      <c r="V569" s="55">
        <v>0</v>
      </c>
      <c r="W569" s="55">
        <v>0</v>
      </c>
      <c r="X569" s="55">
        <v>0</v>
      </c>
      <c r="Y569" s="55">
        <v>9.64</v>
      </c>
      <c r="Z569" s="55">
        <v>0</v>
      </c>
      <c r="AA569" s="55">
        <v>0</v>
      </c>
      <c r="AB569" s="55">
        <v>0</v>
      </c>
      <c r="AC569" s="55">
        <v>0</v>
      </c>
      <c r="AD569" s="55">
        <v>0</v>
      </c>
      <c r="AE569" s="55">
        <v>0</v>
      </c>
      <c r="AF569" s="55">
        <v>0</v>
      </c>
      <c r="AG569" s="55">
        <v>0</v>
      </c>
      <c r="AH569" s="55">
        <v>0</v>
      </c>
      <c r="AI569" s="55">
        <v>0</v>
      </c>
      <c r="AJ569" s="55">
        <v>0</v>
      </c>
      <c r="AK569" s="55">
        <v>20.6</v>
      </c>
      <c r="AL569" s="55">
        <v>0</v>
      </c>
      <c r="AM569" s="55">
        <v>20.3</v>
      </c>
      <c r="AN569" s="55">
        <v>9.6</v>
      </c>
      <c r="AO569" s="55">
        <v>0</v>
      </c>
      <c r="AP569" s="55">
        <v>12.4</v>
      </c>
      <c r="AQ569" s="55">
        <v>0</v>
      </c>
      <c r="AR569" s="8">
        <v>0</v>
      </c>
      <c r="AS569" s="8">
        <v>0</v>
      </c>
      <c r="AT569" s="8">
        <v>0</v>
      </c>
      <c r="AU569" s="50">
        <v>9.93</v>
      </c>
      <c r="AV569" s="50">
        <v>0</v>
      </c>
      <c r="AW569" s="50">
        <v>14.6</v>
      </c>
      <c r="AX569" s="50">
        <v>14.2</v>
      </c>
      <c r="AY569" s="50">
        <v>0</v>
      </c>
      <c r="AZ569" s="50">
        <v>10.7</v>
      </c>
      <c r="BA569" s="50">
        <v>10.9</v>
      </c>
      <c r="BB569" s="50">
        <v>9.9</v>
      </c>
      <c r="BC569" s="50">
        <v>0</v>
      </c>
      <c r="BD569" s="55">
        <v>12.3</v>
      </c>
      <c r="BE569" s="11">
        <v>13.15</v>
      </c>
      <c r="BF569" s="4">
        <v>0</v>
      </c>
      <c r="BG569" s="4">
        <v>11.77</v>
      </c>
      <c r="BH569" s="4">
        <v>11.18</v>
      </c>
      <c r="BI569" s="4">
        <v>4.6529999999999996</v>
      </c>
      <c r="BJ569" s="14">
        <v>1.9</v>
      </c>
      <c r="BK569" s="14">
        <v>6.26</v>
      </c>
      <c r="BL569" s="4">
        <v>5.883</v>
      </c>
      <c r="BM569" s="17">
        <v>5.69</v>
      </c>
      <c r="BN569" s="4">
        <v>5.1749999999999998</v>
      </c>
      <c r="BO569" s="4">
        <v>4.351</v>
      </c>
      <c r="BP569" s="4">
        <v>4.4340000000000002</v>
      </c>
      <c r="BQ569" s="4">
        <v>4.3639999999999999</v>
      </c>
      <c r="BR569" s="4">
        <v>4.2949999999999999</v>
      </c>
      <c r="BS569" s="55">
        <v>4.6210000000000004</v>
      </c>
      <c r="BT569" s="4">
        <v>5.5910000000000002</v>
      </c>
      <c r="BU569" s="4">
        <v>0</v>
      </c>
      <c r="BV569" s="4">
        <v>5.1550000000000002</v>
      </c>
      <c r="BW569" s="4">
        <v>4.5599999999999996</v>
      </c>
      <c r="BX569" s="4">
        <v>4.7519999999999998</v>
      </c>
      <c r="BY569" s="4">
        <v>4.3730000000000002</v>
      </c>
      <c r="BZ569" s="55">
        <v>5.26</v>
      </c>
      <c r="CA569" s="55">
        <v>5.42</v>
      </c>
      <c r="CB569" s="55">
        <v>5.37</v>
      </c>
      <c r="CC569" s="55">
        <v>5.59</v>
      </c>
      <c r="CD569" s="55">
        <v>4.91</v>
      </c>
      <c r="CE569" s="19">
        <v>5.2</v>
      </c>
      <c r="CF569" s="19">
        <v>4.5999999999999996</v>
      </c>
      <c r="CG569" s="4">
        <v>4.26</v>
      </c>
      <c r="CH569" s="4">
        <v>4.3099999999999996</v>
      </c>
      <c r="CI569" s="4">
        <v>4.08</v>
      </c>
      <c r="CJ569" s="34">
        <v>4</v>
      </c>
      <c r="CK569" s="34">
        <v>0</v>
      </c>
      <c r="CL569" s="43">
        <v>5.5</v>
      </c>
      <c r="CM569" s="4">
        <v>5.0999999999999996</v>
      </c>
      <c r="CN569" s="53">
        <v>0</v>
      </c>
      <c r="CO569" s="54">
        <v>0</v>
      </c>
      <c r="CP569" s="54">
        <v>3.6</v>
      </c>
      <c r="CQ569" s="4">
        <v>3.6</v>
      </c>
    </row>
    <row r="570" spans="1:95" s="55" customFormat="1" x14ac:dyDescent="0.35">
      <c r="A570" s="55">
        <v>569</v>
      </c>
      <c r="B570" s="55" t="s">
        <v>87</v>
      </c>
      <c r="C570" s="27" t="s">
        <v>282</v>
      </c>
      <c r="D570" s="50" t="s">
        <v>93</v>
      </c>
      <c r="E570" s="33" t="s">
        <v>89</v>
      </c>
      <c r="F570" s="4">
        <f>IFERROR(AVERAGEIF(Table1[[#This Row],[2019-Apr]:[2025-July]],"&lt;&gt;0"),0)</f>
        <v>4.1905686274509799</v>
      </c>
      <c r="G570" s="4">
        <f ca="1">IFERROR(AVERAGEIF(OFFSET(Table1[[#This Row],[Status]],0,COUNT(Table1[[#This Row],[2019-May]:[2025-July]]),1,-12),"&lt;&gt;0"),0)</f>
        <v>3.8277777777777779</v>
      </c>
      <c r="H570" s="55">
        <f>IFERROR(SMALL(Table1[[#This Row],[2019-Apr]:[2025-July]],COUNTIF(Table1[[#This Row],[2019-Apr]:[2025-July]],0)+1),0)</f>
        <v>1.9</v>
      </c>
      <c r="I570" s="55">
        <f>IFERROR(MAX(Table1[[#This Row],[2019-Apr]:[2025-July]]),0)</f>
        <v>6.6619999999999999</v>
      </c>
      <c r="J570" s="4" cm="1">
        <f t="array" ref="J57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2.536</v>
      </c>
      <c r="K570" s="4">
        <v>4.5</v>
      </c>
      <c r="L570" s="4">
        <f>IF(Table1[[#This Row],[Standard as per ISO]]&gt;=Table1[[#This Row],[Avg of best 6]],Table1[[#This Row],[Standard as per ISO]],Table1[[#This Row],[Avg of best 6]])</f>
        <v>4.5</v>
      </c>
      <c r="M570" s="4" cm="1">
        <f t="array" ref="M570">IFERROR(LOOKUP(2,1/(Table1[[#This Row],[2019-May]:[2025-July]]&lt;&gt;0),Table1[[#This Row],[2019-May]:[2025-July]]),0)</f>
        <v>4.0999999999999996</v>
      </c>
      <c r="N570" s="4">
        <f>COUNTIF(Table1[[#This Row],[2019-Apr]:[2025-July]],"&gt;="&amp;Table1[[#This Row],[Target]])</f>
        <v>16</v>
      </c>
      <c r="O570" s="4">
        <f>IF(Table1[[#This Row],[Outliers 2Y]]=0,1,0)</f>
        <v>0</v>
      </c>
      <c r="P570" s="4">
        <f>IF(Table1[[#This Row],[Last value]]&gt;1.5*Table1[[#This Row],[Target]],1,0)</f>
        <v>0</v>
      </c>
      <c r="Q570" s="4">
        <f>IF(AND(1.5*Table1[[#This Row],[Target]]&gt;=Table1[[#This Row],[Last value]],Table1[[#This Row],[Last value]]&gt;Table1[[#This Row],[Target]]),1,0)</f>
        <v>0</v>
      </c>
      <c r="R570" s="4">
        <f>IF(Table1[[#This Row],[Target]]&gt;=Table1[[#This Row],[Last value]],1,0)</f>
        <v>1</v>
      </c>
      <c r="S570" s="4" t="str">
        <f t="shared" si="14"/>
        <v>Green</v>
      </c>
      <c r="T570" s="55">
        <v>0</v>
      </c>
      <c r="U570" s="55">
        <v>0</v>
      </c>
      <c r="V570" s="55">
        <v>0</v>
      </c>
      <c r="W570" s="55">
        <v>0</v>
      </c>
      <c r="X570" s="55">
        <v>6.17</v>
      </c>
      <c r="Y570" s="55">
        <v>5.82</v>
      </c>
      <c r="Z570" s="55">
        <v>5.8</v>
      </c>
      <c r="AA570" s="55">
        <v>0</v>
      </c>
      <c r="AB570" s="55">
        <v>0</v>
      </c>
      <c r="AC570" s="55">
        <v>0</v>
      </c>
      <c r="AD570" s="55">
        <v>5.7</v>
      </c>
      <c r="AE570" s="55">
        <v>4.4000000000000004</v>
      </c>
      <c r="AF570" s="55">
        <v>0</v>
      </c>
      <c r="AG570" s="55">
        <v>4.9000000000000004</v>
      </c>
      <c r="AH570" s="55">
        <v>0</v>
      </c>
      <c r="AI570" s="55">
        <v>0</v>
      </c>
      <c r="AJ570" s="55">
        <v>0</v>
      </c>
      <c r="AK570" s="55">
        <v>0</v>
      </c>
      <c r="AL570" s="55">
        <v>0</v>
      </c>
      <c r="AM570" s="55">
        <v>0</v>
      </c>
      <c r="AN570" s="55">
        <v>0</v>
      </c>
      <c r="AO570" s="55">
        <v>0</v>
      </c>
      <c r="AP570" s="55">
        <v>4.6900000000000004</v>
      </c>
      <c r="AQ570" s="55">
        <v>3.25</v>
      </c>
      <c r="AR570" s="8">
        <v>0</v>
      </c>
      <c r="AS570" s="8">
        <v>0</v>
      </c>
      <c r="AT570" s="8">
        <v>0</v>
      </c>
      <c r="AU570" s="50">
        <v>0</v>
      </c>
      <c r="AV570" s="50">
        <v>4.21</v>
      </c>
      <c r="AW570" s="50">
        <v>6.22</v>
      </c>
      <c r="AX570" s="50">
        <v>2.59</v>
      </c>
      <c r="AY570" s="50">
        <v>3.15</v>
      </c>
      <c r="AZ570" s="50">
        <v>0</v>
      </c>
      <c r="BA570" s="50">
        <v>4.4000000000000004</v>
      </c>
      <c r="BB570" s="50">
        <v>3.8</v>
      </c>
      <c r="BC570" s="55">
        <v>5.2</v>
      </c>
      <c r="BD570" s="55">
        <v>5.9</v>
      </c>
      <c r="BE570" s="11">
        <v>4.9269999999999996</v>
      </c>
      <c r="BF570" s="4">
        <v>0</v>
      </c>
      <c r="BG570" s="4">
        <v>4.5819999999999999</v>
      </c>
      <c r="BH570" s="4">
        <v>3.49</v>
      </c>
      <c r="BI570" s="4">
        <v>3.2090000000000001</v>
      </c>
      <c r="BJ570" s="13">
        <v>1.9</v>
      </c>
      <c r="BK570" s="13">
        <v>3.5830000000000002</v>
      </c>
      <c r="BL570" s="4">
        <v>4.1929999999999996</v>
      </c>
      <c r="BM570" s="16">
        <v>4.6349999999999998</v>
      </c>
      <c r="BN570" s="4">
        <v>4.0250000000000004</v>
      </c>
      <c r="BO570" s="4">
        <v>4.2270000000000003</v>
      </c>
      <c r="BP570" s="4">
        <v>3.68</v>
      </c>
      <c r="BQ570" s="4">
        <v>4.5</v>
      </c>
      <c r="BR570" s="4">
        <v>2.6509999999999998</v>
      </c>
      <c r="BS570" s="55">
        <v>2.5459999999999998</v>
      </c>
      <c r="BT570" s="4">
        <v>3.129</v>
      </c>
      <c r="BU570" s="4">
        <v>3.8420000000000001</v>
      </c>
      <c r="BV570" s="4">
        <v>3.6909999999999998</v>
      </c>
      <c r="BW570" s="4">
        <v>6.07</v>
      </c>
      <c r="BX570" s="4">
        <v>6.6619999999999999</v>
      </c>
      <c r="BY570" s="4">
        <v>4.617</v>
      </c>
      <c r="BZ570" s="55">
        <v>3.26</v>
      </c>
      <c r="CA570" s="55">
        <v>3.45</v>
      </c>
      <c r="CB570" s="55">
        <v>4.0999999999999996</v>
      </c>
      <c r="CC570" s="55">
        <v>4.17</v>
      </c>
      <c r="CD570" s="55">
        <v>3.83</v>
      </c>
      <c r="CE570" s="19">
        <v>2.4</v>
      </c>
      <c r="CF570" s="19">
        <v>3.7</v>
      </c>
      <c r="CG570" s="4">
        <v>4</v>
      </c>
      <c r="CH570" s="4">
        <v>3.4</v>
      </c>
      <c r="CI570" s="4">
        <v>3.85</v>
      </c>
      <c r="CJ570" s="34">
        <v>4.3</v>
      </c>
      <c r="CK570" s="34">
        <v>4.2</v>
      </c>
      <c r="CL570" s="43">
        <v>4.2</v>
      </c>
      <c r="CM570" s="4">
        <v>0</v>
      </c>
      <c r="CN570" s="53">
        <v>4.4000000000000004</v>
      </c>
      <c r="CO570" s="54">
        <v>0</v>
      </c>
      <c r="CP570" s="54">
        <v>0</v>
      </c>
      <c r="CQ570" s="4">
        <v>4.0999999999999996</v>
      </c>
    </row>
    <row r="571" spans="1:95" s="55" customFormat="1" x14ac:dyDescent="0.35">
      <c r="A571" s="55">
        <v>570</v>
      </c>
      <c r="B571" s="55" t="s">
        <v>87</v>
      </c>
      <c r="C571" s="27" t="s">
        <v>283</v>
      </c>
      <c r="D571" s="50" t="s">
        <v>93</v>
      </c>
      <c r="E571" s="33" t="s">
        <v>89</v>
      </c>
      <c r="F571" s="4">
        <f>IFERROR(AVERAGEIF(Table1[[#This Row],[2019-Apr]:[2025-July]],"&lt;&gt;0"),0)</f>
        <v>6.0946346153846154</v>
      </c>
      <c r="G571" s="4">
        <f ca="1">IFERROR(AVERAGEIF(OFFSET(Table1[[#This Row],[Status]],0,COUNT(Table1[[#This Row],[2019-May]:[2025-July]]),1,-12),"&lt;&gt;0"),0)</f>
        <v>3.1212500000000003</v>
      </c>
      <c r="H571" s="55">
        <f>IFERROR(SMALL(Table1[[#This Row],[2019-Apr]:[2025-July]],COUNTIF(Table1[[#This Row],[2019-Apr]:[2025-July]],0)+1),0)</f>
        <v>1.87</v>
      </c>
      <c r="I571" s="55">
        <f>IFERROR(MAX(Table1[[#This Row],[2019-Apr]:[2025-July]]),0)</f>
        <v>10.18</v>
      </c>
      <c r="J571" s="4" cm="1">
        <f t="array" ref="J57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2.0849999999999995</v>
      </c>
      <c r="K571" s="4">
        <v>4.5</v>
      </c>
      <c r="L571" s="4">
        <f>IF(Table1[[#This Row],[Standard as per ISO]]&gt;=Table1[[#This Row],[Avg of best 6]],Table1[[#This Row],[Standard as per ISO]],Table1[[#This Row],[Avg of best 6]])</f>
        <v>4.5</v>
      </c>
      <c r="M571" s="4" cm="1">
        <f t="array" ref="M571">IFERROR(LOOKUP(2,1/(Table1[[#This Row],[2019-May]:[2025-July]]&lt;&gt;0),Table1[[#This Row],[2019-May]:[2025-July]]),0)</f>
        <v>2.2999999999999998</v>
      </c>
      <c r="N571" s="4">
        <f>COUNTIF(Table1[[#This Row],[2019-Apr]:[2025-July]],"&gt;="&amp;Table1[[#This Row],[Target]])</f>
        <v>34</v>
      </c>
      <c r="O571" s="4">
        <f>IF(Table1[[#This Row],[Outliers 2Y]]=0,1,0)</f>
        <v>0</v>
      </c>
      <c r="P571" s="4">
        <f>IF(Table1[[#This Row],[Last value]]&gt;1.5*Table1[[#This Row],[Target]],1,0)</f>
        <v>0</v>
      </c>
      <c r="Q571" s="4">
        <f>IF(AND(1.5*Table1[[#This Row],[Target]]&gt;=Table1[[#This Row],[Last value]],Table1[[#This Row],[Last value]]&gt;Table1[[#This Row],[Target]]),1,0)</f>
        <v>0</v>
      </c>
      <c r="R571" s="4">
        <f>IF(Table1[[#This Row],[Target]]&gt;=Table1[[#This Row],[Last value]],1,0)</f>
        <v>1</v>
      </c>
      <c r="S571" s="4" t="str">
        <f t="shared" si="14"/>
        <v>Green</v>
      </c>
      <c r="T571" s="55">
        <v>0</v>
      </c>
      <c r="U571" s="55">
        <v>0</v>
      </c>
      <c r="V571" s="55">
        <v>0</v>
      </c>
      <c r="W571" s="55">
        <v>0</v>
      </c>
      <c r="X571" s="55">
        <v>0</v>
      </c>
      <c r="Y571" s="55">
        <v>4.8</v>
      </c>
      <c r="Z571" s="55">
        <v>0</v>
      </c>
      <c r="AA571" s="55">
        <v>5</v>
      </c>
      <c r="AB571" s="55">
        <v>7.58</v>
      </c>
      <c r="AC571" s="55">
        <v>4.79</v>
      </c>
      <c r="AD571" s="55">
        <v>0</v>
      </c>
      <c r="AE571" s="55">
        <v>0</v>
      </c>
      <c r="AF571" s="55">
        <v>6.7</v>
      </c>
      <c r="AG571" s="55">
        <v>0</v>
      </c>
      <c r="AH571" s="55">
        <v>8.3000000000000007</v>
      </c>
      <c r="AI571" s="55">
        <v>2.1</v>
      </c>
      <c r="AJ571" s="55">
        <v>9.44</v>
      </c>
      <c r="AK571" s="55">
        <v>8.83</v>
      </c>
      <c r="AL571" s="55">
        <v>8.36</v>
      </c>
      <c r="AM571" s="55">
        <v>0</v>
      </c>
      <c r="AN571" s="55">
        <v>3.11</v>
      </c>
      <c r="AO571" s="55">
        <v>7.46</v>
      </c>
      <c r="AP571" s="55">
        <v>0</v>
      </c>
      <c r="AQ571" s="55">
        <v>0</v>
      </c>
      <c r="AR571" s="8">
        <v>7.85</v>
      </c>
      <c r="AS571" s="8">
        <v>9.33</v>
      </c>
      <c r="AT571" s="8">
        <v>0</v>
      </c>
      <c r="AU571" s="50">
        <v>7.77</v>
      </c>
      <c r="AV571" s="50">
        <v>0</v>
      </c>
      <c r="AW571" s="50">
        <v>9.4</v>
      </c>
      <c r="AX571" s="50">
        <v>9.1999999999999993</v>
      </c>
      <c r="AY571" s="50">
        <v>7.04</v>
      </c>
      <c r="AZ571" s="50">
        <v>2.2799999999999998</v>
      </c>
      <c r="BA571" s="50">
        <v>4.2</v>
      </c>
      <c r="BB571" s="50">
        <v>6.4</v>
      </c>
      <c r="BC571" s="55">
        <v>6</v>
      </c>
      <c r="BD571" s="55">
        <v>0</v>
      </c>
      <c r="BE571" s="11">
        <v>0</v>
      </c>
      <c r="BF571" s="4">
        <v>0</v>
      </c>
      <c r="BG571" s="4">
        <v>6.6609999999999996</v>
      </c>
      <c r="BH571" s="4">
        <v>7.49</v>
      </c>
      <c r="BI571" s="4">
        <v>5.6989999999999998</v>
      </c>
      <c r="BJ571" s="14">
        <v>8.3829999999999991</v>
      </c>
      <c r="BK571" s="14">
        <v>6.633</v>
      </c>
      <c r="BL571" s="4">
        <v>8.9559999999999995</v>
      </c>
      <c r="BM571" s="17">
        <v>6.9969999999999999</v>
      </c>
      <c r="BN571" s="4">
        <v>8.4570000000000007</v>
      </c>
      <c r="BO571" s="4">
        <v>9.5739999999999998</v>
      </c>
      <c r="BP571" s="4">
        <v>9.4879999999999995</v>
      </c>
      <c r="BQ571" s="4">
        <v>0</v>
      </c>
      <c r="BR571" s="4">
        <v>8.6</v>
      </c>
      <c r="BS571" s="55">
        <v>7.0129999999999999</v>
      </c>
      <c r="BT571" s="4">
        <v>9.3780000000000001</v>
      </c>
      <c r="BU571" s="4">
        <v>10.18</v>
      </c>
      <c r="BV571" s="4">
        <v>0</v>
      </c>
      <c r="BW571" s="4">
        <v>8.6999999999999993</v>
      </c>
      <c r="BX571" s="4">
        <v>8.3529999999999998</v>
      </c>
      <c r="BY571" s="4">
        <v>2.7090000000000001</v>
      </c>
      <c r="BZ571" s="55">
        <v>0</v>
      </c>
      <c r="CA571" s="55">
        <v>2.61</v>
      </c>
      <c r="CB571" s="55">
        <v>1.96</v>
      </c>
      <c r="CC571" s="55">
        <v>2.91</v>
      </c>
      <c r="CD571" s="55">
        <v>2.96</v>
      </c>
      <c r="CE571" s="19">
        <v>0</v>
      </c>
      <c r="CF571" s="19">
        <v>3.5</v>
      </c>
      <c r="CG571" s="4">
        <v>3.59</v>
      </c>
      <c r="CH571" s="4">
        <v>1.87</v>
      </c>
      <c r="CI571" s="4">
        <v>3.51</v>
      </c>
      <c r="CJ571" s="34">
        <v>2</v>
      </c>
      <c r="CK571" s="34">
        <v>0</v>
      </c>
      <c r="CL571" s="43">
        <v>0</v>
      </c>
      <c r="CM571" s="4">
        <v>3.2</v>
      </c>
      <c r="CN571" s="53">
        <v>0</v>
      </c>
      <c r="CO571" s="54">
        <v>3.7</v>
      </c>
      <c r="CP571" s="54">
        <v>3.6</v>
      </c>
      <c r="CQ571" s="4">
        <v>2.2999999999999998</v>
      </c>
    </row>
    <row r="572" spans="1:95" s="55" customFormat="1" x14ac:dyDescent="0.35">
      <c r="A572" s="55">
        <v>571</v>
      </c>
      <c r="B572" s="55" t="s">
        <v>87</v>
      </c>
      <c r="C572" s="27" t="s">
        <v>284</v>
      </c>
      <c r="D572" s="50" t="s">
        <v>94</v>
      </c>
      <c r="E572" s="33" t="s">
        <v>91</v>
      </c>
      <c r="F572" s="4">
        <f>IFERROR(AVERAGEIF(Table1[[#This Row],[2019-Apr]:[2025-July]],"&lt;&gt;0"),0)</f>
        <v>5.7409756097560969</v>
      </c>
      <c r="G572" s="4">
        <f ca="1">IFERROR(AVERAGEIF(OFFSET(Table1[[#This Row],[Status]],0,COUNT(Table1[[#This Row],[2019-May]:[2025-July]]),1,-12),"&lt;&gt;0"),0)</f>
        <v>2.7149999999999999</v>
      </c>
      <c r="H572" s="55">
        <f>IFERROR(SMALL(Table1[[#This Row],[2019-Apr]:[2025-July]],COUNTIF(Table1[[#This Row],[2019-Apr]:[2025-July]],0)+1),0)</f>
        <v>1.72</v>
      </c>
      <c r="I572" s="55">
        <f>IFERROR(MAX(Table1[[#This Row],[2019-Apr]:[2025-July]]),0)</f>
        <v>11.1</v>
      </c>
      <c r="J572" s="4" cm="1">
        <f t="array" ref="J57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2.3966666666666665</v>
      </c>
      <c r="K572" s="4">
        <v>4.5</v>
      </c>
      <c r="L572" s="4">
        <f>IF(Table1[[#This Row],[Standard as per ISO]]&gt;=Table1[[#This Row],[Avg of best 6]],Table1[[#This Row],[Standard as per ISO]],Table1[[#This Row],[Avg of best 6]])</f>
        <v>4.5</v>
      </c>
      <c r="M572" s="4" cm="1">
        <f t="array" ref="M572">IFERROR(LOOKUP(2,1/(Table1[[#This Row],[2019-May]:[2025-July]]&lt;&gt;0),Table1[[#This Row],[2019-May]:[2025-July]]),0)</f>
        <v>2.4300000000000002</v>
      </c>
      <c r="N572" s="4">
        <f>COUNTIF(Table1[[#This Row],[2019-Apr]:[2025-July]],"&gt;="&amp;Table1[[#This Row],[Target]])</f>
        <v>28</v>
      </c>
      <c r="O572" s="4">
        <f>IF(Table1[[#This Row],[Outliers 2Y]]=0,1,0)</f>
        <v>0</v>
      </c>
      <c r="P572" s="4">
        <f>IF(Table1[[#This Row],[Last value]]&gt;1.5*Table1[[#This Row],[Target]],1,0)</f>
        <v>0</v>
      </c>
      <c r="Q572" s="4">
        <f>IF(AND(1.5*Table1[[#This Row],[Target]]&gt;=Table1[[#This Row],[Last value]],Table1[[#This Row],[Last value]]&gt;Table1[[#This Row],[Target]]),1,0)</f>
        <v>0</v>
      </c>
      <c r="R572" s="4">
        <f>IF(Table1[[#This Row],[Target]]&gt;=Table1[[#This Row],[Last value]],1,0)</f>
        <v>1</v>
      </c>
      <c r="S572" s="4" t="str">
        <f t="shared" si="14"/>
        <v>Green</v>
      </c>
      <c r="T572" s="55">
        <v>0</v>
      </c>
      <c r="U572" s="55">
        <v>4.4400000000000004</v>
      </c>
      <c r="V572" s="55">
        <v>0</v>
      </c>
      <c r="W572" s="55">
        <v>0</v>
      </c>
      <c r="X572" s="55">
        <v>0</v>
      </c>
      <c r="Y572" s="55">
        <v>11.1</v>
      </c>
      <c r="Z572" s="55">
        <v>4.8</v>
      </c>
      <c r="AA572" s="55">
        <v>0</v>
      </c>
      <c r="AB572" s="55">
        <v>5.5</v>
      </c>
      <c r="AC572" s="55">
        <v>5.89</v>
      </c>
      <c r="AD572" s="55">
        <v>7.6</v>
      </c>
      <c r="AE572" s="55">
        <v>0</v>
      </c>
      <c r="AF572" s="55">
        <v>0</v>
      </c>
      <c r="AG572" s="55">
        <v>0</v>
      </c>
      <c r="AH572" s="55">
        <v>4.63</v>
      </c>
      <c r="AI572" s="55">
        <v>0</v>
      </c>
      <c r="AJ572" s="55">
        <v>0</v>
      </c>
      <c r="AK572" s="55">
        <v>8.2200000000000006</v>
      </c>
      <c r="AL572" s="55">
        <v>6.94</v>
      </c>
      <c r="AM572" s="55">
        <v>10.9</v>
      </c>
      <c r="AN572" s="55">
        <v>0</v>
      </c>
      <c r="AO572" s="55">
        <v>8.3000000000000007</v>
      </c>
      <c r="AP572" s="55">
        <v>2.86</v>
      </c>
      <c r="AQ572" s="55">
        <v>2.85</v>
      </c>
      <c r="AR572" s="8">
        <v>0</v>
      </c>
      <c r="AS572" s="8">
        <v>2.9</v>
      </c>
      <c r="AT572" s="8">
        <v>3.52</v>
      </c>
      <c r="AU572" s="50">
        <v>4.16</v>
      </c>
      <c r="AV572" s="50">
        <v>6.31</v>
      </c>
      <c r="AW572" s="50">
        <v>3.58</v>
      </c>
      <c r="AX572" s="50">
        <v>4.79</v>
      </c>
      <c r="AY572" s="50">
        <v>7.18</v>
      </c>
      <c r="AZ572" s="50">
        <v>7.1</v>
      </c>
      <c r="BA572" s="50">
        <v>6.6</v>
      </c>
      <c r="BB572" s="50">
        <v>6</v>
      </c>
      <c r="BC572" s="55">
        <v>5.3</v>
      </c>
      <c r="BD572" s="55">
        <v>0</v>
      </c>
      <c r="BE572" s="11">
        <v>7.1050000000000004</v>
      </c>
      <c r="BF572" s="4">
        <v>0</v>
      </c>
      <c r="BG572" s="4">
        <v>7.6289999999999996</v>
      </c>
      <c r="BH572" s="4">
        <v>0</v>
      </c>
      <c r="BI572" s="4">
        <v>0</v>
      </c>
      <c r="BJ572" s="13">
        <v>4.2039999999999997</v>
      </c>
      <c r="BK572" s="13">
        <v>0</v>
      </c>
      <c r="BL572" s="4">
        <v>7.327</v>
      </c>
      <c r="BM572" s="16">
        <v>0</v>
      </c>
      <c r="BN572" s="4">
        <v>0</v>
      </c>
      <c r="BO572" s="4">
        <v>0</v>
      </c>
      <c r="BP572" s="4">
        <v>7.2069999999999999</v>
      </c>
      <c r="BQ572" s="4">
        <v>0</v>
      </c>
      <c r="BR572" s="4">
        <v>7.7450000000000001</v>
      </c>
      <c r="BS572" s="55">
        <v>0</v>
      </c>
      <c r="BT572" s="4">
        <v>6.9480000000000004</v>
      </c>
      <c r="BU572" s="4">
        <v>5.66</v>
      </c>
      <c r="BV572" s="4">
        <v>6.5449999999999999</v>
      </c>
      <c r="BW572" s="4">
        <v>6.4359999999999999</v>
      </c>
      <c r="BX572" s="4">
        <v>9.0939999999999994</v>
      </c>
      <c r="BY572" s="4">
        <v>6.34</v>
      </c>
      <c r="BZ572" s="55">
        <v>0</v>
      </c>
      <c r="CA572" s="55">
        <v>2.2000000000000002</v>
      </c>
      <c r="CB572" s="55">
        <v>1.72</v>
      </c>
      <c r="CC572" s="55">
        <v>2.3199999999999998</v>
      </c>
      <c r="CD572" s="55">
        <v>0</v>
      </c>
      <c r="CE572" s="19">
        <v>0</v>
      </c>
      <c r="CF572" s="19">
        <v>3</v>
      </c>
      <c r="CG572" s="4">
        <v>0</v>
      </c>
      <c r="CH572" s="4">
        <v>0</v>
      </c>
      <c r="CI572" s="4">
        <v>2.4300000000000002</v>
      </c>
      <c r="CJ572" s="34">
        <v>0</v>
      </c>
      <c r="CK572" s="34">
        <v>0</v>
      </c>
      <c r="CL572" s="34">
        <v>0</v>
      </c>
      <c r="CM572" s="4">
        <v>0</v>
      </c>
      <c r="CN572" s="53">
        <v>0</v>
      </c>
      <c r="CO572" s="54">
        <v>0</v>
      </c>
      <c r="CP572" s="54">
        <v>0</v>
      </c>
      <c r="CQ572" s="4">
        <v>0</v>
      </c>
    </row>
    <row r="573" spans="1:95" s="55" customFormat="1" x14ac:dyDescent="0.35">
      <c r="A573" s="55">
        <v>572</v>
      </c>
      <c r="B573" s="55" t="s">
        <v>87</v>
      </c>
      <c r="C573" s="27" t="s">
        <v>285</v>
      </c>
      <c r="D573" s="50" t="s">
        <v>94</v>
      </c>
      <c r="E573" s="33" t="s">
        <v>91</v>
      </c>
      <c r="F573" s="4">
        <f>IFERROR(AVERAGEIF(Table1[[#This Row],[2019-Apr]:[2025-July]],"&lt;&gt;0"),0)</f>
        <v>4.7535106382978718</v>
      </c>
      <c r="G573" s="4">
        <f ca="1">IFERROR(AVERAGEIF(OFFSET(Table1[[#This Row],[Status]],0,COUNT(Table1[[#This Row],[2019-May]:[2025-July]]),1,-12),"&lt;&gt;0"),0)</f>
        <v>3.2800000000000002</v>
      </c>
      <c r="H573" s="55">
        <f>IFERROR(SMALL(Table1[[#This Row],[2019-Apr]:[2025-July]],COUNTIF(Table1[[#This Row],[2019-Apr]:[2025-July]],0)+1),0)</f>
        <v>2.06</v>
      </c>
      <c r="I573" s="55">
        <f>IFERROR(MAX(Table1[[#This Row],[2019-Apr]:[2025-July]]),0)</f>
        <v>20.8</v>
      </c>
      <c r="J573" s="4" cm="1">
        <f t="array" ref="J57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2.4536666666666664</v>
      </c>
      <c r="K573" s="4">
        <v>4.5</v>
      </c>
      <c r="L573" s="4">
        <f>IF(Table1[[#This Row],[Standard as per ISO]]&gt;=Table1[[#This Row],[Avg of best 6]],Table1[[#This Row],[Standard as per ISO]],Table1[[#This Row],[Avg of best 6]])</f>
        <v>4.5</v>
      </c>
      <c r="M573" s="4" cm="1">
        <f t="array" ref="M573">IFERROR(LOOKUP(2,1/(Table1[[#This Row],[2019-May]:[2025-July]]&lt;&gt;0),Table1[[#This Row],[2019-May]:[2025-July]]),0)</f>
        <v>4.3600000000000003</v>
      </c>
      <c r="N573" s="4">
        <f>COUNTIF(Table1[[#This Row],[2019-Apr]:[2025-July]],"&gt;="&amp;Table1[[#This Row],[Target]])</f>
        <v>21</v>
      </c>
      <c r="O573" s="4">
        <f>IF(Table1[[#This Row],[Outliers 2Y]]=0,1,0)</f>
        <v>0</v>
      </c>
      <c r="P573" s="4">
        <f>IF(Table1[[#This Row],[Last value]]&gt;1.5*Table1[[#This Row],[Target]],1,0)</f>
        <v>0</v>
      </c>
      <c r="Q573" s="4">
        <f>IF(AND(1.5*Table1[[#This Row],[Target]]&gt;=Table1[[#This Row],[Last value]],Table1[[#This Row],[Last value]]&gt;Table1[[#This Row],[Target]]),1,0)</f>
        <v>0</v>
      </c>
      <c r="R573" s="4">
        <f>IF(Table1[[#This Row],[Target]]&gt;=Table1[[#This Row],[Last value]],1,0)</f>
        <v>1</v>
      </c>
      <c r="S573" s="4" t="str">
        <f t="shared" si="14"/>
        <v>Green</v>
      </c>
      <c r="T573" s="55">
        <v>0</v>
      </c>
      <c r="U573" s="55">
        <v>0</v>
      </c>
      <c r="V573" s="55">
        <v>0</v>
      </c>
      <c r="W573" s="55">
        <v>0</v>
      </c>
      <c r="X573" s="55">
        <v>0</v>
      </c>
      <c r="Y573" s="55">
        <v>5</v>
      </c>
      <c r="Z573" s="55">
        <v>5.0999999999999996</v>
      </c>
      <c r="AA573" s="55">
        <v>0</v>
      </c>
      <c r="AB573" s="55">
        <v>5.0999999999999996</v>
      </c>
      <c r="AC573" s="55">
        <v>4.1500000000000004</v>
      </c>
      <c r="AD573" s="55">
        <v>4.5</v>
      </c>
      <c r="AE573" s="55">
        <v>3.8</v>
      </c>
      <c r="AF573" s="55">
        <v>4.9000000000000004</v>
      </c>
      <c r="AG573" s="55">
        <v>0</v>
      </c>
      <c r="AH573" s="55">
        <v>4.5</v>
      </c>
      <c r="AI573" s="55">
        <v>0</v>
      </c>
      <c r="AJ573" s="55">
        <v>4.7</v>
      </c>
      <c r="AK573" s="55">
        <v>4.17</v>
      </c>
      <c r="AL573" s="55">
        <v>5.14</v>
      </c>
      <c r="AM573" s="55">
        <v>5.86</v>
      </c>
      <c r="AN573" s="55">
        <v>0</v>
      </c>
      <c r="AO573" s="55">
        <v>7.4</v>
      </c>
      <c r="AP573" s="55">
        <v>7.22</v>
      </c>
      <c r="AQ573" s="55">
        <v>6.33</v>
      </c>
      <c r="AR573" s="8">
        <v>0</v>
      </c>
      <c r="AS573" s="8">
        <v>4.6100000000000003</v>
      </c>
      <c r="AT573" s="8">
        <v>20.8</v>
      </c>
      <c r="AU573" s="50">
        <v>4.4800000000000004</v>
      </c>
      <c r="AV573" s="50">
        <v>4.5599999999999996</v>
      </c>
      <c r="AW573" s="50">
        <v>3.75</v>
      </c>
      <c r="AX573" s="50">
        <v>6.96</v>
      </c>
      <c r="AY573" s="50">
        <v>2.92</v>
      </c>
      <c r="AZ573" s="50">
        <v>4.1399999999999997</v>
      </c>
      <c r="BA573" s="50">
        <v>3.2</v>
      </c>
      <c r="BB573" s="50">
        <v>3.3</v>
      </c>
      <c r="BC573" s="55">
        <v>3.4</v>
      </c>
      <c r="BD573" s="55">
        <v>0</v>
      </c>
      <c r="BE573" s="11">
        <v>3.5569999999999999</v>
      </c>
      <c r="BF573" s="4">
        <v>0</v>
      </c>
      <c r="BG573" s="4">
        <v>5.1310000000000002</v>
      </c>
      <c r="BH573" s="4">
        <v>6.968</v>
      </c>
      <c r="BI573" s="4">
        <v>6.2380000000000004</v>
      </c>
      <c r="BJ573" s="14">
        <v>3.2450000000000001</v>
      </c>
      <c r="BK573" s="14">
        <v>0</v>
      </c>
      <c r="BL573" s="4">
        <v>8.3059999999999992</v>
      </c>
      <c r="BM573" s="17">
        <v>0</v>
      </c>
      <c r="BN573" s="4">
        <v>8.2560000000000002</v>
      </c>
      <c r="BO573" s="4">
        <v>0</v>
      </c>
      <c r="BP573" s="4">
        <v>2.9870000000000001</v>
      </c>
      <c r="BQ573" s="4">
        <v>0</v>
      </c>
      <c r="BR573" s="4">
        <v>3.35</v>
      </c>
      <c r="BS573" s="55">
        <v>3.8420000000000001</v>
      </c>
      <c r="BT573" s="4">
        <v>2.5179999999999998</v>
      </c>
      <c r="BU573" s="4">
        <v>2.5150000000000001</v>
      </c>
      <c r="BV573" s="4">
        <v>2.8210000000000002</v>
      </c>
      <c r="BW573" s="4">
        <v>3.0339999999999998</v>
      </c>
      <c r="BX573" s="4">
        <v>2.7389999999999999</v>
      </c>
      <c r="BY573" s="4">
        <v>3.448</v>
      </c>
      <c r="BZ573" s="55">
        <v>0</v>
      </c>
      <c r="CA573" s="55">
        <v>2.69</v>
      </c>
      <c r="CB573" s="55">
        <v>3.16</v>
      </c>
      <c r="CC573" s="55">
        <v>2.06</v>
      </c>
      <c r="CD573" s="55">
        <v>0</v>
      </c>
      <c r="CE573" s="19">
        <v>0</v>
      </c>
      <c r="CF573" s="19">
        <v>2.2000000000000002</v>
      </c>
      <c r="CG573" s="4">
        <v>0</v>
      </c>
      <c r="CH573" s="4">
        <v>0</v>
      </c>
      <c r="CI573" s="4">
        <v>4.3600000000000003</v>
      </c>
      <c r="CJ573" s="34">
        <v>0</v>
      </c>
      <c r="CK573" s="34">
        <v>0</v>
      </c>
      <c r="CL573" s="34">
        <v>0</v>
      </c>
      <c r="CM573" s="4">
        <v>0</v>
      </c>
      <c r="CN573" s="53">
        <v>0</v>
      </c>
      <c r="CO573" s="54">
        <v>0</v>
      </c>
      <c r="CP573" s="54">
        <v>0</v>
      </c>
      <c r="CQ573" s="4">
        <v>0</v>
      </c>
    </row>
    <row r="574" spans="1:95" s="55" customFormat="1" x14ac:dyDescent="0.35">
      <c r="A574" s="55">
        <v>573</v>
      </c>
      <c r="B574" s="55" t="s">
        <v>87</v>
      </c>
      <c r="C574" s="27" t="s">
        <v>286</v>
      </c>
      <c r="D574" s="50" t="s">
        <v>94</v>
      </c>
      <c r="E574" s="33" t="s">
        <v>91</v>
      </c>
      <c r="F574" s="4">
        <f>IFERROR(AVERAGEIF(Table1[[#This Row],[2019-Apr]:[2025-July]],"&lt;&gt;0"),0)</f>
        <v>2.7746666666666671</v>
      </c>
      <c r="G574" s="4">
        <f ca="1">IFERROR(AVERAGEIF(OFFSET(Table1[[#This Row],[Status]],0,COUNT(Table1[[#This Row],[2019-May]:[2025-July]]),1,-12),"&lt;&gt;0"),0)</f>
        <v>0.42333333333333334</v>
      </c>
      <c r="H574" s="55">
        <f>IFERROR(SMALL(Table1[[#This Row],[2019-Apr]:[2025-July]],COUNTIF(Table1[[#This Row],[2019-Apr]:[2025-July]],0)+1),0)</f>
        <v>0.36</v>
      </c>
      <c r="I574" s="55">
        <f>IFERROR(MAX(Table1[[#This Row],[2019-Apr]:[2025-July]]),0)</f>
        <v>8.1129999999999995</v>
      </c>
      <c r="J574" s="4" cm="1">
        <f t="array" ref="J57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0.46816666666666668</v>
      </c>
      <c r="K574" s="4">
        <v>4.5</v>
      </c>
      <c r="L574" s="4">
        <f>IF(Table1[[#This Row],[Standard as per ISO]]&gt;=Table1[[#This Row],[Avg of best 6]],Table1[[#This Row],[Standard as per ISO]],Table1[[#This Row],[Avg of best 6]])</f>
        <v>4.5</v>
      </c>
      <c r="M574" s="4" cm="1">
        <f t="array" ref="M574">IFERROR(LOOKUP(2,1/(Table1[[#This Row],[2019-May]:[2025-July]]&lt;&gt;0),Table1[[#This Row],[2019-May]:[2025-July]]),0)</f>
        <v>0.41</v>
      </c>
      <c r="N574" s="4">
        <f>COUNTIF(Table1[[#This Row],[2019-Apr]:[2025-July]],"&gt;="&amp;Table1[[#This Row],[Target]])</f>
        <v>1</v>
      </c>
      <c r="O574" s="4">
        <f>IF(Table1[[#This Row],[Outliers 2Y]]=0,1,0)</f>
        <v>0</v>
      </c>
      <c r="P574" s="4">
        <f>IF(Table1[[#This Row],[Last value]]&gt;1.5*Table1[[#This Row],[Target]],1,0)</f>
        <v>0</v>
      </c>
      <c r="Q574" s="4">
        <f>IF(AND(1.5*Table1[[#This Row],[Target]]&gt;=Table1[[#This Row],[Last value]],Table1[[#This Row],[Last value]]&gt;Table1[[#This Row],[Target]]),1,0)</f>
        <v>0</v>
      </c>
      <c r="R574" s="4">
        <f>IF(Table1[[#This Row],[Target]]&gt;=Table1[[#This Row],[Last value]],1,0)</f>
        <v>1</v>
      </c>
      <c r="S574" s="4" t="str">
        <f t="shared" si="14"/>
        <v>Green</v>
      </c>
      <c r="T574" s="55">
        <v>0</v>
      </c>
      <c r="U574" s="55">
        <v>0</v>
      </c>
      <c r="V574" s="55">
        <v>0</v>
      </c>
      <c r="W574" s="55">
        <v>2.8</v>
      </c>
      <c r="X574" s="55">
        <v>0</v>
      </c>
      <c r="Y574" s="55">
        <v>3.7</v>
      </c>
      <c r="Z574" s="55">
        <v>3.51</v>
      </c>
      <c r="AA574" s="55">
        <v>3.9</v>
      </c>
      <c r="AB574" s="55">
        <v>2.6</v>
      </c>
      <c r="AC574" s="55">
        <v>0</v>
      </c>
      <c r="AD574" s="55">
        <v>0</v>
      </c>
      <c r="AE574" s="55">
        <v>0.46</v>
      </c>
      <c r="AF574" s="55">
        <v>3.4</v>
      </c>
      <c r="AG574" s="55">
        <v>1.36</v>
      </c>
      <c r="AH574" s="55">
        <v>0</v>
      </c>
      <c r="AI574" s="55">
        <v>3.25</v>
      </c>
      <c r="AJ574" s="55">
        <v>0</v>
      </c>
      <c r="AK574" s="55">
        <v>0</v>
      </c>
      <c r="AL574" s="55">
        <v>0</v>
      </c>
      <c r="AM574" s="55">
        <v>0</v>
      </c>
      <c r="AN574" s="55">
        <v>4.37</v>
      </c>
      <c r="AO574" s="55">
        <v>3.59</v>
      </c>
      <c r="AP574" s="55">
        <v>4.12</v>
      </c>
      <c r="AQ574" s="55">
        <v>3.38</v>
      </c>
      <c r="AR574" s="8">
        <v>0</v>
      </c>
      <c r="AS574" s="8">
        <v>1.92</v>
      </c>
      <c r="AT574" s="8">
        <v>0</v>
      </c>
      <c r="AU574" s="50">
        <v>0</v>
      </c>
      <c r="AV574" s="50">
        <v>3.26</v>
      </c>
      <c r="AW574" s="50">
        <v>2.9</v>
      </c>
      <c r="AX574" s="50">
        <v>0</v>
      </c>
      <c r="AY574" s="50">
        <v>3.64</v>
      </c>
      <c r="AZ574" s="50">
        <v>2.42</v>
      </c>
      <c r="BA574" s="50">
        <v>3</v>
      </c>
      <c r="BB574" s="50">
        <v>0</v>
      </c>
      <c r="BC574" s="55">
        <v>2.5</v>
      </c>
      <c r="BD574" s="55">
        <v>0</v>
      </c>
      <c r="BE574" s="11">
        <v>3.3919999999999999</v>
      </c>
      <c r="BF574" s="4">
        <v>0</v>
      </c>
      <c r="BG574" s="4">
        <v>0</v>
      </c>
      <c r="BH574" s="4">
        <v>0</v>
      </c>
      <c r="BI574" s="4">
        <v>3.63</v>
      </c>
      <c r="BJ574" s="13">
        <v>8.1129999999999995</v>
      </c>
      <c r="BK574" s="13">
        <v>0.70799999999999996</v>
      </c>
      <c r="BL574" s="4">
        <v>0.59899999999999998</v>
      </c>
      <c r="BM574" s="16">
        <v>0</v>
      </c>
      <c r="BN574" s="4">
        <v>2.9940000000000002</v>
      </c>
      <c r="BO574" s="4">
        <v>0</v>
      </c>
      <c r="BP574" s="4">
        <v>3.5840000000000001</v>
      </c>
      <c r="BQ574" s="4">
        <v>2.2370000000000001</v>
      </c>
      <c r="BR574" s="4">
        <v>0</v>
      </c>
      <c r="BS574" s="55">
        <v>0</v>
      </c>
      <c r="BT574" s="4">
        <v>0</v>
      </c>
      <c r="BU574" s="4">
        <v>0</v>
      </c>
      <c r="BV574" s="4">
        <v>4.4770000000000003</v>
      </c>
      <c r="BW574" s="4">
        <v>0</v>
      </c>
      <c r="BX574" s="4">
        <v>0</v>
      </c>
      <c r="BY574" s="4">
        <v>0</v>
      </c>
      <c r="BZ574" s="55">
        <v>0</v>
      </c>
      <c r="CA574" s="55">
        <v>0</v>
      </c>
      <c r="CB574" s="55">
        <v>0</v>
      </c>
      <c r="CC574" s="55">
        <v>0.48</v>
      </c>
      <c r="CD574" s="55">
        <v>0</v>
      </c>
      <c r="CE574" s="19">
        <v>0.5</v>
      </c>
      <c r="CF574" s="19">
        <v>0</v>
      </c>
      <c r="CG574" s="4">
        <v>0.36</v>
      </c>
      <c r="CH574" s="4">
        <v>0</v>
      </c>
      <c r="CI574" s="4">
        <v>0.41</v>
      </c>
      <c r="CJ574" s="34">
        <v>0</v>
      </c>
      <c r="CK574" s="34">
        <v>0</v>
      </c>
      <c r="CL574" s="34">
        <v>0</v>
      </c>
      <c r="CM574" s="4">
        <v>0</v>
      </c>
      <c r="CN574" s="53">
        <v>0</v>
      </c>
      <c r="CO574" s="54">
        <v>0</v>
      </c>
      <c r="CP574" s="54">
        <v>0</v>
      </c>
      <c r="CQ574" s="4">
        <v>0</v>
      </c>
    </row>
    <row r="575" spans="1:95" s="55" customFormat="1" x14ac:dyDescent="0.35">
      <c r="A575" s="55">
        <v>574</v>
      </c>
      <c r="B575" s="55" t="s">
        <v>87</v>
      </c>
      <c r="C575" s="27" t="s">
        <v>287</v>
      </c>
      <c r="D575" s="50" t="s">
        <v>94</v>
      </c>
      <c r="E575" s="33" t="s">
        <v>91</v>
      </c>
      <c r="F575" s="4">
        <f>IFERROR(AVERAGEIF(Table1[[#This Row],[2019-Apr]:[2025-July]],"&lt;&gt;0"),0)</f>
        <v>3.3714400000000002</v>
      </c>
      <c r="G575" s="4">
        <f ca="1">IFERROR(AVERAGEIF(OFFSET(Table1[[#This Row],[Status]],0,COUNT(Table1[[#This Row],[2019-May]:[2025-July]]),1,-12),"&lt;&gt;0"),0)</f>
        <v>1.6366666666666665</v>
      </c>
      <c r="H575" s="55">
        <f>IFERROR(SMALL(Table1[[#This Row],[2019-Apr]:[2025-July]],COUNTIF(Table1[[#This Row],[2019-Apr]:[2025-July]],0)+1),0)</f>
        <v>0.45400000000000001</v>
      </c>
      <c r="I575" s="55">
        <f>IFERROR(MAX(Table1[[#This Row],[2019-Apr]:[2025-July]]),0)</f>
        <v>10.6</v>
      </c>
      <c r="J575" s="4" cm="1">
        <f t="array" ref="J57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0.85183333333333344</v>
      </c>
      <c r="K575" s="4">
        <v>4.5</v>
      </c>
      <c r="L575" s="4">
        <f>IF(Table1[[#This Row],[Standard as per ISO]]&gt;=Table1[[#This Row],[Avg of best 6]],Table1[[#This Row],[Standard as per ISO]],Table1[[#This Row],[Avg of best 6]])</f>
        <v>4.5</v>
      </c>
      <c r="M575" s="4" cm="1">
        <f t="array" ref="M575">IFERROR(LOOKUP(2,1/(Table1[[#This Row],[2019-May]:[2025-July]]&lt;&gt;0),Table1[[#This Row],[2019-May]:[2025-July]]),0)</f>
        <v>0.55000000000000004</v>
      </c>
      <c r="N575" s="4">
        <f>COUNTIF(Table1[[#This Row],[2019-Apr]:[2025-July]],"&gt;="&amp;Table1[[#This Row],[Target]])</f>
        <v>5</v>
      </c>
      <c r="O575" s="4">
        <f>IF(Table1[[#This Row],[Outliers 2Y]]=0,1,0)</f>
        <v>0</v>
      </c>
      <c r="P575" s="4">
        <f>IF(Table1[[#This Row],[Last value]]&gt;1.5*Table1[[#This Row],[Target]],1,0)</f>
        <v>0</v>
      </c>
      <c r="Q575" s="4">
        <f>IF(AND(1.5*Table1[[#This Row],[Target]]&gt;=Table1[[#This Row],[Last value]],Table1[[#This Row],[Last value]]&gt;Table1[[#This Row],[Target]]),1,0)</f>
        <v>0</v>
      </c>
      <c r="R575" s="4">
        <f>IF(Table1[[#This Row],[Target]]&gt;=Table1[[#This Row],[Last value]],1,0)</f>
        <v>1</v>
      </c>
      <c r="S575" s="4" t="str">
        <f t="shared" si="14"/>
        <v>Green</v>
      </c>
      <c r="T575" s="55">
        <v>0</v>
      </c>
      <c r="U575" s="55">
        <v>0</v>
      </c>
      <c r="V575" s="55">
        <v>0</v>
      </c>
      <c r="W575" s="55">
        <v>2.8</v>
      </c>
      <c r="X575" s="55">
        <v>0</v>
      </c>
      <c r="Y575" s="55">
        <v>0</v>
      </c>
      <c r="Z575" s="55">
        <v>0</v>
      </c>
      <c r="AA575" s="55">
        <v>0</v>
      </c>
      <c r="AB575" s="55">
        <v>3.6</v>
      </c>
      <c r="AC575" s="55">
        <v>2.6</v>
      </c>
      <c r="AD575" s="55">
        <v>3.36</v>
      </c>
      <c r="AE575" s="55">
        <v>0</v>
      </c>
      <c r="AF575" s="55">
        <v>4</v>
      </c>
      <c r="AG575" s="55">
        <v>0</v>
      </c>
      <c r="AH575" s="55">
        <v>4.0999999999999996</v>
      </c>
      <c r="AI575" s="55">
        <v>3.46</v>
      </c>
      <c r="AJ575" s="55">
        <v>4.07</v>
      </c>
      <c r="AK575" s="55">
        <v>0</v>
      </c>
      <c r="AL575" s="55">
        <v>3.54</v>
      </c>
      <c r="AM575" s="55">
        <v>0</v>
      </c>
      <c r="AN575" s="55">
        <v>6.24</v>
      </c>
      <c r="AO575" s="55">
        <v>0</v>
      </c>
      <c r="AP575" s="55">
        <v>0</v>
      </c>
      <c r="AQ575" s="55">
        <v>0</v>
      </c>
      <c r="AR575" s="8">
        <v>0</v>
      </c>
      <c r="AS575" s="8">
        <v>10.6</v>
      </c>
      <c r="AT575" s="8">
        <v>0</v>
      </c>
      <c r="AU575" s="50">
        <v>0</v>
      </c>
      <c r="AV575" s="50">
        <v>0</v>
      </c>
      <c r="AW575" s="50">
        <v>0</v>
      </c>
      <c r="AX575" s="50">
        <v>4.3899999999999997</v>
      </c>
      <c r="AY575" s="50">
        <v>0</v>
      </c>
      <c r="AZ575" s="50">
        <v>0</v>
      </c>
      <c r="BA575" s="50">
        <v>4.9000000000000004</v>
      </c>
      <c r="BB575" s="50">
        <v>0</v>
      </c>
      <c r="BC575" s="55">
        <v>3.3</v>
      </c>
      <c r="BD575" s="55">
        <v>0</v>
      </c>
      <c r="BE575" s="11">
        <v>4.806</v>
      </c>
      <c r="BF575" s="4">
        <v>0</v>
      </c>
      <c r="BG575" s="4">
        <v>0</v>
      </c>
      <c r="BH575" s="4">
        <v>0</v>
      </c>
      <c r="BI575" s="4">
        <v>0</v>
      </c>
      <c r="BJ575" s="14">
        <v>0</v>
      </c>
      <c r="BK575" s="14">
        <v>0.995</v>
      </c>
      <c r="BL575" s="4">
        <v>0.45400000000000001</v>
      </c>
      <c r="BM575" s="17">
        <v>0</v>
      </c>
      <c r="BN575" s="4">
        <v>3.8069999999999999</v>
      </c>
      <c r="BO575" s="4">
        <v>0</v>
      </c>
      <c r="BP575" s="4">
        <v>0</v>
      </c>
      <c r="BQ575" s="4">
        <v>0</v>
      </c>
      <c r="BR575" s="4">
        <v>0</v>
      </c>
      <c r="BS575" s="55">
        <v>0</v>
      </c>
      <c r="BT575" s="4">
        <v>0</v>
      </c>
      <c r="BU575" s="4">
        <v>0</v>
      </c>
      <c r="BV575" s="4">
        <v>5.242</v>
      </c>
      <c r="BW575" s="4">
        <v>0</v>
      </c>
      <c r="BX575" s="4">
        <v>0</v>
      </c>
      <c r="BY575" s="4">
        <v>0.872</v>
      </c>
      <c r="BZ575" s="55">
        <v>0.91</v>
      </c>
      <c r="CA575" s="55">
        <v>0</v>
      </c>
      <c r="CB575" s="55">
        <v>0</v>
      </c>
      <c r="CC575" s="55">
        <v>1.33</v>
      </c>
      <c r="CD575" s="55">
        <v>0</v>
      </c>
      <c r="CE575" s="19">
        <v>0</v>
      </c>
      <c r="CF575" s="19">
        <v>1.9</v>
      </c>
      <c r="CG575" s="4">
        <v>2.46</v>
      </c>
      <c r="CH575" s="4">
        <v>0</v>
      </c>
      <c r="CI575" s="4">
        <v>0.55000000000000004</v>
      </c>
      <c r="CJ575" s="34">
        <v>0</v>
      </c>
      <c r="CK575" s="34">
        <v>0</v>
      </c>
      <c r="CL575" s="34">
        <v>0</v>
      </c>
      <c r="CM575" s="4">
        <v>0</v>
      </c>
      <c r="CN575" s="53">
        <v>0</v>
      </c>
      <c r="CO575" s="54">
        <v>0</v>
      </c>
      <c r="CP575" s="54">
        <v>0</v>
      </c>
      <c r="CQ575" s="4">
        <v>0</v>
      </c>
    </row>
    <row r="576" spans="1:95" s="55" customFormat="1" x14ac:dyDescent="0.35">
      <c r="A576" s="55">
        <v>575</v>
      </c>
      <c r="B576" s="55" t="s">
        <v>87</v>
      </c>
      <c r="C576" s="27" t="s">
        <v>288</v>
      </c>
      <c r="D576" s="50" t="s">
        <v>88</v>
      </c>
      <c r="E576" s="33" t="s">
        <v>89</v>
      </c>
      <c r="F576" s="4">
        <f>IFERROR(AVERAGEIF(Table1[[#This Row],[2019-Apr]:[2025-July]],"&lt;&gt;0"),0)</f>
        <v>3.6819512195121953</v>
      </c>
      <c r="G576" s="4">
        <f ca="1">IFERROR(AVERAGEIF(OFFSET(Table1[[#This Row],[Status]],0,COUNT(Table1[[#This Row],[2019-May]:[2025-July]]),1,-12),"&lt;&gt;0"),0)</f>
        <v>4.1725000000000003</v>
      </c>
      <c r="H576" s="55">
        <f>IFERROR(SMALL(Table1[[#This Row],[2019-Apr]:[2025-July]],COUNTIF(Table1[[#This Row],[2019-Apr]:[2025-July]],0)+1),0)</f>
        <v>1.77</v>
      </c>
      <c r="I576" s="55">
        <f>IFERROR(MAX(Table1[[#This Row],[2019-Apr]:[2025-July]]),0)</f>
        <v>5.48</v>
      </c>
      <c r="J576" s="4" cm="1">
        <f t="array" ref="J57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2.0550000000000002</v>
      </c>
      <c r="K576" s="4">
        <v>4.5</v>
      </c>
      <c r="L576" s="4">
        <f>IF(Table1[[#This Row],[Standard as per ISO]]&gt;=Table1[[#This Row],[Avg of best 6]],Table1[[#This Row],[Standard as per ISO]],Table1[[#This Row],[Avg of best 6]])</f>
        <v>4.5</v>
      </c>
      <c r="M576" s="4" cm="1">
        <f t="array" ref="M576">IFERROR(LOOKUP(2,1/(Table1[[#This Row],[2019-May]:[2025-July]]&lt;&gt;0),Table1[[#This Row],[2019-May]:[2025-July]]),0)</f>
        <v>4.4000000000000004</v>
      </c>
      <c r="N576" s="4">
        <f>COUNTIF(Table1[[#This Row],[2019-Apr]:[2025-July]],"&gt;="&amp;Table1[[#This Row],[Target]])</f>
        <v>8</v>
      </c>
      <c r="O576" s="4">
        <f>IF(Table1[[#This Row],[Outliers 2Y]]=0,1,0)</f>
        <v>0</v>
      </c>
      <c r="P576" s="4">
        <f>IF(Table1[[#This Row],[Last value]]&gt;1.5*Table1[[#This Row],[Target]],1,0)</f>
        <v>0</v>
      </c>
      <c r="Q576" s="4">
        <f>IF(AND(1.5*Table1[[#This Row],[Target]]&gt;=Table1[[#This Row],[Last value]],Table1[[#This Row],[Last value]]&gt;Table1[[#This Row],[Target]]),1,0)</f>
        <v>0</v>
      </c>
      <c r="R576" s="4">
        <f>IF(Table1[[#This Row],[Target]]&gt;=Table1[[#This Row],[Last value]],1,0)</f>
        <v>1</v>
      </c>
      <c r="S576" s="4" t="str">
        <f t="shared" si="14"/>
        <v>Green</v>
      </c>
      <c r="T576" s="55">
        <v>0</v>
      </c>
      <c r="U576" s="55">
        <v>0</v>
      </c>
      <c r="V576" s="55">
        <v>0</v>
      </c>
      <c r="W576" s="55">
        <v>0</v>
      </c>
      <c r="X576" s="55">
        <v>0</v>
      </c>
      <c r="Y576" s="55">
        <v>0</v>
      </c>
      <c r="Z576" s="55">
        <v>0</v>
      </c>
      <c r="AA576" s="55">
        <v>0</v>
      </c>
      <c r="AB576" s="55">
        <v>0</v>
      </c>
      <c r="AC576" s="55">
        <v>0</v>
      </c>
      <c r="AD576" s="55">
        <v>0</v>
      </c>
      <c r="AE576" s="55">
        <v>0</v>
      </c>
      <c r="AF576" s="55">
        <v>0</v>
      </c>
      <c r="AG576" s="55">
        <v>0</v>
      </c>
      <c r="AH576" s="55">
        <v>0</v>
      </c>
      <c r="AI576" s="55">
        <v>0</v>
      </c>
      <c r="AJ576" s="55">
        <v>0</v>
      </c>
      <c r="AK576" s="55">
        <v>0</v>
      </c>
      <c r="AL576" s="55">
        <v>0</v>
      </c>
      <c r="AM576" s="55">
        <v>0</v>
      </c>
      <c r="AN576" s="55">
        <v>0</v>
      </c>
      <c r="AO576" s="55">
        <v>0</v>
      </c>
      <c r="AP576" s="55">
        <v>0</v>
      </c>
      <c r="AQ576" s="55">
        <v>0</v>
      </c>
      <c r="AR576" s="55">
        <v>0</v>
      </c>
      <c r="AS576" s="55">
        <v>0</v>
      </c>
      <c r="AT576" s="55">
        <v>0</v>
      </c>
      <c r="AU576" s="55">
        <v>0</v>
      </c>
      <c r="AV576" s="55">
        <v>0</v>
      </c>
      <c r="AW576" s="55">
        <v>0</v>
      </c>
      <c r="AX576" s="55">
        <v>0</v>
      </c>
      <c r="AY576" s="55">
        <v>0</v>
      </c>
      <c r="AZ576" s="55">
        <v>0</v>
      </c>
      <c r="BA576" s="50">
        <v>2</v>
      </c>
      <c r="BB576" s="50">
        <v>1.9</v>
      </c>
      <c r="BC576" s="55">
        <v>2.2599999999999998</v>
      </c>
      <c r="BD576" s="55">
        <v>2.37</v>
      </c>
      <c r="BE576" s="11">
        <v>0</v>
      </c>
      <c r="BF576" s="4">
        <v>0</v>
      </c>
      <c r="BG576" s="4">
        <v>1.77</v>
      </c>
      <c r="BH576" s="4">
        <v>2.09</v>
      </c>
      <c r="BI576" s="4">
        <v>2.7</v>
      </c>
      <c r="BJ576" s="14">
        <v>2.31</v>
      </c>
      <c r="BK576" s="14">
        <v>2.38</v>
      </c>
      <c r="BL576" s="4">
        <v>2.5499999999999998</v>
      </c>
      <c r="BM576" s="17">
        <v>3.04</v>
      </c>
      <c r="BN576" s="4">
        <v>4.0599999999999996</v>
      </c>
      <c r="BO576" s="4">
        <v>5.48</v>
      </c>
      <c r="BP576" s="4">
        <v>4.71</v>
      </c>
      <c r="BQ576" s="4">
        <v>3.67</v>
      </c>
      <c r="BR576" s="4">
        <v>3.06</v>
      </c>
      <c r="BS576" s="55">
        <v>5.0999999999999996</v>
      </c>
      <c r="BT576" s="4">
        <v>5.39</v>
      </c>
      <c r="BU576" s="4">
        <v>4.79</v>
      </c>
      <c r="BV576" s="4">
        <v>3.81</v>
      </c>
      <c r="BW576" s="4">
        <v>4.01</v>
      </c>
      <c r="BX576" s="4">
        <v>3.95</v>
      </c>
      <c r="BY576" s="4">
        <v>3.95</v>
      </c>
      <c r="BZ576" s="55">
        <v>3.38</v>
      </c>
      <c r="CA576" s="55">
        <v>3.65</v>
      </c>
      <c r="CB576" s="55">
        <v>3.72</v>
      </c>
      <c r="CC576" s="55">
        <v>3.73</v>
      </c>
      <c r="CD576" s="55">
        <v>4.66</v>
      </c>
      <c r="CE576" s="19">
        <v>5.16</v>
      </c>
      <c r="CF576" s="19">
        <v>4.2</v>
      </c>
      <c r="CG576" s="4">
        <v>4.0999999999999996</v>
      </c>
      <c r="CH576" s="4">
        <v>4.0599999999999996</v>
      </c>
      <c r="CI576" s="4">
        <v>4.25</v>
      </c>
      <c r="CJ576" s="34">
        <v>3.8</v>
      </c>
      <c r="CK576" s="34">
        <v>3.7</v>
      </c>
      <c r="CL576" s="43">
        <v>4.0999999999999996</v>
      </c>
      <c r="CM576" s="4">
        <v>4.5999999999999996</v>
      </c>
      <c r="CN576" s="53">
        <v>3.9</v>
      </c>
      <c r="CO576" s="54">
        <v>4.0999999999999996</v>
      </c>
      <c r="CP576" s="54">
        <v>4.0999999999999996</v>
      </c>
      <c r="CQ576" s="4">
        <v>4.4000000000000004</v>
      </c>
    </row>
    <row r="577" spans="1:95" s="55" customFormat="1" x14ac:dyDescent="0.35">
      <c r="A577" s="55">
        <v>576</v>
      </c>
      <c r="B577" s="55" t="s">
        <v>87</v>
      </c>
      <c r="C577" s="27" t="s">
        <v>289</v>
      </c>
      <c r="D577" s="50" t="s">
        <v>88</v>
      </c>
      <c r="E577" s="33" t="s">
        <v>89</v>
      </c>
      <c r="F577" s="4">
        <f>IFERROR(AVERAGEIF(Table1[[#This Row],[2019-Apr]:[2025-July]],"&lt;&gt;0"),0)</f>
        <v>4.5909756097560992</v>
      </c>
      <c r="G577" s="4">
        <f ca="1">IFERROR(AVERAGEIF(OFFSET(Table1[[#This Row],[Status]],0,COUNT(Table1[[#This Row],[2019-May]:[2025-July]]),1,-12),"&lt;&gt;0"),0)</f>
        <v>5.3274999999999988</v>
      </c>
      <c r="H577" s="55">
        <f>IFERROR(SMALL(Table1[[#This Row],[2019-Apr]:[2025-July]],COUNTIF(Table1[[#This Row],[2019-Apr]:[2025-July]],0)+1),0)</f>
        <v>1.4</v>
      </c>
      <c r="I577" s="55">
        <f>IFERROR(MAX(Table1[[#This Row],[2019-Apr]:[2025-July]]),0)</f>
        <v>6.79</v>
      </c>
      <c r="J577" s="4" cm="1">
        <f t="array" ref="J57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2.3216666666666668</v>
      </c>
      <c r="K577" s="4">
        <v>4.5</v>
      </c>
      <c r="L577" s="4">
        <f>IF(Table1[[#This Row],[Standard as per ISO]]&gt;=Table1[[#This Row],[Avg of best 6]],Table1[[#This Row],[Standard as per ISO]],Table1[[#This Row],[Avg of best 6]])</f>
        <v>4.5</v>
      </c>
      <c r="M577" s="4" cm="1">
        <f t="array" ref="M577">IFERROR(LOOKUP(2,1/(Table1[[#This Row],[2019-May]:[2025-July]]&lt;&gt;0),Table1[[#This Row],[2019-May]:[2025-July]]),0)</f>
        <v>6.4</v>
      </c>
      <c r="N577" s="4">
        <f>COUNTIF(Table1[[#This Row],[2019-Apr]:[2025-July]],"&gt;="&amp;Table1[[#This Row],[Target]])</f>
        <v>24</v>
      </c>
      <c r="O577" s="4">
        <f>IF(Table1[[#This Row],[Outliers 2Y]]=0,1,0)</f>
        <v>0</v>
      </c>
      <c r="P577" s="4">
        <f>IF(Table1[[#This Row],[Last value]]&gt;1.5*Table1[[#This Row],[Target]],1,0)</f>
        <v>0</v>
      </c>
      <c r="Q577" s="4">
        <f>IF(AND(1.5*Table1[[#This Row],[Target]]&gt;=Table1[[#This Row],[Last value]],Table1[[#This Row],[Last value]]&gt;Table1[[#This Row],[Target]]),1,0)</f>
        <v>1</v>
      </c>
      <c r="R577" s="4">
        <f>IF(Table1[[#This Row],[Target]]&gt;=Table1[[#This Row],[Last value]],1,0)</f>
        <v>0</v>
      </c>
      <c r="S577" s="4" t="str">
        <f t="shared" si="14"/>
        <v>Yellow</v>
      </c>
      <c r="T577" s="55">
        <v>0</v>
      </c>
      <c r="U577" s="55">
        <v>0</v>
      </c>
      <c r="V577" s="55">
        <v>0</v>
      </c>
      <c r="W577" s="55">
        <v>0</v>
      </c>
      <c r="X577" s="55">
        <v>0</v>
      </c>
      <c r="Y577" s="55">
        <v>0</v>
      </c>
      <c r="Z577" s="55">
        <v>0</v>
      </c>
      <c r="AA577" s="55">
        <v>0</v>
      </c>
      <c r="AB577" s="55">
        <v>0</v>
      </c>
      <c r="AC577" s="55">
        <v>0</v>
      </c>
      <c r="AD577" s="55">
        <v>0</v>
      </c>
      <c r="AE577" s="55">
        <v>0</v>
      </c>
      <c r="AF577" s="55">
        <v>0</v>
      </c>
      <c r="AG577" s="55">
        <v>0</v>
      </c>
      <c r="AH577" s="55">
        <v>0</v>
      </c>
      <c r="AI577" s="55">
        <v>0</v>
      </c>
      <c r="AJ577" s="55">
        <v>0</v>
      </c>
      <c r="AK577" s="55">
        <v>0</v>
      </c>
      <c r="AL577" s="55">
        <v>0</v>
      </c>
      <c r="AM577" s="55">
        <v>0</v>
      </c>
      <c r="AN577" s="55">
        <v>0</v>
      </c>
      <c r="AO577" s="55">
        <v>0</v>
      </c>
      <c r="AP577" s="55">
        <v>0</v>
      </c>
      <c r="AQ577" s="55">
        <v>0</v>
      </c>
      <c r="AR577" s="55">
        <v>0</v>
      </c>
      <c r="AS577" s="55">
        <v>0</v>
      </c>
      <c r="AT577" s="55">
        <v>0</v>
      </c>
      <c r="AU577" s="55">
        <v>0</v>
      </c>
      <c r="AV577" s="55">
        <v>0</v>
      </c>
      <c r="AW577" s="55">
        <v>0</v>
      </c>
      <c r="AX577" s="55">
        <v>0</v>
      </c>
      <c r="AY577" s="55">
        <v>0</v>
      </c>
      <c r="AZ577" s="55">
        <v>0</v>
      </c>
      <c r="BA577" s="50">
        <v>6.2</v>
      </c>
      <c r="BB577" s="50">
        <v>6.6</v>
      </c>
      <c r="BC577" s="55">
        <v>6.79</v>
      </c>
      <c r="BD577" s="55">
        <v>5.89</v>
      </c>
      <c r="BE577" s="11">
        <v>0</v>
      </c>
      <c r="BF577" s="4">
        <v>0</v>
      </c>
      <c r="BG577" s="4">
        <v>4.8899999999999997</v>
      </c>
      <c r="BH577" s="4">
        <v>4.28</v>
      </c>
      <c r="BI577" s="4">
        <v>4.33</v>
      </c>
      <c r="BJ577" s="14">
        <v>5.25</v>
      </c>
      <c r="BK577" s="14">
        <v>5.57</v>
      </c>
      <c r="BL577" s="4">
        <v>3.72</v>
      </c>
      <c r="BM577" s="17">
        <v>3.91</v>
      </c>
      <c r="BN577" s="4">
        <v>3.92</v>
      </c>
      <c r="BO577" s="4">
        <v>4.5999999999999996</v>
      </c>
      <c r="BP577" s="4">
        <v>1.4</v>
      </c>
      <c r="BQ577" s="4">
        <v>2.4300000000000002</v>
      </c>
      <c r="BR577" s="4">
        <v>3.53</v>
      </c>
      <c r="BS577" s="55">
        <v>2.06</v>
      </c>
      <c r="BT577" s="4">
        <v>2.64</v>
      </c>
      <c r="BU577" s="4">
        <v>3.45</v>
      </c>
      <c r="BV577" s="4">
        <v>3.72</v>
      </c>
      <c r="BW577" s="4">
        <v>2.62</v>
      </c>
      <c r="BX577" s="4">
        <v>2.78</v>
      </c>
      <c r="BY577" s="4">
        <v>3.81</v>
      </c>
      <c r="BZ577" s="55">
        <v>5.31</v>
      </c>
      <c r="CA577" s="55">
        <v>3.96</v>
      </c>
      <c r="CB577" s="55">
        <v>3.74</v>
      </c>
      <c r="CC577" s="55">
        <v>5.51</v>
      </c>
      <c r="CD577" s="55">
        <v>4.99</v>
      </c>
      <c r="CE577" s="19">
        <v>4.91</v>
      </c>
      <c r="CF577" s="19">
        <v>5.31</v>
      </c>
      <c r="CG577" s="4">
        <v>5.33</v>
      </c>
      <c r="CH577" s="4">
        <v>5.34</v>
      </c>
      <c r="CI577" s="4">
        <v>5.14</v>
      </c>
      <c r="CJ577" s="34">
        <v>5.8</v>
      </c>
      <c r="CK577" s="34">
        <v>5.5</v>
      </c>
      <c r="CL577" s="43">
        <v>5.3</v>
      </c>
      <c r="CM577" s="4">
        <v>5.3</v>
      </c>
      <c r="CN577" s="53">
        <v>5.3</v>
      </c>
      <c r="CO577" s="54">
        <v>5.3</v>
      </c>
      <c r="CP577" s="54">
        <v>5.4</v>
      </c>
      <c r="CQ577" s="4">
        <v>6.4</v>
      </c>
    </row>
    <row r="578" spans="1:95" s="55" customFormat="1" x14ac:dyDescent="0.35">
      <c r="A578" s="55">
        <v>577</v>
      </c>
      <c r="B578" s="55" t="s">
        <v>87</v>
      </c>
      <c r="C578" s="27" t="s">
        <v>290</v>
      </c>
      <c r="D578" s="50" t="s">
        <v>93</v>
      </c>
      <c r="E578" s="33" t="s">
        <v>89</v>
      </c>
      <c r="F578" s="4">
        <f>IFERROR(AVERAGEIF(Table1[[#This Row],[2019-Apr]:[2025-July]],"&lt;&gt;0"),0)</f>
        <v>0</v>
      </c>
      <c r="G578" s="4">
        <f ca="1">IFERROR(AVERAGEIF(OFFSET(Table1[[#This Row],[Status]],0,COUNT(Table1[[#This Row],[2019-May]:[2025-July]]),1,-12),"&lt;&gt;0"),0)</f>
        <v>0</v>
      </c>
      <c r="H578" s="55">
        <f>IFERROR(SMALL(Table1[[#This Row],[2019-Apr]:[2025-July]],COUNTIF(Table1[[#This Row],[2019-Apr]:[2025-July]],0)+1),0)</f>
        <v>0</v>
      </c>
      <c r="I578" s="55">
        <f>IFERROR(MAX(Table1[[#This Row],[2019-Apr]:[2025-July]]),0)</f>
        <v>0</v>
      </c>
      <c r="J578" s="4" cm="1">
        <f t="array" ref="J57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578" s="4">
        <v>4.5</v>
      </c>
      <c r="L578" s="4">
        <f>IF(Table1[[#This Row],[Standard as per ISO]]&gt;=Table1[[#This Row],[Avg of best 6]],Table1[[#This Row],[Standard as per ISO]],Table1[[#This Row],[Avg of best 6]])</f>
        <v>4.5</v>
      </c>
      <c r="M578" s="4" cm="1">
        <f t="array" ref="M578">IFERROR(LOOKUP(2,1/(Table1[[#This Row],[2019-May]:[2025-July]]&lt;&gt;0),Table1[[#This Row],[2019-May]:[2025-July]]),0)</f>
        <v>0</v>
      </c>
      <c r="N578" s="4">
        <f>COUNTIF(Table1[[#This Row],[2019-Apr]:[2025-July]],"&gt;="&amp;Table1[[#This Row],[Target]])</f>
        <v>0</v>
      </c>
      <c r="O578" s="4">
        <f>IF(Table1[[#This Row],[Outliers 2Y]]=0,1,0)</f>
        <v>1</v>
      </c>
      <c r="P578" s="4">
        <f>IF(Table1[[#This Row],[Last value]]&gt;1.5*Table1[[#This Row],[Target]],1,0)</f>
        <v>0</v>
      </c>
      <c r="Q578" s="4">
        <f>IF(AND(1.5*Table1[[#This Row],[Target]]&gt;=Table1[[#This Row],[Last value]],Table1[[#This Row],[Last value]]&gt;Table1[[#This Row],[Target]]),1,0)</f>
        <v>0</v>
      </c>
      <c r="R578" s="4">
        <f>IF(Table1[[#This Row],[Target]]&gt;=Table1[[#This Row],[Last value]],1,0)</f>
        <v>1</v>
      </c>
      <c r="S578" s="4" t="str">
        <f t="shared" si="14"/>
        <v>Green</v>
      </c>
      <c r="T578" s="55">
        <v>0</v>
      </c>
      <c r="U578" s="55">
        <v>0</v>
      </c>
      <c r="V578" s="55">
        <v>0</v>
      </c>
      <c r="W578" s="55">
        <v>0</v>
      </c>
      <c r="X578" s="55">
        <v>0</v>
      </c>
      <c r="Y578" s="55">
        <v>0</v>
      </c>
      <c r="Z578" s="55">
        <v>0</v>
      </c>
      <c r="AA578" s="55">
        <v>0</v>
      </c>
      <c r="AB578" s="55">
        <v>0</v>
      </c>
      <c r="AC578" s="55">
        <v>0</v>
      </c>
      <c r="AD578" s="55">
        <v>0</v>
      </c>
      <c r="AE578" s="55">
        <v>0</v>
      </c>
      <c r="AF578" s="55">
        <v>0</v>
      </c>
      <c r="AG578" s="55">
        <v>0</v>
      </c>
      <c r="AH578" s="55">
        <v>0</v>
      </c>
      <c r="AI578" s="55">
        <v>0</v>
      </c>
      <c r="AJ578" s="55">
        <v>0</v>
      </c>
      <c r="AK578" s="55">
        <v>0</v>
      </c>
      <c r="AL578" s="55">
        <v>0</v>
      </c>
      <c r="AM578" s="55">
        <v>0</v>
      </c>
      <c r="AN578" s="55">
        <v>0</v>
      </c>
      <c r="AO578" s="55">
        <v>0</v>
      </c>
      <c r="AP578" s="55">
        <v>0</v>
      </c>
      <c r="AQ578" s="55">
        <v>0</v>
      </c>
      <c r="AR578" s="55">
        <v>0</v>
      </c>
      <c r="AS578" s="55">
        <v>0</v>
      </c>
      <c r="AT578" s="55">
        <v>0</v>
      </c>
      <c r="AU578" s="55">
        <v>0</v>
      </c>
      <c r="AV578" s="55">
        <v>0</v>
      </c>
      <c r="AW578" s="55">
        <v>0</v>
      </c>
      <c r="AX578" s="55">
        <v>0</v>
      </c>
      <c r="AY578" s="55">
        <v>0</v>
      </c>
      <c r="AZ578" s="55">
        <v>0</v>
      </c>
      <c r="BA578" s="55">
        <v>0</v>
      </c>
      <c r="BB578" s="55">
        <v>0</v>
      </c>
      <c r="BC578" s="55">
        <v>0</v>
      </c>
      <c r="BD578" s="55">
        <v>0</v>
      </c>
      <c r="BE578" s="55">
        <v>0</v>
      </c>
      <c r="BF578" s="55">
        <v>0</v>
      </c>
      <c r="BG578" s="55">
        <v>0</v>
      </c>
      <c r="BH578" s="55">
        <v>0</v>
      </c>
      <c r="BI578" s="55">
        <v>0</v>
      </c>
      <c r="BJ578" s="55">
        <v>0</v>
      </c>
      <c r="BK578" s="55">
        <v>0</v>
      </c>
      <c r="BL578" s="55">
        <v>0</v>
      </c>
      <c r="BM578" s="55">
        <v>0</v>
      </c>
      <c r="BN578" s="55">
        <v>0</v>
      </c>
      <c r="BO578" s="55">
        <v>0</v>
      </c>
      <c r="BP578" s="55">
        <v>0</v>
      </c>
      <c r="BQ578" s="55">
        <v>0</v>
      </c>
      <c r="BR578" s="55">
        <v>0</v>
      </c>
      <c r="BS578" s="55">
        <v>0</v>
      </c>
      <c r="BT578" s="55">
        <v>0</v>
      </c>
      <c r="BU578" s="55">
        <v>0</v>
      </c>
      <c r="BV578" s="55">
        <v>0</v>
      </c>
      <c r="BW578" s="55">
        <v>0</v>
      </c>
      <c r="BX578" s="55">
        <v>0</v>
      </c>
      <c r="BY578" s="55">
        <v>0</v>
      </c>
      <c r="BZ578" s="55">
        <v>0</v>
      </c>
      <c r="CA578" s="55">
        <v>0</v>
      </c>
      <c r="CB578" s="55">
        <v>0</v>
      </c>
      <c r="CC578" s="55">
        <v>0</v>
      </c>
      <c r="CD578" s="55">
        <v>0</v>
      </c>
      <c r="CE578" s="55">
        <v>0</v>
      </c>
      <c r="CF578" s="55">
        <v>0</v>
      </c>
      <c r="CG578" s="55">
        <v>0</v>
      </c>
      <c r="CH578" s="55">
        <v>0</v>
      </c>
      <c r="CI578" s="55">
        <v>0</v>
      </c>
      <c r="CJ578" s="34">
        <v>0</v>
      </c>
      <c r="CK578" s="34">
        <v>0</v>
      </c>
      <c r="CL578" s="43">
        <v>0</v>
      </c>
      <c r="CM578" s="4">
        <v>0</v>
      </c>
      <c r="CN578" s="53">
        <v>0</v>
      </c>
      <c r="CO578" s="54">
        <v>0</v>
      </c>
      <c r="CP578" s="54">
        <v>0</v>
      </c>
      <c r="CQ578" s="4">
        <v>0</v>
      </c>
    </row>
    <row r="579" spans="1:95" s="55" customFormat="1" x14ac:dyDescent="0.35">
      <c r="A579" s="55">
        <v>578</v>
      </c>
      <c r="B579" s="55" t="s">
        <v>87</v>
      </c>
      <c r="C579" s="27" t="s">
        <v>291</v>
      </c>
      <c r="D579" s="50" t="s">
        <v>94</v>
      </c>
      <c r="E579" s="33" t="s">
        <v>89</v>
      </c>
      <c r="F579" s="4">
        <f>IFERROR(AVERAGEIF(Table1[[#This Row],[2019-Apr]:[2025-July]],"&lt;&gt;0"),0)</f>
        <v>0</v>
      </c>
      <c r="G579" s="4">
        <f ca="1">IFERROR(AVERAGEIF(OFFSET(Table1[[#This Row],[Status]],0,COUNT(Table1[[#This Row],[2019-May]:[2025-July]]),1,-12),"&lt;&gt;0"),0)</f>
        <v>0</v>
      </c>
      <c r="H579" s="55">
        <f>IFERROR(SMALL(Table1[[#This Row],[2019-Apr]:[2025-July]],COUNTIF(Table1[[#This Row],[2019-Apr]:[2025-July]],0)+1),0)</f>
        <v>0</v>
      </c>
      <c r="I579" s="55">
        <f>IFERROR(MAX(Table1[[#This Row],[2019-Apr]:[2025-July]]),0)</f>
        <v>0</v>
      </c>
      <c r="J579" s="4" cm="1">
        <f t="array" ref="J57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579" s="4">
        <v>4.5</v>
      </c>
      <c r="L579" s="4">
        <f>IF(Table1[[#This Row],[Standard as per ISO]]&gt;=Table1[[#This Row],[Avg of best 6]],Table1[[#This Row],[Standard as per ISO]],Table1[[#This Row],[Avg of best 6]])</f>
        <v>4.5</v>
      </c>
      <c r="M579" s="4" cm="1">
        <f t="array" ref="M579">IFERROR(LOOKUP(2,1/(Table1[[#This Row],[2019-May]:[2025-July]]&lt;&gt;0),Table1[[#This Row],[2019-May]:[2025-July]]),0)</f>
        <v>0</v>
      </c>
      <c r="N579" s="4">
        <f>COUNTIF(Table1[[#This Row],[2019-Apr]:[2025-July]],"&gt;="&amp;Table1[[#This Row],[Target]])</f>
        <v>0</v>
      </c>
      <c r="O579" s="4">
        <f>IF(Table1[[#This Row],[Outliers 2Y]]=0,1,0)</f>
        <v>1</v>
      </c>
      <c r="P579" s="4">
        <f>IF(Table1[[#This Row],[Last value]]&gt;1.5*Table1[[#This Row],[Target]],1,0)</f>
        <v>0</v>
      </c>
      <c r="Q579" s="4">
        <f>IF(AND(1.5*Table1[[#This Row],[Target]]&gt;=Table1[[#This Row],[Last value]],Table1[[#This Row],[Last value]]&gt;Table1[[#This Row],[Target]]),1,0)</f>
        <v>0</v>
      </c>
      <c r="R579" s="4">
        <f>IF(Table1[[#This Row],[Target]]&gt;=Table1[[#This Row],[Last value]],1,0)</f>
        <v>1</v>
      </c>
      <c r="S579" s="4" t="str">
        <f t="shared" si="14"/>
        <v>Green</v>
      </c>
      <c r="T579" s="55">
        <v>0</v>
      </c>
      <c r="U579" s="55">
        <v>0</v>
      </c>
      <c r="V579" s="55">
        <v>0</v>
      </c>
      <c r="W579" s="55">
        <v>0</v>
      </c>
      <c r="X579" s="55">
        <v>0</v>
      </c>
      <c r="Y579" s="55">
        <v>0</v>
      </c>
      <c r="Z579" s="55">
        <v>0</v>
      </c>
      <c r="AA579" s="55">
        <v>0</v>
      </c>
      <c r="AB579" s="55">
        <v>0</v>
      </c>
      <c r="AC579" s="55">
        <v>0</v>
      </c>
      <c r="AD579" s="55">
        <v>0</v>
      </c>
      <c r="AE579" s="55">
        <v>0</v>
      </c>
      <c r="AF579" s="55">
        <v>0</v>
      </c>
      <c r="AG579" s="55">
        <v>0</v>
      </c>
      <c r="AH579" s="55">
        <v>0</v>
      </c>
      <c r="AI579" s="55">
        <v>0</v>
      </c>
      <c r="AJ579" s="55">
        <v>0</v>
      </c>
      <c r="AK579" s="55">
        <v>0</v>
      </c>
      <c r="AL579" s="55">
        <v>0</v>
      </c>
      <c r="AM579" s="55">
        <v>0</v>
      </c>
      <c r="AN579" s="55">
        <v>0</v>
      </c>
      <c r="AO579" s="55">
        <v>0</v>
      </c>
      <c r="AP579" s="55">
        <v>0</v>
      </c>
      <c r="AQ579" s="55">
        <v>0</v>
      </c>
      <c r="AR579" s="55">
        <v>0</v>
      </c>
      <c r="AS579" s="55">
        <v>0</v>
      </c>
      <c r="AT579" s="55">
        <v>0</v>
      </c>
      <c r="AU579" s="55">
        <v>0</v>
      </c>
      <c r="AV579" s="55">
        <v>0</v>
      </c>
      <c r="AW579" s="55">
        <v>0</v>
      </c>
      <c r="AX579" s="55">
        <v>0</v>
      </c>
      <c r="AY579" s="55">
        <v>0</v>
      </c>
      <c r="AZ579" s="55">
        <v>0</v>
      </c>
      <c r="BA579" s="55">
        <v>0</v>
      </c>
      <c r="BB579" s="55">
        <v>0</v>
      </c>
      <c r="BC579" s="55">
        <v>0</v>
      </c>
      <c r="BD579" s="55">
        <v>0</v>
      </c>
      <c r="BE579" s="55">
        <v>0</v>
      </c>
      <c r="BF579" s="55">
        <v>0</v>
      </c>
      <c r="BG579" s="55">
        <v>0</v>
      </c>
      <c r="BH579" s="55">
        <v>0</v>
      </c>
      <c r="BI579" s="55">
        <v>0</v>
      </c>
      <c r="BJ579" s="55">
        <v>0</v>
      </c>
      <c r="BK579" s="55">
        <v>0</v>
      </c>
      <c r="BL579" s="55">
        <v>0</v>
      </c>
      <c r="BM579" s="55">
        <v>0</v>
      </c>
      <c r="BN579" s="55">
        <v>0</v>
      </c>
      <c r="BO579" s="55">
        <v>0</v>
      </c>
      <c r="BP579" s="55">
        <v>0</v>
      </c>
      <c r="BQ579" s="55">
        <v>0</v>
      </c>
      <c r="BR579" s="55">
        <v>0</v>
      </c>
      <c r="BS579" s="55">
        <v>0</v>
      </c>
      <c r="BT579" s="55">
        <v>0</v>
      </c>
      <c r="BU579" s="55">
        <v>0</v>
      </c>
      <c r="BV579" s="55">
        <v>0</v>
      </c>
      <c r="BW579" s="55">
        <v>0</v>
      </c>
      <c r="BX579" s="55">
        <v>0</v>
      </c>
      <c r="BY579" s="55">
        <v>0</v>
      </c>
      <c r="BZ579" s="55">
        <v>0</v>
      </c>
      <c r="CA579" s="55">
        <v>0</v>
      </c>
      <c r="CB579" s="55">
        <v>0</v>
      </c>
      <c r="CC579" s="55">
        <v>0</v>
      </c>
      <c r="CD579" s="55">
        <v>0</v>
      </c>
      <c r="CE579" s="55">
        <v>0</v>
      </c>
      <c r="CF579" s="55">
        <v>0</v>
      </c>
      <c r="CG579" s="55">
        <v>0</v>
      </c>
      <c r="CH579" s="55">
        <v>0</v>
      </c>
      <c r="CI579" s="55">
        <v>0</v>
      </c>
      <c r="CJ579" s="34">
        <v>0</v>
      </c>
      <c r="CK579" s="34">
        <v>0</v>
      </c>
      <c r="CL579" s="43">
        <v>0</v>
      </c>
      <c r="CM579" s="4">
        <v>0</v>
      </c>
      <c r="CN579" s="53">
        <v>0</v>
      </c>
      <c r="CO579" s="54">
        <v>0</v>
      </c>
      <c r="CP579" s="54">
        <v>0</v>
      </c>
      <c r="CQ579" s="4">
        <v>0</v>
      </c>
    </row>
    <row r="580" spans="1:95" s="55" customFormat="1" x14ac:dyDescent="0.35">
      <c r="A580" s="55">
        <v>579</v>
      </c>
      <c r="B580" s="55" t="s">
        <v>87</v>
      </c>
      <c r="C580" s="27" t="s">
        <v>292</v>
      </c>
      <c r="D580" s="25" t="s">
        <v>124</v>
      </c>
      <c r="E580" s="33" t="s">
        <v>89</v>
      </c>
      <c r="F580" s="4">
        <f>IFERROR(AVERAGEIF(Table1[[#This Row],[2019-Apr]:[2025-July]],"&lt;&gt;0"),0)</f>
        <v>0</v>
      </c>
      <c r="G580" s="4">
        <f ca="1">IFERROR(AVERAGEIF(OFFSET(Table1[[#This Row],[Status]],0,COUNT(Table1[[#This Row],[2019-May]:[2025-July]]),1,-12),"&lt;&gt;0"),0)</f>
        <v>0</v>
      </c>
      <c r="H580" s="55">
        <f>IFERROR(SMALL(Table1[[#This Row],[2019-Apr]:[2025-July]],COUNTIF(Table1[[#This Row],[2019-Apr]:[2025-July]],0)+1),0)</f>
        <v>0</v>
      </c>
      <c r="I580" s="55">
        <f>IFERROR(MAX(Table1[[#This Row],[2019-Apr]:[2025-July]]),0)</f>
        <v>0</v>
      </c>
      <c r="J580" s="4" cm="1">
        <f t="array" ref="J58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580" s="4">
        <v>4.5</v>
      </c>
      <c r="L580" s="4">
        <f>IF(Table1[[#This Row],[Standard as per ISO]]&gt;=Table1[[#This Row],[Avg of best 6]],Table1[[#This Row],[Standard as per ISO]],Table1[[#This Row],[Avg of best 6]])</f>
        <v>4.5</v>
      </c>
      <c r="M580" s="4" cm="1">
        <f t="array" ref="M580">IFERROR(LOOKUP(2,1/(Table1[[#This Row],[2019-May]:[2025-July]]&lt;&gt;0),Table1[[#This Row],[2019-May]:[2025-July]]),0)</f>
        <v>0</v>
      </c>
      <c r="N580" s="4">
        <f>COUNTIF(Table1[[#This Row],[2019-Apr]:[2025-July]],"&gt;="&amp;Table1[[#This Row],[Target]])</f>
        <v>0</v>
      </c>
      <c r="O580" s="4">
        <f>IF(Table1[[#This Row],[Outliers 2Y]]=0,1,0)</f>
        <v>1</v>
      </c>
      <c r="P580" s="4">
        <f>IF(Table1[[#This Row],[Last value]]&gt;1.5*Table1[[#This Row],[Target]],1,0)</f>
        <v>0</v>
      </c>
      <c r="Q580" s="4">
        <f>IF(AND(1.5*Table1[[#This Row],[Target]]&gt;=Table1[[#This Row],[Last value]],Table1[[#This Row],[Last value]]&gt;Table1[[#This Row],[Target]]),1,0)</f>
        <v>0</v>
      </c>
      <c r="R580" s="4">
        <f>IF(Table1[[#This Row],[Target]]&gt;=Table1[[#This Row],[Last value]],1,0)</f>
        <v>1</v>
      </c>
      <c r="S580" s="4" t="str">
        <f t="shared" si="14"/>
        <v>Green</v>
      </c>
      <c r="T580" s="55">
        <v>0</v>
      </c>
      <c r="U580" s="55">
        <v>0</v>
      </c>
      <c r="V580" s="55">
        <v>0</v>
      </c>
      <c r="W580" s="55">
        <v>0</v>
      </c>
      <c r="X580" s="55">
        <v>0</v>
      </c>
      <c r="Y580" s="55">
        <v>0</v>
      </c>
      <c r="Z580" s="55">
        <v>0</v>
      </c>
      <c r="AA580" s="55">
        <v>0</v>
      </c>
      <c r="AB580" s="55">
        <v>0</v>
      </c>
      <c r="AC580" s="55">
        <v>0</v>
      </c>
      <c r="AD580" s="55">
        <v>0</v>
      </c>
      <c r="AE580" s="55">
        <v>0</v>
      </c>
      <c r="AF580" s="55">
        <v>0</v>
      </c>
      <c r="AG580" s="55">
        <v>0</v>
      </c>
      <c r="AH580" s="55">
        <v>0</v>
      </c>
      <c r="AI580" s="55">
        <v>0</v>
      </c>
      <c r="AJ580" s="55">
        <v>0</v>
      </c>
      <c r="AK580" s="55">
        <v>0</v>
      </c>
      <c r="AL580" s="55">
        <v>0</v>
      </c>
      <c r="AM580" s="55">
        <v>0</v>
      </c>
      <c r="AN580" s="55">
        <v>0</v>
      </c>
      <c r="AO580" s="55">
        <v>0</v>
      </c>
      <c r="AP580" s="55">
        <v>0</v>
      </c>
      <c r="AQ580" s="55">
        <v>0</v>
      </c>
      <c r="AR580" s="55">
        <v>0</v>
      </c>
      <c r="AS580" s="55">
        <v>0</v>
      </c>
      <c r="AT580" s="55">
        <v>0</v>
      </c>
      <c r="AU580" s="55">
        <v>0</v>
      </c>
      <c r="AV580" s="55">
        <v>0</v>
      </c>
      <c r="AW580" s="55">
        <v>0</v>
      </c>
      <c r="AX580" s="55">
        <v>0</v>
      </c>
      <c r="AY580" s="55">
        <v>0</v>
      </c>
      <c r="AZ580" s="55">
        <v>0</v>
      </c>
      <c r="BA580" s="55">
        <v>0</v>
      </c>
      <c r="BB580" s="55">
        <v>0</v>
      </c>
      <c r="BC580" s="55">
        <v>0</v>
      </c>
      <c r="BD580" s="55">
        <v>0</v>
      </c>
      <c r="BE580" s="55">
        <v>0</v>
      </c>
      <c r="BF580" s="55">
        <v>0</v>
      </c>
      <c r="BG580" s="55">
        <v>0</v>
      </c>
      <c r="BH580" s="55">
        <v>0</v>
      </c>
      <c r="BI580" s="55">
        <v>0</v>
      </c>
      <c r="BJ580" s="55">
        <v>0</v>
      </c>
      <c r="BK580" s="55">
        <v>0</v>
      </c>
      <c r="BL580" s="55">
        <v>0</v>
      </c>
      <c r="BM580" s="55">
        <v>0</v>
      </c>
      <c r="BN580" s="55">
        <v>0</v>
      </c>
      <c r="BO580" s="55">
        <v>0</v>
      </c>
      <c r="BP580" s="55">
        <v>0</v>
      </c>
      <c r="BQ580" s="55">
        <v>0</v>
      </c>
      <c r="BR580" s="55">
        <v>0</v>
      </c>
      <c r="BS580" s="55">
        <v>0</v>
      </c>
      <c r="BT580" s="55">
        <v>0</v>
      </c>
      <c r="BU580" s="55">
        <v>0</v>
      </c>
      <c r="BV580" s="55">
        <v>0</v>
      </c>
      <c r="BW580" s="55">
        <v>0</v>
      </c>
      <c r="BX580" s="55">
        <v>0</v>
      </c>
      <c r="BY580" s="55">
        <v>0</v>
      </c>
      <c r="BZ580" s="55">
        <v>0</v>
      </c>
      <c r="CA580" s="55">
        <v>0</v>
      </c>
      <c r="CB580" s="55">
        <v>0</v>
      </c>
      <c r="CC580" s="55">
        <v>0</v>
      </c>
      <c r="CD580" s="55">
        <v>0</v>
      </c>
      <c r="CE580" s="55">
        <v>0</v>
      </c>
      <c r="CF580" s="55">
        <v>0</v>
      </c>
      <c r="CG580" s="55">
        <v>0</v>
      </c>
      <c r="CH580" s="55">
        <v>0</v>
      </c>
      <c r="CI580" s="55">
        <v>0</v>
      </c>
      <c r="CJ580" s="34">
        <v>0</v>
      </c>
      <c r="CK580" s="34">
        <v>0</v>
      </c>
      <c r="CL580" s="43">
        <v>0</v>
      </c>
      <c r="CM580" s="4">
        <v>0</v>
      </c>
      <c r="CN580" s="53">
        <v>0</v>
      </c>
      <c r="CO580" s="54">
        <v>0</v>
      </c>
      <c r="CP580" s="54">
        <v>0</v>
      </c>
      <c r="CQ580" s="4">
        <v>0</v>
      </c>
    </row>
    <row r="581" spans="1:95" s="55" customFormat="1" x14ac:dyDescent="0.35">
      <c r="A581" s="55">
        <v>580</v>
      </c>
      <c r="B581" s="55" t="s">
        <v>87</v>
      </c>
      <c r="C581" s="27" t="s">
        <v>293</v>
      </c>
      <c r="D581" s="25" t="s">
        <v>124</v>
      </c>
      <c r="E581" s="33" t="s">
        <v>89</v>
      </c>
      <c r="F581" s="4">
        <f>IFERROR(AVERAGEIF(Table1[[#This Row],[2019-Apr]:[2025-July]],"&lt;&gt;0"),0)</f>
        <v>0</v>
      </c>
      <c r="G581" s="4">
        <f ca="1">IFERROR(AVERAGEIF(OFFSET(Table1[[#This Row],[Status]],0,COUNT(Table1[[#This Row],[2019-May]:[2025-July]]),1,-12),"&lt;&gt;0"),0)</f>
        <v>0</v>
      </c>
      <c r="H581" s="55">
        <f>IFERROR(SMALL(Table1[[#This Row],[2019-Apr]:[2025-July]],COUNTIF(Table1[[#This Row],[2019-Apr]:[2025-July]],0)+1),0)</f>
        <v>0</v>
      </c>
      <c r="I581" s="55">
        <f>IFERROR(MAX(Table1[[#This Row],[2019-Apr]:[2025-July]]),0)</f>
        <v>0</v>
      </c>
      <c r="J581" s="4" cm="1">
        <f t="array" ref="J58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581" s="4">
        <v>4.5</v>
      </c>
      <c r="L581" s="4">
        <f>IF(Table1[[#This Row],[Standard as per ISO]]&gt;=Table1[[#This Row],[Avg of best 6]],Table1[[#This Row],[Standard as per ISO]],Table1[[#This Row],[Avg of best 6]])</f>
        <v>4.5</v>
      </c>
      <c r="M581" s="4" cm="1">
        <f t="array" ref="M581">IFERROR(LOOKUP(2,1/(Table1[[#This Row],[2019-May]:[2025-July]]&lt;&gt;0),Table1[[#This Row],[2019-May]:[2025-July]]),0)</f>
        <v>0</v>
      </c>
      <c r="N581" s="4">
        <f>COUNTIF(Table1[[#This Row],[2019-Apr]:[2025-July]],"&gt;="&amp;Table1[[#This Row],[Target]])</f>
        <v>0</v>
      </c>
      <c r="O581" s="4">
        <f>IF(Table1[[#This Row],[Outliers 2Y]]=0,1,0)</f>
        <v>1</v>
      </c>
      <c r="P581" s="4">
        <f>IF(Table1[[#This Row],[Last value]]&gt;1.5*Table1[[#This Row],[Target]],1,0)</f>
        <v>0</v>
      </c>
      <c r="Q581" s="4">
        <f>IF(AND(1.5*Table1[[#This Row],[Target]]&gt;=Table1[[#This Row],[Last value]],Table1[[#This Row],[Last value]]&gt;Table1[[#This Row],[Target]]),1,0)</f>
        <v>0</v>
      </c>
      <c r="R581" s="4">
        <f>IF(Table1[[#This Row],[Target]]&gt;=Table1[[#This Row],[Last value]],1,0)</f>
        <v>1</v>
      </c>
      <c r="S581" s="4" t="str">
        <f t="shared" si="14"/>
        <v>Green</v>
      </c>
      <c r="T581" s="55">
        <v>0</v>
      </c>
      <c r="U581" s="55">
        <v>0</v>
      </c>
      <c r="V581" s="55">
        <v>0</v>
      </c>
      <c r="W581" s="55">
        <v>0</v>
      </c>
      <c r="X581" s="55">
        <v>0</v>
      </c>
      <c r="Y581" s="55">
        <v>0</v>
      </c>
      <c r="Z581" s="55">
        <v>0</v>
      </c>
      <c r="AA581" s="55">
        <v>0</v>
      </c>
      <c r="AB581" s="55">
        <v>0</v>
      </c>
      <c r="AC581" s="55">
        <v>0</v>
      </c>
      <c r="AD581" s="55">
        <v>0</v>
      </c>
      <c r="AE581" s="55">
        <v>0</v>
      </c>
      <c r="AF581" s="55">
        <v>0</v>
      </c>
      <c r="AG581" s="55">
        <v>0</v>
      </c>
      <c r="AH581" s="55">
        <v>0</v>
      </c>
      <c r="AI581" s="55">
        <v>0</v>
      </c>
      <c r="AJ581" s="55">
        <v>0</v>
      </c>
      <c r="AK581" s="55">
        <v>0</v>
      </c>
      <c r="AL581" s="55">
        <v>0</v>
      </c>
      <c r="AM581" s="55">
        <v>0</v>
      </c>
      <c r="AN581" s="55">
        <v>0</v>
      </c>
      <c r="AO581" s="55">
        <v>0</v>
      </c>
      <c r="AP581" s="55">
        <v>0</v>
      </c>
      <c r="AQ581" s="55">
        <v>0</v>
      </c>
      <c r="AR581" s="55">
        <v>0</v>
      </c>
      <c r="AS581" s="55">
        <v>0</v>
      </c>
      <c r="AT581" s="55">
        <v>0</v>
      </c>
      <c r="AU581" s="55">
        <v>0</v>
      </c>
      <c r="AV581" s="55">
        <v>0</v>
      </c>
      <c r="AW581" s="55">
        <v>0</v>
      </c>
      <c r="AX581" s="55">
        <v>0</v>
      </c>
      <c r="AY581" s="55">
        <v>0</v>
      </c>
      <c r="AZ581" s="55">
        <v>0</v>
      </c>
      <c r="BA581" s="55">
        <v>0</v>
      </c>
      <c r="BB581" s="55">
        <v>0</v>
      </c>
      <c r="BC581" s="55">
        <v>0</v>
      </c>
      <c r="BD581" s="55">
        <v>0</v>
      </c>
      <c r="BE581" s="55">
        <v>0</v>
      </c>
      <c r="BF581" s="55">
        <v>0</v>
      </c>
      <c r="BG581" s="55">
        <v>0</v>
      </c>
      <c r="BH581" s="55">
        <v>0</v>
      </c>
      <c r="BI581" s="55">
        <v>0</v>
      </c>
      <c r="BJ581" s="55">
        <v>0</v>
      </c>
      <c r="BK581" s="55">
        <v>0</v>
      </c>
      <c r="BL581" s="55">
        <v>0</v>
      </c>
      <c r="BM581" s="55">
        <v>0</v>
      </c>
      <c r="BN581" s="55">
        <v>0</v>
      </c>
      <c r="BO581" s="55">
        <v>0</v>
      </c>
      <c r="BP581" s="55">
        <v>0</v>
      </c>
      <c r="BQ581" s="55">
        <v>0</v>
      </c>
      <c r="BR581" s="55">
        <v>0</v>
      </c>
      <c r="BS581" s="55">
        <v>0</v>
      </c>
      <c r="BT581" s="55">
        <v>0</v>
      </c>
      <c r="BU581" s="55">
        <v>0</v>
      </c>
      <c r="BV581" s="55">
        <v>0</v>
      </c>
      <c r="BW581" s="55">
        <v>0</v>
      </c>
      <c r="BX581" s="55">
        <v>0</v>
      </c>
      <c r="BY581" s="55">
        <v>0</v>
      </c>
      <c r="BZ581" s="55">
        <v>0</v>
      </c>
      <c r="CA581" s="55">
        <v>0</v>
      </c>
      <c r="CB581" s="55">
        <v>0</v>
      </c>
      <c r="CC581" s="55">
        <v>0</v>
      </c>
      <c r="CD581" s="55">
        <v>0</v>
      </c>
      <c r="CE581" s="55">
        <v>0</v>
      </c>
      <c r="CF581" s="55">
        <v>0</v>
      </c>
      <c r="CG581" s="55">
        <v>0</v>
      </c>
      <c r="CH581" s="55">
        <v>0</v>
      </c>
      <c r="CI581" s="55">
        <v>0</v>
      </c>
      <c r="CJ581" s="34">
        <v>0</v>
      </c>
      <c r="CK581" s="34">
        <v>0</v>
      </c>
      <c r="CL581" s="43">
        <v>0</v>
      </c>
      <c r="CM581" s="4">
        <v>0</v>
      </c>
      <c r="CN581" s="53">
        <v>0</v>
      </c>
      <c r="CO581" s="54">
        <v>0</v>
      </c>
      <c r="CP581" s="54">
        <v>0</v>
      </c>
      <c r="CQ581" s="4">
        <v>0</v>
      </c>
    </row>
    <row r="582" spans="1:95" s="55" customFormat="1" x14ac:dyDescent="0.35">
      <c r="A582" s="55">
        <v>581</v>
      </c>
      <c r="B582" s="55" t="s">
        <v>87</v>
      </c>
      <c r="C582" s="27" t="s">
        <v>294</v>
      </c>
      <c r="D582" s="50" t="s">
        <v>116</v>
      </c>
      <c r="E582" s="33" t="s">
        <v>89</v>
      </c>
      <c r="F582" s="4">
        <f>IFERROR(AVERAGEIF(Table1[[#This Row],[2019-Apr]:[2025-July]],"&lt;&gt;0"),0)</f>
        <v>0</v>
      </c>
      <c r="G582" s="4">
        <f ca="1">IFERROR(AVERAGEIF(OFFSET(Table1[[#This Row],[Status]],0,COUNT(Table1[[#This Row],[2019-May]:[2025-July]]),1,-12),"&lt;&gt;0"),0)</f>
        <v>0</v>
      </c>
      <c r="H582" s="55">
        <f>IFERROR(SMALL(Table1[[#This Row],[2019-Apr]:[2025-July]],COUNTIF(Table1[[#This Row],[2019-Apr]:[2025-July]],0)+1),0)</f>
        <v>0</v>
      </c>
      <c r="I582" s="55">
        <f>IFERROR(MAX(Table1[[#This Row],[2019-Apr]:[2025-July]]),0)</f>
        <v>0</v>
      </c>
      <c r="J582" s="4" cm="1">
        <f t="array" ref="J58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582" s="4">
        <v>4.5</v>
      </c>
      <c r="L582" s="4">
        <f>IF(Table1[[#This Row],[Standard as per ISO]]&gt;=Table1[[#This Row],[Avg of best 6]],Table1[[#This Row],[Standard as per ISO]],Table1[[#This Row],[Avg of best 6]])</f>
        <v>4.5</v>
      </c>
      <c r="M582" s="4" cm="1">
        <f t="array" ref="M582">IFERROR(LOOKUP(2,1/(Table1[[#This Row],[2019-May]:[2025-July]]&lt;&gt;0),Table1[[#This Row],[2019-May]:[2025-July]]),0)</f>
        <v>0</v>
      </c>
      <c r="N582" s="4">
        <f>COUNTIF(Table1[[#This Row],[2019-Apr]:[2025-July]],"&gt;="&amp;Table1[[#This Row],[Target]])</f>
        <v>0</v>
      </c>
      <c r="O582" s="4">
        <f>IF(Table1[[#This Row],[Outliers 2Y]]=0,1,0)</f>
        <v>1</v>
      </c>
      <c r="P582" s="4">
        <f>IF(Table1[[#This Row],[Last value]]&gt;1.5*Table1[[#This Row],[Target]],1,0)</f>
        <v>0</v>
      </c>
      <c r="Q582" s="4">
        <f>IF(AND(1.5*Table1[[#This Row],[Target]]&gt;=Table1[[#This Row],[Last value]],Table1[[#This Row],[Last value]]&gt;Table1[[#This Row],[Target]]),1,0)</f>
        <v>0</v>
      </c>
      <c r="R582" s="4">
        <f>IF(Table1[[#This Row],[Target]]&gt;=Table1[[#This Row],[Last value]],1,0)</f>
        <v>1</v>
      </c>
      <c r="S582" s="4" t="str">
        <f t="shared" si="14"/>
        <v>Green</v>
      </c>
      <c r="T582" s="55">
        <v>0</v>
      </c>
      <c r="U582" s="55">
        <v>0</v>
      </c>
      <c r="V582" s="55">
        <v>0</v>
      </c>
      <c r="W582" s="55">
        <v>0</v>
      </c>
      <c r="X582" s="55">
        <v>0</v>
      </c>
      <c r="Y582" s="55">
        <v>0</v>
      </c>
      <c r="Z582" s="55">
        <v>0</v>
      </c>
      <c r="AA582" s="55">
        <v>0</v>
      </c>
      <c r="AB582" s="55">
        <v>0</v>
      </c>
      <c r="AC582" s="55">
        <v>0</v>
      </c>
      <c r="AD582" s="55">
        <v>0</v>
      </c>
      <c r="AE582" s="55">
        <v>0</v>
      </c>
      <c r="AF582" s="55">
        <v>0</v>
      </c>
      <c r="AG582" s="55">
        <v>0</v>
      </c>
      <c r="AH582" s="55">
        <v>0</v>
      </c>
      <c r="AI582" s="55">
        <v>0</v>
      </c>
      <c r="AJ582" s="55">
        <v>0</v>
      </c>
      <c r="AK582" s="55">
        <v>0</v>
      </c>
      <c r="AL582" s="55">
        <v>0</v>
      </c>
      <c r="AM582" s="55">
        <v>0</v>
      </c>
      <c r="AN582" s="55">
        <v>0</v>
      </c>
      <c r="AO582" s="55">
        <v>0</v>
      </c>
      <c r="AP582" s="55">
        <v>0</v>
      </c>
      <c r="AQ582" s="55">
        <v>0</v>
      </c>
      <c r="AR582" s="55">
        <v>0</v>
      </c>
      <c r="AS582" s="55">
        <v>0</v>
      </c>
      <c r="AT582" s="55">
        <v>0</v>
      </c>
      <c r="AU582" s="55">
        <v>0</v>
      </c>
      <c r="AV582" s="55">
        <v>0</v>
      </c>
      <c r="AW582" s="55">
        <v>0</v>
      </c>
      <c r="AX582" s="55">
        <v>0</v>
      </c>
      <c r="AY582" s="55">
        <v>0</v>
      </c>
      <c r="AZ582" s="55">
        <v>0</v>
      </c>
      <c r="BA582" s="55">
        <v>0</v>
      </c>
      <c r="BB582" s="55">
        <v>0</v>
      </c>
      <c r="BC582" s="55">
        <v>0</v>
      </c>
      <c r="BD582" s="55">
        <v>0</v>
      </c>
      <c r="BE582" s="55">
        <v>0</v>
      </c>
      <c r="BF582" s="55">
        <v>0</v>
      </c>
      <c r="BG582" s="55">
        <v>0</v>
      </c>
      <c r="BH582" s="55">
        <v>0</v>
      </c>
      <c r="BI582" s="55">
        <v>0</v>
      </c>
      <c r="BJ582" s="55">
        <v>0</v>
      </c>
      <c r="BK582" s="55">
        <v>0</v>
      </c>
      <c r="BL582" s="55">
        <v>0</v>
      </c>
      <c r="BM582" s="55">
        <v>0</v>
      </c>
      <c r="BN582" s="55">
        <v>0</v>
      </c>
      <c r="BO582" s="55">
        <v>0</v>
      </c>
      <c r="BP582" s="55">
        <v>0</v>
      </c>
      <c r="BQ582" s="55">
        <v>0</v>
      </c>
      <c r="BR582" s="55">
        <v>0</v>
      </c>
      <c r="BS582" s="55">
        <v>0</v>
      </c>
      <c r="BT582" s="55">
        <v>0</v>
      </c>
      <c r="BU582" s="55">
        <v>0</v>
      </c>
      <c r="BV582" s="55">
        <v>0</v>
      </c>
      <c r="BW582" s="55">
        <v>0</v>
      </c>
      <c r="BX582" s="55">
        <v>0</v>
      </c>
      <c r="BY582" s="55">
        <v>0</v>
      </c>
      <c r="BZ582" s="55">
        <v>0</v>
      </c>
      <c r="CA582" s="55">
        <v>0</v>
      </c>
      <c r="CB582" s="55">
        <v>0</v>
      </c>
      <c r="CC582" s="55">
        <v>0</v>
      </c>
      <c r="CD582" s="55">
        <v>0</v>
      </c>
      <c r="CE582" s="55">
        <v>0</v>
      </c>
      <c r="CF582" s="55">
        <v>0</v>
      </c>
      <c r="CG582" s="55">
        <v>0</v>
      </c>
      <c r="CH582" s="55">
        <v>0</v>
      </c>
      <c r="CI582" s="55">
        <v>0</v>
      </c>
      <c r="CJ582" s="34">
        <v>0</v>
      </c>
      <c r="CK582" s="34">
        <v>0</v>
      </c>
      <c r="CL582" s="43">
        <v>0</v>
      </c>
      <c r="CM582" s="4">
        <v>0</v>
      </c>
      <c r="CN582" s="53">
        <v>0</v>
      </c>
      <c r="CO582" s="54">
        <v>0</v>
      </c>
      <c r="CP582" s="54">
        <v>0</v>
      </c>
      <c r="CQ582" s="4">
        <v>0</v>
      </c>
    </row>
    <row r="583" spans="1:95" s="55" customFormat="1" x14ac:dyDescent="0.35">
      <c r="A583" s="55">
        <v>582</v>
      </c>
      <c r="B583" s="55" t="s">
        <v>87</v>
      </c>
      <c r="C583" s="27" t="s">
        <v>1577</v>
      </c>
      <c r="D583" s="50" t="s">
        <v>93</v>
      </c>
      <c r="E583" s="33" t="s">
        <v>89</v>
      </c>
      <c r="F583" s="4">
        <f>IFERROR(AVERAGEIF(Table1[[#This Row],[2019-Apr]:[2025-July]],"&lt;&gt;0"),0)</f>
        <v>1.7</v>
      </c>
      <c r="G583" s="4">
        <f ca="1">IFERROR(AVERAGEIF(OFFSET(Table1[[#This Row],[Status]],0,COUNT(Table1[[#This Row],[2019-May]:[2025-July]]),1,-12),"&lt;&gt;0"),0)</f>
        <v>0</v>
      </c>
      <c r="H583" s="55">
        <f>IFERROR(SMALL(Table1[[#This Row],[2019-Apr]:[2025-July]],COUNTIF(Table1[[#This Row],[2019-Apr]:[2025-July]],0)+1),0)</f>
        <v>1.7</v>
      </c>
      <c r="I583" s="55">
        <f>IFERROR(MAX(Table1[[#This Row],[2019-Apr]:[2025-July]]),0)</f>
        <v>1.7</v>
      </c>
      <c r="J583" s="4" cm="1">
        <f t="array" ref="J58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</v>
      </c>
      <c r="K583" s="4">
        <v>4.5</v>
      </c>
      <c r="L583" s="4">
        <f>IF(Table1[[#This Row],[Standard as per ISO]]&gt;=Table1[[#This Row],[Avg of best 6]],Table1[[#This Row],[Standard as per ISO]],Table1[[#This Row],[Avg of best 6]])</f>
        <v>4.5</v>
      </c>
      <c r="M583" s="4" cm="1">
        <f t="array" ref="M583">IFERROR(LOOKUP(2,1/(Table1[[#This Row],[2019-May]:[2025-July]]&lt;&gt;0),Table1[[#This Row],[2019-May]:[2025-July]]),0)</f>
        <v>1.7</v>
      </c>
      <c r="N583" s="4">
        <f>COUNTIF(Table1[[#This Row],[2019-Apr]:[2025-July]],"&gt;="&amp;Table1[[#This Row],[Target]])</f>
        <v>0</v>
      </c>
      <c r="O583" s="4">
        <f>IF(Table1[[#This Row],[Outliers 2Y]]=0,1,0)</f>
        <v>1</v>
      </c>
      <c r="P583" s="4">
        <f>IF(Table1[[#This Row],[Last value]]&gt;1.5*Table1[[#This Row],[Target]],1,0)</f>
        <v>0</v>
      </c>
      <c r="Q583" s="4">
        <f>IF(AND(1.5*Table1[[#This Row],[Target]]&gt;=Table1[[#This Row],[Last value]],Table1[[#This Row],[Last value]]&gt;Table1[[#This Row],[Target]]),1,0)</f>
        <v>0</v>
      </c>
      <c r="R583" s="4">
        <f>IF(Table1[[#This Row],[Target]]&gt;=Table1[[#This Row],[Last value]],1,0)</f>
        <v>1</v>
      </c>
      <c r="S583" s="4" t="str">
        <f t="shared" ref="S583:S590" si="15">IF(P583=1, "Red", IF(Q583=1, "Yellow", "Green"))</f>
        <v>Green</v>
      </c>
      <c r="T583" s="55">
        <v>0</v>
      </c>
      <c r="U583" s="55">
        <v>0</v>
      </c>
      <c r="V583" s="55">
        <v>0</v>
      </c>
      <c r="W583" s="55">
        <v>0</v>
      </c>
      <c r="X583" s="55">
        <v>0</v>
      </c>
      <c r="Y583" s="55">
        <v>0</v>
      </c>
      <c r="Z583" s="55">
        <v>0</v>
      </c>
      <c r="AA583" s="55">
        <v>0</v>
      </c>
      <c r="AB583" s="55">
        <v>0</v>
      </c>
      <c r="AC583" s="55">
        <v>0</v>
      </c>
      <c r="AD583" s="55">
        <v>0</v>
      </c>
      <c r="AE583" s="55">
        <v>0</v>
      </c>
      <c r="AF583" s="55">
        <v>0</v>
      </c>
      <c r="AG583" s="55">
        <v>0</v>
      </c>
      <c r="AH583" s="55">
        <v>0</v>
      </c>
      <c r="AI583" s="55">
        <v>0</v>
      </c>
      <c r="AJ583" s="55">
        <v>0</v>
      </c>
      <c r="AK583" s="55">
        <v>0</v>
      </c>
      <c r="AL583" s="55">
        <v>0</v>
      </c>
      <c r="AM583" s="55">
        <v>0</v>
      </c>
      <c r="AN583" s="55">
        <v>0</v>
      </c>
      <c r="AO583" s="55">
        <v>0</v>
      </c>
      <c r="AP583" s="55">
        <v>0</v>
      </c>
      <c r="AQ583" s="55">
        <v>0</v>
      </c>
      <c r="AR583" s="55">
        <v>0</v>
      </c>
      <c r="AS583" s="55">
        <v>0</v>
      </c>
      <c r="AT583" s="55">
        <v>0</v>
      </c>
      <c r="AU583" s="55">
        <v>0</v>
      </c>
      <c r="AV583" s="55">
        <v>0</v>
      </c>
      <c r="AW583" s="55">
        <v>0</v>
      </c>
      <c r="AX583" s="55">
        <v>0</v>
      </c>
      <c r="AY583" s="55">
        <v>0</v>
      </c>
      <c r="AZ583" s="55">
        <v>0</v>
      </c>
      <c r="BA583" s="55">
        <v>0</v>
      </c>
      <c r="BB583" s="55">
        <v>0</v>
      </c>
      <c r="BC583" s="55">
        <v>0</v>
      </c>
      <c r="BD583" s="55">
        <v>0</v>
      </c>
      <c r="BE583" s="55">
        <v>0</v>
      </c>
      <c r="BF583" s="55">
        <v>0</v>
      </c>
      <c r="BG583" s="55">
        <v>0</v>
      </c>
      <c r="BH583" s="55">
        <v>0</v>
      </c>
      <c r="BI583" s="55">
        <v>0</v>
      </c>
      <c r="BJ583" s="55">
        <v>0</v>
      </c>
      <c r="BK583" s="55">
        <v>0</v>
      </c>
      <c r="BL583" s="55">
        <v>0</v>
      </c>
      <c r="BM583" s="55">
        <v>0</v>
      </c>
      <c r="BN583" s="55">
        <v>0</v>
      </c>
      <c r="BO583" s="55">
        <v>0</v>
      </c>
      <c r="BP583" s="55">
        <v>0</v>
      </c>
      <c r="BQ583" s="55">
        <v>0</v>
      </c>
      <c r="BR583" s="55">
        <v>0</v>
      </c>
      <c r="BS583" s="55">
        <v>0</v>
      </c>
      <c r="BT583" s="55">
        <v>0</v>
      </c>
      <c r="BU583" s="55">
        <v>0</v>
      </c>
      <c r="BV583" s="55">
        <v>0</v>
      </c>
      <c r="BW583" s="55">
        <v>0</v>
      </c>
      <c r="BX583" s="55">
        <v>0</v>
      </c>
      <c r="BY583" s="55">
        <v>0</v>
      </c>
      <c r="BZ583" s="55">
        <v>0</v>
      </c>
      <c r="CA583" s="55">
        <v>0</v>
      </c>
      <c r="CB583" s="55">
        <v>0</v>
      </c>
      <c r="CC583" s="55">
        <v>0</v>
      </c>
      <c r="CD583" s="55">
        <v>0</v>
      </c>
      <c r="CE583" s="55">
        <v>0</v>
      </c>
      <c r="CF583" s="55">
        <v>0</v>
      </c>
      <c r="CG583" s="55">
        <v>0</v>
      </c>
      <c r="CH583" s="55">
        <v>0</v>
      </c>
      <c r="CI583" s="55">
        <v>0</v>
      </c>
      <c r="CJ583" s="55">
        <v>0</v>
      </c>
      <c r="CK583" s="55">
        <v>0</v>
      </c>
      <c r="CL583" s="55">
        <v>0</v>
      </c>
      <c r="CM583" s="55">
        <v>0</v>
      </c>
      <c r="CN583" s="55">
        <v>0</v>
      </c>
      <c r="CO583" s="55">
        <v>0</v>
      </c>
      <c r="CP583" s="55">
        <v>0</v>
      </c>
      <c r="CQ583" s="4">
        <v>1.7</v>
      </c>
    </row>
    <row r="584" spans="1:95" s="55" customFormat="1" x14ac:dyDescent="0.35">
      <c r="A584" s="55">
        <v>583</v>
      </c>
      <c r="B584" s="55" t="s">
        <v>87</v>
      </c>
      <c r="C584" s="27" t="s">
        <v>1578</v>
      </c>
      <c r="D584" s="50" t="s">
        <v>93</v>
      </c>
      <c r="E584" s="33" t="s">
        <v>89</v>
      </c>
      <c r="F584" s="4">
        <f>IFERROR(AVERAGEIF(Table1[[#This Row],[2019-Apr]:[2025-July]],"&lt;&gt;0"),0)</f>
        <v>2</v>
      </c>
      <c r="G584" s="4">
        <f ca="1">IFERROR(AVERAGEIF(OFFSET(Table1[[#This Row],[Status]],0,COUNT(Table1[[#This Row],[2019-May]:[2025-July]]),1,-12),"&lt;&gt;0"),0)</f>
        <v>0</v>
      </c>
      <c r="H584" s="55">
        <f>IFERROR(SMALL(Table1[[#This Row],[2019-Apr]:[2025-July]],COUNTIF(Table1[[#This Row],[2019-Apr]:[2025-July]],0)+1),0)</f>
        <v>2</v>
      </c>
      <c r="I584" s="55">
        <f>IFERROR(MAX(Table1[[#This Row],[2019-Apr]:[2025-July]]),0)</f>
        <v>2</v>
      </c>
      <c r="J584" s="4" cm="1">
        <f t="array" ref="J58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</v>
      </c>
      <c r="K584" s="4">
        <v>4.5</v>
      </c>
      <c r="L584" s="4">
        <f>IF(Table1[[#This Row],[Standard as per ISO]]&gt;=Table1[[#This Row],[Avg of best 6]],Table1[[#This Row],[Standard as per ISO]],Table1[[#This Row],[Avg of best 6]])</f>
        <v>4.5</v>
      </c>
      <c r="M584" s="4" cm="1">
        <f t="array" ref="M584">IFERROR(LOOKUP(2,1/(Table1[[#This Row],[2019-May]:[2025-July]]&lt;&gt;0),Table1[[#This Row],[2019-May]:[2025-July]]),0)</f>
        <v>2</v>
      </c>
      <c r="N584" s="4">
        <f>COUNTIF(Table1[[#This Row],[2019-Apr]:[2025-July]],"&gt;="&amp;Table1[[#This Row],[Target]])</f>
        <v>0</v>
      </c>
      <c r="O584" s="4">
        <f>IF(Table1[[#This Row],[Outliers 2Y]]=0,1,0)</f>
        <v>1</v>
      </c>
      <c r="P584" s="4">
        <f>IF(Table1[[#This Row],[Last value]]&gt;1.5*Table1[[#This Row],[Target]],1,0)</f>
        <v>0</v>
      </c>
      <c r="Q584" s="4">
        <f>IF(AND(1.5*Table1[[#This Row],[Target]]&gt;=Table1[[#This Row],[Last value]],Table1[[#This Row],[Last value]]&gt;Table1[[#This Row],[Target]]),1,0)</f>
        <v>0</v>
      </c>
      <c r="R584" s="4">
        <f>IF(Table1[[#This Row],[Target]]&gt;=Table1[[#This Row],[Last value]],1,0)</f>
        <v>1</v>
      </c>
      <c r="S584" s="4" t="str">
        <f t="shared" si="15"/>
        <v>Green</v>
      </c>
      <c r="T584" s="55">
        <v>0</v>
      </c>
      <c r="U584" s="55">
        <v>0</v>
      </c>
      <c r="V584" s="55">
        <v>0</v>
      </c>
      <c r="W584" s="55">
        <v>0</v>
      </c>
      <c r="X584" s="55">
        <v>0</v>
      </c>
      <c r="Y584" s="55">
        <v>0</v>
      </c>
      <c r="Z584" s="55">
        <v>0</v>
      </c>
      <c r="AA584" s="55">
        <v>0</v>
      </c>
      <c r="AB584" s="55">
        <v>0</v>
      </c>
      <c r="AC584" s="55">
        <v>0</v>
      </c>
      <c r="AD584" s="55">
        <v>0</v>
      </c>
      <c r="AE584" s="55">
        <v>0</v>
      </c>
      <c r="AF584" s="55">
        <v>0</v>
      </c>
      <c r="AG584" s="55">
        <v>0</v>
      </c>
      <c r="AH584" s="55">
        <v>0</v>
      </c>
      <c r="AI584" s="55">
        <v>0</v>
      </c>
      <c r="AJ584" s="55">
        <v>0</v>
      </c>
      <c r="AK584" s="55">
        <v>0</v>
      </c>
      <c r="AL584" s="55">
        <v>0</v>
      </c>
      <c r="AM584" s="55">
        <v>0</v>
      </c>
      <c r="AN584" s="55">
        <v>0</v>
      </c>
      <c r="AO584" s="55">
        <v>0</v>
      </c>
      <c r="AP584" s="55">
        <v>0</v>
      </c>
      <c r="AQ584" s="55">
        <v>0</v>
      </c>
      <c r="AR584" s="55">
        <v>0</v>
      </c>
      <c r="AS584" s="55">
        <v>0</v>
      </c>
      <c r="AT584" s="55">
        <v>0</v>
      </c>
      <c r="AU584" s="55">
        <v>0</v>
      </c>
      <c r="AV584" s="55">
        <v>0</v>
      </c>
      <c r="AW584" s="55">
        <v>0</v>
      </c>
      <c r="AX584" s="55">
        <v>0</v>
      </c>
      <c r="AY584" s="55">
        <v>0</v>
      </c>
      <c r="AZ584" s="55">
        <v>0</v>
      </c>
      <c r="BA584" s="55">
        <v>0</v>
      </c>
      <c r="BB584" s="55">
        <v>0</v>
      </c>
      <c r="BC584" s="55">
        <v>0</v>
      </c>
      <c r="BD584" s="55">
        <v>0</v>
      </c>
      <c r="BE584" s="55">
        <v>0</v>
      </c>
      <c r="BF584" s="55">
        <v>0</v>
      </c>
      <c r="BG584" s="55">
        <v>0</v>
      </c>
      <c r="BH584" s="55">
        <v>0</v>
      </c>
      <c r="BI584" s="55">
        <v>0</v>
      </c>
      <c r="BJ584" s="55">
        <v>0</v>
      </c>
      <c r="BK584" s="55">
        <v>0</v>
      </c>
      <c r="BL584" s="55">
        <v>0</v>
      </c>
      <c r="BM584" s="55">
        <v>0</v>
      </c>
      <c r="BN584" s="55">
        <v>0</v>
      </c>
      <c r="BO584" s="55">
        <v>0</v>
      </c>
      <c r="BP584" s="55">
        <v>0</v>
      </c>
      <c r="BQ584" s="55">
        <v>0</v>
      </c>
      <c r="BR584" s="55">
        <v>0</v>
      </c>
      <c r="BS584" s="55">
        <v>0</v>
      </c>
      <c r="BT584" s="55">
        <v>0</v>
      </c>
      <c r="BU584" s="55">
        <v>0</v>
      </c>
      <c r="BV584" s="55">
        <v>0</v>
      </c>
      <c r="BW584" s="55">
        <v>0</v>
      </c>
      <c r="BX584" s="55">
        <v>0</v>
      </c>
      <c r="BY584" s="55">
        <v>0</v>
      </c>
      <c r="BZ584" s="55">
        <v>0</v>
      </c>
      <c r="CA584" s="55">
        <v>0</v>
      </c>
      <c r="CB584" s="55">
        <v>0</v>
      </c>
      <c r="CC584" s="55">
        <v>0</v>
      </c>
      <c r="CD584" s="55">
        <v>0</v>
      </c>
      <c r="CE584" s="55">
        <v>0</v>
      </c>
      <c r="CF584" s="55">
        <v>0</v>
      </c>
      <c r="CG584" s="55">
        <v>0</v>
      </c>
      <c r="CH584" s="55">
        <v>0</v>
      </c>
      <c r="CI584" s="55">
        <v>0</v>
      </c>
      <c r="CJ584" s="55">
        <v>0</v>
      </c>
      <c r="CK584" s="55">
        <v>0</v>
      </c>
      <c r="CL584" s="55">
        <v>0</v>
      </c>
      <c r="CM584" s="55">
        <v>0</v>
      </c>
      <c r="CN584" s="55">
        <v>0</v>
      </c>
      <c r="CO584" s="55">
        <v>0</v>
      </c>
      <c r="CP584" s="55">
        <v>0</v>
      </c>
      <c r="CQ584" s="4">
        <v>2</v>
      </c>
    </row>
    <row r="585" spans="1:95" s="55" customFormat="1" x14ac:dyDescent="0.35">
      <c r="A585" s="55">
        <v>584</v>
      </c>
      <c r="B585" s="55" t="s">
        <v>87</v>
      </c>
      <c r="C585" s="27" t="s">
        <v>1579</v>
      </c>
      <c r="D585" s="50" t="s">
        <v>93</v>
      </c>
      <c r="E585" s="33" t="s">
        <v>89</v>
      </c>
      <c r="F585" s="4">
        <f>IFERROR(AVERAGEIF(Table1[[#This Row],[2019-Apr]:[2025-July]],"&lt;&gt;0"),0)</f>
        <v>1.7</v>
      </c>
      <c r="G585" s="4">
        <f ca="1">IFERROR(AVERAGEIF(OFFSET(Table1[[#This Row],[Status]],0,COUNT(Table1[[#This Row],[2019-May]:[2025-July]]),1,-12),"&lt;&gt;0"),0)</f>
        <v>0</v>
      </c>
      <c r="H585" s="55">
        <f>IFERROR(SMALL(Table1[[#This Row],[2019-Apr]:[2025-July]],COUNTIF(Table1[[#This Row],[2019-Apr]:[2025-July]],0)+1),0)</f>
        <v>1.7</v>
      </c>
      <c r="I585" s="55">
        <f>IFERROR(MAX(Table1[[#This Row],[2019-Apr]:[2025-July]]),0)</f>
        <v>1.7</v>
      </c>
      <c r="J585" s="4" cm="1">
        <f t="array" ref="J58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</v>
      </c>
      <c r="K585" s="4">
        <v>4.5</v>
      </c>
      <c r="L585" s="4">
        <f>IF(Table1[[#This Row],[Standard as per ISO]]&gt;=Table1[[#This Row],[Avg of best 6]],Table1[[#This Row],[Standard as per ISO]],Table1[[#This Row],[Avg of best 6]])</f>
        <v>4.5</v>
      </c>
      <c r="M585" s="4" cm="1">
        <f t="array" ref="M585">IFERROR(LOOKUP(2,1/(Table1[[#This Row],[2019-May]:[2025-July]]&lt;&gt;0),Table1[[#This Row],[2019-May]:[2025-July]]),0)</f>
        <v>1.7</v>
      </c>
      <c r="N585" s="4">
        <f>COUNTIF(Table1[[#This Row],[2019-Apr]:[2025-July]],"&gt;="&amp;Table1[[#This Row],[Target]])</f>
        <v>0</v>
      </c>
      <c r="O585" s="4">
        <f>IF(Table1[[#This Row],[Outliers 2Y]]=0,1,0)</f>
        <v>1</v>
      </c>
      <c r="P585" s="4">
        <f>IF(Table1[[#This Row],[Last value]]&gt;1.5*Table1[[#This Row],[Target]],1,0)</f>
        <v>0</v>
      </c>
      <c r="Q585" s="4">
        <f>IF(AND(1.5*Table1[[#This Row],[Target]]&gt;=Table1[[#This Row],[Last value]],Table1[[#This Row],[Last value]]&gt;Table1[[#This Row],[Target]]),1,0)</f>
        <v>0</v>
      </c>
      <c r="R585" s="4">
        <f>IF(Table1[[#This Row],[Target]]&gt;=Table1[[#This Row],[Last value]],1,0)</f>
        <v>1</v>
      </c>
      <c r="S585" s="4" t="str">
        <f t="shared" si="15"/>
        <v>Green</v>
      </c>
      <c r="T585" s="55">
        <v>0</v>
      </c>
      <c r="U585" s="55">
        <v>0</v>
      </c>
      <c r="V585" s="55">
        <v>0</v>
      </c>
      <c r="W585" s="55">
        <v>0</v>
      </c>
      <c r="X585" s="55">
        <v>0</v>
      </c>
      <c r="Y585" s="55">
        <v>0</v>
      </c>
      <c r="Z585" s="55">
        <v>0</v>
      </c>
      <c r="AA585" s="55">
        <v>0</v>
      </c>
      <c r="AB585" s="55">
        <v>0</v>
      </c>
      <c r="AC585" s="55">
        <v>0</v>
      </c>
      <c r="AD585" s="55">
        <v>0</v>
      </c>
      <c r="AE585" s="55">
        <v>0</v>
      </c>
      <c r="AF585" s="55">
        <v>0</v>
      </c>
      <c r="AG585" s="55">
        <v>0</v>
      </c>
      <c r="AH585" s="55">
        <v>0</v>
      </c>
      <c r="AI585" s="55">
        <v>0</v>
      </c>
      <c r="AJ585" s="55">
        <v>0</v>
      </c>
      <c r="AK585" s="55">
        <v>0</v>
      </c>
      <c r="AL585" s="55">
        <v>0</v>
      </c>
      <c r="AM585" s="55">
        <v>0</v>
      </c>
      <c r="AN585" s="55">
        <v>0</v>
      </c>
      <c r="AO585" s="55">
        <v>0</v>
      </c>
      <c r="AP585" s="55">
        <v>0</v>
      </c>
      <c r="AQ585" s="55">
        <v>0</v>
      </c>
      <c r="AR585" s="55">
        <v>0</v>
      </c>
      <c r="AS585" s="55">
        <v>0</v>
      </c>
      <c r="AT585" s="55">
        <v>0</v>
      </c>
      <c r="AU585" s="55">
        <v>0</v>
      </c>
      <c r="AV585" s="55">
        <v>0</v>
      </c>
      <c r="AW585" s="55">
        <v>0</v>
      </c>
      <c r="AX585" s="55">
        <v>0</v>
      </c>
      <c r="AY585" s="55">
        <v>0</v>
      </c>
      <c r="AZ585" s="55">
        <v>0</v>
      </c>
      <c r="BA585" s="55">
        <v>0</v>
      </c>
      <c r="BB585" s="55">
        <v>0</v>
      </c>
      <c r="BC585" s="55">
        <v>0</v>
      </c>
      <c r="BD585" s="55">
        <v>0</v>
      </c>
      <c r="BE585" s="55">
        <v>0</v>
      </c>
      <c r="BF585" s="55">
        <v>0</v>
      </c>
      <c r="BG585" s="55">
        <v>0</v>
      </c>
      <c r="BH585" s="55">
        <v>0</v>
      </c>
      <c r="BI585" s="55">
        <v>0</v>
      </c>
      <c r="BJ585" s="55">
        <v>0</v>
      </c>
      <c r="BK585" s="55">
        <v>0</v>
      </c>
      <c r="BL585" s="55">
        <v>0</v>
      </c>
      <c r="BM585" s="55">
        <v>0</v>
      </c>
      <c r="BN585" s="55">
        <v>0</v>
      </c>
      <c r="BO585" s="55">
        <v>0</v>
      </c>
      <c r="BP585" s="55">
        <v>0</v>
      </c>
      <c r="BQ585" s="55">
        <v>0</v>
      </c>
      <c r="BR585" s="55">
        <v>0</v>
      </c>
      <c r="BS585" s="55">
        <v>0</v>
      </c>
      <c r="BT585" s="55">
        <v>0</v>
      </c>
      <c r="BU585" s="55">
        <v>0</v>
      </c>
      <c r="BV585" s="55">
        <v>0</v>
      </c>
      <c r="BW585" s="55">
        <v>0</v>
      </c>
      <c r="BX585" s="55">
        <v>0</v>
      </c>
      <c r="BY585" s="55">
        <v>0</v>
      </c>
      <c r="BZ585" s="55">
        <v>0</v>
      </c>
      <c r="CA585" s="55">
        <v>0</v>
      </c>
      <c r="CB585" s="55">
        <v>0</v>
      </c>
      <c r="CC585" s="55">
        <v>0</v>
      </c>
      <c r="CD585" s="55">
        <v>0</v>
      </c>
      <c r="CE585" s="55">
        <v>0</v>
      </c>
      <c r="CF585" s="55">
        <v>0</v>
      </c>
      <c r="CG585" s="55">
        <v>0</v>
      </c>
      <c r="CH585" s="55">
        <v>0</v>
      </c>
      <c r="CI585" s="55">
        <v>0</v>
      </c>
      <c r="CJ585" s="55">
        <v>0</v>
      </c>
      <c r="CK585" s="55">
        <v>0</v>
      </c>
      <c r="CL585" s="55">
        <v>0</v>
      </c>
      <c r="CM585" s="55">
        <v>0</v>
      </c>
      <c r="CN585" s="55">
        <v>0</v>
      </c>
      <c r="CO585" s="55">
        <v>0</v>
      </c>
      <c r="CP585" s="55">
        <v>0</v>
      </c>
      <c r="CQ585" s="4">
        <v>1.7</v>
      </c>
    </row>
    <row r="586" spans="1:95" s="55" customFormat="1" x14ac:dyDescent="0.35">
      <c r="A586" s="55">
        <v>585</v>
      </c>
      <c r="B586" s="55" t="s">
        <v>87</v>
      </c>
      <c r="C586" s="27" t="s">
        <v>1580</v>
      </c>
      <c r="D586" s="50" t="s">
        <v>93</v>
      </c>
      <c r="E586" s="33" t="s">
        <v>89</v>
      </c>
      <c r="F586" s="4">
        <f>IFERROR(AVERAGEIF(Table1[[#This Row],[2019-Apr]:[2025-July]],"&lt;&gt;0"),0)</f>
        <v>1</v>
      </c>
      <c r="G586" s="4">
        <f ca="1">IFERROR(AVERAGEIF(OFFSET(Table1[[#This Row],[Status]],0,COUNT(Table1[[#This Row],[2019-May]:[2025-July]]),1,-12),"&lt;&gt;0"),0)</f>
        <v>0</v>
      </c>
      <c r="H586" s="55">
        <f>IFERROR(SMALL(Table1[[#This Row],[2019-Apr]:[2025-July]],COUNTIF(Table1[[#This Row],[2019-Apr]:[2025-July]],0)+1),0)</f>
        <v>1</v>
      </c>
      <c r="I586" s="55">
        <f>IFERROR(MAX(Table1[[#This Row],[2019-Apr]:[2025-July]]),0)</f>
        <v>1</v>
      </c>
      <c r="J586" s="4" cm="1">
        <f t="array" ref="J58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</v>
      </c>
      <c r="K586" s="4">
        <v>4.5</v>
      </c>
      <c r="L586" s="4">
        <f>IF(Table1[[#This Row],[Standard as per ISO]]&gt;=Table1[[#This Row],[Avg of best 6]],Table1[[#This Row],[Standard as per ISO]],Table1[[#This Row],[Avg of best 6]])</f>
        <v>4.5</v>
      </c>
      <c r="M586" s="4" cm="1">
        <f t="array" ref="M586">IFERROR(LOOKUP(2,1/(Table1[[#This Row],[2019-May]:[2025-July]]&lt;&gt;0),Table1[[#This Row],[2019-May]:[2025-July]]),0)</f>
        <v>1</v>
      </c>
      <c r="N586" s="4">
        <f>COUNTIF(Table1[[#This Row],[2019-Apr]:[2025-July]],"&gt;="&amp;Table1[[#This Row],[Target]])</f>
        <v>0</v>
      </c>
      <c r="O586" s="4">
        <f>IF(Table1[[#This Row],[Outliers 2Y]]=0,1,0)</f>
        <v>1</v>
      </c>
      <c r="P586" s="4">
        <f>IF(Table1[[#This Row],[Last value]]&gt;1.5*Table1[[#This Row],[Target]],1,0)</f>
        <v>0</v>
      </c>
      <c r="Q586" s="4">
        <f>IF(AND(1.5*Table1[[#This Row],[Target]]&gt;=Table1[[#This Row],[Last value]],Table1[[#This Row],[Last value]]&gt;Table1[[#This Row],[Target]]),1,0)</f>
        <v>0</v>
      </c>
      <c r="R586" s="4">
        <f>IF(Table1[[#This Row],[Target]]&gt;=Table1[[#This Row],[Last value]],1,0)</f>
        <v>1</v>
      </c>
      <c r="S586" s="4" t="str">
        <f t="shared" si="15"/>
        <v>Green</v>
      </c>
      <c r="T586" s="55">
        <v>0</v>
      </c>
      <c r="U586" s="55">
        <v>0</v>
      </c>
      <c r="V586" s="55">
        <v>0</v>
      </c>
      <c r="W586" s="55">
        <v>0</v>
      </c>
      <c r="X586" s="55">
        <v>0</v>
      </c>
      <c r="Y586" s="55">
        <v>0</v>
      </c>
      <c r="Z586" s="55">
        <v>0</v>
      </c>
      <c r="AA586" s="55">
        <v>0</v>
      </c>
      <c r="AB586" s="55">
        <v>0</v>
      </c>
      <c r="AC586" s="55">
        <v>0</v>
      </c>
      <c r="AD586" s="55">
        <v>0</v>
      </c>
      <c r="AE586" s="55">
        <v>0</v>
      </c>
      <c r="AF586" s="55">
        <v>0</v>
      </c>
      <c r="AG586" s="55">
        <v>0</v>
      </c>
      <c r="AH586" s="55">
        <v>0</v>
      </c>
      <c r="AI586" s="55">
        <v>0</v>
      </c>
      <c r="AJ586" s="55">
        <v>0</v>
      </c>
      <c r="AK586" s="55">
        <v>0</v>
      </c>
      <c r="AL586" s="55">
        <v>0</v>
      </c>
      <c r="AM586" s="55">
        <v>0</v>
      </c>
      <c r="AN586" s="55">
        <v>0</v>
      </c>
      <c r="AO586" s="55">
        <v>0</v>
      </c>
      <c r="AP586" s="55">
        <v>0</v>
      </c>
      <c r="AQ586" s="55">
        <v>0</v>
      </c>
      <c r="AR586" s="55">
        <v>0</v>
      </c>
      <c r="AS586" s="55">
        <v>0</v>
      </c>
      <c r="AT586" s="55">
        <v>0</v>
      </c>
      <c r="AU586" s="55">
        <v>0</v>
      </c>
      <c r="AV586" s="55">
        <v>0</v>
      </c>
      <c r="AW586" s="55">
        <v>0</v>
      </c>
      <c r="AX586" s="55">
        <v>0</v>
      </c>
      <c r="AY586" s="55">
        <v>0</v>
      </c>
      <c r="AZ586" s="55">
        <v>0</v>
      </c>
      <c r="BA586" s="55">
        <v>0</v>
      </c>
      <c r="BB586" s="55">
        <v>0</v>
      </c>
      <c r="BC586" s="55">
        <v>0</v>
      </c>
      <c r="BD586" s="55">
        <v>0</v>
      </c>
      <c r="BE586" s="55">
        <v>0</v>
      </c>
      <c r="BF586" s="55">
        <v>0</v>
      </c>
      <c r="BG586" s="55">
        <v>0</v>
      </c>
      <c r="BH586" s="55">
        <v>0</v>
      </c>
      <c r="BI586" s="55">
        <v>0</v>
      </c>
      <c r="BJ586" s="55">
        <v>0</v>
      </c>
      <c r="BK586" s="55">
        <v>0</v>
      </c>
      <c r="BL586" s="55">
        <v>0</v>
      </c>
      <c r="BM586" s="55">
        <v>0</v>
      </c>
      <c r="BN586" s="55">
        <v>0</v>
      </c>
      <c r="BO586" s="55">
        <v>0</v>
      </c>
      <c r="BP586" s="55">
        <v>0</v>
      </c>
      <c r="BQ586" s="55">
        <v>0</v>
      </c>
      <c r="BR586" s="55">
        <v>0</v>
      </c>
      <c r="BS586" s="55">
        <v>0</v>
      </c>
      <c r="BT586" s="55">
        <v>0</v>
      </c>
      <c r="BU586" s="55">
        <v>0</v>
      </c>
      <c r="BV586" s="55">
        <v>0</v>
      </c>
      <c r="BW586" s="55">
        <v>0</v>
      </c>
      <c r="BX586" s="55">
        <v>0</v>
      </c>
      <c r="BY586" s="55">
        <v>0</v>
      </c>
      <c r="BZ586" s="55">
        <v>0</v>
      </c>
      <c r="CA586" s="55">
        <v>0</v>
      </c>
      <c r="CB586" s="55">
        <v>0</v>
      </c>
      <c r="CC586" s="55">
        <v>0</v>
      </c>
      <c r="CD586" s="55">
        <v>0</v>
      </c>
      <c r="CE586" s="55">
        <v>0</v>
      </c>
      <c r="CF586" s="55">
        <v>0</v>
      </c>
      <c r="CG586" s="55">
        <v>0</v>
      </c>
      <c r="CH586" s="55">
        <v>0</v>
      </c>
      <c r="CI586" s="55">
        <v>0</v>
      </c>
      <c r="CJ586" s="55">
        <v>0</v>
      </c>
      <c r="CK586" s="55">
        <v>0</v>
      </c>
      <c r="CL586" s="55">
        <v>0</v>
      </c>
      <c r="CM586" s="55">
        <v>0</v>
      </c>
      <c r="CN586" s="55">
        <v>0</v>
      </c>
      <c r="CO586" s="55">
        <v>0</v>
      </c>
      <c r="CP586" s="55">
        <v>0</v>
      </c>
      <c r="CQ586" s="4">
        <v>1</v>
      </c>
    </row>
    <row r="587" spans="1:95" s="55" customFormat="1" x14ac:dyDescent="0.35">
      <c r="A587" s="55">
        <v>586</v>
      </c>
      <c r="B587" s="55" t="s">
        <v>87</v>
      </c>
      <c r="C587" s="27" t="s">
        <v>1581</v>
      </c>
      <c r="D587" s="50" t="s">
        <v>93</v>
      </c>
      <c r="E587" s="33" t="s">
        <v>89</v>
      </c>
      <c r="F587" s="4">
        <f>IFERROR(AVERAGEIF(Table1[[#This Row],[2019-Apr]:[2025-July]],"&lt;&gt;0"),0)</f>
        <v>1.3</v>
      </c>
      <c r="G587" s="4">
        <f ca="1">IFERROR(AVERAGEIF(OFFSET(Table1[[#This Row],[Status]],0,COUNT(Table1[[#This Row],[2019-May]:[2025-July]]),1,-12),"&lt;&gt;0"),0)</f>
        <v>0</v>
      </c>
      <c r="H587" s="55">
        <f>IFERROR(SMALL(Table1[[#This Row],[2019-Apr]:[2025-July]],COUNTIF(Table1[[#This Row],[2019-Apr]:[2025-July]],0)+1),0)</f>
        <v>1.3</v>
      </c>
      <c r="I587" s="55">
        <f>IFERROR(MAX(Table1[[#This Row],[2019-Apr]:[2025-July]]),0)</f>
        <v>1.3</v>
      </c>
      <c r="J587" s="4" cm="1">
        <f t="array" ref="J58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</v>
      </c>
      <c r="K587" s="4">
        <v>4.5</v>
      </c>
      <c r="L587" s="4">
        <f>IF(Table1[[#This Row],[Standard as per ISO]]&gt;=Table1[[#This Row],[Avg of best 6]],Table1[[#This Row],[Standard as per ISO]],Table1[[#This Row],[Avg of best 6]])</f>
        <v>4.5</v>
      </c>
      <c r="M587" s="4" cm="1">
        <f t="array" ref="M587">IFERROR(LOOKUP(2,1/(Table1[[#This Row],[2019-May]:[2025-July]]&lt;&gt;0),Table1[[#This Row],[2019-May]:[2025-July]]),0)</f>
        <v>1.3</v>
      </c>
      <c r="N587" s="4">
        <f>COUNTIF(Table1[[#This Row],[2019-Apr]:[2025-July]],"&gt;="&amp;Table1[[#This Row],[Target]])</f>
        <v>0</v>
      </c>
      <c r="O587" s="4">
        <f>IF(Table1[[#This Row],[Outliers 2Y]]=0,1,0)</f>
        <v>1</v>
      </c>
      <c r="P587" s="4">
        <f>IF(Table1[[#This Row],[Last value]]&gt;1.5*Table1[[#This Row],[Target]],1,0)</f>
        <v>0</v>
      </c>
      <c r="Q587" s="4">
        <f>IF(AND(1.5*Table1[[#This Row],[Target]]&gt;=Table1[[#This Row],[Last value]],Table1[[#This Row],[Last value]]&gt;Table1[[#This Row],[Target]]),1,0)</f>
        <v>0</v>
      </c>
      <c r="R587" s="4">
        <f>IF(Table1[[#This Row],[Target]]&gt;=Table1[[#This Row],[Last value]],1,0)</f>
        <v>1</v>
      </c>
      <c r="S587" s="4" t="str">
        <f t="shared" si="15"/>
        <v>Green</v>
      </c>
      <c r="T587" s="55">
        <v>0</v>
      </c>
      <c r="U587" s="55">
        <v>0</v>
      </c>
      <c r="V587" s="55">
        <v>0</v>
      </c>
      <c r="W587" s="55">
        <v>0</v>
      </c>
      <c r="X587" s="55">
        <v>0</v>
      </c>
      <c r="Y587" s="55">
        <v>0</v>
      </c>
      <c r="Z587" s="55">
        <v>0</v>
      </c>
      <c r="AA587" s="55">
        <v>0</v>
      </c>
      <c r="AB587" s="55">
        <v>0</v>
      </c>
      <c r="AC587" s="55">
        <v>0</v>
      </c>
      <c r="AD587" s="55">
        <v>0</v>
      </c>
      <c r="AE587" s="55">
        <v>0</v>
      </c>
      <c r="AF587" s="55">
        <v>0</v>
      </c>
      <c r="AG587" s="55">
        <v>0</v>
      </c>
      <c r="AH587" s="55">
        <v>0</v>
      </c>
      <c r="AI587" s="55">
        <v>0</v>
      </c>
      <c r="AJ587" s="55">
        <v>0</v>
      </c>
      <c r="AK587" s="55">
        <v>0</v>
      </c>
      <c r="AL587" s="55">
        <v>0</v>
      </c>
      <c r="AM587" s="55">
        <v>0</v>
      </c>
      <c r="AN587" s="55">
        <v>0</v>
      </c>
      <c r="AO587" s="55">
        <v>0</v>
      </c>
      <c r="AP587" s="55">
        <v>0</v>
      </c>
      <c r="AQ587" s="55">
        <v>0</v>
      </c>
      <c r="AR587" s="55">
        <v>0</v>
      </c>
      <c r="AS587" s="55">
        <v>0</v>
      </c>
      <c r="AT587" s="55">
        <v>0</v>
      </c>
      <c r="AU587" s="55">
        <v>0</v>
      </c>
      <c r="AV587" s="55">
        <v>0</v>
      </c>
      <c r="AW587" s="55">
        <v>0</v>
      </c>
      <c r="AX587" s="55">
        <v>0</v>
      </c>
      <c r="AY587" s="55">
        <v>0</v>
      </c>
      <c r="AZ587" s="55">
        <v>0</v>
      </c>
      <c r="BA587" s="55">
        <v>0</v>
      </c>
      <c r="BB587" s="55">
        <v>0</v>
      </c>
      <c r="BC587" s="55">
        <v>0</v>
      </c>
      <c r="BD587" s="55">
        <v>0</v>
      </c>
      <c r="BE587" s="55">
        <v>0</v>
      </c>
      <c r="BF587" s="55">
        <v>0</v>
      </c>
      <c r="BG587" s="55">
        <v>0</v>
      </c>
      <c r="BH587" s="55">
        <v>0</v>
      </c>
      <c r="BI587" s="55">
        <v>0</v>
      </c>
      <c r="BJ587" s="55">
        <v>0</v>
      </c>
      <c r="BK587" s="55">
        <v>0</v>
      </c>
      <c r="BL587" s="55">
        <v>0</v>
      </c>
      <c r="BM587" s="55">
        <v>0</v>
      </c>
      <c r="BN587" s="55">
        <v>0</v>
      </c>
      <c r="BO587" s="55">
        <v>0</v>
      </c>
      <c r="BP587" s="55">
        <v>0</v>
      </c>
      <c r="BQ587" s="55">
        <v>0</v>
      </c>
      <c r="BR587" s="55">
        <v>0</v>
      </c>
      <c r="BS587" s="55">
        <v>0</v>
      </c>
      <c r="BT587" s="55">
        <v>0</v>
      </c>
      <c r="BU587" s="55">
        <v>0</v>
      </c>
      <c r="BV587" s="55">
        <v>0</v>
      </c>
      <c r="BW587" s="55">
        <v>0</v>
      </c>
      <c r="BX587" s="55">
        <v>0</v>
      </c>
      <c r="BY587" s="55">
        <v>0</v>
      </c>
      <c r="BZ587" s="55">
        <v>0</v>
      </c>
      <c r="CA587" s="55">
        <v>0</v>
      </c>
      <c r="CB587" s="55">
        <v>0</v>
      </c>
      <c r="CC587" s="55">
        <v>0</v>
      </c>
      <c r="CD587" s="55">
        <v>0</v>
      </c>
      <c r="CE587" s="55">
        <v>0</v>
      </c>
      <c r="CF587" s="55">
        <v>0</v>
      </c>
      <c r="CG587" s="55">
        <v>0</v>
      </c>
      <c r="CH587" s="55">
        <v>0</v>
      </c>
      <c r="CI587" s="55">
        <v>0</v>
      </c>
      <c r="CJ587" s="55">
        <v>0</v>
      </c>
      <c r="CK587" s="55">
        <v>0</v>
      </c>
      <c r="CL587" s="55">
        <v>0</v>
      </c>
      <c r="CM587" s="55">
        <v>0</v>
      </c>
      <c r="CN587" s="55">
        <v>0</v>
      </c>
      <c r="CO587" s="55">
        <v>0</v>
      </c>
      <c r="CP587" s="55">
        <v>0</v>
      </c>
      <c r="CQ587" s="4">
        <v>1.3</v>
      </c>
    </row>
    <row r="588" spans="1:95" s="55" customFormat="1" x14ac:dyDescent="0.35">
      <c r="A588" s="55">
        <v>587</v>
      </c>
      <c r="B588" s="55" t="s">
        <v>87</v>
      </c>
      <c r="C588" s="27" t="s">
        <v>1582</v>
      </c>
      <c r="D588" s="50" t="s">
        <v>93</v>
      </c>
      <c r="E588" s="33" t="s">
        <v>89</v>
      </c>
      <c r="F588" s="4">
        <f>IFERROR(AVERAGEIF(Table1[[#This Row],[2019-Apr]:[2025-July]],"&lt;&gt;0"),0)</f>
        <v>1</v>
      </c>
      <c r="G588" s="4">
        <f ca="1">IFERROR(AVERAGEIF(OFFSET(Table1[[#This Row],[Status]],0,COUNT(Table1[[#This Row],[2019-May]:[2025-July]]),1,-12),"&lt;&gt;0"),0)</f>
        <v>0</v>
      </c>
      <c r="H588" s="55">
        <f>IFERROR(SMALL(Table1[[#This Row],[2019-Apr]:[2025-July]],COUNTIF(Table1[[#This Row],[2019-Apr]:[2025-July]],0)+1),0)</f>
        <v>1</v>
      </c>
      <c r="I588" s="55">
        <f>IFERROR(MAX(Table1[[#This Row],[2019-Apr]:[2025-July]]),0)</f>
        <v>1</v>
      </c>
      <c r="J588" s="4" cm="1">
        <f t="array" ref="J58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</v>
      </c>
      <c r="K588" s="4">
        <v>4.5</v>
      </c>
      <c r="L588" s="4">
        <f>IF(Table1[[#This Row],[Standard as per ISO]]&gt;=Table1[[#This Row],[Avg of best 6]],Table1[[#This Row],[Standard as per ISO]],Table1[[#This Row],[Avg of best 6]])</f>
        <v>4.5</v>
      </c>
      <c r="M588" s="4" cm="1">
        <f t="array" ref="M588">IFERROR(LOOKUP(2,1/(Table1[[#This Row],[2019-May]:[2025-July]]&lt;&gt;0),Table1[[#This Row],[2019-May]:[2025-July]]),0)</f>
        <v>1</v>
      </c>
      <c r="N588" s="4">
        <f>COUNTIF(Table1[[#This Row],[2019-Apr]:[2025-July]],"&gt;="&amp;Table1[[#This Row],[Target]])</f>
        <v>0</v>
      </c>
      <c r="O588" s="4">
        <f>IF(Table1[[#This Row],[Outliers 2Y]]=0,1,0)</f>
        <v>1</v>
      </c>
      <c r="P588" s="4">
        <f>IF(Table1[[#This Row],[Last value]]&gt;1.5*Table1[[#This Row],[Target]],1,0)</f>
        <v>0</v>
      </c>
      <c r="Q588" s="4">
        <f>IF(AND(1.5*Table1[[#This Row],[Target]]&gt;=Table1[[#This Row],[Last value]],Table1[[#This Row],[Last value]]&gt;Table1[[#This Row],[Target]]),1,0)</f>
        <v>0</v>
      </c>
      <c r="R588" s="4">
        <f>IF(Table1[[#This Row],[Target]]&gt;=Table1[[#This Row],[Last value]],1,0)</f>
        <v>1</v>
      </c>
      <c r="S588" s="4" t="str">
        <f t="shared" si="15"/>
        <v>Green</v>
      </c>
      <c r="T588" s="55">
        <v>0</v>
      </c>
      <c r="U588" s="55">
        <v>0</v>
      </c>
      <c r="V588" s="55">
        <v>0</v>
      </c>
      <c r="W588" s="55">
        <v>0</v>
      </c>
      <c r="X588" s="55">
        <v>0</v>
      </c>
      <c r="Y588" s="55">
        <v>0</v>
      </c>
      <c r="Z588" s="55">
        <v>0</v>
      </c>
      <c r="AA588" s="55">
        <v>0</v>
      </c>
      <c r="AB588" s="55">
        <v>0</v>
      </c>
      <c r="AC588" s="55">
        <v>0</v>
      </c>
      <c r="AD588" s="55">
        <v>0</v>
      </c>
      <c r="AE588" s="55">
        <v>0</v>
      </c>
      <c r="AF588" s="55">
        <v>0</v>
      </c>
      <c r="AG588" s="55">
        <v>0</v>
      </c>
      <c r="AH588" s="55">
        <v>0</v>
      </c>
      <c r="AI588" s="55">
        <v>0</v>
      </c>
      <c r="AJ588" s="55">
        <v>0</v>
      </c>
      <c r="AK588" s="55">
        <v>0</v>
      </c>
      <c r="AL588" s="55">
        <v>0</v>
      </c>
      <c r="AM588" s="55">
        <v>0</v>
      </c>
      <c r="AN588" s="55">
        <v>0</v>
      </c>
      <c r="AO588" s="55">
        <v>0</v>
      </c>
      <c r="AP588" s="55">
        <v>0</v>
      </c>
      <c r="AQ588" s="55">
        <v>0</v>
      </c>
      <c r="AR588" s="55">
        <v>0</v>
      </c>
      <c r="AS588" s="55">
        <v>0</v>
      </c>
      <c r="AT588" s="55">
        <v>0</v>
      </c>
      <c r="AU588" s="55">
        <v>0</v>
      </c>
      <c r="AV588" s="55">
        <v>0</v>
      </c>
      <c r="AW588" s="55">
        <v>0</v>
      </c>
      <c r="AX588" s="55">
        <v>0</v>
      </c>
      <c r="AY588" s="55">
        <v>0</v>
      </c>
      <c r="AZ588" s="55">
        <v>0</v>
      </c>
      <c r="BA588" s="55">
        <v>0</v>
      </c>
      <c r="BB588" s="55">
        <v>0</v>
      </c>
      <c r="BC588" s="55">
        <v>0</v>
      </c>
      <c r="BD588" s="55">
        <v>0</v>
      </c>
      <c r="BE588" s="55">
        <v>0</v>
      </c>
      <c r="BF588" s="55">
        <v>0</v>
      </c>
      <c r="BG588" s="55">
        <v>0</v>
      </c>
      <c r="BH588" s="55">
        <v>0</v>
      </c>
      <c r="BI588" s="55">
        <v>0</v>
      </c>
      <c r="BJ588" s="55">
        <v>0</v>
      </c>
      <c r="BK588" s="55">
        <v>0</v>
      </c>
      <c r="BL588" s="55">
        <v>0</v>
      </c>
      <c r="BM588" s="55">
        <v>0</v>
      </c>
      <c r="BN588" s="55">
        <v>0</v>
      </c>
      <c r="BO588" s="55">
        <v>0</v>
      </c>
      <c r="BP588" s="55">
        <v>0</v>
      </c>
      <c r="BQ588" s="55">
        <v>0</v>
      </c>
      <c r="BR588" s="55">
        <v>0</v>
      </c>
      <c r="BS588" s="55">
        <v>0</v>
      </c>
      <c r="BT588" s="55">
        <v>0</v>
      </c>
      <c r="BU588" s="55">
        <v>0</v>
      </c>
      <c r="BV588" s="55">
        <v>0</v>
      </c>
      <c r="BW588" s="55">
        <v>0</v>
      </c>
      <c r="BX588" s="55">
        <v>0</v>
      </c>
      <c r="BY588" s="55">
        <v>0</v>
      </c>
      <c r="BZ588" s="55">
        <v>0</v>
      </c>
      <c r="CA588" s="55">
        <v>0</v>
      </c>
      <c r="CB588" s="55">
        <v>0</v>
      </c>
      <c r="CC588" s="55">
        <v>0</v>
      </c>
      <c r="CD588" s="55">
        <v>0</v>
      </c>
      <c r="CE588" s="55">
        <v>0</v>
      </c>
      <c r="CF588" s="55">
        <v>0</v>
      </c>
      <c r="CG588" s="55">
        <v>0</v>
      </c>
      <c r="CH588" s="55">
        <v>0</v>
      </c>
      <c r="CI588" s="55">
        <v>0</v>
      </c>
      <c r="CJ588" s="55">
        <v>0</v>
      </c>
      <c r="CK588" s="55">
        <v>0</v>
      </c>
      <c r="CL588" s="55">
        <v>0</v>
      </c>
      <c r="CM588" s="55">
        <v>0</v>
      </c>
      <c r="CN588" s="55">
        <v>0</v>
      </c>
      <c r="CO588" s="55">
        <v>0</v>
      </c>
      <c r="CP588" s="55">
        <v>0</v>
      </c>
      <c r="CQ588" s="4">
        <v>1</v>
      </c>
    </row>
    <row r="589" spans="1:95" s="55" customFormat="1" x14ac:dyDescent="0.35">
      <c r="A589" s="55">
        <v>588</v>
      </c>
      <c r="B589" s="55" t="s">
        <v>87</v>
      </c>
      <c r="C589" s="27" t="s">
        <v>1583</v>
      </c>
      <c r="D589" s="50" t="s">
        <v>93</v>
      </c>
      <c r="E589" s="33" t="s">
        <v>89</v>
      </c>
      <c r="F589" s="4">
        <f>IFERROR(AVERAGEIF(Table1[[#This Row],[2019-Apr]:[2025-July]],"&lt;&gt;0"),0)</f>
        <v>0.9</v>
      </c>
      <c r="G589" s="4">
        <f ca="1">IFERROR(AVERAGEIF(OFFSET(Table1[[#This Row],[Status]],0,COUNT(Table1[[#This Row],[2019-May]:[2025-July]]),1,-12),"&lt;&gt;0"),0)</f>
        <v>0</v>
      </c>
      <c r="H589" s="55">
        <f>IFERROR(SMALL(Table1[[#This Row],[2019-Apr]:[2025-July]],COUNTIF(Table1[[#This Row],[2019-Apr]:[2025-July]],0)+1),0)</f>
        <v>0.9</v>
      </c>
      <c r="I589" s="55">
        <f>IFERROR(MAX(Table1[[#This Row],[2019-Apr]:[2025-July]]),0)</f>
        <v>0.9</v>
      </c>
      <c r="J589" s="4" cm="1">
        <f t="array" ref="J58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</v>
      </c>
      <c r="K589" s="4">
        <v>4.5</v>
      </c>
      <c r="L589" s="4">
        <f>IF(Table1[[#This Row],[Standard as per ISO]]&gt;=Table1[[#This Row],[Avg of best 6]],Table1[[#This Row],[Standard as per ISO]],Table1[[#This Row],[Avg of best 6]])</f>
        <v>4.5</v>
      </c>
      <c r="M589" s="4" cm="1">
        <f t="array" ref="M589">IFERROR(LOOKUP(2,1/(Table1[[#This Row],[2019-May]:[2025-July]]&lt;&gt;0),Table1[[#This Row],[2019-May]:[2025-July]]),0)</f>
        <v>0.9</v>
      </c>
      <c r="N589" s="4">
        <f>COUNTIF(Table1[[#This Row],[2019-Apr]:[2025-July]],"&gt;="&amp;Table1[[#This Row],[Target]])</f>
        <v>0</v>
      </c>
      <c r="O589" s="4">
        <f>IF(Table1[[#This Row],[Outliers 2Y]]=0,1,0)</f>
        <v>1</v>
      </c>
      <c r="P589" s="4">
        <f>IF(Table1[[#This Row],[Last value]]&gt;1.5*Table1[[#This Row],[Target]],1,0)</f>
        <v>0</v>
      </c>
      <c r="Q589" s="4">
        <f>IF(AND(1.5*Table1[[#This Row],[Target]]&gt;=Table1[[#This Row],[Last value]],Table1[[#This Row],[Last value]]&gt;Table1[[#This Row],[Target]]),1,0)</f>
        <v>0</v>
      </c>
      <c r="R589" s="4">
        <f>IF(Table1[[#This Row],[Target]]&gt;=Table1[[#This Row],[Last value]],1,0)</f>
        <v>1</v>
      </c>
      <c r="S589" s="4" t="str">
        <f t="shared" si="15"/>
        <v>Green</v>
      </c>
      <c r="T589" s="55">
        <v>0</v>
      </c>
      <c r="U589" s="55">
        <v>0</v>
      </c>
      <c r="V589" s="55">
        <v>0</v>
      </c>
      <c r="W589" s="55">
        <v>0</v>
      </c>
      <c r="X589" s="55">
        <v>0</v>
      </c>
      <c r="Y589" s="55">
        <v>0</v>
      </c>
      <c r="Z589" s="55">
        <v>0</v>
      </c>
      <c r="AA589" s="55">
        <v>0</v>
      </c>
      <c r="AB589" s="55">
        <v>0</v>
      </c>
      <c r="AC589" s="55">
        <v>0</v>
      </c>
      <c r="AD589" s="55">
        <v>0</v>
      </c>
      <c r="AE589" s="55">
        <v>0</v>
      </c>
      <c r="AF589" s="55">
        <v>0</v>
      </c>
      <c r="AG589" s="55">
        <v>0</v>
      </c>
      <c r="AH589" s="55">
        <v>0</v>
      </c>
      <c r="AI589" s="55">
        <v>0</v>
      </c>
      <c r="AJ589" s="55">
        <v>0</v>
      </c>
      <c r="AK589" s="55">
        <v>0</v>
      </c>
      <c r="AL589" s="55">
        <v>0</v>
      </c>
      <c r="AM589" s="55">
        <v>0</v>
      </c>
      <c r="AN589" s="55">
        <v>0</v>
      </c>
      <c r="AO589" s="55">
        <v>0</v>
      </c>
      <c r="AP589" s="55">
        <v>0</v>
      </c>
      <c r="AQ589" s="55">
        <v>0</v>
      </c>
      <c r="AR589" s="55">
        <v>0</v>
      </c>
      <c r="AS589" s="55">
        <v>0</v>
      </c>
      <c r="AT589" s="55">
        <v>0</v>
      </c>
      <c r="AU589" s="55">
        <v>0</v>
      </c>
      <c r="AV589" s="55">
        <v>0</v>
      </c>
      <c r="AW589" s="55">
        <v>0</v>
      </c>
      <c r="AX589" s="55">
        <v>0</v>
      </c>
      <c r="AY589" s="55">
        <v>0</v>
      </c>
      <c r="AZ589" s="55">
        <v>0</v>
      </c>
      <c r="BA589" s="55">
        <v>0</v>
      </c>
      <c r="BB589" s="55">
        <v>0</v>
      </c>
      <c r="BC589" s="55">
        <v>0</v>
      </c>
      <c r="BD589" s="55">
        <v>0</v>
      </c>
      <c r="BE589" s="55">
        <v>0</v>
      </c>
      <c r="BF589" s="55">
        <v>0</v>
      </c>
      <c r="BG589" s="55">
        <v>0</v>
      </c>
      <c r="BH589" s="55">
        <v>0</v>
      </c>
      <c r="BI589" s="55">
        <v>0</v>
      </c>
      <c r="BJ589" s="55">
        <v>0</v>
      </c>
      <c r="BK589" s="55">
        <v>0</v>
      </c>
      <c r="BL589" s="55">
        <v>0</v>
      </c>
      <c r="BM589" s="55">
        <v>0</v>
      </c>
      <c r="BN589" s="55">
        <v>0</v>
      </c>
      <c r="BO589" s="55">
        <v>0</v>
      </c>
      <c r="BP589" s="55">
        <v>0</v>
      </c>
      <c r="BQ589" s="55">
        <v>0</v>
      </c>
      <c r="BR589" s="55">
        <v>0</v>
      </c>
      <c r="BS589" s="55">
        <v>0</v>
      </c>
      <c r="BT589" s="55">
        <v>0</v>
      </c>
      <c r="BU589" s="55">
        <v>0</v>
      </c>
      <c r="BV589" s="55">
        <v>0</v>
      </c>
      <c r="BW589" s="55">
        <v>0</v>
      </c>
      <c r="BX589" s="55">
        <v>0</v>
      </c>
      <c r="BY589" s="55">
        <v>0</v>
      </c>
      <c r="BZ589" s="55">
        <v>0</v>
      </c>
      <c r="CA589" s="55">
        <v>0</v>
      </c>
      <c r="CB589" s="55">
        <v>0</v>
      </c>
      <c r="CC589" s="55">
        <v>0</v>
      </c>
      <c r="CD589" s="55">
        <v>0</v>
      </c>
      <c r="CE589" s="55">
        <v>0</v>
      </c>
      <c r="CF589" s="55">
        <v>0</v>
      </c>
      <c r="CG589" s="55">
        <v>0</v>
      </c>
      <c r="CH589" s="55">
        <v>0</v>
      </c>
      <c r="CI589" s="55">
        <v>0</v>
      </c>
      <c r="CJ589" s="55">
        <v>0</v>
      </c>
      <c r="CK589" s="55">
        <v>0</v>
      </c>
      <c r="CL589" s="55">
        <v>0</v>
      </c>
      <c r="CM589" s="55">
        <v>0</v>
      </c>
      <c r="CN589" s="55">
        <v>0</v>
      </c>
      <c r="CO589" s="55">
        <v>0</v>
      </c>
      <c r="CP589" s="55">
        <v>0</v>
      </c>
      <c r="CQ589" s="4">
        <v>0.9</v>
      </c>
    </row>
    <row r="590" spans="1:95" s="55" customFormat="1" x14ac:dyDescent="0.35">
      <c r="A590" s="55">
        <v>589</v>
      </c>
      <c r="B590" s="55" t="s">
        <v>87</v>
      </c>
      <c r="C590" s="27" t="s">
        <v>1584</v>
      </c>
      <c r="D590" s="50" t="s">
        <v>93</v>
      </c>
      <c r="E590" s="33" t="s">
        <v>89</v>
      </c>
      <c r="F590" s="4">
        <f>IFERROR(AVERAGEIF(Table1[[#This Row],[2019-Apr]:[2025-July]],"&lt;&gt;0"),0)</f>
        <v>1.7</v>
      </c>
      <c r="G590" s="4">
        <f ca="1">IFERROR(AVERAGEIF(OFFSET(Table1[[#This Row],[Status]],0,COUNT(Table1[[#This Row],[2019-May]:[2025-July]]),1,-12),"&lt;&gt;0"),0)</f>
        <v>0</v>
      </c>
      <c r="H590" s="55">
        <f>IFERROR(SMALL(Table1[[#This Row],[2019-Apr]:[2025-July]],COUNTIF(Table1[[#This Row],[2019-Apr]:[2025-July]],0)+1),0)</f>
        <v>1.7</v>
      </c>
      <c r="I590" s="55">
        <f>IFERROR(MAX(Table1[[#This Row],[2019-Apr]:[2025-July]]),0)</f>
        <v>1.7</v>
      </c>
      <c r="J590" s="4" cm="1">
        <f t="array" ref="J59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</v>
      </c>
      <c r="K590" s="4">
        <v>4.5</v>
      </c>
      <c r="L590" s="4">
        <f>IF(Table1[[#This Row],[Standard as per ISO]]&gt;=Table1[[#This Row],[Avg of best 6]],Table1[[#This Row],[Standard as per ISO]],Table1[[#This Row],[Avg of best 6]])</f>
        <v>4.5</v>
      </c>
      <c r="M590" s="4" cm="1">
        <f t="array" ref="M590">IFERROR(LOOKUP(2,1/(Table1[[#This Row],[2019-May]:[2025-July]]&lt;&gt;0),Table1[[#This Row],[2019-May]:[2025-July]]),0)</f>
        <v>1.7</v>
      </c>
      <c r="N590" s="4">
        <f>COUNTIF(Table1[[#This Row],[2019-Apr]:[2025-July]],"&gt;="&amp;Table1[[#This Row],[Target]])</f>
        <v>0</v>
      </c>
      <c r="O590" s="4">
        <f>IF(Table1[[#This Row],[Outliers 2Y]]=0,1,0)</f>
        <v>1</v>
      </c>
      <c r="P590" s="4">
        <f>IF(Table1[[#This Row],[Last value]]&gt;1.5*Table1[[#This Row],[Target]],1,0)</f>
        <v>0</v>
      </c>
      <c r="Q590" s="4">
        <f>IF(AND(1.5*Table1[[#This Row],[Target]]&gt;=Table1[[#This Row],[Last value]],Table1[[#This Row],[Last value]]&gt;Table1[[#This Row],[Target]]),1,0)</f>
        <v>0</v>
      </c>
      <c r="R590" s="4">
        <f>IF(Table1[[#This Row],[Target]]&gt;=Table1[[#This Row],[Last value]],1,0)</f>
        <v>1</v>
      </c>
      <c r="S590" s="4" t="str">
        <f t="shared" si="15"/>
        <v>Green</v>
      </c>
      <c r="T590" s="55">
        <v>0</v>
      </c>
      <c r="U590" s="55">
        <v>0</v>
      </c>
      <c r="V590" s="55">
        <v>0</v>
      </c>
      <c r="W590" s="55">
        <v>0</v>
      </c>
      <c r="X590" s="55">
        <v>0</v>
      </c>
      <c r="Y590" s="55">
        <v>0</v>
      </c>
      <c r="Z590" s="55">
        <v>0</v>
      </c>
      <c r="AA590" s="55">
        <v>0</v>
      </c>
      <c r="AB590" s="55">
        <v>0</v>
      </c>
      <c r="AC590" s="55">
        <v>0</v>
      </c>
      <c r="AD590" s="55">
        <v>0</v>
      </c>
      <c r="AE590" s="55">
        <v>0</v>
      </c>
      <c r="AF590" s="55">
        <v>0</v>
      </c>
      <c r="AG590" s="55">
        <v>0</v>
      </c>
      <c r="AH590" s="55">
        <v>0</v>
      </c>
      <c r="AI590" s="55">
        <v>0</v>
      </c>
      <c r="AJ590" s="55">
        <v>0</v>
      </c>
      <c r="AK590" s="55">
        <v>0</v>
      </c>
      <c r="AL590" s="55">
        <v>0</v>
      </c>
      <c r="AM590" s="55">
        <v>0</v>
      </c>
      <c r="AN590" s="55">
        <v>0</v>
      </c>
      <c r="AO590" s="55">
        <v>0</v>
      </c>
      <c r="AP590" s="55">
        <v>0</v>
      </c>
      <c r="AQ590" s="55">
        <v>0</v>
      </c>
      <c r="AR590" s="55">
        <v>0</v>
      </c>
      <c r="AS590" s="55">
        <v>0</v>
      </c>
      <c r="AT590" s="55">
        <v>0</v>
      </c>
      <c r="AU590" s="55">
        <v>0</v>
      </c>
      <c r="AV590" s="55">
        <v>0</v>
      </c>
      <c r="AW590" s="55">
        <v>0</v>
      </c>
      <c r="AX590" s="55">
        <v>0</v>
      </c>
      <c r="AY590" s="55">
        <v>0</v>
      </c>
      <c r="AZ590" s="55">
        <v>0</v>
      </c>
      <c r="BA590" s="55">
        <v>0</v>
      </c>
      <c r="BB590" s="55">
        <v>0</v>
      </c>
      <c r="BC590" s="55">
        <v>0</v>
      </c>
      <c r="BD590" s="55">
        <v>0</v>
      </c>
      <c r="BE590" s="55">
        <v>0</v>
      </c>
      <c r="BF590" s="55">
        <v>0</v>
      </c>
      <c r="BG590" s="55">
        <v>0</v>
      </c>
      <c r="BH590" s="55">
        <v>0</v>
      </c>
      <c r="BI590" s="55">
        <v>0</v>
      </c>
      <c r="BJ590" s="55">
        <v>0</v>
      </c>
      <c r="BK590" s="55">
        <v>0</v>
      </c>
      <c r="BL590" s="55">
        <v>0</v>
      </c>
      <c r="BM590" s="55">
        <v>0</v>
      </c>
      <c r="BN590" s="55">
        <v>0</v>
      </c>
      <c r="BO590" s="55">
        <v>0</v>
      </c>
      <c r="BP590" s="55">
        <v>0</v>
      </c>
      <c r="BQ590" s="55">
        <v>0</v>
      </c>
      <c r="BR590" s="55">
        <v>0</v>
      </c>
      <c r="BS590" s="55">
        <v>0</v>
      </c>
      <c r="BT590" s="55">
        <v>0</v>
      </c>
      <c r="BU590" s="55">
        <v>0</v>
      </c>
      <c r="BV590" s="55">
        <v>0</v>
      </c>
      <c r="BW590" s="55">
        <v>0</v>
      </c>
      <c r="BX590" s="55">
        <v>0</v>
      </c>
      <c r="BY590" s="55">
        <v>0</v>
      </c>
      <c r="BZ590" s="55">
        <v>0</v>
      </c>
      <c r="CA590" s="55">
        <v>0</v>
      </c>
      <c r="CB590" s="55">
        <v>0</v>
      </c>
      <c r="CC590" s="55">
        <v>0</v>
      </c>
      <c r="CD590" s="55">
        <v>0</v>
      </c>
      <c r="CE590" s="55">
        <v>0</v>
      </c>
      <c r="CF590" s="55">
        <v>0</v>
      </c>
      <c r="CG590" s="55">
        <v>0</v>
      </c>
      <c r="CH590" s="55">
        <v>0</v>
      </c>
      <c r="CI590" s="55">
        <v>0</v>
      </c>
      <c r="CJ590" s="55">
        <v>0</v>
      </c>
      <c r="CK590" s="55">
        <v>0</v>
      </c>
      <c r="CL590" s="55">
        <v>0</v>
      </c>
      <c r="CM590" s="55">
        <v>0</v>
      </c>
      <c r="CN590" s="55">
        <v>0</v>
      </c>
      <c r="CO590" s="55">
        <v>0</v>
      </c>
      <c r="CP590" s="55">
        <v>0</v>
      </c>
      <c r="CQ590" s="4">
        <v>1.7</v>
      </c>
    </row>
    <row r="591" spans="1:95" x14ac:dyDescent="0.35">
      <c r="A591" s="55">
        <v>590</v>
      </c>
      <c r="B591" t="s">
        <v>119</v>
      </c>
      <c r="C591" s="27" t="s">
        <v>863</v>
      </c>
      <c r="D591" s="3" t="s">
        <v>93</v>
      </c>
      <c r="E591" s="33" t="s">
        <v>89</v>
      </c>
      <c r="F591" s="4">
        <f>IFERROR(AVERAGEIF(Table1[[#This Row],[2019-Apr]:[2025-July]],"&lt;&gt;0"),0)</f>
        <v>2.5921567164179105</v>
      </c>
      <c r="G591" s="4">
        <f ca="1">IFERROR(AVERAGEIF(OFFSET(Table1[[#This Row],[Status]],0,COUNT(Table1[[#This Row],[2019-May]:[2025-July]]),1,-12),"&lt;&gt;0"),0)</f>
        <v>2.843</v>
      </c>
      <c r="H591" s="55">
        <f>IFERROR(SMALL(Table1[[#This Row],[2019-Apr]:[2025-July]],COUNTIF(Table1[[#This Row],[2019-Apr]:[2025-July]],0)+1),0)</f>
        <v>0.35</v>
      </c>
      <c r="I591" s="55">
        <f>IFERROR(MAX(Table1[[#This Row],[2019-Apr]:[2025-July]]),0)</f>
        <v>6.8</v>
      </c>
      <c r="J591" s="4" cm="1">
        <f t="array" ref="J59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0.80166666666666664</v>
      </c>
      <c r="K591" s="4">
        <v>4.5</v>
      </c>
      <c r="L591" s="4">
        <f>IF(Table1[[#This Row],[Standard as per ISO]]&gt;=Table1[[#This Row],[Avg of best 6]],Table1[[#This Row],[Standard as per ISO]],Table1[[#This Row],[Avg of best 6]])</f>
        <v>4.5</v>
      </c>
      <c r="M591" s="4" cm="1">
        <f t="array" ref="M591">IFERROR(LOOKUP(2,1/(Table1[[#This Row],[2019-May]:[2025-July]]&lt;&gt;0),Table1[[#This Row],[2019-May]:[2025-July]]),0)</f>
        <v>1.6</v>
      </c>
      <c r="N591" s="4">
        <f>COUNTIF(Table1[[#This Row],[2019-Apr]:[2025-July]],"&gt;="&amp;Table1[[#This Row],[Target]])</f>
        <v>4</v>
      </c>
      <c r="O591" s="4">
        <f>IF(Table1[[#This Row],[Outliers 2Y]]=0,1,0)</f>
        <v>0</v>
      </c>
      <c r="P591" s="4">
        <f>IF(Table1[[#This Row],[Last value]]&gt;1.5*Table1[[#This Row],[Target]],1,0)</f>
        <v>0</v>
      </c>
      <c r="Q591" s="4">
        <f>IF(AND(1.5*Table1[[#This Row],[Target]]&gt;=Table1[[#This Row],[Last value]],Table1[[#This Row],[Last value]]&gt;Table1[[#This Row],[Target]]),1,0)</f>
        <v>0</v>
      </c>
      <c r="R591" s="4">
        <f>IF(Table1[[#This Row],[Target]]&gt;=Table1[[#This Row],[Last value]],1,0)</f>
        <v>1</v>
      </c>
      <c r="S591" s="4" t="str">
        <f t="shared" ref="S591:S653" si="16">IF(P591=1, "Red", IF(Q591=1, "Yellow", "Green"))</f>
        <v>Green</v>
      </c>
      <c r="T591">
        <v>0.35</v>
      </c>
      <c r="U591">
        <v>0.41</v>
      </c>
      <c r="V591">
        <v>2.09</v>
      </c>
      <c r="W591">
        <v>2.2000000000000002</v>
      </c>
      <c r="X591">
        <v>0</v>
      </c>
      <c r="Y591">
        <v>1.1200000000000001</v>
      </c>
      <c r="Z591">
        <v>3.39</v>
      </c>
      <c r="AA591">
        <v>0</v>
      </c>
      <c r="AB591">
        <v>3</v>
      </c>
      <c r="AC591">
        <v>1.8</v>
      </c>
      <c r="AD591">
        <v>3.01</v>
      </c>
      <c r="AE591">
        <v>1.4</v>
      </c>
      <c r="AF591">
        <v>1.9</v>
      </c>
      <c r="AG591">
        <v>2.0274999999999999</v>
      </c>
      <c r="AH591">
        <v>3.5</v>
      </c>
      <c r="AI591">
        <v>3.75</v>
      </c>
      <c r="AJ591">
        <v>3.1</v>
      </c>
      <c r="AK591">
        <v>2</v>
      </c>
      <c r="AL591">
        <v>2.58</v>
      </c>
      <c r="AM591">
        <v>2.88</v>
      </c>
      <c r="AN591">
        <v>2.23</v>
      </c>
      <c r="AO591">
        <v>2.0499999999999998</v>
      </c>
      <c r="AP591">
        <v>3.2</v>
      </c>
      <c r="AQ591">
        <v>2.97</v>
      </c>
      <c r="AR591" s="8">
        <v>1.8</v>
      </c>
      <c r="AS591" s="8">
        <v>0.99</v>
      </c>
      <c r="AT591" s="8">
        <v>0.97</v>
      </c>
      <c r="AU591" s="3">
        <v>1.08</v>
      </c>
      <c r="AV591" s="3">
        <v>0.87</v>
      </c>
      <c r="AW591" s="3">
        <v>0.86</v>
      </c>
      <c r="AX591" s="3">
        <v>1.1599999999999999</v>
      </c>
      <c r="AY591" s="3">
        <v>2.1</v>
      </c>
      <c r="AZ591" s="3">
        <v>3.68</v>
      </c>
      <c r="BA591" s="3">
        <v>4.3</v>
      </c>
      <c r="BB591" s="3">
        <v>1.6</v>
      </c>
      <c r="BC591">
        <v>3.1</v>
      </c>
      <c r="BD591">
        <v>0</v>
      </c>
      <c r="BE591" s="11">
        <v>4.2140000000000004</v>
      </c>
      <c r="BF591" s="4">
        <v>3.911</v>
      </c>
      <c r="BG591" s="4">
        <v>4.9340000000000002</v>
      </c>
      <c r="BH591" s="4">
        <v>0</v>
      </c>
      <c r="BI591" s="4">
        <v>0</v>
      </c>
      <c r="BJ591" s="13">
        <v>3.0419999999999998</v>
      </c>
      <c r="BK591" s="13">
        <v>2.3919999999999999</v>
      </c>
      <c r="BL591" s="4">
        <v>3.9079999999999999</v>
      </c>
      <c r="BM591" s="16">
        <v>0</v>
      </c>
      <c r="BN591" s="4">
        <v>3.3660000000000001</v>
      </c>
      <c r="BO591" s="4">
        <v>2.7530000000000001</v>
      </c>
      <c r="BP591" s="4">
        <v>2.2599999999999998</v>
      </c>
      <c r="BQ591" s="4">
        <v>2.5489999999999999</v>
      </c>
      <c r="BR591" s="4">
        <v>2.613</v>
      </c>
      <c r="BS591" s="4">
        <v>2.339</v>
      </c>
      <c r="BT591" s="4">
        <v>3.4830000000000001</v>
      </c>
      <c r="BU591" s="4">
        <v>4.1349999999999998</v>
      </c>
      <c r="BV591" s="4">
        <v>1.8129999999999999</v>
      </c>
      <c r="BW591" s="4">
        <v>1.595</v>
      </c>
      <c r="BX591" s="4">
        <v>3.19</v>
      </c>
      <c r="BY591" s="4">
        <v>2.2599999999999998</v>
      </c>
      <c r="BZ591" s="18">
        <v>2.93</v>
      </c>
      <c r="CA591" s="18">
        <v>2.68</v>
      </c>
      <c r="CB591">
        <v>4.4000000000000004</v>
      </c>
      <c r="CC591" s="18">
        <v>4.7</v>
      </c>
      <c r="CD591">
        <v>2.31</v>
      </c>
      <c r="CE591" s="19">
        <v>5.0999999999999996</v>
      </c>
      <c r="CF591" s="19">
        <v>3.9</v>
      </c>
      <c r="CG591" s="4">
        <v>0</v>
      </c>
      <c r="CH591" s="4">
        <v>3.78</v>
      </c>
      <c r="CI591" s="4">
        <v>1.75</v>
      </c>
      <c r="CJ591" s="34">
        <v>1.1000000000000001</v>
      </c>
      <c r="CK591" s="34">
        <v>0.8</v>
      </c>
      <c r="CL591" s="43">
        <v>2.7</v>
      </c>
      <c r="CM591" s="4">
        <v>0</v>
      </c>
      <c r="CN591" s="53">
        <v>6.8</v>
      </c>
      <c r="CO591" s="54">
        <v>0.9</v>
      </c>
      <c r="CP591" s="54">
        <v>1.6</v>
      </c>
      <c r="CQ591" s="4">
        <v>0</v>
      </c>
    </row>
    <row r="592" spans="1:95" x14ac:dyDescent="0.35">
      <c r="A592" s="55">
        <v>591</v>
      </c>
      <c r="B592" t="s">
        <v>119</v>
      </c>
      <c r="C592" s="27" t="s">
        <v>864</v>
      </c>
      <c r="D592" s="3" t="s">
        <v>93</v>
      </c>
      <c r="E592" s="33" t="s">
        <v>89</v>
      </c>
      <c r="F592" s="4">
        <f>IFERROR(AVERAGEIF(Table1[[#This Row],[2019-Apr]:[2025-July]],"&lt;&gt;0"),0)</f>
        <v>2.1539142857142841</v>
      </c>
      <c r="G592" s="4">
        <f ca="1">IFERROR(AVERAGEIF(OFFSET(Table1[[#This Row],[Status]],0,COUNT(Table1[[#This Row],[2019-May]:[2025-July]]),1,-12),"&lt;&gt;0"),0)</f>
        <v>2.6636363636363636</v>
      </c>
      <c r="H592" s="55">
        <f>IFERROR(SMALL(Table1[[#This Row],[2019-Apr]:[2025-July]],COUNTIF(Table1[[#This Row],[2019-Apr]:[2025-July]],0)+1),0)</f>
        <v>0.24</v>
      </c>
      <c r="I592" s="55">
        <f>IFERROR(MAX(Table1[[#This Row],[2019-Apr]:[2025-July]]),0)</f>
        <v>7.4</v>
      </c>
      <c r="J592" s="4" cm="1">
        <f t="array" ref="J59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0.54</v>
      </c>
      <c r="K592" s="4">
        <v>4.5</v>
      </c>
      <c r="L592" s="4">
        <f>IF(Table1[[#This Row],[Standard as per ISO]]&gt;=Table1[[#This Row],[Avg of best 6]],Table1[[#This Row],[Standard as per ISO]],Table1[[#This Row],[Avg of best 6]])</f>
        <v>4.5</v>
      </c>
      <c r="M592" s="4" cm="1">
        <f t="array" ref="M592">IFERROR(LOOKUP(2,1/(Table1[[#This Row],[2019-May]:[2025-July]]&lt;&gt;0),Table1[[#This Row],[2019-May]:[2025-July]]),0)</f>
        <v>2.6</v>
      </c>
      <c r="N592" s="4">
        <f>COUNTIF(Table1[[#This Row],[2019-Apr]:[2025-July]],"&gt;="&amp;Table1[[#This Row],[Target]])</f>
        <v>6</v>
      </c>
      <c r="O592" s="4">
        <f>IF(Table1[[#This Row],[Outliers 2Y]]=0,1,0)</f>
        <v>0</v>
      </c>
      <c r="P592" s="4">
        <f>IF(Table1[[#This Row],[Last value]]&gt;1.5*Table1[[#This Row],[Target]],1,0)</f>
        <v>0</v>
      </c>
      <c r="Q592" s="4">
        <f>IF(AND(1.5*Table1[[#This Row],[Target]]&gt;=Table1[[#This Row],[Last value]],Table1[[#This Row],[Last value]]&gt;Table1[[#This Row],[Target]]),1,0)</f>
        <v>0</v>
      </c>
      <c r="R592" s="4">
        <f>IF(Table1[[#This Row],[Target]]&gt;=Table1[[#This Row],[Last value]],1,0)</f>
        <v>1</v>
      </c>
      <c r="S592" s="4" t="str">
        <f t="shared" si="16"/>
        <v>Green</v>
      </c>
      <c r="T592">
        <v>0.24</v>
      </c>
      <c r="U592">
        <v>0.24</v>
      </c>
      <c r="V592">
        <v>0.24199999999999999</v>
      </c>
      <c r="W592">
        <v>1.2</v>
      </c>
      <c r="X592">
        <v>0</v>
      </c>
      <c r="Y592">
        <v>0.87</v>
      </c>
      <c r="Z592">
        <v>0.84</v>
      </c>
      <c r="AA592">
        <v>0</v>
      </c>
      <c r="AB592">
        <v>1.02</v>
      </c>
      <c r="AC592">
        <v>0.94</v>
      </c>
      <c r="AD592">
        <v>1.78</v>
      </c>
      <c r="AE592">
        <v>2.4</v>
      </c>
      <c r="AF592">
        <v>1.6</v>
      </c>
      <c r="AG592">
        <v>2.2999999999999998</v>
      </c>
      <c r="AH592">
        <v>0.8</v>
      </c>
      <c r="AI592">
        <v>1.03</v>
      </c>
      <c r="AJ592">
        <v>2.9</v>
      </c>
      <c r="AK592">
        <v>1.81</v>
      </c>
      <c r="AL592">
        <v>0.91</v>
      </c>
      <c r="AM592">
        <v>0.8</v>
      </c>
      <c r="AN592">
        <v>1.23</v>
      </c>
      <c r="AO592">
        <v>1.5</v>
      </c>
      <c r="AP592">
        <v>1.9</v>
      </c>
      <c r="AQ592">
        <v>1.76</v>
      </c>
      <c r="AR592" s="8">
        <v>4.8899999999999997</v>
      </c>
      <c r="AS592" s="8">
        <v>3.08</v>
      </c>
      <c r="AT592" s="8">
        <v>1.4</v>
      </c>
      <c r="AU592" s="3">
        <v>1.08</v>
      </c>
      <c r="AV592" s="3">
        <v>4.05</v>
      </c>
      <c r="AW592" s="3">
        <v>3.61</v>
      </c>
      <c r="AX592" s="3">
        <v>3.43</v>
      </c>
      <c r="AY592" s="3">
        <v>2.2000000000000002</v>
      </c>
      <c r="AZ592" s="3">
        <v>7.4</v>
      </c>
      <c r="BA592" s="3">
        <v>2.4</v>
      </c>
      <c r="BB592" s="3">
        <v>3.1</v>
      </c>
      <c r="BC592">
        <v>0.8</v>
      </c>
      <c r="BD592">
        <v>0</v>
      </c>
      <c r="BE592" s="11">
        <v>4.0330000000000004</v>
      </c>
      <c r="BF592" s="4">
        <v>1.9970000000000001</v>
      </c>
      <c r="BG592" s="4">
        <v>2.1120000000000001</v>
      </c>
      <c r="BH592" s="4">
        <v>0</v>
      </c>
      <c r="BI592" s="4">
        <v>6.0720000000000001</v>
      </c>
      <c r="BJ592" s="14">
        <v>2.64</v>
      </c>
      <c r="BK592" s="14">
        <v>3.62</v>
      </c>
      <c r="BL592" s="4">
        <v>4.5199999999999996</v>
      </c>
      <c r="BM592" s="17">
        <v>2.85</v>
      </c>
      <c r="BN592" s="4">
        <v>4.3600000000000003</v>
      </c>
      <c r="BO592" s="4">
        <v>0.78500000000000003</v>
      </c>
      <c r="BP592" s="4">
        <v>0.78500000000000003</v>
      </c>
      <c r="BQ592" s="4">
        <v>0.68799999999999994</v>
      </c>
      <c r="BR592" s="4">
        <v>0.79600000000000004</v>
      </c>
      <c r="BS592" s="4">
        <v>1.387</v>
      </c>
      <c r="BT592" s="4">
        <v>0.89300000000000002</v>
      </c>
      <c r="BU592" s="4">
        <v>0</v>
      </c>
      <c r="BV592" s="4">
        <v>0.83799999999999997</v>
      </c>
      <c r="BW592" s="4">
        <v>0.83799999999999997</v>
      </c>
      <c r="BX592" s="4">
        <v>1.0940000000000001</v>
      </c>
      <c r="BY592" s="4">
        <v>0.97399999999999998</v>
      </c>
      <c r="BZ592">
        <v>2.97</v>
      </c>
      <c r="CA592">
        <v>1.86</v>
      </c>
      <c r="CB592">
        <v>1.02</v>
      </c>
      <c r="CC592">
        <v>2.6</v>
      </c>
      <c r="CD592">
        <v>3.39</v>
      </c>
      <c r="CE592" s="19">
        <v>1.9</v>
      </c>
      <c r="CF592" s="19">
        <v>3.7</v>
      </c>
      <c r="CG592" s="4">
        <v>4.8899999999999997</v>
      </c>
      <c r="CH592" s="4">
        <v>5.07</v>
      </c>
      <c r="CI592" s="4">
        <v>2.14</v>
      </c>
      <c r="CJ592" s="34">
        <v>2.2999999999999998</v>
      </c>
      <c r="CK592" s="34">
        <v>2.7</v>
      </c>
      <c r="CL592" s="43">
        <v>3.7</v>
      </c>
      <c r="CM592" s="4">
        <v>0</v>
      </c>
      <c r="CN592" s="53">
        <v>1.2</v>
      </c>
      <c r="CO592" s="54">
        <v>0.5</v>
      </c>
      <c r="CP592" s="54">
        <v>1.2</v>
      </c>
      <c r="CQ592" s="4">
        <v>2.6</v>
      </c>
    </row>
    <row r="593" spans="1:95" x14ac:dyDescent="0.35">
      <c r="A593" s="55">
        <v>592</v>
      </c>
      <c r="B593" t="s">
        <v>119</v>
      </c>
      <c r="C593" s="27" t="s">
        <v>865</v>
      </c>
      <c r="D593" s="3" t="s">
        <v>93</v>
      </c>
      <c r="E593" s="33" t="s">
        <v>91</v>
      </c>
      <c r="F593" s="4">
        <f>IFERROR(AVERAGEIF(Table1[[#This Row],[2019-Apr]:[2025-July]],"&lt;&gt;0"),0)</f>
        <v>3.3004285714285713</v>
      </c>
      <c r="G593" s="4">
        <f ca="1">IFERROR(AVERAGEIF(OFFSET(Table1[[#This Row],[Status]],0,COUNT(Table1[[#This Row],[2019-May]:[2025-July]]),1,-12),"&lt;&gt;0"),0)</f>
        <v>3.8420000000000001</v>
      </c>
      <c r="H593" s="55">
        <f>IFERROR(SMALL(Table1[[#This Row],[2019-Apr]:[2025-July]],COUNTIF(Table1[[#This Row],[2019-Apr]:[2025-July]],0)+1),0)</f>
        <v>1.3</v>
      </c>
      <c r="I593" s="55">
        <f>IFERROR(MAX(Table1[[#This Row],[2019-Apr]:[2025-July]]),0)</f>
        <v>5.52</v>
      </c>
      <c r="J593" s="4" cm="1">
        <f t="array" ref="J59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2.1896666666666671</v>
      </c>
      <c r="K593" s="4">
        <v>4.5</v>
      </c>
      <c r="L593" s="4">
        <f>IF(Table1[[#This Row],[Standard as per ISO]]&gt;=Table1[[#This Row],[Avg of best 6]],Table1[[#This Row],[Standard as per ISO]],Table1[[#This Row],[Avg of best 6]])</f>
        <v>4.5</v>
      </c>
      <c r="M593" s="4" cm="1">
        <f t="array" ref="M593">IFERROR(LOOKUP(2,1/(Table1[[#This Row],[2019-May]:[2025-July]]&lt;&gt;0),Table1[[#This Row],[2019-May]:[2025-July]]),0)</f>
        <v>3.6</v>
      </c>
      <c r="N593" s="4">
        <f>COUNTIF(Table1[[#This Row],[2019-Apr]:[2025-July]],"&gt;="&amp;Table1[[#This Row],[Target]])</f>
        <v>2</v>
      </c>
      <c r="O593" s="4">
        <f>IF(Table1[[#This Row],[Outliers 2Y]]=0,1,0)</f>
        <v>0</v>
      </c>
      <c r="P593" s="4">
        <f>IF(Table1[[#This Row],[Last value]]&gt;1.5*Table1[[#This Row],[Target]],1,0)</f>
        <v>0</v>
      </c>
      <c r="Q593" s="4">
        <f>IF(AND(1.5*Table1[[#This Row],[Target]]&gt;=Table1[[#This Row],[Last value]],Table1[[#This Row],[Last value]]&gt;Table1[[#This Row],[Target]]),1,0)</f>
        <v>0</v>
      </c>
      <c r="R593" s="4">
        <f>IF(Table1[[#This Row],[Target]]&gt;=Table1[[#This Row],[Last value]],1,0)</f>
        <v>1</v>
      </c>
      <c r="S593" s="4" t="str">
        <f t="shared" si="16"/>
        <v>Green</v>
      </c>
      <c r="T593">
        <v>3.07</v>
      </c>
      <c r="U593">
        <v>4.28</v>
      </c>
      <c r="V593">
        <v>3.66</v>
      </c>
      <c r="W593">
        <v>3.64</v>
      </c>
      <c r="X593">
        <v>0</v>
      </c>
      <c r="Y593">
        <v>3.48</v>
      </c>
      <c r="Z593">
        <v>3.62</v>
      </c>
      <c r="AA593">
        <v>0</v>
      </c>
      <c r="AB593">
        <v>3.21</v>
      </c>
      <c r="AC593">
        <v>5.0999999999999996</v>
      </c>
      <c r="AD593">
        <v>3.24</v>
      </c>
      <c r="AE593">
        <v>4.4000000000000004</v>
      </c>
      <c r="AF593">
        <v>3.5</v>
      </c>
      <c r="AG593">
        <v>3.2</v>
      </c>
      <c r="AH593">
        <v>4.0999999999999996</v>
      </c>
      <c r="AI593">
        <v>2.8</v>
      </c>
      <c r="AJ593">
        <v>3.3</v>
      </c>
      <c r="AK593">
        <v>3.21</v>
      </c>
      <c r="AL593">
        <v>2.68</v>
      </c>
      <c r="AM593">
        <v>2.78</v>
      </c>
      <c r="AN593">
        <v>2.2000000000000002</v>
      </c>
      <c r="AO593">
        <v>2.68</v>
      </c>
      <c r="AP593">
        <v>3.17</v>
      </c>
      <c r="AQ593">
        <v>2.36</v>
      </c>
      <c r="AR593" s="8">
        <v>2.61</v>
      </c>
      <c r="AS593" s="8">
        <v>2.29</v>
      </c>
      <c r="AT593" s="8">
        <v>2.59</v>
      </c>
      <c r="AU593" s="3">
        <v>2.97</v>
      </c>
      <c r="AV593" s="3">
        <v>3.04</v>
      </c>
      <c r="AW593" s="3">
        <v>5.52</v>
      </c>
      <c r="AX593" s="3">
        <v>3.3</v>
      </c>
      <c r="AY593" s="3">
        <v>3.53</v>
      </c>
      <c r="AZ593" s="3">
        <v>2.7</v>
      </c>
      <c r="BA593" s="3">
        <v>0</v>
      </c>
      <c r="BB593" s="3">
        <v>1.3</v>
      </c>
      <c r="BC593">
        <v>2.7</v>
      </c>
      <c r="BD593">
        <v>0</v>
      </c>
      <c r="BE593" s="11">
        <v>3.056</v>
      </c>
      <c r="BF593" s="4">
        <v>3.6440000000000001</v>
      </c>
      <c r="BG593" s="4">
        <v>0</v>
      </c>
      <c r="BH593" s="4">
        <v>0</v>
      </c>
      <c r="BI593" s="4">
        <v>0</v>
      </c>
      <c r="BJ593" s="13">
        <v>3.2549999999999999</v>
      </c>
      <c r="BK593" s="13">
        <v>3.6</v>
      </c>
      <c r="BL593" s="4">
        <v>0</v>
      </c>
      <c r="BM593" s="16">
        <v>0</v>
      </c>
      <c r="BN593" s="4">
        <v>3.3959999999999999</v>
      </c>
      <c r="BO593" s="4">
        <v>2.5870000000000002</v>
      </c>
      <c r="BP593" s="4">
        <v>2.5409999999999999</v>
      </c>
      <c r="BQ593" s="4">
        <v>3.4249999999999998</v>
      </c>
      <c r="BR593" s="4">
        <v>0</v>
      </c>
      <c r="BS593" s="4">
        <v>2.4470000000000001</v>
      </c>
      <c r="BT593" s="4">
        <v>3.1360000000000001</v>
      </c>
      <c r="BU593" s="4">
        <v>0</v>
      </c>
      <c r="BV593" s="4">
        <v>2.762</v>
      </c>
      <c r="BW593" s="4">
        <v>3.4950000000000001</v>
      </c>
      <c r="BX593" s="4">
        <v>3.25</v>
      </c>
      <c r="BY593" s="4">
        <v>3.7</v>
      </c>
      <c r="BZ593">
        <v>0</v>
      </c>
      <c r="CA593">
        <v>3.81</v>
      </c>
      <c r="CB593">
        <v>3.79</v>
      </c>
      <c r="CC593">
        <v>3.94</v>
      </c>
      <c r="CD593">
        <v>3.55</v>
      </c>
      <c r="CE593" s="19">
        <v>0</v>
      </c>
      <c r="CF593" s="19">
        <v>4.2</v>
      </c>
      <c r="CG593" s="4">
        <v>3.89</v>
      </c>
      <c r="CH593" s="4">
        <v>3.6</v>
      </c>
      <c r="CI593" s="4">
        <v>3.92</v>
      </c>
      <c r="CJ593" s="34">
        <v>3.6</v>
      </c>
      <c r="CK593" s="34">
        <v>0</v>
      </c>
      <c r="CL593" s="34">
        <v>0</v>
      </c>
      <c r="CM593" s="4">
        <v>0</v>
      </c>
      <c r="CN593" s="53">
        <v>0</v>
      </c>
      <c r="CO593" s="54">
        <v>0</v>
      </c>
      <c r="CP593" s="54">
        <v>0</v>
      </c>
      <c r="CQ593" s="4">
        <v>0</v>
      </c>
    </row>
    <row r="594" spans="1:95" x14ac:dyDescent="0.35">
      <c r="A594" s="55">
        <v>593</v>
      </c>
      <c r="B594" t="s">
        <v>119</v>
      </c>
      <c r="C594" s="27" t="s">
        <v>866</v>
      </c>
      <c r="D594" s="3" t="s">
        <v>93</v>
      </c>
      <c r="E594" s="33" t="s">
        <v>91</v>
      </c>
      <c r="F594" s="4">
        <f>IFERROR(AVERAGEIF(Table1[[#This Row],[2019-Apr]:[2025-July]],"&lt;&gt;0"),0)</f>
        <v>3.6284561403508793</v>
      </c>
      <c r="G594" s="4">
        <f ca="1">IFERROR(AVERAGEIF(OFFSET(Table1[[#This Row],[Status]],0,COUNT(Table1[[#This Row],[2019-May]:[2025-July]]),1,-12),"&lt;&gt;0"),0)</f>
        <v>2.7520000000000002</v>
      </c>
      <c r="H594" s="55">
        <f>IFERROR(SMALL(Table1[[#This Row],[2019-Apr]:[2025-July]],COUNTIF(Table1[[#This Row],[2019-Apr]:[2025-July]],0)+1),0)</f>
        <v>1.79</v>
      </c>
      <c r="I594" s="55">
        <f>IFERROR(MAX(Table1[[#This Row],[2019-Apr]:[2025-July]]),0)</f>
        <v>10.3</v>
      </c>
      <c r="J594" s="4" cm="1">
        <f t="array" ref="J59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2.2036666666666664</v>
      </c>
      <c r="K594" s="4">
        <v>4.5</v>
      </c>
      <c r="L594" s="4">
        <f>IF(Table1[[#This Row],[Standard as per ISO]]&gt;=Table1[[#This Row],[Avg of best 6]],Table1[[#This Row],[Standard as per ISO]],Table1[[#This Row],[Avg of best 6]])</f>
        <v>4.5</v>
      </c>
      <c r="M594" s="4" cm="1">
        <f t="array" ref="M594">IFERROR(LOOKUP(2,1/(Table1[[#This Row],[2019-May]:[2025-July]]&lt;&gt;0),Table1[[#This Row],[2019-May]:[2025-July]]),0)</f>
        <v>2.9</v>
      </c>
      <c r="N594" s="4">
        <f>COUNTIF(Table1[[#This Row],[2019-Apr]:[2025-July]],"&gt;="&amp;Table1[[#This Row],[Target]])</f>
        <v>12</v>
      </c>
      <c r="O594" s="4">
        <f>IF(Table1[[#This Row],[Outliers 2Y]]=0,1,0)</f>
        <v>0</v>
      </c>
      <c r="P594" s="4">
        <f>IF(Table1[[#This Row],[Last value]]&gt;1.5*Table1[[#This Row],[Target]],1,0)</f>
        <v>0</v>
      </c>
      <c r="Q594" s="4">
        <f>IF(AND(1.5*Table1[[#This Row],[Target]]&gt;=Table1[[#This Row],[Last value]],Table1[[#This Row],[Last value]]&gt;Table1[[#This Row],[Target]]),1,0)</f>
        <v>0</v>
      </c>
      <c r="R594" s="4">
        <f>IF(Table1[[#This Row],[Target]]&gt;=Table1[[#This Row],[Last value]],1,0)</f>
        <v>1</v>
      </c>
      <c r="S594" s="4" t="str">
        <f t="shared" si="16"/>
        <v>Green</v>
      </c>
      <c r="T594">
        <v>4.46</v>
      </c>
      <c r="U594">
        <v>3.53</v>
      </c>
      <c r="V594">
        <v>3.83</v>
      </c>
      <c r="W594">
        <v>4.5</v>
      </c>
      <c r="X594">
        <v>0</v>
      </c>
      <c r="Y594">
        <v>3.25</v>
      </c>
      <c r="Z594">
        <v>4.41</v>
      </c>
      <c r="AA594">
        <v>0</v>
      </c>
      <c r="AB594">
        <v>1.79</v>
      </c>
      <c r="AC594">
        <v>1.93</v>
      </c>
      <c r="AD594">
        <v>2.84</v>
      </c>
      <c r="AE594">
        <v>3.5</v>
      </c>
      <c r="AF594">
        <v>3.6</v>
      </c>
      <c r="AG594">
        <v>3.4</v>
      </c>
      <c r="AH594">
        <v>4.5999999999999996</v>
      </c>
      <c r="AI594">
        <v>5.01</v>
      </c>
      <c r="AJ594">
        <v>4.5</v>
      </c>
      <c r="AK594">
        <v>4.58</v>
      </c>
      <c r="AL594">
        <v>4.95</v>
      </c>
      <c r="AM594">
        <v>4.9000000000000004</v>
      </c>
      <c r="AN594">
        <v>4.5999999999999996</v>
      </c>
      <c r="AO594">
        <v>4.87</v>
      </c>
      <c r="AP594">
        <v>3.2</v>
      </c>
      <c r="AQ594">
        <v>4.12</v>
      </c>
      <c r="AR594" s="8">
        <v>3.81</v>
      </c>
      <c r="AS594" s="8">
        <v>4.54</v>
      </c>
      <c r="AT594" s="8">
        <v>4.08</v>
      </c>
      <c r="AU594" s="3">
        <v>3.87</v>
      </c>
      <c r="AV594" s="3">
        <v>4.03</v>
      </c>
      <c r="AW594" s="3">
        <v>5.33</v>
      </c>
      <c r="AX594" s="3">
        <v>2.94</v>
      </c>
      <c r="AY594" s="3">
        <v>3.25</v>
      </c>
      <c r="AZ594" s="3">
        <v>2.4</v>
      </c>
      <c r="BA594" s="3">
        <v>0</v>
      </c>
      <c r="BB594" s="3">
        <v>2.7</v>
      </c>
      <c r="BC594">
        <v>3.2</v>
      </c>
      <c r="BD594">
        <v>0</v>
      </c>
      <c r="BE594" s="11">
        <v>3.863</v>
      </c>
      <c r="BF594" s="4">
        <v>3.9390000000000001</v>
      </c>
      <c r="BG594" s="4">
        <v>0</v>
      </c>
      <c r="BH594" s="4">
        <v>0</v>
      </c>
      <c r="BI594" s="4">
        <v>0</v>
      </c>
      <c r="BJ594" s="14">
        <v>3.0430000000000001</v>
      </c>
      <c r="BK594" s="14">
        <v>2.7149999999999999</v>
      </c>
      <c r="BL594" s="4">
        <v>0</v>
      </c>
      <c r="BM594" s="17">
        <v>0</v>
      </c>
      <c r="BN594" s="4">
        <v>2.9870000000000001</v>
      </c>
      <c r="BO594" s="4">
        <v>3.4609999999999999</v>
      </c>
      <c r="BP594" s="4">
        <v>3.5659999999999998</v>
      </c>
      <c r="BQ594" s="4">
        <v>10.3</v>
      </c>
      <c r="BR594" s="4">
        <v>4.4829999999999997</v>
      </c>
      <c r="BS594" s="4">
        <v>2.3119999999999998</v>
      </c>
      <c r="BT594" s="4">
        <v>3.347</v>
      </c>
      <c r="BU594" s="4">
        <v>0</v>
      </c>
      <c r="BV594" s="4">
        <v>2.6139999999999999</v>
      </c>
      <c r="BW594" s="4">
        <v>3.6659999999999999</v>
      </c>
      <c r="BX594" s="4">
        <v>3.1560000000000001</v>
      </c>
      <c r="BY594" s="4">
        <v>2.65</v>
      </c>
      <c r="BZ594">
        <v>0</v>
      </c>
      <c r="CA594">
        <v>2.31</v>
      </c>
      <c r="CB594">
        <v>2.88</v>
      </c>
      <c r="CC594">
        <v>2.77</v>
      </c>
      <c r="CD594">
        <v>2.48</v>
      </c>
      <c r="CE594" s="19">
        <v>0</v>
      </c>
      <c r="CF594" s="19">
        <v>2.9</v>
      </c>
      <c r="CG594" s="4">
        <v>2.59</v>
      </c>
      <c r="CH594" s="4">
        <v>2.79</v>
      </c>
      <c r="CI594" s="4">
        <v>2.58</v>
      </c>
      <c r="CJ594" s="34">
        <v>2.9</v>
      </c>
      <c r="CK594" s="34">
        <v>0</v>
      </c>
      <c r="CL594" s="34">
        <v>0</v>
      </c>
      <c r="CM594" s="4">
        <v>0</v>
      </c>
      <c r="CN594" s="53">
        <v>0</v>
      </c>
      <c r="CO594" s="54">
        <v>0</v>
      </c>
      <c r="CP594" s="54">
        <v>0</v>
      </c>
      <c r="CQ594" s="4">
        <v>0</v>
      </c>
    </row>
    <row r="595" spans="1:95" x14ac:dyDescent="0.35">
      <c r="A595" s="55">
        <v>594</v>
      </c>
      <c r="B595" t="s">
        <v>119</v>
      </c>
      <c r="C595" s="27" t="s">
        <v>867</v>
      </c>
      <c r="D595" s="3" t="s">
        <v>93</v>
      </c>
      <c r="E595" s="33" t="s">
        <v>89</v>
      </c>
      <c r="F595" s="4">
        <f>IFERROR(AVERAGEIF(Table1[[#This Row],[2019-Apr]:[2025-July]],"&lt;&gt;0"),0)</f>
        <v>5.5987611940298514</v>
      </c>
      <c r="G595" s="4">
        <f ca="1">IFERROR(AVERAGEIF(OFFSET(Table1[[#This Row],[Status]],0,COUNT(Table1[[#This Row],[2019-May]:[2025-July]]),1,-12),"&lt;&gt;0"),0)</f>
        <v>6.6290909090909089</v>
      </c>
      <c r="H595" s="55">
        <f>IFERROR(SMALL(Table1[[#This Row],[2019-Apr]:[2025-July]],COUNTIF(Table1[[#This Row],[2019-Apr]:[2025-July]],0)+1),0)</f>
        <v>1.23</v>
      </c>
      <c r="I595" s="55">
        <f>IFERROR(MAX(Table1[[#This Row],[2019-Apr]:[2025-July]]),0)</f>
        <v>10.1</v>
      </c>
      <c r="J595" s="4" cm="1">
        <f t="array" ref="J59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2.1385000000000001</v>
      </c>
      <c r="K595" s="4">
        <v>4.5</v>
      </c>
      <c r="L595" s="4">
        <f>IF(Table1[[#This Row],[Standard as per ISO]]&gt;=Table1[[#This Row],[Avg of best 6]],Table1[[#This Row],[Standard as per ISO]],Table1[[#This Row],[Avg of best 6]])</f>
        <v>4.5</v>
      </c>
      <c r="M595" s="4" cm="1">
        <f t="array" ref="M595">IFERROR(LOOKUP(2,1/(Table1[[#This Row],[2019-May]:[2025-July]]&lt;&gt;0),Table1[[#This Row],[2019-May]:[2025-July]]),0)</f>
        <v>6.3</v>
      </c>
      <c r="N595" s="4">
        <f>COUNTIF(Table1[[#This Row],[2019-Apr]:[2025-July]],"&gt;="&amp;Table1[[#This Row],[Target]])</f>
        <v>50</v>
      </c>
      <c r="O595" s="4">
        <f>IF(Table1[[#This Row],[Outliers 2Y]]=0,1,0)</f>
        <v>0</v>
      </c>
      <c r="P595" s="4">
        <f>IF(Table1[[#This Row],[Last value]]&gt;1.5*Table1[[#This Row],[Target]],1,0)</f>
        <v>0</v>
      </c>
      <c r="Q595" s="4">
        <f>IF(AND(1.5*Table1[[#This Row],[Target]]&gt;=Table1[[#This Row],[Last value]],Table1[[#This Row],[Last value]]&gt;Table1[[#This Row],[Target]]),1,0)</f>
        <v>1</v>
      </c>
      <c r="R595" s="4">
        <f>IF(Table1[[#This Row],[Target]]&gt;=Table1[[#This Row],[Last value]],1,0)</f>
        <v>0</v>
      </c>
      <c r="S595" s="4" t="str">
        <f t="shared" si="16"/>
        <v>Yellow</v>
      </c>
      <c r="T595">
        <v>8.81</v>
      </c>
      <c r="U595">
        <v>6.45</v>
      </c>
      <c r="V595">
        <v>6.22</v>
      </c>
      <c r="W595">
        <v>5.04</v>
      </c>
      <c r="X595">
        <v>0</v>
      </c>
      <c r="Y595">
        <v>6</v>
      </c>
      <c r="Z595">
        <v>5.03</v>
      </c>
      <c r="AA595">
        <v>0</v>
      </c>
      <c r="AB595">
        <v>4.74</v>
      </c>
      <c r="AC595">
        <v>5.18</v>
      </c>
      <c r="AD595">
        <v>6.8</v>
      </c>
      <c r="AE595">
        <v>8.6999999999999993</v>
      </c>
      <c r="AF595">
        <v>5.9</v>
      </c>
      <c r="AG595">
        <v>7.7</v>
      </c>
      <c r="AH595">
        <v>4.2</v>
      </c>
      <c r="AI595">
        <v>7.33</v>
      </c>
      <c r="AJ595">
        <v>5</v>
      </c>
      <c r="AK595">
        <v>5.91</v>
      </c>
      <c r="AL595">
        <v>4.84</v>
      </c>
      <c r="AM595">
        <v>5.08</v>
      </c>
      <c r="AN595">
        <v>6.7</v>
      </c>
      <c r="AO595">
        <v>3.8</v>
      </c>
      <c r="AP595">
        <v>2.78</v>
      </c>
      <c r="AQ595">
        <v>7.38</v>
      </c>
      <c r="AR595" s="8">
        <v>6.56</v>
      </c>
      <c r="AS595" s="8">
        <v>7.33</v>
      </c>
      <c r="AT595" s="8">
        <v>7.15</v>
      </c>
      <c r="AU595" s="3">
        <v>6.7</v>
      </c>
      <c r="AV595" s="3">
        <v>2.2200000000000002</v>
      </c>
      <c r="AW595" s="3">
        <v>2.13</v>
      </c>
      <c r="AX595" s="3">
        <v>1.68</v>
      </c>
      <c r="AY595" s="3">
        <v>6.35</v>
      </c>
      <c r="AZ595" s="3">
        <v>6</v>
      </c>
      <c r="BA595" s="3">
        <v>5.4</v>
      </c>
      <c r="BB595" s="3">
        <v>4</v>
      </c>
      <c r="BC595">
        <v>5.7</v>
      </c>
      <c r="BD595">
        <v>5.5</v>
      </c>
      <c r="BE595" s="11">
        <v>5.3</v>
      </c>
      <c r="BF595" s="4">
        <v>7.2</v>
      </c>
      <c r="BG595" s="4">
        <v>0</v>
      </c>
      <c r="BH595" s="4">
        <v>4.6929999999999996</v>
      </c>
      <c r="BI595" s="4">
        <v>0</v>
      </c>
      <c r="BJ595" s="13">
        <v>5.29</v>
      </c>
      <c r="BK595" s="13">
        <v>4.665</v>
      </c>
      <c r="BL595" s="4">
        <v>0</v>
      </c>
      <c r="BM595" s="16">
        <v>0</v>
      </c>
      <c r="BN595" s="4">
        <v>5.1829999999999998</v>
      </c>
      <c r="BO595" s="4">
        <v>5.59</v>
      </c>
      <c r="BP595" s="4">
        <v>5.5259999999999998</v>
      </c>
      <c r="BQ595" s="4">
        <v>4.2560000000000002</v>
      </c>
      <c r="BR595" s="4">
        <v>2.9630000000000001</v>
      </c>
      <c r="BS595" s="4">
        <v>2.7909999999999999</v>
      </c>
      <c r="BT595" s="4">
        <v>2.9969999999999999</v>
      </c>
      <c r="BU595" s="4">
        <v>0</v>
      </c>
      <c r="BV595" s="4">
        <v>4.34</v>
      </c>
      <c r="BW595" s="4">
        <v>4.33</v>
      </c>
      <c r="BX595" s="4">
        <v>4.0330000000000004</v>
      </c>
      <c r="BY595" s="4">
        <v>4.04</v>
      </c>
      <c r="BZ595">
        <v>0</v>
      </c>
      <c r="CA595">
        <v>4.4800000000000004</v>
      </c>
      <c r="CB595">
        <v>7.54</v>
      </c>
      <c r="CC595">
        <v>6.93</v>
      </c>
      <c r="CD595">
        <v>7.44</v>
      </c>
      <c r="CE595" s="19">
        <v>0</v>
      </c>
      <c r="CF595" s="19">
        <v>7.2</v>
      </c>
      <c r="CG595" s="4">
        <v>1.23</v>
      </c>
      <c r="CH595" s="4">
        <v>8.5299999999999994</v>
      </c>
      <c r="CI595" s="4">
        <v>6.66</v>
      </c>
      <c r="CJ595" s="34">
        <v>9</v>
      </c>
      <c r="CK595" s="34">
        <v>10.1</v>
      </c>
      <c r="CL595" s="43">
        <v>4.9000000000000004</v>
      </c>
      <c r="CM595" s="4">
        <v>6.4</v>
      </c>
      <c r="CN595" s="53">
        <v>6.4</v>
      </c>
      <c r="CO595" s="54">
        <v>6</v>
      </c>
      <c r="CP595" s="54">
        <v>6.5</v>
      </c>
      <c r="CQ595" s="4">
        <v>6.3</v>
      </c>
    </row>
    <row r="596" spans="1:95" x14ac:dyDescent="0.35">
      <c r="A596" s="55">
        <v>595</v>
      </c>
      <c r="B596" t="s">
        <v>119</v>
      </c>
      <c r="C596" s="27" t="s">
        <v>868</v>
      </c>
      <c r="D596" s="3" t="s">
        <v>93</v>
      </c>
      <c r="E596" s="33" t="s">
        <v>89</v>
      </c>
      <c r="F596" s="4">
        <f>IFERROR(AVERAGEIF(Table1[[#This Row],[2019-Apr]:[2025-July]],"&lt;&gt;0"),0)</f>
        <v>5.812005376344084</v>
      </c>
      <c r="G596" s="4">
        <f ca="1">IFERROR(AVERAGEIF(OFFSET(Table1[[#This Row],[Status]],0,COUNT(Table1[[#This Row],[2019-May]:[2025-July]]),1,-12),"&lt;&gt;0"),0)</f>
        <v>3.9166666666666661</v>
      </c>
      <c r="H596" s="55">
        <f>IFERROR(SMALL(Table1[[#This Row],[2019-Apr]:[2025-July]],COUNTIF(Table1[[#This Row],[2019-Apr]:[2025-July]],0)+1),0)</f>
        <v>3</v>
      </c>
      <c r="I596" s="55">
        <f>IFERROR(MAX(Table1[[#This Row],[2019-Apr]:[2025-July]]),0)</f>
        <v>10.8</v>
      </c>
      <c r="J596" s="4" cm="1">
        <f t="array" ref="J59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3.2333333333333329</v>
      </c>
      <c r="K596" s="4">
        <v>4.5</v>
      </c>
      <c r="L596" s="4">
        <f>IF(Table1[[#This Row],[Standard as per ISO]]&gt;=Table1[[#This Row],[Avg of best 6]],Table1[[#This Row],[Standard as per ISO]],Table1[[#This Row],[Avg of best 6]])</f>
        <v>4.5</v>
      </c>
      <c r="M596" s="4" cm="1">
        <f t="array" ref="M596">IFERROR(LOOKUP(2,1/(Table1[[#This Row],[2019-May]:[2025-July]]&lt;&gt;0),Table1[[#This Row],[2019-May]:[2025-July]]),0)</f>
        <v>4.2</v>
      </c>
      <c r="N596" s="4">
        <f>COUNTIF(Table1[[#This Row],[2019-Apr]:[2025-July]],"&gt;="&amp;Table1[[#This Row],[Target]])</f>
        <v>47</v>
      </c>
      <c r="O596" s="4">
        <f>IF(Table1[[#This Row],[Outliers 2Y]]=0,1,0)</f>
        <v>0</v>
      </c>
      <c r="P596" s="4">
        <f>IF(Table1[[#This Row],[Last value]]&gt;1.5*Table1[[#This Row],[Target]],1,0)</f>
        <v>0</v>
      </c>
      <c r="Q596" s="4">
        <f>IF(AND(1.5*Table1[[#This Row],[Target]]&gt;=Table1[[#This Row],[Last value]],Table1[[#This Row],[Last value]]&gt;Table1[[#This Row],[Target]]),1,0)</f>
        <v>0</v>
      </c>
      <c r="R596" s="4">
        <f>IF(Table1[[#This Row],[Target]]&gt;=Table1[[#This Row],[Last value]],1,0)</f>
        <v>1</v>
      </c>
      <c r="S596" s="4" t="str">
        <f t="shared" si="16"/>
        <v>Green</v>
      </c>
      <c r="T596">
        <v>4.17</v>
      </c>
      <c r="U596">
        <v>5.73</v>
      </c>
      <c r="V596">
        <v>5.68</v>
      </c>
      <c r="W596">
        <v>5.12</v>
      </c>
      <c r="X596">
        <v>0</v>
      </c>
      <c r="Y596">
        <v>4.2</v>
      </c>
      <c r="Z596">
        <v>4.29</v>
      </c>
      <c r="AA596">
        <v>0</v>
      </c>
      <c r="AB596">
        <v>5.54</v>
      </c>
      <c r="AC596">
        <v>5.61</v>
      </c>
      <c r="AD596">
        <v>7.96</v>
      </c>
      <c r="AE596">
        <v>6.9</v>
      </c>
      <c r="AF596">
        <v>6.6</v>
      </c>
      <c r="AG596">
        <v>7.1533333333333333</v>
      </c>
      <c r="AH596">
        <v>9.4</v>
      </c>
      <c r="AI596">
        <v>6.66</v>
      </c>
      <c r="AJ596">
        <v>7</v>
      </c>
      <c r="AK596">
        <v>8.23</v>
      </c>
      <c r="AL596">
        <v>7.7</v>
      </c>
      <c r="AM596">
        <v>6.16</v>
      </c>
      <c r="AN596">
        <v>5.7</v>
      </c>
      <c r="AO596">
        <v>4.9000000000000004</v>
      </c>
      <c r="AP596">
        <v>6.69</v>
      </c>
      <c r="AQ596">
        <v>6.95</v>
      </c>
      <c r="AR596" s="8">
        <v>4.3899999999999997</v>
      </c>
      <c r="AS596" s="8">
        <v>10.5</v>
      </c>
      <c r="AT596" s="8">
        <v>6.05</v>
      </c>
      <c r="AU596" s="3">
        <v>10.8</v>
      </c>
      <c r="AV596" s="3">
        <v>3.99</v>
      </c>
      <c r="AW596" s="3">
        <v>4.79</v>
      </c>
      <c r="AX596" s="3">
        <v>7.37</v>
      </c>
      <c r="AY596" s="3">
        <v>5.82</v>
      </c>
      <c r="AZ596" s="3">
        <v>0</v>
      </c>
      <c r="BA596" s="3">
        <v>6.4</v>
      </c>
      <c r="BB596" s="3">
        <v>5.0999999999999996</v>
      </c>
      <c r="BC596">
        <v>7.2</v>
      </c>
      <c r="BD596">
        <v>6</v>
      </c>
      <c r="BE596" s="11">
        <v>4.1349999999999998</v>
      </c>
      <c r="BF596" s="4">
        <v>6.6</v>
      </c>
      <c r="BG596" s="4">
        <v>0</v>
      </c>
      <c r="BH596" s="4">
        <v>5.3609999999999998</v>
      </c>
      <c r="BI596" s="4">
        <v>0</v>
      </c>
      <c r="BJ596" s="14">
        <v>6.0060000000000002</v>
      </c>
      <c r="BK596" s="14">
        <v>5.68</v>
      </c>
      <c r="BL596" s="4">
        <v>0</v>
      </c>
      <c r="BM596" s="17">
        <v>0</v>
      </c>
      <c r="BN596" s="4">
        <v>6.2629999999999999</v>
      </c>
      <c r="BO596" s="4">
        <v>5.7809999999999997</v>
      </c>
      <c r="BP596" s="4">
        <v>5.181</v>
      </c>
      <c r="BQ596" s="4">
        <v>5.6289999999999996</v>
      </c>
      <c r="BR596" s="4">
        <v>5.9219999999999997</v>
      </c>
      <c r="BS596" s="4">
        <v>5.8520000000000003</v>
      </c>
      <c r="BT596" s="4">
        <v>5.5629999999999997</v>
      </c>
      <c r="BU596" s="4">
        <v>0</v>
      </c>
      <c r="BV596" s="4">
        <v>4.7030000000000003</v>
      </c>
      <c r="BW596" s="4">
        <v>6.2610000000000001</v>
      </c>
      <c r="BX596" s="4">
        <v>5.5140000000000002</v>
      </c>
      <c r="BY596" s="4">
        <v>5.99</v>
      </c>
      <c r="BZ596">
        <v>0</v>
      </c>
      <c r="CA596">
        <v>7.3</v>
      </c>
      <c r="CB596">
        <v>6.4</v>
      </c>
      <c r="CC596">
        <v>0</v>
      </c>
      <c r="CD596">
        <v>0</v>
      </c>
      <c r="CE596" s="19">
        <v>0</v>
      </c>
      <c r="CF596" s="19">
        <v>8.6999999999999993</v>
      </c>
      <c r="CG596" s="4">
        <v>0</v>
      </c>
      <c r="CH596" s="4">
        <v>3.45</v>
      </c>
      <c r="CI596" s="4">
        <v>0</v>
      </c>
      <c r="CJ596" s="34">
        <v>3.3</v>
      </c>
      <c r="CK596" s="34">
        <v>3</v>
      </c>
      <c r="CL596" s="43">
        <v>3.7</v>
      </c>
      <c r="CM596" s="4">
        <v>3.4</v>
      </c>
      <c r="CN596" s="53">
        <v>3.4</v>
      </c>
      <c r="CO596" s="54">
        <v>3</v>
      </c>
      <c r="CP596" s="54">
        <v>3.3</v>
      </c>
      <c r="CQ596" s="4">
        <v>4.2</v>
      </c>
    </row>
    <row r="597" spans="1:95" x14ac:dyDescent="0.35">
      <c r="A597" s="55">
        <v>596</v>
      </c>
      <c r="B597" t="s">
        <v>119</v>
      </c>
      <c r="C597" s="27" t="s">
        <v>869</v>
      </c>
      <c r="D597" s="3" t="s">
        <v>94</v>
      </c>
      <c r="E597" s="33" t="s">
        <v>89</v>
      </c>
      <c r="F597" s="4">
        <f>IFERROR(AVERAGEIF(Table1[[#This Row],[2019-Apr]:[2025-July]],"&lt;&gt;0"),0)</f>
        <v>3.0071521739130436</v>
      </c>
      <c r="G597" s="4">
        <f ca="1">IFERROR(AVERAGEIF(OFFSET(Table1[[#This Row],[Status]],0,COUNT(Table1[[#This Row],[2019-May]:[2025-July]]),1,-12),"&lt;&gt;0"),0)</f>
        <v>4.0600000000000005</v>
      </c>
      <c r="H597" s="55">
        <f>IFERROR(SMALL(Table1[[#This Row],[2019-Apr]:[2025-July]],COUNTIF(Table1[[#This Row],[2019-Apr]:[2025-July]],0)+1),0)</f>
        <v>1.81</v>
      </c>
      <c r="I597" s="55">
        <f>IFERROR(MAX(Table1[[#This Row],[2019-Apr]:[2025-July]]),0)</f>
        <v>4.8</v>
      </c>
      <c r="J597" s="4" cm="1">
        <f t="array" ref="J59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1.9549999999999998</v>
      </c>
      <c r="K597" s="4">
        <v>4.5</v>
      </c>
      <c r="L597" s="4">
        <f>IF(Table1[[#This Row],[Standard as per ISO]]&gt;=Table1[[#This Row],[Avg of best 6]],Table1[[#This Row],[Standard as per ISO]],Table1[[#This Row],[Avg of best 6]])</f>
        <v>4.5</v>
      </c>
      <c r="M597" s="4" cm="1">
        <f t="array" ref="M597">IFERROR(LOOKUP(2,1/(Table1[[#This Row],[2019-May]:[2025-July]]&lt;&gt;0),Table1[[#This Row],[2019-May]:[2025-July]]),0)</f>
        <v>4.8</v>
      </c>
      <c r="N597" s="4">
        <f>COUNTIF(Table1[[#This Row],[2019-Apr]:[2025-July]],"&gt;="&amp;Table1[[#This Row],[Target]])</f>
        <v>1</v>
      </c>
      <c r="O597" s="4">
        <f>IF(Table1[[#This Row],[Outliers 2Y]]=0,1,0)</f>
        <v>0</v>
      </c>
      <c r="P597" s="4">
        <f>IF(Table1[[#This Row],[Last value]]&gt;1.5*Table1[[#This Row],[Target]],1,0)</f>
        <v>0</v>
      </c>
      <c r="Q597" s="4">
        <f>IF(AND(1.5*Table1[[#This Row],[Target]]&gt;=Table1[[#This Row],[Last value]],Table1[[#This Row],[Last value]]&gt;Table1[[#This Row],[Target]]),1,0)</f>
        <v>1</v>
      </c>
      <c r="R597" s="4">
        <f>IF(Table1[[#This Row],[Target]]&gt;=Table1[[#This Row],[Last value]],1,0)</f>
        <v>0</v>
      </c>
      <c r="S597" s="4" t="str">
        <f t="shared" si="16"/>
        <v>Yellow</v>
      </c>
      <c r="T597">
        <v>3.83</v>
      </c>
      <c r="U597">
        <v>2.7</v>
      </c>
      <c r="V597">
        <v>0</v>
      </c>
      <c r="W597">
        <v>2.98</v>
      </c>
      <c r="X597">
        <v>0</v>
      </c>
      <c r="Y597">
        <v>2.88</v>
      </c>
      <c r="Z597">
        <v>2.35</v>
      </c>
      <c r="AA597">
        <v>0</v>
      </c>
      <c r="AB597">
        <v>0</v>
      </c>
      <c r="AC597">
        <v>2.4500000000000002</v>
      </c>
      <c r="AD597">
        <v>2.35</v>
      </c>
      <c r="AE597">
        <v>0</v>
      </c>
      <c r="AF597">
        <v>2.5</v>
      </c>
      <c r="AG597">
        <v>2.2999999999999998</v>
      </c>
      <c r="AH597">
        <v>2.67</v>
      </c>
      <c r="AI597">
        <v>0</v>
      </c>
      <c r="AJ597">
        <v>2.2000000000000002</v>
      </c>
      <c r="AK597">
        <v>2.19</v>
      </c>
      <c r="AL597">
        <v>2.0099999999999998</v>
      </c>
      <c r="AM597">
        <v>0</v>
      </c>
      <c r="AN597">
        <v>2.1</v>
      </c>
      <c r="AO597">
        <v>0</v>
      </c>
      <c r="AP597">
        <v>0</v>
      </c>
      <c r="AQ597">
        <v>0</v>
      </c>
      <c r="AR597" s="8">
        <v>2.15</v>
      </c>
      <c r="AS597" s="8">
        <v>2</v>
      </c>
      <c r="AT597" s="8">
        <v>3.95</v>
      </c>
      <c r="AU597" s="3">
        <v>2.31</v>
      </c>
      <c r="AV597" s="3">
        <v>1.81</v>
      </c>
      <c r="AW597" s="3">
        <v>1.94</v>
      </c>
      <c r="AX597" s="3">
        <v>2.0699999999999998</v>
      </c>
      <c r="AY597" s="3">
        <v>2.0099999999999998</v>
      </c>
      <c r="AZ597" s="3">
        <v>0</v>
      </c>
      <c r="BA597" s="3">
        <v>4.0999999999999996</v>
      </c>
      <c r="BB597" s="3">
        <v>3.4</v>
      </c>
      <c r="BC597" s="3">
        <v>0</v>
      </c>
      <c r="BD597">
        <v>0</v>
      </c>
      <c r="BE597" s="11">
        <v>4.149</v>
      </c>
      <c r="BF597" s="4">
        <v>0</v>
      </c>
      <c r="BG597" s="4">
        <v>3.1120000000000001</v>
      </c>
      <c r="BH597" s="4">
        <v>0</v>
      </c>
      <c r="BI597" s="4">
        <v>1.96</v>
      </c>
      <c r="BJ597" s="13">
        <v>2.7759999999999998</v>
      </c>
      <c r="BK597" s="13">
        <v>0</v>
      </c>
      <c r="BL597" s="4">
        <v>3.3410000000000002</v>
      </c>
      <c r="BM597" s="16">
        <v>0</v>
      </c>
      <c r="BN597" s="4">
        <v>2.738</v>
      </c>
      <c r="BO597" s="4">
        <v>3.29</v>
      </c>
      <c r="BP597" s="4">
        <v>2.903</v>
      </c>
      <c r="BQ597" s="4">
        <v>3.5819999999999999</v>
      </c>
      <c r="BR597" s="4">
        <v>3.2480000000000002</v>
      </c>
      <c r="BS597" s="4">
        <v>3.69</v>
      </c>
      <c r="BT597" s="4">
        <v>3.7759999999999998</v>
      </c>
      <c r="BU597" s="4">
        <v>3.6619999999999999</v>
      </c>
      <c r="BV597" s="4">
        <v>3.6619999999999999</v>
      </c>
      <c r="BW597" s="4">
        <v>0</v>
      </c>
      <c r="BX597" s="4">
        <v>0</v>
      </c>
      <c r="BY597" s="4">
        <v>3.44</v>
      </c>
      <c r="BZ597">
        <v>0</v>
      </c>
      <c r="CA597">
        <v>0</v>
      </c>
      <c r="CB597">
        <v>3.81</v>
      </c>
      <c r="CC597">
        <v>3.64</v>
      </c>
      <c r="CD597">
        <v>0</v>
      </c>
      <c r="CE597" s="19">
        <v>0</v>
      </c>
      <c r="CF597" s="19">
        <v>4</v>
      </c>
      <c r="CG597" s="4">
        <v>0</v>
      </c>
      <c r="CH597" s="4">
        <v>0</v>
      </c>
      <c r="CI597" s="4">
        <v>0</v>
      </c>
      <c r="CJ597" s="34">
        <v>4</v>
      </c>
      <c r="CK597" s="34">
        <v>0</v>
      </c>
      <c r="CL597" s="43">
        <v>3.4</v>
      </c>
      <c r="CM597" s="4">
        <v>4.0999999999999996</v>
      </c>
      <c r="CN597" s="53">
        <v>0</v>
      </c>
      <c r="CO597" s="54">
        <v>0</v>
      </c>
      <c r="CP597" s="54">
        <v>4.8</v>
      </c>
      <c r="CQ597" s="4">
        <v>0</v>
      </c>
    </row>
    <row r="598" spans="1:95" x14ac:dyDescent="0.35">
      <c r="A598" s="55">
        <v>597</v>
      </c>
      <c r="B598" t="s">
        <v>119</v>
      </c>
      <c r="C598" s="27" t="s">
        <v>870</v>
      </c>
      <c r="D598" s="3" t="s">
        <v>94</v>
      </c>
      <c r="E598" s="33" t="s">
        <v>89</v>
      </c>
      <c r="F598" s="4">
        <f>IFERROR(AVERAGEIF(Table1[[#This Row],[2019-Apr]:[2025-July]],"&lt;&gt;0"),0)</f>
        <v>4.1237096774193542</v>
      </c>
      <c r="G598" s="4">
        <f ca="1">IFERROR(AVERAGEIF(OFFSET(Table1[[#This Row],[Status]],0,COUNT(Table1[[#This Row],[2019-May]:[2025-July]]),1,-12),"&lt;&gt;0"),0)</f>
        <v>3.8899999999999997</v>
      </c>
      <c r="H598" s="55">
        <f>IFERROR(SMALL(Table1[[#This Row],[2019-Apr]:[2025-July]],COUNTIF(Table1[[#This Row],[2019-Apr]:[2025-July]],0)+1),0)</f>
        <v>2.585</v>
      </c>
      <c r="I598" s="55">
        <f>IFERROR(MAX(Table1[[#This Row],[2019-Apr]:[2025-July]]),0)</f>
        <v>6.7080000000000002</v>
      </c>
      <c r="J598" s="4" cm="1">
        <f t="array" ref="J59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2.8543333333333334</v>
      </c>
      <c r="K598" s="4">
        <v>4.5</v>
      </c>
      <c r="L598" s="4">
        <f>IF(Table1[[#This Row],[Standard as per ISO]]&gt;=Table1[[#This Row],[Avg of best 6]],Table1[[#This Row],[Standard as per ISO]],Table1[[#This Row],[Avg of best 6]])</f>
        <v>4.5</v>
      </c>
      <c r="M598" s="4" cm="1">
        <f t="array" ref="M598">IFERROR(LOOKUP(2,1/(Table1[[#This Row],[2019-May]:[2025-July]]&lt;&gt;0),Table1[[#This Row],[2019-May]:[2025-July]]),0)</f>
        <v>3.28</v>
      </c>
      <c r="N598" s="4">
        <f>COUNTIF(Table1[[#This Row],[2019-Apr]:[2025-July]],"&gt;="&amp;Table1[[#This Row],[Target]])</f>
        <v>9</v>
      </c>
      <c r="O598" s="4">
        <f>IF(Table1[[#This Row],[Outliers 2Y]]=0,1,0)</f>
        <v>0</v>
      </c>
      <c r="P598" s="4">
        <f>IF(Table1[[#This Row],[Last value]]&gt;1.5*Table1[[#This Row],[Target]],1,0)</f>
        <v>0</v>
      </c>
      <c r="Q598" s="4">
        <f>IF(AND(1.5*Table1[[#This Row],[Target]]&gt;=Table1[[#This Row],[Last value]],Table1[[#This Row],[Last value]]&gt;Table1[[#This Row],[Target]]),1,0)</f>
        <v>0</v>
      </c>
      <c r="R598" s="4">
        <f>IF(Table1[[#This Row],[Target]]&gt;=Table1[[#This Row],[Last value]],1,0)</f>
        <v>1</v>
      </c>
      <c r="S598" s="4" t="str">
        <f t="shared" si="16"/>
        <v>Green</v>
      </c>
      <c r="T598">
        <v>0</v>
      </c>
      <c r="U598">
        <v>0</v>
      </c>
      <c r="V598">
        <v>4.2699999999999996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3.7</v>
      </c>
      <c r="AC598">
        <v>0</v>
      </c>
      <c r="AD598">
        <v>0</v>
      </c>
      <c r="AE598">
        <v>4.4000000000000004</v>
      </c>
      <c r="AF598">
        <v>0</v>
      </c>
      <c r="AG598">
        <v>0</v>
      </c>
      <c r="AH598">
        <v>5.88</v>
      </c>
      <c r="AI598">
        <v>4.3</v>
      </c>
      <c r="AJ598">
        <v>0</v>
      </c>
      <c r="AK598">
        <v>0</v>
      </c>
      <c r="AL598">
        <v>0</v>
      </c>
      <c r="AM598">
        <v>6.31</v>
      </c>
      <c r="AN598">
        <v>4.4400000000000004</v>
      </c>
      <c r="AO598">
        <v>0</v>
      </c>
      <c r="AP598">
        <v>5.77</v>
      </c>
      <c r="AQ598">
        <v>5.1100000000000003</v>
      </c>
      <c r="AR598" s="8">
        <v>4.84</v>
      </c>
      <c r="AS598" s="8">
        <v>0</v>
      </c>
      <c r="AT598" s="8">
        <v>0</v>
      </c>
      <c r="AU598" s="3">
        <v>4.96</v>
      </c>
      <c r="AV598" s="3">
        <v>3.83</v>
      </c>
      <c r="AW598" s="3">
        <v>0</v>
      </c>
      <c r="AX598" s="3">
        <v>4.96</v>
      </c>
      <c r="AY598" s="3">
        <v>0</v>
      </c>
      <c r="AZ598" s="3">
        <v>3.1</v>
      </c>
      <c r="BA598" s="3">
        <v>0</v>
      </c>
      <c r="BB598" s="3">
        <v>0</v>
      </c>
      <c r="BC598">
        <v>4.3</v>
      </c>
      <c r="BD598">
        <v>4.2</v>
      </c>
      <c r="BE598" s="11">
        <v>4.2759999999999998</v>
      </c>
      <c r="BF598" s="4">
        <v>0</v>
      </c>
      <c r="BG598" s="4">
        <v>0</v>
      </c>
      <c r="BH598" s="4">
        <v>3.3359999999999999</v>
      </c>
      <c r="BI598" s="4">
        <v>0</v>
      </c>
      <c r="BJ598" s="14">
        <v>0</v>
      </c>
      <c r="BK598" s="14">
        <v>2.9169999999999998</v>
      </c>
      <c r="BL598" s="4">
        <v>0</v>
      </c>
      <c r="BM598" s="17">
        <v>2.8370000000000002</v>
      </c>
      <c r="BN598" s="4">
        <v>0</v>
      </c>
      <c r="BO598" s="4">
        <v>0</v>
      </c>
      <c r="BP598" s="4">
        <v>2.585</v>
      </c>
      <c r="BQ598" s="4">
        <v>0</v>
      </c>
      <c r="BR598" s="4">
        <v>2.8719999999999999</v>
      </c>
      <c r="BS598" s="4">
        <v>0</v>
      </c>
      <c r="BT598" s="4">
        <v>6.7080000000000002</v>
      </c>
      <c r="BU598" s="4">
        <v>3.423</v>
      </c>
      <c r="BV598" s="4">
        <v>3.423</v>
      </c>
      <c r="BW598" s="4">
        <v>2.8149999999999999</v>
      </c>
      <c r="BX598" s="4">
        <v>3.8730000000000002</v>
      </c>
      <c r="BY598" s="4">
        <v>0</v>
      </c>
      <c r="BZ598">
        <v>0</v>
      </c>
      <c r="CA598">
        <v>3.22</v>
      </c>
      <c r="CB598">
        <v>0</v>
      </c>
      <c r="CC598">
        <v>0</v>
      </c>
      <c r="CD598">
        <v>3.4</v>
      </c>
      <c r="CE598" s="19">
        <v>0</v>
      </c>
      <c r="CF598" s="19">
        <v>0</v>
      </c>
      <c r="CG598" s="4">
        <v>0</v>
      </c>
      <c r="CH598" s="4">
        <v>0</v>
      </c>
      <c r="CI598" s="4">
        <v>0</v>
      </c>
      <c r="CJ598" s="34">
        <v>0</v>
      </c>
      <c r="CK598" s="34">
        <v>4.5</v>
      </c>
      <c r="CL598" s="43">
        <v>0</v>
      </c>
      <c r="CM598" s="4">
        <v>0</v>
      </c>
      <c r="CN598" s="53">
        <v>0</v>
      </c>
      <c r="CO598" s="54">
        <v>3.28</v>
      </c>
      <c r="CP598" s="54">
        <v>0</v>
      </c>
      <c r="CQ598" s="4">
        <v>0</v>
      </c>
    </row>
    <row r="599" spans="1:95" x14ac:dyDescent="0.35">
      <c r="A599" s="55">
        <v>598</v>
      </c>
      <c r="B599" t="s">
        <v>119</v>
      </c>
      <c r="C599" s="27" t="s">
        <v>871</v>
      </c>
      <c r="D599" s="3" t="s">
        <v>94</v>
      </c>
      <c r="E599" s="33" t="s">
        <v>89</v>
      </c>
      <c r="F599" s="4">
        <f>IFERROR(AVERAGEIF(Table1[[#This Row],[2019-Apr]:[2025-July]],"&lt;&gt;0"),0)</f>
        <v>4.2419999999999991</v>
      </c>
      <c r="G599" s="4">
        <f ca="1">IFERROR(AVERAGEIF(OFFSET(Table1[[#This Row],[Status]],0,COUNT(Table1[[#This Row],[2019-May]:[2025-July]]),1,-12),"&lt;&gt;0"),0)</f>
        <v>4.0999999999999996</v>
      </c>
      <c r="H599" s="55">
        <f>IFERROR(SMALL(Table1[[#This Row],[2019-Apr]:[2025-July]],COUNTIF(Table1[[#This Row],[2019-Apr]:[2025-July]],0)+1),0)</f>
        <v>1.5</v>
      </c>
      <c r="I599" s="55">
        <f>IFERROR(MAX(Table1[[#This Row],[2019-Apr]:[2025-July]]),0)</f>
        <v>7.62</v>
      </c>
      <c r="J599" s="4" cm="1">
        <f t="array" ref="J59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1.8216666666666665</v>
      </c>
      <c r="K599" s="4">
        <v>4.5</v>
      </c>
      <c r="L599" s="4">
        <f>IF(Table1[[#This Row],[Standard as per ISO]]&gt;=Table1[[#This Row],[Avg of best 6]],Table1[[#This Row],[Standard as per ISO]],Table1[[#This Row],[Avg of best 6]])</f>
        <v>4.5</v>
      </c>
      <c r="M599" s="4" cm="1">
        <f t="array" ref="M599">IFERROR(LOOKUP(2,1/(Table1[[#This Row],[2019-May]:[2025-July]]&lt;&gt;0),Table1[[#This Row],[2019-May]:[2025-July]]),0)</f>
        <v>4.0999999999999996</v>
      </c>
      <c r="N599" s="4">
        <f>COUNTIF(Table1[[#This Row],[2019-Apr]:[2025-July]],"&gt;="&amp;Table1[[#This Row],[Target]])</f>
        <v>18</v>
      </c>
      <c r="O599" s="4">
        <f>IF(Table1[[#This Row],[Outliers 2Y]]=0,1,0)</f>
        <v>0</v>
      </c>
      <c r="P599" s="4">
        <f>IF(Table1[[#This Row],[Last value]]&gt;1.5*Table1[[#This Row],[Target]],1,0)</f>
        <v>0</v>
      </c>
      <c r="Q599" s="4">
        <f>IF(AND(1.5*Table1[[#This Row],[Target]]&gt;=Table1[[#This Row],[Last value]],Table1[[#This Row],[Last value]]&gt;Table1[[#This Row],[Target]]),1,0)</f>
        <v>0</v>
      </c>
      <c r="R599" s="4">
        <f>IF(Table1[[#This Row],[Target]]&gt;=Table1[[#This Row],[Last value]],1,0)</f>
        <v>1</v>
      </c>
      <c r="S599" s="4" t="str">
        <f t="shared" si="16"/>
        <v>Green</v>
      </c>
      <c r="T599">
        <v>0</v>
      </c>
      <c r="U599">
        <v>0</v>
      </c>
      <c r="V599">
        <v>2.5299999999999998</v>
      </c>
      <c r="W599">
        <v>3.82</v>
      </c>
      <c r="X599">
        <v>0</v>
      </c>
      <c r="Y599">
        <v>7.62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6.3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4.3899999999999997</v>
      </c>
      <c r="AM599">
        <v>2.82</v>
      </c>
      <c r="AN599">
        <v>4.0199999999999996</v>
      </c>
      <c r="AO599">
        <v>7.5</v>
      </c>
      <c r="AP599">
        <v>3.27</v>
      </c>
      <c r="AQ599">
        <v>2.12</v>
      </c>
      <c r="AR599" s="8">
        <v>4.3499999999999996</v>
      </c>
      <c r="AS599" s="8">
        <v>2.09</v>
      </c>
      <c r="AT599" s="8">
        <v>4</v>
      </c>
      <c r="AU599" s="3">
        <v>2.39</v>
      </c>
      <c r="AV599" s="3">
        <v>3</v>
      </c>
      <c r="AW599" s="3">
        <v>1.91</v>
      </c>
      <c r="AX599" s="3">
        <v>1.56</v>
      </c>
      <c r="AY599" s="3">
        <v>1.75</v>
      </c>
      <c r="AZ599" s="3">
        <v>1.5</v>
      </c>
      <c r="BA599" s="3">
        <v>0</v>
      </c>
      <c r="BB599" s="3">
        <v>5.0999999999999996</v>
      </c>
      <c r="BC599" s="3">
        <v>0</v>
      </c>
      <c r="BD599">
        <v>0</v>
      </c>
      <c r="BE599" s="11">
        <v>6.5</v>
      </c>
      <c r="BF599" s="4">
        <v>0</v>
      </c>
      <c r="BG599" s="4">
        <v>5.2759999999999998</v>
      </c>
      <c r="BH599" s="4">
        <v>4.0679999999999996</v>
      </c>
      <c r="BI599" s="4">
        <v>0</v>
      </c>
      <c r="BJ599" s="13">
        <v>5.6360000000000001</v>
      </c>
      <c r="BK599" s="13">
        <v>5.1369999999999996</v>
      </c>
      <c r="BL599" s="4">
        <v>5.1589999999999998</v>
      </c>
      <c r="BM599" s="16">
        <v>4.5060000000000002</v>
      </c>
      <c r="BN599" s="4">
        <v>5.7220000000000004</v>
      </c>
      <c r="BO599" s="4">
        <v>4.9859999999999998</v>
      </c>
      <c r="BP599" s="4">
        <v>4.149</v>
      </c>
      <c r="BQ599" s="4">
        <v>4.78</v>
      </c>
      <c r="BR599" s="4">
        <v>5.718</v>
      </c>
      <c r="BS599" s="4">
        <v>2.609</v>
      </c>
      <c r="BT599" s="4">
        <v>3.9470000000000001</v>
      </c>
      <c r="BU599" s="4">
        <v>5.2409999999999997</v>
      </c>
      <c r="BV599" s="4">
        <v>5.2409999999999997</v>
      </c>
      <c r="BW599" s="4">
        <v>5.1849999999999996</v>
      </c>
      <c r="BX599" s="4">
        <v>5.4379999999999997</v>
      </c>
      <c r="BY599" s="4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 s="19">
        <v>4.0999999999999996</v>
      </c>
      <c r="CF599" s="19">
        <v>0</v>
      </c>
      <c r="CG599" s="4">
        <v>0</v>
      </c>
      <c r="CH599" s="4">
        <v>0</v>
      </c>
      <c r="CI599" s="4">
        <v>0</v>
      </c>
      <c r="CJ599" s="34">
        <v>0</v>
      </c>
      <c r="CK599" s="34">
        <v>0</v>
      </c>
      <c r="CL599" s="43">
        <v>0</v>
      </c>
      <c r="CM599" s="4">
        <v>0</v>
      </c>
      <c r="CN599" s="53">
        <v>0</v>
      </c>
      <c r="CO599" s="54">
        <v>0</v>
      </c>
      <c r="CP599" s="54">
        <v>0</v>
      </c>
      <c r="CQ599" s="4">
        <v>0</v>
      </c>
    </row>
    <row r="600" spans="1:95" x14ac:dyDescent="0.35">
      <c r="A600" s="55">
        <v>599</v>
      </c>
      <c r="B600" t="s">
        <v>119</v>
      </c>
      <c r="C600" s="27" t="s">
        <v>872</v>
      </c>
      <c r="D600" s="3" t="s">
        <v>94</v>
      </c>
      <c r="E600" s="33" t="s">
        <v>89</v>
      </c>
      <c r="F600" s="4">
        <f>IFERROR(AVERAGEIF(Table1[[#This Row],[2019-Apr]:[2025-July]],"&lt;&gt;0"),0)</f>
        <v>4.4315777777777772</v>
      </c>
      <c r="G600" s="4">
        <f ca="1">IFERROR(AVERAGEIF(OFFSET(Table1[[#This Row],[Status]],0,COUNT(Table1[[#This Row],[2019-May]:[2025-July]]),1,-12),"&lt;&gt;0"),0)</f>
        <v>4.8662500000000009</v>
      </c>
      <c r="H600" s="55">
        <f>IFERROR(SMALL(Table1[[#This Row],[2019-Apr]:[2025-July]],COUNTIF(Table1[[#This Row],[2019-Apr]:[2025-July]],0)+1),0)</f>
        <v>2.2999999999999998</v>
      </c>
      <c r="I600" s="55">
        <f>IFERROR(MAX(Table1[[#This Row],[2019-Apr]:[2025-July]]),0)</f>
        <v>5.9320000000000004</v>
      </c>
      <c r="J600" s="4" cm="1">
        <f t="array" ref="J60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2.9550000000000001</v>
      </c>
      <c r="K600" s="4">
        <v>4.5</v>
      </c>
      <c r="L600" s="4">
        <f>IF(Table1[[#This Row],[Standard as per ISO]]&gt;=Table1[[#This Row],[Avg of best 6]],Table1[[#This Row],[Standard as per ISO]],Table1[[#This Row],[Avg of best 6]])</f>
        <v>4.5</v>
      </c>
      <c r="M600" s="4" cm="1">
        <f t="array" ref="M600">IFERROR(LOOKUP(2,1/(Table1[[#This Row],[2019-May]:[2025-July]]&lt;&gt;0),Table1[[#This Row],[2019-May]:[2025-July]]),0)</f>
        <v>2.5</v>
      </c>
      <c r="N600" s="4">
        <f>COUNTIF(Table1[[#This Row],[2019-Apr]:[2025-July]],"&gt;="&amp;Table1[[#This Row],[Target]])</f>
        <v>19</v>
      </c>
      <c r="O600" s="4">
        <f>IF(Table1[[#This Row],[Outliers 2Y]]=0,1,0)</f>
        <v>0</v>
      </c>
      <c r="P600" s="4">
        <f>IF(Table1[[#This Row],[Last value]]&gt;1.5*Table1[[#This Row],[Target]],1,0)</f>
        <v>0</v>
      </c>
      <c r="Q600" s="4">
        <f>IF(AND(1.5*Table1[[#This Row],[Target]]&gt;=Table1[[#This Row],[Last value]],Table1[[#This Row],[Last value]]&gt;Table1[[#This Row],[Target]]),1,0)</f>
        <v>0</v>
      </c>
      <c r="R600" s="4">
        <f>IF(Table1[[#This Row],[Target]]&gt;=Table1[[#This Row],[Last value]],1,0)</f>
        <v>1</v>
      </c>
      <c r="S600" s="4" t="str">
        <f t="shared" si="16"/>
        <v>Green</v>
      </c>
      <c r="T600">
        <v>0</v>
      </c>
      <c r="U600">
        <v>2.93</v>
      </c>
      <c r="V600">
        <v>0</v>
      </c>
      <c r="W600">
        <v>0</v>
      </c>
      <c r="X600">
        <v>0</v>
      </c>
      <c r="Y600">
        <v>0</v>
      </c>
      <c r="Z600">
        <v>3.29</v>
      </c>
      <c r="AA600">
        <v>3.96</v>
      </c>
      <c r="AB600">
        <v>3.59</v>
      </c>
      <c r="AC600">
        <v>0</v>
      </c>
      <c r="AD600">
        <v>4.24</v>
      </c>
      <c r="AE600">
        <v>4.0999999999999996</v>
      </c>
      <c r="AF600">
        <v>0</v>
      </c>
      <c r="AG600">
        <v>4.07</v>
      </c>
      <c r="AH600">
        <v>4.2</v>
      </c>
      <c r="AI600">
        <v>3.65</v>
      </c>
      <c r="AJ600">
        <v>3.3</v>
      </c>
      <c r="AK600">
        <v>3.41</v>
      </c>
      <c r="AL600">
        <v>0</v>
      </c>
      <c r="AM600">
        <v>0</v>
      </c>
      <c r="AN600">
        <v>3.87</v>
      </c>
      <c r="AO600">
        <v>4.88</v>
      </c>
      <c r="AP600">
        <v>0</v>
      </c>
      <c r="AQ600">
        <v>0</v>
      </c>
      <c r="AR600" s="8">
        <v>5.4</v>
      </c>
      <c r="AS600" s="8">
        <v>5.88</v>
      </c>
      <c r="AT600" s="8">
        <v>0</v>
      </c>
      <c r="AU600" s="3">
        <v>0</v>
      </c>
      <c r="AV600" s="3">
        <v>4.4400000000000004</v>
      </c>
      <c r="AW600" s="3">
        <v>0</v>
      </c>
      <c r="AX600" s="3">
        <v>0</v>
      </c>
      <c r="AY600" s="3">
        <v>0</v>
      </c>
      <c r="AZ600" s="3">
        <v>2.2999999999999998</v>
      </c>
      <c r="BA600" s="3">
        <v>4.4000000000000004</v>
      </c>
      <c r="BB600" s="3">
        <v>0</v>
      </c>
      <c r="BC600">
        <v>4.5999999999999996</v>
      </c>
      <c r="BD600">
        <v>4.2</v>
      </c>
      <c r="BE600" s="11">
        <v>5.7830000000000004</v>
      </c>
      <c r="BF600" s="4">
        <v>0</v>
      </c>
      <c r="BG600" s="4">
        <v>5.2759999999999998</v>
      </c>
      <c r="BH600" s="4">
        <v>0</v>
      </c>
      <c r="BI600" s="4">
        <v>5.9320000000000004</v>
      </c>
      <c r="BJ600" s="14">
        <v>3.891</v>
      </c>
      <c r="BK600" s="14">
        <v>0</v>
      </c>
      <c r="BL600" s="4">
        <v>0</v>
      </c>
      <c r="BM600" s="17">
        <v>4.9779999999999998</v>
      </c>
      <c r="BN600" s="4">
        <v>0</v>
      </c>
      <c r="BO600" s="4">
        <v>0</v>
      </c>
      <c r="BP600" s="4">
        <v>4.726</v>
      </c>
      <c r="BQ600" s="4">
        <v>0</v>
      </c>
      <c r="BR600" s="4">
        <v>4.867</v>
      </c>
      <c r="BS600" s="4">
        <v>5.4009999999999998</v>
      </c>
      <c r="BT600" s="4">
        <v>5.0369999999999999</v>
      </c>
      <c r="BU600" s="4">
        <v>4.43</v>
      </c>
      <c r="BV600" s="4">
        <v>4.43</v>
      </c>
      <c r="BW600" s="4">
        <v>0</v>
      </c>
      <c r="BX600" s="4">
        <v>0</v>
      </c>
      <c r="BY600" s="4">
        <v>4.66</v>
      </c>
      <c r="BZ600">
        <v>0</v>
      </c>
      <c r="CA600">
        <v>4.2300000000000004</v>
      </c>
      <c r="CB600">
        <v>4.49</v>
      </c>
      <c r="CC600">
        <v>4.92</v>
      </c>
      <c r="CD600">
        <v>4.2300000000000004</v>
      </c>
      <c r="CE600" s="19">
        <v>0</v>
      </c>
      <c r="CF600" s="19">
        <v>5</v>
      </c>
      <c r="CG600" s="4">
        <v>5.77</v>
      </c>
      <c r="CH600" s="4">
        <v>0</v>
      </c>
      <c r="CI600" s="4">
        <v>0</v>
      </c>
      <c r="CJ600" s="34">
        <v>5.7</v>
      </c>
      <c r="CK600" s="34">
        <v>4</v>
      </c>
      <c r="CL600" s="43">
        <v>4.0999999999999996</v>
      </c>
      <c r="CM600" s="4">
        <v>4.8</v>
      </c>
      <c r="CN600" s="53">
        <v>0</v>
      </c>
      <c r="CO600" s="54">
        <v>5.86</v>
      </c>
      <c r="CP600" s="54">
        <v>3.7</v>
      </c>
      <c r="CQ600" s="4">
        <v>2.5</v>
      </c>
    </row>
    <row r="601" spans="1:95" x14ac:dyDescent="0.35">
      <c r="A601" s="55">
        <v>600</v>
      </c>
      <c r="B601" t="s">
        <v>119</v>
      </c>
      <c r="C601" s="27" t="s">
        <v>873</v>
      </c>
      <c r="D601" s="3" t="s">
        <v>94</v>
      </c>
      <c r="E601" s="33" t="s">
        <v>91</v>
      </c>
      <c r="F601" s="4">
        <f>IFERROR(AVERAGEIF(Table1[[#This Row],[2019-Apr]:[2025-July]],"&lt;&gt;0"),0)</f>
        <v>1.5851142857142857</v>
      </c>
      <c r="G601" s="4">
        <f ca="1">IFERROR(AVERAGEIF(OFFSET(Table1[[#This Row],[Status]],0,COUNT(Table1[[#This Row],[2019-May]:[2025-July]]),1,-12),"&lt;&gt;0"),0)</f>
        <v>0</v>
      </c>
      <c r="H601" s="55">
        <f>IFERROR(SMALL(Table1[[#This Row],[2019-Apr]:[2025-July]],COUNTIF(Table1[[#This Row],[2019-Apr]:[2025-July]],0)+1),0)</f>
        <v>0.8</v>
      </c>
      <c r="I601" s="55">
        <f>IFERROR(MAX(Table1[[#This Row],[2019-Apr]:[2025-July]]),0)</f>
        <v>4.5940000000000003</v>
      </c>
      <c r="J601" s="4" cm="1">
        <f t="array" ref="J60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0.9238333333333334</v>
      </c>
      <c r="K601" s="4">
        <v>4.5</v>
      </c>
      <c r="L601" s="4">
        <f>IF(Table1[[#This Row],[Standard as per ISO]]&gt;=Table1[[#This Row],[Avg of best 6]],Table1[[#This Row],[Standard as per ISO]],Table1[[#This Row],[Avg of best 6]])</f>
        <v>4.5</v>
      </c>
      <c r="M601" s="4" cm="1">
        <f t="array" ref="M601">IFERROR(LOOKUP(2,1/(Table1[[#This Row],[2019-May]:[2025-July]]&lt;&gt;0),Table1[[#This Row],[2019-May]:[2025-July]]),0)</f>
        <v>1.31</v>
      </c>
      <c r="N601" s="4">
        <f>COUNTIF(Table1[[#This Row],[2019-Apr]:[2025-July]],"&gt;="&amp;Table1[[#This Row],[Target]])</f>
        <v>1</v>
      </c>
      <c r="O601" s="4">
        <f>IF(Table1[[#This Row],[Outliers 2Y]]=0,1,0)</f>
        <v>0</v>
      </c>
      <c r="P601" s="4">
        <f>IF(Table1[[#This Row],[Last value]]&gt;1.5*Table1[[#This Row],[Target]],1,0)</f>
        <v>0</v>
      </c>
      <c r="Q601" s="4">
        <f>IF(AND(1.5*Table1[[#This Row],[Target]]&gt;=Table1[[#This Row],[Last value]],Table1[[#This Row],[Last value]]&gt;Table1[[#This Row],[Target]]),1,0)</f>
        <v>0</v>
      </c>
      <c r="R601" s="4">
        <f>IF(Table1[[#This Row],[Target]]&gt;=Table1[[#This Row],[Last value]],1,0)</f>
        <v>1</v>
      </c>
      <c r="S601" s="4" t="str">
        <f t="shared" si="16"/>
        <v>Green</v>
      </c>
      <c r="T601">
        <v>1.57</v>
      </c>
      <c r="U601">
        <v>0</v>
      </c>
      <c r="V601">
        <v>1.62</v>
      </c>
      <c r="W601">
        <v>1.19</v>
      </c>
      <c r="X601">
        <v>2.0499999999999998</v>
      </c>
      <c r="Y601">
        <v>2.04</v>
      </c>
      <c r="Z601">
        <v>1.65</v>
      </c>
      <c r="AA601">
        <v>2.2400000000000002</v>
      </c>
      <c r="AB601">
        <v>0</v>
      </c>
      <c r="AC601">
        <v>0.88</v>
      </c>
      <c r="AD601">
        <v>1.1499999999999999</v>
      </c>
      <c r="AE601">
        <v>1.6</v>
      </c>
      <c r="AF601">
        <v>0</v>
      </c>
      <c r="AG601">
        <v>1.2</v>
      </c>
      <c r="AH601">
        <v>1.2</v>
      </c>
      <c r="AI601">
        <v>2.15</v>
      </c>
      <c r="AJ601">
        <v>0</v>
      </c>
      <c r="AK601">
        <v>0</v>
      </c>
      <c r="AL601">
        <v>0.99</v>
      </c>
      <c r="AM601">
        <v>1.1599999999999999</v>
      </c>
      <c r="AN601">
        <v>1.2</v>
      </c>
      <c r="AO601">
        <v>0</v>
      </c>
      <c r="AP601">
        <v>1.22</v>
      </c>
      <c r="AQ601">
        <v>1.55</v>
      </c>
      <c r="AR601" s="8">
        <v>2.2400000000000002</v>
      </c>
      <c r="AS601" s="8">
        <v>1.95</v>
      </c>
      <c r="AT601" s="8">
        <v>1.66</v>
      </c>
      <c r="AU601" s="3">
        <v>0</v>
      </c>
      <c r="AV601" s="3">
        <v>1.1599999999999999</v>
      </c>
      <c r="AW601" s="3">
        <v>0</v>
      </c>
      <c r="AX601" s="3">
        <v>0</v>
      </c>
      <c r="AY601" s="3">
        <v>1.0900000000000001</v>
      </c>
      <c r="AZ601" s="3">
        <v>1.36</v>
      </c>
      <c r="BA601" s="3">
        <v>1.2</v>
      </c>
      <c r="BB601" s="3">
        <v>1.2</v>
      </c>
      <c r="BC601">
        <v>0.8</v>
      </c>
      <c r="BD601">
        <v>0</v>
      </c>
      <c r="BE601" s="11">
        <v>0.95199999999999996</v>
      </c>
      <c r="BF601" s="4">
        <v>0.83099999999999996</v>
      </c>
      <c r="BG601" s="4">
        <v>4.5940000000000003</v>
      </c>
      <c r="BH601" s="4">
        <v>0</v>
      </c>
      <c r="BI601" s="4">
        <v>2.5979999999999999</v>
      </c>
      <c r="BJ601" s="13">
        <v>0</v>
      </c>
      <c r="BK601" s="13">
        <v>1.8420000000000001</v>
      </c>
      <c r="BL601" s="4">
        <v>0</v>
      </c>
      <c r="BM601" s="16">
        <v>0</v>
      </c>
      <c r="BN601" s="4">
        <v>0</v>
      </c>
      <c r="BO601" s="4">
        <v>0</v>
      </c>
      <c r="BP601" s="4">
        <v>1.522</v>
      </c>
      <c r="BQ601" s="4">
        <v>0</v>
      </c>
      <c r="BR601" s="4">
        <v>0</v>
      </c>
      <c r="BS601" s="4">
        <v>2.5099999999999998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>
        <v>0</v>
      </c>
      <c r="CA601">
        <v>0</v>
      </c>
      <c r="CB601">
        <v>0</v>
      </c>
      <c r="CC601">
        <v>1.31</v>
      </c>
      <c r="CD601">
        <v>0</v>
      </c>
      <c r="CE601" s="19">
        <v>0</v>
      </c>
      <c r="CF601" s="19">
        <v>0</v>
      </c>
      <c r="CG601" s="4">
        <v>0</v>
      </c>
      <c r="CH601" s="4">
        <v>0</v>
      </c>
      <c r="CI601" s="4">
        <v>0</v>
      </c>
      <c r="CJ601" s="34">
        <v>0</v>
      </c>
      <c r="CK601" s="34">
        <v>0</v>
      </c>
      <c r="CL601" s="34">
        <v>0</v>
      </c>
      <c r="CM601" s="4">
        <v>0</v>
      </c>
      <c r="CN601" s="53">
        <v>0</v>
      </c>
      <c r="CO601" s="54">
        <v>0</v>
      </c>
      <c r="CP601" s="54">
        <v>0</v>
      </c>
      <c r="CQ601" s="4">
        <v>0</v>
      </c>
    </row>
    <row r="602" spans="1:95" x14ac:dyDescent="0.35">
      <c r="A602" s="55">
        <v>601</v>
      </c>
      <c r="B602" t="s">
        <v>119</v>
      </c>
      <c r="C602" s="27" t="s">
        <v>874</v>
      </c>
      <c r="D602" s="3" t="s">
        <v>94</v>
      </c>
      <c r="E602" s="33" t="s">
        <v>91</v>
      </c>
      <c r="F602" s="4">
        <f>IFERROR(AVERAGEIF(Table1[[#This Row],[2019-Apr]:[2025-July]],"&lt;&gt;0"),0)</f>
        <v>1.4982857142857142</v>
      </c>
      <c r="G602" s="4">
        <f ca="1">IFERROR(AVERAGEIF(OFFSET(Table1[[#This Row],[Status]],0,COUNT(Table1[[#This Row],[2019-May]:[2025-July]]),1,-12),"&lt;&gt;0"),0)</f>
        <v>1.7</v>
      </c>
      <c r="H602" s="55">
        <f>IFERROR(SMALL(Table1[[#This Row],[2019-Apr]:[2025-July]],COUNTIF(Table1[[#This Row],[2019-Apr]:[2025-July]],0)+1),0)</f>
        <v>0.4</v>
      </c>
      <c r="I602" s="55">
        <f>IFERROR(MAX(Table1[[#This Row],[2019-Apr]:[2025-July]]),0)</f>
        <v>2.27</v>
      </c>
      <c r="J602" s="4" cm="1">
        <f t="array" ref="J60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1.0316666666666665</v>
      </c>
      <c r="K602" s="4">
        <v>4.5</v>
      </c>
      <c r="L602" s="4">
        <f>IF(Table1[[#This Row],[Standard as per ISO]]&gt;=Table1[[#This Row],[Avg of best 6]],Table1[[#This Row],[Standard as per ISO]],Table1[[#This Row],[Avg of best 6]])</f>
        <v>4.5</v>
      </c>
      <c r="M602" s="4" cm="1">
        <f t="array" ref="M602">IFERROR(LOOKUP(2,1/(Table1[[#This Row],[2019-May]:[2025-July]]&lt;&gt;0),Table1[[#This Row],[2019-May]:[2025-July]]),0)</f>
        <v>1.7</v>
      </c>
      <c r="N602" s="4">
        <f>COUNTIF(Table1[[#This Row],[2019-Apr]:[2025-July]],"&gt;="&amp;Table1[[#This Row],[Target]])</f>
        <v>0</v>
      </c>
      <c r="O602" s="4">
        <f>IF(Table1[[#This Row],[Outliers 2Y]]=0,1,0)</f>
        <v>1</v>
      </c>
      <c r="P602" s="4">
        <f>IF(Table1[[#This Row],[Last value]]&gt;1.5*Table1[[#This Row],[Target]],1,0)</f>
        <v>0</v>
      </c>
      <c r="Q602" s="4">
        <f>IF(AND(1.5*Table1[[#This Row],[Target]]&gt;=Table1[[#This Row],[Last value]],Table1[[#This Row],[Last value]]&gt;Table1[[#This Row],[Target]]),1,0)</f>
        <v>0</v>
      </c>
      <c r="R602" s="4">
        <f>IF(Table1[[#This Row],[Target]]&gt;=Table1[[#This Row],[Last value]],1,0)</f>
        <v>1</v>
      </c>
      <c r="S602" s="4" t="str">
        <f t="shared" si="16"/>
        <v>Green</v>
      </c>
      <c r="T602">
        <v>0</v>
      </c>
      <c r="U602">
        <v>1.3</v>
      </c>
      <c r="V602">
        <v>0</v>
      </c>
      <c r="W602">
        <v>0</v>
      </c>
      <c r="X602">
        <v>0</v>
      </c>
      <c r="Y602">
        <v>1.36</v>
      </c>
      <c r="Z602">
        <v>0</v>
      </c>
      <c r="AA602">
        <v>1.17</v>
      </c>
      <c r="AB602">
        <v>2.27</v>
      </c>
      <c r="AC602">
        <v>0</v>
      </c>
      <c r="AD602">
        <v>1.21</v>
      </c>
      <c r="AE602">
        <v>1.6</v>
      </c>
      <c r="AF602">
        <v>1.2</v>
      </c>
      <c r="AG602">
        <v>0</v>
      </c>
      <c r="AH602">
        <v>1.3</v>
      </c>
      <c r="AI602">
        <v>2.14</v>
      </c>
      <c r="AJ602">
        <v>1.8</v>
      </c>
      <c r="AK602">
        <v>0.99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 s="8">
        <v>1.22</v>
      </c>
      <c r="AS602" s="8">
        <v>1.44</v>
      </c>
      <c r="AT602" s="8">
        <v>0</v>
      </c>
      <c r="AU602" s="3">
        <v>1.73</v>
      </c>
      <c r="AV602" s="3">
        <v>0</v>
      </c>
      <c r="AW602" s="3">
        <v>1.39</v>
      </c>
      <c r="AX602" s="3">
        <v>0</v>
      </c>
      <c r="AY602" s="3">
        <v>0</v>
      </c>
      <c r="AZ602" s="3">
        <v>1.7</v>
      </c>
      <c r="BA602" s="3">
        <v>2.2000000000000002</v>
      </c>
      <c r="BB602" s="3">
        <v>1.3</v>
      </c>
      <c r="BC602" s="3">
        <v>0</v>
      </c>
      <c r="BD602">
        <v>0</v>
      </c>
      <c r="BE602" s="11">
        <v>1.569</v>
      </c>
      <c r="BF602" s="4">
        <v>0</v>
      </c>
      <c r="BG602" s="4">
        <v>0.4</v>
      </c>
      <c r="BH602" s="4">
        <v>0</v>
      </c>
      <c r="BI602" s="4">
        <v>1.849</v>
      </c>
      <c r="BJ602" s="14">
        <v>0</v>
      </c>
      <c r="BK602" s="14">
        <v>1.377</v>
      </c>
      <c r="BL602" s="4">
        <v>1.248</v>
      </c>
      <c r="BM602" s="17">
        <v>0</v>
      </c>
      <c r="BN602" s="4">
        <v>0</v>
      </c>
      <c r="BO602" s="4">
        <v>0</v>
      </c>
      <c r="BP602" s="4">
        <v>1.2629999999999999</v>
      </c>
      <c r="BQ602" s="4">
        <v>0</v>
      </c>
      <c r="BR602" s="4">
        <v>0</v>
      </c>
      <c r="BS602" s="4">
        <v>1.6020000000000001</v>
      </c>
      <c r="BT602" s="4">
        <v>0</v>
      </c>
      <c r="BU602" s="4">
        <v>0</v>
      </c>
      <c r="BV602" s="4">
        <v>0</v>
      </c>
      <c r="BW602" s="4">
        <v>1.9239999999999999</v>
      </c>
      <c r="BX602" s="4">
        <v>0</v>
      </c>
      <c r="BY602" s="4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 s="19">
        <v>1.7</v>
      </c>
      <c r="CF602" s="19">
        <v>1.7</v>
      </c>
      <c r="CG602" s="4">
        <v>0</v>
      </c>
      <c r="CH602" s="4">
        <v>0</v>
      </c>
      <c r="CI602" s="4">
        <v>0</v>
      </c>
      <c r="CJ602" s="34">
        <v>0</v>
      </c>
      <c r="CK602" s="34">
        <v>0</v>
      </c>
      <c r="CL602" s="34">
        <v>0</v>
      </c>
      <c r="CM602" s="4">
        <v>0</v>
      </c>
      <c r="CN602" s="53">
        <v>0</v>
      </c>
      <c r="CO602" s="54">
        <v>0</v>
      </c>
      <c r="CP602" s="54">
        <v>0</v>
      </c>
      <c r="CQ602" s="4">
        <v>0</v>
      </c>
    </row>
    <row r="603" spans="1:95" x14ac:dyDescent="0.35">
      <c r="A603" s="55">
        <v>602</v>
      </c>
      <c r="B603" t="s">
        <v>119</v>
      </c>
      <c r="C603" s="27" t="s">
        <v>875</v>
      </c>
      <c r="D603" s="3" t="s">
        <v>94</v>
      </c>
      <c r="E603" s="33" t="s">
        <v>91</v>
      </c>
      <c r="F603" s="4">
        <f>IFERROR(AVERAGEIF(Table1[[#This Row],[2019-Apr]:[2025-July]],"&lt;&gt;0"),0)</f>
        <v>1.8928148148148145</v>
      </c>
      <c r="G603" s="4">
        <f ca="1">IFERROR(AVERAGEIF(OFFSET(Table1[[#This Row],[Status]],0,COUNT(Table1[[#This Row],[2019-May]:[2025-July]]),1,-12),"&lt;&gt;0"),0)</f>
        <v>1.8</v>
      </c>
      <c r="H603" s="55">
        <f>IFERROR(SMALL(Table1[[#This Row],[2019-Apr]:[2025-July]],COUNTIF(Table1[[#This Row],[2019-Apr]:[2025-July]],0)+1),0)</f>
        <v>1.29</v>
      </c>
      <c r="I603" s="55">
        <f>IFERROR(MAX(Table1[[#This Row],[2019-Apr]:[2025-July]]),0)</f>
        <v>3.01</v>
      </c>
      <c r="J603" s="4" cm="1">
        <f t="array" ref="J60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1.5216666666666665</v>
      </c>
      <c r="K603" s="4">
        <v>4.5</v>
      </c>
      <c r="L603" s="4">
        <f>IF(Table1[[#This Row],[Standard as per ISO]]&gt;=Table1[[#This Row],[Avg of best 6]],Table1[[#This Row],[Standard as per ISO]],Table1[[#This Row],[Avg of best 6]])</f>
        <v>4.5</v>
      </c>
      <c r="M603" s="4" cm="1">
        <f t="array" ref="M603">IFERROR(LOOKUP(2,1/(Table1[[#This Row],[2019-May]:[2025-July]]&lt;&gt;0),Table1[[#This Row],[2019-May]:[2025-July]]),0)</f>
        <v>1.8</v>
      </c>
      <c r="N603" s="4">
        <f>COUNTIF(Table1[[#This Row],[2019-Apr]:[2025-July]],"&gt;="&amp;Table1[[#This Row],[Target]])</f>
        <v>0</v>
      </c>
      <c r="O603" s="4">
        <f>IF(Table1[[#This Row],[Outliers 2Y]]=0,1,0)</f>
        <v>1</v>
      </c>
      <c r="P603" s="4">
        <f>IF(Table1[[#This Row],[Last value]]&gt;1.5*Table1[[#This Row],[Target]],1,0)</f>
        <v>0</v>
      </c>
      <c r="Q603" s="4">
        <f>IF(AND(1.5*Table1[[#This Row],[Target]]&gt;=Table1[[#This Row],[Last value]],Table1[[#This Row],[Last value]]&gt;Table1[[#This Row],[Target]]),1,0)</f>
        <v>0</v>
      </c>
      <c r="R603" s="4">
        <f>IF(Table1[[#This Row],[Target]]&gt;=Table1[[#This Row],[Last value]],1,0)</f>
        <v>1</v>
      </c>
      <c r="S603" s="4" t="str">
        <f t="shared" si="16"/>
        <v>Green</v>
      </c>
      <c r="T603">
        <v>0</v>
      </c>
      <c r="U603">
        <v>1.72</v>
      </c>
      <c r="V603">
        <v>1.58</v>
      </c>
      <c r="W603">
        <v>1.29</v>
      </c>
      <c r="X603">
        <v>2.04</v>
      </c>
      <c r="Y603">
        <v>0</v>
      </c>
      <c r="Z603">
        <v>0</v>
      </c>
      <c r="AA603">
        <v>0</v>
      </c>
      <c r="AB603">
        <v>1.61</v>
      </c>
      <c r="AC603">
        <v>0</v>
      </c>
      <c r="AD603">
        <v>0</v>
      </c>
      <c r="AE603">
        <v>0</v>
      </c>
      <c r="AF603">
        <v>1.6</v>
      </c>
      <c r="AG603">
        <v>0</v>
      </c>
      <c r="AH603">
        <v>0</v>
      </c>
      <c r="AI603">
        <v>0</v>
      </c>
      <c r="AJ603">
        <v>1.56</v>
      </c>
      <c r="AK603">
        <v>1.63</v>
      </c>
      <c r="AL603">
        <v>1.49</v>
      </c>
      <c r="AM603">
        <v>1.68</v>
      </c>
      <c r="AN603">
        <v>1.9</v>
      </c>
      <c r="AO603">
        <v>0</v>
      </c>
      <c r="AP603">
        <v>1.7</v>
      </c>
      <c r="AQ603">
        <v>1.67</v>
      </c>
      <c r="AR603" s="8">
        <v>0</v>
      </c>
      <c r="AS603" s="8">
        <v>1.67</v>
      </c>
      <c r="AT603" s="8">
        <v>2.35</v>
      </c>
      <c r="AU603" s="3">
        <v>3.01</v>
      </c>
      <c r="AV603" s="3">
        <v>2.08</v>
      </c>
      <c r="AW603" s="3">
        <v>2.44</v>
      </c>
      <c r="AX603" s="3">
        <v>2.13</v>
      </c>
      <c r="AY603" s="3">
        <v>2.04</v>
      </c>
      <c r="AZ603" s="3">
        <v>0</v>
      </c>
      <c r="BA603" s="3">
        <v>0</v>
      </c>
      <c r="BB603" s="3">
        <v>0</v>
      </c>
      <c r="BC603">
        <v>1.9</v>
      </c>
      <c r="BD603">
        <v>0</v>
      </c>
      <c r="BE603" s="11">
        <v>0</v>
      </c>
      <c r="BF603" s="4">
        <v>1.8220000000000001</v>
      </c>
      <c r="BG603" s="4">
        <v>0</v>
      </c>
      <c r="BH603" s="4">
        <v>0</v>
      </c>
      <c r="BI603" s="4">
        <v>0</v>
      </c>
      <c r="BJ603" s="13">
        <v>0</v>
      </c>
      <c r="BK603" s="13">
        <v>0</v>
      </c>
      <c r="BL603" s="4">
        <v>2.5110000000000001</v>
      </c>
      <c r="BM603" s="16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2.1190000000000002</v>
      </c>
      <c r="BT603" s="4">
        <v>0</v>
      </c>
      <c r="BU603" s="4">
        <v>0</v>
      </c>
      <c r="BV603" s="4">
        <v>0</v>
      </c>
      <c r="BW603" s="4">
        <v>2.0339999999999998</v>
      </c>
      <c r="BX603" s="4">
        <v>0</v>
      </c>
      <c r="BY603" s="4">
        <v>0</v>
      </c>
      <c r="BZ603">
        <v>0</v>
      </c>
      <c r="CA603">
        <v>0</v>
      </c>
      <c r="CB603">
        <v>0</v>
      </c>
      <c r="CC603">
        <v>1.73</v>
      </c>
      <c r="CD603">
        <v>0</v>
      </c>
      <c r="CE603" s="19">
        <v>0</v>
      </c>
      <c r="CF603" s="19">
        <v>1.8</v>
      </c>
      <c r="CG603" s="4">
        <v>0</v>
      </c>
      <c r="CH603" s="4">
        <v>0</v>
      </c>
      <c r="CI603" s="4">
        <v>0</v>
      </c>
      <c r="CJ603" s="34">
        <v>0</v>
      </c>
      <c r="CK603" s="34">
        <v>0</v>
      </c>
      <c r="CL603" s="34">
        <v>0</v>
      </c>
      <c r="CM603" s="4">
        <v>0</v>
      </c>
      <c r="CN603" s="53">
        <v>0</v>
      </c>
      <c r="CO603" s="54">
        <v>0</v>
      </c>
      <c r="CP603" s="54">
        <v>0</v>
      </c>
      <c r="CQ603" s="4">
        <v>0</v>
      </c>
    </row>
    <row r="604" spans="1:95" x14ac:dyDescent="0.35">
      <c r="A604" s="55">
        <v>603</v>
      </c>
      <c r="B604" t="s">
        <v>119</v>
      </c>
      <c r="C604" s="27" t="s">
        <v>876</v>
      </c>
      <c r="D604" s="3" t="s">
        <v>94</v>
      </c>
      <c r="E604" s="33" t="s">
        <v>91</v>
      </c>
      <c r="F604" s="4">
        <f>IFERROR(AVERAGEIF(Table1[[#This Row],[2019-Apr]:[2025-July]],"&lt;&gt;0"),0)</f>
        <v>1.71446875</v>
      </c>
      <c r="G604" s="4">
        <f ca="1">IFERROR(AVERAGEIF(OFFSET(Table1[[#This Row],[Status]],0,COUNT(Table1[[#This Row],[2019-May]:[2025-July]]),1,-12),"&lt;&gt;0"),0)</f>
        <v>1.55</v>
      </c>
      <c r="H604" s="55">
        <f>IFERROR(SMALL(Table1[[#This Row],[2019-Apr]:[2025-July]],COUNTIF(Table1[[#This Row],[2019-Apr]:[2025-July]],0)+1),0)</f>
        <v>1.01</v>
      </c>
      <c r="I604" s="55">
        <f>IFERROR(MAX(Table1[[#This Row],[2019-Apr]:[2025-July]]),0)</f>
        <v>3.48</v>
      </c>
      <c r="J604" s="4" cm="1">
        <f t="array" ref="J60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1.1966666666666665</v>
      </c>
      <c r="K604" s="4">
        <v>4.5</v>
      </c>
      <c r="L604" s="4">
        <f>IF(Table1[[#This Row],[Standard as per ISO]]&gt;=Table1[[#This Row],[Avg of best 6]],Table1[[#This Row],[Standard as per ISO]],Table1[[#This Row],[Avg of best 6]])</f>
        <v>4.5</v>
      </c>
      <c r="M604" s="4" cm="1">
        <f t="array" ref="M604">IFERROR(LOOKUP(2,1/(Table1[[#This Row],[2019-May]:[2025-July]]&lt;&gt;0),Table1[[#This Row],[2019-May]:[2025-July]]),0)</f>
        <v>1.1000000000000001</v>
      </c>
      <c r="N604" s="4">
        <f>COUNTIF(Table1[[#This Row],[2019-Apr]:[2025-July]],"&gt;="&amp;Table1[[#This Row],[Target]])</f>
        <v>0</v>
      </c>
      <c r="O604" s="4">
        <f>IF(Table1[[#This Row],[Outliers 2Y]]=0,1,0)</f>
        <v>1</v>
      </c>
      <c r="P604" s="4">
        <f>IF(Table1[[#This Row],[Last value]]&gt;1.5*Table1[[#This Row],[Target]],1,0)</f>
        <v>0</v>
      </c>
      <c r="Q604" s="4">
        <f>IF(AND(1.5*Table1[[#This Row],[Target]]&gt;=Table1[[#This Row],[Last value]],Table1[[#This Row],[Last value]]&gt;Table1[[#This Row],[Target]]),1,0)</f>
        <v>0</v>
      </c>
      <c r="R604" s="4">
        <f>IF(Table1[[#This Row],[Target]]&gt;=Table1[[#This Row],[Last value]],1,0)</f>
        <v>1</v>
      </c>
      <c r="S604" s="4" t="str">
        <f t="shared" si="16"/>
        <v>Green</v>
      </c>
      <c r="T604">
        <v>1.46</v>
      </c>
      <c r="U604">
        <v>0</v>
      </c>
      <c r="V604">
        <v>0</v>
      </c>
      <c r="W604">
        <v>0</v>
      </c>
      <c r="X604">
        <v>0</v>
      </c>
      <c r="Y604">
        <v>1.66</v>
      </c>
      <c r="Z604">
        <v>1.63</v>
      </c>
      <c r="AA604">
        <v>0</v>
      </c>
      <c r="AB604">
        <v>1.01</v>
      </c>
      <c r="AC604">
        <v>1.5</v>
      </c>
      <c r="AD604">
        <v>1.62</v>
      </c>
      <c r="AE604">
        <v>1.6</v>
      </c>
      <c r="AF604">
        <v>1.5</v>
      </c>
      <c r="AG604">
        <v>1.7</v>
      </c>
      <c r="AH604">
        <v>1.6</v>
      </c>
      <c r="AI604">
        <v>3.48</v>
      </c>
      <c r="AJ604">
        <v>1.85</v>
      </c>
      <c r="AK604">
        <v>1.44</v>
      </c>
      <c r="AL604">
        <v>1.94</v>
      </c>
      <c r="AM604">
        <v>2.23</v>
      </c>
      <c r="AN604">
        <v>1.49</v>
      </c>
      <c r="AO604">
        <v>0</v>
      </c>
      <c r="AP604">
        <v>0</v>
      </c>
      <c r="AQ604">
        <v>0</v>
      </c>
      <c r="AR604" s="8">
        <v>1.8779999999999999</v>
      </c>
      <c r="AS604" s="8">
        <v>1.54</v>
      </c>
      <c r="AT604" s="8">
        <v>1.74</v>
      </c>
      <c r="AU604" s="3">
        <v>1.29</v>
      </c>
      <c r="AV604" s="3">
        <v>1.76</v>
      </c>
      <c r="AW604" s="3">
        <v>1.24</v>
      </c>
      <c r="AX604" s="3">
        <v>2.74</v>
      </c>
      <c r="AY604" s="3">
        <v>1.96</v>
      </c>
      <c r="AZ604" s="3">
        <v>0</v>
      </c>
      <c r="BA604" s="3">
        <v>1.1000000000000001</v>
      </c>
      <c r="BB604" s="3">
        <v>1.9</v>
      </c>
      <c r="BC604" s="3">
        <v>0</v>
      </c>
      <c r="BD604">
        <v>0</v>
      </c>
      <c r="BE604" s="11">
        <v>1.8779999999999999</v>
      </c>
      <c r="BF604" s="4">
        <v>0</v>
      </c>
      <c r="BG604" s="4">
        <v>1.9890000000000001</v>
      </c>
      <c r="BH604" s="4">
        <v>0</v>
      </c>
      <c r="BI604" s="4">
        <v>1.51</v>
      </c>
      <c r="BJ604" s="14">
        <v>0</v>
      </c>
      <c r="BK604" s="14">
        <v>0</v>
      </c>
      <c r="BL604" s="4">
        <v>0</v>
      </c>
      <c r="BM604" s="17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1.528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 s="19">
        <v>2</v>
      </c>
      <c r="CF604" s="19">
        <v>1.1000000000000001</v>
      </c>
      <c r="CG604" s="4">
        <v>0</v>
      </c>
      <c r="CH604" s="4">
        <v>0</v>
      </c>
      <c r="CI604" s="4">
        <v>0</v>
      </c>
      <c r="CJ604" s="34">
        <v>0</v>
      </c>
      <c r="CK604" s="34">
        <v>0</v>
      </c>
      <c r="CL604" s="34">
        <v>0</v>
      </c>
      <c r="CM604" s="4">
        <v>0</v>
      </c>
      <c r="CN604" s="53">
        <v>0</v>
      </c>
      <c r="CO604" s="54">
        <v>0</v>
      </c>
      <c r="CP604" s="54">
        <v>0</v>
      </c>
      <c r="CQ604" s="4">
        <v>0</v>
      </c>
    </row>
    <row r="605" spans="1:95" x14ac:dyDescent="0.35">
      <c r="A605" s="55">
        <v>604</v>
      </c>
      <c r="B605" t="s">
        <v>119</v>
      </c>
      <c r="C605" s="27" t="s">
        <v>877</v>
      </c>
      <c r="D605" s="3" t="s">
        <v>94</v>
      </c>
      <c r="E605" s="33" t="s">
        <v>91</v>
      </c>
      <c r="F605" s="4">
        <f>IFERROR(AVERAGEIF(Table1[[#This Row],[2019-Apr]:[2025-July]],"&lt;&gt;0"),0)</f>
        <v>3.0896036036036039</v>
      </c>
      <c r="G605" s="4">
        <f ca="1">IFERROR(AVERAGEIF(OFFSET(Table1[[#This Row],[Status]],0,COUNT(Table1[[#This Row],[2019-May]:[2025-July]]),1,-12),"&lt;&gt;0"),0)</f>
        <v>1.34</v>
      </c>
      <c r="H605" s="55">
        <f>IFERROR(SMALL(Table1[[#This Row],[2019-Apr]:[2025-July]],COUNTIF(Table1[[#This Row],[2019-Apr]:[2025-July]],0)+1),0)</f>
        <v>1.25</v>
      </c>
      <c r="I605" s="55">
        <f>IFERROR(MAX(Table1[[#This Row],[2019-Apr]:[2025-July]]),0)</f>
        <v>5.53</v>
      </c>
      <c r="J605" s="4" cm="1">
        <f t="array" ref="J60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1.3783333333333332</v>
      </c>
      <c r="K605" s="4">
        <v>4.5</v>
      </c>
      <c r="L605" s="4">
        <f>IF(Table1[[#This Row],[Standard as per ISO]]&gt;=Table1[[#This Row],[Avg of best 6]],Table1[[#This Row],[Standard as per ISO]],Table1[[#This Row],[Avg of best 6]])</f>
        <v>4.5</v>
      </c>
      <c r="M605" s="4" cm="1">
        <f t="array" ref="M605">IFERROR(LOOKUP(2,1/(Table1[[#This Row],[2019-May]:[2025-July]]&lt;&gt;0),Table1[[#This Row],[2019-May]:[2025-July]]),0)</f>
        <v>1.34</v>
      </c>
      <c r="N605" s="4">
        <f>COUNTIF(Table1[[#This Row],[2019-Apr]:[2025-July]],"&gt;="&amp;Table1[[#This Row],[Target]])</f>
        <v>6</v>
      </c>
      <c r="O605" s="4">
        <f>IF(Table1[[#This Row],[Outliers 2Y]]=0,1,0)</f>
        <v>0</v>
      </c>
      <c r="P605" s="4">
        <f>IF(Table1[[#This Row],[Last value]]&gt;1.5*Table1[[#This Row],[Target]],1,0)</f>
        <v>0</v>
      </c>
      <c r="Q605" s="4">
        <f>IF(AND(1.5*Table1[[#This Row],[Target]]&gt;=Table1[[#This Row],[Last value]],Table1[[#This Row],[Last value]]&gt;Table1[[#This Row],[Target]]),1,0)</f>
        <v>0</v>
      </c>
      <c r="R605" s="4">
        <f>IF(Table1[[#This Row],[Target]]&gt;=Table1[[#This Row],[Last value]],1,0)</f>
        <v>1</v>
      </c>
      <c r="S605" s="4" t="str">
        <f t="shared" si="16"/>
        <v>Green</v>
      </c>
      <c r="T605">
        <v>1.44</v>
      </c>
      <c r="U605">
        <v>1.72</v>
      </c>
      <c r="V605">
        <v>1.38</v>
      </c>
      <c r="W605">
        <v>1.66</v>
      </c>
      <c r="X605">
        <v>1.79</v>
      </c>
      <c r="Y605">
        <v>0</v>
      </c>
      <c r="Z605">
        <v>0</v>
      </c>
      <c r="AA605">
        <v>2.3199999999999998</v>
      </c>
      <c r="AB605">
        <v>1.4</v>
      </c>
      <c r="AC605">
        <v>1.25</v>
      </c>
      <c r="AD605">
        <v>1.5</v>
      </c>
      <c r="AE605">
        <v>1.4</v>
      </c>
      <c r="AF605">
        <v>1.7</v>
      </c>
      <c r="AG605">
        <v>1.5333333333333332</v>
      </c>
      <c r="AH605">
        <v>1.5</v>
      </c>
      <c r="AI605">
        <v>2.56</v>
      </c>
      <c r="AJ605">
        <v>0</v>
      </c>
      <c r="AK605">
        <v>4.88</v>
      </c>
      <c r="AL605">
        <v>5.53</v>
      </c>
      <c r="AM605">
        <v>3.5</v>
      </c>
      <c r="AN605">
        <v>0</v>
      </c>
      <c r="AO605">
        <v>0</v>
      </c>
      <c r="AP605">
        <v>4.4000000000000004</v>
      </c>
      <c r="AQ605">
        <v>4.62</v>
      </c>
      <c r="AR605" s="8">
        <v>0</v>
      </c>
      <c r="AS605" s="8">
        <v>0</v>
      </c>
      <c r="AT605" s="8">
        <v>4.3099999999999996</v>
      </c>
      <c r="AU605" s="3">
        <v>4.24</v>
      </c>
      <c r="AV605" s="3">
        <v>0</v>
      </c>
      <c r="AW605" s="3">
        <v>4.05</v>
      </c>
      <c r="AX605" s="3">
        <v>5.17</v>
      </c>
      <c r="AY605" s="3">
        <v>4.57</v>
      </c>
      <c r="AZ605" s="3">
        <v>3.9</v>
      </c>
      <c r="BA605" s="3">
        <v>3.7</v>
      </c>
      <c r="BB605" s="3">
        <v>3.5</v>
      </c>
      <c r="BC605">
        <v>3.3</v>
      </c>
      <c r="BD605">
        <v>0</v>
      </c>
      <c r="BE605" s="11">
        <v>3.18</v>
      </c>
      <c r="BF605" s="4">
        <v>3.35</v>
      </c>
      <c r="BG605" s="4">
        <v>0</v>
      </c>
      <c r="BH605" s="4">
        <v>0</v>
      </c>
      <c r="BI605" s="4">
        <v>0</v>
      </c>
      <c r="BJ605" s="13">
        <v>0</v>
      </c>
      <c r="BK605" s="13">
        <v>3.3940000000000001</v>
      </c>
      <c r="BL605" s="4">
        <v>3.9820000000000002</v>
      </c>
      <c r="BM605" s="16">
        <v>0</v>
      </c>
      <c r="BN605" s="4">
        <v>0</v>
      </c>
      <c r="BO605" s="4">
        <v>0</v>
      </c>
      <c r="BP605" s="4">
        <v>3.351</v>
      </c>
      <c r="BQ605" s="4">
        <v>0</v>
      </c>
      <c r="BR605" s="4">
        <v>0</v>
      </c>
      <c r="BS605" s="4">
        <v>3.8679999999999999</v>
      </c>
      <c r="BT605" s="4">
        <v>0</v>
      </c>
      <c r="BU605" s="4">
        <v>0</v>
      </c>
      <c r="BV605" s="4">
        <v>0</v>
      </c>
      <c r="BW605" s="4">
        <v>3.847</v>
      </c>
      <c r="BX605" s="4">
        <v>0</v>
      </c>
      <c r="BY605" s="4">
        <v>0</v>
      </c>
      <c r="BZ605">
        <v>0</v>
      </c>
      <c r="CA605">
        <v>0</v>
      </c>
      <c r="CB605">
        <v>0</v>
      </c>
      <c r="CC605">
        <v>5.18</v>
      </c>
      <c r="CD605">
        <v>0</v>
      </c>
      <c r="CE605" s="19">
        <v>0</v>
      </c>
      <c r="CF605" s="19">
        <v>0</v>
      </c>
      <c r="CG605" s="4">
        <v>1.34</v>
      </c>
      <c r="CH605" s="4">
        <v>0</v>
      </c>
      <c r="CI605" s="4">
        <v>0</v>
      </c>
      <c r="CJ605" s="34">
        <v>0</v>
      </c>
      <c r="CK605" s="34">
        <v>0</v>
      </c>
      <c r="CL605" s="34">
        <v>0</v>
      </c>
      <c r="CM605" s="4">
        <v>0</v>
      </c>
      <c r="CN605" s="53">
        <v>0</v>
      </c>
      <c r="CO605" s="54">
        <v>0</v>
      </c>
      <c r="CP605" s="54">
        <v>0</v>
      </c>
      <c r="CQ605" s="4">
        <v>0</v>
      </c>
    </row>
    <row r="606" spans="1:95" x14ac:dyDescent="0.35">
      <c r="A606" s="55">
        <v>605</v>
      </c>
      <c r="B606" t="s">
        <v>119</v>
      </c>
      <c r="C606" s="27" t="s">
        <v>878</v>
      </c>
      <c r="D606" s="3" t="s">
        <v>94</v>
      </c>
      <c r="E606" s="33" t="s">
        <v>91</v>
      </c>
      <c r="F606" s="4">
        <f>IFERROR(AVERAGEIF(Table1[[#This Row],[2019-Apr]:[2025-July]],"&lt;&gt;0"),0)</f>
        <v>1.6130384615384616</v>
      </c>
      <c r="G606" s="4">
        <f ca="1">IFERROR(AVERAGEIF(OFFSET(Table1[[#This Row],[Status]],0,COUNT(Table1[[#This Row],[2019-May]:[2025-July]]),1,-12),"&lt;&gt;0"),0)</f>
        <v>2.1</v>
      </c>
      <c r="H606" s="55">
        <f>IFERROR(SMALL(Table1[[#This Row],[2019-Apr]:[2025-July]],COUNTIF(Table1[[#This Row],[2019-Apr]:[2025-July]],0)+1),0)</f>
        <v>0.85</v>
      </c>
      <c r="I606" s="55">
        <f>IFERROR(MAX(Table1[[#This Row],[2019-Apr]:[2025-July]]),0)</f>
        <v>3.4710000000000001</v>
      </c>
      <c r="J606" s="4" cm="1">
        <f t="array" ref="J60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0.91500000000000004</v>
      </c>
      <c r="K606" s="4">
        <v>4.5</v>
      </c>
      <c r="L606" s="4">
        <f>IF(Table1[[#This Row],[Standard as per ISO]]&gt;=Table1[[#This Row],[Avg of best 6]],Table1[[#This Row],[Standard as per ISO]],Table1[[#This Row],[Avg of best 6]])</f>
        <v>4.5</v>
      </c>
      <c r="M606" s="4" cm="1">
        <f t="array" ref="M606">IFERROR(LOOKUP(2,1/(Table1[[#This Row],[2019-May]:[2025-July]]&lt;&gt;0),Table1[[#This Row],[2019-May]:[2025-July]]),0)</f>
        <v>2.1</v>
      </c>
      <c r="N606" s="4">
        <f>COUNTIF(Table1[[#This Row],[2019-Apr]:[2025-July]],"&gt;="&amp;Table1[[#This Row],[Target]])</f>
        <v>0</v>
      </c>
      <c r="O606" s="4">
        <f>IF(Table1[[#This Row],[Outliers 2Y]]=0,1,0)</f>
        <v>1</v>
      </c>
      <c r="P606" s="4">
        <f>IF(Table1[[#This Row],[Last value]]&gt;1.5*Table1[[#This Row],[Target]],1,0)</f>
        <v>0</v>
      </c>
      <c r="Q606" s="4">
        <f>IF(AND(1.5*Table1[[#This Row],[Target]]&gt;=Table1[[#This Row],[Last value]],Table1[[#This Row],[Last value]]&gt;Table1[[#This Row],[Target]]),1,0)</f>
        <v>0</v>
      </c>
      <c r="R606" s="4">
        <f>IF(Table1[[#This Row],[Target]]&gt;=Table1[[#This Row],[Last value]],1,0)</f>
        <v>1</v>
      </c>
      <c r="S606" s="4" t="str">
        <f t="shared" si="16"/>
        <v>Green</v>
      </c>
      <c r="T606">
        <v>0</v>
      </c>
      <c r="U606">
        <v>0</v>
      </c>
      <c r="V606">
        <v>1.0900000000000001</v>
      </c>
      <c r="W606">
        <v>0.99</v>
      </c>
      <c r="X606">
        <v>1.52</v>
      </c>
      <c r="Y606">
        <v>1.01</v>
      </c>
      <c r="Z606">
        <v>0.87</v>
      </c>
      <c r="AA606">
        <v>1.25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0.9</v>
      </c>
      <c r="AK606">
        <v>1.03</v>
      </c>
      <c r="AL606">
        <v>0</v>
      </c>
      <c r="AM606">
        <v>0</v>
      </c>
      <c r="AN606">
        <v>0.9</v>
      </c>
      <c r="AO606">
        <v>0</v>
      </c>
      <c r="AP606">
        <v>1.05</v>
      </c>
      <c r="AQ606">
        <v>1.52</v>
      </c>
      <c r="AR606" s="8">
        <v>0.98</v>
      </c>
      <c r="AS606" s="8">
        <v>1.03</v>
      </c>
      <c r="AT606" s="8">
        <v>0</v>
      </c>
      <c r="AU606" s="3">
        <v>0</v>
      </c>
      <c r="AV606" s="3">
        <v>0.85</v>
      </c>
      <c r="AW606" s="3">
        <v>0</v>
      </c>
      <c r="AX606" s="3">
        <v>0</v>
      </c>
      <c r="AY606" s="3">
        <v>0</v>
      </c>
      <c r="AZ606" s="3">
        <v>2.4</v>
      </c>
      <c r="BA606" s="3">
        <v>0</v>
      </c>
      <c r="BB606" s="3">
        <v>0</v>
      </c>
      <c r="BC606">
        <v>1.5</v>
      </c>
      <c r="BD606">
        <v>0</v>
      </c>
      <c r="BE606" s="11">
        <v>0</v>
      </c>
      <c r="BF606" s="4">
        <v>1.8660000000000001</v>
      </c>
      <c r="BG606" s="4">
        <v>3.4710000000000001</v>
      </c>
      <c r="BH606" s="4">
        <v>0</v>
      </c>
      <c r="BI606" s="4">
        <v>2.5939999999999999</v>
      </c>
      <c r="BJ606" s="14">
        <v>0</v>
      </c>
      <c r="BK606" s="14">
        <v>1.8080000000000001</v>
      </c>
      <c r="BL606" s="4">
        <v>2.4180000000000001</v>
      </c>
      <c r="BM606" s="17">
        <v>0</v>
      </c>
      <c r="BN606" s="4">
        <v>0</v>
      </c>
      <c r="BO606" s="4">
        <v>0</v>
      </c>
      <c r="BP606" s="4">
        <v>2.2450000000000001</v>
      </c>
      <c r="BQ606" s="4">
        <v>0</v>
      </c>
      <c r="BR606" s="4">
        <v>0</v>
      </c>
      <c r="BS606" s="4">
        <v>2.1619999999999999</v>
      </c>
      <c r="BT606" s="4">
        <v>0</v>
      </c>
      <c r="BU606" s="4">
        <v>0</v>
      </c>
      <c r="BV606" s="4">
        <v>0</v>
      </c>
      <c r="BW606" s="4">
        <v>2.375</v>
      </c>
      <c r="BX606" s="4">
        <v>0</v>
      </c>
      <c r="BY606" s="4">
        <v>0</v>
      </c>
      <c r="BZ606">
        <v>0</v>
      </c>
      <c r="CA606">
        <v>0</v>
      </c>
      <c r="CB606">
        <v>0</v>
      </c>
      <c r="CC606">
        <v>2.0099999999999998</v>
      </c>
      <c r="CD606">
        <v>0</v>
      </c>
      <c r="CE606" s="19">
        <v>0</v>
      </c>
      <c r="CF606" s="19">
        <v>2.1</v>
      </c>
      <c r="CG606" s="4">
        <v>0</v>
      </c>
      <c r="CH606" s="4">
        <v>0</v>
      </c>
      <c r="CI606" s="4">
        <v>0</v>
      </c>
      <c r="CJ606" s="34">
        <v>0</v>
      </c>
      <c r="CK606" s="34">
        <v>0</v>
      </c>
      <c r="CL606" s="34">
        <v>0</v>
      </c>
      <c r="CM606" s="4">
        <v>0</v>
      </c>
      <c r="CN606" s="53">
        <v>0</v>
      </c>
      <c r="CO606" s="54">
        <v>0</v>
      </c>
      <c r="CP606" s="54">
        <v>0</v>
      </c>
      <c r="CQ606" s="4">
        <v>0</v>
      </c>
    </row>
    <row r="607" spans="1:95" x14ac:dyDescent="0.35">
      <c r="A607" s="55">
        <v>606</v>
      </c>
      <c r="B607" t="s">
        <v>119</v>
      </c>
      <c r="C607" s="27" t="s">
        <v>879</v>
      </c>
      <c r="D607" s="3" t="s">
        <v>94</v>
      </c>
      <c r="E607" s="33" t="s">
        <v>91</v>
      </c>
      <c r="F607" s="4">
        <f>IFERROR(AVERAGEIF(Table1[[#This Row],[2019-Apr]:[2025-July]],"&lt;&gt;0"),0)</f>
        <v>3.8215679012345678</v>
      </c>
      <c r="G607" s="4">
        <f ca="1">IFERROR(AVERAGEIF(OFFSET(Table1[[#This Row],[Status]],0,COUNT(Table1[[#This Row],[2019-May]:[2025-July]]),1,-12),"&lt;&gt;0"),0)</f>
        <v>3.2</v>
      </c>
      <c r="H607" s="55">
        <f>IFERROR(SMALL(Table1[[#This Row],[2019-Apr]:[2025-July]],COUNTIF(Table1[[#This Row],[2019-Apr]:[2025-July]],0)+1),0)</f>
        <v>2.4220000000000002</v>
      </c>
      <c r="I607" s="55">
        <f>IFERROR(MAX(Table1[[#This Row],[2019-Apr]:[2025-July]]),0)</f>
        <v>4.9000000000000004</v>
      </c>
      <c r="J607" s="4" cm="1">
        <f t="array" ref="J60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2.862166666666667</v>
      </c>
      <c r="K607" s="4">
        <v>4.5</v>
      </c>
      <c r="L607" s="4">
        <f>IF(Table1[[#This Row],[Standard as per ISO]]&gt;=Table1[[#This Row],[Avg of best 6]],Table1[[#This Row],[Standard as per ISO]],Table1[[#This Row],[Avg of best 6]])</f>
        <v>4.5</v>
      </c>
      <c r="M607" s="4" cm="1">
        <f t="array" ref="M607">IFERROR(LOOKUP(2,1/(Table1[[#This Row],[2019-May]:[2025-July]]&lt;&gt;0),Table1[[#This Row],[2019-May]:[2025-July]]),0)</f>
        <v>3.2</v>
      </c>
      <c r="N607" s="4">
        <f>COUNTIF(Table1[[#This Row],[2019-Apr]:[2025-July]],"&gt;="&amp;Table1[[#This Row],[Target]])</f>
        <v>3</v>
      </c>
      <c r="O607" s="4">
        <f>IF(Table1[[#This Row],[Outliers 2Y]]=0,1,0)</f>
        <v>0</v>
      </c>
      <c r="P607" s="4">
        <f>IF(Table1[[#This Row],[Last value]]&gt;1.5*Table1[[#This Row],[Target]],1,0)</f>
        <v>0</v>
      </c>
      <c r="Q607" s="4">
        <f>IF(AND(1.5*Table1[[#This Row],[Target]]&gt;=Table1[[#This Row],[Last value]],Table1[[#This Row],[Last value]]&gt;Table1[[#This Row],[Target]]),1,0)</f>
        <v>0</v>
      </c>
      <c r="R607" s="4">
        <f>IF(Table1[[#This Row],[Target]]&gt;=Table1[[#This Row],[Last value]],1,0)</f>
        <v>1</v>
      </c>
      <c r="S607" s="4" t="str">
        <f t="shared" si="16"/>
        <v>Green</v>
      </c>
      <c r="T607">
        <v>0</v>
      </c>
      <c r="U607">
        <v>4.09</v>
      </c>
      <c r="V607">
        <v>4.16</v>
      </c>
      <c r="W607">
        <v>0</v>
      </c>
      <c r="X607">
        <v>0</v>
      </c>
      <c r="Y607">
        <v>0</v>
      </c>
      <c r="Z607">
        <v>4.62</v>
      </c>
      <c r="AA607">
        <v>0</v>
      </c>
      <c r="AB607">
        <v>0</v>
      </c>
      <c r="AC607">
        <v>2.85</v>
      </c>
      <c r="AD607">
        <v>4.16</v>
      </c>
      <c r="AE607">
        <v>3.8</v>
      </c>
      <c r="AF607">
        <v>4.2</v>
      </c>
      <c r="AG607">
        <v>4.0533333333333337</v>
      </c>
      <c r="AH607">
        <v>4.12</v>
      </c>
      <c r="AI607">
        <v>3.89</v>
      </c>
      <c r="AJ607">
        <v>3.3</v>
      </c>
      <c r="AK607">
        <v>4.9000000000000004</v>
      </c>
      <c r="AL607">
        <v>4.75</v>
      </c>
      <c r="AM607">
        <v>2.69</v>
      </c>
      <c r="AN607">
        <v>4.2300000000000004</v>
      </c>
      <c r="AO607">
        <v>0</v>
      </c>
      <c r="AP607">
        <v>3.97</v>
      </c>
      <c r="AQ607">
        <v>0</v>
      </c>
      <c r="AR607" s="8">
        <v>0</v>
      </c>
      <c r="AS607" s="8">
        <v>0</v>
      </c>
      <c r="AT607" s="8">
        <v>0</v>
      </c>
      <c r="AU607" s="3">
        <v>0</v>
      </c>
      <c r="AV607" s="3">
        <v>4.25</v>
      </c>
      <c r="AW607" s="3">
        <v>0</v>
      </c>
      <c r="AX607" s="3">
        <v>3.49</v>
      </c>
      <c r="AY607" s="3">
        <v>0</v>
      </c>
      <c r="AZ607" s="3">
        <v>0</v>
      </c>
      <c r="BA607" s="3">
        <v>0</v>
      </c>
      <c r="BB607" s="3">
        <v>0</v>
      </c>
      <c r="BC607">
        <v>2.9</v>
      </c>
      <c r="BD607">
        <v>0</v>
      </c>
      <c r="BE607" s="11">
        <v>3.9</v>
      </c>
      <c r="BF607" s="4">
        <v>3.99</v>
      </c>
      <c r="BG607" s="4">
        <v>2.4220000000000002</v>
      </c>
      <c r="BH607" s="4">
        <v>0</v>
      </c>
      <c r="BI607" s="4">
        <v>0</v>
      </c>
      <c r="BJ607" s="13">
        <v>0</v>
      </c>
      <c r="BK607" s="13">
        <v>0</v>
      </c>
      <c r="BL607" s="4">
        <v>4.1909999999999998</v>
      </c>
      <c r="BM607" s="16">
        <v>0</v>
      </c>
      <c r="BN607" s="4">
        <v>0</v>
      </c>
      <c r="BO607" s="4">
        <v>0</v>
      </c>
      <c r="BP607" s="4">
        <v>4.0949999999999998</v>
      </c>
      <c r="BQ607" s="4">
        <v>0</v>
      </c>
      <c r="BR607" s="4">
        <v>0</v>
      </c>
      <c r="BS607" s="4">
        <v>3.1110000000000002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>
        <v>0</v>
      </c>
      <c r="CA607">
        <v>0</v>
      </c>
      <c r="CB607">
        <v>0</v>
      </c>
      <c r="CC607">
        <v>3.85</v>
      </c>
      <c r="CD607">
        <v>0</v>
      </c>
      <c r="CE607" s="19">
        <v>0</v>
      </c>
      <c r="CF607" s="19">
        <v>3.2</v>
      </c>
      <c r="CG607" s="4">
        <v>0</v>
      </c>
      <c r="CH607" s="4">
        <v>0</v>
      </c>
      <c r="CI607" s="4">
        <v>0</v>
      </c>
      <c r="CJ607" s="34">
        <v>0</v>
      </c>
      <c r="CK607" s="34">
        <v>0</v>
      </c>
      <c r="CL607" s="34">
        <v>0</v>
      </c>
      <c r="CM607" s="4">
        <v>0</v>
      </c>
      <c r="CN607" s="53">
        <v>0</v>
      </c>
      <c r="CO607" s="54">
        <v>0</v>
      </c>
      <c r="CP607" s="54">
        <v>0</v>
      </c>
      <c r="CQ607" s="4">
        <v>0</v>
      </c>
    </row>
    <row r="608" spans="1:95" x14ac:dyDescent="0.35">
      <c r="A608" s="55">
        <v>607</v>
      </c>
      <c r="B608" t="s">
        <v>119</v>
      </c>
      <c r="C608" s="27" t="s">
        <v>880</v>
      </c>
      <c r="D608" s="3" t="s">
        <v>94</v>
      </c>
      <c r="E608" s="33" t="s">
        <v>91</v>
      </c>
      <c r="F608" s="4">
        <f>IFERROR(AVERAGEIF(Table1[[#This Row],[2019-Apr]:[2025-July]],"&lt;&gt;0"),0)</f>
        <v>2.597714285714285</v>
      </c>
      <c r="G608" s="4">
        <f ca="1">IFERROR(AVERAGEIF(OFFSET(Table1[[#This Row],[Status]],0,COUNT(Table1[[#This Row],[2019-May]:[2025-July]]),1,-12),"&lt;&gt;0"),0)</f>
        <v>2.7</v>
      </c>
      <c r="H608" s="55">
        <f>IFERROR(SMALL(Table1[[#This Row],[2019-Apr]:[2025-July]],COUNTIF(Table1[[#This Row],[2019-Apr]:[2025-July]],0)+1),0)</f>
        <v>1.821</v>
      </c>
      <c r="I608" s="55">
        <f>IFERROR(MAX(Table1[[#This Row],[2019-Apr]:[2025-July]]),0)</f>
        <v>3.83</v>
      </c>
      <c r="J608" s="4" cm="1">
        <f t="array" ref="J60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2.0185</v>
      </c>
      <c r="K608" s="4">
        <v>4.5</v>
      </c>
      <c r="L608" s="4">
        <f>IF(Table1[[#This Row],[Standard as per ISO]]&gt;=Table1[[#This Row],[Avg of best 6]],Table1[[#This Row],[Standard as per ISO]],Table1[[#This Row],[Avg of best 6]])</f>
        <v>4.5</v>
      </c>
      <c r="M608" s="4" cm="1">
        <f t="array" ref="M608">IFERROR(LOOKUP(2,1/(Table1[[#This Row],[2019-May]:[2025-July]]&lt;&gt;0),Table1[[#This Row],[2019-May]:[2025-July]]),0)</f>
        <v>2.7</v>
      </c>
      <c r="N608" s="4">
        <f>COUNTIF(Table1[[#This Row],[2019-Apr]:[2025-July]],"&gt;="&amp;Table1[[#This Row],[Target]])</f>
        <v>0</v>
      </c>
      <c r="O608" s="4">
        <f>IF(Table1[[#This Row],[Outliers 2Y]]=0,1,0)</f>
        <v>1</v>
      </c>
      <c r="P608" s="4">
        <f>IF(Table1[[#This Row],[Last value]]&gt;1.5*Table1[[#This Row],[Target]],1,0)</f>
        <v>0</v>
      </c>
      <c r="Q608" s="4">
        <f>IF(AND(1.5*Table1[[#This Row],[Target]]&gt;=Table1[[#This Row],[Last value]],Table1[[#This Row],[Last value]]&gt;Table1[[#This Row],[Target]]),1,0)</f>
        <v>0</v>
      </c>
      <c r="R608" s="4">
        <f>IF(Table1[[#This Row],[Target]]&gt;=Table1[[#This Row],[Last value]],1,0)</f>
        <v>1</v>
      </c>
      <c r="S608" s="4" t="str">
        <f t="shared" si="16"/>
        <v>Green</v>
      </c>
      <c r="T608">
        <v>0</v>
      </c>
      <c r="U608">
        <v>0</v>
      </c>
      <c r="V608">
        <v>0</v>
      </c>
      <c r="W608">
        <v>2.42</v>
      </c>
      <c r="X608">
        <v>2.92</v>
      </c>
      <c r="Y608">
        <v>2.14</v>
      </c>
      <c r="Z608">
        <v>0</v>
      </c>
      <c r="AA608">
        <v>1.93</v>
      </c>
      <c r="AB608">
        <v>2.7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2.0699999999999998</v>
      </c>
      <c r="AR608" s="8">
        <v>3.22</v>
      </c>
      <c r="AS608" s="8">
        <v>3.81</v>
      </c>
      <c r="AT608" s="8">
        <v>3.65</v>
      </c>
      <c r="AU608" s="3">
        <v>2.38</v>
      </c>
      <c r="AV608" s="3">
        <v>0</v>
      </c>
      <c r="AW608" s="3">
        <v>2.79</v>
      </c>
      <c r="AX608" s="3">
        <v>0</v>
      </c>
      <c r="AY608" s="3">
        <v>3.83</v>
      </c>
      <c r="AZ608" s="3">
        <v>2.15</v>
      </c>
      <c r="BA608" s="3">
        <v>2.2999999999999998</v>
      </c>
      <c r="BB608" s="3">
        <v>2</v>
      </c>
      <c r="BC608" s="3">
        <v>0</v>
      </c>
      <c r="BD608">
        <v>0</v>
      </c>
      <c r="BE608" s="11">
        <v>0</v>
      </c>
      <c r="BF608" s="4">
        <v>0</v>
      </c>
      <c r="BG608" s="4">
        <v>0</v>
      </c>
      <c r="BH608" s="4">
        <v>0</v>
      </c>
      <c r="BI608" s="4">
        <v>1.821</v>
      </c>
      <c r="BJ608" s="14">
        <v>0</v>
      </c>
      <c r="BK608" s="14">
        <v>2.5830000000000002</v>
      </c>
      <c r="BL608" s="4">
        <v>0</v>
      </c>
      <c r="BM608" s="17">
        <v>0</v>
      </c>
      <c r="BN608" s="4">
        <v>0</v>
      </c>
      <c r="BO608" s="4">
        <v>0</v>
      </c>
      <c r="BP608" s="4">
        <v>2.5830000000000002</v>
      </c>
      <c r="BQ608" s="4">
        <v>0</v>
      </c>
      <c r="BR608" s="4">
        <v>0</v>
      </c>
      <c r="BS608" s="4">
        <v>2.3119999999999998</v>
      </c>
      <c r="BT608" s="4">
        <v>0</v>
      </c>
      <c r="BU608" s="4">
        <v>0</v>
      </c>
      <c r="BV608" s="4">
        <v>0</v>
      </c>
      <c r="BW608" s="4">
        <v>2.2429999999999999</v>
      </c>
      <c r="BX608" s="4">
        <v>0</v>
      </c>
      <c r="BY608" s="4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 s="19">
        <v>2.7</v>
      </c>
      <c r="CF608" s="19">
        <v>0</v>
      </c>
      <c r="CG608" s="4">
        <v>0</v>
      </c>
      <c r="CH608" s="4">
        <v>0</v>
      </c>
      <c r="CI608" s="4">
        <v>0</v>
      </c>
      <c r="CJ608" s="34">
        <v>0</v>
      </c>
      <c r="CK608" s="34">
        <v>0</v>
      </c>
      <c r="CL608" s="34">
        <v>0</v>
      </c>
      <c r="CM608" s="4">
        <v>0</v>
      </c>
      <c r="CN608" s="53">
        <v>0</v>
      </c>
      <c r="CO608" s="54">
        <v>0</v>
      </c>
      <c r="CP608" s="54">
        <v>0</v>
      </c>
      <c r="CQ608" s="4">
        <v>0</v>
      </c>
    </row>
    <row r="609" spans="1:95" x14ac:dyDescent="0.35">
      <c r="A609" s="55">
        <v>608</v>
      </c>
      <c r="B609" t="s">
        <v>119</v>
      </c>
      <c r="C609" s="27" t="s">
        <v>881</v>
      </c>
      <c r="D609" s="3" t="s">
        <v>94</v>
      </c>
      <c r="E609" s="33" t="s">
        <v>91</v>
      </c>
      <c r="F609" s="4">
        <f>IFERROR(AVERAGEIF(Table1[[#This Row],[2019-Apr]:[2025-July]],"&lt;&gt;0"),0)</f>
        <v>2.5784827586206891</v>
      </c>
      <c r="G609" s="4">
        <f ca="1">IFERROR(AVERAGEIF(OFFSET(Table1[[#This Row],[Status]],0,COUNT(Table1[[#This Row],[2019-May]:[2025-July]]),1,-12),"&lt;&gt;0"),0)</f>
        <v>2.4</v>
      </c>
      <c r="H609" s="55">
        <f>IFERROR(SMALL(Table1[[#This Row],[2019-Apr]:[2025-July]],COUNTIF(Table1[[#This Row],[2019-Apr]:[2025-July]],0)+1),0)</f>
        <v>1.9</v>
      </c>
      <c r="I609" s="55">
        <f>IFERROR(MAX(Table1[[#This Row],[2019-Apr]:[2025-July]]),0)</f>
        <v>4.2</v>
      </c>
      <c r="J609" s="4" cm="1">
        <f t="array" ref="J60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1.9735000000000003</v>
      </c>
      <c r="K609" s="4">
        <v>4.5</v>
      </c>
      <c r="L609" s="4">
        <f>IF(Table1[[#This Row],[Standard as per ISO]]&gt;=Table1[[#This Row],[Avg of best 6]],Table1[[#This Row],[Standard as per ISO]],Table1[[#This Row],[Avg of best 6]])</f>
        <v>4.5</v>
      </c>
      <c r="M609" s="4" cm="1">
        <f t="array" ref="M609">IFERROR(LOOKUP(2,1/(Table1[[#This Row],[2019-May]:[2025-July]]&lt;&gt;0),Table1[[#This Row],[2019-May]:[2025-July]]),0)</f>
        <v>2.4</v>
      </c>
      <c r="N609" s="4">
        <f>COUNTIF(Table1[[#This Row],[2019-Apr]:[2025-July]],"&gt;="&amp;Table1[[#This Row],[Target]])</f>
        <v>0</v>
      </c>
      <c r="O609" s="4">
        <f>IF(Table1[[#This Row],[Outliers 2Y]]=0,1,0)</f>
        <v>1</v>
      </c>
      <c r="P609" s="4">
        <f>IF(Table1[[#This Row],[Last value]]&gt;1.5*Table1[[#This Row],[Target]],1,0)</f>
        <v>0</v>
      </c>
      <c r="Q609" s="4">
        <f>IF(AND(1.5*Table1[[#This Row],[Target]]&gt;=Table1[[#This Row],[Last value]],Table1[[#This Row],[Last value]]&gt;Table1[[#This Row],[Target]]),1,0)</f>
        <v>0</v>
      </c>
      <c r="R609" s="4">
        <f>IF(Table1[[#This Row],[Target]]&gt;=Table1[[#This Row],[Last value]],1,0)</f>
        <v>1</v>
      </c>
      <c r="S609" s="4" t="str">
        <f t="shared" si="16"/>
        <v>Green</v>
      </c>
      <c r="T609">
        <v>0</v>
      </c>
      <c r="U609">
        <v>0</v>
      </c>
      <c r="V609">
        <v>2.59</v>
      </c>
      <c r="W609">
        <v>2.89</v>
      </c>
      <c r="X609">
        <v>2.59</v>
      </c>
      <c r="Y609">
        <v>3.52</v>
      </c>
      <c r="Z609">
        <v>3.57</v>
      </c>
      <c r="AA609">
        <v>0</v>
      </c>
      <c r="AB609">
        <v>1.9</v>
      </c>
      <c r="AC609">
        <v>2.77</v>
      </c>
      <c r="AD609">
        <v>0</v>
      </c>
      <c r="AE609">
        <v>3.2</v>
      </c>
      <c r="AF609">
        <v>2.7</v>
      </c>
      <c r="AG609">
        <v>4.2</v>
      </c>
      <c r="AH609">
        <v>1.9</v>
      </c>
      <c r="AI609">
        <v>0</v>
      </c>
      <c r="AJ609">
        <v>2</v>
      </c>
      <c r="AK609">
        <v>2.48</v>
      </c>
      <c r="AL609">
        <v>2.13</v>
      </c>
      <c r="AM609">
        <v>2.14</v>
      </c>
      <c r="AN609">
        <v>2.2200000000000002</v>
      </c>
      <c r="AO609">
        <v>0</v>
      </c>
      <c r="AP609">
        <v>2</v>
      </c>
      <c r="AQ609">
        <v>2.23</v>
      </c>
      <c r="AR609" s="8">
        <v>2.85</v>
      </c>
      <c r="AS609" s="8">
        <v>0</v>
      </c>
      <c r="AT609" s="8">
        <v>3.19</v>
      </c>
      <c r="AU609" s="3">
        <v>2.41</v>
      </c>
      <c r="AV609" s="3">
        <v>0</v>
      </c>
      <c r="AW609" s="3">
        <v>0</v>
      </c>
      <c r="AX609" s="3">
        <v>2.98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>
        <v>0</v>
      </c>
      <c r="BE609" s="11">
        <v>0</v>
      </c>
      <c r="BF609" s="4">
        <v>0</v>
      </c>
      <c r="BG609" s="4">
        <v>1.911</v>
      </c>
      <c r="BH609" s="4">
        <v>0</v>
      </c>
      <c r="BI609" s="4">
        <v>2.42</v>
      </c>
      <c r="BJ609" s="13">
        <v>0</v>
      </c>
      <c r="BK609" s="13">
        <v>2.4089999999999998</v>
      </c>
      <c r="BL609" s="4">
        <v>2.2069999999999999</v>
      </c>
      <c r="BM609" s="16">
        <v>0</v>
      </c>
      <c r="BN609" s="4">
        <v>0</v>
      </c>
      <c r="BO609" s="4">
        <v>0</v>
      </c>
      <c r="BP609" s="4">
        <v>2.5049999999999999</v>
      </c>
      <c r="BQ609" s="4">
        <v>0</v>
      </c>
      <c r="BR609" s="4">
        <v>0</v>
      </c>
      <c r="BS609" s="4">
        <v>2.464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 s="19">
        <v>2.4</v>
      </c>
      <c r="CF609" s="19">
        <v>0</v>
      </c>
      <c r="CG609" s="4">
        <v>0</v>
      </c>
      <c r="CH609" s="4">
        <v>0</v>
      </c>
      <c r="CI609" s="4">
        <v>0</v>
      </c>
      <c r="CJ609" s="34">
        <v>0</v>
      </c>
      <c r="CK609" s="34">
        <v>0</v>
      </c>
      <c r="CL609" s="34">
        <v>0</v>
      </c>
      <c r="CM609" s="4">
        <v>0</v>
      </c>
      <c r="CN609" s="53">
        <v>0</v>
      </c>
      <c r="CO609" s="54">
        <v>0</v>
      </c>
      <c r="CP609" s="54">
        <v>0</v>
      </c>
      <c r="CQ609" s="4">
        <v>0</v>
      </c>
    </row>
    <row r="610" spans="1:95" x14ac:dyDescent="0.35">
      <c r="A610" s="55">
        <v>609</v>
      </c>
      <c r="B610" t="s">
        <v>119</v>
      </c>
      <c r="C610" s="27" t="s">
        <v>882</v>
      </c>
      <c r="D610" s="3" t="s">
        <v>94</v>
      </c>
      <c r="E610" s="33" t="s">
        <v>91</v>
      </c>
      <c r="F610" s="4">
        <f>IFERROR(AVERAGEIF(Table1[[#This Row],[2019-Apr]:[2025-July]],"&lt;&gt;0"),0)</f>
        <v>2.5762</v>
      </c>
      <c r="G610" s="4">
        <f ca="1">IFERROR(AVERAGEIF(OFFSET(Table1[[#This Row],[Status]],0,COUNT(Table1[[#This Row],[2019-May]:[2025-July]]),1,-12),"&lt;&gt;0"),0)</f>
        <v>0.9</v>
      </c>
      <c r="H610" s="55">
        <f>IFERROR(SMALL(Table1[[#This Row],[2019-Apr]:[2025-July]],COUNTIF(Table1[[#This Row],[2019-Apr]:[2025-July]],0)+1),0)</f>
        <v>0.9</v>
      </c>
      <c r="I610" s="55">
        <f>IFERROR(MAX(Table1[[#This Row],[2019-Apr]:[2025-July]]),0)</f>
        <v>3.94</v>
      </c>
      <c r="J610" s="4" cm="1">
        <f t="array" ref="J61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1.61</v>
      </c>
      <c r="K610" s="4">
        <v>4.5</v>
      </c>
      <c r="L610" s="4">
        <f>IF(Table1[[#This Row],[Standard as per ISO]]&gt;=Table1[[#This Row],[Avg of best 6]],Table1[[#This Row],[Standard as per ISO]],Table1[[#This Row],[Avg of best 6]])</f>
        <v>4.5</v>
      </c>
      <c r="M610" s="4" cm="1">
        <f t="array" ref="M610">IFERROR(LOOKUP(2,1/(Table1[[#This Row],[2019-May]:[2025-July]]&lt;&gt;0),Table1[[#This Row],[2019-May]:[2025-July]]),0)</f>
        <v>0.9</v>
      </c>
      <c r="N610" s="4">
        <f>COUNTIF(Table1[[#This Row],[2019-Apr]:[2025-July]],"&gt;="&amp;Table1[[#This Row],[Target]])</f>
        <v>0</v>
      </c>
      <c r="O610" s="4">
        <f>IF(Table1[[#This Row],[Outliers 2Y]]=0,1,0)</f>
        <v>1</v>
      </c>
      <c r="P610" s="4">
        <f>IF(Table1[[#This Row],[Last value]]&gt;1.5*Table1[[#This Row],[Target]],1,0)</f>
        <v>0</v>
      </c>
      <c r="Q610" s="4">
        <f>IF(AND(1.5*Table1[[#This Row],[Target]]&gt;=Table1[[#This Row],[Last value]],Table1[[#This Row],[Last value]]&gt;Table1[[#This Row],[Target]]),1,0)</f>
        <v>0</v>
      </c>
      <c r="R610" s="4">
        <f>IF(Table1[[#This Row],[Target]]&gt;=Table1[[#This Row],[Last value]],1,0)</f>
        <v>1</v>
      </c>
      <c r="S610" s="4" t="str">
        <f t="shared" si="16"/>
        <v>Green</v>
      </c>
      <c r="T610">
        <v>3.81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2.7</v>
      </c>
      <c r="AB610">
        <v>0</v>
      </c>
      <c r="AC610">
        <v>0</v>
      </c>
      <c r="AD610">
        <v>3.12</v>
      </c>
      <c r="AE610">
        <v>0</v>
      </c>
      <c r="AF610">
        <v>0</v>
      </c>
      <c r="AG610">
        <v>0</v>
      </c>
      <c r="AH610">
        <v>0</v>
      </c>
      <c r="AI610">
        <v>3.08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 s="8">
        <v>0</v>
      </c>
      <c r="AS610" s="8">
        <v>2.35</v>
      </c>
      <c r="AT610" s="8">
        <v>0</v>
      </c>
      <c r="AU610" s="3">
        <v>0</v>
      </c>
      <c r="AV610" s="3">
        <v>2.84</v>
      </c>
      <c r="AW610" s="3">
        <v>3.48</v>
      </c>
      <c r="AX610" s="3">
        <v>0</v>
      </c>
      <c r="AY610" s="3">
        <v>3.94</v>
      </c>
      <c r="AZ610" s="3">
        <v>3.1</v>
      </c>
      <c r="BA610" s="3">
        <v>2.6</v>
      </c>
      <c r="BB610" s="3">
        <v>2.7</v>
      </c>
      <c r="BC610">
        <v>2.7</v>
      </c>
      <c r="BD610">
        <v>0</v>
      </c>
      <c r="BE610" s="11">
        <v>2.2629999999999999</v>
      </c>
      <c r="BF610" s="4">
        <v>2.5499999999999998</v>
      </c>
      <c r="BG610" s="4">
        <v>0</v>
      </c>
      <c r="BH610" s="4">
        <v>0</v>
      </c>
      <c r="BI610" s="4">
        <v>0</v>
      </c>
      <c r="BJ610" s="14">
        <v>0</v>
      </c>
      <c r="BK610" s="14">
        <v>0</v>
      </c>
      <c r="BL610" s="4">
        <v>0</v>
      </c>
      <c r="BM610" s="17">
        <v>2.032</v>
      </c>
      <c r="BN610" s="4">
        <v>0</v>
      </c>
      <c r="BO610" s="4">
        <v>0</v>
      </c>
      <c r="BP610" s="4">
        <v>2.867</v>
      </c>
      <c r="BQ610" s="4">
        <v>0</v>
      </c>
      <c r="BR610" s="4">
        <v>0</v>
      </c>
      <c r="BS610" s="4">
        <v>2.3769999999999998</v>
      </c>
      <c r="BT610" s="4">
        <v>0</v>
      </c>
      <c r="BU610" s="4">
        <v>0</v>
      </c>
      <c r="BV610" s="4">
        <v>0</v>
      </c>
      <c r="BW610" s="4">
        <v>1.145</v>
      </c>
      <c r="BX610" s="4">
        <v>0</v>
      </c>
      <c r="BY610" s="4">
        <v>0</v>
      </c>
      <c r="BZ610">
        <v>0</v>
      </c>
      <c r="CA610">
        <v>0</v>
      </c>
      <c r="CB610">
        <v>0</v>
      </c>
      <c r="CC610">
        <v>0.97</v>
      </c>
      <c r="CD610">
        <v>0</v>
      </c>
      <c r="CE610" s="19">
        <v>0</v>
      </c>
      <c r="CF610" s="19">
        <v>0.9</v>
      </c>
      <c r="CG610" s="4">
        <v>0</v>
      </c>
      <c r="CH610" s="4">
        <v>0</v>
      </c>
      <c r="CI610" s="4">
        <v>0</v>
      </c>
      <c r="CJ610" s="34">
        <v>0</v>
      </c>
      <c r="CK610" s="34">
        <v>0</v>
      </c>
      <c r="CL610" s="34">
        <v>0</v>
      </c>
      <c r="CM610" s="4">
        <v>0</v>
      </c>
      <c r="CN610" s="53">
        <v>0</v>
      </c>
      <c r="CO610" s="54">
        <v>0</v>
      </c>
      <c r="CP610" s="54">
        <v>0</v>
      </c>
      <c r="CQ610" s="4">
        <v>0</v>
      </c>
    </row>
    <row r="611" spans="1:95" x14ac:dyDescent="0.35">
      <c r="A611" s="55">
        <v>610</v>
      </c>
      <c r="B611" t="s">
        <v>119</v>
      </c>
      <c r="C611" s="27" t="s">
        <v>883</v>
      </c>
      <c r="D611" s="3" t="s">
        <v>94</v>
      </c>
      <c r="E611" s="33" t="s">
        <v>89</v>
      </c>
      <c r="F611" s="4">
        <f>IFERROR(AVERAGEIF(Table1[[#This Row],[2019-Apr]:[2025-July]],"&lt;&gt;0"),0)</f>
        <v>3.6301463414634147</v>
      </c>
      <c r="G611" s="4">
        <f ca="1">IFERROR(AVERAGEIF(OFFSET(Table1[[#This Row],[Status]],0,COUNT(Table1[[#This Row],[2019-May]:[2025-July]]),1,-12),"&lt;&gt;0"),0)</f>
        <v>4.2440000000000007</v>
      </c>
      <c r="H611" s="55">
        <f>IFERROR(SMALL(Table1[[#This Row],[2019-Apr]:[2025-July]],COUNTIF(Table1[[#This Row],[2019-Apr]:[2025-July]],0)+1),0)</f>
        <v>2.032</v>
      </c>
      <c r="I611" s="55">
        <f>IFERROR(MAX(Table1[[#This Row],[2019-Apr]:[2025-July]]),0)</f>
        <v>7.55</v>
      </c>
      <c r="J611" s="4" cm="1">
        <f t="array" ref="J61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2.4620000000000002</v>
      </c>
      <c r="K611" s="4">
        <v>4.5</v>
      </c>
      <c r="L611" s="4">
        <f>IF(Table1[[#This Row],[Standard as per ISO]]&gt;=Table1[[#This Row],[Avg of best 6]],Table1[[#This Row],[Standard as per ISO]],Table1[[#This Row],[Avg of best 6]])</f>
        <v>4.5</v>
      </c>
      <c r="M611" s="4" cm="1">
        <f t="array" ref="M611">IFERROR(LOOKUP(2,1/(Table1[[#This Row],[2019-May]:[2025-July]]&lt;&gt;0),Table1[[#This Row],[2019-May]:[2025-July]]),0)</f>
        <v>3.5</v>
      </c>
      <c r="N611" s="4">
        <f>COUNTIF(Table1[[#This Row],[2019-Apr]:[2025-July]],"&gt;="&amp;Table1[[#This Row],[Target]])</f>
        <v>9</v>
      </c>
      <c r="O611" s="4">
        <f>IF(Table1[[#This Row],[Outliers 2Y]]=0,1,0)</f>
        <v>0</v>
      </c>
      <c r="P611" s="4">
        <f>IF(Table1[[#This Row],[Last value]]&gt;1.5*Table1[[#This Row],[Target]],1,0)</f>
        <v>0</v>
      </c>
      <c r="Q611" s="4">
        <f>IF(AND(1.5*Table1[[#This Row],[Target]]&gt;=Table1[[#This Row],[Last value]],Table1[[#This Row],[Last value]]&gt;Table1[[#This Row],[Target]]),1,0)</f>
        <v>0</v>
      </c>
      <c r="R611" s="4">
        <f>IF(Table1[[#This Row],[Target]]&gt;=Table1[[#This Row],[Last value]],1,0)</f>
        <v>1</v>
      </c>
      <c r="S611" s="4" t="str">
        <f t="shared" si="16"/>
        <v>Green</v>
      </c>
      <c r="T611">
        <v>3.18</v>
      </c>
      <c r="U611">
        <v>2.87</v>
      </c>
      <c r="V611">
        <v>3.3</v>
      </c>
      <c r="W611">
        <v>2.87</v>
      </c>
      <c r="X611">
        <v>2.96</v>
      </c>
      <c r="Y611">
        <v>2.75</v>
      </c>
      <c r="Z611">
        <v>0</v>
      </c>
      <c r="AA611">
        <v>2.67</v>
      </c>
      <c r="AB611">
        <v>3</v>
      </c>
      <c r="AC611">
        <v>3</v>
      </c>
      <c r="AD611">
        <v>3.41</v>
      </c>
      <c r="AE611">
        <v>2.9</v>
      </c>
      <c r="AF611">
        <v>2.9</v>
      </c>
      <c r="AG611">
        <v>0</v>
      </c>
      <c r="AH611">
        <v>2.6</v>
      </c>
      <c r="AI611">
        <v>2.81</v>
      </c>
      <c r="AJ611">
        <v>2.7</v>
      </c>
      <c r="AK611">
        <v>4.1100000000000003</v>
      </c>
      <c r="AL611">
        <v>0</v>
      </c>
      <c r="AM611">
        <v>3.73</v>
      </c>
      <c r="AN611">
        <v>3</v>
      </c>
      <c r="AO611">
        <v>0</v>
      </c>
      <c r="AP611">
        <v>0</v>
      </c>
      <c r="AQ611">
        <v>0</v>
      </c>
      <c r="AR611" s="8">
        <v>4.66</v>
      </c>
      <c r="AS611" s="8">
        <v>0</v>
      </c>
      <c r="AT611" s="8">
        <v>3.57</v>
      </c>
      <c r="AU611" s="3">
        <v>0</v>
      </c>
      <c r="AV611" s="3">
        <v>3.14</v>
      </c>
      <c r="AW611" s="3">
        <v>3.76</v>
      </c>
      <c r="AX611" s="3">
        <v>3.83</v>
      </c>
      <c r="AY611" s="3">
        <v>3.4</v>
      </c>
      <c r="AZ611" s="3">
        <v>3.4</v>
      </c>
      <c r="BA611" s="3">
        <v>0</v>
      </c>
      <c r="BB611" s="3">
        <v>0</v>
      </c>
      <c r="BC611">
        <v>3.2</v>
      </c>
      <c r="BD611">
        <v>0</v>
      </c>
      <c r="BE611" s="11">
        <v>4.2679999999999998</v>
      </c>
      <c r="BF611" s="4">
        <v>0</v>
      </c>
      <c r="BG611" s="4">
        <v>2.032</v>
      </c>
      <c r="BH611" s="4">
        <v>0</v>
      </c>
      <c r="BI611" s="4">
        <v>0</v>
      </c>
      <c r="BJ611" s="13">
        <v>0</v>
      </c>
      <c r="BK611" s="13">
        <v>4.617</v>
      </c>
      <c r="BL611" s="4">
        <v>4.694</v>
      </c>
      <c r="BM611" s="16">
        <v>0</v>
      </c>
      <c r="BN611" s="4">
        <v>0</v>
      </c>
      <c r="BO611" s="4">
        <v>4.55</v>
      </c>
      <c r="BP611" s="4">
        <v>5.1319999999999997</v>
      </c>
      <c r="BQ611" s="4">
        <v>0</v>
      </c>
      <c r="BR611" s="4">
        <v>0</v>
      </c>
      <c r="BS611" s="4">
        <v>6.13</v>
      </c>
      <c r="BT611" s="4">
        <v>0</v>
      </c>
      <c r="BU611" s="4">
        <v>0</v>
      </c>
      <c r="BV611" s="4">
        <v>0</v>
      </c>
      <c r="BW611" s="4">
        <v>6.1529999999999996</v>
      </c>
      <c r="BX611" s="4">
        <v>0</v>
      </c>
      <c r="BY611" s="4">
        <v>0</v>
      </c>
      <c r="BZ611">
        <v>0</v>
      </c>
      <c r="CA611">
        <v>0</v>
      </c>
      <c r="CB611">
        <v>0</v>
      </c>
      <c r="CC611">
        <v>2.82</v>
      </c>
      <c r="CD611">
        <v>0</v>
      </c>
      <c r="CE611" s="19">
        <v>0</v>
      </c>
      <c r="CF611" s="19">
        <v>6.2</v>
      </c>
      <c r="CG611" s="4">
        <v>7.55</v>
      </c>
      <c r="CH611" s="4">
        <v>2.5299999999999998</v>
      </c>
      <c r="CI611" s="4">
        <v>0</v>
      </c>
      <c r="CJ611" s="34">
        <v>0</v>
      </c>
      <c r="CK611" s="34">
        <v>2.2999999999999998</v>
      </c>
      <c r="CL611" s="43">
        <v>0</v>
      </c>
      <c r="CM611" s="4">
        <v>0</v>
      </c>
      <c r="CN611" s="53">
        <v>0</v>
      </c>
      <c r="CO611" s="54">
        <v>0</v>
      </c>
      <c r="CP611" s="54">
        <v>2.64</v>
      </c>
      <c r="CQ611" s="4">
        <v>3.5</v>
      </c>
    </row>
    <row r="612" spans="1:95" x14ac:dyDescent="0.35">
      <c r="A612" s="55">
        <v>611</v>
      </c>
      <c r="B612" t="s">
        <v>119</v>
      </c>
      <c r="C612" s="27" t="s">
        <v>884</v>
      </c>
      <c r="D612" s="3" t="s">
        <v>94</v>
      </c>
      <c r="E612" s="33" t="s">
        <v>89</v>
      </c>
      <c r="F612" s="4">
        <f>IFERROR(AVERAGEIF(Table1[[#This Row],[2019-Apr]:[2025-July]],"&lt;&gt;0"),0)</f>
        <v>4.2630384615384624</v>
      </c>
      <c r="G612" s="4">
        <f ca="1">IFERROR(AVERAGEIF(OFFSET(Table1[[#This Row],[Status]],0,COUNT(Table1[[#This Row],[2019-May]:[2025-July]]),1,-12),"&lt;&gt;0"),0)</f>
        <v>4.9633333333333329</v>
      </c>
      <c r="H612" s="55">
        <f>IFERROR(SMALL(Table1[[#This Row],[2019-Apr]:[2025-July]],COUNTIF(Table1[[#This Row],[2019-Apr]:[2025-July]],0)+1),0)</f>
        <v>3</v>
      </c>
      <c r="I612" s="55">
        <f>IFERROR(MAX(Table1[[#This Row],[2019-Apr]:[2025-July]]),0)</f>
        <v>9.6</v>
      </c>
      <c r="J612" s="4" cm="1">
        <f t="array" ref="J61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3.311666666666667</v>
      </c>
      <c r="K612" s="4">
        <v>4.5</v>
      </c>
      <c r="L612" s="4">
        <f>IF(Table1[[#This Row],[Standard as per ISO]]&gt;=Table1[[#This Row],[Avg of best 6]],Table1[[#This Row],[Standard as per ISO]],Table1[[#This Row],[Avg of best 6]])</f>
        <v>4.5</v>
      </c>
      <c r="M612" s="4" cm="1">
        <f t="array" ref="M612">IFERROR(LOOKUP(2,1/(Table1[[#This Row],[2019-May]:[2025-July]]&lt;&gt;0),Table1[[#This Row],[2019-May]:[2025-July]]),0)</f>
        <v>3.4</v>
      </c>
      <c r="N612" s="4">
        <f>COUNTIF(Table1[[#This Row],[2019-Apr]:[2025-July]],"&gt;="&amp;Table1[[#This Row],[Target]])</f>
        <v>6</v>
      </c>
      <c r="O612" s="4">
        <f>IF(Table1[[#This Row],[Outliers 2Y]]=0,1,0)</f>
        <v>0</v>
      </c>
      <c r="P612" s="4">
        <f>IF(Table1[[#This Row],[Last value]]&gt;1.5*Table1[[#This Row],[Target]],1,0)</f>
        <v>0</v>
      </c>
      <c r="Q612" s="4">
        <f>IF(AND(1.5*Table1[[#This Row],[Target]]&gt;=Table1[[#This Row],[Last value]],Table1[[#This Row],[Last value]]&gt;Table1[[#This Row],[Target]]),1,0)</f>
        <v>0</v>
      </c>
      <c r="R612" s="4">
        <f>IF(Table1[[#This Row],[Target]]&gt;=Table1[[#This Row],[Last value]],1,0)</f>
        <v>1</v>
      </c>
      <c r="S612" s="4" t="str">
        <f t="shared" si="16"/>
        <v>Green</v>
      </c>
      <c r="T612">
        <v>0</v>
      </c>
      <c r="U612">
        <v>0</v>
      </c>
      <c r="V612">
        <v>0</v>
      </c>
      <c r="W612">
        <v>3.57</v>
      </c>
      <c r="X612">
        <v>0</v>
      </c>
      <c r="Y612">
        <v>0</v>
      </c>
      <c r="Z612">
        <v>4.16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3.8</v>
      </c>
      <c r="AG612">
        <v>4.2</v>
      </c>
      <c r="AH612">
        <v>0</v>
      </c>
      <c r="AI612">
        <v>0</v>
      </c>
      <c r="AJ612">
        <v>0</v>
      </c>
      <c r="AK612">
        <v>0</v>
      </c>
      <c r="AL612">
        <v>3.3</v>
      </c>
      <c r="AM612">
        <v>0</v>
      </c>
      <c r="AN612">
        <v>3.6</v>
      </c>
      <c r="AO612">
        <v>0</v>
      </c>
      <c r="AP612">
        <v>3.77</v>
      </c>
      <c r="AQ612">
        <v>3.47</v>
      </c>
      <c r="AR612" s="8">
        <v>0</v>
      </c>
      <c r="AS612" s="8">
        <v>4.25</v>
      </c>
      <c r="AT612" s="8">
        <v>0</v>
      </c>
      <c r="AU612" s="3">
        <v>4.33</v>
      </c>
      <c r="AV612" s="3">
        <v>0</v>
      </c>
      <c r="AW612" s="3">
        <v>0</v>
      </c>
      <c r="AX612" s="3">
        <v>0</v>
      </c>
      <c r="AY612" s="3">
        <v>0</v>
      </c>
      <c r="AZ612" s="3">
        <v>4.9000000000000004</v>
      </c>
      <c r="BA612" s="3">
        <v>3.9</v>
      </c>
      <c r="BB612" s="3">
        <v>4.5</v>
      </c>
      <c r="BC612" s="3">
        <v>0</v>
      </c>
      <c r="BD612">
        <v>0</v>
      </c>
      <c r="BE612" s="11">
        <v>0</v>
      </c>
      <c r="BF612" s="4">
        <v>3</v>
      </c>
      <c r="BG612" s="4">
        <v>5.0999999999999996</v>
      </c>
      <c r="BH612" s="4">
        <v>0</v>
      </c>
      <c r="BI612" s="4">
        <v>4.0119999999999996</v>
      </c>
      <c r="BJ612" s="14">
        <v>0</v>
      </c>
      <c r="BK612" s="14">
        <v>0</v>
      </c>
      <c r="BL612" s="4">
        <v>4.4089999999999998</v>
      </c>
      <c r="BM612" s="17">
        <v>0</v>
      </c>
      <c r="BN612" s="4">
        <v>0</v>
      </c>
      <c r="BO612" s="4">
        <v>4.1890000000000001</v>
      </c>
      <c r="BP612" s="4">
        <v>0</v>
      </c>
      <c r="BQ612" s="4">
        <v>0</v>
      </c>
      <c r="BR612" s="4">
        <v>0</v>
      </c>
      <c r="BS612" s="4">
        <v>4.3789999999999996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>
        <v>0</v>
      </c>
      <c r="CA612">
        <v>0</v>
      </c>
      <c r="CB612">
        <v>0</v>
      </c>
      <c r="CC612">
        <v>4.22</v>
      </c>
      <c r="CD612">
        <v>0</v>
      </c>
      <c r="CE612" s="19">
        <v>0</v>
      </c>
      <c r="CF612" s="19">
        <v>0</v>
      </c>
      <c r="CG612" s="4">
        <v>5.08</v>
      </c>
      <c r="CH612" s="4">
        <v>0</v>
      </c>
      <c r="CI612" s="4">
        <v>0</v>
      </c>
      <c r="CJ612" s="34">
        <v>5</v>
      </c>
      <c r="CK612" s="34">
        <v>0</v>
      </c>
      <c r="CL612" s="43">
        <v>9.6</v>
      </c>
      <c r="CM612" s="4">
        <v>3.5</v>
      </c>
      <c r="CN612" s="53">
        <v>3.2</v>
      </c>
      <c r="CO612" s="54">
        <v>3.4</v>
      </c>
      <c r="CP612" s="54">
        <v>0</v>
      </c>
      <c r="CQ612" s="4">
        <v>0</v>
      </c>
    </row>
    <row r="613" spans="1:95" x14ac:dyDescent="0.35">
      <c r="A613" s="55">
        <v>612</v>
      </c>
      <c r="B613" t="s">
        <v>119</v>
      </c>
      <c r="C613" s="27" t="s">
        <v>885</v>
      </c>
      <c r="D613" s="3" t="s">
        <v>94</v>
      </c>
      <c r="E613" s="33" t="s">
        <v>89</v>
      </c>
      <c r="F613" s="4">
        <f>IFERROR(AVERAGEIF(Table1[[#This Row],[2019-Apr]:[2025-July]],"&lt;&gt;0"),0)</f>
        <v>3.7548611111111114</v>
      </c>
      <c r="G613" s="4">
        <f ca="1">IFERROR(AVERAGEIF(OFFSET(Table1[[#This Row],[Status]],0,COUNT(Table1[[#This Row],[2019-May]:[2025-July]]),1,-12),"&lt;&gt;0"),0)</f>
        <v>3.4666666666666668</v>
      </c>
      <c r="H613" s="55">
        <f>IFERROR(SMALL(Table1[[#This Row],[2019-Apr]:[2025-July]],COUNTIF(Table1[[#This Row],[2019-Apr]:[2025-July]],0)+1),0)</f>
        <v>2.3730000000000002</v>
      </c>
      <c r="I613" s="55">
        <f>IFERROR(MAX(Table1[[#This Row],[2019-Apr]:[2025-July]]),0)</f>
        <v>6.17</v>
      </c>
      <c r="J613" s="4" cm="1">
        <f t="array" ref="J61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2.5374999999999996</v>
      </c>
      <c r="K613" s="4">
        <v>4.5</v>
      </c>
      <c r="L613" s="4">
        <f>IF(Table1[[#This Row],[Standard as per ISO]]&gt;=Table1[[#This Row],[Avg of best 6]],Table1[[#This Row],[Standard as per ISO]],Table1[[#This Row],[Avg of best 6]])</f>
        <v>4.5</v>
      </c>
      <c r="M613" s="4" cm="1">
        <f t="array" ref="M613">IFERROR(LOOKUP(2,1/(Table1[[#This Row],[2019-May]:[2025-July]]&lt;&gt;0),Table1[[#This Row],[2019-May]:[2025-July]]),0)</f>
        <v>5.3</v>
      </c>
      <c r="N613" s="4">
        <f>COUNTIF(Table1[[#This Row],[2019-Apr]:[2025-July]],"&gt;="&amp;Table1[[#This Row],[Target]])</f>
        <v>6</v>
      </c>
      <c r="O613" s="4">
        <f>IF(Table1[[#This Row],[Outliers 2Y]]=0,1,0)</f>
        <v>0</v>
      </c>
      <c r="P613" s="4">
        <f>IF(Table1[[#This Row],[Last value]]&gt;1.5*Table1[[#This Row],[Target]],1,0)</f>
        <v>0</v>
      </c>
      <c r="Q613" s="4">
        <f>IF(AND(1.5*Table1[[#This Row],[Target]]&gt;=Table1[[#This Row],[Last value]],Table1[[#This Row],[Last value]]&gt;Table1[[#This Row],[Target]]),1,0)</f>
        <v>1</v>
      </c>
      <c r="R613" s="4">
        <f>IF(Table1[[#This Row],[Target]]&gt;=Table1[[#This Row],[Last value]],1,0)</f>
        <v>0</v>
      </c>
      <c r="S613" s="4" t="str">
        <f t="shared" si="16"/>
        <v>Yellow</v>
      </c>
      <c r="T613">
        <v>3.55</v>
      </c>
      <c r="U613">
        <v>4.1900000000000004</v>
      </c>
      <c r="V613">
        <v>0</v>
      </c>
      <c r="W613">
        <v>3.93</v>
      </c>
      <c r="X613">
        <v>3.79</v>
      </c>
      <c r="Y613">
        <v>3.81</v>
      </c>
      <c r="Z613">
        <v>0</v>
      </c>
      <c r="AA613">
        <v>0</v>
      </c>
      <c r="AB613">
        <v>3.8</v>
      </c>
      <c r="AC613">
        <v>4.3</v>
      </c>
      <c r="AD613">
        <v>4.5</v>
      </c>
      <c r="AE613">
        <v>4.5999999999999996</v>
      </c>
      <c r="AF613">
        <v>0</v>
      </c>
      <c r="AG613">
        <v>0</v>
      </c>
      <c r="AH613">
        <v>4.0999999999999996</v>
      </c>
      <c r="AI613">
        <v>6.17</v>
      </c>
      <c r="AJ613">
        <v>4.3</v>
      </c>
      <c r="AK613">
        <v>3.69</v>
      </c>
      <c r="AL613">
        <v>0</v>
      </c>
      <c r="AM613">
        <v>0</v>
      </c>
      <c r="AN613">
        <v>3.81</v>
      </c>
      <c r="AO613">
        <v>0</v>
      </c>
      <c r="AP613">
        <v>5.2</v>
      </c>
      <c r="AQ613">
        <v>4.22</v>
      </c>
      <c r="AR613" s="8">
        <v>3.84</v>
      </c>
      <c r="AS613" s="8">
        <v>3.89</v>
      </c>
      <c r="AT613" s="8">
        <v>4.29</v>
      </c>
      <c r="AU613" s="3">
        <v>0</v>
      </c>
      <c r="AV613" s="3">
        <v>4.3499999999999996</v>
      </c>
      <c r="AW613" s="3">
        <v>3.82</v>
      </c>
      <c r="AX613" s="3">
        <v>3.82</v>
      </c>
      <c r="AY613" s="3">
        <v>3.02</v>
      </c>
      <c r="AZ613" s="3">
        <v>2.8</v>
      </c>
      <c r="BA613" s="3">
        <v>0</v>
      </c>
      <c r="BB613" s="3">
        <v>0</v>
      </c>
      <c r="BC613">
        <v>2.4</v>
      </c>
      <c r="BD613">
        <v>0</v>
      </c>
      <c r="BE613" s="11">
        <v>0</v>
      </c>
      <c r="BF613" s="4">
        <v>0</v>
      </c>
      <c r="BG613" s="4">
        <v>0</v>
      </c>
      <c r="BH613" s="4">
        <v>0</v>
      </c>
      <c r="BI613" s="4">
        <v>2.7320000000000002</v>
      </c>
      <c r="BJ613" s="13">
        <v>0</v>
      </c>
      <c r="BK613" s="13">
        <v>3.2559999999999998</v>
      </c>
      <c r="BL613" s="4">
        <v>2.5299999999999998</v>
      </c>
      <c r="BM613" s="16">
        <v>0</v>
      </c>
      <c r="BN613" s="4">
        <v>0</v>
      </c>
      <c r="BO613" s="4">
        <v>0</v>
      </c>
      <c r="BP613" s="4">
        <v>2.9420000000000002</v>
      </c>
      <c r="BQ613" s="4">
        <v>0</v>
      </c>
      <c r="BR613" s="4">
        <v>0</v>
      </c>
      <c r="BS613" s="4">
        <v>2.3730000000000002</v>
      </c>
      <c r="BT613" s="4">
        <v>0</v>
      </c>
      <c r="BU613" s="4">
        <v>0</v>
      </c>
      <c r="BV613" s="4">
        <v>0</v>
      </c>
      <c r="BW613" s="4">
        <v>2.9620000000000002</v>
      </c>
      <c r="BX613" s="4">
        <v>0</v>
      </c>
      <c r="BY613" s="4">
        <v>0</v>
      </c>
      <c r="BZ613">
        <v>0</v>
      </c>
      <c r="CA613">
        <v>0</v>
      </c>
      <c r="CB613">
        <v>0</v>
      </c>
      <c r="CC613">
        <v>2.4900000000000002</v>
      </c>
      <c r="CD613">
        <v>0</v>
      </c>
      <c r="CE613" s="19">
        <v>0</v>
      </c>
      <c r="CF613" s="19">
        <v>3</v>
      </c>
      <c r="CG613" s="4">
        <v>0</v>
      </c>
      <c r="CH613" s="4">
        <v>0</v>
      </c>
      <c r="CI613" s="4">
        <v>0</v>
      </c>
      <c r="CJ613" s="34">
        <v>2.7</v>
      </c>
      <c r="CK613" s="34">
        <v>0</v>
      </c>
      <c r="CL613" s="43">
        <v>0</v>
      </c>
      <c r="CM613" s="4">
        <v>0</v>
      </c>
      <c r="CN613" s="53">
        <v>4.7</v>
      </c>
      <c r="CO613" s="54">
        <v>0</v>
      </c>
      <c r="CP613" s="54">
        <v>0</v>
      </c>
      <c r="CQ613" s="4">
        <v>5.3</v>
      </c>
    </row>
    <row r="614" spans="1:95" x14ac:dyDescent="0.35">
      <c r="A614" s="55">
        <v>613</v>
      </c>
      <c r="B614" t="s">
        <v>119</v>
      </c>
      <c r="C614" s="27" t="s">
        <v>886</v>
      </c>
      <c r="D614" s="3" t="s">
        <v>94</v>
      </c>
      <c r="E614" s="33" t="s">
        <v>89</v>
      </c>
      <c r="F614" s="4">
        <f>IFERROR(AVERAGEIF(Table1[[#This Row],[2019-Apr]:[2025-July]],"&lt;&gt;0"),0)</f>
        <v>2.7535833333333333</v>
      </c>
      <c r="G614" s="4">
        <f ca="1">IFERROR(AVERAGEIF(OFFSET(Table1[[#This Row],[Status]],0,COUNT(Table1[[#This Row],[2019-May]:[2025-July]]),1,-12),"&lt;&gt;0"),0)</f>
        <v>3.1199999999999997</v>
      </c>
      <c r="H614" s="55">
        <f>IFERROR(SMALL(Table1[[#This Row],[2019-Apr]:[2025-July]],COUNTIF(Table1[[#This Row],[2019-Apr]:[2025-July]],0)+1),0)</f>
        <v>1.877</v>
      </c>
      <c r="I614" s="55">
        <f>IFERROR(MAX(Table1[[#This Row],[2019-Apr]:[2025-July]]),0)</f>
        <v>4.9000000000000004</v>
      </c>
      <c r="J614" s="4" cm="1">
        <f t="array" ref="J61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2.0631666666666666</v>
      </c>
      <c r="K614" s="4">
        <v>4.5</v>
      </c>
      <c r="L614" s="4">
        <f>IF(Table1[[#This Row],[Standard as per ISO]]&gt;=Table1[[#This Row],[Avg of best 6]],Table1[[#This Row],[Standard as per ISO]],Table1[[#This Row],[Avg of best 6]])</f>
        <v>4.5</v>
      </c>
      <c r="M614" s="4" cm="1">
        <f t="array" ref="M614">IFERROR(LOOKUP(2,1/(Table1[[#This Row],[2019-May]:[2025-July]]&lt;&gt;0),Table1[[#This Row],[2019-May]:[2025-July]]),0)</f>
        <v>3.52</v>
      </c>
      <c r="N614" s="4">
        <f>COUNTIF(Table1[[#This Row],[2019-Apr]:[2025-July]],"&gt;="&amp;Table1[[#This Row],[Target]])</f>
        <v>1</v>
      </c>
      <c r="O614" s="4">
        <f>IF(Table1[[#This Row],[Outliers 2Y]]=0,1,0)</f>
        <v>0</v>
      </c>
      <c r="P614" s="4">
        <f>IF(Table1[[#This Row],[Last value]]&gt;1.5*Table1[[#This Row],[Target]],1,0)</f>
        <v>0</v>
      </c>
      <c r="Q614" s="4">
        <f>IF(AND(1.5*Table1[[#This Row],[Target]]&gt;=Table1[[#This Row],[Last value]],Table1[[#This Row],[Last value]]&gt;Table1[[#This Row],[Target]]),1,0)</f>
        <v>0</v>
      </c>
      <c r="R614" s="4">
        <f>IF(Table1[[#This Row],[Target]]&gt;=Table1[[#This Row],[Last value]],1,0)</f>
        <v>1</v>
      </c>
      <c r="S614" s="4" t="str">
        <f t="shared" si="16"/>
        <v>Green</v>
      </c>
      <c r="T614">
        <v>0</v>
      </c>
      <c r="U614">
        <v>0</v>
      </c>
      <c r="V614">
        <v>3.18</v>
      </c>
      <c r="W614">
        <v>2.83</v>
      </c>
      <c r="X614">
        <v>0</v>
      </c>
      <c r="Y614">
        <v>0</v>
      </c>
      <c r="Z614">
        <v>2.88</v>
      </c>
      <c r="AA614">
        <v>2.79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2.6</v>
      </c>
      <c r="AH614">
        <v>0</v>
      </c>
      <c r="AI614">
        <v>0</v>
      </c>
      <c r="AJ614">
        <v>0</v>
      </c>
      <c r="AK614">
        <v>0</v>
      </c>
      <c r="AL614">
        <v>2.2799999999999998</v>
      </c>
      <c r="AM614">
        <v>4.21</v>
      </c>
      <c r="AN614">
        <v>0</v>
      </c>
      <c r="AO614">
        <v>0</v>
      </c>
      <c r="AP614">
        <v>0</v>
      </c>
      <c r="AQ614">
        <v>0</v>
      </c>
      <c r="AR614" s="8">
        <v>0</v>
      </c>
      <c r="AS614" s="8">
        <v>0</v>
      </c>
      <c r="AT614" s="8">
        <v>0</v>
      </c>
      <c r="AU614" s="3">
        <v>3.17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2.9</v>
      </c>
      <c r="BB614" s="3">
        <v>3.2</v>
      </c>
      <c r="BC614" s="3">
        <v>0</v>
      </c>
      <c r="BD614">
        <v>0</v>
      </c>
      <c r="BE614" s="11">
        <v>1.9590000000000001</v>
      </c>
      <c r="BF614" s="4">
        <v>1.877</v>
      </c>
      <c r="BG614" s="4">
        <v>2.1</v>
      </c>
      <c r="BH614" s="4">
        <v>0</v>
      </c>
      <c r="BI614" s="4">
        <v>0</v>
      </c>
      <c r="BJ614" s="14">
        <v>0</v>
      </c>
      <c r="BK614" s="14">
        <v>2.2240000000000002</v>
      </c>
      <c r="BL614" s="4">
        <v>2.1739999999999999</v>
      </c>
      <c r="BM614" s="17">
        <v>0</v>
      </c>
      <c r="BN614" s="4">
        <v>0</v>
      </c>
      <c r="BO614" s="4">
        <v>0</v>
      </c>
      <c r="BP614" s="4">
        <v>2.2330000000000001</v>
      </c>
      <c r="BQ614" s="4">
        <v>0</v>
      </c>
      <c r="BR614" s="4">
        <v>0</v>
      </c>
      <c r="BS614" s="4">
        <v>2.169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>
        <v>0</v>
      </c>
      <c r="CA614">
        <v>0</v>
      </c>
      <c r="CB614">
        <v>0</v>
      </c>
      <c r="CC614">
        <v>2.59</v>
      </c>
      <c r="CD614">
        <v>0</v>
      </c>
      <c r="CE614" s="19">
        <v>0</v>
      </c>
      <c r="CF614" s="19">
        <v>0</v>
      </c>
      <c r="CG614" s="4">
        <v>2.5</v>
      </c>
      <c r="CH614" s="4">
        <v>0</v>
      </c>
      <c r="CI614" s="4">
        <v>0</v>
      </c>
      <c r="CJ614" s="34">
        <v>2.1</v>
      </c>
      <c r="CK614" s="34">
        <v>4.9000000000000004</v>
      </c>
      <c r="CL614" s="43">
        <v>0</v>
      </c>
      <c r="CM614" s="4">
        <v>2.5</v>
      </c>
      <c r="CN614" s="53">
        <v>0</v>
      </c>
      <c r="CO614" s="54">
        <v>3.2</v>
      </c>
      <c r="CP614" s="54">
        <v>3.52</v>
      </c>
      <c r="CQ614" s="4">
        <v>0</v>
      </c>
    </row>
    <row r="615" spans="1:95" x14ac:dyDescent="0.35">
      <c r="A615" s="55">
        <v>614</v>
      </c>
      <c r="B615" t="s">
        <v>119</v>
      </c>
      <c r="C615" s="27" t="s">
        <v>887</v>
      </c>
      <c r="D615" s="3" t="s">
        <v>94</v>
      </c>
      <c r="E615" s="33" t="s">
        <v>89</v>
      </c>
      <c r="F615" s="4">
        <f>IFERROR(AVERAGEIF(Table1[[#This Row],[2019-Apr]:[2025-July]],"&lt;&gt;0"),0)</f>
        <v>3.428125000000001</v>
      </c>
      <c r="G615" s="4">
        <f ca="1">IFERROR(AVERAGEIF(OFFSET(Table1[[#This Row],[Status]],0,COUNT(Table1[[#This Row],[2019-May]:[2025-July]]),1,-12),"&lt;&gt;0"),0)</f>
        <v>5.5440000000000005</v>
      </c>
      <c r="H615" s="55">
        <f>IFERROR(SMALL(Table1[[#This Row],[2019-Apr]:[2025-July]],COUNTIF(Table1[[#This Row],[2019-Apr]:[2025-July]],0)+1),0)</f>
        <v>0.35</v>
      </c>
      <c r="I615" s="55">
        <f>IFERROR(MAX(Table1[[#This Row],[2019-Apr]:[2025-July]]),0)</f>
        <v>8.52</v>
      </c>
      <c r="J615" s="4" cm="1">
        <f t="array" ref="J61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1.4383333333333332</v>
      </c>
      <c r="K615" s="4">
        <v>4.5</v>
      </c>
      <c r="L615" s="4">
        <f>IF(Table1[[#This Row],[Standard as per ISO]]&gt;=Table1[[#This Row],[Avg of best 6]],Table1[[#This Row],[Standard as per ISO]],Table1[[#This Row],[Avg of best 6]])</f>
        <v>4.5</v>
      </c>
      <c r="M615" s="4" cm="1">
        <f t="array" ref="M615">IFERROR(LOOKUP(2,1/(Table1[[#This Row],[2019-May]:[2025-July]]&lt;&gt;0),Table1[[#This Row],[2019-May]:[2025-July]]),0)</f>
        <v>8.4</v>
      </c>
      <c r="N615" s="4">
        <f>COUNTIF(Table1[[#This Row],[2019-Apr]:[2025-July]],"&gt;="&amp;Table1[[#This Row],[Target]])</f>
        <v>8</v>
      </c>
      <c r="O615" s="4">
        <f>IF(Table1[[#This Row],[Outliers 2Y]]=0,1,0)</f>
        <v>0</v>
      </c>
      <c r="P615" s="4">
        <f>IF(Table1[[#This Row],[Last value]]&gt;1.5*Table1[[#This Row],[Target]],1,0)</f>
        <v>1</v>
      </c>
      <c r="Q615" s="4">
        <f>IF(AND(1.5*Table1[[#This Row],[Target]]&gt;=Table1[[#This Row],[Last value]],Table1[[#This Row],[Last value]]&gt;Table1[[#This Row],[Target]]),1,0)</f>
        <v>0</v>
      </c>
      <c r="R615" s="4">
        <f>IF(Table1[[#This Row],[Target]]&gt;=Table1[[#This Row],[Last value]],1,0)</f>
        <v>0</v>
      </c>
      <c r="S615" s="4" t="str">
        <f t="shared" si="16"/>
        <v>Red</v>
      </c>
      <c r="T615">
        <v>0.35</v>
      </c>
      <c r="U615">
        <v>0.41</v>
      </c>
      <c r="V615">
        <v>2.09</v>
      </c>
      <c r="W615">
        <v>2.2000000000000002</v>
      </c>
      <c r="X615">
        <v>0</v>
      </c>
      <c r="Y615">
        <v>1.1200000000000001</v>
      </c>
      <c r="Z615">
        <v>3.39</v>
      </c>
      <c r="AA615">
        <v>0</v>
      </c>
      <c r="AB615">
        <v>3</v>
      </c>
      <c r="AC615">
        <v>1.8</v>
      </c>
      <c r="AD615">
        <v>3.01</v>
      </c>
      <c r="AE615">
        <v>1.4</v>
      </c>
      <c r="AF615">
        <v>1.9</v>
      </c>
      <c r="AG615">
        <v>2.0274999999999999</v>
      </c>
      <c r="AH615">
        <v>3.5</v>
      </c>
      <c r="AI615">
        <v>3.75</v>
      </c>
      <c r="AJ615">
        <v>3.1</v>
      </c>
      <c r="AK615">
        <v>2</v>
      </c>
      <c r="AL615">
        <v>2.58</v>
      </c>
      <c r="AM615">
        <v>2.88</v>
      </c>
      <c r="AN615">
        <v>2.23</v>
      </c>
      <c r="AO615">
        <v>2.0499999999999998</v>
      </c>
      <c r="AP615">
        <v>3.2</v>
      </c>
      <c r="AQ615">
        <v>2.97</v>
      </c>
      <c r="AR615" s="8">
        <v>0</v>
      </c>
      <c r="AS615" s="8">
        <v>4.41</v>
      </c>
      <c r="AT615" s="8">
        <v>3.74</v>
      </c>
      <c r="AU615" s="3">
        <v>0</v>
      </c>
      <c r="AV615" s="3">
        <v>0</v>
      </c>
      <c r="AW615" s="3">
        <v>3.52</v>
      </c>
      <c r="AX615" s="3">
        <v>3.93</v>
      </c>
      <c r="AY615" s="3">
        <v>0</v>
      </c>
      <c r="AZ615" s="3">
        <v>3.9</v>
      </c>
      <c r="BA615" s="3">
        <v>0</v>
      </c>
      <c r="BB615" s="3">
        <v>0</v>
      </c>
      <c r="BC615">
        <v>3.9</v>
      </c>
      <c r="BD615">
        <v>0</v>
      </c>
      <c r="BE615" s="11">
        <v>4.5129999999999999</v>
      </c>
      <c r="BF615" s="4">
        <v>4</v>
      </c>
      <c r="BG615" s="4">
        <v>2</v>
      </c>
      <c r="BH615" s="4">
        <v>0</v>
      </c>
      <c r="BI615" s="4">
        <v>4.3760000000000003</v>
      </c>
      <c r="BJ615" s="13">
        <v>0</v>
      </c>
      <c r="BK615" s="13">
        <v>4.6879999999999997</v>
      </c>
      <c r="BL615" s="4">
        <v>4.1639999999999997</v>
      </c>
      <c r="BM615" s="16">
        <v>0</v>
      </c>
      <c r="BN615" s="4">
        <v>0</v>
      </c>
      <c r="BO615" s="4">
        <v>4.2969999999999997</v>
      </c>
      <c r="BP615" s="4">
        <v>4.3099999999999996</v>
      </c>
      <c r="BQ615" s="4">
        <v>0</v>
      </c>
      <c r="BR615" s="4">
        <v>0</v>
      </c>
      <c r="BS615" s="4">
        <v>4.8319999999999999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>
        <v>0</v>
      </c>
      <c r="CA615">
        <v>0</v>
      </c>
      <c r="CB615">
        <v>0</v>
      </c>
      <c r="CC615">
        <v>3.18</v>
      </c>
      <c r="CD615">
        <v>0</v>
      </c>
      <c r="CE615" s="19">
        <v>0</v>
      </c>
      <c r="CF615" s="19">
        <v>4.5</v>
      </c>
      <c r="CG615" s="4">
        <v>0</v>
      </c>
      <c r="CH615" s="4">
        <v>0</v>
      </c>
      <c r="CI615" s="4">
        <v>0</v>
      </c>
      <c r="CJ615" s="34">
        <v>4.3</v>
      </c>
      <c r="CK615" s="34">
        <v>5.3</v>
      </c>
      <c r="CL615" s="43">
        <v>5.0999999999999996</v>
      </c>
      <c r="CM615" s="4">
        <v>0</v>
      </c>
      <c r="CN615" s="53">
        <v>0</v>
      </c>
      <c r="CO615" s="54">
        <v>0</v>
      </c>
      <c r="CP615" s="54">
        <v>8.52</v>
      </c>
      <c r="CQ615" s="4">
        <v>8.4</v>
      </c>
    </row>
    <row r="616" spans="1:95" x14ac:dyDescent="0.35">
      <c r="A616" s="55">
        <v>615</v>
      </c>
      <c r="B616" t="s">
        <v>119</v>
      </c>
      <c r="C616" s="27" t="s">
        <v>888</v>
      </c>
      <c r="D616" s="3" t="s">
        <v>94</v>
      </c>
      <c r="E616" s="33" t="s">
        <v>89</v>
      </c>
      <c r="F616" s="4">
        <f>IFERROR(AVERAGEIF(Table1[[#This Row],[2019-Apr]:[2025-July]],"&lt;&gt;0"),0)</f>
        <v>4.8732325581395335</v>
      </c>
      <c r="G616" s="4">
        <f ca="1">IFERROR(AVERAGEIF(OFFSET(Table1[[#This Row],[Status]],0,COUNT(Table1[[#This Row],[2019-May]:[2025-July]]),1,-12),"&lt;&gt;0"),0)</f>
        <v>5.9857142857142858</v>
      </c>
      <c r="H616" s="55">
        <f>IFERROR(SMALL(Table1[[#This Row],[2019-Apr]:[2025-July]],COUNTIF(Table1[[#This Row],[2019-Apr]:[2025-July]],0)+1),0)</f>
        <v>2.87</v>
      </c>
      <c r="I616" s="55">
        <f>IFERROR(MAX(Table1[[#This Row],[2019-Apr]:[2025-July]]),0)</f>
        <v>8.43</v>
      </c>
      <c r="J616" s="4" cm="1">
        <f t="array" ref="J61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3.2951666666666668</v>
      </c>
      <c r="K616" s="4">
        <v>4.5</v>
      </c>
      <c r="L616" s="4">
        <f>IF(Table1[[#This Row],[Standard as per ISO]]&gt;=Table1[[#This Row],[Avg of best 6]],Table1[[#This Row],[Standard as per ISO]],Table1[[#This Row],[Avg of best 6]])</f>
        <v>4.5</v>
      </c>
      <c r="M616" s="4" cm="1">
        <f t="array" ref="M616">IFERROR(LOOKUP(2,1/(Table1[[#This Row],[2019-May]:[2025-July]]&lt;&gt;0),Table1[[#This Row],[2019-May]:[2025-July]]),0)</f>
        <v>5.64</v>
      </c>
      <c r="N616" s="4">
        <f>COUNTIF(Table1[[#This Row],[2019-Apr]:[2025-July]],"&gt;="&amp;Table1[[#This Row],[Target]])</f>
        <v>26</v>
      </c>
      <c r="O616" s="4">
        <f>IF(Table1[[#This Row],[Outliers 2Y]]=0,1,0)</f>
        <v>0</v>
      </c>
      <c r="P616" s="4">
        <f>IF(Table1[[#This Row],[Last value]]&gt;1.5*Table1[[#This Row],[Target]],1,0)</f>
        <v>0</v>
      </c>
      <c r="Q616" s="4">
        <f>IF(AND(1.5*Table1[[#This Row],[Target]]&gt;=Table1[[#This Row],[Last value]],Table1[[#This Row],[Last value]]&gt;Table1[[#This Row],[Target]]),1,0)</f>
        <v>1</v>
      </c>
      <c r="R616" s="4">
        <f>IF(Table1[[#This Row],[Target]]&gt;=Table1[[#This Row],[Last value]],1,0)</f>
        <v>0</v>
      </c>
      <c r="S616" s="4" t="str">
        <f t="shared" si="16"/>
        <v>Yellow</v>
      </c>
      <c r="T616">
        <v>3.63</v>
      </c>
      <c r="U616">
        <v>2.87</v>
      </c>
      <c r="V616">
        <v>3.45</v>
      </c>
      <c r="W616">
        <v>3.18</v>
      </c>
      <c r="X616">
        <v>3.71</v>
      </c>
      <c r="Y616">
        <v>4.26</v>
      </c>
      <c r="Z616">
        <v>4.26</v>
      </c>
      <c r="AA616">
        <v>0</v>
      </c>
      <c r="AB616">
        <v>4.3</v>
      </c>
      <c r="AC616">
        <v>0</v>
      </c>
      <c r="AD616">
        <v>0</v>
      </c>
      <c r="AE616">
        <v>0</v>
      </c>
      <c r="AF616">
        <v>0</v>
      </c>
      <c r="AG616">
        <v>4.5</v>
      </c>
      <c r="AH616">
        <v>4.4000000000000004</v>
      </c>
      <c r="AI616">
        <v>4.3899999999999997</v>
      </c>
      <c r="AJ616">
        <v>0</v>
      </c>
      <c r="AK616">
        <v>4.9400000000000004</v>
      </c>
      <c r="AL616">
        <v>5.24</v>
      </c>
      <c r="AM616">
        <v>5.85</v>
      </c>
      <c r="AN616">
        <v>8.43</v>
      </c>
      <c r="AO616">
        <v>0</v>
      </c>
      <c r="AP616">
        <v>7</v>
      </c>
      <c r="AQ616">
        <v>5.85</v>
      </c>
      <c r="AR616" s="8">
        <v>4.74</v>
      </c>
      <c r="AS616" s="8">
        <v>0</v>
      </c>
      <c r="AT616" s="8">
        <v>4.9400000000000004</v>
      </c>
      <c r="AU616" s="3">
        <v>4.18</v>
      </c>
      <c r="AV616" s="3">
        <v>5.39</v>
      </c>
      <c r="AW616" s="3">
        <v>4.76</v>
      </c>
      <c r="AX616" s="3">
        <v>3.66</v>
      </c>
      <c r="AY616" s="3">
        <v>4.57</v>
      </c>
      <c r="AZ616" s="3">
        <v>5.2</v>
      </c>
      <c r="BA616" s="3">
        <v>3.7</v>
      </c>
      <c r="BB616" s="3">
        <v>4.5999999999999996</v>
      </c>
      <c r="BC616" s="3">
        <v>0</v>
      </c>
      <c r="BD616">
        <v>0</v>
      </c>
      <c r="BE616" s="11">
        <v>0</v>
      </c>
      <c r="BF616" s="4">
        <v>0</v>
      </c>
      <c r="BG616" s="4">
        <v>3.8</v>
      </c>
      <c r="BH616" s="4">
        <v>0</v>
      </c>
      <c r="BI616" s="4">
        <v>2.911</v>
      </c>
      <c r="BJ616" s="14">
        <v>0</v>
      </c>
      <c r="BK616" s="14">
        <v>0</v>
      </c>
      <c r="BL616" s="4">
        <v>4.5220000000000002</v>
      </c>
      <c r="BM616" s="17">
        <v>4.4039999999999999</v>
      </c>
      <c r="BN616" s="4">
        <v>0</v>
      </c>
      <c r="BO616" s="4">
        <v>4.8719999999999999</v>
      </c>
      <c r="BP616" s="4">
        <v>4.5810000000000004</v>
      </c>
      <c r="BQ616" s="4">
        <v>0</v>
      </c>
      <c r="BR616" s="4">
        <v>0</v>
      </c>
      <c r="BS616" s="4">
        <v>4.9790000000000001</v>
      </c>
      <c r="BT616" s="4">
        <v>0</v>
      </c>
      <c r="BU616" s="4">
        <v>0</v>
      </c>
      <c r="BV616" s="4">
        <v>0</v>
      </c>
      <c r="BW616" s="4">
        <v>5.23</v>
      </c>
      <c r="BX616" s="4">
        <v>0</v>
      </c>
      <c r="BY616" s="4">
        <v>0</v>
      </c>
      <c r="BZ616">
        <v>0</v>
      </c>
      <c r="CA616">
        <v>0</v>
      </c>
      <c r="CB616">
        <v>0</v>
      </c>
      <c r="CC616">
        <v>6.35</v>
      </c>
      <c r="CD616">
        <v>0</v>
      </c>
      <c r="CE616" s="19">
        <v>0</v>
      </c>
      <c r="CF616" s="19">
        <v>0</v>
      </c>
      <c r="CG616" s="4">
        <v>4.43</v>
      </c>
      <c r="CH616" s="4">
        <v>0</v>
      </c>
      <c r="CI616" s="4">
        <v>0</v>
      </c>
      <c r="CJ616" s="34">
        <v>0</v>
      </c>
      <c r="CK616" s="34">
        <v>6.8</v>
      </c>
      <c r="CL616" s="43">
        <v>6</v>
      </c>
      <c r="CM616" s="4">
        <v>5.3</v>
      </c>
      <c r="CN616" s="53">
        <v>5.7</v>
      </c>
      <c r="CO616" s="54">
        <v>8.0299999999999994</v>
      </c>
      <c r="CP616" s="54">
        <v>5.64</v>
      </c>
      <c r="CQ616" s="4">
        <v>0</v>
      </c>
    </row>
    <row r="617" spans="1:95" x14ac:dyDescent="0.35">
      <c r="A617" s="55">
        <v>616</v>
      </c>
      <c r="B617" t="s">
        <v>119</v>
      </c>
      <c r="C617" s="27" t="s">
        <v>889</v>
      </c>
      <c r="D617" s="3" t="s">
        <v>94</v>
      </c>
      <c r="E617" s="33" t="s">
        <v>89</v>
      </c>
      <c r="F617" s="4">
        <f>IFERROR(AVERAGEIF(Table1[[#This Row],[2019-Apr]:[2025-July]],"&lt;&gt;0"),0)</f>
        <v>4.3341914893617037</v>
      </c>
      <c r="G617" s="4">
        <f ca="1">IFERROR(AVERAGEIF(OFFSET(Table1[[#This Row],[Status]],0,COUNT(Table1[[#This Row],[2019-May]:[2025-July]]),1,-12),"&lt;&gt;0"),0)</f>
        <v>4.8916666666666666</v>
      </c>
      <c r="H617" s="55">
        <f>IFERROR(SMALL(Table1[[#This Row],[2019-Apr]:[2025-July]],COUNTIF(Table1[[#This Row],[2019-Apr]:[2025-July]],0)+1),0)</f>
        <v>2.56</v>
      </c>
      <c r="I617" s="55">
        <f>IFERROR(MAX(Table1[[#This Row],[2019-Apr]:[2025-July]]),0)</f>
        <v>11.8</v>
      </c>
      <c r="J617" s="4" cm="1">
        <f t="array" ref="J61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2.8049999999999997</v>
      </c>
      <c r="K617" s="4">
        <v>4.5</v>
      </c>
      <c r="L617" s="4">
        <f>IF(Table1[[#This Row],[Standard as per ISO]]&gt;=Table1[[#This Row],[Avg of best 6]],Table1[[#This Row],[Standard as per ISO]],Table1[[#This Row],[Avg of best 6]])</f>
        <v>4.5</v>
      </c>
      <c r="M617" s="4" cm="1">
        <f t="array" ref="M617">IFERROR(LOOKUP(2,1/(Table1[[#This Row],[2019-May]:[2025-July]]&lt;&gt;0),Table1[[#This Row],[2019-May]:[2025-July]]),0)</f>
        <v>4.9000000000000004</v>
      </c>
      <c r="N617" s="4">
        <f>COUNTIF(Table1[[#This Row],[2019-Apr]:[2025-July]],"&gt;="&amp;Table1[[#This Row],[Target]])</f>
        <v>20</v>
      </c>
      <c r="O617" s="4">
        <f>IF(Table1[[#This Row],[Outliers 2Y]]=0,1,0)</f>
        <v>0</v>
      </c>
      <c r="P617" s="4">
        <f>IF(Table1[[#This Row],[Last value]]&gt;1.5*Table1[[#This Row],[Target]],1,0)</f>
        <v>0</v>
      </c>
      <c r="Q617" s="4">
        <f>IF(AND(1.5*Table1[[#This Row],[Target]]&gt;=Table1[[#This Row],[Last value]],Table1[[#This Row],[Last value]]&gt;Table1[[#This Row],[Target]]),1,0)</f>
        <v>1</v>
      </c>
      <c r="R617" s="4">
        <f>IF(Table1[[#This Row],[Target]]&gt;=Table1[[#This Row],[Last value]],1,0)</f>
        <v>0</v>
      </c>
      <c r="S617" s="4" t="str">
        <f t="shared" si="16"/>
        <v>Yellow</v>
      </c>
      <c r="T617">
        <v>2.74</v>
      </c>
      <c r="U617">
        <v>0</v>
      </c>
      <c r="V617">
        <v>2.79</v>
      </c>
      <c r="W617">
        <v>2.56</v>
      </c>
      <c r="X617">
        <v>2.88</v>
      </c>
      <c r="Y617">
        <v>0</v>
      </c>
      <c r="Z617">
        <v>4.0199999999999996</v>
      </c>
      <c r="AA617">
        <v>3.8</v>
      </c>
      <c r="AB617">
        <v>3</v>
      </c>
      <c r="AC617">
        <v>2.9</v>
      </c>
      <c r="AD617">
        <v>3.08</v>
      </c>
      <c r="AE617">
        <v>2.7</v>
      </c>
      <c r="AF617">
        <v>3.2</v>
      </c>
      <c r="AG617">
        <v>0</v>
      </c>
      <c r="AH617">
        <v>0</v>
      </c>
      <c r="AI617">
        <v>3.33</v>
      </c>
      <c r="AJ617">
        <v>3.3</v>
      </c>
      <c r="AK617">
        <v>0</v>
      </c>
      <c r="AL617">
        <v>3.2</v>
      </c>
      <c r="AM617">
        <v>3.71</v>
      </c>
      <c r="AN617">
        <v>0</v>
      </c>
      <c r="AO617">
        <v>0</v>
      </c>
      <c r="AP617">
        <v>5.25</v>
      </c>
      <c r="AQ617">
        <v>3.46</v>
      </c>
      <c r="AR617" s="8">
        <v>4.9800000000000004</v>
      </c>
      <c r="AS617" s="8">
        <v>3.95</v>
      </c>
      <c r="AT617" s="8">
        <v>0</v>
      </c>
      <c r="AU617" s="3">
        <v>4.7300000000000004</v>
      </c>
      <c r="AV617" s="3">
        <v>5.23</v>
      </c>
      <c r="AW617" s="3">
        <v>0</v>
      </c>
      <c r="AX617" s="3">
        <v>0</v>
      </c>
      <c r="AY617" s="3">
        <v>4.26</v>
      </c>
      <c r="AZ617" s="3">
        <v>4.26</v>
      </c>
      <c r="BA617" s="3">
        <v>3.4</v>
      </c>
      <c r="BB617" s="3">
        <v>3.9</v>
      </c>
      <c r="BC617">
        <v>4.5</v>
      </c>
      <c r="BD617">
        <v>0</v>
      </c>
      <c r="BE617" s="11">
        <v>4.6340000000000003</v>
      </c>
      <c r="BF617" s="4">
        <v>4.3810000000000002</v>
      </c>
      <c r="BG617" s="4">
        <v>4.0999999999999996</v>
      </c>
      <c r="BH617" s="4">
        <v>0</v>
      </c>
      <c r="BI617" s="4">
        <v>4.6989999999999998</v>
      </c>
      <c r="BJ617" s="13">
        <v>0</v>
      </c>
      <c r="BK617" s="13">
        <v>4.8860000000000001</v>
      </c>
      <c r="BL617" s="4">
        <v>5.0229999999999997</v>
      </c>
      <c r="BM617" s="16">
        <v>4.915</v>
      </c>
      <c r="BN617" s="4">
        <v>0</v>
      </c>
      <c r="BO617" s="4">
        <v>4.3490000000000002</v>
      </c>
      <c r="BP617" s="4">
        <v>4.0949999999999998</v>
      </c>
      <c r="BQ617" s="4">
        <v>0</v>
      </c>
      <c r="BR617" s="4">
        <v>0</v>
      </c>
      <c r="BS617" s="4">
        <v>5.4349999999999996</v>
      </c>
      <c r="BT617" s="4">
        <v>0</v>
      </c>
      <c r="BU617" s="4">
        <v>0</v>
      </c>
      <c r="BV617" s="4">
        <v>0</v>
      </c>
      <c r="BW617" s="4">
        <v>11.8</v>
      </c>
      <c r="BX617" s="4">
        <v>5.4</v>
      </c>
      <c r="BY617" s="4">
        <v>5.4</v>
      </c>
      <c r="BZ617">
        <v>0</v>
      </c>
      <c r="CA617">
        <v>0</v>
      </c>
      <c r="CB617">
        <v>0</v>
      </c>
      <c r="CC617">
        <v>5.21</v>
      </c>
      <c r="CD617">
        <v>0</v>
      </c>
      <c r="CE617" s="19">
        <v>0</v>
      </c>
      <c r="CF617" s="19">
        <v>4.8</v>
      </c>
      <c r="CG617" s="4">
        <v>5.05</v>
      </c>
      <c r="CH617" s="4">
        <v>0</v>
      </c>
      <c r="CI617" s="4">
        <v>0</v>
      </c>
      <c r="CJ617" s="34">
        <v>6.5</v>
      </c>
      <c r="CK617" s="34">
        <v>0</v>
      </c>
      <c r="CL617" s="43">
        <v>0</v>
      </c>
      <c r="CM617" s="4">
        <v>4.3</v>
      </c>
      <c r="CN617" s="53">
        <v>4.5</v>
      </c>
      <c r="CO617" s="54">
        <v>0</v>
      </c>
      <c r="CP617" s="54">
        <v>4.2</v>
      </c>
      <c r="CQ617" s="4">
        <v>4.9000000000000004</v>
      </c>
    </row>
    <row r="618" spans="1:95" x14ac:dyDescent="0.35">
      <c r="A618" s="55">
        <v>617</v>
      </c>
      <c r="B618" t="s">
        <v>119</v>
      </c>
      <c r="C618" s="27" t="s">
        <v>890</v>
      </c>
      <c r="D618" s="3" t="s">
        <v>94</v>
      </c>
      <c r="E618" s="33" t="s">
        <v>89</v>
      </c>
      <c r="F618" s="4">
        <f>IFERROR(AVERAGEIF(Table1[[#This Row],[2019-Apr]:[2025-July]],"&lt;&gt;0"),0)</f>
        <v>1.9452400000000001</v>
      </c>
      <c r="G618" s="4">
        <f ca="1">IFERROR(AVERAGEIF(OFFSET(Table1[[#This Row],[Status]],0,COUNT(Table1[[#This Row],[2019-May]:[2025-July]]),1,-12),"&lt;&gt;0"),0)</f>
        <v>2.5299999999999998</v>
      </c>
      <c r="H618" s="55">
        <f>IFERROR(SMALL(Table1[[#This Row],[2019-Apr]:[2025-July]],COUNTIF(Table1[[#This Row],[2019-Apr]:[2025-July]],0)+1),0)</f>
        <v>1.06</v>
      </c>
      <c r="I618" s="55">
        <f>IFERROR(MAX(Table1[[#This Row],[2019-Apr]:[2025-July]]),0)</f>
        <v>4.8</v>
      </c>
      <c r="J618" s="4" cm="1">
        <f t="array" ref="J61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1.3386666666666667</v>
      </c>
      <c r="K618" s="4">
        <v>4.5</v>
      </c>
      <c r="L618" s="4">
        <f>IF(Table1[[#This Row],[Standard as per ISO]]&gt;=Table1[[#This Row],[Avg of best 6]],Table1[[#This Row],[Standard as per ISO]],Table1[[#This Row],[Avg of best 6]])</f>
        <v>4.5</v>
      </c>
      <c r="M618" s="4" cm="1">
        <f t="array" ref="M618">IFERROR(LOOKUP(2,1/(Table1[[#This Row],[2019-May]:[2025-July]]&lt;&gt;0),Table1[[#This Row],[2019-May]:[2025-July]]),0)</f>
        <v>1.7</v>
      </c>
      <c r="N618" s="4">
        <f>COUNTIF(Table1[[#This Row],[2019-Apr]:[2025-July]],"&gt;="&amp;Table1[[#This Row],[Target]])</f>
        <v>1</v>
      </c>
      <c r="O618" s="4">
        <f>IF(Table1[[#This Row],[Outliers 2Y]]=0,1,0)</f>
        <v>0</v>
      </c>
      <c r="P618" s="4">
        <f>IF(Table1[[#This Row],[Last value]]&gt;1.5*Table1[[#This Row],[Target]],1,0)</f>
        <v>0</v>
      </c>
      <c r="Q618" s="4">
        <f>IF(AND(1.5*Table1[[#This Row],[Target]]&gt;=Table1[[#This Row],[Last value]],Table1[[#This Row],[Last value]]&gt;Table1[[#This Row],[Target]]),1,0)</f>
        <v>0</v>
      </c>
      <c r="R618" s="4">
        <f>IF(Table1[[#This Row],[Target]]&gt;=Table1[[#This Row],[Last value]],1,0)</f>
        <v>1</v>
      </c>
      <c r="S618" s="4" t="str">
        <f t="shared" si="16"/>
        <v>Green</v>
      </c>
      <c r="T618">
        <v>0</v>
      </c>
      <c r="U618">
        <v>0</v>
      </c>
      <c r="V618">
        <v>2.27</v>
      </c>
      <c r="W618">
        <v>2.2400000000000002</v>
      </c>
      <c r="X618">
        <v>2.17</v>
      </c>
      <c r="Y618">
        <v>1.97</v>
      </c>
      <c r="Z618">
        <v>1.99</v>
      </c>
      <c r="AA618">
        <v>2.37</v>
      </c>
      <c r="AB618">
        <v>2.6</v>
      </c>
      <c r="AC618">
        <v>1.55</v>
      </c>
      <c r="AD618">
        <v>0</v>
      </c>
      <c r="AE618">
        <v>1.9</v>
      </c>
      <c r="AF618">
        <v>1.4</v>
      </c>
      <c r="AG618">
        <v>0</v>
      </c>
      <c r="AH618">
        <v>0</v>
      </c>
      <c r="AI618">
        <v>0</v>
      </c>
      <c r="AJ618">
        <v>0</v>
      </c>
      <c r="AK618">
        <v>1.06</v>
      </c>
      <c r="AL618">
        <v>0</v>
      </c>
      <c r="AM618">
        <v>1.75</v>
      </c>
      <c r="AN618">
        <v>1.2</v>
      </c>
      <c r="AO618">
        <v>0</v>
      </c>
      <c r="AP618">
        <v>0</v>
      </c>
      <c r="AQ618">
        <v>1.51</v>
      </c>
      <c r="AR618" s="8">
        <v>1.88</v>
      </c>
      <c r="AS618" s="8">
        <v>0</v>
      </c>
      <c r="AT618" s="8">
        <v>0</v>
      </c>
      <c r="AU618" s="3">
        <v>0</v>
      </c>
      <c r="AV618" s="3">
        <v>1.46</v>
      </c>
      <c r="AW618" s="3">
        <v>1.96</v>
      </c>
      <c r="AX618" s="3">
        <v>0</v>
      </c>
      <c r="AY618" s="3">
        <v>1.72</v>
      </c>
      <c r="AZ618" s="3">
        <v>0</v>
      </c>
      <c r="BA618" s="3">
        <v>0</v>
      </c>
      <c r="BB618" s="3">
        <v>0</v>
      </c>
      <c r="BC618" s="3">
        <v>0</v>
      </c>
      <c r="BD618">
        <v>0</v>
      </c>
      <c r="BE618" s="11">
        <v>0</v>
      </c>
      <c r="BF618" s="4">
        <v>0</v>
      </c>
      <c r="BG618" s="4">
        <v>4.8</v>
      </c>
      <c r="BH618" s="4">
        <v>0</v>
      </c>
      <c r="BI618" s="4">
        <v>1.847</v>
      </c>
      <c r="BJ618" s="14">
        <v>0</v>
      </c>
      <c r="BK618" s="14">
        <v>0</v>
      </c>
      <c r="BL618" s="4">
        <v>0</v>
      </c>
      <c r="BM618" s="17">
        <v>0</v>
      </c>
      <c r="BN618" s="4">
        <v>0</v>
      </c>
      <c r="BO618" s="4">
        <v>0</v>
      </c>
      <c r="BP618" s="4">
        <v>1.4019999999999999</v>
      </c>
      <c r="BQ618" s="4">
        <v>0</v>
      </c>
      <c r="BR618" s="4">
        <v>0</v>
      </c>
      <c r="BS618" s="4">
        <v>1.6020000000000001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>
        <v>0</v>
      </c>
      <c r="CA618">
        <v>0</v>
      </c>
      <c r="CB618">
        <v>0</v>
      </c>
      <c r="CC618">
        <v>1.75</v>
      </c>
      <c r="CD618">
        <v>0</v>
      </c>
      <c r="CE618" s="19">
        <v>0</v>
      </c>
      <c r="CF618" s="19">
        <v>0</v>
      </c>
      <c r="CG618" s="4">
        <v>2.5299999999999998</v>
      </c>
      <c r="CH618" s="4">
        <v>0</v>
      </c>
      <c r="CI618" s="4">
        <v>0</v>
      </c>
      <c r="CJ618" s="34">
        <v>0</v>
      </c>
      <c r="CK618" s="34">
        <v>0</v>
      </c>
      <c r="CL618" s="43">
        <v>0</v>
      </c>
      <c r="CM618" s="4">
        <v>0</v>
      </c>
      <c r="CN618" s="53">
        <v>0</v>
      </c>
      <c r="CO618" s="54">
        <v>0</v>
      </c>
      <c r="CP618" s="54">
        <v>0</v>
      </c>
      <c r="CQ618" s="4">
        <v>1.7</v>
      </c>
    </row>
    <row r="619" spans="1:95" x14ac:dyDescent="0.35">
      <c r="A619" s="55">
        <v>618</v>
      </c>
      <c r="B619" t="s">
        <v>119</v>
      </c>
      <c r="C619" s="27" t="s">
        <v>891</v>
      </c>
      <c r="D619" s="3" t="s">
        <v>94</v>
      </c>
      <c r="E619" s="33" t="s">
        <v>89</v>
      </c>
      <c r="F619" s="4">
        <f>IFERROR(AVERAGEIF(Table1[[#This Row],[2019-Apr]:[2025-July]],"&lt;&gt;0"),0)</f>
        <v>2.3591176470588238</v>
      </c>
      <c r="G619" s="4">
        <f ca="1">IFERROR(AVERAGEIF(OFFSET(Table1[[#This Row],[Status]],0,COUNT(Table1[[#This Row],[2019-May]:[2025-July]]),1,-12),"&lt;&gt;0"),0)</f>
        <v>2.8112499999999998</v>
      </c>
      <c r="H619" s="55">
        <f>IFERROR(SMALL(Table1[[#This Row],[2019-Apr]:[2025-July]],COUNTIF(Table1[[#This Row],[2019-Apr]:[2025-July]],0)+1),0)</f>
        <v>1.1000000000000001</v>
      </c>
      <c r="I619" s="55">
        <f>IFERROR(MAX(Table1[[#This Row],[2019-Apr]:[2025-July]]),0)</f>
        <v>4.0780000000000003</v>
      </c>
      <c r="J619" s="4" cm="1">
        <f t="array" ref="J61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1.47</v>
      </c>
      <c r="K619" s="4">
        <v>4.5</v>
      </c>
      <c r="L619" s="4">
        <f>IF(Table1[[#This Row],[Standard as per ISO]]&gt;=Table1[[#This Row],[Avg of best 6]],Table1[[#This Row],[Standard as per ISO]],Table1[[#This Row],[Avg of best 6]])</f>
        <v>4.5</v>
      </c>
      <c r="M619" s="4" cm="1">
        <f t="array" ref="M619">IFERROR(LOOKUP(2,1/(Table1[[#This Row],[2019-May]:[2025-July]]&lt;&gt;0),Table1[[#This Row],[2019-May]:[2025-July]]),0)</f>
        <v>3.09</v>
      </c>
      <c r="N619" s="4">
        <f>COUNTIF(Table1[[#This Row],[2019-Apr]:[2025-July]],"&gt;="&amp;Table1[[#This Row],[Target]])</f>
        <v>0</v>
      </c>
      <c r="O619" s="4">
        <f>IF(Table1[[#This Row],[Outliers 2Y]]=0,1,0)</f>
        <v>1</v>
      </c>
      <c r="P619" s="4">
        <f>IF(Table1[[#This Row],[Last value]]&gt;1.5*Table1[[#This Row],[Target]],1,0)</f>
        <v>0</v>
      </c>
      <c r="Q619" s="4">
        <f>IF(AND(1.5*Table1[[#This Row],[Target]]&gt;=Table1[[#This Row],[Last value]],Table1[[#This Row],[Last value]]&gt;Table1[[#This Row],[Target]]),1,0)</f>
        <v>0</v>
      </c>
      <c r="R619" s="4">
        <f>IF(Table1[[#This Row],[Target]]&gt;=Table1[[#This Row],[Last value]],1,0)</f>
        <v>1</v>
      </c>
      <c r="S619" s="4" t="str">
        <f t="shared" si="16"/>
        <v>Green</v>
      </c>
      <c r="T619">
        <v>0</v>
      </c>
      <c r="U619">
        <v>0</v>
      </c>
      <c r="V619">
        <v>1.91</v>
      </c>
      <c r="W619">
        <v>1.8</v>
      </c>
      <c r="X619">
        <v>2.29</v>
      </c>
      <c r="Y619">
        <v>0</v>
      </c>
      <c r="Z619">
        <v>1.2</v>
      </c>
      <c r="AA619">
        <v>0</v>
      </c>
      <c r="AB619">
        <v>0</v>
      </c>
      <c r="AC619">
        <v>0</v>
      </c>
      <c r="AD619">
        <v>1.82</v>
      </c>
      <c r="AE619">
        <v>0</v>
      </c>
      <c r="AF619">
        <v>1.9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2.08</v>
      </c>
      <c r="AM619">
        <v>0</v>
      </c>
      <c r="AN619">
        <v>1.59</v>
      </c>
      <c r="AO619">
        <v>0</v>
      </c>
      <c r="AP619">
        <v>3.14</v>
      </c>
      <c r="AQ619">
        <v>0</v>
      </c>
      <c r="AR619" s="8">
        <v>0</v>
      </c>
      <c r="AS619" s="8">
        <v>1.75</v>
      </c>
      <c r="AT619" s="8">
        <v>1.75</v>
      </c>
      <c r="AU619" s="3">
        <v>2</v>
      </c>
      <c r="AV619" s="3">
        <v>0</v>
      </c>
      <c r="AW619" s="3">
        <v>0</v>
      </c>
      <c r="AX619" s="3">
        <v>1.9</v>
      </c>
      <c r="AY619" s="3">
        <v>0</v>
      </c>
      <c r="AZ619" s="3">
        <v>2.1</v>
      </c>
      <c r="BA619" s="3">
        <v>1.1000000000000001</v>
      </c>
      <c r="BB619" s="3">
        <v>1.9</v>
      </c>
      <c r="BC619">
        <v>1.5</v>
      </c>
      <c r="BD619">
        <v>0</v>
      </c>
      <c r="BE619" s="11">
        <v>2.1549999999999998</v>
      </c>
      <c r="BF619" s="4">
        <v>1.68</v>
      </c>
      <c r="BG619" s="4">
        <v>2.5</v>
      </c>
      <c r="BH619" s="4">
        <v>0</v>
      </c>
      <c r="BI619" s="4">
        <v>0</v>
      </c>
      <c r="BJ619" s="13">
        <v>0</v>
      </c>
      <c r="BK619" s="13">
        <v>4.0780000000000003</v>
      </c>
      <c r="BL619" s="4">
        <v>2.883</v>
      </c>
      <c r="BM619" s="16">
        <v>0</v>
      </c>
      <c r="BN619" s="4">
        <v>0</v>
      </c>
      <c r="BO619" s="4">
        <v>0</v>
      </c>
      <c r="BP619" s="4">
        <v>2.5529999999999999</v>
      </c>
      <c r="BQ619" s="4">
        <v>0</v>
      </c>
      <c r="BR619" s="4">
        <v>0</v>
      </c>
      <c r="BS619" s="4">
        <v>3.6429999999999998</v>
      </c>
      <c r="BT619" s="4">
        <v>0</v>
      </c>
      <c r="BU619" s="4">
        <v>0</v>
      </c>
      <c r="BV619" s="4">
        <v>0</v>
      </c>
      <c r="BW619" s="4">
        <v>2.6080000000000001</v>
      </c>
      <c r="BX619" s="4">
        <v>0</v>
      </c>
      <c r="BY619" s="4">
        <v>0</v>
      </c>
      <c r="BZ619">
        <v>0</v>
      </c>
      <c r="CA619">
        <v>0</v>
      </c>
      <c r="CB619">
        <v>0</v>
      </c>
      <c r="CC619">
        <v>3.89</v>
      </c>
      <c r="CD619">
        <v>0</v>
      </c>
      <c r="CE619" s="19">
        <v>0</v>
      </c>
      <c r="CF619" s="19">
        <v>3</v>
      </c>
      <c r="CG619" s="4">
        <v>0</v>
      </c>
      <c r="CH619" s="4">
        <v>0</v>
      </c>
      <c r="CI619" s="4">
        <v>0</v>
      </c>
      <c r="CJ619" s="34">
        <v>2.5</v>
      </c>
      <c r="CK619" s="34">
        <v>2.8</v>
      </c>
      <c r="CL619" s="43">
        <v>2.4</v>
      </c>
      <c r="CM619" s="4">
        <v>2</v>
      </c>
      <c r="CN619" s="53">
        <v>3.3</v>
      </c>
      <c r="CO619" s="54">
        <v>3.4</v>
      </c>
      <c r="CP619" s="54">
        <v>3.09</v>
      </c>
      <c r="CQ619" s="4">
        <v>0</v>
      </c>
    </row>
    <row r="620" spans="1:95" x14ac:dyDescent="0.35">
      <c r="A620" s="55">
        <v>619</v>
      </c>
      <c r="B620" t="s">
        <v>119</v>
      </c>
      <c r="C620" s="27" t="s">
        <v>892</v>
      </c>
      <c r="D620" s="3" t="s">
        <v>94</v>
      </c>
      <c r="E620" s="33" t="s">
        <v>89</v>
      </c>
      <c r="F620" s="4">
        <f>IFERROR(AVERAGEIF(Table1[[#This Row],[2019-Apr]:[2025-July]],"&lt;&gt;0"),0)</f>
        <v>5.0074000000000005</v>
      </c>
      <c r="G620" s="4">
        <f ca="1">IFERROR(AVERAGEIF(OFFSET(Table1[[#This Row],[Status]],0,COUNT(Table1[[#This Row],[2019-May]:[2025-July]]),1,-12),"&lt;&gt;0"),0)</f>
        <v>6.9328571428571424</v>
      </c>
      <c r="H620" s="55">
        <f>IFERROR(SMALL(Table1[[#This Row],[2019-Apr]:[2025-July]],COUNTIF(Table1[[#This Row],[2019-Apr]:[2025-July]],0)+1),0)</f>
        <v>2.0499999999999998</v>
      </c>
      <c r="I620" s="55">
        <f>IFERROR(MAX(Table1[[#This Row],[2019-Apr]:[2025-July]]),0)</f>
        <v>13.46</v>
      </c>
      <c r="J620" s="4" cm="1">
        <f t="array" ref="J62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2.3866666666666667</v>
      </c>
      <c r="K620" s="4">
        <v>4.5</v>
      </c>
      <c r="L620" s="4">
        <f>IF(Table1[[#This Row],[Standard as per ISO]]&gt;=Table1[[#This Row],[Avg of best 6]],Table1[[#This Row],[Standard as per ISO]],Table1[[#This Row],[Avg of best 6]])</f>
        <v>4.5</v>
      </c>
      <c r="M620" s="4" cm="1">
        <f t="array" ref="M620">IFERROR(LOOKUP(2,1/(Table1[[#This Row],[2019-May]:[2025-July]]&lt;&gt;0),Table1[[#This Row],[2019-May]:[2025-July]]),0)</f>
        <v>13.46</v>
      </c>
      <c r="N620" s="4">
        <f>COUNTIF(Table1[[#This Row],[2019-Apr]:[2025-July]],"&gt;="&amp;Table1[[#This Row],[Target]])</f>
        <v>17</v>
      </c>
      <c r="O620" s="4">
        <f>IF(Table1[[#This Row],[Outliers 2Y]]=0,1,0)</f>
        <v>0</v>
      </c>
      <c r="P620" s="4">
        <f>IF(Table1[[#This Row],[Last value]]&gt;1.5*Table1[[#This Row],[Target]],1,0)</f>
        <v>1</v>
      </c>
      <c r="Q620" s="4">
        <f>IF(AND(1.5*Table1[[#This Row],[Target]]&gt;=Table1[[#This Row],[Last value]],Table1[[#This Row],[Last value]]&gt;Table1[[#This Row],[Target]]),1,0)</f>
        <v>0</v>
      </c>
      <c r="R620" s="4">
        <f>IF(Table1[[#This Row],[Target]]&gt;=Table1[[#This Row],[Last value]],1,0)</f>
        <v>0</v>
      </c>
      <c r="S620" s="4" t="str">
        <f t="shared" si="16"/>
        <v>Red</v>
      </c>
      <c r="T620">
        <v>0</v>
      </c>
      <c r="U620">
        <v>0</v>
      </c>
      <c r="V620">
        <v>2.0499999999999998</v>
      </c>
      <c r="W620">
        <v>3.06</v>
      </c>
      <c r="X620">
        <v>2.67</v>
      </c>
      <c r="Y620">
        <v>0</v>
      </c>
      <c r="Z620">
        <v>2.73</v>
      </c>
      <c r="AA620">
        <v>2.74</v>
      </c>
      <c r="AB620">
        <v>0</v>
      </c>
      <c r="AC620">
        <v>2.4</v>
      </c>
      <c r="AD620">
        <v>2.38</v>
      </c>
      <c r="AE620">
        <v>4.3</v>
      </c>
      <c r="AF620">
        <v>4</v>
      </c>
      <c r="AG620">
        <v>4.4000000000000004</v>
      </c>
      <c r="AH620">
        <v>0</v>
      </c>
      <c r="AI620">
        <v>7.13</v>
      </c>
      <c r="AJ620">
        <v>5.4</v>
      </c>
      <c r="AK620">
        <v>4.0599999999999996</v>
      </c>
      <c r="AL620">
        <v>3.41</v>
      </c>
      <c r="AM620">
        <v>2.5</v>
      </c>
      <c r="AN620">
        <v>2.5499999999999998</v>
      </c>
      <c r="AO620">
        <v>0</v>
      </c>
      <c r="AP620">
        <v>4.2</v>
      </c>
      <c r="AQ620">
        <v>7.51</v>
      </c>
      <c r="AR620" s="8">
        <v>0</v>
      </c>
      <c r="AS620" s="8">
        <v>5.88</v>
      </c>
      <c r="AT620" s="8">
        <v>0</v>
      </c>
      <c r="AU620" s="3">
        <v>0</v>
      </c>
      <c r="AV620" s="3">
        <v>5.09</v>
      </c>
      <c r="AW620" s="3">
        <v>5.91</v>
      </c>
      <c r="AX620" s="3">
        <v>0</v>
      </c>
      <c r="AY620" s="3">
        <v>0</v>
      </c>
      <c r="AZ620" s="3">
        <v>0</v>
      </c>
      <c r="BA620" s="3">
        <v>0</v>
      </c>
      <c r="BB620" s="3">
        <v>2.7</v>
      </c>
      <c r="BC620">
        <v>2.9</v>
      </c>
      <c r="BD620">
        <v>0</v>
      </c>
      <c r="BE620" s="11">
        <v>4.16</v>
      </c>
      <c r="BF620" s="4">
        <v>4.2679999999999998</v>
      </c>
      <c r="BG620" s="4">
        <v>0</v>
      </c>
      <c r="BH620" s="4">
        <v>12.59</v>
      </c>
      <c r="BI620" s="4">
        <v>0</v>
      </c>
      <c r="BJ620" s="14">
        <v>7.8929999999999998</v>
      </c>
      <c r="BK620" s="14">
        <v>0</v>
      </c>
      <c r="BL620" s="4">
        <v>0</v>
      </c>
      <c r="BM620" s="17">
        <v>0</v>
      </c>
      <c r="BN620" s="4">
        <v>0</v>
      </c>
      <c r="BO620" s="4">
        <v>0</v>
      </c>
      <c r="BP620" s="4">
        <v>6.1859999999999999</v>
      </c>
      <c r="BQ620" s="4">
        <v>0</v>
      </c>
      <c r="BR620" s="4">
        <v>2.44</v>
      </c>
      <c r="BS620" s="4">
        <v>3.2349999999999999</v>
      </c>
      <c r="BT620" s="4">
        <v>0</v>
      </c>
      <c r="BU620" s="4">
        <v>0</v>
      </c>
      <c r="BV620" s="4">
        <v>0</v>
      </c>
      <c r="BW620" s="4">
        <v>3.2440000000000002</v>
      </c>
      <c r="BX620" s="4">
        <v>0</v>
      </c>
      <c r="BY620" s="4">
        <v>0</v>
      </c>
      <c r="BZ620">
        <v>0</v>
      </c>
      <c r="CA620">
        <v>0</v>
      </c>
      <c r="CB620">
        <v>0</v>
      </c>
      <c r="CC620">
        <v>4.32</v>
      </c>
      <c r="CD620">
        <v>0</v>
      </c>
      <c r="CE620" s="19">
        <v>0</v>
      </c>
      <c r="CF620" s="19">
        <v>0</v>
      </c>
      <c r="CG620" s="4">
        <v>4.5</v>
      </c>
      <c r="CH620" s="4">
        <v>0</v>
      </c>
      <c r="CI620" s="4">
        <v>0</v>
      </c>
      <c r="CJ620" s="34">
        <v>8.1</v>
      </c>
      <c r="CK620" s="34">
        <v>0</v>
      </c>
      <c r="CL620" s="43">
        <v>7.3</v>
      </c>
      <c r="CM620" s="4">
        <v>6.2</v>
      </c>
      <c r="CN620" s="53">
        <v>5.5</v>
      </c>
      <c r="CO620" s="54">
        <v>7</v>
      </c>
      <c r="CP620" s="54">
        <v>9.93</v>
      </c>
      <c r="CQ620" s="4">
        <v>13.46</v>
      </c>
    </row>
    <row r="621" spans="1:95" x14ac:dyDescent="0.35">
      <c r="A621" s="55">
        <v>620</v>
      </c>
      <c r="B621" t="s">
        <v>119</v>
      </c>
      <c r="C621" s="27" t="s">
        <v>893</v>
      </c>
      <c r="D621" s="3" t="s">
        <v>94</v>
      </c>
      <c r="E621" s="33" t="s">
        <v>89</v>
      </c>
      <c r="F621" s="4">
        <f>IFERROR(AVERAGEIF(Table1[[#This Row],[2019-Apr]:[2025-July]],"&lt;&gt;0"),0)</f>
        <v>4.2160789473684206</v>
      </c>
      <c r="G621" s="4">
        <f ca="1">IFERROR(AVERAGEIF(OFFSET(Table1[[#This Row],[Status]],0,COUNT(Table1[[#This Row],[2019-May]:[2025-July]]),1,-12),"&lt;&gt;0"),0)</f>
        <v>5.4114285714285719</v>
      </c>
      <c r="H621" s="55">
        <f>IFERROR(SMALL(Table1[[#This Row],[2019-Apr]:[2025-July]],COUNTIF(Table1[[#This Row],[2019-Apr]:[2025-July]],0)+1),0)</f>
        <v>1.9410000000000001</v>
      </c>
      <c r="I621" s="55">
        <f>IFERROR(MAX(Table1[[#This Row],[2019-Apr]:[2025-July]]),0)</f>
        <v>8.9</v>
      </c>
      <c r="J621" s="4" cm="1">
        <f t="array" ref="J62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2.1950000000000003</v>
      </c>
      <c r="K621" s="4">
        <v>4.5</v>
      </c>
      <c r="L621" s="4">
        <f>IF(Table1[[#This Row],[Standard as per ISO]]&gt;=Table1[[#This Row],[Avg of best 6]],Table1[[#This Row],[Standard as per ISO]],Table1[[#This Row],[Avg of best 6]])</f>
        <v>4.5</v>
      </c>
      <c r="M621" s="4" cm="1">
        <f t="array" ref="M621">IFERROR(LOOKUP(2,1/(Table1[[#This Row],[2019-May]:[2025-July]]&lt;&gt;0),Table1[[#This Row],[2019-May]:[2025-July]]),0)</f>
        <v>5.03</v>
      </c>
      <c r="N621" s="4">
        <f>COUNTIF(Table1[[#This Row],[2019-Apr]:[2025-July]],"&gt;="&amp;Table1[[#This Row],[Target]])</f>
        <v>15</v>
      </c>
      <c r="O621" s="4">
        <f>IF(Table1[[#This Row],[Outliers 2Y]]=0,1,0)</f>
        <v>0</v>
      </c>
      <c r="P621" s="4">
        <f>IF(Table1[[#This Row],[Last value]]&gt;1.5*Table1[[#This Row],[Target]],1,0)</f>
        <v>0</v>
      </c>
      <c r="Q621" s="4">
        <f>IF(AND(1.5*Table1[[#This Row],[Target]]&gt;=Table1[[#This Row],[Last value]],Table1[[#This Row],[Last value]]&gt;Table1[[#This Row],[Target]]),1,0)</f>
        <v>1</v>
      </c>
      <c r="R621" s="4">
        <f>IF(Table1[[#This Row],[Target]]&gt;=Table1[[#This Row],[Last value]],1,0)</f>
        <v>0</v>
      </c>
      <c r="S621" s="4" t="str">
        <f t="shared" si="16"/>
        <v>Yellow</v>
      </c>
      <c r="T621">
        <v>0</v>
      </c>
      <c r="U621">
        <v>0</v>
      </c>
      <c r="V621">
        <v>0</v>
      </c>
      <c r="W621">
        <v>3</v>
      </c>
      <c r="X621">
        <v>0</v>
      </c>
      <c r="Y621">
        <v>5.5</v>
      </c>
      <c r="Z621">
        <v>0</v>
      </c>
      <c r="AA621">
        <v>5.31</v>
      </c>
      <c r="AB621">
        <v>5.7</v>
      </c>
      <c r="AC621">
        <v>5.78</v>
      </c>
      <c r="AD621">
        <v>0</v>
      </c>
      <c r="AE621">
        <v>3.8</v>
      </c>
      <c r="AF621">
        <v>4.2</v>
      </c>
      <c r="AG621">
        <v>0</v>
      </c>
      <c r="AH621">
        <v>4.5</v>
      </c>
      <c r="AI621">
        <v>0</v>
      </c>
      <c r="AJ621">
        <v>3</v>
      </c>
      <c r="AK621">
        <v>0</v>
      </c>
      <c r="AL621">
        <v>0</v>
      </c>
      <c r="AM621">
        <v>5.71</v>
      </c>
      <c r="AN621">
        <v>0</v>
      </c>
      <c r="AO621">
        <v>4.95</v>
      </c>
      <c r="AP621">
        <v>3.3</v>
      </c>
      <c r="AQ621">
        <v>0</v>
      </c>
      <c r="AR621" s="8">
        <v>3.3</v>
      </c>
      <c r="AS621" s="8">
        <v>0</v>
      </c>
      <c r="AT621" s="8">
        <v>2.48</v>
      </c>
      <c r="AU621" s="3">
        <v>3.94</v>
      </c>
      <c r="AV621" s="3">
        <v>2.99</v>
      </c>
      <c r="AW621" s="3">
        <v>0</v>
      </c>
      <c r="AX621" s="3">
        <v>3.32</v>
      </c>
      <c r="AY621" s="3">
        <v>3.49</v>
      </c>
      <c r="AZ621" s="3">
        <v>3.1</v>
      </c>
      <c r="BA621" s="3">
        <v>4.7</v>
      </c>
      <c r="BB621" s="3">
        <v>0</v>
      </c>
      <c r="BC621" s="3">
        <v>0</v>
      </c>
      <c r="BD621">
        <v>0</v>
      </c>
      <c r="BE621" s="11">
        <v>3.6309999999999998</v>
      </c>
      <c r="BF621" s="4">
        <v>3.298</v>
      </c>
      <c r="BG621" s="4">
        <v>4.0999999999999996</v>
      </c>
      <c r="BH621" s="4">
        <v>6.8529999999999998</v>
      </c>
      <c r="BI621" s="4">
        <v>2.4119999999999999</v>
      </c>
      <c r="BJ621" s="13">
        <v>0</v>
      </c>
      <c r="BK621" s="13">
        <v>2.137</v>
      </c>
      <c r="BL621" s="4">
        <v>1.9410000000000001</v>
      </c>
      <c r="BM621" s="16">
        <v>0</v>
      </c>
      <c r="BN621" s="4">
        <v>0</v>
      </c>
      <c r="BO621" s="4">
        <v>0</v>
      </c>
      <c r="BP621" s="4">
        <v>2.169</v>
      </c>
      <c r="BQ621" s="4">
        <v>0</v>
      </c>
      <c r="BR621" s="4">
        <v>8.7789999999999999</v>
      </c>
      <c r="BS621" s="4">
        <v>0</v>
      </c>
      <c r="BT621" s="4">
        <v>0</v>
      </c>
      <c r="BU621" s="4">
        <v>0</v>
      </c>
      <c r="BV621" s="4">
        <v>0</v>
      </c>
      <c r="BW621" s="4">
        <v>2.0310000000000001</v>
      </c>
      <c r="BX621" s="4">
        <v>0</v>
      </c>
      <c r="BY621" s="4">
        <v>0</v>
      </c>
      <c r="BZ621">
        <v>0</v>
      </c>
      <c r="CA621">
        <v>0</v>
      </c>
      <c r="CB621">
        <v>0</v>
      </c>
      <c r="CC621">
        <v>2.91</v>
      </c>
      <c r="CD621">
        <v>0</v>
      </c>
      <c r="CE621" s="19">
        <v>0</v>
      </c>
      <c r="CF621" s="19">
        <v>4.9000000000000004</v>
      </c>
      <c r="CG621" s="4">
        <v>5.05</v>
      </c>
      <c r="CH621" s="4">
        <v>0</v>
      </c>
      <c r="CI621" s="4">
        <v>0</v>
      </c>
      <c r="CJ621" s="34">
        <v>4</v>
      </c>
      <c r="CK621" s="34">
        <v>5.8</v>
      </c>
      <c r="CL621" s="43">
        <v>8.9</v>
      </c>
      <c r="CM621" s="4">
        <v>0</v>
      </c>
      <c r="CN621" s="53">
        <v>4.2</v>
      </c>
      <c r="CO621" s="54">
        <v>0</v>
      </c>
      <c r="CP621" s="54">
        <v>5.03</v>
      </c>
      <c r="CQ621" s="4">
        <v>0</v>
      </c>
    </row>
    <row r="622" spans="1:95" x14ac:dyDescent="0.35">
      <c r="A622" s="55">
        <v>621</v>
      </c>
      <c r="B622" t="s">
        <v>119</v>
      </c>
      <c r="C622" s="27" t="s">
        <v>894</v>
      </c>
      <c r="D622" s="3" t="s">
        <v>94</v>
      </c>
      <c r="E622" s="33" t="s">
        <v>89</v>
      </c>
      <c r="F622" s="4">
        <f>IFERROR(AVERAGEIF(Table1[[#This Row],[2019-Apr]:[2025-July]],"&lt;&gt;0"),0)</f>
        <v>4.2938095238095242</v>
      </c>
      <c r="G622" s="4">
        <f ca="1">IFERROR(AVERAGEIF(OFFSET(Table1[[#This Row],[Status]],0,COUNT(Table1[[#This Row],[2019-May]:[2025-July]]),1,-12),"&lt;&gt;0"),0)</f>
        <v>7.403999999999999</v>
      </c>
      <c r="H622" s="55">
        <f>IFERROR(SMALL(Table1[[#This Row],[2019-Apr]:[2025-July]],COUNTIF(Table1[[#This Row],[2019-Apr]:[2025-July]],0)+1),0)</f>
        <v>2.6</v>
      </c>
      <c r="I622" s="55">
        <f>IFERROR(MAX(Table1[[#This Row],[2019-Apr]:[2025-July]]),0)</f>
        <v>9.7200000000000006</v>
      </c>
      <c r="J622" s="4" cm="1">
        <f t="array" ref="J62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2.8733333333333335</v>
      </c>
      <c r="K622" s="4">
        <v>4.5</v>
      </c>
      <c r="L622" s="4">
        <f>IF(Table1[[#This Row],[Standard as per ISO]]&gt;=Table1[[#This Row],[Avg of best 6]],Table1[[#This Row],[Standard as per ISO]],Table1[[#This Row],[Avg of best 6]])</f>
        <v>4.5</v>
      </c>
      <c r="M622" s="4" cm="1">
        <f t="array" ref="M622">IFERROR(LOOKUP(2,1/(Table1[[#This Row],[2019-May]:[2025-July]]&lt;&gt;0),Table1[[#This Row],[2019-May]:[2025-July]]),0)</f>
        <v>3.59</v>
      </c>
      <c r="N622" s="4">
        <f>COUNTIF(Table1[[#This Row],[2019-Apr]:[2025-July]],"&gt;="&amp;Table1[[#This Row],[Target]])</f>
        <v>13</v>
      </c>
      <c r="O622" s="4">
        <f>IF(Table1[[#This Row],[Outliers 2Y]]=0,1,0)</f>
        <v>0</v>
      </c>
      <c r="P622" s="4">
        <f>IF(Table1[[#This Row],[Last value]]&gt;1.5*Table1[[#This Row],[Target]],1,0)</f>
        <v>0</v>
      </c>
      <c r="Q622" s="4">
        <f>IF(AND(1.5*Table1[[#This Row],[Target]]&gt;=Table1[[#This Row],[Last value]],Table1[[#This Row],[Last value]]&gt;Table1[[#This Row],[Target]]),1,0)</f>
        <v>0</v>
      </c>
      <c r="R622" s="4">
        <f>IF(Table1[[#This Row],[Target]]&gt;=Table1[[#This Row],[Last value]],1,0)</f>
        <v>1</v>
      </c>
      <c r="S622" s="4" t="str">
        <f t="shared" si="16"/>
        <v>Green</v>
      </c>
      <c r="T622">
        <v>3.52</v>
      </c>
      <c r="U622">
        <v>2.94</v>
      </c>
      <c r="V622">
        <v>2.6</v>
      </c>
      <c r="W622">
        <v>3.83</v>
      </c>
      <c r="X622">
        <v>3.03</v>
      </c>
      <c r="Y622">
        <v>3.53</v>
      </c>
      <c r="Z622">
        <v>3</v>
      </c>
      <c r="AA622">
        <v>0</v>
      </c>
      <c r="AB622">
        <v>3.7</v>
      </c>
      <c r="AC622">
        <v>3.2</v>
      </c>
      <c r="AD622">
        <v>3.57</v>
      </c>
      <c r="AE622">
        <v>0</v>
      </c>
      <c r="AF622">
        <v>0</v>
      </c>
      <c r="AG622">
        <v>3</v>
      </c>
      <c r="AH622">
        <v>2.8</v>
      </c>
      <c r="AI622">
        <v>4.78</v>
      </c>
      <c r="AJ622">
        <v>0</v>
      </c>
      <c r="AK622">
        <v>3.09</v>
      </c>
      <c r="AL622">
        <v>3.45</v>
      </c>
      <c r="AM622">
        <v>3.11</v>
      </c>
      <c r="AN622">
        <v>4.0599999999999996</v>
      </c>
      <c r="AO622">
        <v>0</v>
      </c>
      <c r="AP622">
        <v>0</v>
      </c>
      <c r="AQ622">
        <v>3.6</v>
      </c>
      <c r="AR622" s="8">
        <v>3.47</v>
      </c>
      <c r="AS622" s="8">
        <v>3.23</v>
      </c>
      <c r="AT622" s="8">
        <v>0</v>
      </c>
      <c r="AU622" s="3">
        <v>5.3</v>
      </c>
      <c r="AV622" s="3">
        <v>0</v>
      </c>
      <c r="AW622" s="3">
        <v>4.83</v>
      </c>
      <c r="AX622" s="3">
        <v>3.7</v>
      </c>
      <c r="AY622" s="3">
        <v>4.72</v>
      </c>
      <c r="AZ622" s="3">
        <v>4.0999999999999996</v>
      </c>
      <c r="BA622" s="3">
        <v>2.9</v>
      </c>
      <c r="BB622" s="3">
        <v>4.3</v>
      </c>
      <c r="BC622">
        <v>5.6</v>
      </c>
      <c r="BD622">
        <v>0</v>
      </c>
      <c r="BE622" s="11">
        <v>0</v>
      </c>
      <c r="BF622" s="4">
        <v>0</v>
      </c>
      <c r="BG622" s="4">
        <v>0</v>
      </c>
      <c r="BH622" s="4">
        <v>3.4590000000000001</v>
      </c>
      <c r="BI622" s="4">
        <v>3.9260000000000002</v>
      </c>
      <c r="BJ622" s="14">
        <v>0</v>
      </c>
      <c r="BK622" s="14">
        <v>4.5129999999999999</v>
      </c>
      <c r="BL622" s="4">
        <v>5.7140000000000004</v>
      </c>
      <c r="BM622" s="17">
        <v>0</v>
      </c>
      <c r="BN622" s="4">
        <v>0</v>
      </c>
      <c r="BO622" s="4">
        <v>5.2530000000000001</v>
      </c>
      <c r="BP622" s="4">
        <v>4.1550000000000002</v>
      </c>
      <c r="BQ622" s="4">
        <v>0</v>
      </c>
      <c r="BR622" s="4">
        <v>0</v>
      </c>
      <c r="BS622" s="4">
        <v>4.3600000000000003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>
        <v>0</v>
      </c>
      <c r="CA622">
        <v>0</v>
      </c>
      <c r="CB622">
        <v>0</v>
      </c>
      <c r="CC622">
        <v>5.39</v>
      </c>
      <c r="CD622">
        <v>0</v>
      </c>
      <c r="CE622" s="19">
        <v>0</v>
      </c>
      <c r="CF622" s="19">
        <v>7.4</v>
      </c>
      <c r="CG622" s="4">
        <v>9.7200000000000006</v>
      </c>
      <c r="CH622" s="4">
        <v>0</v>
      </c>
      <c r="CI622" s="4">
        <v>0</v>
      </c>
      <c r="CJ622" s="34">
        <v>0</v>
      </c>
      <c r="CK622" s="34">
        <v>4</v>
      </c>
      <c r="CL622" s="43">
        <v>0</v>
      </c>
      <c r="CM622" s="4">
        <v>6.6</v>
      </c>
      <c r="CN622" s="53">
        <v>0</v>
      </c>
      <c r="CO622" s="54">
        <v>9.3000000000000007</v>
      </c>
      <c r="CP622" s="54">
        <v>0</v>
      </c>
      <c r="CQ622" s="4">
        <v>3.59</v>
      </c>
    </row>
    <row r="623" spans="1:95" x14ac:dyDescent="0.35">
      <c r="A623" s="55">
        <v>622</v>
      </c>
      <c r="B623" t="s">
        <v>119</v>
      </c>
      <c r="C623" s="27" t="s">
        <v>895</v>
      </c>
      <c r="D623" s="3" t="s">
        <v>94</v>
      </c>
      <c r="E623" s="33" t="s">
        <v>89</v>
      </c>
      <c r="F623" s="4">
        <f>IFERROR(AVERAGEIF(Table1[[#This Row],[2019-Apr]:[2025-July]],"&lt;&gt;0"),0)</f>
        <v>2.0163823529411764</v>
      </c>
      <c r="G623" s="4">
        <f ca="1">IFERROR(AVERAGEIF(OFFSET(Table1[[#This Row],[Status]],0,COUNT(Table1[[#This Row],[2019-May]:[2025-July]]),1,-12),"&lt;&gt;0"),0)</f>
        <v>2.1719999999999997</v>
      </c>
      <c r="H623" s="55">
        <f>IFERROR(SMALL(Table1[[#This Row],[2019-Apr]:[2025-July]],COUNTIF(Table1[[#This Row],[2019-Apr]:[2025-July]],0)+1),0)</f>
        <v>1.3</v>
      </c>
      <c r="I623" s="55">
        <f>IFERROR(MAX(Table1[[#This Row],[2019-Apr]:[2025-July]]),0)</f>
        <v>9.9</v>
      </c>
      <c r="J623" s="4" cm="1">
        <f t="array" ref="J62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1.4116666666666664</v>
      </c>
      <c r="K623" s="4">
        <v>4.5</v>
      </c>
      <c r="L623" s="4">
        <f>IF(Table1[[#This Row],[Standard as per ISO]]&gt;=Table1[[#This Row],[Avg of best 6]],Table1[[#This Row],[Standard as per ISO]],Table1[[#This Row],[Avg of best 6]])</f>
        <v>4.5</v>
      </c>
      <c r="M623" s="4" cm="1">
        <f t="array" ref="M623">IFERROR(LOOKUP(2,1/(Table1[[#This Row],[2019-May]:[2025-July]]&lt;&gt;0),Table1[[#This Row],[2019-May]:[2025-July]]),0)</f>
        <v>2.35</v>
      </c>
      <c r="N623" s="4">
        <f>COUNTIF(Table1[[#This Row],[2019-Apr]:[2025-July]],"&gt;="&amp;Table1[[#This Row],[Target]])</f>
        <v>1</v>
      </c>
      <c r="O623" s="4">
        <f>IF(Table1[[#This Row],[Outliers 2Y]]=0,1,0)</f>
        <v>0</v>
      </c>
      <c r="P623" s="4">
        <f>IF(Table1[[#This Row],[Last value]]&gt;1.5*Table1[[#This Row],[Target]],1,0)</f>
        <v>0</v>
      </c>
      <c r="Q623" s="4">
        <f>IF(AND(1.5*Table1[[#This Row],[Target]]&gt;=Table1[[#This Row],[Last value]],Table1[[#This Row],[Last value]]&gt;Table1[[#This Row],[Target]]),1,0)</f>
        <v>0</v>
      </c>
      <c r="R623" s="4">
        <f>IF(Table1[[#This Row],[Target]]&gt;=Table1[[#This Row],[Last value]],1,0)</f>
        <v>1</v>
      </c>
      <c r="S623" s="4" t="str">
        <f t="shared" si="16"/>
        <v>Green</v>
      </c>
      <c r="T623">
        <v>0</v>
      </c>
      <c r="U623">
        <v>0</v>
      </c>
      <c r="V623">
        <v>1.4</v>
      </c>
      <c r="W623">
        <v>1.3</v>
      </c>
      <c r="X623">
        <v>2.0499999999999998</v>
      </c>
      <c r="Y623">
        <v>0</v>
      </c>
      <c r="Z623">
        <v>1.51</v>
      </c>
      <c r="AA623">
        <v>0</v>
      </c>
      <c r="AB623">
        <v>1.8</v>
      </c>
      <c r="AC623">
        <v>1.6</v>
      </c>
      <c r="AD623">
        <v>1.47</v>
      </c>
      <c r="AE623">
        <v>1.4</v>
      </c>
      <c r="AF623">
        <v>1.7</v>
      </c>
      <c r="AG623">
        <v>1.4</v>
      </c>
      <c r="AH623">
        <v>0</v>
      </c>
      <c r="AI623">
        <v>0</v>
      </c>
      <c r="AJ623">
        <v>1.5</v>
      </c>
      <c r="AK623">
        <v>1.56</v>
      </c>
      <c r="AL623">
        <v>1.66</v>
      </c>
      <c r="AM623">
        <v>1.7</v>
      </c>
      <c r="AN623">
        <v>0</v>
      </c>
      <c r="AO623">
        <v>0</v>
      </c>
      <c r="AP623">
        <v>0</v>
      </c>
      <c r="AQ623">
        <v>2.12</v>
      </c>
      <c r="AR623" s="8">
        <v>2.0299999999999998</v>
      </c>
      <c r="AS623" s="8">
        <v>0</v>
      </c>
      <c r="AT623" s="8">
        <v>1.98</v>
      </c>
      <c r="AU623" s="3">
        <v>1.69</v>
      </c>
      <c r="AV623" s="3">
        <v>2.15</v>
      </c>
      <c r="AW623" s="3">
        <v>2.57</v>
      </c>
      <c r="AX623" s="3">
        <v>0</v>
      </c>
      <c r="AY623" s="3">
        <v>0</v>
      </c>
      <c r="AZ623" s="3">
        <v>1.9</v>
      </c>
      <c r="BA623" s="3">
        <v>1.5</v>
      </c>
      <c r="BB623" s="3">
        <v>1.6</v>
      </c>
      <c r="BC623">
        <v>1.5</v>
      </c>
      <c r="BD623">
        <v>0</v>
      </c>
      <c r="BE623" s="11">
        <v>0</v>
      </c>
      <c r="BF623" s="4">
        <v>0</v>
      </c>
      <c r="BG623" s="4">
        <v>9.9</v>
      </c>
      <c r="BH623" s="4">
        <v>0</v>
      </c>
      <c r="BI623" s="4">
        <v>0</v>
      </c>
      <c r="BJ623" s="13">
        <v>0</v>
      </c>
      <c r="BK623" s="13">
        <v>0</v>
      </c>
      <c r="BL623" s="4">
        <v>1.8029999999999999</v>
      </c>
      <c r="BM623" s="16">
        <v>0</v>
      </c>
      <c r="BN623" s="4">
        <v>0</v>
      </c>
      <c r="BO623" s="4">
        <v>0</v>
      </c>
      <c r="BP623" s="4">
        <v>1.579</v>
      </c>
      <c r="BQ623" s="4">
        <v>0</v>
      </c>
      <c r="BR623" s="4">
        <v>0</v>
      </c>
      <c r="BS623" s="4">
        <v>1.7450000000000001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>
        <v>0</v>
      </c>
      <c r="CA623">
        <v>0</v>
      </c>
      <c r="CB623">
        <v>0</v>
      </c>
      <c r="CC623">
        <v>1.58</v>
      </c>
      <c r="CD623">
        <v>0</v>
      </c>
      <c r="CE623" s="19">
        <v>0</v>
      </c>
      <c r="CF623" s="19">
        <v>0</v>
      </c>
      <c r="CG623" s="4">
        <v>1.81</v>
      </c>
      <c r="CH623" s="4">
        <v>0</v>
      </c>
      <c r="CI623" s="4">
        <v>0</v>
      </c>
      <c r="CJ623" s="34">
        <v>1.7</v>
      </c>
      <c r="CK623" s="34">
        <v>2.7</v>
      </c>
      <c r="CL623" s="43">
        <v>0</v>
      </c>
      <c r="CM623" s="4">
        <v>0</v>
      </c>
      <c r="CN623" s="53">
        <v>0</v>
      </c>
      <c r="CO623" s="54">
        <v>2.2999999999999998</v>
      </c>
      <c r="CP623" s="54">
        <v>2.35</v>
      </c>
      <c r="CQ623" s="4">
        <v>0</v>
      </c>
    </row>
    <row r="624" spans="1:95" x14ac:dyDescent="0.35">
      <c r="A624" s="55">
        <v>623</v>
      </c>
      <c r="B624" t="s">
        <v>119</v>
      </c>
      <c r="C624" s="27" t="s">
        <v>896</v>
      </c>
      <c r="D624" s="3" t="s">
        <v>94</v>
      </c>
      <c r="E624" s="33" t="s">
        <v>89</v>
      </c>
      <c r="F624" s="4">
        <f>IFERROR(AVERAGEIF(Table1[[#This Row],[2019-Apr]:[2025-July]],"&lt;&gt;0"),0)</f>
        <v>1.6093999999999999</v>
      </c>
      <c r="G624" s="4">
        <f ca="1">IFERROR(AVERAGEIF(OFFSET(Table1[[#This Row],[Status]],0,COUNT(Table1[[#This Row],[2019-May]:[2025-July]]),1,-12),"&lt;&gt;0"),0)</f>
        <v>1.5</v>
      </c>
      <c r="H624" s="55">
        <f>IFERROR(SMALL(Table1[[#This Row],[2019-Apr]:[2025-July]],COUNTIF(Table1[[#This Row],[2019-Apr]:[2025-July]],0)+1),0)</f>
        <v>1.218</v>
      </c>
      <c r="I624" s="55">
        <f>IFERROR(MAX(Table1[[#This Row],[2019-Apr]:[2025-July]]),0)</f>
        <v>2.11</v>
      </c>
      <c r="J624" s="4" cm="1">
        <f t="array" ref="J62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1.2968333333333333</v>
      </c>
      <c r="K624" s="4">
        <v>4.5</v>
      </c>
      <c r="L624" s="4">
        <f>IF(Table1[[#This Row],[Standard as per ISO]]&gt;=Table1[[#This Row],[Avg of best 6]],Table1[[#This Row],[Standard as per ISO]],Table1[[#This Row],[Avg of best 6]])</f>
        <v>4.5</v>
      </c>
      <c r="M624" s="4" cm="1">
        <f t="array" ref="M624">IFERROR(LOOKUP(2,1/(Table1[[#This Row],[2019-May]:[2025-July]]&lt;&gt;0),Table1[[#This Row],[2019-May]:[2025-July]]),0)</f>
        <v>1.33</v>
      </c>
      <c r="N624" s="4">
        <f>COUNTIF(Table1[[#This Row],[2019-Apr]:[2025-July]],"&gt;="&amp;Table1[[#This Row],[Target]])</f>
        <v>0</v>
      </c>
      <c r="O624" s="4">
        <f>IF(Table1[[#This Row],[Outliers 2Y]]=0,1,0)</f>
        <v>1</v>
      </c>
      <c r="P624" s="4">
        <f>IF(Table1[[#This Row],[Last value]]&gt;1.5*Table1[[#This Row],[Target]],1,0)</f>
        <v>0</v>
      </c>
      <c r="Q624" s="4">
        <f>IF(AND(1.5*Table1[[#This Row],[Target]]&gt;=Table1[[#This Row],[Last value]],Table1[[#This Row],[Last value]]&gt;Table1[[#This Row],[Target]]),1,0)</f>
        <v>0</v>
      </c>
      <c r="R624" s="4">
        <f>IF(Table1[[#This Row],[Target]]&gt;=Table1[[#This Row],[Last value]],1,0)</f>
        <v>1</v>
      </c>
      <c r="S624" s="4" t="str">
        <f t="shared" si="16"/>
        <v>Green</v>
      </c>
      <c r="T624">
        <v>1.84</v>
      </c>
      <c r="U624">
        <v>1.45</v>
      </c>
      <c r="V624">
        <v>1.93</v>
      </c>
      <c r="W624">
        <v>1.4</v>
      </c>
      <c r="X624">
        <v>1.4</v>
      </c>
      <c r="Y624">
        <v>1.59</v>
      </c>
      <c r="Z624">
        <v>1.35</v>
      </c>
      <c r="AA624">
        <v>2.08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2.1</v>
      </c>
      <c r="AI624">
        <v>1.86</v>
      </c>
      <c r="AJ624">
        <v>0</v>
      </c>
      <c r="AK624">
        <v>0</v>
      </c>
      <c r="AL624">
        <v>0</v>
      </c>
      <c r="AM624">
        <v>0</v>
      </c>
      <c r="AN624">
        <v>1.58</v>
      </c>
      <c r="AO624">
        <v>0</v>
      </c>
      <c r="AP624">
        <v>2</v>
      </c>
      <c r="AQ624">
        <v>0</v>
      </c>
      <c r="AR624" s="8">
        <v>0</v>
      </c>
      <c r="AS624" s="8">
        <v>1.68</v>
      </c>
      <c r="AT624" s="8">
        <v>0</v>
      </c>
      <c r="AU624" s="3">
        <v>0</v>
      </c>
      <c r="AV624" s="3">
        <v>0</v>
      </c>
      <c r="AW624" s="3">
        <v>0</v>
      </c>
      <c r="AX624" s="3">
        <v>1.58</v>
      </c>
      <c r="AY624" s="3">
        <v>2.11</v>
      </c>
      <c r="AZ624" s="3">
        <v>0</v>
      </c>
      <c r="BA624" s="3">
        <v>0</v>
      </c>
      <c r="BB624" s="3">
        <v>0</v>
      </c>
      <c r="BC624" s="3">
        <v>0</v>
      </c>
      <c r="BD624">
        <v>0</v>
      </c>
      <c r="BE624" s="11">
        <v>1.218</v>
      </c>
      <c r="BF624" s="4">
        <v>1.6080000000000001</v>
      </c>
      <c r="BG624" s="4">
        <v>1.3</v>
      </c>
      <c r="BH624" s="4">
        <v>0</v>
      </c>
      <c r="BI624" s="4">
        <v>1.341</v>
      </c>
      <c r="BJ624" s="14">
        <v>0</v>
      </c>
      <c r="BK624" s="14">
        <v>1.292</v>
      </c>
      <c r="BL624" s="4">
        <v>1.45</v>
      </c>
      <c r="BM624" s="17">
        <v>0</v>
      </c>
      <c r="BN624" s="4">
        <v>0</v>
      </c>
      <c r="BO624" s="4">
        <v>0</v>
      </c>
      <c r="BP624" s="4">
        <v>1.536</v>
      </c>
      <c r="BQ624" s="4">
        <v>0</v>
      </c>
      <c r="BR624" s="4">
        <v>0</v>
      </c>
      <c r="BS624" s="4">
        <v>1.4410000000000001</v>
      </c>
      <c r="BT624" s="4">
        <v>0</v>
      </c>
      <c r="BU624" s="4">
        <v>0</v>
      </c>
      <c r="BV624" s="4">
        <v>0</v>
      </c>
      <c r="BW624" s="4">
        <v>1.9159999999999999</v>
      </c>
      <c r="BX624" s="4">
        <v>0</v>
      </c>
      <c r="BY624" s="4">
        <v>0</v>
      </c>
      <c r="BZ624">
        <v>0</v>
      </c>
      <c r="CA624">
        <v>0</v>
      </c>
      <c r="CB624">
        <v>0</v>
      </c>
      <c r="CC624">
        <v>1.9</v>
      </c>
      <c r="CD624">
        <v>0</v>
      </c>
      <c r="CE624" s="19">
        <v>0</v>
      </c>
      <c r="CF624" s="19">
        <v>1.6</v>
      </c>
      <c r="CG624" s="4">
        <v>0</v>
      </c>
      <c r="CH624" s="4">
        <v>0</v>
      </c>
      <c r="CI624" s="4">
        <v>0</v>
      </c>
      <c r="CJ624" s="34">
        <v>0</v>
      </c>
      <c r="CK624" s="34">
        <v>0</v>
      </c>
      <c r="CL624" s="43">
        <v>1.6</v>
      </c>
      <c r="CM624" s="4">
        <v>1.5</v>
      </c>
      <c r="CN624" s="53">
        <v>1.3</v>
      </c>
      <c r="CO624" s="54">
        <v>0</v>
      </c>
      <c r="CP624" s="54">
        <v>0</v>
      </c>
      <c r="CQ624" s="4">
        <v>1.33</v>
      </c>
    </row>
    <row r="625" spans="1:95" x14ac:dyDescent="0.35">
      <c r="A625" s="55">
        <v>624</v>
      </c>
      <c r="B625" t="s">
        <v>119</v>
      </c>
      <c r="C625" s="27" t="s">
        <v>897</v>
      </c>
      <c r="D625" s="3" t="s">
        <v>103</v>
      </c>
      <c r="E625" s="33" t="s">
        <v>89</v>
      </c>
      <c r="F625" s="4">
        <f>IFERROR(AVERAGEIF(Table1[[#This Row],[2019-Apr]:[2025-July]],"&lt;&gt;0"),0)</f>
        <v>3.1524400000000004</v>
      </c>
      <c r="G625" s="4">
        <f ca="1">IFERROR(AVERAGEIF(OFFSET(Table1[[#This Row],[Status]],0,COUNT(Table1[[#This Row],[2019-May]:[2025-July]]),1,-12),"&lt;&gt;0"),0)</f>
        <v>4.03</v>
      </c>
      <c r="H625" s="55">
        <f>IFERROR(SMALL(Table1[[#This Row],[2019-Apr]:[2025-July]],COUNTIF(Table1[[#This Row],[2019-Apr]:[2025-July]],0)+1),0)</f>
        <v>2.3849999999999998</v>
      </c>
      <c r="I625" s="55">
        <f>IFERROR(MAX(Table1[[#This Row],[2019-Apr]:[2025-July]]),0)</f>
        <v>4.3</v>
      </c>
      <c r="J625" s="4" cm="1">
        <f t="array" ref="J62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2.6091666666666664</v>
      </c>
      <c r="K625" s="4">
        <v>4.5</v>
      </c>
      <c r="L625" s="4">
        <f>IF(Table1[[#This Row],[Standard as per ISO]]&gt;=Table1[[#This Row],[Avg of best 6]],Table1[[#This Row],[Standard as per ISO]],Table1[[#This Row],[Avg of best 6]])</f>
        <v>4.5</v>
      </c>
      <c r="M625" s="4" cm="1">
        <f t="array" ref="M625">IFERROR(LOOKUP(2,1/(Table1[[#This Row],[2019-May]:[2025-July]]&lt;&gt;0),Table1[[#This Row],[2019-May]:[2025-July]]),0)</f>
        <v>3.36</v>
      </c>
      <c r="N625" s="4">
        <f>COUNTIF(Table1[[#This Row],[2019-Apr]:[2025-July]],"&gt;="&amp;Table1[[#This Row],[Target]])</f>
        <v>0</v>
      </c>
      <c r="O625" s="4">
        <f>IF(Table1[[#This Row],[Outliers 2Y]]=0,1,0)</f>
        <v>1</v>
      </c>
      <c r="P625" s="4">
        <f>IF(Table1[[#This Row],[Last value]]&gt;1.5*Table1[[#This Row],[Target]],1,0)</f>
        <v>0</v>
      </c>
      <c r="Q625" s="4">
        <f>IF(AND(1.5*Table1[[#This Row],[Target]]&gt;=Table1[[#This Row],[Last value]],Table1[[#This Row],[Last value]]&gt;Table1[[#This Row],[Target]]),1,0)</f>
        <v>0</v>
      </c>
      <c r="R625" s="4">
        <f>IF(Table1[[#This Row],[Target]]&gt;=Table1[[#This Row],[Last value]],1,0)</f>
        <v>1</v>
      </c>
      <c r="S625" s="4" t="str">
        <f t="shared" si="16"/>
        <v>Green</v>
      </c>
      <c r="T625">
        <v>0</v>
      </c>
      <c r="U625">
        <v>0</v>
      </c>
      <c r="V625">
        <v>2.62</v>
      </c>
      <c r="W625">
        <v>3.25</v>
      </c>
      <c r="X625">
        <v>3.58</v>
      </c>
      <c r="Y625">
        <v>4.05</v>
      </c>
      <c r="Z625">
        <v>2.6</v>
      </c>
      <c r="AA625">
        <v>2.65</v>
      </c>
      <c r="AB625">
        <v>0</v>
      </c>
      <c r="AC625">
        <v>0</v>
      </c>
      <c r="AD625">
        <v>3.17</v>
      </c>
      <c r="AE625">
        <v>3</v>
      </c>
      <c r="AF625">
        <v>2.7</v>
      </c>
      <c r="AG625">
        <v>3.2</v>
      </c>
      <c r="AH625">
        <v>0</v>
      </c>
      <c r="AI625">
        <v>0</v>
      </c>
      <c r="AJ625">
        <v>2.9</v>
      </c>
      <c r="AK625">
        <v>3.14</v>
      </c>
      <c r="AL625">
        <v>3.39</v>
      </c>
      <c r="AM625">
        <v>0</v>
      </c>
      <c r="AN625">
        <v>2.7</v>
      </c>
      <c r="AO625">
        <v>0</v>
      </c>
      <c r="AP625">
        <v>0</v>
      </c>
      <c r="AQ625">
        <v>0</v>
      </c>
      <c r="AR625" s="8">
        <v>0</v>
      </c>
      <c r="AS625" s="8">
        <v>0</v>
      </c>
      <c r="AT625" s="8">
        <v>0</v>
      </c>
      <c r="AU625" s="3">
        <v>0</v>
      </c>
      <c r="AV625" s="3">
        <v>0</v>
      </c>
      <c r="AW625" s="3">
        <v>2.78</v>
      </c>
      <c r="AX625" s="3">
        <v>0</v>
      </c>
      <c r="AY625" s="3">
        <v>0</v>
      </c>
      <c r="AZ625" s="3">
        <v>0</v>
      </c>
      <c r="BA625" s="3">
        <v>2.9</v>
      </c>
      <c r="BB625" s="3">
        <v>0</v>
      </c>
      <c r="BC625" s="3">
        <v>0</v>
      </c>
      <c r="BD625">
        <v>0</v>
      </c>
      <c r="BE625" s="11">
        <v>0</v>
      </c>
      <c r="BF625" s="4">
        <v>0</v>
      </c>
      <c r="BG625" s="4">
        <v>0</v>
      </c>
      <c r="BH625" s="4">
        <v>0</v>
      </c>
      <c r="BI625" s="4">
        <v>0</v>
      </c>
      <c r="BJ625" s="13">
        <v>0</v>
      </c>
      <c r="BK625" s="13">
        <v>0</v>
      </c>
      <c r="BL625" s="4">
        <v>3.2610000000000001</v>
      </c>
      <c r="BM625" s="16">
        <v>0</v>
      </c>
      <c r="BN625" s="4">
        <v>0</v>
      </c>
      <c r="BO625" s="4">
        <v>0</v>
      </c>
      <c r="BP625" s="4">
        <v>2.9369999999999998</v>
      </c>
      <c r="BQ625" s="4">
        <v>0</v>
      </c>
      <c r="BR625" s="4">
        <v>0</v>
      </c>
      <c r="BS625" s="4">
        <v>2.3849999999999998</v>
      </c>
      <c r="BT625" s="4">
        <v>0</v>
      </c>
      <c r="BU625" s="4">
        <v>0</v>
      </c>
      <c r="BV625" s="4">
        <v>0</v>
      </c>
      <c r="BW625" s="4">
        <v>3.1480000000000001</v>
      </c>
      <c r="BX625" s="4">
        <v>0</v>
      </c>
      <c r="BY625" s="4">
        <v>0</v>
      </c>
      <c r="BZ625">
        <v>0</v>
      </c>
      <c r="CA625">
        <v>0</v>
      </c>
      <c r="CB625">
        <v>0</v>
      </c>
      <c r="CC625">
        <v>3</v>
      </c>
      <c r="CD625">
        <v>0</v>
      </c>
      <c r="CE625" s="19">
        <v>0</v>
      </c>
      <c r="CF625" s="19">
        <v>3.7</v>
      </c>
      <c r="CG625" s="4">
        <v>0</v>
      </c>
      <c r="CH625" s="4">
        <v>0</v>
      </c>
      <c r="CI625" s="4">
        <v>0</v>
      </c>
      <c r="CJ625" s="34">
        <v>0</v>
      </c>
      <c r="CK625" s="34">
        <v>0</v>
      </c>
      <c r="CL625" s="43">
        <v>0</v>
      </c>
      <c r="CM625" s="4">
        <v>0</v>
      </c>
      <c r="CN625" s="53">
        <v>4.09</v>
      </c>
      <c r="CO625" s="54">
        <v>4.3</v>
      </c>
      <c r="CP625" s="54">
        <v>0</v>
      </c>
      <c r="CQ625" s="4">
        <v>3.36</v>
      </c>
    </row>
    <row r="626" spans="1:95" x14ac:dyDescent="0.35">
      <c r="A626" s="55">
        <v>625</v>
      </c>
      <c r="B626" t="s">
        <v>119</v>
      </c>
      <c r="C626" s="27" t="s">
        <v>898</v>
      </c>
      <c r="D626" s="3" t="s">
        <v>103</v>
      </c>
      <c r="E626" s="33" t="s">
        <v>89</v>
      </c>
      <c r="F626" s="4">
        <f>IFERROR(AVERAGEIF(Table1[[#This Row],[2019-Apr]:[2025-July]],"&lt;&gt;0"),0)</f>
        <v>2.4311176470588229</v>
      </c>
      <c r="G626" s="4">
        <f ca="1">IFERROR(AVERAGEIF(OFFSET(Table1[[#This Row],[Status]],0,COUNT(Table1[[#This Row],[2019-May]:[2025-July]]),1,-12),"&lt;&gt;0"),0)</f>
        <v>3.2900000000000005</v>
      </c>
      <c r="H626" s="55">
        <f>IFERROR(SMALL(Table1[[#This Row],[2019-Apr]:[2025-July]],COUNTIF(Table1[[#This Row],[2019-Apr]:[2025-July]],0)+1),0)</f>
        <v>1.48</v>
      </c>
      <c r="I626" s="55">
        <f>IFERROR(MAX(Table1[[#This Row],[2019-Apr]:[2025-July]]),0)</f>
        <v>4.74</v>
      </c>
      <c r="J626" s="4" cm="1">
        <f t="array" ref="J62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1.6300000000000001</v>
      </c>
      <c r="K626" s="4">
        <v>4.5</v>
      </c>
      <c r="L626" s="4">
        <f>IF(Table1[[#This Row],[Standard as per ISO]]&gt;=Table1[[#This Row],[Avg of best 6]],Table1[[#This Row],[Standard as per ISO]],Table1[[#This Row],[Avg of best 6]])</f>
        <v>4.5</v>
      </c>
      <c r="M626" s="4" cm="1">
        <f t="array" ref="M626">IFERROR(LOOKUP(2,1/(Table1[[#This Row],[2019-May]:[2025-July]]&lt;&gt;0),Table1[[#This Row],[2019-May]:[2025-July]]),0)</f>
        <v>4.74</v>
      </c>
      <c r="N626" s="4">
        <f>COUNTIF(Table1[[#This Row],[2019-Apr]:[2025-July]],"&gt;="&amp;Table1[[#This Row],[Target]])</f>
        <v>1</v>
      </c>
      <c r="O626" s="4">
        <f>IF(Table1[[#This Row],[Outliers 2Y]]=0,1,0)</f>
        <v>0</v>
      </c>
      <c r="P626" s="4">
        <f>IF(Table1[[#This Row],[Last value]]&gt;1.5*Table1[[#This Row],[Target]],1,0)</f>
        <v>0</v>
      </c>
      <c r="Q626" s="4">
        <f>IF(AND(1.5*Table1[[#This Row],[Target]]&gt;=Table1[[#This Row],[Last value]],Table1[[#This Row],[Last value]]&gt;Table1[[#This Row],[Target]]),1,0)</f>
        <v>1</v>
      </c>
      <c r="R626" s="4">
        <f>IF(Table1[[#This Row],[Target]]&gt;=Table1[[#This Row],[Last value]],1,0)</f>
        <v>0</v>
      </c>
      <c r="S626" s="4" t="str">
        <f t="shared" si="16"/>
        <v>Yellow</v>
      </c>
      <c r="T626">
        <v>3.63</v>
      </c>
      <c r="U626">
        <v>0</v>
      </c>
      <c r="V626">
        <v>3.2</v>
      </c>
      <c r="W626">
        <v>0</v>
      </c>
      <c r="X626">
        <v>1.7</v>
      </c>
      <c r="Y626">
        <v>0</v>
      </c>
      <c r="Z626">
        <v>2.38</v>
      </c>
      <c r="AA626">
        <v>0</v>
      </c>
      <c r="AB626">
        <v>1.9</v>
      </c>
      <c r="AC626">
        <v>1.9</v>
      </c>
      <c r="AD626">
        <v>0</v>
      </c>
      <c r="AE626">
        <v>0</v>
      </c>
      <c r="AF626">
        <v>0</v>
      </c>
      <c r="AG626">
        <v>0</v>
      </c>
      <c r="AH626">
        <v>1.6</v>
      </c>
      <c r="AI626">
        <v>2.11</v>
      </c>
      <c r="AJ626">
        <v>0</v>
      </c>
      <c r="AK626">
        <v>0</v>
      </c>
      <c r="AL626">
        <v>0</v>
      </c>
      <c r="AM626">
        <v>2.17</v>
      </c>
      <c r="AN626">
        <v>2.69</v>
      </c>
      <c r="AO626">
        <v>0</v>
      </c>
      <c r="AP626">
        <v>1.5</v>
      </c>
      <c r="AQ626">
        <v>2.38</v>
      </c>
      <c r="AR626" s="8">
        <v>0</v>
      </c>
      <c r="AS626" s="8">
        <v>2.1800000000000002</v>
      </c>
      <c r="AT626" s="8">
        <v>2.17</v>
      </c>
      <c r="AU626" s="3">
        <v>1.48</v>
      </c>
      <c r="AV626" s="3">
        <v>1.79</v>
      </c>
      <c r="AW626" s="3">
        <v>0</v>
      </c>
      <c r="AX626" s="3">
        <v>1.71</v>
      </c>
      <c r="AY626" s="3">
        <v>2.2999999999999998</v>
      </c>
      <c r="AZ626" s="3">
        <v>3.5</v>
      </c>
      <c r="BA626" s="3">
        <v>0</v>
      </c>
      <c r="BB626" s="3">
        <v>1.9</v>
      </c>
      <c r="BC626">
        <v>2</v>
      </c>
      <c r="BD626">
        <v>0</v>
      </c>
      <c r="BE626" s="11">
        <v>1.827</v>
      </c>
      <c r="BF626" s="4">
        <v>2.37</v>
      </c>
      <c r="BG626" s="4">
        <v>2.8</v>
      </c>
      <c r="BH626" s="4">
        <v>0</v>
      </c>
      <c r="BI626" s="4">
        <v>0</v>
      </c>
      <c r="BJ626" s="14">
        <v>0</v>
      </c>
      <c r="BK626" s="14">
        <v>2.3759999999999999</v>
      </c>
      <c r="BL626" s="4">
        <v>2.4510000000000001</v>
      </c>
      <c r="BM626" s="17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2.504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>
        <v>0</v>
      </c>
      <c r="CA626">
        <v>0</v>
      </c>
      <c r="CB626">
        <v>0</v>
      </c>
      <c r="CC626">
        <v>2.4</v>
      </c>
      <c r="CD626">
        <v>0</v>
      </c>
      <c r="CE626" s="19">
        <v>0</v>
      </c>
      <c r="CF626" s="19">
        <v>0</v>
      </c>
      <c r="CG626" s="4">
        <v>3.5</v>
      </c>
      <c r="CH626" s="4">
        <v>0</v>
      </c>
      <c r="CI626" s="4">
        <v>0</v>
      </c>
      <c r="CJ626" s="34">
        <v>1.9</v>
      </c>
      <c r="CK626" s="34">
        <v>3.4</v>
      </c>
      <c r="CL626" s="43">
        <v>3.2</v>
      </c>
      <c r="CM626" s="4">
        <v>3</v>
      </c>
      <c r="CN626" s="53">
        <v>0</v>
      </c>
      <c r="CO626" s="54">
        <v>0</v>
      </c>
      <c r="CP626" s="54">
        <v>4.74</v>
      </c>
      <c r="CQ626" s="4">
        <v>0</v>
      </c>
    </row>
    <row r="627" spans="1:95" x14ac:dyDescent="0.35">
      <c r="A627" s="55">
        <v>626</v>
      </c>
      <c r="B627" t="s">
        <v>119</v>
      </c>
      <c r="C627" s="27" t="s">
        <v>899</v>
      </c>
      <c r="D627" s="3" t="s">
        <v>94</v>
      </c>
      <c r="E627" s="33" t="s">
        <v>89</v>
      </c>
      <c r="F627" s="4">
        <f>IFERROR(AVERAGEIF(Table1[[#This Row],[2019-Apr]:[2025-July]],"&lt;&gt;0"),0)</f>
        <v>2.9284500000000007</v>
      </c>
      <c r="G627" s="4">
        <f ca="1">IFERROR(AVERAGEIF(OFFSET(Table1[[#This Row],[Status]],0,COUNT(Table1[[#This Row],[2019-May]:[2025-July]]),1,-12),"&lt;&gt;0"),0)</f>
        <v>2.8833333333333333</v>
      </c>
      <c r="H627" s="55">
        <f>IFERROR(SMALL(Table1[[#This Row],[2019-Apr]:[2025-July]],COUNTIF(Table1[[#This Row],[2019-Apr]:[2025-July]],0)+1),0)</f>
        <v>2.2000000000000002</v>
      </c>
      <c r="I627" s="55">
        <f>IFERROR(MAX(Table1[[#This Row],[2019-Apr]:[2025-July]]),0)</f>
        <v>4.07</v>
      </c>
      <c r="J627" s="4" cm="1">
        <f t="array" ref="J62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2.2800000000000002</v>
      </c>
      <c r="K627" s="4">
        <v>4.5</v>
      </c>
      <c r="L627" s="4">
        <f>IF(Table1[[#This Row],[Standard as per ISO]]&gt;=Table1[[#This Row],[Avg of best 6]],Table1[[#This Row],[Standard as per ISO]],Table1[[#This Row],[Avg of best 6]])</f>
        <v>4.5</v>
      </c>
      <c r="M627" s="4" cm="1">
        <f t="array" ref="M627">IFERROR(LOOKUP(2,1/(Table1[[#This Row],[2019-May]:[2025-July]]&lt;&gt;0),Table1[[#This Row],[2019-May]:[2025-July]]),0)</f>
        <v>2.2599999999999998</v>
      </c>
      <c r="N627" s="4">
        <f>COUNTIF(Table1[[#This Row],[2019-Apr]:[2025-July]],"&gt;="&amp;Table1[[#This Row],[Target]])</f>
        <v>0</v>
      </c>
      <c r="O627" s="4">
        <f>IF(Table1[[#This Row],[Outliers 2Y]]=0,1,0)</f>
        <v>1</v>
      </c>
      <c r="P627" s="4">
        <f>IF(Table1[[#This Row],[Last value]]&gt;1.5*Table1[[#This Row],[Target]],1,0)</f>
        <v>0</v>
      </c>
      <c r="Q627" s="4">
        <f>IF(AND(1.5*Table1[[#This Row],[Target]]&gt;=Table1[[#This Row],[Last value]],Table1[[#This Row],[Last value]]&gt;Table1[[#This Row],[Target]]),1,0)</f>
        <v>0</v>
      </c>
      <c r="R627" s="4">
        <f>IF(Table1[[#This Row],[Target]]&gt;=Table1[[#This Row],[Last value]],1,0)</f>
        <v>1</v>
      </c>
      <c r="S627" s="4" t="str">
        <f t="shared" si="16"/>
        <v>Green</v>
      </c>
      <c r="T627">
        <v>3.06</v>
      </c>
      <c r="U627">
        <v>2.63</v>
      </c>
      <c r="V627">
        <v>2.96</v>
      </c>
      <c r="W627">
        <v>2.74</v>
      </c>
      <c r="X627">
        <v>2.6</v>
      </c>
      <c r="Y627">
        <v>2.76</v>
      </c>
      <c r="Z627">
        <v>3.33</v>
      </c>
      <c r="AA627">
        <v>0</v>
      </c>
      <c r="AB627">
        <v>2.8</v>
      </c>
      <c r="AC627">
        <v>2.99</v>
      </c>
      <c r="AD627">
        <v>2.63</v>
      </c>
      <c r="AE627">
        <v>3.4</v>
      </c>
      <c r="AF627">
        <v>2.4</v>
      </c>
      <c r="AG627">
        <v>2.2000000000000002</v>
      </c>
      <c r="AH627">
        <v>2.9</v>
      </c>
      <c r="AI627">
        <v>2.86</v>
      </c>
      <c r="AJ627">
        <v>2.2000000000000002</v>
      </c>
      <c r="AK627">
        <v>2.37</v>
      </c>
      <c r="AL627">
        <v>2.6</v>
      </c>
      <c r="AM627">
        <v>2.4</v>
      </c>
      <c r="AN627">
        <v>2.64</v>
      </c>
      <c r="AO627">
        <v>0</v>
      </c>
      <c r="AP627">
        <v>0</v>
      </c>
      <c r="AQ627">
        <v>2.71</v>
      </c>
      <c r="AR627" s="8">
        <v>0</v>
      </c>
      <c r="AS627" s="8">
        <v>3.55</v>
      </c>
      <c r="AT627" s="8">
        <v>3.26</v>
      </c>
      <c r="AU627" s="3">
        <v>3.26</v>
      </c>
      <c r="AV627" s="3">
        <v>3.28</v>
      </c>
      <c r="AW627" s="3">
        <v>0</v>
      </c>
      <c r="AX627" s="3">
        <v>0</v>
      </c>
      <c r="AY627" s="3">
        <v>0</v>
      </c>
      <c r="AZ627" s="3">
        <v>0</v>
      </c>
      <c r="BA627" s="3">
        <v>2.5</v>
      </c>
      <c r="BB627" s="3">
        <v>3.2</v>
      </c>
      <c r="BC627" s="3">
        <v>0</v>
      </c>
      <c r="BD627">
        <v>0</v>
      </c>
      <c r="BE627" s="11">
        <v>3.35</v>
      </c>
      <c r="BF627" s="4">
        <v>2.786</v>
      </c>
      <c r="BG627" s="4">
        <v>0</v>
      </c>
      <c r="BH627" s="4">
        <v>0</v>
      </c>
      <c r="BI627" s="4">
        <v>3.52</v>
      </c>
      <c r="BJ627" s="13">
        <v>3.153</v>
      </c>
      <c r="BK627" s="13">
        <v>3.226</v>
      </c>
      <c r="BL627" s="4">
        <v>0</v>
      </c>
      <c r="BM627" s="16">
        <v>0</v>
      </c>
      <c r="BN627" s="4">
        <v>0</v>
      </c>
      <c r="BO627" s="4">
        <v>0</v>
      </c>
      <c r="BP627" s="4">
        <v>0</v>
      </c>
      <c r="BQ627" s="4">
        <v>3.298</v>
      </c>
      <c r="BR627" s="4">
        <v>0</v>
      </c>
      <c r="BS627" s="4">
        <v>0</v>
      </c>
      <c r="BT627" s="4">
        <v>0</v>
      </c>
      <c r="BU627" s="4">
        <v>0</v>
      </c>
      <c r="BV627" s="4">
        <v>3.105</v>
      </c>
      <c r="BW627" s="4">
        <v>0</v>
      </c>
      <c r="BX627" s="4">
        <v>0</v>
      </c>
      <c r="BY627" s="4">
        <v>3.49</v>
      </c>
      <c r="BZ627">
        <v>4.07</v>
      </c>
      <c r="CA627">
        <v>0</v>
      </c>
      <c r="CB627">
        <v>0</v>
      </c>
      <c r="CC627">
        <v>0</v>
      </c>
      <c r="CD627">
        <v>0</v>
      </c>
      <c r="CE627" s="19">
        <v>3.7</v>
      </c>
      <c r="CF627" s="19">
        <v>0</v>
      </c>
      <c r="CG627" s="4">
        <v>0</v>
      </c>
      <c r="CH627" s="4">
        <v>0</v>
      </c>
      <c r="CI627" s="4">
        <v>0</v>
      </c>
      <c r="CJ627" s="34">
        <v>0</v>
      </c>
      <c r="CK627" s="34">
        <v>0</v>
      </c>
      <c r="CL627" s="43">
        <v>0</v>
      </c>
      <c r="CM627" s="4">
        <v>0</v>
      </c>
      <c r="CN627" s="53">
        <v>0</v>
      </c>
      <c r="CO627" s="54">
        <v>2.25</v>
      </c>
      <c r="CP627" s="54">
        <v>2.7</v>
      </c>
      <c r="CQ627" s="4">
        <v>2.2599999999999998</v>
      </c>
    </row>
    <row r="628" spans="1:95" x14ac:dyDescent="0.35">
      <c r="A628" s="55">
        <v>627</v>
      </c>
      <c r="B628" t="s">
        <v>119</v>
      </c>
      <c r="C628" s="27" t="s">
        <v>900</v>
      </c>
      <c r="D628" s="3" t="s">
        <v>94</v>
      </c>
      <c r="E628" s="33" t="s">
        <v>89</v>
      </c>
      <c r="F628" s="4">
        <f>IFERROR(AVERAGEIF(Table1[[#This Row],[2019-Apr]:[2025-July]],"&lt;&gt;0"),0)</f>
        <v>2.2301764705882356</v>
      </c>
      <c r="G628" s="4">
        <f ca="1">IFERROR(AVERAGEIF(OFFSET(Table1[[#This Row],[Status]],0,COUNT(Table1[[#This Row],[2019-May]:[2025-July]]),1,-12),"&lt;&gt;0"),0)</f>
        <v>1.6316666666666666</v>
      </c>
      <c r="H628" s="55">
        <f>IFERROR(SMALL(Table1[[#This Row],[2019-Apr]:[2025-July]],COUNTIF(Table1[[#This Row],[2019-Apr]:[2025-July]],0)+1),0)</f>
        <v>1.5</v>
      </c>
      <c r="I628" s="55">
        <f>IFERROR(MAX(Table1[[#This Row],[2019-Apr]:[2025-July]]),0)</f>
        <v>4.4400000000000004</v>
      </c>
      <c r="J628" s="4" cm="1">
        <f t="array" ref="J62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1.5703333333333331</v>
      </c>
      <c r="K628" s="4">
        <v>4.5</v>
      </c>
      <c r="L628" s="4">
        <f>IF(Table1[[#This Row],[Standard as per ISO]]&gt;=Table1[[#This Row],[Avg of best 6]],Table1[[#This Row],[Standard as per ISO]],Table1[[#This Row],[Avg of best 6]])</f>
        <v>4.5</v>
      </c>
      <c r="M628" s="4" cm="1">
        <f t="array" ref="M628">IFERROR(LOOKUP(2,1/(Table1[[#This Row],[2019-May]:[2025-July]]&lt;&gt;0),Table1[[#This Row],[2019-May]:[2025-July]]),0)</f>
        <v>1.69</v>
      </c>
      <c r="N628" s="4">
        <f>COUNTIF(Table1[[#This Row],[2019-Apr]:[2025-July]],"&gt;="&amp;Table1[[#This Row],[Target]])</f>
        <v>0</v>
      </c>
      <c r="O628" s="4">
        <f>IF(Table1[[#This Row],[Outliers 2Y]]=0,1,0)</f>
        <v>1</v>
      </c>
      <c r="P628" s="4">
        <f>IF(Table1[[#This Row],[Last value]]&gt;1.5*Table1[[#This Row],[Target]],1,0)</f>
        <v>0</v>
      </c>
      <c r="Q628" s="4">
        <f>IF(AND(1.5*Table1[[#This Row],[Target]]&gt;=Table1[[#This Row],[Last value]],Table1[[#This Row],[Last value]]&gt;Table1[[#This Row],[Target]]),1,0)</f>
        <v>0</v>
      </c>
      <c r="R628" s="4">
        <f>IF(Table1[[#This Row],[Target]]&gt;=Table1[[#This Row],[Last value]],1,0)</f>
        <v>1</v>
      </c>
      <c r="S628" s="4" t="str">
        <f t="shared" si="16"/>
        <v>Green</v>
      </c>
      <c r="T628">
        <v>0</v>
      </c>
      <c r="U628">
        <v>0</v>
      </c>
      <c r="V628">
        <v>4.4400000000000004</v>
      </c>
      <c r="W628">
        <v>3.45</v>
      </c>
      <c r="X628">
        <v>2.6</v>
      </c>
      <c r="Y628">
        <v>0</v>
      </c>
      <c r="Z628">
        <v>2.68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1.7</v>
      </c>
      <c r="AG628">
        <v>1.8</v>
      </c>
      <c r="AH628">
        <v>2.2999999999999998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2.9</v>
      </c>
      <c r="AP628">
        <v>3.69</v>
      </c>
      <c r="AQ628">
        <v>2.8</v>
      </c>
      <c r="AR628" s="8">
        <v>2.0099999999999998</v>
      </c>
      <c r="AS628" s="8">
        <v>0</v>
      </c>
      <c r="AT628" s="8">
        <v>0</v>
      </c>
      <c r="AU628" s="3">
        <v>0</v>
      </c>
      <c r="AV628" s="3">
        <v>0</v>
      </c>
      <c r="AW628" s="3">
        <v>2.16</v>
      </c>
      <c r="AX628" s="3">
        <v>1.88</v>
      </c>
      <c r="AY628" s="3">
        <v>2.57</v>
      </c>
      <c r="AZ628" s="3">
        <v>3.6</v>
      </c>
      <c r="BA628" s="3">
        <v>1.6</v>
      </c>
      <c r="BB628" s="3">
        <v>1.7</v>
      </c>
      <c r="BC628">
        <v>2</v>
      </c>
      <c r="BD628">
        <v>0</v>
      </c>
      <c r="BE628" s="11">
        <v>1.74</v>
      </c>
      <c r="BF628" s="4">
        <v>1.8320000000000001</v>
      </c>
      <c r="BG628" s="4">
        <v>2.9169999999999998</v>
      </c>
      <c r="BH628" s="4">
        <v>0</v>
      </c>
      <c r="BI628" s="4">
        <v>0</v>
      </c>
      <c r="BJ628" s="14">
        <v>1.9670000000000001</v>
      </c>
      <c r="BK628" s="14">
        <v>2.1789999999999998</v>
      </c>
      <c r="BL628" s="4">
        <v>0</v>
      </c>
      <c r="BM628" s="17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2.1789999999999998</v>
      </c>
      <c r="BT628" s="4">
        <v>0</v>
      </c>
      <c r="BU628" s="4">
        <v>0</v>
      </c>
      <c r="BV628" s="4">
        <v>1.6220000000000001</v>
      </c>
      <c r="BW628" s="4">
        <v>0</v>
      </c>
      <c r="BX628" s="4">
        <v>0</v>
      </c>
      <c r="BY628" s="4">
        <v>1.7</v>
      </c>
      <c r="BZ628">
        <v>1.86</v>
      </c>
      <c r="CA628">
        <v>0</v>
      </c>
      <c r="CB628">
        <v>0</v>
      </c>
      <c r="CC628">
        <v>2.16</v>
      </c>
      <c r="CD628">
        <v>0</v>
      </c>
      <c r="CE628" s="19">
        <v>0</v>
      </c>
      <c r="CF628" s="19">
        <v>1.6</v>
      </c>
      <c r="CG628" s="4">
        <v>0</v>
      </c>
      <c r="CH628" s="4">
        <v>0</v>
      </c>
      <c r="CI628" s="4">
        <v>0</v>
      </c>
      <c r="CJ628" s="34">
        <v>1.6</v>
      </c>
      <c r="CK628" s="34">
        <v>1.5</v>
      </c>
      <c r="CL628" s="43">
        <v>1.9</v>
      </c>
      <c r="CM628" s="4">
        <v>1.5</v>
      </c>
      <c r="CN628" s="53">
        <v>1.69</v>
      </c>
      <c r="CO628" s="54">
        <v>0</v>
      </c>
      <c r="CP628" s="54">
        <v>0</v>
      </c>
      <c r="CQ628" s="4">
        <v>0</v>
      </c>
    </row>
    <row r="629" spans="1:95" x14ac:dyDescent="0.35">
      <c r="A629" s="55">
        <v>628</v>
      </c>
      <c r="B629" t="s">
        <v>119</v>
      </c>
      <c r="C629" s="27" t="s">
        <v>901</v>
      </c>
      <c r="D629" s="3" t="s">
        <v>94</v>
      </c>
      <c r="E629" s="33" t="s">
        <v>89</v>
      </c>
      <c r="F629" s="4">
        <f>IFERROR(AVERAGEIF(Table1[[#This Row],[2019-Apr]:[2025-July]],"&lt;&gt;0"),0)</f>
        <v>3.1726315789473687</v>
      </c>
      <c r="G629" s="4">
        <f ca="1">IFERROR(AVERAGEIF(OFFSET(Table1[[#This Row],[Status]],0,COUNT(Table1[[#This Row],[2019-May]:[2025-July]]),1,-12),"&lt;&gt;0"),0)</f>
        <v>2.67875</v>
      </c>
      <c r="H629" s="55">
        <f>IFERROR(SMALL(Table1[[#This Row],[2019-Apr]:[2025-July]],COUNTIF(Table1[[#This Row],[2019-Apr]:[2025-July]],0)+1),0)</f>
        <v>1.8660000000000001</v>
      </c>
      <c r="I629" s="55">
        <f>IFERROR(MAX(Table1[[#This Row],[2019-Apr]:[2025-July]]),0)</f>
        <v>5.48</v>
      </c>
      <c r="J629" s="4" cm="1">
        <f t="array" ref="J62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2.0783333333333336</v>
      </c>
      <c r="K629" s="4">
        <v>4.5</v>
      </c>
      <c r="L629" s="4">
        <f>IF(Table1[[#This Row],[Standard as per ISO]]&gt;=Table1[[#This Row],[Avg of best 6]],Table1[[#This Row],[Standard as per ISO]],Table1[[#This Row],[Avg of best 6]])</f>
        <v>4.5</v>
      </c>
      <c r="M629" s="4" cm="1">
        <f t="array" ref="M629">IFERROR(LOOKUP(2,1/(Table1[[#This Row],[2019-May]:[2025-July]]&lt;&gt;0),Table1[[#This Row],[2019-May]:[2025-July]]),0)</f>
        <v>3.02</v>
      </c>
      <c r="N629" s="4">
        <f>COUNTIF(Table1[[#This Row],[2019-Apr]:[2025-July]],"&gt;="&amp;Table1[[#This Row],[Target]])</f>
        <v>1</v>
      </c>
      <c r="O629" s="4">
        <f>IF(Table1[[#This Row],[Outliers 2Y]]=0,1,0)</f>
        <v>0</v>
      </c>
      <c r="P629" s="4">
        <f>IF(Table1[[#This Row],[Last value]]&gt;1.5*Table1[[#This Row],[Target]],1,0)</f>
        <v>0</v>
      </c>
      <c r="Q629" s="4">
        <f>IF(AND(1.5*Table1[[#This Row],[Target]]&gt;=Table1[[#This Row],[Last value]],Table1[[#This Row],[Last value]]&gt;Table1[[#This Row],[Target]]),1,0)</f>
        <v>0</v>
      </c>
      <c r="R629" s="4">
        <f>IF(Table1[[#This Row],[Target]]&gt;=Table1[[#This Row],[Last value]],1,0)</f>
        <v>1</v>
      </c>
      <c r="S629" s="4" t="str">
        <f t="shared" si="16"/>
        <v>Green</v>
      </c>
      <c r="T629">
        <v>2.74</v>
      </c>
      <c r="U629">
        <v>0</v>
      </c>
      <c r="V629">
        <v>3.53</v>
      </c>
      <c r="W629">
        <v>0</v>
      </c>
      <c r="X629">
        <v>0</v>
      </c>
      <c r="Y629">
        <v>2.95</v>
      </c>
      <c r="Z629">
        <v>0</v>
      </c>
      <c r="AA629">
        <v>0</v>
      </c>
      <c r="AB629">
        <v>2.9</v>
      </c>
      <c r="AC629">
        <v>0</v>
      </c>
      <c r="AD629">
        <v>3.05</v>
      </c>
      <c r="AE629">
        <v>3.7</v>
      </c>
      <c r="AF629">
        <v>3.4</v>
      </c>
      <c r="AG629">
        <v>0</v>
      </c>
      <c r="AH629">
        <v>0</v>
      </c>
      <c r="AI629">
        <v>4.4000000000000004</v>
      </c>
      <c r="AJ629">
        <v>2.8</v>
      </c>
      <c r="AK629">
        <v>2.68</v>
      </c>
      <c r="AL629">
        <v>3.41</v>
      </c>
      <c r="AM629">
        <v>3.4</v>
      </c>
      <c r="AN629">
        <v>3.13</v>
      </c>
      <c r="AO629">
        <v>0</v>
      </c>
      <c r="AP629">
        <v>4.4000000000000004</v>
      </c>
      <c r="AQ629">
        <v>3.66</v>
      </c>
      <c r="AR629" s="8">
        <v>3.92</v>
      </c>
      <c r="AS629" s="8">
        <v>3.12</v>
      </c>
      <c r="AT629" s="8">
        <v>3.71</v>
      </c>
      <c r="AU629" s="3">
        <v>5.48</v>
      </c>
      <c r="AV629" s="3">
        <v>3.9</v>
      </c>
      <c r="AW629" s="3">
        <v>3.32</v>
      </c>
      <c r="AX629" s="3">
        <v>3.29</v>
      </c>
      <c r="AY629" s="3">
        <v>3.42</v>
      </c>
      <c r="AZ629" s="3">
        <v>2</v>
      </c>
      <c r="BA629" s="3">
        <v>0</v>
      </c>
      <c r="BB629" s="3">
        <v>0</v>
      </c>
      <c r="BC629">
        <v>3</v>
      </c>
      <c r="BD629">
        <v>0</v>
      </c>
      <c r="BE629" s="11">
        <v>0</v>
      </c>
      <c r="BF629" s="4">
        <v>0</v>
      </c>
      <c r="BG629" s="4">
        <v>1.8660000000000001</v>
      </c>
      <c r="BH629" s="4">
        <v>0</v>
      </c>
      <c r="BI629" s="4">
        <v>0</v>
      </c>
      <c r="BJ629" s="13">
        <v>0</v>
      </c>
      <c r="BK629" s="13">
        <v>0</v>
      </c>
      <c r="BL629" s="4">
        <v>0</v>
      </c>
      <c r="BM629" s="16">
        <v>0</v>
      </c>
      <c r="BN629" s="4">
        <v>0</v>
      </c>
      <c r="BO629" s="4">
        <v>0</v>
      </c>
      <c r="BP629" s="4">
        <v>0</v>
      </c>
      <c r="BQ629" s="4">
        <v>2.3039999999999998</v>
      </c>
      <c r="BR629" s="4">
        <v>0</v>
      </c>
      <c r="BS629" s="4">
        <v>3.87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>
        <v>0</v>
      </c>
      <c r="CA629">
        <v>0</v>
      </c>
      <c r="CB629">
        <v>0</v>
      </c>
      <c r="CC629">
        <v>2.76</v>
      </c>
      <c r="CD629">
        <v>0</v>
      </c>
      <c r="CE629" s="19">
        <v>0</v>
      </c>
      <c r="CF629" s="19">
        <v>2.5</v>
      </c>
      <c r="CG629" s="4">
        <v>0</v>
      </c>
      <c r="CH629" s="4">
        <v>0</v>
      </c>
      <c r="CI629" s="4">
        <v>0</v>
      </c>
      <c r="CJ629" s="34">
        <v>2</v>
      </c>
      <c r="CK629" s="34">
        <v>2.5</v>
      </c>
      <c r="CL629" s="43">
        <v>2.2999999999999998</v>
      </c>
      <c r="CM629" s="4">
        <v>2</v>
      </c>
      <c r="CN629" s="53">
        <v>2.82</v>
      </c>
      <c r="CO629" s="54">
        <v>3.91</v>
      </c>
      <c r="CP629" s="54">
        <v>3.4</v>
      </c>
      <c r="CQ629" s="4">
        <v>3.02</v>
      </c>
    </row>
    <row r="630" spans="1:95" x14ac:dyDescent="0.35">
      <c r="A630" s="55">
        <v>629</v>
      </c>
      <c r="B630" t="s">
        <v>119</v>
      </c>
      <c r="C630" s="27" t="s">
        <v>902</v>
      </c>
      <c r="D630" s="3" t="s">
        <v>94</v>
      </c>
      <c r="E630" s="33" t="s">
        <v>89</v>
      </c>
      <c r="F630" s="4">
        <f>IFERROR(AVERAGEIF(Table1[[#This Row],[2019-Apr]:[2025-July]],"&lt;&gt;0"),0)</f>
        <v>3.7491538461538463</v>
      </c>
      <c r="G630" s="4">
        <f ca="1">IFERROR(AVERAGEIF(OFFSET(Table1[[#This Row],[Status]],0,COUNT(Table1[[#This Row],[2019-May]:[2025-July]]),1,-12),"&lt;&gt;0"),0)</f>
        <v>4.0875000000000004</v>
      </c>
      <c r="H630" s="55">
        <f>IFERROR(SMALL(Table1[[#This Row],[2019-Apr]:[2025-July]],COUNTIF(Table1[[#This Row],[2019-Apr]:[2025-July]],0)+1),0)</f>
        <v>1.75</v>
      </c>
      <c r="I630" s="55">
        <f>IFERROR(MAX(Table1[[#This Row],[2019-Apr]:[2025-July]]),0)</f>
        <v>5.3</v>
      </c>
      <c r="J630" s="4" cm="1">
        <f t="array" ref="J63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2.2871666666666668</v>
      </c>
      <c r="K630" s="4">
        <v>4.5</v>
      </c>
      <c r="L630" s="4">
        <f>IF(Table1[[#This Row],[Standard as per ISO]]&gt;=Table1[[#This Row],[Avg of best 6]],Table1[[#This Row],[Standard as per ISO]],Table1[[#This Row],[Avg of best 6]])</f>
        <v>4.5</v>
      </c>
      <c r="M630" s="4" cm="1">
        <f t="array" ref="M630">IFERROR(LOOKUP(2,1/(Table1[[#This Row],[2019-May]:[2025-July]]&lt;&gt;0),Table1[[#This Row],[2019-May]:[2025-July]]),0)</f>
        <v>4.33</v>
      </c>
      <c r="N630" s="4">
        <f>COUNTIF(Table1[[#This Row],[2019-Apr]:[2025-July]],"&gt;="&amp;Table1[[#This Row],[Target]])</f>
        <v>8</v>
      </c>
      <c r="O630" s="4">
        <f>IF(Table1[[#This Row],[Outliers 2Y]]=0,1,0)</f>
        <v>0</v>
      </c>
      <c r="P630" s="4">
        <f>IF(Table1[[#This Row],[Last value]]&gt;1.5*Table1[[#This Row],[Target]],1,0)</f>
        <v>0</v>
      </c>
      <c r="Q630" s="4">
        <f>IF(AND(1.5*Table1[[#This Row],[Target]]&gt;=Table1[[#This Row],[Last value]],Table1[[#This Row],[Last value]]&gt;Table1[[#This Row],[Target]]),1,0)</f>
        <v>0</v>
      </c>
      <c r="R630" s="4">
        <f>IF(Table1[[#This Row],[Target]]&gt;=Table1[[#This Row],[Last value]],1,0)</f>
        <v>1</v>
      </c>
      <c r="S630" s="4" t="str">
        <f t="shared" si="16"/>
        <v>Green</v>
      </c>
      <c r="T630">
        <v>4.1399999999999997</v>
      </c>
      <c r="U630">
        <v>3.03</v>
      </c>
      <c r="V630">
        <v>3.69</v>
      </c>
      <c r="W630">
        <v>2.64</v>
      </c>
      <c r="X630">
        <v>2.64</v>
      </c>
      <c r="Y630">
        <v>3.1</v>
      </c>
      <c r="Z630">
        <v>3.38</v>
      </c>
      <c r="AA630">
        <v>0</v>
      </c>
      <c r="AB630">
        <v>2.4</v>
      </c>
      <c r="AC630">
        <v>4</v>
      </c>
      <c r="AD630">
        <v>2.82</v>
      </c>
      <c r="AE630">
        <v>3.3</v>
      </c>
      <c r="AF630">
        <v>2.4</v>
      </c>
      <c r="AG630">
        <v>2.8</v>
      </c>
      <c r="AH630">
        <v>3.2</v>
      </c>
      <c r="AI630">
        <v>4.2300000000000004</v>
      </c>
      <c r="AJ630">
        <v>3.6</v>
      </c>
      <c r="AK630">
        <v>3.25</v>
      </c>
      <c r="AL630">
        <v>3.3</v>
      </c>
      <c r="AM630">
        <v>4</v>
      </c>
      <c r="AN630">
        <v>5.2</v>
      </c>
      <c r="AO630">
        <v>0</v>
      </c>
      <c r="AP630">
        <v>3.9</v>
      </c>
      <c r="AQ630">
        <v>3.77</v>
      </c>
      <c r="AR630" s="8">
        <v>3.85</v>
      </c>
      <c r="AS630" s="8">
        <v>4.1399999999999997</v>
      </c>
      <c r="AT630" s="8">
        <v>4.4400000000000004</v>
      </c>
      <c r="AU630" s="3">
        <v>3.65</v>
      </c>
      <c r="AV630" s="3">
        <v>0</v>
      </c>
      <c r="AW630" s="3">
        <v>4.63</v>
      </c>
      <c r="AX630" s="3">
        <v>0</v>
      </c>
      <c r="AY630" s="3">
        <v>3.67</v>
      </c>
      <c r="AZ630" s="3">
        <v>4</v>
      </c>
      <c r="BA630" s="3">
        <v>4</v>
      </c>
      <c r="BB630" s="3">
        <v>3.5</v>
      </c>
      <c r="BC630">
        <v>4.5999999999999996</v>
      </c>
      <c r="BD630">
        <v>4.5999999999999996</v>
      </c>
      <c r="BE630" s="11">
        <v>0</v>
      </c>
      <c r="BF630" s="4">
        <v>4.4429999999999996</v>
      </c>
      <c r="BG630" s="4">
        <v>1.893</v>
      </c>
      <c r="BH630" s="4">
        <v>0</v>
      </c>
      <c r="BI630" s="4">
        <v>0</v>
      </c>
      <c r="BJ630" s="14">
        <v>4.8460000000000001</v>
      </c>
      <c r="BK630" s="14">
        <v>3.2789999999999999</v>
      </c>
      <c r="BL630" s="4">
        <v>0</v>
      </c>
      <c r="BM630" s="17">
        <v>0</v>
      </c>
      <c r="BN630" s="4">
        <v>0</v>
      </c>
      <c r="BO630" s="4">
        <v>0</v>
      </c>
      <c r="BP630" s="4">
        <v>0</v>
      </c>
      <c r="BQ630" s="4">
        <v>4.6180000000000003</v>
      </c>
      <c r="BR630" s="4">
        <v>0</v>
      </c>
      <c r="BS630" s="4">
        <v>1.75</v>
      </c>
      <c r="BT630" s="4">
        <v>0</v>
      </c>
      <c r="BU630" s="4">
        <v>0</v>
      </c>
      <c r="BV630" s="4">
        <v>3.6070000000000002</v>
      </c>
      <c r="BW630" s="4">
        <v>0</v>
      </c>
      <c r="BX630" s="4">
        <v>0</v>
      </c>
      <c r="BY630" s="4">
        <v>4.05</v>
      </c>
      <c r="BZ630">
        <v>5.12</v>
      </c>
      <c r="CA630">
        <v>0</v>
      </c>
      <c r="CB630">
        <v>0</v>
      </c>
      <c r="CC630">
        <v>4.45</v>
      </c>
      <c r="CD630">
        <v>0</v>
      </c>
      <c r="CE630" s="19">
        <v>0</v>
      </c>
      <c r="CF630" s="19">
        <v>4.3</v>
      </c>
      <c r="CG630" s="4">
        <v>0</v>
      </c>
      <c r="CH630" s="4">
        <v>0</v>
      </c>
      <c r="CI630" s="4">
        <v>0</v>
      </c>
      <c r="CJ630" s="34">
        <v>4.3</v>
      </c>
      <c r="CK630" s="34">
        <v>4.4000000000000004</v>
      </c>
      <c r="CL630" s="43">
        <v>3.8</v>
      </c>
      <c r="CM630" s="4">
        <v>3.9</v>
      </c>
      <c r="CN630" s="53">
        <v>3.2</v>
      </c>
      <c r="CO630" s="54">
        <v>5.3</v>
      </c>
      <c r="CP630" s="54">
        <v>3.5</v>
      </c>
      <c r="CQ630" s="4">
        <v>4.33</v>
      </c>
    </row>
    <row r="631" spans="1:95" x14ac:dyDescent="0.35">
      <c r="A631" s="55">
        <v>630</v>
      </c>
      <c r="B631" t="s">
        <v>119</v>
      </c>
      <c r="C631" s="27" t="s">
        <v>903</v>
      </c>
      <c r="D631" s="3" t="s">
        <v>94</v>
      </c>
      <c r="E631" s="33" t="s">
        <v>89</v>
      </c>
      <c r="F631" s="4">
        <f>IFERROR(AVERAGEIF(Table1[[#This Row],[2019-Apr]:[2025-July]],"&lt;&gt;0"),0)</f>
        <v>3.9796666666666667</v>
      </c>
      <c r="G631" s="4">
        <f ca="1">IFERROR(AVERAGEIF(OFFSET(Table1[[#This Row],[Status]],0,COUNT(Table1[[#This Row],[2019-May]:[2025-July]]),1,-12),"&lt;&gt;0"),0)</f>
        <v>4.0874999999999995</v>
      </c>
      <c r="H631" s="55">
        <f>IFERROR(SMALL(Table1[[#This Row],[2019-Apr]:[2025-July]],COUNTIF(Table1[[#This Row],[2019-Apr]:[2025-July]],0)+1),0)</f>
        <v>2.2709999999999999</v>
      </c>
      <c r="I631" s="55">
        <f>IFERROR(MAX(Table1[[#This Row],[2019-Apr]:[2025-July]]),0)</f>
        <v>5.63</v>
      </c>
      <c r="J631" s="4" cm="1">
        <f t="array" ref="J63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2.8885000000000001</v>
      </c>
      <c r="K631" s="4">
        <v>4.5</v>
      </c>
      <c r="L631" s="4">
        <f>IF(Table1[[#This Row],[Standard as per ISO]]&gt;=Table1[[#This Row],[Avg of best 6]],Table1[[#This Row],[Standard as per ISO]],Table1[[#This Row],[Avg of best 6]])</f>
        <v>4.5</v>
      </c>
      <c r="M631" s="4" cm="1">
        <f t="array" ref="M631">IFERROR(LOOKUP(2,1/(Table1[[#This Row],[2019-May]:[2025-July]]&lt;&gt;0),Table1[[#This Row],[2019-May]:[2025-July]]),0)</f>
        <v>3.88</v>
      </c>
      <c r="N631" s="4">
        <f>COUNTIF(Table1[[#This Row],[2019-Apr]:[2025-July]],"&gt;="&amp;Table1[[#This Row],[Target]])</f>
        <v>7</v>
      </c>
      <c r="O631" s="4">
        <f>IF(Table1[[#This Row],[Outliers 2Y]]=0,1,0)</f>
        <v>0</v>
      </c>
      <c r="P631" s="4">
        <f>IF(Table1[[#This Row],[Last value]]&gt;1.5*Table1[[#This Row],[Target]],1,0)</f>
        <v>0</v>
      </c>
      <c r="Q631" s="4">
        <f>IF(AND(1.5*Table1[[#This Row],[Target]]&gt;=Table1[[#This Row],[Last value]],Table1[[#This Row],[Last value]]&gt;Table1[[#This Row],[Target]]),1,0)</f>
        <v>0</v>
      </c>
      <c r="R631" s="4">
        <f>IF(Table1[[#This Row],[Target]]&gt;=Table1[[#This Row],[Last value]],1,0)</f>
        <v>1</v>
      </c>
      <c r="S631" s="4" t="str">
        <f t="shared" si="16"/>
        <v>Green</v>
      </c>
      <c r="T631">
        <v>3.76</v>
      </c>
      <c r="U631">
        <v>3.81</v>
      </c>
      <c r="V631">
        <v>4.13</v>
      </c>
      <c r="W631">
        <v>3.13</v>
      </c>
      <c r="X631">
        <v>3.92</v>
      </c>
      <c r="Y631">
        <v>2.86</v>
      </c>
      <c r="Z631">
        <v>3.46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4.3</v>
      </c>
      <c r="AI631">
        <v>2.6</v>
      </c>
      <c r="AJ631">
        <v>0</v>
      </c>
      <c r="AK631">
        <v>3.27</v>
      </c>
      <c r="AL631">
        <v>3.27</v>
      </c>
      <c r="AM631">
        <v>4.4000000000000004</v>
      </c>
      <c r="AN631">
        <v>5.03</v>
      </c>
      <c r="AO631">
        <v>0</v>
      </c>
      <c r="AP631">
        <v>5.63</v>
      </c>
      <c r="AQ631">
        <v>5.26</v>
      </c>
      <c r="AR631" s="8">
        <v>4.91</v>
      </c>
      <c r="AS631" s="8">
        <v>0</v>
      </c>
      <c r="AT631" s="8">
        <v>0</v>
      </c>
      <c r="AU631" s="3">
        <v>0</v>
      </c>
      <c r="AV631" s="3">
        <v>3.74</v>
      </c>
      <c r="AW631" s="3">
        <v>5.35</v>
      </c>
      <c r="AX631" s="3">
        <v>3.77</v>
      </c>
      <c r="AY631" s="3">
        <v>3.48</v>
      </c>
      <c r="AZ631" s="3">
        <v>3.3</v>
      </c>
      <c r="BA631" s="3">
        <v>0</v>
      </c>
      <c r="BB631" s="3">
        <v>0</v>
      </c>
      <c r="BC631" s="3">
        <v>0</v>
      </c>
      <c r="BD631">
        <v>0</v>
      </c>
      <c r="BE631" s="11">
        <v>3.2</v>
      </c>
      <c r="BF631" s="4">
        <v>0</v>
      </c>
      <c r="BG631" s="4">
        <v>4.5049999999999999</v>
      </c>
      <c r="BH631" s="4">
        <v>0</v>
      </c>
      <c r="BI631" s="4">
        <v>0</v>
      </c>
      <c r="BJ631" s="13">
        <v>4.4909999999999997</v>
      </c>
      <c r="BK631" s="13">
        <v>3.484</v>
      </c>
      <c r="BL631" s="4">
        <v>0</v>
      </c>
      <c r="BM631" s="16">
        <v>0</v>
      </c>
      <c r="BN631" s="4">
        <v>0</v>
      </c>
      <c r="BO631" s="4">
        <v>0</v>
      </c>
      <c r="BP631" s="4">
        <v>0</v>
      </c>
      <c r="BQ631" s="4">
        <v>4.1719999999999997</v>
      </c>
      <c r="BR631" s="4">
        <v>0</v>
      </c>
      <c r="BS631" s="4">
        <v>2.2709999999999999</v>
      </c>
      <c r="BT631" s="4">
        <v>0</v>
      </c>
      <c r="BU631" s="4">
        <v>0</v>
      </c>
      <c r="BV631" s="4">
        <v>3.9740000000000002</v>
      </c>
      <c r="BW631" s="4">
        <v>0</v>
      </c>
      <c r="BX631" s="4">
        <v>0</v>
      </c>
      <c r="BY631" s="4">
        <v>4.41</v>
      </c>
      <c r="BZ631">
        <v>4.74</v>
      </c>
      <c r="CA631">
        <v>0</v>
      </c>
      <c r="CB631">
        <v>0</v>
      </c>
      <c r="CC631">
        <v>0</v>
      </c>
      <c r="CD631">
        <v>0</v>
      </c>
      <c r="CE631" s="19">
        <v>4.2</v>
      </c>
      <c r="CF631" s="19">
        <v>0</v>
      </c>
      <c r="CG631" s="4">
        <v>0</v>
      </c>
      <c r="CH631" s="4">
        <v>0</v>
      </c>
      <c r="CI631" s="4">
        <v>0</v>
      </c>
      <c r="CJ631" s="34">
        <v>3.7</v>
      </c>
      <c r="CK631" s="34">
        <v>4.0999999999999996</v>
      </c>
      <c r="CL631" s="43">
        <v>4.0999999999999996</v>
      </c>
      <c r="CM631" s="4">
        <v>3.5</v>
      </c>
      <c r="CN631" s="53">
        <v>4.4000000000000004</v>
      </c>
      <c r="CO631" s="54">
        <v>4.4000000000000004</v>
      </c>
      <c r="CP631" s="54">
        <v>4.3</v>
      </c>
      <c r="CQ631" s="4">
        <v>3.88</v>
      </c>
    </row>
    <row r="632" spans="1:95" x14ac:dyDescent="0.35">
      <c r="A632" s="55">
        <v>631</v>
      </c>
      <c r="B632" t="s">
        <v>119</v>
      </c>
      <c r="C632" s="27" t="s">
        <v>904</v>
      </c>
      <c r="D632" s="3" t="s">
        <v>94</v>
      </c>
      <c r="E632" s="33" t="s">
        <v>89</v>
      </c>
      <c r="F632" s="4">
        <f>IFERROR(AVERAGEIF(Table1[[#This Row],[2019-Apr]:[2025-July]],"&lt;&gt;0"),0)</f>
        <v>4.12734693877551</v>
      </c>
      <c r="G632" s="4">
        <f ca="1">IFERROR(AVERAGEIF(OFFSET(Table1[[#This Row],[Status]],0,COUNT(Table1[[#This Row],[2019-May]:[2025-July]]),1,-12),"&lt;&gt;0"),0)</f>
        <v>4.2569999999999997</v>
      </c>
      <c r="H632" s="55">
        <f>IFERROR(SMALL(Table1[[#This Row],[2019-Apr]:[2025-July]],COUNTIF(Table1[[#This Row],[2019-Apr]:[2025-July]],0)+1),0)</f>
        <v>2.117</v>
      </c>
      <c r="I632" s="55">
        <f>IFERROR(MAX(Table1[[#This Row],[2019-Apr]:[2025-July]]),0)</f>
        <v>6.3</v>
      </c>
      <c r="J632" s="4" cm="1">
        <f t="array" ref="J63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2.9018333333333337</v>
      </c>
      <c r="K632" s="4">
        <v>4.5</v>
      </c>
      <c r="L632" s="4">
        <f>IF(Table1[[#This Row],[Standard as per ISO]]&gt;=Table1[[#This Row],[Avg of best 6]],Table1[[#This Row],[Standard as per ISO]],Table1[[#This Row],[Avg of best 6]])</f>
        <v>4.5</v>
      </c>
      <c r="M632" s="4" cm="1">
        <f t="array" ref="M632">IFERROR(LOOKUP(2,1/(Table1[[#This Row],[2019-May]:[2025-July]]&lt;&gt;0),Table1[[#This Row],[2019-May]:[2025-July]]),0)</f>
        <v>3.68</v>
      </c>
      <c r="N632" s="4">
        <f>COUNTIF(Table1[[#This Row],[2019-Apr]:[2025-July]],"&gt;="&amp;Table1[[#This Row],[Target]])</f>
        <v>17</v>
      </c>
      <c r="O632" s="4">
        <f>IF(Table1[[#This Row],[Outliers 2Y]]=0,1,0)</f>
        <v>0</v>
      </c>
      <c r="P632" s="4">
        <f>IF(Table1[[#This Row],[Last value]]&gt;1.5*Table1[[#This Row],[Target]],1,0)</f>
        <v>0</v>
      </c>
      <c r="Q632" s="4">
        <f>IF(AND(1.5*Table1[[#This Row],[Target]]&gt;=Table1[[#This Row],[Last value]],Table1[[#This Row],[Last value]]&gt;Table1[[#This Row],[Target]]),1,0)</f>
        <v>0</v>
      </c>
      <c r="R632" s="4">
        <f>IF(Table1[[#This Row],[Target]]&gt;=Table1[[#This Row],[Last value]],1,0)</f>
        <v>1</v>
      </c>
      <c r="S632" s="4" t="str">
        <f t="shared" si="16"/>
        <v>Green</v>
      </c>
      <c r="T632">
        <v>3.08</v>
      </c>
      <c r="U632">
        <v>4.0199999999999996</v>
      </c>
      <c r="V632">
        <v>4.8600000000000003</v>
      </c>
      <c r="W632">
        <v>3.63</v>
      </c>
      <c r="X632">
        <v>3.8</v>
      </c>
      <c r="Y632">
        <v>5.23</v>
      </c>
      <c r="Z632">
        <v>3.72</v>
      </c>
      <c r="AA632">
        <v>0</v>
      </c>
      <c r="AB632">
        <v>5.2</v>
      </c>
      <c r="AC632">
        <v>4.1500000000000004</v>
      </c>
      <c r="AD632">
        <v>5.0999999999999996</v>
      </c>
      <c r="AE632">
        <v>3.4</v>
      </c>
      <c r="AF632">
        <v>4.5</v>
      </c>
      <c r="AG632">
        <v>4.5999999999999996</v>
      </c>
      <c r="AH632">
        <v>4.3</v>
      </c>
      <c r="AI632">
        <v>4.3899999999999997</v>
      </c>
      <c r="AJ632">
        <v>3.97</v>
      </c>
      <c r="AK632">
        <v>0</v>
      </c>
      <c r="AL632">
        <v>4.3499999999999996</v>
      </c>
      <c r="AM632">
        <v>5.0999999999999996</v>
      </c>
      <c r="AN632">
        <v>5.38</v>
      </c>
      <c r="AO632">
        <v>0</v>
      </c>
      <c r="AP632">
        <v>0</v>
      </c>
      <c r="AQ632">
        <v>4.7300000000000004</v>
      </c>
      <c r="AR632" s="8">
        <v>0</v>
      </c>
      <c r="AS632" s="8">
        <v>5.0599999999999996</v>
      </c>
      <c r="AT632" s="8">
        <v>4.75</v>
      </c>
      <c r="AU632" s="3">
        <v>4.53</v>
      </c>
      <c r="AV632" s="3">
        <v>4.05</v>
      </c>
      <c r="AW632" s="3">
        <v>5.8</v>
      </c>
      <c r="AX632" s="3">
        <v>3.36</v>
      </c>
      <c r="AY632" s="3">
        <v>0</v>
      </c>
      <c r="AZ632" s="3">
        <v>0</v>
      </c>
      <c r="BA632" s="3">
        <v>3.8</v>
      </c>
      <c r="BB632" s="3">
        <v>3</v>
      </c>
      <c r="BC632">
        <v>2.8</v>
      </c>
      <c r="BD632">
        <v>0</v>
      </c>
      <c r="BE632" s="11">
        <v>3.012</v>
      </c>
      <c r="BF632" s="4">
        <v>4.2249999999999996</v>
      </c>
      <c r="BG632" s="4">
        <v>3.754</v>
      </c>
      <c r="BH632" s="4">
        <v>0</v>
      </c>
      <c r="BI632" s="4">
        <v>0</v>
      </c>
      <c r="BJ632" s="14">
        <v>3.1379999999999999</v>
      </c>
      <c r="BK632" s="14">
        <v>3.3439999999999999</v>
      </c>
      <c r="BL632" s="4">
        <v>0</v>
      </c>
      <c r="BM632" s="17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2.117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4.3099999999999996</v>
      </c>
      <c r="BZ632">
        <v>3.9</v>
      </c>
      <c r="CA632">
        <v>0</v>
      </c>
      <c r="CB632">
        <v>0</v>
      </c>
      <c r="CC632">
        <v>3.53</v>
      </c>
      <c r="CD632">
        <v>0</v>
      </c>
      <c r="CE632" s="19">
        <v>0</v>
      </c>
      <c r="CF632" s="19">
        <v>6.3</v>
      </c>
      <c r="CG632" s="4">
        <v>3.47</v>
      </c>
      <c r="CH632" s="4">
        <v>5.25</v>
      </c>
      <c r="CI632" s="4">
        <v>0</v>
      </c>
      <c r="CJ632" s="34">
        <v>5</v>
      </c>
      <c r="CK632" s="34">
        <v>3.7</v>
      </c>
      <c r="CL632" s="43">
        <v>4.5</v>
      </c>
      <c r="CM632" s="4">
        <v>3.8</v>
      </c>
      <c r="CN632" s="53">
        <v>3.5</v>
      </c>
      <c r="CO632" s="54">
        <v>3.65</v>
      </c>
      <c r="CP632" s="54">
        <v>3.4</v>
      </c>
      <c r="CQ632" s="4">
        <v>3.68</v>
      </c>
    </row>
    <row r="633" spans="1:95" x14ac:dyDescent="0.35">
      <c r="A633" s="55">
        <v>632</v>
      </c>
      <c r="B633" t="s">
        <v>119</v>
      </c>
      <c r="C633" s="27" t="s">
        <v>905</v>
      </c>
      <c r="D633" s="3" t="s">
        <v>94</v>
      </c>
      <c r="E633" s="33" t="s">
        <v>89</v>
      </c>
      <c r="F633" s="4">
        <f>IFERROR(AVERAGEIF(Table1[[#This Row],[2019-Apr]:[2025-July]],"&lt;&gt;0"),0)</f>
        <v>4.0277187500000018</v>
      </c>
      <c r="G633" s="4">
        <f ca="1">IFERROR(AVERAGEIF(OFFSET(Table1[[#This Row],[Status]],0,COUNT(Table1[[#This Row],[2019-May]:[2025-July]]),1,-12),"&lt;&gt;0"),0)</f>
        <v>5.59</v>
      </c>
      <c r="H633" s="55">
        <f>IFERROR(SMALL(Table1[[#This Row],[2019-Apr]:[2025-July]],COUNTIF(Table1[[#This Row],[2019-Apr]:[2025-July]],0)+1),0)</f>
        <v>3.0649999999999999</v>
      </c>
      <c r="I633" s="55">
        <f>IFERROR(MAX(Table1[[#This Row],[2019-Apr]:[2025-July]]),0)</f>
        <v>7.3</v>
      </c>
      <c r="J633" s="4" cm="1">
        <f t="array" ref="J63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3.188333333333333</v>
      </c>
      <c r="K633" s="4">
        <v>4.5</v>
      </c>
      <c r="L633" s="4">
        <f>IF(Table1[[#This Row],[Standard as per ISO]]&gt;=Table1[[#This Row],[Avg of best 6]],Table1[[#This Row],[Standard as per ISO]],Table1[[#This Row],[Avg of best 6]])</f>
        <v>4.5</v>
      </c>
      <c r="M633" s="4" cm="1">
        <f t="array" ref="M633">IFERROR(LOOKUP(2,1/(Table1[[#This Row],[2019-May]:[2025-July]]&lt;&gt;0),Table1[[#This Row],[2019-May]:[2025-July]]),0)</f>
        <v>3.88</v>
      </c>
      <c r="N633" s="4">
        <f>COUNTIF(Table1[[#This Row],[2019-Apr]:[2025-July]],"&gt;="&amp;Table1[[#This Row],[Target]])</f>
        <v>7</v>
      </c>
      <c r="O633" s="4">
        <f>IF(Table1[[#This Row],[Outliers 2Y]]=0,1,0)</f>
        <v>0</v>
      </c>
      <c r="P633" s="4">
        <f>IF(Table1[[#This Row],[Last value]]&gt;1.5*Table1[[#This Row],[Target]],1,0)</f>
        <v>0</v>
      </c>
      <c r="Q633" s="4">
        <f>IF(AND(1.5*Table1[[#This Row],[Target]]&gt;=Table1[[#This Row],[Last value]],Table1[[#This Row],[Last value]]&gt;Table1[[#This Row],[Target]]),1,0)</f>
        <v>0</v>
      </c>
      <c r="R633" s="4">
        <f>IF(Table1[[#This Row],[Target]]&gt;=Table1[[#This Row],[Last value]],1,0)</f>
        <v>1</v>
      </c>
      <c r="S633" s="4" t="str">
        <f t="shared" si="16"/>
        <v>Green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4.96</v>
      </c>
      <c r="Z633">
        <v>0</v>
      </c>
      <c r="AA633">
        <v>0</v>
      </c>
      <c r="AB633">
        <v>4.3</v>
      </c>
      <c r="AC633">
        <v>4.57</v>
      </c>
      <c r="AD633">
        <v>3.47</v>
      </c>
      <c r="AE633">
        <v>3.6</v>
      </c>
      <c r="AF633">
        <v>3.9</v>
      </c>
      <c r="AG633">
        <v>4.3</v>
      </c>
      <c r="AH633">
        <v>0</v>
      </c>
      <c r="AI633">
        <v>0</v>
      </c>
      <c r="AJ633">
        <v>3.7</v>
      </c>
      <c r="AK633">
        <v>3.94</v>
      </c>
      <c r="AL633">
        <v>0</v>
      </c>
      <c r="AM633">
        <v>0</v>
      </c>
      <c r="AN633">
        <v>0</v>
      </c>
      <c r="AO633">
        <v>0</v>
      </c>
      <c r="AP633">
        <v>3.71</v>
      </c>
      <c r="AQ633">
        <v>0</v>
      </c>
      <c r="AR633" s="8">
        <v>3.77</v>
      </c>
      <c r="AS633" s="8">
        <v>5.44</v>
      </c>
      <c r="AT633" s="8">
        <v>4.2</v>
      </c>
      <c r="AU633" s="3">
        <v>3.74</v>
      </c>
      <c r="AV633" s="3">
        <v>4.2300000000000004</v>
      </c>
      <c r="AW633" s="3">
        <v>0</v>
      </c>
      <c r="AX633" s="3">
        <v>4.12</v>
      </c>
      <c r="AY633" s="3">
        <v>3.15</v>
      </c>
      <c r="AZ633" s="3">
        <v>3.7</v>
      </c>
      <c r="BA633" s="3">
        <v>3.3</v>
      </c>
      <c r="BB633" s="3">
        <v>4.5</v>
      </c>
      <c r="BC633">
        <v>3.2</v>
      </c>
      <c r="BD633">
        <v>3.2</v>
      </c>
      <c r="BE633" s="11">
        <v>3.4740000000000002</v>
      </c>
      <c r="BF633" s="4">
        <v>4.9409999999999998</v>
      </c>
      <c r="BG633" s="4">
        <v>3.468</v>
      </c>
      <c r="BH633" s="4">
        <v>0</v>
      </c>
      <c r="BI633" s="4">
        <v>4.5960000000000001</v>
      </c>
      <c r="BJ633" s="13">
        <v>4.0179999999999998</v>
      </c>
      <c r="BK633" s="13">
        <v>0</v>
      </c>
      <c r="BL633" s="4">
        <v>0</v>
      </c>
      <c r="BM633" s="16">
        <v>0</v>
      </c>
      <c r="BN633" s="4">
        <v>0</v>
      </c>
      <c r="BO633" s="4">
        <v>0</v>
      </c>
      <c r="BP633" s="4">
        <v>0</v>
      </c>
      <c r="BQ633" s="4">
        <v>3.2149999999999999</v>
      </c>
      <c r="BR633" s="4">
        <v>0</v>
      </c>
      <c r="BS633" s="4">
        <v>0</v>
      </c>
      <c r="BT633" s="4">
        <v>0</v>
      </c>
      <c r="BU633" s="4">
        <v>0</v>
      </c>
      <c r="BV633" s="4">
        <v>3.0649999999999999</v>
      </c>
      <c r="BW633" s="4">
        <v>0</v>
      </c>
      <c r="BX633" s="4">
        <v>0</v>
      </c>
      <c r="BY633" s="4">
        <v>0</v>
      </c>
      <c r="BZ633">
        <v>0</v>
      </c>
      <c r="CA633">
        <v>0</v>
      </c>
      <c r="CB633">
        <v>0</v>
      </c>
      <c r="CC633">
        <v>3.93</v>
      </c>
      <c r="CD633">
        <v>0</v>
      </c>
      <c r="CE633" s="19">
        <v>0</v>
      </c>
      <c r="CF633" s="19">
        <v>7.3</v>
      </c>
      <c r="CG633" s="4">
        <v>3.88</v>
      </c>
      <c r="CH633" s="4">
        <v>0</v>
      </c>
      <c r="CI633" s="4">
        <v>0</v>
      </c>
      <c r="CJ633" s="34">
        <v>0</v>
      </c>
      <c r="CK633" s="34">
        <v>0</v>
      </c>
      <c r="CL633" s="43">
        <v>0</v>
      </c>
      <c r="CM633" s="4">
        <v>0</v>
      </c>
      <c r="CN633" s="53">
        <v>0</v>
      </c>
      <c r="CO633" s="54">
        <v>0</v>
      </c>
      <c r="CP633" s="54">
        <v>0</v>
      </c>
      <c r="CQ633" s="4">
        <v>0</v>
      </c>
    </row>
    <row r="634" spans="1:95" x14ac:dyDescent="0.35">
      <c r="A634" s="55">
        <v>633</v>
      </c>
      <c r="B634" t="s">
        <v>119</v>
      </c>
      <c r="C634" s="27" t="s">
        <v>906</v>
      </c>
      <c r="D634" s="3" t="s">
        <v>103</v>
      </c>
      <c r="E634" s="33" t="s">
        <v>89</v>
      </c>
      <c r="F634" s="4">
        <f>IFERROR(AVERAGEIF(Table1[[#This Row],[2019-Apr]:[2025-July]],"&lt;&gt;0"),0)</f>
        <v>2.9616249999999988</v>
      </c>
      <c r="G634" s="4">
        <f ca="1">IFERROR(AVERAGEIF(OFFSET(Table1[[#This Row],[Status]],0,COUNT(Table1[[#This Row],[2019-May]:[2025-July]]),1,-12),"&lt;&gt;0"),0)</f>
        <v>3.42</v>
      </c>
      <c r="H634" s="55">
        <f>IFERROR(SMALL(Table1[[#This Row],[2019-Apr]:[2025-July]],COUNTIF(Table1[[#This Row],[2019-Apr]:[2025-July]],0)+1),0)</f>
        <v>1.64</v>
      </c>
      <c r="I634" s="55">
        <f>IFERROR(MAX(Table1[[#This Row],[2019-Apr]:[2025-July]]),0)</f>
        <v>5.5</v>
      </c>
      <c r="J634" s="4" cm="1">
        <f t="array" ref="J63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1.79</v>
      </c>
      <c r="K634" s="4">
        <v>4.5</v>
      </c>
      <c r="L634" s="4">
        <f>IF(Table1[[#This Row],[Standard as per ISO]]&gt;=Table1[[#This Row],[Avg of best 6]],Table1[[#This Row],[Standard as per ISO]],Table1[[#This Row],[Avg of best 6]])</f>
        <v>4.5</v>
      </c>
      <c r="M634" s="4" cm="1">
        <f t="array" ref="M634">IFERROR(LOOKUP(2,1/(Table1[[#This Row],[2019-May]:[2025-July]]&lt;&gt;0),Table1[[#This Row],[2019-May]:[2025-July]]),0)</f>
        <v>2.7</v>
      </c>
      <c r="N634" s="4">
        <f>COUNTIF(Table1[[#This Row],[2019-Apr]:[2025-July]],"&gt;="&amp;Table1[[#This Row],[Target]])</f>
        <v>3</v>
      </c>
      <c r="O634" s="4">
        <f>IF(Table1[[#This Row],[Outliers 2Y]]=0,1,0)</f>
        <v>0</v>
      </c>
      <c r="P634" s="4">
        <f>IF(Table1[[#This Row],[Last value]]&gt;1.5*Table1[[#This Row],[Target]],1,0)</f>
        <v>0</v>
      </c>
      <c r="Q634" s="4">
        <f>IF(AND(1.5*Table1[[#This Row],[Target]]&gt;=Table1[[#This Row],[Last value]],Table1[[#This Row],[Last value]]&gt;Table1[[#This Row],[Target]]),1,0)</f>
        <v>0</v>
      </c>
      <c r="R634" s="4">
        <f>IF(Table1[[#This Row],[Target]]&gt;=Table1[[#This Row],[Last value]],1,0)</f>
        <v>1</v>
      </c>
      <c r="S634" s="4" t="str">
        <f t="shared" si="16"/>
        <v>Green</v>
      </c>
      <c r="T634">
        <v>2.2799999999999998</v>
      </c>
      <c r="U634">
        <v>0</v>
      </c>
      <c r="V634">
        <v>2.29</v>
      </c>
      <c r="W634">
        <v>3.2</v>
      </c>
      <c r="X634">
        <v>0</v>
      </c>
      <c r="Y634">
        <v>2.94</v>
      </c>
      <c r="Z634">
        <v>4.2300000000000004</v>
      </c>
      <c r="AA634">
        <v>0</v>
      </c>
      <c r="AB634">
        <v>3</v>
      </c>
      <c r="AC634">
        <v>4.6399999999999997</v>
      </c>
      <c r="AD634">
        <v>4.3</v>
      </c>
      <c r="AE634">
        <v>2.2000000000000002</v>
      </c>
      <c r="AF634">
        <v>3.4</v>
      </c>
      <c r="AG634">
        <v>3.4</v>
      </c>
      <c r="AH634">
        <v>3.75</v>
      </c>
      <c r="AI634">
        <v>2.66</v>
      </c>
      <c r="AJ634">
        <v>3</v>
      </c>
      <c r="AK634">
        <v>1.64</v>
      </c>
      <c r="AL634">
        <v>2.81</v>
      </c>
      <c r="AM634">
        <v>2.97</v>
      </c>
      <c r="AN634">
        <v>2.95</v>
      </c>
      <c r="AO634">
        <v>0</v>
      </c>
      <c r="AP634">
        <v>2.98</v>
      </c>
      <c r="AQ634">
        <v>2.33</v>
      </c>
      <c r="AR634" s="8">
        <v>2.1</v>
      </c>
      <c r="AS634" s="8">
        <v>1.7</v>
      </c>
      <c r="AT634" s="8">
        <v>2.66</v>
      </c>
      <c r="AU634" s="3">
        <v>0</v>
      </c>
      <c r="AV634" s="3">
        <v>0</v>
      </c>
      <c r="AW634" s="3">
        <v>0</v>
      </c>
      <c r="AX634" s="3">
        <v>2.66</v>
      </c>
      <c r="AY634" s="3">
        <v>3.25</v>
      </c>
      <c r="AZ634" s="3">
        <v>3.6</v>
      </c>
      <c r="BA634" s="3">
        <v>1.8</v>
      </c>
      <c r="BB634" s="3">
        <v>1.7</v>
      </c>
      <c r="BC634">
        <v>2.2000000000000002</v>
      </c>
      <c r="BD634">
        <v>0</v>
      </c>
      <c r="BE634" s="11">
        <v>2.23</v>
      </c>
      <c r="BF634" s="4">
        <v>0</v>
      </c>
      <c r="BG634" s="4">
        <v>4.84</v>
      </c>
      <c r="BH634" s="4">
        <v>2.601</v>
      </c>
      <c r="BI634" s="4">
        <v>2.601</v>
      </c>
      <c r="BJ634" s="14">
        <v>2.8050000000000002</v>
      </c>
      <c r="BK634" s="14">
        <v>3.3140000000000001</v>
      </c>
      <c r="BL634" s="4">
        <v>2.8679999999999999</v>
      </c>
      <c r="BM634" s="17">
        <v>2.1850000000000001</v>
      </c>
      <c r="BN634" s="4">
        <v>2.9630000000000001</v>
      </c>
      <c r="BO634" s="4">
        <v>3.0379999999999998</v>
      </c>
      <c r="BP634" s="4">
        <v>3.101</v>
      </c>
      <c r="BQ634" s="4">
        <v>0</v>
      </c>
      <c r="BR634" s="4">
        <v>3.133</v>
      </c>
      <c r="BS634" s="4">
        <v>0</v>
      </c>
      <c r="BT634" s="4">
        <v>0</v>
      </c>
      <c r="BU634" s="4">
        <v>0</v>
      </c>
      <c r="BV634" s="4">
        <v>3.222</v>
      </c>
      <c r="BW634" s="4">
        <v>0</v>
      </c>
      <c r="BX634" s="4">
        <v>0</v>
      </c>
      <c r="BY634" s="4">
        <v>2.35</v>
      </c>
      <c r="BZ634">
        <v>2.2200000000000002</v>
      </c>
      <c r="CA634">
        <v>3.31</v>
      </c>
      <c r="CB634">
        <v>3.48</v>
      </c>
      <c r="CC634">
        <v>2.89</v>
      </c>
      <c r="CD634">
        <v>0</v>
      </c>
      <c r="CE634" s="19">
        <v>0</v>
      </c>
      <c r="CF634" s="19">
        <v>5.5</v>
      </c>
      <c r="CG634" s="4">
        <v>4.46</v>
      </c>
      <c r="CH634" s="4">
        <v>0</v>
      </c>
      <c r="CI634" s="4">
        <v>0</v>
      </c>
      <c r="CJ634" s="34">
        <v>2.8</v>
      </c>
      <c r="CK634" s="34">
        <v>3.2</v>
      </c>
      <c r="CL634" s="43">
        <v>3</v>
      </c>
      <c r="CM634" s="4">
        <v>2.9</v>
      </c>
      <c r="CN634" s="53">
        <v>0</v>
      </c>
      <c r="CO634" s="54">
        <v>3.7</v>
      </c>
      <c r="CP634" s="54">
        <v>1.8</v>
      </c>
      <c r="CQ634" s="4">
        <v>2.7</v>
      </c>
    </row>
    <row r="635" spans="1:95" x14ac:dyDescent="0.35">
      <c r="A635" s="55">
        <v>634</v>
      </c>
      <c r="B635" t="s">
        <v>119</v>
      </c>
      <c r="C635" s="27" t="s">
        <v>907</v>
      </c>
      <c r="D635" s="3" t="s">
        <v>103</v>
      </c>
      <c r="E635" s="33" t="s">
        <v>89</v>
      </c>
      <c r="F635" s="4">
        <f>IFERROR(AVERAGEIF(Table1[[#This Row],[2019-Apr]:[2025-July]],"&lt;&gt;0"),0)</f>
        <v>2.1691896551724135</v>
      </c>
      <c r="G635" s="4">
        <f ca="1">IFERROR(AVERAGEIF(OFFSET(Table1[[#This Row],[Status]],0,COUNT(Table1[[#This Row],[2019-May]:[2025-July]]),1,-12),"&lt;&gt;0"),0)</f>
        <v>2.2912500000000002</v>
      </c>
      <c r="H635" s="55">
        <f>IFERROR(SMALL(Table1[[#This Row],[2019-Apr]:[2025-July]],COUNTIF(Table1[[#This Row],[2019-Apr]:[2025-July]],0)+1),0)</f>
        <v>1.4</v>
      </c>
      <c r="I635" s="55">
        <f>IFERROR(MAX(Table1[[#This Row],[2019-Apr]:[2025-July]]),0)</f>
        <v>3.3260000000000001</v>
      </c>
      <c r="J635" s="4" cm="1">
        <f t="array" ref="J63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1.6356666666666666</v>
      </c>
      <c r="K635" s="4">
        <v>4.5</v>
      </c>
      <c r="L635" s="4">
        <f>IF(Table1[[#This Row],[Standard as per ISO]]&gt;=Table1[[#This Row],[Avg of best 6]],Table1[[#This Row],[Standard as per ISO]],Table1[[#This Row],[Avg of best 6]])</f>
        <v>4.5</v>
      </c>
      <c r="M635" s="4" cm="1">
        <f t="array" ref="M635">IFERROR(LOOKUP(2,1/(Table1[[#This Row],[2019-May]:[2025-July]]&lt;&gt;0),Table1[[#This Row],[2019-May]:[2025-July]]),0)</f>
        <v>2</v>
      </c>
      <c r="N635" s="4">
        <f>COUNTIF(Table1[[#This Row],[2019-Apr]:[2025-July]],"&gt;="&amp;Table1[[#This Row],[Target]])</f>
        <v>0</v>
      </c>
      <c r="O635" s="4">
        <f>IF(Table1[[#This Row],[Outliers 2Y]]=0,1,0)</f>
        <v>1</v>
      </c>
      <c r="P635" s="4">
        <f>IF(Table1[[#This Row],[Last value]]&gt;1.5*Table1[[#This Row],[Target]],1,0)</f>
        <v>0</v>
      </c>
      <c r="Q635" s="4">
        <f>IF(AND(1.5*Table1[[#This Row],[Target]]&gt;=Table1[[#This Row],[Last value]],Table1[[#This Row],[Last value]]&gt;Table1[[#This Row],[Target]]),1,0)</f>
        <v>0</v>
      </c>
      <c r="R635" s="4">
        <f>IF(Table1[[#This Row],[Target]]&gt;=Table1[[#This Row],[Last value]],1,0)</f>
        <v>1</v>
      </c>
      <c r="S635" s="4" t="str">
        <f t="shared" si="16"/>
        <v>Green</v>
      </c>
      <c r="T635">
        <v>2.4700000000000002</v>
      </c>
      <c r="U635">
        <v>0</v>
      </c>
      <c r="V635">
        <v>1.91</v>
      </c>
      <c r="W635">
        <v>1.8</v>
      </c>
      <c r="X635">
        <v>0</v>
      </c>
      <c r="Y635">
        <v>2.09</v>
      </c>
      <c r="Z635">
        <v>3.05</v>
      </c>
      <c r="AA635">
        <v>0</v>
      </c>
      <c r="AB635">
        <v>2</v>
      </c>
      <c r="AC635">
        <v>2.76</v>
      </c>
      <c r="AD635">
        <v>2.1</v>
      </c>
      <c r="AE635">
        <v>1.9</v>
      </c>
      <c r="AF635">
        <v>2.5</v>
      </c>
      <c r="AG635">
        <v>1.8</v>
      </c>
      <c r="AH635">
        <v>1.9</v>
      </c>
      <c r="AI635">
        <v>1.88</v>
      </c>
      <c r="AJ635">
        <v>1.6</v>
      </c>
      <c r="AK635">
        <v>1.75</v>
      </c>
      <c r="AL635">
        <v>1.96</v>
      </c>
      <c r="AM635">
        <v>1.96</v>
      </c>
      <c r="AN635">
        <v>1.88</v>
      </c>
      <c r="AO635">
        <v>0</v>
      </c>
      <c r="AP635">
        <v>1.99</v>
      </c>
      <c r="AQ635">
        <v>2.15</v>
      </c>
      <c r="AR635" s="8">
        <v>1.82</v>
      </c>
      <c r="AS635" s="8">
        <v>1.87</v>
      </c>
      <c r="AT635" s="8">
        <v>2.9</v>
      </c>
      <c r="AU635" s="3">
        <v>2.5299999999999998</v>
      </c>
      <c r="AV635" s="3">
        <v>1.88</v>
      </c>
      <c r="AW635" s="3">
        <v>2.13</v>
      </c>
      <c r="AX635" s="3">
        <v>2.11</v>
      </c>
      <c r="AY635" s="3">
        <v>2.34</v>
      </c>
      <c r="AZ635" s="3">
        <v>2</v>
      </c>
      <c r="BA635" s="3">
        <v>2.2999999999999998</v>
      </c>
      <c r="BB635" s="3">
        <v>2.5</v>
      </c>
      <c r="BC635">
        <v>2.1</v>
      </c>
      <c r="BD635">
        <v>0</v>
      </c>
      <c r="BE635" s="11">
        <v>2.0830000000000002</v>
      </c>
      <c r="BF635" s="4">
        <v>0</v>
      </c>
      <c r="BG635" s="4">
        <v>3.3260000000000001</v>
      </c>
      <c r="BH635" s="4">
        <v>2.077</v>
      </c>
      <c r="BI635" s="4">
        <v>2.077</v>
      </c>
      <c r="BJ635" s="13">
        <v>1.96</v>
      </c>
      <c r="BK635" s="13">
        <v>2.1640000000000001</v>
      </c>
      <c r="BL635" s="4">
        <v>2.52</v>
      </c>
      <c r="BM635" s="16">
        <v>2.6219999999999999</v>
      </c>
      <c r="BN635" s="4">
        <v>1.51</v>
      </c>
      <c r="BO635" s="4">
        <v>1.754</v>
      </c>
      <c r="BP635" s="4">
        <v>1.89</v>
      </c>
      <c r="BQ635" s="4">
        <v>2.6659999999999999</v>
      </c>
      <c r="BR635" s="4">
        <v>0</v>
      </c>
      <c r="BS635" s="4">
        <v>0</v>
      </c>
      <c r="BT635" s="4">
        <v>0</v>
      </c>
      <c r="BU635" s="4">
        <v>0</v>
      </c>
      <c r="BV635" s="4">
        <v>2.3039999999999998</v>
      </c>
      <c r="BW635" s="4">
        <v>0</v>
      </c>
      <c r="BX635" s="4">
        <v>0</v>
      </c>
      <c r="BY635" s="4">
        <v>1.96</v>
      </c>
      <c r="BZ635">
        <v>0</v>
      </c>
      <c r="CA635">
        <v>2.62</v>
      </c>
      <c r="CB635">
        <v>2.08</v>
      </c>
      <c r="CC635">
        <v>1.94</v>
      </c>
      <c r="CD635">
        <v>0</v>
      </c>
      <c r="CE635" s="19">
        <v>0</v>
      </c>
      <c r="CF635" s="19">
        <v>0</v>
      </c>
      <c r="CG635" s="4">
        <v>2.23</v>
      </c>
      <c r="CH635" s="4">
        <v>0</v>
      </c>
      <c r="CI635" s="4">
        <v>0</v>
      </c>
      <c r="CJ635" s="34">
        <v>2.5</v>
      </c>
      <c r="CK635" s="34">
        <v>1.4</v>
      </c>
      <c r="CL635" s="43">
        <v>2.6</v>
      </c>
      <c r="CM635" s="4">
        <v>2.8</v>
      </c>
      <c r="CN635" s="53">
        <v>2.4</v>
      </c>
      <c r="CO635" s="54">
        <v>2.2999999999999998</v>
      </c>
      <c r="CP635" s="54">
        <v>2.1</v>
      </c>
      <c r="CQ635" s="4">
        <v>2</v>
      </c>
    </row>
    <row r="636" spans="1:95" x14ac:dyDescent="0.35">
      <c r="A636" s="55">
        <v>635</v>
      </c>
      <c r="B636" t="s">
        <v>119</v>
      </c>
      <c r="C636" s="27" t="s">
        <v>908</v>
      </c>
      <c r="D636" s="3" t="s">
        <v>103</v>
      </c>
      <c r="E636" s="33" t="s">
        <v>89</v>
      </c>
      <c r="F636" s="4">
        <f>IFERROR(AVERAGEIF(Table1[[#This Row],[2019-Apr]:[2025-July]],"&lt;&gt;0"),0)</f>
        <v>2.3662321428571431</v>
      </c>
      <c r="G636" s="4">
        <f ca="1">IFERROR(AVERAGEIF(OFFSET(Table1[[#This Row],[Status]],0,COUNT(Table1[[#This Row],[2019-May]:[2025-July]]),1,-12),"&lt;&gt;0"),0)</f>
        <v>2.6</v>
      </c>
      <c r="H636" s="55">
        <f>IFERROR(SMALL(Table1[[#This Row],[2019-Apr]:[2025-July]],COUNTIF(Table1[[#This Row],[2019-Apr]:[2025-July]],0)+1),0)</f>
        <v>1.6659999999999999</v>
      </c>
      <c r="I636" s="55">
        <f>IFERROR(MAX(Table1[[#This Row],[2019-Apr]:[2025-July]]),0)</f>
        <v>4.76</v>
      </c>
      <c r="J636" s="4" cm="1">
        <f t="array" ref="J63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1.6983333333333335</v>
      </c>
      <c r="K636" s="4">
        <v>4.5</v>
      </c>
      <c r="L636" s="4">
        <f>IF(Table1[[#This Row],[Standard as per ISO]]&gt;=Table1[[#This Row],[Avg of best 6]],Table1[[#This Row],[Standard as per ISO]],Table1[[#This Row],[Avg of best 6]])</f>
        <v>4.5</v>
      </c>
      <c r="M636" s="4" cm="1">
        <f t="array" ref="M636">IFERROR(LOOKUP(2,1/(Table1[[#This Row],[2019-May]:[2025-July]]&lt;&gt;0),Table1[[#This Row],[2019-May]:[2025-July]]),0)</f>
        <v>2.6</v>
      </c>
      <c r="N636" s="4">
        <f>COUNTIF(Table1[[#This Row],[2019-Apr]:[2025-July]],"&gt;="&amp;Table1[[#This Row],[Target]])</f>
        <v>1</v>
      </c>
      <c r="O636" s="4">
        <f>IF(Table1[[#This Row],[Outliers 2Y]]=0,1,0)</f>
        <v>0</v>
      </c>
      <c r="P636" s="4">
        <f>IF(Table1[[#This Row],[Last value]]&gt;1.5*Table1[[#This Row],[Target]],1,0)</f>
        <v>0</v>
      </c>
      <c r="Q636" s="4">
        <f>IF(AND(1.5*Table1[[#This Row],[Target]]&gt;=Table1[[#This Row],[Last value]],Table1[[#This Row],[Last value]]&gt;Table1[[#This Row],[Target]]),1,0)</f>
        <v>0</v>
      </c>
      <c r="R636" s="4">
        <f>IF(Table1[[#This Row],[Target]]&gt;=Table1[[#This Row],[Last value]],1,0)</f>
        <v>1</v>
      </c>
      <c r="S636" s="4" t="str">
        <f t="shared" si="16"/>
        <v>Green</v>
      </c>
      <c r="T636">
        <v>2.15</v>
      </c>
      <c r="U636">
        <v>0</v>
      </c>
      <c r="V636">
        <v>2.39</v>
      </c>
      <c r="W636">
        <v>3.3</v>
      </c>
      <c r="X636">
        <v>0</v>
      </c>
      <c r="Y636">
        <v>2.19</v>
      </c>
      <c r="Z636">
        <v>4.76</v>
      </c>
      <c r="AA636">
        <v>4.2</v>
      </c>
      <c r="AB636">
        <v>3.7</v>
      </c>
      <c r="AC636">
        <v>3.05</v>
      </c>
      <c r="AD636">
        <v>2.73</v>
      </c>
      <c r="AE636">
        <v>2.6</v>
      </c>
      <c r="AF636">
        <v>2.1</v>
      </c>
      <c r="AG636">
        <v>2.8</v>
      </c>
      <c r="AH636">
        <v>2.35</v>
      </c>
      <c r="AI636">
        <v>2.11</v>
      </c>
      <c r="AJ636">
        <v>1.7</v>
      </c>
      <c r="AK636">
        <v>1.72</v>
      </c>
      <c r="AL636">
        <v>1.85</v>
      </c>
      <c r="AM636">
        <v>1.73</v>
      </c>
      <c r="AN636">
        <v>2.0699999999999998</v>
      </c>
      <c r="AO636">
        <v>0</v>
      </c>
      <c r="AP636">
        <v>2</v>
      </c>
      <c r="AQ636">
        <v>2.42</v>
      </c>
      <c r="AR636" s="8">
        <v>1.88</v>
      </c>
      <c r="AS636" s="8">
        <v>1.75</v>
      </c>
      <c r="AT636" s="8">
        <v>1.98</v>
      </c>
      <c r="AU636" s="3">
        <v>2.3199999999999998</v>
      </c>
      <c r="AV636" s="3">
        <v>3.44</v>
      </c>
      <c r="AW636" s="3">
        <v>2</v>
      </c>
      <c r="AX636" s="3">
        <v>2.57</v>
      </c>
      <c r="AY636" s="3">
        <v>1.94</v>
      </c>
      <c r="AZ636" s="3">
        <v>2.5</v>
      </c>
      <c r="BA636" s="3">
        <v>2.5</v>
      </c>
      <c r="BB636" s="3">
        <v>4.0999999999999996</v>
      </c>
      <c r="BC636">
        <v>2</v>
      </c>
      <c r="BD636">
        <v>0</v>
      </c>
      <c r="BE636" s="11">
        <v>2.0579999999999998</v>
      </c>
      <c r="BF636" s="4">
        <v>0</v>
      </c>
      <c r="BG636" s="4">
        <v>0</v>
      </c>
      <c r="BH636" s="4">
        <v>1.6659999999999999</v>
      </c>
      <c r="BI636" s="4">
        <v>1.6659999999999999</v>
      </c>
      <c r="BJ636" s="14">
        <v>1.7809999999999999</v>
      </c>
      <c r="BK636" s="14">
        <v>1.8029999999999999</v>
      </c>
      <c r="BL636" s="4">
        <v>1.859</v>
      </c>
      <c r="BM636" s="17">
        <v>1.708</v>
      </c>
      <c r="BN636" s="4">
        <v>2.2639999999999998</v>
      </c>
      <c r="BO636" s="4">
        <v>2.0129999999999999</v>
      </c>
      <c r="BP636" s="4">
        <v>1.7509999999999999</v>
      </c>
      <c r="BQ636" s="4">
        <v>1.944</v>
      </c>
      <c r="BR636" s="4">
        <v>1.8380000000000001</v>
      </c>
      <c r="BS636" s="4">
        <v>0</v>
      </c>
      <c r="BT636" s="4">
        <v>0</v>
      </c>
      <c r="BU636" s="4">
        <v>0</v>
      </c>
      <c r="BV636" s="4">
        <v>2.718</v>
      </c>
      <c r="BW636" s="4">
        <v>0</v>
      </c>
      <c r="BX636" s="4">
        <v>0</v>
      </c>
      <c r="BY636" s="4">
        <v>0</v>
      </c>
      <c r="BZ636">
        <v>1.95</v>
      </c>
      <c r="CA636">
        <v>2.0099999999999998</v>
      </c>
      <c r="CB636">
        <v>0</v>
      </c>
      <c r="CC636">
        <v>2.38</v>
      </c>
      <c r="CD636">
        <v>0</v>
      </c>
      <c r="CE636" s="19">
        <v>0</v>
      </c>
      <c r="CF636" s="19">
        <v>0</v>
      </c>
      <c r="CG636" s="4">
        <v>0</v>
      </c>
      <c r="CH636" s="4">
        <v>0</v>
      </c>
      <c r="CI636" s="4">
        <v>0</v>
      </c>
      <c r="CJ636" s="34">
        <v>2.9</v>
      </c>
      <c r="CK636" s="34">
        <v>2.7</v>
      </c>
      <c r="CL636" s="43">
        <v>2.7</v>
      </c>
      <c r="CM636" s="4">
        <v>2.7</v>
      </c>
      <c r="CN636" s="53">
        <v>2.2999999999999998</v>
      </c>
      <c r="CO636" s="54">
        <v>2.2999999999999998</v>
      </c>
      <c r="CP636" s="54">
        <v>0</v>
      </c>
      <c r="CQ636" s="4">
        <v>2.6</v>
      </c>
    </row>
    <row r="637" spans="1:95" x14ac:dyDescent="0.35">
      <c r="A637" s="55">
        <v>636</v>
      </c>
      <c r="B637" t="s">
        <v>119</v>
      </c>
      <c r="C637" s="27" t="s">
        <v>909</v>
      </c>
      <c r="D637" s="3" t="s">
        <v>93</v>
      </c>
      <c r="E637" s="33" t="s">
        <v>89</v>
      </c>
      <c r="F637" s="4">
        <f>IFERROR(AVERAGEIF(Table1[[#This Row],[2019-Apr]:[2025-July]],"&lt;&gt;0"),0)</f>
        <v>2.5391805555555562</v>
      </c>
      <c r="G637" s="4">
        <f ca="1">IFERROR(AVERAGEIF(OFFSET(Table1[[#This Row],[Status]],0,COUNT(Table1[[#This Row],[2019-May]:[2025-July]]),1,-12),"&lt;&gt;0"),0)</f>
        <v>1.4833333333333334</v>
      </c>
      <c r="H637" s="55">
        <f>IFERROR(SMALL(Table1[[#This Row],[2019-Apr]:[2025-July]],COUNTIF(Table1[[#This Row],[2019-Apr]:[2025-July]],0)+1),0)</f>
        <v>0.8</v>
      </c>
      <c r="I637" s="55">
        <f>IFERROR(MAX(Table1[[#This Row],[2019-Apr]:[2025-July]]),0)</f>
        <v>6.7</v>
      </c>
      <c r="J637" s="4" cm="1">
        <f t="array" ref="J63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0.85166666666666668</v>
      </c>
      <c r="K637" s="4">
        <v>4.5</v>
      </c>
      <c r="L637" s="4">
        <f>IF(Table1[[#This Row],[Standard as per ISO]]&gt;=Table1[[#This Row],[Avg of best 6]],Table1[[#This Row],[Standard as per ISO]],Table1[[#This Row],[Avg of best 6]])</f>
        <v>4.5</v>
      </c>
      <c r="M637" s="4" cm="1">
        <f t="array" ref="M637">IFERROR(LOOKUP(2,1/(Table1[[#This Row],[2019-May]:[2025-July]]&lt;&gt;0),Table1[[#This Row],[2019-May]:[2025-July]]),0)</f>
        <v>1</v>
      </c>
      <c r="N637" s="4">
        <f>COUNTIF(Table1[[#This Row],[2019-Apr]:[2025-July]],"&gt;="&amp;Table1[[#This Row],[Target]])</f>
        <v>4</v>
      </c>
      <c r="O637" s="4">
        <f>IF(Table1[[#This Row],[Outliers 2Y]]=0,1,0)</f>
        <v>0</v>
      </c>
      <c r="P637" s="4">
        <f>IF(Table1[[#This Row],[Last value]]&gt;1.5*Table1[[#This Row],[Target]],1,0)</f>
        <v>0</v>
      </c>
      <c r="Q637" s="4">
        <f>IF(AND(1.5*Table1[[#This Row],[Target]]&gt;=Table1[[#This Row],[Last value]],Table1[[#This Row],[Last value]]&gt;Table1[[#This Row],[Target]]),1,0)</f>
        <v>0</v>
      </c>
      <c r="R637" s="4">
        <f>IF(Table1[[#This Row],[Target]]&gt;=Table1[[#This Row],[Last value]],1,0)</f>
        <v>1</v>
      </c>
      <c r="S637" s="4" t="str">
        <f t="shared" si="16"/>
        <v>Green</v>
      </c>
      <c r="T637">
        <v>3.73</v>
      </c>
      <c r="U637">
        <v>2.23</v>
      </c>
      <c r="V637">
        <v>4.12</v>
      </c>
      <c r="W637">
        <v>4.3499999999999996</v>
      </c>
      <c r="X637">
        <v>0</v>
      </c>
      <c r="Y637">
        <v>2.94</v>
      </c>
      <c r="Z637">
        <v>2.86</v>
      </c>
      <c r="AA637">
        <v>4.01</v>
      </c>
      <c r="AB637">
        <v>3.7</v>
      </c>
      <c r="AC637">
        <v>3.45</v>
      </c>
      <c r="AD637">
        <v>4.0999999999999996</v>
      </c>
      <c r="AE637">
        <v>4.8</v>
      </c>
      <c r="AF637">
        <v>4.55</v>
      </c>
      <c r="AG637">
        <v>6.7</v>
      </c>
      <c r="AH637">
        <v>2.4500000000000002</v>
      </c>
      <c r="AI637">
        <v>3.31</v>
      </c>
      <c r="AJ637">
        <v>2.2000000000000002</v>
      </c>
      <c r="AK637">
        <v>1.92</v>
      </c>
      <c r="AL637">
        <v>4.76</v>
      </c>
      <c r="AM637">
        <v>0</v>
      </c>
      <c r="AN637">
        <v>4</v>
      </c>
      <c r="AO637">
        <v>4.1399999999999997</v>
      </c>
      <c r="AP637">
        <v>1.22</v>
      </c>
      <c r="AQ637">
        <v>1.58</v>
      </c>
      <c r="AR637" s="8">
        <v>1.36</v>
      </c>
      <c r="AS637" s="8">
        <v>2.78</v>
      </c>
      <c r="AT637" s="8">
        <v>2.66</v>
      </c>
      <c r="AU637" s="3">
        <v>4.28</v>
      </c>
      <c r="AV637" s="3">
        <v>2.77</v>
      </c>
      <c r="AW637" s="3">
        <v>3.3</v>
      </c>
      <c r="AX637" s="3">
        <v>1.73</v>
      </c>
      <c r="AY637" s="3">
        <v>2.4700000000000002</v>
      </c>
      <c r="AZ637" s="3">
        <v>2.6</v>
      </c>
      <c r="BA637" s="3">
        <v>3.8</v>
      </c>
      <c r="BB637" s="3">
        <v>2.2000000000000002</v>
      </c>
      <c r="BC637">
        <v>1.9</v>
      </c>
      <c r="BD637">
        <v>0</v>
      </c>
      <c r="BE637" s="11">
        <v>2.3929999999999998</v>
      </c>
      <c r="BF637" s="4">
        <v>2.605</v>
      </c>
      <c r="BG637" s="4">
        <v>1.8089999999999999</v>
      </c>
      <c r="BH637" s="4">
        <v>0</v>
      </c>
      <c r="BI637" s="4">
        <v>2.0419999999999998</v>
      </c>
      <c r="BJ637" s="13">
        <v>3.0859999999999999</v>
      </c>
      <c r="BK637" s="13">
        <v>2.7</v>
      </c>
      <c r="BL637" s="4">
        <v>2.706</v>
      </c>
      <c r="BM637" s="16">
        <v>2.4449999999999998</v>
      </c>
      <c r="BN637" s="4">
        <v>2.2389999999999999</v>
      </c>
      <c r="BO637" s="4">
        <v>3.077</v>
      </c>
      <c r="BP637" s="4">
        <v>2.6230000000000002</v>
      </c>
      <c r="BQ637" s="4">
        <v>3.1869999999999998</v>
      </c>
      <c r="BR637" s="4">
        <v>1.3480000000000001</v>
      </c>
      <c r="BS637" s="4">
        <v>3.85</v>
      </c>
      <c r="BT637" s="4">
        <v>3.1349999999999998</v>
      </c>
      <c r="BU637" s="4">
        <v>1.8520000000000001</v>
      </c>
      <c r="BV637" s="4">
        <v>1.5089999999999999</v>
      </c>
      <c r="BW637" s="4">
        <v>1.88</v>
      </c>
      <c r="BX637" s="4">
        <v>2.9350000000000001</v>
      </c>
      <c r="BY637" s="4">
        <v>3.12</v>
      </c>
      <c r="BZ637">
        <v>0.86</v>
      </c>
      <c r="CA637">
        <v>0.89</v>
      </c>
      <c r="CB637">
        <v>1</v>
      </c>
      <c r="CC637">
        <v>0.86</v>
      </c>
      <c r="CD637">
        <v>0.9</v>
      </c>
      <c r="CE637" s="19">
        <v>1.1000000000000001</v>
      </c>
      <c r="CF637" s="19">
        <v>1.6</v>
      </c>
      <c r="CG637" s="4">
        <v>1.44</v>
      </c>
      <c r="CH637" s="4">
        <v>1.69</v>
      </c>
      <c r="CI637" s="4">
        <v>1.37</v>
      </c>
      <c r="CJ637" s="34">
        <v>1.3</v>
      </c>
      <c r="CK637" s="34">
        <v>2.2999999999999998</v>
      </c>
      <c r="CL637" s="43">
        <v>1.1000000000000001</v>
      </c>
      <c r="CM637" s="4">
        <v>3.3</v>
      </c>
      <c r="CN637" s="53">
        <v>0.8</v>
      </c>
      <c r="CO637" s="54">
        <v>0.8</v>
      </c>
      <c r="CP637" s="54">
        <v>1</v>
      </c>
      <c r="CQ637" s="4">
        <v>1</v>
      </c>
    </row>
    <row r="638" spans="1:95" x14ac:dyDescent="0.35">
      <c r="A638" s="55">
        <v>637</v>
      </c>
      <c r="B638" t="s">
        <v>119</v>
      </c>
      <c r="C638" s="27" t="s">
        <v>910</v>
      </c>
      <c r="D638" s="3" t="s">
        <v>93</v>
      </c>
      <c r="E638" s="33" t="s">
        <v>89</v>
      </c>
      <c r="F638" s="4">
        <f>IFERROR(AVERAGEIF(Table1[[#This Row],[2019-Apr]:[2025-July]],"&lt;&gt;0"),0)</f>
        <v>2.1949295774647881</v>
      </c>
      <c r="G638" s="4">
        <f ca="1">IFERROR(AVERAGEIF(OFFSET(Table1[[#This Row],[Status]],0,COUNT(Table1[[#This Row],[2019-May]:[2025-July]]),1,-12),"&lt;&gt;0"),0)</f>
        <v>1.5683333333333334</v>
      </c>
      <c r="H638" s="55">
        <f>IFERROR(SMALL(Table1[[#This Row],[2019-Apr]:[2025-July]],COUNTIF(Table1[[#This Row],[2019-Apr]:[2025-July]],0)+1),0)</f>
        <v>1.06</v>
      </c>
      <c r="I638" s="55">
        <f>IFERROR(MAX(Table1[[#This Row],[2019-Apr]:[2025-July]]),0)</f>
        <v>6.7</v>
      </c>
      <c r="J638" s="4" cm="1">
        <f t="array" ref="J63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1.2016666666666669</v>
      </c>
      <c r="K638" s="4">
        <v>4.5</v>
      </c>
      <c r="L638" s="4">
        <f>IF(Table1[[#This Row],[Standard as per ISO]]&gt;=Table1[[#This Row],[Avg of best 6]],Table1[[#This Row],[Standard as per ISO]],Table1[[#This Row],[Avg of best 6]])</f>
        <v>4.5</v>
      </c>
      <c r="M638" s="4" cm="1">
        <f t="array" ref="M638">IFERROR(LOOKUP(2,1/(Table1[[#This Row],[2019-May]:[2025-July]]&lt;&gt;0),Table1[[#This Row],[2019-May]:[2025-July]]),0)</f>
        <v>2.1</v>
      </c>
      <c r="N638" s="4">
        <f>COUNTIF(Table1[[#This Row],[2019-Apr]:[2025-July]],"&gt;="&amp;Table1[[#This Row],[Target]])</f>
        <v>1</v>
      </c>
      <c r="O638" s="4">
        <f>IF(Table1[[#This Row],[Outliers 2Y]]=0,1,0)</f>
        <v>0</v>
      </c>
      <c r="P638" s="4">
        <f>IF(Table1[[#This Row],[Last value]]&gt;1.5*Table1[[#This Row],[Target]],1,0)</f>
        <v>0</v>
      </c>
      <c r="Q638" s="4">
        <f>IF(AND(1.5*Table1[[#This Row],[Target]]&gt;=Table1[[#This Row],[Last value]],Table1[[#This Row],[Last value]]&gt;Table1[[#This Row],[Target]]),1,0)</f>
        <v>0</v>
      </c>
      <c r="R638" s="4">
        <f>IF(Table1[[#This Row],[Target]]&gt;=Table1[[#This Row],[Last value]],1,0)</f>
        <v>1</v>
      </c>
      <c r="S638" s="4" t="str">
        <f t="shared" si="16"/>
        <v>Green</v>
      </c>
      <c r="T638">
        <v>1.66</v>
      </c>
      <c r="U638">
        <v>1.41</v>
      </c>
      <c r="V638">
        <v>1.51</v>
      </c>
      <c r="W638">
        <v>1.54</v>
      </c>
      <c r="X638">
        <v>0</v>
      </c>
      <c r="Y638">
        <v>1.1399999999999999</v>
      </c>
      <c r="Z638">
        <v>1.46</v>
      </c>
      <c r="AA638">
        <v>2.78</v>
      </c>
      <c r="AB638">
        <v>2.4</v>
      </c>
      <c r="AC638">
        <v>2.13</v>
      </c>
      <c r="AD638">
        <v>2.1</v>
      </c>
      <c r="AE638">
        <v>2.8</v>
      </c>
      <c r="AF638">
        <v>3.1</v>
      </c>
      <c r="AG638">
        <v>2.7</v>
      </c>
      <c r="AH638">
        <v>2.4</v>
      </c>
      <c r="AI638">
        <v>2.31</v>
      </c>
      <c r="AJ638">
        <v>1.8</v>
      </c>
      <c r="AK638">
        <v>1.87</v>
      </c>
      <c r="AL638">
        <v>1.93</v>
      </c>
      <c r="AM638">
        <v>0</v>
      </c>
      <c r="AN638">
        <v>3.6</v>
      </c>
      <c r="AO638">
        <v>2.0299999999999998</v>
      </c>
      <c r="AP638">
        <v>0</v>
      </c>
      <c r="AQ638">
        <v>2.36</v>
      </c>
      <c r="AR638" s="8">
        <v>3.21</v>
      </c>
      <c r="AS638" s="8">
        <v>2.67</v>
      </c>
      <c r="AT638" s="8">
        <v>2.81</v>
      </c>
      <c r="AU638" s="3">
        <v>2.87</v>
      </c>
      <c r="AV638" s="3">
        <v>2.62</v>
      </c>
      <c r="AW638" s="3">
        <v>2.3199999999999998</v>
      </c>
      <c r="AX638" s="3">
        <v>3.44</v>
      </c>
      <c r="AY638" s="3">
        <v>1.55</v>
      </c>
      <c r="AZ638" s="3">
        <v>2.5</v>
      </c>
      <c r="BA638" s="3">
        <v>6.7</v>
      </c>
      <c r="BB638" s="3">
        <v>3</v>
      </c>
      <c r="BC638">
        <v>3.1</v>
      </c>
      <c r="BD638">
        <v>0</v>
      </c>
      <c r="BE638" s="11">
        <v>1.9870000000000001</v>
      </c>
      <c r="BF638" s="4">
        <v>3.9060000000000001</v>
      </c>
      <c r="BG638" s="4">
        <v>3.3460000000000001</v>
      </c>
      <c r="BH638" s="4">
        <v>0</v>
      </c>
      <c r="BI638" s="4">
        <v>1.47</v>
      </c>
      <c r="BJ638" s="14">
        <v>1.7989999999999999</v>
      </c>
      <c r="BK638" s="14">
        <v>2.35</v>
      </c>
      <c r="BL638" s="4">
        <v>1.6950000000000001</v>
      </c>
      <c r="BM638" s="17">
        <v>1.78</v>
      </c>
      <c r="BN638" s="4">
        <v>1.9690000000000001</v>
      </c>
      <c r="BO638" s="4">
        <v>2.1589999999999998</v>
      </c>
      <c r="BP638" s="4">
        <v>2.3239999999999998</v>
      </c>
      <c r="BQ638" s="4">
        <v>2.0790000000000002</v>
      </c>
      <c r="BR638" s="4">
        <v>1.986</v>
      </c>
      <c r="BS638" s="4">
        <v>2.2879999999999998</v>
      </c>
      <c r="BT638" s="4">
        <v>1.6759999999999999</v>
      </c>
      <c r="BU638" s="4">
        <v>2.09</v>
      </c>
      <c r="BV638" s="4">
        <v>1.4830000000000001</v>
      </c>
      <c r="BW638" s="4">
        <v>3.27</v>
      </c>
      <c r="BX638" s="4">
        <v>2.2559999999999998</v>
      </c>
      <c r="BY638" s="4">
        <v>3.0470000000000002</v>
      </c>
      <c r="BZ638">
        <v>2.02</v>
      </c>
      <c r="CA638">
        <v>1.06</v>
      </c>
      <c r="CB638">
        <v>1.31</v>
      </c>
      <c r="CC638">
        <v>1.19</v>
      </c>
      <c r="CD638">
        <v>2.56</v>
      </c>
      <c r="CE638" s="19">
        <v>1.4</v>
      </c>
      <c r="CF638" s="19">
        <v>1.4</v>
      </c>
      <c r="CG638" s="4">
        <v>1.31</v>
      </c>
      <c r="CH638" s="4">
        <v>1.6</v>
      </c>
      <c r="CI638" s="4">
        <v>2.21</v>
      </c>
      <c r="CJ638" s="34">
        <v>1.6</v>
      </c>
      <c r="CK638" s="34">
        <v>1.2</v>
      </c>
      <c r="CL638" s="43">
        <v>1.5</v>
      </c>
      <c r="CM638" s="4">
        <v>1.6</v>
      </c>
      <c r="CN638" s="53">
        <v>1.7</v>
      </c>
      <c r="CO638" s="54">
        <v>1.7</v>
      </c>
      <c r="CP638" s="54">
        <v>1.6</v>
      </c>
      <c r="CQ638" s="4">
        <v>2.1</v>
      </c>
    </row>
    <row r="639" spans="1:95" x14ac:dyDescent="0.35">
      <c r="A639" s="55">
        <v>638</v>
      </c>
      <c r="B639" t="s">
        <v>119</v>
      </c>
      <c r="C639" s="27" t="s">
        <v>911</v>
      </c>
      <c r="D639" s="3" t="s">
        <v>93</v>
      </c>
      <c r="E639" s="33" t="s">
        <v>89</v>
      </c>
      <c r="F639" s="4">
        <f>IFERROR(AVERAGEIF(Table1[[#This Row],[2019-Apr]:[2025-July]],"&lt;&gt;0"),0)</f>
        <v>2.9545342465753417</v>
      </c>
      <c r="G639" s="4">
        <f ca="1">IFERROR(AVERAGEIF(OFFSET(Table1[[#This Row],[Status]],0,COUNT(Table1[[#This Row],[2019-May]:[2025-July]]),1,-12),"&lt;&gt;0"),0)</f>
        <v>3.11</v>
      </c>
      <c r="H639" s="55">
        <f>IFERROR(SMALL(Table1[[#This Row],[2019-Apr]:[2025-July]],COUNTIF(Table1[[#This Row],[2019-Apr]:[2025-July]],0)+1),0)</f>
        <v>1.67</v>
      </c>
      <c r="I639" s="55">
        <f>IFERROR(MAX(Table1[[#This Row],[2019-Apr]:[2025-July]]),0)</f>
        <v>5.73</v>
      </c>
      <c r="J639" s="4" cm="1">
        <f t="array" ref="J63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1.8494999999999999</v>
      </c>
      <c r="K639" s="4">
        <v>4.5</v>
      </c>
      <c r="L639" s="4">
        <f>IF(Table1[[#This Row],[Standard as per ISO]]&gt;=Table1[[#This Row],[Avg of best 6]],Table1[[#This Row],[Standard as per ISO]],Table1[[#This Row],[Avg of best 6]])</f>
        <v>4.5</v>
      </c>
      <c r="M639" s="4" cm="1">
        <f t="array" ref="M639">IFERROR(LOOKUP(2,1/(Table1[[#This Row],[2019-May]:[2025-July]]&lt;&gt;0),Table1[[#This Row],[2019-May]:[2025-July]]),0)</f>
        <v>2.8</v>
      </c>
      <c r="N639" s="4">
        <f>COUNTIF(Table1[[#This Row],[2019-Apr]:[2025-July]],"&gt;="&amp;Table1[[#This Row],[Target]])</f>
        <v>4</v>
      </c>
      <c r="O639" s="4">
        <f>IF(Table1[[#This Row],[Outliers 2Y]]=0,1,0)</f>
        <v>0</v>
      </c>
      <c r="P639" s="4">
        <f>IF(Table1[[#This Row],[Last value]]&gt;1.5*Table1[[#This Row],[Target]],1,0)</f>
        <v>0</v>
      </c>
      <c r="Q639" s="4">
        <f>IF(AND(1.5*Table1[[#This Row],[Target]]&gt;=Table1[[#This Row],[Last value]],Table1[[#This Row],[Last value]]&gt;Table1[[#This Row],[Target]]),1,0)</f>
        <v>0</v>
      </c>
      <c r="R639" s="4">
        <f>IF(Table1[[#This Row],[Target]]&gt;=Table1[[#This Row],[Last value]],1,0)</f>
        <v>1</v>
      </c>
      <c r="S639" s="4" t="str">
        <f t="shared" si="16"/>
        <v>Green</v>
      </c>
      <c r="T639">
        <v>2.65</v>
      </c>
      <c r="U639">
        <v>2.87</v>
      </c>
      <c r="V639">
        <v>2.34</v>
      </c>
      <c r="W639">
        <v>2.59</v>
      </c>
      <c r="X639">
        <v>0</v>
      </c>
      <c r="Y639">
        <v>2.29</v>
      </c>
      <c r="Z639">
        <v>3</v>
      </c>
      <c r="AA639">
        <v>2.41</v>
      </c>
      <c r="AB639">
        <v>2.5</v>
      </c>
      <c r="AC639">
        <v>2.39</v>
      </c>
      <c r="AD639">
        <v>2.1</v>
      </c>
      <c r="AE639">
        <v>2.6</v>
      </c>
      <c r="AF639">
        <v>2.8</v>
      </c>
      <c r="AG639">
        <v>3.1</v>
      </c>
      <c r="AH639">
        <v>2.4</v>
      </c>
      <c r="AI639">
        <v>5.69</v>
      </c>
      <c r="AJ639">
        <v>2.5</v>
      </c>
      <c r="AK639">
        <v>2.2000000000000002</v>
      </c>
      <c r="AL639">
        <v>2.25</v>
      </c>
      <c r="AM639">
        <v>0</v>
      </c>
      <c r="AN639">
        <v>3.3</v>
      </c>
      <c r="AO639">
        <v>2.64</v>
      </c>
      <c r="AP639">
        <v>5.73</v>
      </c>
      <c r="AQ639">
        <v>3.77</v>
      </c>
      <c r="AR639" s="8">
        <v>1.68</v>
      </c>
      <c r="AS639" s="8">
        <v>2.5499999999999998</v>
      </c>
      <c r="AT639" s="8">
        <v>4.22</v>
      </c>
      <c r="AU639" s="3">
        <v>2.84</v>
      </c>
      <c r="AV639" s="3">
        <v>2.94</v>
      </c>
      <c r="AW639" s="3">
        <v>3.4</v>
      </c>
      <c r="AX639" s="3">
        <v>2.71</v>
      </c>
      <c r="AY639" s="3">
        <v>3.08</v>
      </c>
      <c r="AZ639" s="3">
        <v>3.3</v>
      </c>
      <c r="BA639" s="3">
        <v>3.1</v>
      </c>
      <c r="BB639" s="3">
        <v>2.5</v>
      </c>
      <c r="BC639">
        <v>2.5</v>
      </c>
      <c r="BD639">
        <v>0</v>
      </c>
      <c r="BE639" s="11">
        <v>3.4340000000000002</v>
      </c>
      <c r="BF639" s="4">
        <v>4.5030000000000001</v>
      </c>
      <c r="BG639" s="4">
        <v>2.4009999999999998</v>
      </c>
      <c r="BH639" s="4">
        <v>2.9</v>
      </c>
      <c r="BI639" s="4">
        <v>2.9510000000000001</v>
      </c>
      <c r="BJ639" s="13">
        <v>3.07</v>
      </c>
      <c r="BK639" s="13">
        <v>3.2360000000000002</v>
      </c>
      <c r="BL639" s="4">
        <v>2.911</v>
      </c>
      <c r="BM639" s="16">
        <v>3.7669999999999999</v>
      </c>
      <c r="BN639" s="4">
        <v>2.468</v>
      </c>
      <c r="BO639" s="4">
        <v>2.5059999999999998</v>
      </c>
      <c r="BP639" s="4">
        <v>3.411</v>
      </c>
      <c r="BQ639" s="4">
        <v>2.1469999999999998</v>
      </c>
      <c r="BR639" s="4">
        <v>2.4430000000000001</v>
      </c>
      <c r="BS639" s="4">
        <v>2.9359999999999999</v>
      </c>
      <c r="BT639" s="4">
        <v>1.7270000000000001</v>
      </c>
      <c r="BU639" s="4">
        <v>2.363</v>
      </c>
      <c r="BV639" s="4">
        <v>3.4279999999999999</v>
      </c>
      <c r="BW639" s="4">
        <v>3.02</v>
      </c>
      <c r="BX639" s="4">
        <v>3.2029999999999998</v>
      </c>
      <c r="BY639" s="4">
        <v>3.476</v>
      </c>
      <c r="BZ639">
        <v>2.87</v>
      </c>
      <c r="CA639">
        <v>3.3</v>
      </c>
      <c r="CB639">
        <v>3.09</v>
      </c>
      <c r="CC639">
        <v>3.39</v>
      </c>
      <c r="CD639">
        <v>1.67</v>
      </c>
      <c r="CE639" s="19">
        <v>2.1</v>
      </c>
      <c r="CF639" s="19">
        <v>5.7</v>
      </c>
      <c r="CG639" s="4">
        <v>2.04</v>
      </c>
      <c r="CH639" s="4">
        <v>1.88</v>
      </c>
      <c r="CI639" s="4">
        <v>3</v>
      </c>
      <c r="CJ639" s="34">
        <v>3.9</v>
      </c>
      <c r="CK639" s="34">
        <v>4.0999999999999996</v>
      </c>
      <c r="CL639" s="43">
        <v>4.0999999999999996</v>
      </c>
      <c r="CM639" s="4">
        <v>2.6</v>
      </c>
      <c r="CN639" s="53">
        <v>2.4</v>
      </c>
      <c r="CO639" s="54">
        <v>2.8</v>
      </c>
      <c r="CP639" s="54">
        <v>2.7</v>
      </c>
      <c r="CQ639" s="4">
        <v>2.8</v>
      </c>
    </row>
    <row r="640" spans="1:95" x14ac:dyDescent="0.35">
      <c r="A640" s="55">
        <v>639</v>
      </c>
      <c r="B640" t="s">
        <v>119</v>
      </c>
      <c r="C640" s="27" t="s">
        <v>912</v>
      </c>
      <c r="D640" s="3" t="s">
        <v>93</v>
      </c>
      <c r="E640" s="33" t="s">
        <v>89</v>
      </c>
      <c r="F640" s="4">
        <f>IFERROR(AVERAGEIF(Table1[[#This Row],[2019-Apr]:[2025-July]],"&lt;&gt;0"),0)</f>
        <v>3.0853749999999991</v>
      </c>
      <c r="G640" s="4">
        <f ca="1">IFERROR(AVERAGEIF(OFFSET(Table1[[#This Row],[Status]],0,COUNT(Table1[[#This Row],[2019-May]:[2025-July]]),1,-12),"&lt;&gt;0"),0)</f>
        <v>3.5425000000000004</v>
      </c>
      <c r="H640" s="55">
        <f>IFERROR(SMALL(Table1[[#This Row],[2019-Apr]:[2025-July]],COUNTIF(Table1[[#This Row],[2019-Apr]:[2025-July]],0)+1),0)</f>
        <v>1.7</v>
      </c>
      <c r="I640" s="55">
        <f>IFERROR(MAX(Table1[[#This Row],[2019-Apr]:[2025-July]]),0)</f>
        <v>7.4</v>
      </c>
      <c r="J640" s="4" cm="1">
        <f t="array" ref="J64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1.8115000000000003</v>
      </c>
      <c r="K640" s="4">
        <v>4.5</v>
      </c>
      <c r="L640" s="4">
        <f>IF(Table1[[#This Row],[Standard as per ISO]]&gt;=Table1[[#This Row],[Avg of best 6]],Table1[[#This Row],[Standard as per ISO]],Table1[[#This Row],[Avg of best 6]])</f>
        <v>4.5</v>
      </c>
      <c r="M640" s="4" cm="1">
        <f t="array" ref="M640">IFERROR(LOOKUP(2,1/(Table1[[#This Row],[2019-May]:[2025-July]]&lt;&gt;0),Table1[[#This Row],[2019-May]:[2025-July]]),0)</f>
        <v>7.4</v>
      </c>
      <c r="N640" s="4">
        <f>COUNTIF(Table1[[#This Row],[2019-Apr]:[2025-July]],"&gt;="&amp;Table1[[#This Row],[Target]])</f>
        <v>10</v>
      </c>
      <c r="O640" s="4">
        <f>IF(Table1[[#This Row],[Outliers 2Y]]=0,1,0)</f>
        <v>0</v>
      </c>
      <c r="P640" s="4">
        <f>IF(Table1[[#This Row],[Last value]]&gt;1.5*Table1[[#This Row],[Target]],1,0)</f>
        <v>1</v>
      </c>
      <c r="Q640" s="4">
        <f>IF(AND(1.5*Table1[[#This Row],[Target]]&gt;=Table1[[#This Row],[Last value]],Table1[[#This Row],[Last value]]&gt;Table1[[#This Row],[Target]]),1,0)</f>
        <v>0</v>
      </c>
      <c r="R640" s="4">
        <f>IF(Table1[[#This Row],[Target]]&gt;=Table1[[#This Row],[Last value]],1,0)</f>
        <v>0</v>
      </c>
      <c r="S640" s="4" t="str">
        <f t="shared" si="16"/>
        <v>Red</v>
      </c>
      <c r="T640">
        <v>2.38</v>
      </c>
      <c r="U640">
        <v>2.1</v>
      </c>
      <c r="V640">
        <v>2.12</v>
      </c>
      <c r="W640">
        <v>2.35</v>
      </c>
      <c r="X640">
        <v>0</v>
      </c>
      <c r="Y640">
        <v>1.87</v>
      </c>
      <c r="Z640">
        <v>2.63</v>
      </c>
      <c r="AA640">
        <v>2.71</v>
      </c>
      <c r="AB640">
        <v>2.8</v>
      </c>
      <c r="AC640">
        <v>2.2999999999999998</v>
      </c>
      <c r="AD640">
        <v>2.2999999999999998</v>
      </c>
      <c r="AE640">
        <v>5.0999999999999996</v>
      </c>
      <c r="AF640">
        <v>3</v>
      </c>
      <c r="AG640">
        <v>2.7</v>
      </c>
      <c r="AH640">
        <v>2.9</v>
      </c>
      <c r="AI640">
        <v>4.5999999999999996</v>
      </c>
      <c r="AJ640">
        <v>1.9</v>
      </c>
      <c r="AK640">
        <v>1.85</v>
      </c>
      <c r="AL640">
        <v>3.58</v>
      </c>
      <c r="AM640">
        <v>0</v>
      </c>
      <c r="AN640">
        <v>4.3</v>
      </c>
      <c r="AO640">
        <v>2.4300000000000002</v>
      </c>
      <c r="AP640">
        <v>0</v>
      </c>
      <c r="AQ640">
        <v>2.59</v>
      </c>
      <c r="AR640" s="8">
        <v>2.25</v>
      </c>
      <c r="AS640" s="8">
        <v>1.9</v>
      </c>
      <c r="AT640" s="8">
        <v>2.37</v>
      </c>
      <c r="AU640" s="3">
        <v>2.9</v>
      </c>
      <c r="AV640" s="3">
        <v>3.15</v>
      </c>
      <c r="AW640" s="3">
        <v>2.42</v>
      </c>
      <c r="AX640" s="3">
        <v>2.4500000000000002</v>
      </c>
      <c r="AY640" s="3">
        <v>3.83</v>
      </c>
      <c r="AZ640" s="3">
        <v>4.4000000000000004</v>
      </c>
      <c r="BA640" s="3">
        <v>2.8</v>
      </c>
      <c r="BB640" s="3">
        <v>2.7</v>
      </c>
      <c r="BC640">
        <v>2.6</v>
      </c>
      <c r="BD640">
        <v>0</v>
      </c>
      <c r="BE640" s="11">
        <v>5.5259999999999998</v>
      </c>
      <c r="BF640" s="4">
        <v>5.702</v>
      </c>
      <c r="BG640" s="4">
        <v>2.1139999999999999</v>
      </c>
      <c r="BH640" s="4">
        <v>4.5140000000000002</v>
      </c>
      <c r="BI640" s="4">
        <v>3.1040000000000001</v>
      </c>
      <c r="BJ640" s="14">
        <v>2.6219999999999999</v>
      </c>
      <c r="BK640" s="14">
        <v>2.6419999999999999</v>
      </c>
      <c r="BL640" s="4">
        <v>2.738</v>
      </c>
      <c r="BM640" s="17">
        <v>1.7589999999999999</v>
      </c>
      <c r="BN640" s="4">
        <v>2.3420000000000001</v>
      </c>
      <c r="BO640" s="4">
        <v>3.1520000000000001</v>
      </c>
      <c r="BP640" s="4">
        <v>2.6440000000000001</v>
      </c>
      <c r="BQ640" s="4">
        <v>2.2829999999999999</v>
      </c>
      <c r="BR640" s="4">
        <v>2.988</v>
      </c>
      <c r="BS640" s="4">
        <v>2.7090000000000001</v>
      </c>
      <c r="BT640" s="4">
        <v>3.1579999999999999</v>
      </c>
      <c r="BU640" s="4">
        <v>2.113</v>
      </c>
      <c r="BV640" s="4">
        <v>3.9660000000000002</v>
      </c>
      <c r="BW640" s="4">
        <v>4.0330000000000004</v>
      </c>
      <c r="BX640" s="4">
        <v>1.79</v>
      </c>
      <c r="BY640" s="4">
        <v>2.8479999999999999</v>
      </c>
      <c r="BZ640">
        <v>2.2599999999999998</v>
      </c>
      <c r="CA640">
        <v>2.2599999999999998</v>
      </c>
      <c r="CB640">
        <v>3.17</v>
      </c>
      <c r="CC640">
        <v>3.63</v>
      </c>
      <c r="CD640">
        <v>3.89</v>
      </c>
      <c r="CE640" s="19">
        <v>3</v>
      </c>
      <c r="CF640" s="19">
        <v>5.7</v>
      </c>
      <c r="CG640" s="4">
        <v>6.69</v>
      </c>
      <c r="CH640" s="4">
        <v>6.41</v>
      </c>
      <c r="CI640" s="4">
        <v>2.21</v>
      </c>
      <c r="CJ640" s="34">
        <v>2.9</v>
      </c>
      <c r="CK640" s="34">
        <v>5.3</v>
      </c>
      <c r="CL640" s="43">
        <v>1.9</v>
      </c>
      <c r="CM640" s="4">
        <v>1.7</v>
      </c>
      <c r="CN640" s="53">
        <v>2</v>
      </c>
      <c r="CO640" s="54">
        <v>2.2000000000000002</v>
      </c>
      <c r="CP640" s="54">
        <v>2.5</v>
      </c>
      <c r="CQ640" s="4">
        <v>7.4</v>
      </c>
    </row>
    <row r="641" spans="1:95" x14ac:dyDescent="0.35">
      <c r="A641" s="55">
        <v>640</v>
      </c>
      <c r="B641" t="s">
        <v>119</v>
      </c>
      <c r="C641" s="27" t="s">
        <v>913</v>
      </c>
      <c r="D641" s="3" t="s">
        <v>93</v>
      </c>
      <c r="E641" s="33" t="s">
        <v>89</v>
      </c>
      <c r="F641" s="4">
        <f>IFERROR(AVERAGEIF(Table1[[#This Row],[2019-Apr]:[2025-July]],"&lt;&gt;0"),0)</f>
        <v>3.9517384615384614</v>
      </c>
      <c r="G641" s="4">
        <f ca="1">IFERROR(AVERAGEIF(OFFSET(Table1[[#This Row],[Status]],0,COUNT(Table1[[#This Row],[2019-May]:[2025-July]]),1,-12),"&lt;&gt;0"),0)</f>
        <v>3.7416666666666667</v>
      </c>
      <c r="H641" s="55">
        <f>IFERROR(SMALL(Table1[[#This Row],[2019-Apr]:[2025-July]],COUNTIF(Table1[[#This Row],[2019-Apr]:[2025-July]],0)+1),0)</f>
        <v>1.78</v>
      </c>
      <c r="I641" s="55">
        <f>IFERROR(MAX(Table1[[#This Row],[2019-Apr]:[2025-July]]),0)</f>
        <v>7.99</v>
      </c>
      <c r="J641" s="4" cm="1">
        <f t="array" ref="J64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2.1156666666666664</v>
      </c>
      <c r="K641" s="4">
        <v>4.5</v>
      </c>
      <c r="L641" s="4">
        <f>IF(Table1[[#This Row],[Standard as per ISO]]&gt;=Table1[[#This Row],[Avg of best 6]],Table1[[#This Row],[Standard as per ISO]],Table1[[#This Row],[Avg of best 6]])</f>
        <v>4.5</v>
      </c>
      <c r="M641" s="4" cm="1">
        <f t="array" ref="M641">IFERROR(LOOKUP(2,1/(Table1[[#This Row],[2019-May]:[2025-July]]&lt;&gt;0),Table1[[#This Row],[2019-May]:[2025-July]]),0)</f>
        <v>3</v>
      </c>
      <c r="N641" s="4">
        <f>COUNTIF(Table1[[#This Row],[2019-Apr]:[2025-July]],"&gt;="&amp;Table1[[#This Row],[Target]])</f>
        <v>19</v>
      </c>
      <c r="O641" s="4">
        <f>IF(Table1[[#This Row],[Outliers 2Y]]=0,1,0)</f>
        <v>0</v>
      </c>
      <c r="P641" s="4">
        <f>IF(Table1[[#This Row],[Last value]]&gt;1.5*Table1[[#This Row],[Target]],1,0)</f>
        <v>0</v>
      </c>
      <c r="Q641" s="4">
        <f>IF(AND(1.5*Table1[[#This Row],[Target]]&gt;=Table1[[#This Row],[Last value]],Table1[[#This Row],[Last value]]&gt;Table1[[#This Row],[Target]]),1,0)</f>
        <v>0</v>
      </c>
      <c r="R641" s="4">
        <f>IF(Table1[[#This Row],[Target]]&gt;=Table1[[#This Row],[Last value]],1,0)</f>
        <v>1</v>
      </c>
      <c r="S641" s="4" t="str">
        <f t="shared" si="16"/>
        <v>Green</v>
      </c>
      <c r="T641">
        <v>2.4700000000000002</v>
      </c>
      <c r="U641">
        <v>5.63</v>
      </c>
      <c r="V641">
        <v>3.39</v>
      </c>
      <c r="W641">
        <v>4.54</v>
      </c>
      <c r="X641">
        <v>0</v>
      </c>
      <c r="Y641">
        <v>3.95</v>
      </c>
      <c r="Z641">
        <v>3.44</v>
      </c>
      <c r="AA641">
        <v>0</v>
      </c>
      <c r="AB641">
        <v>4.0999999999999996</v>
      </c>
      <c r="AC641">
        <v>3.21</v>
      </c>
      <c r="AD641">
        <v>2.5</v>
      </c>
      <c r="AE641">
        <v>4.9000000000000004</v>
      </c>
      <c r="AF641">
        <v>3.1</v>
      </c>
      <c r="AG641">
        <v>1.9</v>
      </c>
      <c r="AH641">
        <v>2.9</v>
      </c>
      <c r="AI641">
        <v>1.78</v>
      </c>
      <c r="AJ641">
        <v>4.25</v>
      </c>
      <c r="AK641">
        <v>2.61</v>
      </c>
      <c r="AL641">
        <v>2.7</v>
      </c>
      <c r="AM641">
        <v>0</v>
      </c>
      <c r="AN641">
        <v>7.4</v>
      </c>
      <c r="AO641">
        <v>0</v>
      </c>
      <c r="AP641">
        <v>5.3</v>
      </c>
      <c r="AQ641">
        <v>7.99</v>
      </c>
      <c r="AR641" s="8">
        <v>3.01</v>
      </c>
      <c r="AS641" s="8">
        <v>2.8</v>
      </c>
      <c r="AT641" s="8">
        <v>3.67</v>
      </c>
      <c r="AU641" s="3">
        <v>3.6</v>
      </c>
      <c r="AV641" s="3">
        <v>2.0099999999999998</v>
      </c>
      <c r="AW641" s="3">
        <v>3.87</v>
      </c>
      <c r="AX641" s="3">
        <v>3.4</v>
      </c>
      <c r="AY641" s="3">
        <v>2.88</v>
      </c>
      <c r="AZ641" s="3">
        <v>4</v>
      </c>
      <c r="BA641" s="3">
        <v>2.7</v>
      </c>
      <c r="BB641" s="3">
        <v>0</v>
      </c>
      <c r="BC641" s="3">
        <v>0</v>
      </c>
      <c r="BD641">
        <v>0</v>
      </c>
      <c r="BE641" s="11">
        <v>6.7610000000000001</v>
      </c>
      <c r="BF641" s="4">
        <v>7.8170000000000002</v>
      </c>
      <c r="BG641" s="4">
        <v>3.548</v>
      </c>
      <c r="BH641" s="4">
        <v>0</v>
      </c>
      <c r="BI641" s="4">
        <v>0</v>
      </c>
      <c r="BJ641" s="13">
        <v>2.9620000000000002</v>
      </c>
      <c r="BK641" s="13">
        <v>2.2040000000000002</v>
      </c>
      <c r="BL641" s="4">
        <v>0</v>
      </c>
      <c r="BM641" s="16">
        <v>0</v>
      </c>
      <c r="BN641" s="4">
        <v>6.2</v>
      </c>
      <c r="BO641" s="4">
        <v>5.7389999999999999</v>
      </c>
      <c r="BP641" s="4">
        <v>5.7389999999999999</v>
      </c>
      <c r="BQ641" s="4">
        <v>2.8340000000000001</v>
      </c>
      <c r="BR641" s="4">
        <v>4.05</v>
      </c>
      <c r="BS641" s="4">
        <v>3.7869999999999999</v>
      </c>
      <c r="BT641" s="4">
        <v>3.0030000000000001</v>
      </c>
      <c r="BU641" s="4">
        <v>2.9590000000000001</v>
      </c>
      <c r="BV641" s="4">
        <v>2.9590000000000001</v>
      </c>
      <c r="BW641" s="4">
        <v>4.601</v>
      </c>
      <c r="BX641" s="4">
        <v>6.04</v>
      </c>
      <c r="BY641" s="4">
        <v>3.36</v>
      </c>
      <c r="BZ641">
        <v>5.75</v>
      </c>
      <c r="CA641">
        <v>5.43</v>
      </c>
      <c r="CB641">
        <v>4.43</v>
      </c>
      <c r="CC641">
        <v>4.5</v>
      </c>
      <c r="CD641">
        <v>4.29</v>
      </c>
      <c r="CE641" s="19">
        <v>4.7</v>
      </c>
      <c r="CF641" s="19">
        <v>4</v>
      </c>
      <c r="CG641" s="4">
        <v>4.29</v>
      </c>
      <c r="CH641" s="4">
        <v>4.29</v>
      </c>
      <c r="CI641" s="4">
        <v>3.22</v>
      </c>
      <c r="CJ641" s="34">
        <v>5.3</v>
      </c>
      <c r="CK641" s="34">
        <v>4.5999999999999996</v>
      </c>
      <c r="CL641" s="43">
        <v>3.9</v>
      </c>
      <c r="CM641" s="4">
        <v>2.7</v>
      </c>
      <c r="CN641" s="53">
        <v>2.2999999999999998</v>
      </c>
      <c r="CO641" s="54">
        <v>2.6</v>
      </c>
      <c r="CP641" s="54">
        <v>3</v>
      </c>
      <c r="CQ641" s="4">
        <v>3</v>
      </c>
    </row>
    <row r="642" spans="1:95" x14ac:dyDescent="0.35">
      <c r="A642" s="55">
        <v>641</v>
      </c>
      <c r="B642" t="s">
        <v>119</v>
      </c>
      <c r="C642" s="27" t="s">
        <v>914</v>
      </c>
      <c r="D642" s="3" t="s">
        <v>93</v>
      </c>
      <c r="E642" s="33" t="s">
        <v>89</v>
      </c>
      <c r="F642" s="4">
        <f>IFERROR(AVERAGEIF(Table1[[#This Row],[2019-Apr]:[2025-July]],"&lt;&gt;0"),0)</f>
        <v>3.6216119402985072</v>
      </c>
      <c r="G642" s="4">
        <f ca="1">IFERROR(AVERAGEIF(OFFSET(Table1[[#This Row],[Status]],0,COUNT(Table1[[#This Row],[2019-May]:[2025-July]]),1,-12),"&lt;&gt;0"),0)</f>
        <v>3.7025000000000001</v>
      </c>
      <c r="H642" s="55">
        <f>IFERROR(SMALL(Table1[[#This Row],[2019-Apr]:[2025-July]],COUNTIF(Table1[[#This Row],[2019-Apr]:[2025-July]],0)+1),0)</f>
        <v>1.0589999999999999</v>
      </c>
      <c r="I642" s="55">
        <f>IFERROR(MAX(Table1[[#This Row],[2019-Apr]:[2025-July]]),0)</f>
        <v>6.1870000000000003</v>
      </c>
      <c r="J642" s="4" cm="1">
        <f t="array" ref="J64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1.6531666666666667</v>
      </c>
      <c r="K642" s="4">
        <v>4.5</v>
      </c>
      <c r="L642" s="4">
        <f>IF(Table1[[#This Row],[Standard as per ISO]]&gt;=Table1[[#This Row],[Avg of best 6]],Table1[[#This Row],[Standard as per ISO]],Table1[[#This Row],[Avg of best 6]])</f>
        <v>4.5</v>
      </c>
      <c r="M642" s="4" cm="1">
        <f t="array" ref="M642">IFERROR(LOOKUP(2,1/(Table1[[#This Row],[2019-May]:[2025-July]]&lt;&gt;0),Table1[[#This Row],[2019-May]:[2025-July]]),0)</f>
        <v>4.9000000000000004</v>
      </c>
      <c r="N642" s="4">
        <f>COUNTIF(Table1[[#This Row],[2019-Apr]:[2025-July]],"&gt;="&amp;Table1[[#This Row],[Target]])</f>
        <v>17</v>
      </c>
      <c r="O642" s="4">
        <f>IF(Table1[[#This Row],[Outliers 2Y]]=0,1,0)</f>
        <v>0</v>
      </c>
      <c r="P642" s="4">
        <f>IF(Table1[[#This Row],[Last value]]&gt;1.5*Table1[[#This Row],[Target]],1,0)</f>
        <v>0</v>
      </c>
      <c r="Q642" s="4">
        <f>IF(AND(1.5*Table1[[#This Row],[Target]]&gt;=Table1[[#This Row],[Last value]],Table1[[#This Row],[Last value]]&gt;Table1[[#This Row],[Target]]),1,0)</f>
        <v>1</v>
      </c>
      <c r="R642" s="4">
        <f>IF(Table1[[#This Row],[Target]]&gt;=Table1[[#This Row],[Last value]],1,0)</f>
        <v>0</v>
      </c>
      <c r="S642" s="4" t="str">
        <f t="shared" si="16"/>
        <v>Yellow</v>
      </c>
      <c r="T642">
        <v>3.59</v>
      </c>
      <c r="U642">
        <v>3.66</v>
      </c>
      <c r="V642">
        <v>4.8</v>
      </c>
      <c r="W642">
        <v>3.4</v>
      </c>
      <c r="X642">
        <v>0</v>
      </c>
      <c r="Y642">
        <v>3.47</v>
      </c>
      <c r="Z642">
        <v>2.25</v>
      </c>
      <c r="AA642">
        <v>0</v>
      </c>
      <c r="AB642">
        <v>3.9</v>
      </c>
      <c r="AC642">
        <v>4.95</v>
      </c>
      <c r="AD642">
        <v>3.7</v>
      </c>
      <c r="AE642">
        <v>4.5</v>
      </c>
      <c r="AF642">
        <v>2.8</v>
      </c>
      <c r="AG642">
        <v>2.7</v>
      </c>
      <c r="AH642">
        <v>3.3</v>
      </c>
      <c r="AI642">
        <v>4.09</v>
      </c>
      <c r="AJ642">
        <v>3.5</v>
      </c>
      <c r="AK642">
        <v>2.62</v>
      </c>
      <c r="AL642">
        <v>4.37</v>
      </c>
      <c r="AM642">
        <v>0</v>
      </c>
      <c r="AN642">
        <v>4.5</v>
      </c>
      <c r="AO642">
        <v>0</v>
      </c>
      <c r="AP642">
        <v>3.24</v>
      </c>
      <c r="AQ642">
        <v>2.64</v>
      </c>
      <c r="AR642" s="8">
        <v>3.05</v>
      </c>
      <c r="AS642" s="8">
        <v>3.51</v>
      </c>
      <c r="AT642" s="8">
        <v>3.41</v>
      </c>
      <c r="AU642" s="3">
        <v>5.3</v>
      </c>
      <c r="AV642" s="3">
        <v>4.3</v>
      </c>
      <c r="AW642" s="3">
        <v>3.27</v>
      </c>
      <c r="AX642" s="3">
        <v>3.14</v>
      </c>
      <c r="AY642" s="3">
        <v>3.52</v>
      </c>
      <c r="AZ642" s="3">
        <v>3.5</v>
      </c>
      <c r="BA642" s="3">
        <v>2.4</v>
      </c>
      <c r="BB642" s="3">
        <v>3.4</v>
      </c>
      <c r="BC642">
        <v>1.6</v>
      </c>
      <c r="BD642">
        <v>0</v>
      </c>
      <c r="BE642" s="11">
        <v>2.98</v>
      </c>
      <c r="BF642" s="4">
        <v>2.988</v>
      </c>
      <c r="BG642" s="4">
        <v>4.4359999999999999</v>
      </c>
      <c r="BH642" s="4">
        <v>0</v>
      </c>
      <c r="BI642" s="4">
        <v>0</v>
      </c>
      <c r="BJ642" s="14">
        <v>3.9630000000000001</v>
      </c>
      <c r="BK642" s="14">
        <v>3.5209999999999999</v>
      </c>
      <c r="BL642" s="4">
        <v>0</v>
      </c>
      <c r="BM642" s="17">
        <v>0</v>
      </c>
      <c r="BN642" s="4">
        <v>5.59</v>
      </c>
      <c r="BO642" s="4">
        <v>2.8959999999999999</v>
      </c>
      <c r="BP642" s="4">
        <v>2.8959999999999999</v>
      </c>
      <c r="BQ642" s="4">
        <v>2.1230000000000002</v>
      </c>
      <c r="BR642" s="4">
        <v>6.1559999999999997</v>
      </c>
      <c r="BS642" s="4">
        <v>6.0750000000000002</v>
      </c>
      <c r="BT642" s="4">
        <v>1.0589999999999999</v>
      </c>
      <c r="BU642" s="4">
        <v>4.8739999999999997</v>
      </c>
      <c r="BV642" s="4">
        <v>4.8739999999999997</v>
      </c>
      <c r="BW642" s="4">
        <v>2.61</v>
      </c>
      <c r="BX642" s="4">
        <v>6.1870000000000003</v>
      </c>
      <c r="BY642" s="4">
        <v>4.8600000000000003</v>
      </c>
      <c r="BZ642">
        <v>1.57</v>
      </c>
      <c r="CA642">
        <v>1.8</v>
      </c>
      <c r="CB642">
        <v>4.63</v>
      </c>
      <c r="CC642">
        <v>2.09</v>
      </c>
      <c r="CD642">
        <v>2.76</v>
      </c>
      <c r="CE642" s="19">
        <v>3.6</v>
      </c>
      <c r="CF642" s="19">
        <v>2.8</v>
      </c>
      <c r="CG642" s="4">
        <v>2.46</v>
      </c>
      <c r="CH642" s="4">
        <v>3.68</v>
      </c>
      <c r="CI642" s="4">
        <v>4.49</v>
      </c>
      <c r="CJ642" s="34">
        <v>2.7</v>
      </c>
      <c r="CK642" s="34">
        <v>1.8</v>
      </c>
      <c r="CL642" s="43">
        <v>4.9000000000000004</v>
      </c>
      <c r="CM642" s="4">
        <v>4.4000000000000004</v>
      </c>
      <c r="CN642" s="53">
        <v>4</v>
      </c>
      <c r="CO642" s="54">
        <v>4.7</v>
      </c>
      <c r="CP642" s="54">
        <v>4.9000000000000004</v>
      </c>
      <c r="CQ642" s="4">
        <v>4.9000000000000004</v>
      </c>
    </row>
    <row r="643" spans="1:95" x14ac:dyDescent="0.35">
      <c r="A643" s="55">
        <v>642</v>
      </c>
      <c r="B643" t="s">
        <v>119</v>
      </c>
      <c r="C643" s="27" t="s">
        <v>915</v>
      </c>
      <c r="D643" s="3" t="s">
        <v>94</v>
      </c>
      <c r="E643" s="33" t="s">
        <v>89</v>
      </c>
      <c r="F643" s="4">
        <f>IFERROR(AVERAGEIF(Table1[[#This Row],[2019-Apr]:[2025-July]],"&lt;&gt;0"),0)</f>
        <v>3.9702432432432424</v>
      </c>
      <c r="G643" s="4">
        <f ca="1">IFERROR(AVERAGEIF(OFFSET(Table1[[#This Row],[Status]],0,COUNT(Table1[[#This Row],[2019-May]:[2025-July]]),1,-12),"&lt;&gt;0"),0)</f>
        <v>4.07</v>
      </c>
      <c r="H643" s="55">
        <f>IFERROR(SMALL(Table1[[#This Row],[2019-Apr]:[2025-July]],COUNTIF(Table1[[#This Row],[2019-Apr]:[2025-July]],0)+1),0)</f>
        <v>2.82</v>
      </c>
      <c r="I643" s="55">
        <f>IFERROR(MAX(Table1[[#This Row],[2019-Apr]:[2025-July]]),0)</f>
        <v>10.98</v>
      </c>
      <c r="J643" s="4" cm="1">
        <f t="array" ref="J64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3.0098333333333334</v>
      </c>
      <c r="K643" s="4">
        <v>4.5</v>
      </c>
      <c r="L643" s="4">
        <f>IF(Table1[[#This Row],[Standard as per ISO]]&gt;=Table1[[#This Row],[Avg of best 6]],Table1[[#This Row],[Standard as per ISO]],Table1[[#This Row],[Avg of best 6]])</f>
        <v>4.5</v>
      </c>
      <c r="M643" s="4" cm="1">
        <f t="array" ref="M643">IFERROR(LOOKUP(2,1/(Table1[[#This Row],[2019-May]:[2025-July]]&lt;&gt;0),Table1[[#This Row],[2019-May]:[2025-July]]),0)</f>
        <v>5.0999999999999996</v>
      </c>
      <c r="N643" s="4">
        <f>COUNTIF(Table1[[#This Row],[2019-Apr]:[2025-July]],"&gt;="&amp;Table1[[#This Row],[Target]])</f>
        <v>7</v>
      </c>
      <c r="O643" s="4">
        <f>IF(Table1[[#This Row],[Outliers 2Y]]=0,1,0)</f>
        <v>0</v>
      </c>
      <c r="P643" s="4">
        <f>IF(Table1[[#This Row],[Last value]]&gt;1.5*Table1[[#This Row],[Target]],1,0)</f>
        <v>0</v>
      </c>
      <c r="Q643" s="4">
        <f>IF(AND(1.5*Table1[[#This Row],[Target]]&gt;=Table1[[#This Row],[Last value]],Table1[[#This Row],[Last value]]&gt;Table1[[#This Row],[Target]]),1,0)</f>
        <v>1</v>
      </c>
      <c r="R643" s="4">
        <f>IF(Table1[[#This Row],[Target]]&gt;=Table1[[#This Row],[Last value]],1,0)</f>
        <v>0</v>
      </c>
      <c r="S643" s="4" t="str">
        <f t="shared" si="16"/>
        <v>Yellow</v>
      </c>
      <c r="T643">
        <v>0</v>
      </c>
      <c r="U643">
        <v>0</v>
      </c>
      <c r="V643">
        <v>3.61</v>
      </c>
      <c r="W643">
        <v>3.34</v>
      </c>
      <c r="X643">
        <v>3.68</v>
      </c>
      <c r="Y643">
        <v>3.23</v>
      </c>
      <c r="Z643">
        <v>3.45</v>
      </c>
      <c r="AA643">
        <v>4.07</v>
      </c>
      <c r="AB643">
        <v>3.2</v>
      </c>
      <c r="AC643">
        <v>3.7</v>
      </c>
      <c r="AD643">
        <v>0</v>
      </c>
      <c r="AE643">
        <v>0</v>
      </c>
      <c r="AF643">
        <v>0</v>
      </c>
      <c r="AG643">
        <v>3.2</v>
      </c>
      <c r="AH643">
        <v>3.5</v>
      </c>
      <c r="AI643">
        <v>0</v>
      </c>
      <c r="AJ643">
        <v>0</v>
      </c>
      <c r="AK643">
        <v>0</v>
      </c>
      <c r="AL643">
        <v>3.57</v>
      </c>
      <c r="AM643">
        <v>5.52</v>
      </c>
      <c r="AN643">
        <v>4</v>
      </c>
      <c r="AO643">
        <v>0</v>
      </c>
      <c r="AP643">
        <v>6.3</v>
      </c>
      <c r="AQ643">
        <v>0</v>
      </c>
      <c r="AR643" s="8">
        <v>0</v>
      </c>
      <c r="AS643" s="8">
        <v>0</v>
      </c>
      <c r="AT643" s="8">
        <v>0</v>
      </c>
      <c r="AU643" s="3">
        <v>2.82</v>
      </c>
      <c r="AV643" s="3">
        <v>3.21</v>
      </c>
      <c r="AW643" s="3">
        <v>4.01</v>
      </c>
      <c r="AX643" s="3">
        <v>0</v>
      </c>
      <c r="AY643" s="3">
        <v>3.8</v>
      </c>
      <c r="AZ643" s="3">
        <v>3.8</v>
      </c>
      <c r="BA643" s="3">
        <v>0</v>
      </c>
      <c r="BB643" s="3">
        <v>3.3</v>
      </c>
      <c r="BC643">
        <v>3.1</v>
      </c>
      <c r="BD643">
        <v>0</v>
      </c>
      <c r="BE643" s="11">
        <v>3.1040000000000001</v>
      </c>
      <c r="BF643" s="4">
        <v>2.8780000000000001</v>
      </c>
      <c r="BG643" s="4">
        <v>3.2</v>
      </c>
      <c r="BH643" s="4">
        <v>0</v>
      </c>
      <c r="BI643" s="4">
        <v>2.9569999999999999</v>
      </c>
      <c r="BJ643" s="13">
        <v>0</v>
      </c>
      <c r="BK643" s="13">
        <v>3.282</v>
      </c>
      <c r="BL643" s="4">
        <v>0</v>
      </c>
      <c r="BM643" s="16">
        <v>0</v>
      </c>
      <c r="BN643" s="4">
        <v>0</v>
      </c>
      <c r="BO643" s="4">
        <v>0</v>
      </c>
      <c r="BP643" s="4">
        <v>3.7890000000000001</v>
      </c>
      <c r="BQ643" s="4">
        <v>0</v>
      </c>
      <c r="BR643" s="4">
        <v>0</v>
      </c>
      <c r="BS643" s="4">
        <v>4.3040000000000003</v>
      </c>
      <c r="BT643" s="4">
        <v>0</v>
      </c>
      <c r="BU643" s="4">
        <v>0</v>
      </c>
      <c r="BV643" s="4">
        <v>0</v>
      </c>
      <c r="BW643" s="4">
        <v>5.5049999999999999</v>
      </c>
      <c r="BX643" s="4">
        <v>0</v>
      </c>
      <c r="BY643" s="4">
        <v>0</v>
      </c>
      <c r="BZ643">
        <v>0</v>
      </c>
      <c r="CA643">
        <v>0</v>
      </c>
      <c r="CB643">
        <v>0</v>
      </c>
      <c r="CC643">
        <v>10.98</v>
      </c>
      <c r="CD643">
        <v>0</v>
      </c>
      <c r="CE643" s="19">
        <v>0</v>
      </c>
      <c r="CF643" s="19">
        <v>3.3</v>
      </c>
      <c r="CG643" s="4">
        <v>0</v>
      </c>
      <c r="CH643" s="4">
        <v>0</v>
      </c>
      <c r="CI643" s="4">
        <v>0</v>
      </c>
      <c r="CJ643" s="34">
        <v>3.4</v>
      </c>
      <c r="CK643" s="34">
        <v>3.2</v>
      </c>
      <c r="CL643" s="43">
        <v>3.5</v>
      </c>
      <c r="CM643" s="4">
        <v>4.5</v>
      </c>
      <c r="CN643" s="53">
        <v>5.49</v>
      </c>
      <c r="CO643" s="54">
        <v>0</v>
      </c>
      <c r="CP643" s="54">
        <v>5.0999999999999996</v>
      </c>
      <c r="CQ643" s="4">
        <v>0</v>
      </c>
    </row>
    <row r="644" spans="1:95" x14ac:dyDescent="0.35">
      <c r="A644" s="55">
        <v>643</v>
      </c>
      <c r="B644" t="s">
        <v>119</v>
      </c>
      <c r="C644" s="27" t="s">
        <v>916</v>
      </c>
      <c r="D644" s="3" t="s">
        <v>94</v>
      </c>
      <c r="E644" s="33" t="s">
        <v>89</v>
      </c>
      <c r="F644" s="4">
        <f>IFERROR(AVERAGEIF(Table1[[#This Row],[2019-Apr]:[2025-July]],"&lt;&gt;0"),0)</f>
        <v>4.2904615384615381</v>
      </c>
      <c r="G644" s="4">
        <f ca="1">IFERROR(AVERAGEIF(OFFSET(Table1[[#This Row],[Status]],0,COUNT(Table1[[#This Row],[2019-May]:[2025-July]]),1,-12),"&lt;&gt;0"),0)</f>
        <v>7</v>
      </c>
      <c r="H644" s="55">
        <f>IFERROR(SMALL(Table1[[#This Row],[2019-Apr]:[2025-July]],COUNTIF(Table1[[#This Row],[2019-Apr]:[2025-July]],0)+1),0)</f>
        <v>2.61</v>
      </c>
      <c r="I644" s="55">
        <f>IFERROR(MAX(Table1[[#This Row],[2019-Apr]:[2025-July]]),0)</f>
        <v>8.4</v>
      </c>
      <c r="J644" s="4" cm="1">
        <f t="array" ref="J64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2.9579999999999997</v>
      </c>
      <c r="K644" s="4">
        <v>4.5</v>
      </c>
      <c r="L644" s="4">
        <f>IF(Table1[[#This Row],[Standard as per ISO]]&gt;=Table1[[#This Row],[Avg of best 6]],Table1[[#This Row],[Standard as per ISO]],Table1[[#This Row],[Avg of best 6]])</f>
        <v>4.5</v>
      </c>
      <c r="M644" s="4" cm="1">
        <f t="array" ref="M644">IFERROR(LOOKUP(2,1/(Table1[[#This Row],[2019-May]:[2025-July]]&lt;&gt;0),Table1[[#This Row],[2019-May]:[2025-July]]),0)</f>
        <v>3.4</v>
      </c>
      <c r="N644" s="4">
        <f>COUNTIF(Table1[[#This Row],[2019-Apr]:[2025-July]],"&gt;="&amp;Table1[[#This Row],[Target]])</f>
        <v>12</v>
      </c>
      <c r="O644" s="4">
        <f>IF(Table1[[#This Row],[Outliers 2Y]]=0,1,0)</f>
        <v>0</v>
      </c>
      <c r="P644" s="4">
        <f>IF(Table1[[#This Row],[Last value]]&gt;1.5*Table1[[#This Row],[Target]],1,0)</f>
        <v>0</v>
      </c>
      <c r="Q644" s="4">
        <f>IF(AND(1.5*Table1[[#This Row],[Target]]&gt;=Table1[[#This Row],[Last value]],Table1[[#This Row],[Last value]]&gt;Table1[[#This Row],[Target]]),1,0)</f>
        <v>0</v>
      </c>
      <c r="R644" s="4">
        <f>IF(Table1[[#This Row],[Target]]&gt;=Table1[[#This Row],[Last value]],1,0)</f>
        <v>1</v>
      </c>
      <c r="S644" s="4" t="str">
        <f t="shared" si="16"/>
        <v>Green</v>
      </c>
      <c r="T644">
        <v>3.26</v>
      </c>
      <c r="U644">
        <v>3.97</v>
      </c>
      <c r="V644">
        <v>0</v>
      </c>
      <c r="W644">
        <v>3.7</v>
      </c>
      <c r="X644">
        <v>0</v>
      </c>
      <c r="Y644">
        <v>3.47</v>
      </c>
      <c r="Z644">
        <v>3.31</v>
      </c>
      <c r="AA644">
        <v>3.95</v>
      </c>
      <c r="AB644">
        <v>0</v>
      </c>
      <c r="AC644">
        <v>0</v>
      </c>
      <c r="AD644">
        <v>4.9000000000000004</v>
      </c>
      <c r="AE644">
        <v>5.9</v>
      </c>
      <c r="AF644">
        <v>0</v>
      </c>
      <c r="AG644">
        <v>4</v>
      </c>
      <c r="AH644">
        <v>4.3</v>
      </c>
      <c r="AI644">
        <v>4.25</v>
      </c>
      <c r="AJ644">
        <v>3.69</v>
      </c>
      <c r="AK644">
        <v>3.8</v>
      </c>
      <c r="AL644">
        <v>3.85</v>
      </c>
      <c r="AM644">
        <v>0</v>
      </c>
      <c r="AN644">
        <v>5.0999999999999996</v>
      </c>
      <c r="AO644">
        <v>0</v>
      </c>
      <c r="AP644">
        <v>5.05</v>
      </c>
      <c r="AQ644">
        <v>4.0999999999999996</v>
      </c>
      <c r="AR644" s="8">
        <v>4.4400000000000004</v>
      </c>
      <c r="AS644" s="8">
        <v>4.2</v>
      </c>
      <c r="AT644" s="8">
        <v>2.76</v>
      </c>
      <c r="AU644" s="3">
        <v>2.61</v>
      </c>
      <c r="AV644" s="3">
        <v>0</v>
      </c>
      <c r="AW644" s="3">
        <v>0</v>
      </c>
      <c r="AX644" s="3">
        <v>3.78</v>
      </c>
      <c r="AY644" s="3">
        <v>4.93</v>
      </c>
      <c r="AZ644" s="3">
        <v>3.1</v>
      </c>
      <c r="BA644" s="3">
        <v>3.8</v>
      </c>
      <c r="BB644" s="3">
        <v>3.3</v>
      </c>
      <c r="BC644">
        <v>3.1</v>
      </c>
      <c r="BD644">
        <v>0</v>
      </c>
      <c r="BE644" s="11">
        <v>0</v>
      </c>
      <c r="BF644" s="4">
        <v>0</v>
      </c>
      <c r="BG644" s="4">
        <v>2.8780000000000001</v>
      </c>
      <c r="BH644" s="4">
        <v>0</v>
      </c>
      <c r="BI644" s="4">
        <v>3.6880000000000002</v>
      </c>
      <c r="BJ644" s="14">
        <v>0</v>
      </c>
      <c r="BK644" s="14">
        <v>0</v>
      </c>
      <c r="BL644" s="4">
        <v>3.9780000000000002</v>
      </c>
      <c r="BM644" s="17">
        <v>0</v>
      </c>
      <c r="BN644" s="4">
        <v>0</v>
      </c>
      <c r="BO644" s="4">
        <v>0</v>
      </c>
      <c r="BP644" s="4">
        <v>4.1079999999999997</v>
      </c>
      <c r="BQ644" s="4">
        <v>4.5069999999999997</v>
      </c>
      <c r="BR644" s="4">
        <v>0</v>
      </c>
      <c r="BS644" s="4">
        <v>4.883</v>
      </c>
      <c r="BT644" s="4">
        <v>0</v>
      </c>
      <c r="BU644" s="4">
        <v>0</v>
      </c>
      <c r="BV644" s="4">
        <v>0</v>
      </c>
      <c r="BW644" s="4">
        <v>5.8659999999999997</v>
      </c>
      <c r="BX644" s="4">
        <v>0</v>
      </c>
      <c r="BY644" s="4">
        <v>0</v>
      </c>
      <c r="BZ644">
        <v>0</v>
      </c>
      <c r="CA644">
        <v>0</v>
      </c>
      <c r="CB644">
        <v>0</v>
      </c>
      <c r="CC644">
        <v>6.4</v>
      </c>
      <c r="CD644">
        <v>0</v>
      </c>
      <c r="CE644" s="19">
        <v>0</v>
      </c>
      <c r="CF644" s="19">
        <v>6.1</v>
      </c>
      <c r="CG644" s="4">
        <v>6.5</v>
      </c>
      <c r="CH644" s="4">
        <v>0</v>
      </c>
      <c r="CI644" s="4">
        <v>0</v>
      </c>
      <c r="CJ644" s="34">
        <v>0</v>
      </c>
      <c r="CK644" s="34">
        <v>8.4</v>
      </c>
      <c r="CL644" s="43">
        <v>0</v>
      </c>
      <c r="CM644" s="4">
        <v>0</v>
      </c>
      <c r="CN644" s="53">
        <v>0</v>
      </c>
      <c r="CO644" s="54">
        <v>0</v>
      </c>
      <c r="CP644" s="54">
        <v>0</v>
      </c>
      <c r="CQ644" s="4">
        <v>3.4</v>
      </c>
    </row>
    <row r="645" spans="1:95" x14ac:dyDescent="0.35">
      <c r="A645" s="55">
        <v>644</v>
      </c>
      <c r="B645" t="s">
        <v>119</v>
      </c>
      <c r="C645" s="27" t="s">
        <v>917</v>
      </c>
      <c r="D645" s="3" t="s">
        <v>94</v>
      </c>
      <c r="E645" s="33" t="s">
        <v>89</v>
      </c>
      <c r="F645" s="4">
        <f>IFERROR(AVERAGEIF(Table1[[#This Row],[2019-Apr]:[2025-July]],"&lt;&gt;0"),0)</f>
        <v>4.6893513513513509</v>
      </c>
      <c r="G645" s="4">
        <f ca="1">IFERROR(AVERAGEIF(OFFSET(Table1[[#This Row],[Status]],0,COUNT(Table1[[#This Row],[2019-May]:[2025-July]]),1,-12),"&lt;&gt;0"),0)</f>
        <v>4.9300000000000006</v>
      </c>
      <c r="H645" s="55">
        <f>IFERROR(SMALL(Table1[[#This Row],[2019-Apr]:[2025-July]],COUNTIF(Table1[[#This Row],[2019-Apr]:[2025-July]],0)+1),0)</f>
        <v>3.34</v>
      </c>
      <c r="I645" s="55">
        <f>IFERROR(MAX(Table1[[#This Row],[2019-Apr]:[2025-July]]),0)</f>
        <v>7.35</v>
      </c>
      <c r="J645" s="4" cm="1">
        <f t="array" ref="J64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3.6553333333333335</v>
      </c>
      <c r="K645" s="4">
        <v>4.5</v>
      </c>
      <c r="L645" s="4">
        <f>IF(Table1[[#This Row],[Standard as per ISO]]&gt;=Table1[[#This Row],[Avg of best 6]],Table1[[#This Row],[Standard as per ISO]],Table1[[#This Row],[Avg of best 6]])</f>
        <v>4.5</v>
      </c>
      <c r="M645" s="4" cm="1">
        <f t="array" ref="M645">IFERROR(LOOKUP(2,1/(Table1[[#This Row],[2019-May]:[2025-July]]&lt;&gt;0),Table1[[#This Row],[2019-May]:[2025-July]]),0)</f>
        <v>4.4000000000000004</v>
      </c>
      <c r="N645" s="4">
        <f>COUNTIF(Table1[[#This Row],[2019-Apr]:[2025-July]],"&gt;="&amp;Table1[[#This Row],[Target]])</f>
        <v>19</v>
      </c>
      <c r="O645" s="4">
        <f>IF(Table1[[#This Row],[Outliers 2Y]]=0,1,0)</f>
        <v>0</v>
      </c>
      <c r="P645" s="4">
        <f>IF(Table1[[#This Row],[Last value]]&gt;1.5*Table1[[#This Row],[Target]],1,0)</f>
        <v>0</v>
      </c>
      <c r="Q645" s="4">
        <f>IF(AND(1.5*Table1[[#This Row],[Target]]&gt;=Table1[[#This Row],[Last value]],Table1[[#This Row],[Last value]]&gt;Table1[[#This Row],[Target]]),1,0)</f>
        <v>0</v>
      </c>
      <c r="R645" s="4">
        <f>IF(Table1[[#This Row],[Target]]&gt;=Table1[[#This Row],[Last value]],1,0)</f>
        <v>1</v>
      </c>
      <c r="S645" s="4" t="str">
        <f t="shared" si="16"/>
        <v>Green</v>
      </c>
      <c r="T645">
        <v>5.07</v>
      </c>
      <c r="U645">
        <v>0</v>
      </c>
      <c r="V645">
        <v>4.0599999999999996</v>
      </c>
      <c r="W645">
        <v>3.34</v>
      </c>
      <c r="X645">
        <v>3.73</v>
      </c>
      <c r="Y645">
        <v>0</v>
      </c>
      <c r="Z645">
        <v>0</v>
      </c>
      <c r="AA645">
        <v>0</v>
      </c>
      <c r="AB645">
        <v>3.9</v>
      </c>
      <c r="AC645">
        <v>4.3</v>
      </c>
      <c r="AD645">
        <v>4.2</v>
      </c>
      <c r="AE645">
        <v>4.8</v>
      </c>
      <c r="AF645">
        <v>3.7</v>
      </c>
      <c r="AG645">
        <v>0</v>
      </c>
      <c r="AH645">
        <v>0</v>
      </c>
      <c r="AI645">
        <v>4.13</v>
      </c>
      <c r="AJ645">
        <v>4.1500000000000004</v>
      </c>
      <c r="AK645">
        <v>7.35</v>
      </c>
      <c r="AL645">
        <v>0</v>
      </c>
      <c r="AM645">
        <v>6.21</v>
      </c>
      <c r="AN645">
        <v>5.3</v>
      </c>
      <c r="AO645">
        <v>0</v>
      </c>
      <c r="AP645">
        <v>0</v>
      </c>
      <c r="AQ645">
        <v>5.58</v>
      </c>
      <c r="AR645" s="8">
        <v>5.05</v>
      </c>
      <c r="AS645" s="8">
        <v>4.8</v>
      </c>
      <c r="AT645" s="8">
        <v>4.53</v>
      </c>
      <c r="AU645" s="3">
        <v>0</v>
      </c>
      <c r="AV645" s="3">
        <v>4.6500000000000004</v>
      </c>
      <c r="AW645" s="3">
        <v>4.87</v>
      </c>
      <c r="AX645" s="3">
        <v>3.85</v>
      </c>
      <c r="AY645" s="3">
        <v>0</v>
      </c>
      <c r="AZ645" s="3">
        <v>5.0999999999999996</v>
      </c>
      <c r="BA645" s="3">
        <v>4.0999999999999996</v>
      </c>
      <c r="BB645" s="3">
        <v>0</v>
      </c>
      <c r="BC645" s="3">
        <v>0</v>
      </c>
      <c r="BD645">
        <v>0</v>
      </c>
      <c r="BE645" s="11">
        <v>3.8180000000000001</v>
      </c>
      <c r="BF645" s="4">
        <v>3.4940000000000002</v>
      </c>
      <c r="BG645" s="4">
        <v>0</v>
      </c>
      <c r="BH645" s="4">
        <v>0</v>
      </c>
      <c r="BI645" s="4">
        <v>0</v>
      </c>
      <c r="BJ645" s="13">
        <v>0</v>
      </c>
      <c r="BK645" s="13">
        <v>3.8690000000000002</v>
      </c>
      <c r="BL645" s="4">
        <v>3.8980000000000001</v>
      </c>
      <c r="BM645" s="16">
        <v>0</v>
      </c>
      <c r="BN645" s="4">
        <v>0</v>
      </c>
      <c r="BO645" s="4">
        <v>0</v>
      </c>
      <c r="BP645" s="4">
        <v>6.0049999999999999</v>
      </c>
      <c r="BQ645" s="4">
        <v>5.7380000000000004</v>
      </c>
      <c r="BR645" s="4">
        <v>0</v>
      </c>
      <c r="BS645" s="4">
        <v>4.734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>
        <v>0</v>
      </c>
      <c r="CA645">
        <v>0</v>
      </c>
      <c r="CB645">
        <v>0</v>
      </c>
      <c r="CC645">
        <v>5.6</v>
      </c>
      <c r="CD645">
        <v>0</v>
      </c>
      <c r="CE645" s="19">
        <v>0</v>
      </c>
      <c r="CF645" s="19">
        <v>0</v>
      </c>
      <c r="CG645" s="4">
        <v>5.65</v>
      </c>
      <c r="CH645" s="4">
        <v>0</v>
      </c>
      <c r="CI645" s="4">
        <v>0</v>
      </c>
      <c r="CJ645" s="34">
        <v>6.5</v>
      </c>
      <c r="CK645" s="34">
        <v>0</v>
      </c>
      <c r="CL645" s="43">
        <v>4.2</v>
      </c>
      <c r="CM645" s="4">
        <v>4.3</v>
      </c>
      <c r="CN645" s="53">
        <v>4.53</v>
      </c>
      <c r="CO645" s="54">
        <v>4.4000000000000004</v>
      </c>
      <c r="CP645" s="54">
        <v>0</v>
      </c>
      <c r="CQ645" s="4">
        <v>0</v>
      </c>
    </row>
    <row r="646" spans="1:95" x14ac:dyDescent="0.35">
      <c r="A646" s="55">
        <v>645</v>
      </c>
      <c r="B646" t="s">
        <v>119</v>
      </c>
      <c r="C646" s="27" t="s">
        <v>918</v>
      </c>
      <c r="D646" s="3" t="s">
        <v>94</v>
      </c>
      <c r="E646" s="33" t="s">
        <v>89</v>
      </c>
      <c r="F646" s="4">
        <f>IFERROR(AVERAGEIF(Table1[[#This Row],[2019-Apr]:[2025-July]],"&lt;&gt;0"),0)</f>
        <v>1.7367812500000002</v>
      </c>
      <c r="G646" s="4">
        <f ca="1">IFERROR(AVERAGEIF(OFFSET(Table1[[#This Row],[Status]],0,COUNT(Table1[[#This Row],[2019-May]:[2025-July]]),1,-12),"&lt;&gt;0"),0)</f>
        <v>1.6</v>
      </c>
      <c r="H646" s="55">
        <f>IFERROR(SMALL(Table1[[#This Row],[2019-Apr]:[2025-July]],COUNTIF(Table1[[#This Row],[2019-Apr]:[2025-July]],0)+1),0)</f>
        <v>1.1120000000000001</v>
      </c>
      <c r="I646" s="55">
        <f>IFERROR(MAX(Table1[[#This Row],[2019-Apr]:[2025-July]]),0)</f>
        <v>3.6</v>
      </c>
      <c r="J646" s="4" cm="1">
        <f t="array" ref="J64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1.1968333333333334</v>
      </c>
      <c r="K646" s="4">
        <v>4.5</v>
      </c>
      <c r="L646" s="4">
        <f>IF(Table1[[#This Row],[Standard as per ISO]]&gt;=Table1[[#This Row],[Avg of best 6]],Table1[[#This Row],[Standard as per ISO]],Table1[[#This Row],[Avg of best 6]])</f>
        <v>4.5</v>
      </c>
      <c r="M646" s="4" cm="1">
        <f t="array" ref="M646">IFERROR(LOOKUP(2,1/(Table1[[#This Row],[2019-May]:[2025-July]]&lt;&gt;0),Table1[[#This Row],[2019-May]:[2025-July]]),0)</f>
        <v>2.2999999999999998</v>
      </c>
      <c r="N646" s="4">
        <f>COUNTIF(Table1[[#This Row],[2019-Apr]:[2025-July]],"&gt;="&amp;Table1[[#This Row],[Target]])</f>
        <v>0</v>
      </c>
      <c r="O646" s="4">
        <f>IF(Table1[[#This Row],[Outliers 2Y]]=0,1,0)</f>
        <v>1</v>
      </c>
      <c r="P646" s="4">
        <f>IF(Table1[[#This Row],[Last value]]&gt;1.5*Table1[[#This Row],[Target]],1,0)</f>
        <v>0</v>
      </c>
      <c r="Q646" s="4">
        <f>IF(AND(1.5*Table1[[#This Row],[Target]]&gt;=Table1[[#This Row],[Last value]],Table1[[#This Row],[Last value]]&gt;Table1[[#This Row],[Target]]),1,0)</f>
        <v>0</v>
      </c>
      <c r="R646" s="4">
        <f>IF(Table1[[#This Row],[Target]]&gt;=Table1[[#This Row],[Last value]],1,0)</f>
        <v>1</v>
      </c>
      <c r="S646" s="4" t="str">
        <f t="shared" si="16"/>
        <v>Green</v>
      </c>
      <c r="T646">
        <v>1.63</v>
      </c>
      <c r="U646">
        <v>1.7</v>
      </c>
      <c r="V646">
        <v>1.57</v>
      </c>
      <c r="W646">
        <v>2.5299999999999998</v>
      </c>
      <c r="X646">
        <v>1.54</v>
      </c>
      <c r="Y646">
        <v>0</v>
      </c>
      <c r="Z646">
        <v>0</v>
      </c>
      <c r="AA646">
        <v>0</v>
      </c>
      <c r="AB646">
        <v>1.6</v>
      </c>
      <c r="AC646">
        <v>0</v>
      </c>
      <c r="AD646">
        <v>2.2999999999999998</v>
      </c>
      <c r="AE646">
        <v>0</v>
      </c>
      <c r="AF646">
        <v>3.6</v>
      </c>
      <c r="AG646">
        <v>0</v>
      </c>
      <c r="AH646">
        <v>0</v>
      </c>
      <c r="AI646">
        <v>2.74</v>
      </c>
      <c r="AJ646">
        <v>0</v>
      </c>
      <c r="AK646">
        <v>0</v>
      </c>
      <c r="AL646">
        <v>0</v>
      </c>
      <c r="AM646">
        <v>0</v>
      </c>
      <c r="AN646">
        <v>1.3</v>
      </c>
      <c r="AO646">
        <v>0</v>
      </c>
      <c r="AP646">
        <v>1.4</v>
      </c>
      <c r="AQ646">
        <v>1.6</v>
      </c>
      <c r="AR646" s="8">
        <v>1.61</v>
      </c>
      <c r="AS646" s="8">
        <v>0</v>
      </c>
      <c r="AT646" s="8">
        <v>0</v>
      </c>
      <c r="AU646" s="3">
        <v>0</v>
      </c>
      <c r="AV646" s="3">
        <v>1.54</v>
      </c>
      <c r="AW646" s="3">
        <v>1.69</v>
      </c>
      <c r="AX646" s="3">
        <v>1.45</v>
      </c>
      <c r="AY646" s="3">
        <v>1.56</v>
      </c>
      <c r="AZ646" s="3">
        <v>1.7</v>
      </c>
      <c r="BA646" s="3">
        <v>0</v>
      </c>
      <c r="BB646" s="3">
        <v>0</v>
      </c>
      <c r="BC646">
        <v>1.2</v>
      </c>
      <c r="BD646">
        <v>0</v>
      </c>
      <c r="BE646" s="11">
        <v>0</v>
      </c>
      <c r="BF646" s="4">
        <v>1.345</v>
      </c>
      <c r="BG646" s="4">
        <v>3.4940000000000002</v>
      </c>
      <c r="BH646" s="4">
        <v>0</v>
      </c>
      <c r="BI646" s="4">
        <v>1.298</v>
      </c>
      <c r="BJ646" s="14">
        <v>0</v>
      </c>
      <c r="BK646" s="14">
        <v>1.1180000000000001</v>
      </c>
      <c r="BL646" s="4">
        <v>0</v>
      </c>
      <c r="BM646" s="17">
        <v>0</v>
      </c>
      <c r="BN646" s="4">
        <v>0</v>
      </c>
      <c r="BO646" s="4">
        <v>0</v>
      </c>
      <c r="BP646" s="4">
        <v>1.1120000000000001</v>
      </c>
      <c r="BQ646" s="4">
        <v>0</v>
      </c>
      <c r="BR646" s="4">
        <v>0</v>
      </c>
      <c r="BS646" s="4">
        <v>1.153</v>
      </c>
      <c r="BT646" s="4">
        <v>0</v>
      </c>
      <c r="BU646" s="4">
        <v>0</v>
      </c>
      <c r="BV646" s="4">
        <v>0</v>
      </c>
      <c r="BW646" s="4">
        <v>1.5069999999999999</v>
      </c>
      <c r="BX646" s="4">
        <v>0</v>
      </c>
      <c r="BY646" s="4">
        <v>0</v>
      </c>
      <c r="BZ646">
        <v>0</v>
      </c>
      <c r="CA646">
        <v>0</v>
      </c>
      <c r="CB646">
        <v>0</v>
      </c>
      <c r="CC646">
        <v>1.59</v>
      </c>
      <c r="CD646">
        <v>0</v>
      </c>
      <c r="CE646" s="19">
        <v>0</v>
      </c>
      <c r="CF646" s="19">
        <v>1.3</v>
      </c>
      <c r="CG646" s="4">
        <v>0</v>
      </c>
      <c r="CH646" s="4">
        <v>0</v>
      </c>
      <c r="CI646" s="4">
        <v>0</v>
      </c>
      <c r="CJ646" s="34">
        <v>1.3</v>
      </c>
      <c r="CK646" s="34">
        <v>1.6</v>
      </c>
      <c r="CL646" s="43">
        <v>0</v>
      </c>
      <c r="CM646" s="4">
        <v>0</v>
      </c>
      <c r="CN646" s="53">
        <v>0</v>
      </c>
      <c r="CO646" s="54">
        <v>2.2000000000000002</v>
      </c>
      <c r="CP646" s="54">
        <v>0</v>
      </c>
      <c r="CQ646" s="4">
        <v>2.2999999999999998</v>
      </c>
    </row>
    <row r="647" spans="1:95" x14ac:dyDescent="0.35">
      <c r="A647" s="55">
        <v>646</v>
      </c>
      <c r="B647" t="s">
        <v>119</v>
      </c>
      <c r="C647" s="27" t="s">
        <v>919</v>
      </c>
      <c r="D647" s="3" t="s">
        <v>94</v>
      </c>
      <c r="E647" s="33" t="s">
        <v>89</v>
      </c>
      <c r="F647" s="4">
        <f>IFERROR(AVERAGEIF(Table1[[#This Row],[2019-Apr]:[2025-July]],"&lt;&gt;0"),0)</f>
        <v>1.9270357142857146</v>
      </c>
      <c r="G647" s="4">
        <f ca="1">IFERROR(AVERAGEIF(OFFSET(Table1[[#This Row],[Status]],0,COUNT(Table1[[#This Row],[2019-May]:[2025-July]]),1,-12),"&lt;&gt;0"),0)</f>
        <v>2.2549999999999999</v>
      </c>
      <c r="H647" s="55">
        <f>IFERROR(SMALL(Table1[[#This Row],[2019-Apr]:[2025-July]],COUNTIF(Table1[[#This Row],[2019-Apr]:[2025-July]],0)+1),0)</f>
        <v>1.2</v>
      </c>
      <c r="I647" s="55">
        <f>IFERROR(MAX(Table1[[#This Row],[2019-Apr]:[2025-July]]),0)</f>
        <v>2.65</v>
      </c>
      <c r="J647" s="4" cm="1">
        <f t="array" ref="J64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1.4308333333333332</v>
      </c>
      <c r="K647" s="4">
        <v>4.5</v>
      </c>
      <c r="L647" s="4">
        <f>IF(Table1[[#This Row],[Standard as per ISO]]&gt;=Table1[[#This Row],[Avg of best 6]],Table1[[#This Row],[Standard as per ISO]],Table1[[#This Row],[Avg of best 6]])</f>
        <v>4.5</v>
      </c>
      <c r="M647" s="4" cm="1">
        <f t="array" ref="M647">IFERROR(LOOKUP(2,1/(Table1[[#This Row],[2019-May]:[2025-July]]&lt;&gt;0),Table1[[#This Row],[2019-May]:[2025-July]]),0)</f>
        <v>2.2999999999999998</v>
      </c>
      <c r="N647" s="4">
        <f>COUNTIF(Table1[[#This Row],[2019-Apr]:[2025-July]],"&gt;="&amp;Table1[[#This Row],[Target]])</f>
        <v>0</v>
      </c>
      <c r="O647" s="4">
        <f>IF(Table1[[#This Row],[Outliers 2Y]]=0,1,0)</f>
        <v>1</v>
      </c>
      <c r="P647" s="4">
        <f>IF(Table1[[#This Row],[Last value]]&gt;1.5*Table1[[#This Row],[Target]],1,0)</f>
        <v>0</v>
      </c>
      <c r="Q647" s="4">
        <f>IF(AND(1.5*Table1[[#This Row],[Target]]&gt;=Table1[[#This Row],[Last value]],Table1[[#This Row],[Last value]]&gt;Table1[[#This Row],[Target]]),1,0)</f>
        <v>0</v>
      </c>
      <c r="R647" s="4">
        <f>IF(Table1[[#This Row],[Target]]&gt;=Table1[[#This Row],[Last value]],1,0)</f>
        <v>1</v>
      </c>
      <c r="S647" s="4" t="str">
        <f t="shared" si="16"/>
        <v>Green</v>
      </c>
      <c r="T647">
        <v>0</v>
      </c>
      <c r="U647">
        <v>0</v>
      </c>
      <c r="V647">
        <v>2.44</v>
      </c>
      <c r="W647">
        <v>1.91</v>
      </c>
      <c r="X647">
        <v>0</v>
      </c>
      <c r="Y647">
        <v>2.0299999999999998</v>
      </c>
      <c r="Z647">
        <v>1.94</v>
      </c>
      <c r="AA647">
        <v>2.65</v>
      </c>
      <c r="AB647">
        <v>0</v>
      </c>
      <c r="AC647">
        <v>1.2</v>
      </c>
      <c r="AD647">
        <v>0</v>
      </c>
      <c r="AE647">
        <v>2.4</v>
      </c>
      <c r="AF647">
        <v>0</v>
      </c>
      <c r="AG647">
        <v>1.7</v>
      </c>
      <c r="AH647">
        <v>1.9</v>
      </c>
      <c r="AI647">
        <v>0</v>
      </c>
      <c r="AJ647">
        <v>1.9</v>
      </c>
      <c r="AK647">
        <v>1.87</v>
      </c>
      <c r="AL647">
        <v>1.87</v>
      </c>
      <c r="AM647">
        <v>2.08</v>
      </c>
      <c r="AN647">
        <v>0</v>
      </c>
      <c r="AO647">
        <v>0</v>
      </c>
      <c r="AP647">
        <v>0</v>
      </c>
      <c r="AQ647">
        <v>0</v>
      </c>
      <c r="AR647" s="8">
        <v>0</v>
      </c>
      <c r="AS647" s="8">
        <v>1.8</v>
      </c>
      <c r="AT647" s="8">
        <v>1.82</v>
      </c>
      <c r="AU647" s="3">
        <v>1.92</v>
      </c>
      <c r="AV647" s="3">
        <v>0</v>
      </c>
      <c r="AX647" s="3">
        <v>0</v>
      </c>
      <c r="AY647" s="3">
        <v>0</v>
      </c>
      <c r="AZ647" s="3">
        <v>0</v>
      </c>
      <c r="BA647" s="3">
        <v>1.6</v>
      </c>
      <c r="BB647" s="3">
        <v>1.7</v>
      </c>
      <c r="BC647" s="3">
        <v>0</v>
      </c>
      <c r="BD647">
        <v>0</v>
      </c>
      <c r="BE647" s="11">
        <v>1.204</v>
      </c>
      <c r="BF647" s="4">
        <v>0</v>
      </c>
      <c r="BG647" s="4">
        <v>0</v>
      </c>
      <c r="BH647" s="4">
        <v>0</v>
      </c>
      <c r="BI647" s="4">
        <v>0</v>
      </c>
      <c r="BJ647" s="13">
        <v>0</v>
      </c>
      <c r="BK647" s="13">
        <v>0</v>
      </c>
      <c r="BL647" s="4">
        <v>1.4470000000000001</v>
      </c>
      <c r="BM647" s="16">
        <v>0</v>
      </c>
      <c r="BN647" s="4">
        <v>0</v>
      </c>
      <c r="BO647" s="4">
        <v>0</v>
      </c>
      <c r="BP647" s="4">
        <v>1.4339999999999999</v>
      </c>
      <c r="BQ647" s="4">
        <v>0</v>
      </c>
      <c r="BR647" s="4">
        <v>0</v>
      </c>
      <c r="BS647" s="4">
        <v>1.792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>
        <v>0</v>
      </c>
      <c r="CA647">
        <v>0</v>
      </c>
      <c r="CB647">
        <v>0</v>
      </c>
      <c r="CC647">
        <v>2.0299999999999998</v>
      </c>
      <c r="CD647">
        <v>0</v>
      </c>
      <c r="CE647" s="19">
        <v>0</v>
      </c>
      <c r="CF647" s="19">
        <v>0</v>
      </c>
      <c r="CG647" s="4">
        <v>2.29</v>
      </c>
      <c r="CH647" s="4">
        <v>0</v>
      </c>
      <c r="CI647" s="4">
        <v>0</v>
      </c>
      <c r="CJ647" s="34">
        <v>0</v>
      </c>
      <c r="CK647" s="34">
        <v>0</v>
      </c>
      <c r="CL647" s="43">
        <v>2.2000000000000002</v>
      </c>
      <c r="CM647" s="4">
        <v>2.2000000000000002</v>
      </c>
      <c r="CN647" s="53">
        <v>2.33</v>
      </c>
      <c r="CO647" s="54">
        <v>0</v>
      </c>
      <c r="CP647" s="54">
        <v>2.2999999999999998</v>
      </c>
      <c r="CQ647" s="4">
        <v>0</v>
      </c>
    </row>
    <row r="648" spans="1:95" x14ac:dyDescent="0.35">
      <c r="A648" s="55">
        <v>647</v>
      </c>
      <c r="B648" t="s">
        <v>119</v>
      </c>
      <c r="C648" s="27" t="s">
        <v>920</v>
      </c>
      <c r="D648" s="3" t="s">
        <v>94</v>
      </c>
      <c r="E648" s="33" t="s">
        <v>89</v>
      </c>
      <c r="F648" s="4">
        <f>IFERROR(AVERAGEIF(Table1[[#This Row],[2019-Apr]:[2025-July]],"&lt;&gt;0"),0)</f>
        <v>4.5520384615384613</v>
      </c>
      <c r="G648" s="4">
        <f ca="1">IFERROR(AVERAGEIF(OFFSET(Table1[[#This Row],[Status]],0,COUNT(Table1[[#This Row],[2019-May]:[2025-July]]),1,-12),"&lt;&gt;0"),0)</f>
        <v>4.32</v>
      </c>
      <c r="H648" s="55">
        <f>IFERROR(SMALL(Table1[[#This Row],[2019-Apr]:[2025-July]],COUNTIF(Table1[[#This Row],[2019-Apr]:[2025-July]],0)+1),0)</f>
        <v>1.204</v>
      </c>
      <c r="I648" s="55">
        <f>IFERROR(MAX(Table1[[#This Row],[2019-Apr]:[2025-July]]),0)</f>
        <v>7.09</v>
      </c>
      <c r="J648" s="4" cm="1">
        <f t="array" ref="J64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3.0906666666666669</v>
      </c>
      <c r="K648" s="4">
        <v>4.5</v>
      </c>
      <c r="L648" s="4">
        <f>IF(Table1[[#This Row],[Standard as per ISO]]&gt;=Table1[[#This Row],[Avg of best 6]],Table1[[#This Row],[Standard as per ISO]],Table1[[#This Row],[Avg of best 6]])</f>
        <v>4.5</v>
      </c>
      <c r="M648" s="4" cm="1">
        <f t="array" ref="M648">IFERROR(LOOKUP(2,1/(Table1[[#This Row],[2019-May]:[2025-July]]&lt;&gt;0),Table1[[#This Row],[2019-May]:[2025-July]]),0)</f>
        <v>5.16</v>
      </c>
      <c r="N648" s="4">
        <f>COUNTIF(Table1[[#This Row],[2019-Apr]:[2025-July]],"&gt;="&amp;Table1[[#This Row],[Target]])</f>
        <v>14</v>
      </c>
      <c r="O648" s="4">
        <f>IF(Table1[[#This Row],[Outliers 2Y]]=0,1,0)</f>
        <v>0</v>
      </c>
      <c r="P648" s="4">
        <f>IF(Table1[[#This Row],[Last value]]&gt;1.5*Table1[[#This Row],[Target]],1,0)</f>
        <v>0</v>
      </c>
      <c r="Q648" s="4">
        <f>IF(AND(1.5*Table1[[#This Row],[Target]]&gt;=Table1[[#This Row],[Last value]],Table1[[#This Row],[Last value]]&gt;Table1[[#This Row],[Target]]),1,0)</f>
        <v>1</v>
      </c>
      <c r="R648" s="4">
        <f>IF(Table1[[#This Row],[Target]]&gt;=Table1[[#This Row],[Last value]],1,0)</f>
        <v>0</v>
      </c>
      <c r="S648" s="4" t="str">
        <f t="shared" si="16"/>
        <v>Yellow</v>
      </c>
      <c r="T648">
        <v>4.9800000000000004</v>
      </c>
      <c r="U648">
        <v>0</v>
      </c>
      <c r="V648">
        <v>0</v>
      </c>
      <c r="W648">
        <v>5.9</v>
      </c>
      <c r="X648">
        <v>0</v>
      </c>
      <c r="Y648">
        <v>3.78</v>
      </c>
      <c r="Z648">
        <v>4.2699999999999996</v>
      </c>
      <c r="AA648">
        <v>0</v>
      </c>
      <c r="AB648">
        <v>5.5</v>
      </c>
      <c r="AC648">
        <v>5</v>
      </c>
      <c r="AD648">
        <v>4.0999999999999996</v>
      </c>
      <c r="AE648">
        <v>3.6</v>
      </c>
      <c r="AF648">
        <v>0</v>
      </c>
      <c r="AG648">
        <v>3.1</v>
      </c>
      <c r="AH648">
        <v>0</v>
      </c>
      <c r="AI648">
        <v>3.56</v>
      </c>
      <c r="AJ648">
        <v>0</v>
      </c>
      <c r="AK648">
        <v>0</v>
      </c>
      <c r="AL648">
        <v>5.0599999999999996</v>
      </c>
      <c r="AM648">
        <v>0</v>
      </c>
      <c r="AN648">
        <v>0</v>
      </c>
      <c r="AO648">
        <v>0</v>
      </c>
      <c r="AP648">
        <v>0</v>
      </c>
      <c r="AQ648">
        <v>4.32</v>
      </c>
      <c r="AR648" s="8">
        <v>0</v>
      </c>
      <c r="AS648" s="8">
        <v>0</v>
      </c>
      <c r="AT648" s="8">
        <v>5</v>
      </c>
      <c r="AU648" s="3">
        <v>4.1399999999999997</v>
      </c>
      <c r="AV648" s="3">
        <v>0</v>
      </c>
      <c r="AW648" s="3">
        <v>5.48</v>
      </c>
      <c r="AX648" s="3">
        <v>5.39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>
        <v>0</v>
      </c>
      <c r="BE648" s="11">
        <v>5.1719999999999997</v>
      </c>
      <c r="BF648" s="4">
        <v>0</v>
      </c>
      <c r="BG648" s="4">
        <v>1.204</v>
      </c>
      <c r="BH648" s="4">
        <v>0</v>
      </c>
      <c r="BI648" s="4">
        <v>5.5380000000000003</v>
      </c>
      <c r="BJ648" s="14">
        <v>0</v>
      </c>
      <c r="BK648" s="14">
        <v>4.3869999999999996</v>
      </c>
      <c r="BL648" s="4">
        <v>0</v>
      </c>
      <c r="BM648" s="17">
        <v>0</v>
      </c>
      <c r="BN648" s="4">
        <v>0</v>
      </c>
      <c r="BO648" s="4">
        <v>0</v>
      </c>
      <c r="BP648" s="4">
        <v>4.5919999999999996</v>
      </c>
      <c r="BQ648" s="4">
        <v>0</v>
      </c>
      <c r="BR648" s="4">
        <v>0</v>
      </c>
      <c r="BS648" s="4">
        <v>4.2300000000000004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>
        <v>0</v>
      </c>
      <c r="CA648">
        <v>0</v>
      </c>
      <c r="CB648">
        <v>0</v>
      </c>
      <c r="CC648">
        <v>7.09</v>
      </c>
      <c r="CD648">
        <v>0</v>
      </c>
      <c r="CE648" s="19">
        <v>0</v>
      </c>
      <c r="CF648" s="19">
        <v>3.3</v>
      </c>
      <c r="CG648" s="4">
        <v>0</v>
      </c>
      <c r="CH648" s="4">
        <v>0</v>
      </c>
      <c r="CI648" s="4">
        <v>0</v>
      </c>
      <c r="CJ648" s="34">
        <v>0</v>
      </c>
      <c r="CK648" s="34">
        <v>0</v>
      </c>
      <c r="CL648" s="43">
        <v>0</v>
      </c>
      <c r="CM648" s="4">
        <v>4.5</v>
      </c>
      <c r="CN648" s="53">
        <v>5.16</v>
      </c>
      <c r="CO648" s="54">
        <v>0</v>
      </c>
      <c r="CP648" s="54">
        <v>0</v>
      </c>
      <c r="CQ648" s="4">
        <v>0</v>
      </c>
    </row>
    <row r="649" spans="1:95" x14ac:dyDescent="0.35">
      <c r="A649" s="55">
        <v>648</v>
      </c>
      <c r="B649" t="s">
        <v>119</v>
      </c>
      <c r="C649" s="27" t="s">
        <v>921</v>
      </c>
      <c r="D649" s="3" t="s">
        <v>94</v>
      </c>
      <c r="E649" s="33" t="s">
        <v>89</v>
      </c>
      <c r="F649" s="4">
        <f>IFERROR(AVERAGEIF(Table1[[#This Row],[2019-Apr]:[2025-July]],"&lt;&gt;0"),0)</f>
        <v>4.5258484848484848</v>
      </c>
      <c r="G649" s="4">
        <f ca="1">IFERROR(AVERAGEIF(OFFSET(Table1[[#This Row],[Status]],0,COUNT(Table1[[#This Row],[2019-May]:[2025-July]]),1,-12),"&lt;&gt;0"),0)</f>
        <v>5.2883333333333331</v>
      </c>
      <c r="H649" s="55">
        <f>IFERROR(SMALL(Table1[[#This Row],[2019-Apr]:[2025-July]],COUNTIF(Table1[[#This Row],[2019-Apr]:[2025-July]],0)+1),0)</f>
        <v>3.25</v>
      </c>
      <c r="I649" s="55">
        <f>IFERROR(MAX(Table1[[#This Row],[2019-Apr]:[2025-July]]),0)</f>
        <v>5.8</v>
      </c>
      <c r="J649" s="4" cm="1">
        <f t="array" ref="J64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3.4565000000000001</v>
      </c>
      <c r="K649" s="4">
        <v>4.5</v>
      </c>
      <c r="L649" s="4">
        <f>IF(Table1[[#This Row],[Standard as per ISO]]&gt;=Table1[[#This Row],[Avg of best 6]],Table1[[#This Row],[Standard as per ISO]],Table1[[#This Row],[Avg of best 6]])</f>
        <v>4.5</v>
      </c>
      <c r="M649" s="4" cm="1">
        <f t="array" ref="M649">IFERROR(LOOKUP(2,1/(Table1[[#This Row],[2019-May]:[2025-July]]&lt;&gt;0),Table1[[#This Row],[2019-May]:[2025-July]]),0)</f>
        <v>5.5</v>
      </c>
      <c r="N649" s="4">
        <f>COUNTIF(Table1[[#This Row],[2019-Apr]:[2025-July]],"&gt;="&amp;Table1[[#This Row],[Target]])</f>
        <v>17</v>
      </c>
      <c r="O649" s="4">
        <f>IF(Table1[[#This Row],[Outliers 2Y]]=0,1,0)</f>
        <v>0</v>
      </c>
      <c r="P649" s="4">
        <f>IF(Table1[[#This Row],[Last value]]&gt;1.5*Table1[[#This Row],[Target]],1,0)</f>
        <v>0</v>
      </c>
      <c r="Q649" s="4">
        <f>IF(AND(1.5*Table1[[#This Row],[Target]]&gt;=Table1[[#This Row],[Last value]],Table1[[#This Row],[Last value]]&gt;Table1[[#This Row],[Target]]),1,0)</f>
        <v>1</v>
      </c>
      <c r="R649" s="4">
        <f>IF(Table1[[#This Row],[Target]]&gt;=Table1[[#This Row],[Last value]],1,0)</f>
        <v>0</v>
      </c>
      <c r="S649" s="4" t="str">
        <f t="shared" si="16"/>
        <v>Yellow</v>
      </c>
      <c r="T649">
        <v>0</v>
      </c>
      <c r="U649">
        <v>0</v>
      </c>
      <c r="V649">
        <v>4.88</v>
      </c>
      <c r="W649">
        <v>3.63</v>
      </c>
      <c r="X649">
        <v>3.73</v>
      </c>
      <c r="Y649">
        <v>0</v>
      </c>
      <c r="Z649">
        <v>0</v>
      </c>
      <c r="AA649">
        <v>3.61</v>
      </c>
      <c r="AB649">
        <v>0</v>
      </c>
      <c r="AC649">
        <v>0</v>
      </c>
      <c r="AD649">
        <v>0</v>
      </c>
      <c r="AE649">
        <v>0</v>
      </c>
      <c r="AF649">
        <v>4.0999999999999996</v>
      </c>
      <c r="AG649">
        <v>0</v>
      </c>
      <c r="AH649">
        <v>3.4</v>
      </c>
      <c r="AI649">
        <v>0</v>
      </c>
      <c r="AJ649">
        <v>3.25</v>
      </c>
      <c r="AK649">
        <v>3.96</v>
      </c>
      <c r="AL649">
        <v>0</v>
      </c>
      <c r="AM649">
        <v>5.17</v>
      </c>
      <c r="AN649">
        <v>4.7</v>
      </c>
      <c r="AO649">
        <v>0</v>
      </c>
      <c r="AP649">
        <v>4.84</v>
      </c>
      <c r="AQ649">
        <v>0</v>
      </c>
      <c r="AR649" s="8">
        <v>0</v>
      </c>
      <c r="AS649" s="8">
        <v>4.5</v>
      </c>
      <c r="AT649" s="8">
        <v>0</v>
      </c>
      <c r="AU649" s="3">
        <v>0</v>
      </c>
      <c r="AV649" s="3">
        <v>4.3600000000000003</v>
      </c>
      <c r="AW649" s="3">
        <v>0</v>
      </c>
      <c r="AX649" s="3">
        <v>0</v>
      </c>
      <c r="AY649" s="3">
        <v>4.68</v>
      </c>
      <c r="AZ649" s="3">
        <v>3.7</v>
      </c>
      <c r="BA649" s="3">
        <v>4.2</v>
      </c>
      <c r="BB649" s="3">
        <v>3.9</v>
      </c>
      <c r="BC649">
        <v>4</v>
      </c>
      <c r="BD649">
        <v>0</v>
      </c>
      <c r="BE649" s="11">
        <v>0</v>
      </c>
      <c r="BF649" s="4">
        <v>3.4489999999999998</v>
      </c>
      <c r="BG649" s="4">
        <v>5.1719999999999997</v>
      </c>
      <c r="BH649" s="4">
        <v>0</v>
      </c>
      <c r="BI649" s="4">
        <v>0</v>
      </c>
      <c r="BJ649" s="13">
        <v>0</v>
      </c>
      <c r="BK649" s="13">
        <v>0</v>
      </c>
      <c r="BL649" s="4">
        <v>5.1029999999999998</v>
      </c>
      <c r="BM649" s="16">
        <v>0</v>
      </c>
      <c r="BN649" s="4">
        <v>0</v>
      </c>
      <c r="BO649" s="4">
        <v>0</v>
      </c>
      <c r="BP649" s="4">
        <v>4.3810000000000002</v>
      </c>
      <c r="BQ649" s="4">
        <v>3.653</v>
      </c>
      <c r="BR649" s="4">
        <v>0</v>
      </c>
      <c r="BS649" s="4">
        <v>5.45</v>
      </c>
      <c r="BT649" s="4">
        <v>4.9450000000000003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>
        <v>0</v>
      </c>
      <c r="CA649">
        <v>0</v>
      </c>
      <c r="CB649">
        <v>0</v>
      </c>
      <c r="CC649">
        <v>5.36</v>
      </c>
      <c r="CD649">
        <v>0</v>
      </c>
      <c r="CE649" s="19">
        <v>0</v>
      </c>
      <c r="CF649" s="19">
        <v>0</v>
      </c>
      <c r="CG649" s="4">
        <v>5.33</v>
      </c>
      <c r="CH649" s="4">
        <v>0</v>
      </c>
      <c r="CI649" s="4">
        <v>0</v>
      </c>
      <c r="CJ649" s="34">
        <v>3.4</v>
      </c>
      <c r="CK649" s="34">
        <v>5.7</v>
      </c>
      <c r="CL649" s="43">
        <v>5.8</v>
      </c>
      <c r="CM649" s="4">
        <v>0</v>
      </c>
      <c r="CN649" s="53">
        <v>0</v>
      </c>
      <c r="CO649" s="54">
        <v>5.7</v>
      </c>
      <c r="CP649" s="54">
        <v>5.8</v>
      </c>
      <c r="CQ649" s="4">
        <v>5.5</v>
      </c>
    </row>
    <row r="650" spans="1:95" x14ac:dyDescent="0.35">
      <c r="A650" s="55">
        <v>649</v>
      </c>
      <c r="B650" t="s">
        <v>119</v>
      </c>
      <c r="C650" s="27" t="s">
        <v>922</v>
      </c>
      <c r="D650" s="3" t="s">
        <v>94</v>
      </c>
      <c r="E650" s="33" t="s">
        <v>89</v>
      </c>
      <c r="F650" s="4">
        <f>IFERROR(AVERAGEIF(Table1[[#This Row],[2019-Apr]:[2025-July]],"&lt;&gt;0"),0)</f>
        <v>3.4983783783783777</v>
      </c>
      <c r="G650" s="4">
        <f ca="1">IFERROR(AVERAGEIF(OFFSET(Table1[[#This Row],[Status]],0,COUNT(Table1[[#This Row],[2019-May]:[2025-July]]),1,-12),"&lt;&gt;0"),0)</f>
        <v>4.2866666666666662</v>
      </c>
      <c r="H650" s="55">
        <f>IFERROR(SMALL(Table1[[#This Row],[2019-Apr]:[2025-July]],COUNTIF(Table1[[#This Row],[2019-Apr]:[2025-July]],0)+1),0)</f>
        <v>1.2</v>
      </c>
      <c r="I650" s="55">
        <f>IFERROR(MAX(Table1[[#This Row],[2019-Apr]:[2025-July]]),0)</f>
        <v>8.3000000000000007</v>
      </c>
      <c r="J650" s="4" cm="1">
        <f t="array" ref="J65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2.0300000000000002</v>
      </c>
      <c r="K650" s="4">
        <v>4.5</v>
      </c>
      <c r="L650" s="4">
        <f>IF(Table1[[#This Row],[Standard as per ISO]]&gt;=Table1[[#This Row],[Avg of best 6]],Table1[[#This Row],[Standard as per ISO]],Table1[[#This Row],[Avg of best 6]])</f>
        <v>4.5</v>
      </c>
      <c r="M650" s="4" cm="1">
        <f t="array" ref="M650">IFERROR(LOOKUP(2,1/(Table1[[#This Row],[2019-May]:[2025-July]]&lt;&gt;0),Table1[[#This Row],[2019-May]:[2025-July]]),0)</f>
        <v>2.7</v>
      </c>
      <c r="N650" s="4">
        <f>COUNTIF(Table1[[#This Row],[2019-Apr]:[2025-July]],"&gt;="&amp;Table1[[#This Row],[Target]])</f>
        <v>8</v>
      </c>
      <c r="O650" s="4">
        <f>IF(Table1[[#This Row],[Outliers 2Y]]=0,1,0)</f>
        <v>0</v>
      </c>
      <c r="P650" s="4">
        <f>IF(Table1[[#This Row],[Last value]]&gt;1.5*Table1[[#This Row],[Target]],1,0)</f>
        <v>0</v>
      </c>
      <c r="Q650" s="4">
        <f>IF(AND(1.5*Table1[[#This Row],[Target]]&gt;=Table1[[#This Row],[Last value]],Table1[[#This Row],[Last value]]&gt;Table1[[#This Row],[Target]]),1,0)</f>
        <v>0</v>
      </c>
      <c r="R650" s="4">
        <f>IF(Table1[[#This Row],[Target]]&gt;=Table1[[#This Row],[Last value]],1,0)</f>
        <v>1</v>
      </c>
      <c r="S650" s="4" t="str">
        <f t="shared" si="16"/>
        <v>Green</v>
      </c>
      <c r="T650">
        <v>0</v>
      </c>
      <c r="U650">
        <v>0</v>
      </c>
      <c r="V650">
        <v>5.26</v>
      </c>
      <c r="W650">
        <v>4.7</v>
      </c>
      <c r="X650">
        <v>0</v>
      </c>
      <c r="Y650">
        <v>0</v>
      </c>
      <c r="Z650">
        <v>2.92</v>
      </c>
      <c r="AA650">
        <v>3.64</v>
      </c>
      <c r="AB650">
        <v>4.5999999999999996</v>
      </c>
      <c r="AC650">
        <v>5</v>
      </c>
      <c r="AD650">
        <v>0</v>
      </c>
      <c r="AE650">
        <v>3.2</v>
      </c>
      <c r="AF650">
        <v>3.2</v>
      </c>
      <c r="AG650">
        <v>3.1</v>
      </c>
      <c r="AH650">
        <v>2.4</v>
      </c>
      <c r="AI650">
        <v>0</v>
      </c>
      <c r="AJ650">
        <v>3</v>
      </c>
      <c r="AK650">
        <v>3.35</v>
      </c>
      <c r="AL650">
        <v>2.36</v>
      </c>
      <c r="AM650">
        <v>3.79</v>
      </c>
      <c r="AN650">
        <v>2</v>
      </c>
      <c r="AO650">
        <v>0</v>
      </c>
      <c r="AP650">
        <v>2.37</v>
      </c>
      <c r="AQ650">
        <v>2.4900000000000002</v>
      </c>
      <c r="AR650" s="8">
        <v>0</v>
      </c>
      <c r="AS650" s="8">
        <v>2.9</v>
      </c>
      <c r="AT650" s="8">
        <v>4.71</v>
      </c>
      <c r="AU650" s="3">
        <v>4.8099999999999996</v>
      </c>
      <c r="AV650" s="3">
        <v>4.1500000000000004</v>
      </c>
      <c r="AW650" s="3">
        <v>2.64</v>
      </c>
      <c r="AX650" s="3">
        <v>0</v>
      </c>
      <c r="AY650" s="3">
        <v>0</v>
      </c>
      <c r="AZ650" s="3">
        <v>3</v>
      </c>
      <c r="BA650" s="3">
        <v>0</v>
      </c>
      <c r="BB650" s="3">
        <v>0</v>
      </c>
      <c r="BC650">
        <v>4.3</v>
      </c>
      <c r="BD650">
        <v>0</v>
      </c>
      <c r="BE650" s="11">
        <v>0</v>
      </c>
      <c r="BF650" s="4">
        <v>0</v>
      </c>
      <c r="BG650" s="4">
        <v>0</v>
      </c>
      <c r="BH650" s="4">
        <v>0</v>
      </c>
      <c r="BI650" s="4">
        <v>3.359</v>
      </c>
      <c r="BJ650" s="14">
        <v>0</v>
      </c>
      <c r="BK650" s="14">
        <v>2.9159999999999999</v>
      </c>
      <c r="BL650" s="4">
        <v>0</v>
      </c>
      <c r="BM650" s="17">
        <v>0</v>
      </c>
      <c r="BN650" s="4">
        <v>0</v>
      </c>
      <c r="BO650" s="4">
        <v>0</v>
      </c>
      <c r="BP650" s="4">
        <v>2.9009999999999998</v>
      </c>
      <c r="BQ650" s="4">
        <v>2.62</v>
      </c>
      <c r="BR650" s="4">
        <v>0</v>
      </c>
      <c r="BS650" s="4">
        <v>3.484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>
        <v>0</v>
      </c>
      <c r="CA650">
        <v>0</v>
      </c>
      <c r="CB650">
        <v>0</v>
      </c>
      <c r="CC650">
        <v>1.85</v>
      </c>
      <c r="CD650">
        <v>0</v>
      </c>
      <c r="CE650" s="19">
        <v>0</v>
      </c>
      <c r="CF650" s="19">
        <v>1.2</v>
      </c>
      <c r="CG650" s="4">
        <v>0</v>
      </c>
      <c r="CH650" s="4">
        <v>0</v>
      </c>
      <c r="CI650" s="4">
        <v>0</v>
      </c>
      <c r="CJ650" s="34">
        <v>8.3000000000000007</v>
      </c>
      <c r="CK650" s="34">
        <v>0</v>
      </c>
      <c r="CL650" s="43">
        <v>3.7</v>
      </c>
      <c r="CM650" s="4">
        <v>5.8</v>
      </c>
      <c r="CN650" s="53">
        <v>4.22</v>
      </c>
      <c r="CO650" s="54">
        <v>0</v>
      </c>
      <c r="CP650" s="54">
        <v>2.5</v>
      </c>
      <c r="CQ650" s="4">
        <v>2.7</v>
      </c>
    </row>
    <row r="651" spans="1:95" x14ac:dyDescent="0.35">
      <c r="A651" s="55">
        <v>650</v>
      </c>
      <c r="B651" t="s">
        <v>119</v>
      </c>
      <c r="C651" s="27" t="s">
        <v>923</v>
      </c>
      <c r="D651" s="3" t="s">
        <v>94</v>
      </c>
      <c r="E651" s="33" t="s">
        <v>89</v>
      </c>
      <c r="F651" s="4">
        <f>IFERROR(AVERAGEIF(Table1[[#This Row],[2019-Apr]:[2025-July]],"&lt;&gt;0"),0)</f>
        <v>2.7908999999999997</v>
      </c>
      <c r="G651" s="4">
        <f ca="1">IFERROR(AVERAGEIF(OFFSET(Table1[[#This Row],[Status]],0,COUNT(Table1[[#This Row],[2019-May]:[2025-July]]),1,-12),"&lt;&gt;0"),0)</f>
        <v>3.4266666666666672</v>
      </c>
      <c r="H651" s="55">
        <f>IFERROR(SMALL(Table1[[#This Row],[2019-Apr]:[2025-July]],COUNTIF(Table1[[#This Row],[2019-Apr]:[2025-July]],0)+1),0)</f>
        <v>1.38</v>
      </c>
      <c r="I651" s="55">
        <f>IFERROR(MAX(Table1[[#This Row],[2019-Apr]:[2025-July]]),0)</f>
        <v>5.8</v>
      </c>
      <c r="J651" s="4" cm="1">
        <f t="array" ref="J65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1.655</v>
      </c>
      <c r="K651" s="4">
        <v>4.5</v>
      </c>
      <c r="L651" s="4">
        <f>IF(Table1[[#This Row],[Standard as per ISO]]&gt;=Table1[[#This Row],[Avg of best 6]],Table1[[#This Row],[Standard as per ISO]],Table1[[#This Row],[Avg of best 6]])</f>
        <v>4.5</v>
      </c>
      <c r="M651" s="4" cm="1">
        <f t="array" ref="M651">IFERROR(LOOKUP(2,1/(Table1[[#This Row],[2019-May]:[2025-July]]&lt;&gt;0),Table1[[#This Row],[2019-May]:[2025-July]]),0)</f>
        <v>5.8</v>
      </c>
      <c r="N651" s="4">
        <f>COUNTIF(Table1[[#This Row],[2019-Apr]:[2025-July]],"&gt;="&amp;Table1[[#This Row],[Target]])</f>
        <v>2</v>
      </c>
      <c r="O651" s="4">
        <f>IF(Table1[[#This Row],[Outliers 2Y]]=0,1,0)</f>
        <v>0</v>
      </c>
      <c r="P651" s="4">
        <f>IF(Table1[[#This Row],[Last value]]&gt;1.5*Table1[[#This Row],[Target]],1,0)</f>
        <v>0</v>
      </c>
      <c r="Q651" s="4">
        <f>IF(AND(1.5*Table1[[#This Row],[Target]]&gt;=Table1[[#This Row],[Last value]],Table1[[#This Row],[Last value]]&gt;Table1[[#This Row],[Target]]),1,0)</f>
        <v>1</v>
      </c>
      <c r="R651" s="4">
        <f>IF(Table1[[#This Row],[Target]]&gt;=Table1[[#This Row],[Last value]],1,0)</f>
        <v>0</v>
      </c>
      <c r="S651" s="4" t="str">
        <f t="shared" si="16"/>
        <v>Yellow</v>
      </c>
      <c r="T651">
        <v>2.44</v>
      </c>
      <c r="U651">
        <v>2.5499999999999998</v>
      </c>
      <c r="V651">
        <v>0</v>
      </c>
      <c r="W651">
        <v>2.2200000000000002</v>
      </c>
      <c r="X651">
        <v>2.79</v>
      </c>
      <c r="Y651">
        <v>3.17</v>
      </c>
      <c r="Z651">
        <v>0</v>
      </c>
      <c r="AA651">
        <v>0</v>
      </c>
      <c r="AB651">
        <v>0</v>
      </c>
      <c r="AC651">
        <v>0</v>
      </c>
      <c r="AD651">
        <v>2.1</v>
      </c>
      <c r="AE651">
        <v>0</v>
      </c>
      <c r="AF651">
        <v>0</v>
      </c>
      <c r="AG651">
        <v>0</v>
      </c>
      <c r="AH651">
        <v>0</v>
      </c>
      <c r="AI651">
        <v>1.42</v>
      </c>
      <c r="AJ651">
        <v>0</v>
      </c>
      <c r="AK651">
        <v>0</v>
      </c>
      <c r="AL651">
        <v>0</v>
      </c>
      <c r="AM651">
        <v>0</v>
      </c>
      <c r="AN651">
        <v>2.2999999999999998</v>
      </c>
      <c r="AO651">
        <v>0</v>
      </c>
      <c r="AP651">
        <v>0</v>
      </c>
      <c r="AQ651">
        <v>0</v>
      </c>
      <c r="AR651" s="8">
        <v>1.77</v>
      </c>
      <c r="AS651" s="8">
        <v>0</v>
      </c>
      <c r="AT651" s="8">
        <v>0</v>
      </c>
      <c r="AU651" s="3">
        <v>0</v>
      </c>
      <c r="AV651" s="3">
        <v>0</v>
      </c>
      <c r="AW651" s="3">
        <v>0</v>
      </c>
      <c r="AX651" s="3">
        <v>3.71</v>
      </c>
      <c r="AY651" s="3">
        <v>1.55</v>
      </c>
      <c r="AZ651" s="3">
        <v>0</v>
      </c>
      <c r="BA651" s="3">
        <v>3</v>
      </c>
      <c r="BB651" s="3">
        <v>3.2</v>
      </c>
      <c r="BC651" s="3">
        <v>0</v>
      </c>
      <c r="BD651">
        <v>0</v>
      </c>
      <c r="BE651" s="11">
        <v>2.2290000000000001</v>
      </c>
      <c r="BF651" s="4">
        <v>0</v>
      </c>
      <c r="BG651" s="4">
        <v>0</v>
      </c>
      <c r="BH651" s="4">
        <v>0</v>
      </c>
      <c r="BI651" s="4">
        <v>0</v>
      </c>
      <c r="BJ651" s="13">
        <v>0</v>
      </c>
      <c r="BK651" s="13">
        <v>0</v>
      </c>
      <c r="BL651" s="4">
        <v>3.7789999999999999</v>
      </c>
      <c r="BM651" s="16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5.6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>
        <v>0</v>
      </c>
      <c r="CA651">
        <v>0</v>
      </c>
      <c r="CB651">
        <v>0</v>
      </c>
      <c r="CC651">
        <v>1.71</v>
      </c>
      <c r="CD651">
        <v>0</v>
      </c>
      <c r="CE651" s="19">
        <v>0</v>
      </c>
      <c r="CF651" s="19">
        <v>0</v>
      </c>
      <c r="CG651" s="4">
        <v>1.38</v>
      </c>
      <c r="CH651" s="4">
        <v>0</v>
      </c>
      <c r="CI651" s="4">
        <v>0</v>
      </c>
      <c r="CJ651" s="34">
        <v>3.1</v>
      </c>
      <c r="CK651" s="34">
        <v>5.8</v>
      </c>
      <c r="CL651" s="43">
        <v>0</v>
      </c>
      <c r="CM651" s="4">
        <v>0</v>
      </c>
      <c r="CN651" s="53">
        <v>0</v>
      </c>
      <c r="CO651" s="54">
        <v>0</v>
      </c>
      <c r="CP651" s="54">
        <v>0</v>
      </c>
      <c r="CQ651" s="4">
        <v>0</v>
      </c>
    </row>
    <row r="652" spans="1:95" x14ac:dyDescent="0.35">
      <c r="A652" s="55">
        <v>651</v>
      </c>
      <c r="B652" t="s">
        <v>119</v>
      </c>
      <c r="C652" s="27" t="s">
        <v>924</v>
      </c>
      <c r="D652" s="3" t="s">
        <v>94</v>
      </c>
      <c r="E652" s="33" t="s">
        <v>89</v>
      </c>
      <c r="F652" s="4">
        <f>IFERROR(AVERAGEIF(Table1[[#This Row],[2019-Apr]:[2025-July]],"&lt;&gt;0"),0)</f>
        <v>4.2717142857142854</v>
      </c>
      <c r="G652" s="4">
        <f ca="1">IFERROR(AVERAGEIF(OFFSET(Table1[[#This Row],[Status]],0,COUNT(Table1[[#This Row],[2019-May]:[2025-July]]),1,-12),"&lt;&gt;0"),0)</f>
        <v>6.919999999999999</v>
      </c>
      <c r="H652" s="55">
        <f>IFERROR(SMALL(Table1[[#This Row],[2019-Apr]:[2025-July]],COUNTIF(Table1[[#This Row],[2019-Apr]:[2025-July]],0)+1),0)</f>
        <v>2.2290000000000001</v>
      </c>
      <c r="I652" s="55">
        <f>IFERROR(MAX(Table1[[#This Row],[2019-Apr]:[2025-July]]),0)</f>
        <v>9</v>
      </c>
      <c r="J652" s="4" cm="1">
        <f t="array" ref="J65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3.0214999999999996</v>
      </c>
      <c r="K652" s="4">
        <v>4.5</v>
      </c>
      <c r="L652" s="4">
        <f>IF(Table1[[#This Row],[Standard as per ISO]]&gt;=Table1[[#This Row],[Avg of best 6]],Table1[[#This Row],[Standard as per ISO]],Table1[[#This Row],[Avg of best 6]])</f>
        <v>4.5</v>
      </c>
      <c r="M652" s="4" cm="1">
        <f t="array" ref="M652">IFERROR(LOOKUP(2,1/(Table1[[#This Row],[2019-May]:[2025-July]]&lt;&gt;0),Table1[[#This Row],[2019-May]:[2025-July]]),0)</f>
        <v>7.4</v>
      </c>
      <c r="N652" s="4">
        <f>COUNTIF(Table1[[#This Row],[2019-Apr]:[2025-July]],"&gt;="&amp;Table1[[#This Row],[Target]])</f>
        <v>6</v>
      </c>
      <c r="O652" s="4">
        <f>IF(Table1[[#This Row],[Outliers 2Y]]=0,1,0)</f>
        <v>0</v>
      </c>
      <c r="P652" s="4">
        <f>IF(Table1[[#This Row],[Last value]]&gt;1.5*Table1[[#This Row],[Target]],1,0)</f>
        <v>1</v>
      </c>
      <c r="Q652" s="4">
        <f>IF(AND(1.5*Table1[[#This Row],[Target]]&gt;=Table1[[#This Row],[Last value]],Table1[[#This Row],[Last value]]&gt;Table1[[#This Row],[Target]]),1,0)</f>
        <v>0</v>
      </c>
      <c r="R652" s="4">
        <f>IF(Table1[[#This Row],[Target]]&gt;=Table1[[#This Row],[Last value]],1,0)</f>
        <v>0</v>
      </c>
      <c r="S652" s="4" t="str">
        <f t="shared" si="16"/>
        <v>Red</v>
      </c>
      <c r="T652">
        <v>0</v>
      </c>
      <c r="U652">
        <v>0</v>
      </c>
      <c r="V652">
        <v>0</v>
      </c>
      <c r="W652">
        <v>3.3</v>
      </c>
      <c r="X652">
        <v>3.3</v>
      </c>
      <c r="Y652">
        <v>0</v>
      </c>
      <c r="Z652">
        <v>0</v>
      </c>
      <c r="AA652">
        <v>0</v>
      </c>
      <c r="AB652">
        <v>0</v>
      </c>
      <c r="AC652">
        <v>3.7</v>
      </c>
      <c r="AD652">
        <v>0</v>
      </c>
      <c r="AE652">
        <v>0</v>
      </c>
      <c r="AF652">
        <v>3.5</v>
      </c>
      <c r="AG652">
        <v>3.4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5.0999999999999996</v>
      </c>
      <c r="AO652">
        <v>0</v>
      </c>
      <c r="AP652">
        <v>2.8</v>
      </c>
      <c r="AQ652">
        <v>0</v>
      </c>
      <c r="AR652" s="8">
        <v>0</v>
      </c>
      <c r="AS652" s="8">
        <v>3.5</v>
      </c>
      <c r="AT652" s="8">
        <v>0</v>
      </c>
      <c r="AU652" s="3">
        <v>0</v>
      </c>
      <c r="AV652" s="3">
        <v>0</v>
      </c>
      <c r="AW652" s="3">
        <v>4.3499999999999996</v>
      </c>
      <c r="AX652" s="3">
        <v>5.0199999999999996</v>
      </c>
      <c r="AY652" s="3">
        <v>3.91</v>
      </c>
      <c r="AZ652" s="3">
        <v>0</v>
      </c>
      <c r="BA652" s="3">
        <v>0</v>
      </c>
      <c r="BB652" s="3">
        <v>3.1</v>
      </c>
      <c r="BC652">
        <v>3.5</v>
      </c>
      <c r="BD652">
        <v>0</v>
      </c>
      <c r="BE652" s="11">
        <v>0</v>
      </c>
      <c r="BF652" s="4">
        <v>3.7269999999999999</v>
      </c>
      <c r="BG652" s="4">
        <v>2.2290000000000001</v>
      </c>
      <c r="BH652" s="4">
        <v>0</v>
      </c>
      <c r="BI652" s="4">
        <v>3.7029999999999998</v>
      </c>
      <c r="BJ652" s="14">
        <v>0</v>
      </c>
      <c r="BK652" s="14">
        <v>0</v>
      </c>
      <c r="BL652" s="4">
        <v>0</v>
      </c>
      <c r="BM652" s="17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3.407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 s="19">
        <v>5.3</v>
      </c>
      <c r="CF652" s="19">
        <v>0</v>
      </c>
      <c r="CG652" s="4">
        <v>6.46</v>
      </c>
      <c r="CH652" s="4">
        <v>0</v>
      </c>
      <c r="CI652" s="4">
        <v>0</v>
      </c>
      <c r="CJ652" s="34">
        <v>9</v>
      </c>
      <c r="CK652" s="34">
        <v>0</v>
      </c>
      <c r="CL652" s="43">
        <v>0</v>
      </c>
      <c r="CM652" s="4">
        <v>0</v>
      </c>
      <c r="CN652" s="53">
        <v>0</v>
      </c>
      <c r="CO652" s="54">
        <v>0</v>
      </c>
      <c r="CP652" s="54">
        <v>0</v>
      </c>
      <c r="CQ652" s="4">
        <v>7.4</v>
      </c>
    </row>
    <row r="653" spans="1:95" x14ac:dyDescent="0.35">
      <c r="A653" s="55">
        <v>652</v>
      </c>
      <c r="B653" t="s">
        <v>119</v>
      </c>
      <c r="C653" s="27" t="s">
        <v>925</v>
      </c>
      <c r="D653" s="3" t="s">
        <v>94</v>
      </c>
      <c r="E653" s="33" t="s">
        <v>89</v>
      </c>
      <c r="F653" s="4">
        <f>IFERROR(AVERAGEIF(Table1[[#This Row],[2019-Apr]:[2025-July]],"&lt;&gt;0"),0)</f>
        <v>5.1013703703703692</v>
      </c>
      <c r="G653" s="4">
        <f ca="1">IFERROR(AVERAGEIF(OFFSET(Table1[[#This Row],[Status]],0,COUNT(Table1[[#This Row],[2019-May]:[2025-July]]),1,-12),"&lt;&gt;0"),0)</f>
        <v>8.7283333333333335</v>
      </c>
      <c r="H653" s="55">
        <f>IFERROR(SMALL(Table1[[#This Row],[2019-Apr]:[2025-July]],COUNTIF(Table1[[#This Row],[2019-Apr]:[2025-July]],0)+1),0)</f>
        <v>3.226</v>
      </c>
      <c r="I653" s="55">
        <f>IFERROR(MAX(Table1[[#This Row],[2019-Apr]:[2025-July]]),0)</f>
        <v>10.57</v>
      </c>
      <c r="J653" s="4" cm="1">
        <f t="array" ref="J65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3.49</v>
      </c>
      <c r="K653" s="4">
        <v>4.5</v>
      </c>
      <c r="L653" s="4">
        <f>IF(Table1[[#This Row],[Standard as per ISO]]&gt;=Table1[[#This Row],[Avg of best 6]],Table1[[#This Row],[Standard as per ISO]],Table1[[#This Row],[Avg of best 6]])</f>
        <v>4.5</v>
      </c>
      <c r="M653" s="4" cm="1">
        <f t="array" ref="M653">IFERROR(LOOKUP(2,1/(Table1[[#This Row],[2019-May]:[2025-July]]&lt;&gt;0),Table1[[#This Row],[2019-May]:[2025-July]]),0)</f>
        <v>10.5</v>
      </c>
      <c r="N653" s="4">
        <f>COUNTIF(Table1[[#This Row],[2019-Apr]:[2025-July]],"&gt;="&amp;Table1[[#This Row],[Target]])</f>
        <v>10</v>
      </c>
      <c r="O653" s="4">
        <f>IF(Table1[[#This Row],[Outliers 2Y]]=0,1,0)</f>
        <v>0</v>
      </c>
      <c r="P653" s="4">
        <f>IF(Table1[[#This Row],[Last value]]&gt;1.5*Table1[[#This Row],[Target]],1,0)</f>
        <v>1</v>
      </c>
      <c r="Q653" s="4">
        <f>IF(AND(1.5*Table1[[#This Row],[Target]]&gt;=Table1[[#This Row],[Last value]],Table1[[#This Row],[Last value]]&gt;Table1[[#This Row],[Target]]),1,0)</f>
        <v>0</v>
      </c>
      <c r="R653" s="4">
        <f>IF(Table1[[#This Row],[Target]]&gt;=Table1[[#This Row],[Last value]],1,0)</f>
        <v>0</v>
      </c>
      <c r="S653" s="4" t="str">
        <f t="shared" si="16"/>
        <v>Red</v>
      </c>
      <c r="T653">
        <v>0</v>
      </c>
      <c r="U653">
        <v>0</v>
      </c>
      <c r="V653">
        <v>0</v>
      </c>
      <c r="W653">
        <v>4.0999999999999996</v>
      </c>
      <c r="X653">
        <v>0</v>
      </c>
      <c r="Y653">
        <v>4.24</v>
      </c>
      <c r="Z653">
        <v>4.05</v>
      </c>
      <c r="AA653">
        <v>3.9</v>
      </c>
      <c r="AB653">
        <v>4.4000000000000004</v>
      </c>
      <c r="AC653">
        <v>0</v>
      </c>
      <c r="AD653">
        <v>4.5999999999999996</v>
      </c>
      <c r="AE653">
        <v>4.3</v>
      </c>
      <c r="AF653">
        <v>0</v>
      </c>
      <c r="AG653">
        <v>0</v>
      </c>
      <c r="AH653">
        <v>5.2</v>
      </c>
      <c r="AI653">
        <v>0</v>
      </c>
      <c r="AJ653">
        <v>0</v>
      </c>
      <c r="AK653">
        <v>0</v>
      </c>
      <c r="AL653">
        <v>0</v>
      </c>
      <c r="AM653">
        <v>3.32</v>
      </c>
      <c r="AN653">
        <v>0</v>
      </c>
      <c r="AO653">
        <v>0</v>
      </c>
      <c r="AP653">
        <v>0</v>
      </c>
      <c r="AQ653">
        <v>3.65</v>
      </c>
      <c r="AR653" s="8">
        <v>4.34</v>
      </c>
      <c r="AS653" s="8">
        <v>0</v>
      </c>
      <c r="AT653" s="8">
        <v>4.18</v>
      </c>
      <c r="AU653" s="3">
        <v>3.85</v>
      </c>
      <c r="AV653" s="3">
        <v>3.98</v>
      </c>
      <c r="AW653" s="3">
        <v>0</v>
      </c>
      <c r="AX653" s="3">
        <v>0</v>
      </c>
      <c r="AY653" s="3">
        <v>0</v>
      </c>
      <c r="AZ653" s="3">
        <v>0</v>
      </c>
      <c r="BA653" s="3">
        <v>3.9</v>
      </c>
      <c r="BB653" s="3">
        <v>0</v>
      </c>
      <c r="BC653" s="3">
        <v>0</v>
      </c>
      <c r="BD653">
        <v>0</v>
      </c>
      <c r="BE653" s="11">
        <v>3.226</v>
      </c>
      <c r="BF653" s="4">
        <v>0</v>
      </c>
      <c r="BG653" s="4">
        <v>0</v>
      </c>
      <c r="BH653" s="4">
        <v>0</v>
      </c>
      <c r="BI653" s="4">
        <v>0</v>
      </c>
      <c r="BJ653" s="13">
        <v>0</v>
      </c>
      <c r="BK653" s="13">
        <v>0</v>
      </c>
      <c r="BL653" s="4">
        <v>3.7789999999999999</v>
      </c>
      <c r="BM653" s="16">
        <v>0</v>
      </c>
      <c r="BN653" s="4">
        <v>0</v>
      </c>
      <c r="BO653" s="4">
        <v>0</v>
      </c>
      <c r="BP653" s="4">
        <v>3.27</v>
      </c>
      <c r="BQ653" s="4">
        <v>3.6949999999999998</v>
      </c>
      <c r="BR653" s="4">
        <v>0</v>
      </c>
      <c r="BS653" s="4">
        <v>4.7869999999999999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>
        <v>0</v>
      </c>
      <c r="CA653">
        <v>0</v>
      </c>
      <c r="CB653">
        <v>0</v>
      </c>
      <c r="CC653">
        <v>4.5999999999999996</v>
      </c>
      <c r="CD653">
        <v>0</v>
      </c>
      <c r="CE653" s="19">
        <v>0</v>
      </c>
      <c r="CF653" s="19">
        <v>5.5</v>
      </c>
      <c r="CG653" s="4">
        <v>0</v>
      </c>
      <c r="CH653" s="4">
        <v>0</v>
      </c>
      <c r="CI653" s="4">
        <v>0</v>
      </c>
      <c r="CJ653" s="34">
        <v>0</v>
      </c>
      <c r="CK653" s="34">
        <v>9.6</v>
      </c>
      <c r="CL653" s="43">
        <v>0</v>
      </c>
      <c r="CM653" s="4">
        <v>6</v>
      </c>
      <c r="CN653" s="53">
        <v>10.199999999999999</v>
      </c>
      <c r="CO653" s="54">
        <v>10.57</v>
      </c>
      <c r="CP653" s="54">
        <v>10.5</v>
      </c>
      <c r="CQ653" s="4">
        <v>0</v>
      </c>
    </row>
    <row r="654" spans="1:95" x14ac:dyDescent="0.35">
      <c r="A654" s="55">
        <v>653</v>
      </c>
      <c r="B654" t="s">
        <v>119</v>
      </c>
      <c r="C654" s="27" t="s">
        <v>926</v>
      </c>
      <c r="D654" s="3" t="s">
        <v>94</v>
      </c>
      <c r="E654" s="33" t="s">
        <v>89</v>
      </c>
      <c r="F654" s="4">
        <f>IFERROR(AVERAGEIF(Table1[[#This Row],[2019-Apr]:[2025-July]],"&lt;&gt;0"),0)</f>
        <v>3.024166666666666</v>
      </c>
      <c r="G654" s="4">
        <f ca="1">IFERROR(AVERAGEIF(OFFSET(Table1[[#This Row],[Status]],0,COUNT(Table1[[#This Row],[2019-May]:[2025-July]]),1,-12),"&lt;&gt;0"),0)</f>
        <v>4.5666666666666664</v>
      </c>
      <c r="H654" s="55">
        <f>IFERROR(SMALL(Table1[[#This Row],[2019-Apr]:[2025-July]],COUNTIF(Table1[[#This Row],[2019-Apr]:[2025-July]],0)+1),0)</f>
        <v>1.9</v>
      </c>
      <c r="I654" s="55">
        <f>IFERROR(MAX(Table1[[#This Row],[2019-Apr]:[2025-July]]),0)</f>
        <v>7.1</v>
      </c>
      <c r="J654" s="4" cm="1">
        <f t="array" ref="J65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2.0229999999999997</v>
      </c>
      <c r="K654" s="4">
        <v>4.5</v>
      </c>
      <c r="L654" s="4">
        <f>IF(Table1[[#This Row],[Standard as per ISO]]&gt;=Table1[[#This Row],[Avg of best 6]],Table1[[#This Row],[Standard as per ISO]],Table1[[#This Row],[Avg of best 6]])</f>
        <v>4.5</v>
      </c>
      <c r="M654" s="4" cm="1">
        <f t="array" ref="M654">IFERROR(LOOKUP(2,1/(Table1[[#This Row],[2019-May]:[2025-July]]&lt;&gt;0),Table1[[#This Row],[2019-May]:[2025-July]]),0)</f>
        <v>6.1</v>
      </c>
      <c r="N654" s="4">
        <f>COUNTIF(Table1[[#This Row],[2019-Apr]:[2025-July]],"&gt;="&amp;Table1[[#This Row],[Target]])</f>
        <v>3</v>
      </c>
      <c r="O654" s="4">
        <f>IF(Table1[[#This Row],[Outliers 2Y]]=0,1,0)</f>
        <v>0</v>
      </c>
      <c r="P654" s="4">
        <f>IF(Table1[[#This Row],[Last value]]&gt;1.5*Table1[[#This Row],[Target]],1,0)</f>
        <v>0</v>
      </c>
      <c r="Q654" s="4">
        <f>IF(AND(1.5*Table1[[#This Row],[Target]]&gt;=Table1[[#This Row],[Last value]],Table1[[#This Row],[Last value]]&gt;Table1[[#This Row],[Target]]),1,0)</f>
        <v>1</v>
      </c>
      <c r="R654" s="4">
        <f>IF(Table1[[#This Row],[Target]]&gt;=Table1[[#This Row],[Last value]],1,0)</f>
        <v>0</v>
      </c>
      <c r="S654" s="4" t="str">
        <f t="shared" ref="S654:S953" si="17">IF(P654=1, "Red", IF(Q654=1, "Yellow", "Green"))</f>
        <v>Yellow</v>
      </c>
      <c r="T654">
        <v>0</v>
      </c>
      <c r="U654">
        <v>0</v>
      </c>
      <c r="V654">
        <v>0</v>
      </c>
      <c r="W654">
        <v>2.76</v>
      </c>
      <c r="X654">
        <v>3.1</v>
      </c>
      <c r="Y654">
        <v>3.13</v>
      </c>
      <c r="Z654">
        <v>0</v>
      </c>
      <c r="AA654">
        <v>0</v>
      </c>
      <c r="AB654">
        <v>0</v>
      </c>
      <c r="AC654">
        <v>2.5</v>
      </c>
      <c r="AD654">
        <v>3.4</v>
      </c>
      <c r="AE654">
        <v>0</v>
      </c>
      <c r="AF654">
        <v>3.3</v>
      </c>
      <c r="AG654">
        <v>3.5</v>
      </c>
      <c r="AH654">
        <v>0</v>
      </c>
      <c r="AI654">
        <v>0</v>
      </c>
      <c r="AJ654">
        <v>0</v>
      </c>
      <c r="AK654">
        <v>7.1</v>
      </c>
      <c r="AL654">
        <v>0</v>
      </c>
      <c r="AM654">
        <v>0</v>
      </c>
      <c r="AN654">
        <v>2.9</v>
      </c>
      <c r="AO654">
        <v>0</v>
      </c>
      <c r="AP654">
        <v>0</v>
      </c>
      <c r="AQ654">
        <v>3.46</v>
      </c>
      <c r="AR654" s="8">
        <v>2.02</v>
      </c>
      <c r="AS654" s="8">
        <v>2.35</v>
      </c>
      <c r="AT654" s="8">
        <v>2.0299999999999998</v>
      </c>
      <c r="AU654" s="3">
        <v>0</v>
      </c>
      <c r="AV654" s="3">
        <v>2.5499999999999998</v>
      </c>
      <c r="AW654" s="3">
        <v>2.5499999999999998</v>
      </c>
      <c r="AX654" s="3">
        <v>0</v>
      </c>
      <c r="AY654" s="3">
        <v>2.89</v>
      </c>
      <c r="AZ654" s="3">
        <v>1.9</v>
      </c>
      <c r="BA654" s="3">
        <v>2.6</v>
      </c>
      <c r="BB654" s="3">
        <v>2.2999999999999998</v>
      </c>
      <c r="BC654" s="3">
        <v>0</v>
      </c>
      <c r="BD654">
        <v>0</v>
      </c>
      <c r="BE654" s="11">
        <v>3.7690000000000001</v>
      </c>
      <c r="BF654" s="4">
        <v>2.1749999999999998</v>
      </c>
      <c r="BG654" s="4">
        <v>0</v>
      </c>
      <c r="BH654" s="4">
        <v>0</v>
      </c>
      <c r="BI654" s="4">
        <v>2.0579999999999998</v>
      </c>
      <c r="BJ654" s="14">
        <v>2.2170000000000001</v>
      </c>
      <c r="BK654" s="14">
        <v>4.0529999999999999</v>
      </c>
      <c r="BL654" s="4">
        <v>0</v>
      </c>
      <c r="BM654" s="17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2.2450000000000001</v>
      </c>
      <c r="BT654" s="4">
        <v>0</v>
      </c>
      <c r="BU654" s="4">
        <v>0</v>
      </c>
      <c r="BV654" s="4">
        <v>2.1379999999999999</v>
      </c>
      <c r="BW654" s="4">
        <v>0</v>
      </c>
      <c r="BX654" s="4">
        <v>0</v>
      </c>
      <c r="BY654" s="4">
        <v>0</v>
      </c>
      <c r="BZ654">
        <v>0</v>
      </c>
      <c r="CA654">
        <v>0</v>
      </c>
      <c r="CB654">
        <v>0</v>
      </c>
      <c r="CC654">
        <v>2.0299999999999998</v>
      </c>
      <c r="CD654">
        <v>0</v>
      </c>
      <c r="CE654" s="19">
        <v>0</v>
      </c>
      <c r="CF654" s="19">
        <v>2.1</v>
      </c>
      <c r="CG654" s="4">
        <v>0</v>
      </c>
      <c r="CH654" s="4">
        <v>0</v>
      </c>
      <c r="CI654" s="4">
        <v>0</v>
      </c>
      <c r="CJ654" s="34">
        <v>0</v>
      </c>
      <c r="CK654" s="34">
        <v>5.5</v>
      </c>
      <c r="CL654" s="43">
        <v>0</v>
      </c>
      <c r="CM654" s="4">
        <v>0</v>
      </c>
      <c r="CN654" s="53">
        <v>0</v>
      </c>
      <c r="CO654" s="54">
        <v>0</v>
      </c>
      <c r="CP654" s="54">
        <v>6.1</v>
      </c>
      <c r="CQ654" s="4">
        <v>0</v>
      </c>
    </row>
    <row r="655" spans="1:95" x14ac:dyDescent="0.35">
      <c r="A655" s="55">
        <v>654</v>
      </c>
      <c r="B655" t="s">
        <v>119</v>
      </c>
      <c r="C655" s="27" t="s">
        <v>927</v>
      </c>
      <c r="D655" s="3" t="s">
        <v>94</v>
      </c>
      <c r="E655" s="33" t="s">
        <v>89</v>
      </c>
      <c r="F655" s="4">
        <f>IFERROR(AVERAGEIF(Table1[[#This Row],[2019-Apr]:[2025-July]],"&lt;&gt;0"),0)</f>
        <v>2.352179487179487</v>
      </c>
      <c r="G655" s="4">
        <f ca="1">IFERROR(AVERAGEIF(OFFSET(Table1[[#This Row],[Status]],0,COUNT(Table1[[#This Row],[2019-May]:[2025-July]]),1,-12),"&lt;&gt;0"),0)</f>
        <v>2.4979999999999998</v>
      </c>
      <c r="H655" s="55">
        <f>IFERROR(SMALL(Table1[[#This Row],[2019-Apr]:[2025-July]],COUNTIF(Table1[[#This Row],[2019-Apr]:[2025-July]],0)+1),0)</f>
        <v>0.8</v>
      </c>
      <c r="I655" s="55">
        <f>IFERROR(MAX(Table1[[#This Row],[2019-Apr]:[2025-July]]),0)</f>
        <v>4.09</v>
      </c>
      <c r="J655" s="4" cm="1">
        <f t="array" ref="J65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1.0408333333333333</v>
      </c>
      <c r="K655" s="4">
        <v>4.5</v>
      </c>
      <c r="L655" s="4">
        <f>IF(Table1[[#This Row],[Standard as per ISO]]&gt;=Table1[[#This Row],[Avg of best 6]],Table1[[#This Row],[Standard as per ISO]],Table1[[#This Row],[Avg of best 6]])</f>
        <v>4.5</v>
      </c>
      <c r="M655" s="4" cm="1">
        <f t="array" ref="M655">IFERROR(LOOKUP(2,1/(Table1[[#This Row],[2019-May]:[2025-July]]&lt;&gt;0),Table1[[#This Row],[2019-May]:[2025-July]]),0)</f>
        <v>2.75</v>
      </c>
      <c r="N655" s="4">
        <f>COUNTIF(Table1[[#This Row],[2019-Apr]:[2025-July]],"&gt;="&amp;Table1[[#This Row],[Target]])</f>
        <v>0</v>
      </c>
      <c r="O655" s="4">
        <f>IF(Table1[[#This Row],[Outliers 2Y]]=0,1,0)</f>
        <v>1</v>
      </c>
      <c r="P655" s="4">
        <f>IF(Table1[[#This Row],[Last value]]&gt;1.5*Table1[[#This Row],[Target]],1,0)</f>
        <v>0</v>
      </c>
      <c r="Q655" s="4">
        <f>IF(AND(1.5*Table1[[#This Row],[Target]]&gt;=Table1[[#This Row],[Last value]],Table1[[#This Row],[Last value]]&gt;Table1[[#This Row],[Target]]),1,0)</f>
        <v>0</v>
      </c>
      <c r="R655" s="4">
        <f>IF(Table1[[#This Row],[Target]]&gt;=Table1[[#This Row],[Last value]],1,0)</f>
        <v>1</v>
      </c>
      <c r="S655" s="4" t="str">
        <f t="shared" si="17"/>
        <v>Green</v>
      </c>
      <c r="T655">
        <v>1.0900000000000001</v>
      </c>
      <c r="U655">
        <v>1.02</v>
      </c>
      <c r="V655">
        <v>0</v>
      </c>
      <c r="W655">
        <v>1.18</v>
      </c>
      <c r="X655">
        <v>1.02</v>
      </c>
      <c r="Y655">
        <v>0</v>
      </c>
      <c r="Z655">
        <v>1.1100000000000001</v>
      </c>
      <c r="AA655">
        <v>0</v>
      </c>
      <c r="AB655">
        <v>2.5</v>
      </c>
      <c r="AC655">
        <v>0.8</v>
      </c>
      <c r="AD655">
        <v>0</v>
      </c>
      <c r="AE655">
        <v>2.1</v>
      </c>
      <c r="AF655">
        <v>1.2</v>
      </c>
      <c r="AG655">
        <v>2.8</v>
      </c>
      <c r="AH655">
        <v>3.2</v>
      </c>
      <c r="AI655">
        <v>2.9</v>
      </c>
      <c r="AJ655">
        <v>2.65</v>
      </c>
      <c r="AK655">
        <v>2.75</v>
      </c>
      <c r="AL655">
        <v>2.64</v>
      </c>
      <c r="AM655">
        <v>2.83</v>
      </c>
      <c r="AN655">
        <v>2.7</v>
      </c>
      <c r="AO655">
        <v>0</v>
      </c>
      <c r="AP655">
        <v>2.36</v>
      </c>
      <c r="AQ655">
        <v>2.61</v>
      </c>
      <c r="AR655" s="8">
        <v>2.71</v>
      </c>
      <c r="AS655" s="8">
        <v>0</v>
      </c>
      <c r="AT655" s="8">
        <v>0</v>
      </c>
      <c r="AU655" s="3">
        <v>3.31</v>
      </c>
      <c r="AV655" s="3">
        <v>3.27</v>
      </c>
      <c r="AW655" s="3">
        <v>4.01</v>
      </c>
      <c r="AX655" s="3">
        <v>3.64</v>
      </c>
      <c r="AY655" s="3">
        <v>3.62</v>
      </c>
      <c r="AZ655" s="3">
        <v>0</v>
      </c>
      <c r="BA655" s="3">
        <v>3.4</v>
      </c>
      <c r="BB655" s="3">
        <v>0</v>
      </c>
      <c r="BC655">
        <v>2.2999999999999998</v>
      </c>
      <c r="BD655">
        <v>0</v>
      </c>
      <c r="BE655" s="11">
        <v>0</v>
      </c>
      <c r="BF655" s="4">
        <v>0</v>
      </c>
      <c r="BG655" s="4">
        <v>2.1749999999999998</v>
      </c>
      <c r="BH655" s="4">
        <v>0</v>
      </c>
      <c r="BI655" s="4">
        <v>0</v>
      </c>
      <c r="BJ655" s="13">
        <v>1.115</v>
      </c>
      <c r="BK655" s="13">
        <v>0</v>
      </c>
      <c r="BL655" s="4">
        <v>0</v>
      </c>
      <c r="BM655" s="16">
        <v>0</v>
      </c>
      <c r="BN655" s="4">
        <v>0</v>
      </c>
      <c r="BO655" s="4">
        <v>0</v>
      </c>
      <c r="BP655" s="4">
        <v>0</v>
      </c>
      <c r="BQ655" s="4">
        <v>1.74</v>
      </c>
      <c r="BR655" s="4">
        <v>0</v>
      </c>
      <c r="BS655" s="4">
        <v>0</v>
      </c>
      <c r="BT655" s="4">
        <v>0</v>
      </c>
      <c r="BU655" s="4">
        <v>0</v>
      </c>
      <c r="BV655" s="4">
        <v>1.7050000000000001</v>
      </c>
      <c r="BW655" s="4">
        <v>0</v>
      </c>
      <c r="BX655" s="4">
        <v>0</v>
      </c>
      <c r="BY655" s="4">
        <v>2.29</v>
      </c>
      <c r="BZ655">
        <v>1.75</v>
      </c>
      <c r="CA655">
        <v>0</v>
      </c>
      <c r="CB655">
        <v>0</v>
      </c>
      <c r="CC655">
        <v>0</v>
      </c>
      <c r="CD655">
        <v>0</v>
      </c>
      <c r="CE655" s="19">
        <v>2.1</v>
      </c>
      <c r="CF655" s="19">
        <v>0</v>
      </c>
      <c r="CG655" s="4">
        <v>0</v>
      </c>
      <c r="CH655" s="4">
        <v>0</v>
      </c>
      <c r="CI655" s="4">
        <v>0</v>
      </c>
      <c r="CJ655" s="34">
        <v>2</v>
      </c>
      <c r="CK655" s="34">
        <v>0</v>
      </c>
      <c r="CL655" s="43">
        <v>2.1</v>
      </c>
      <c r="CM655" s="4">
        <v>0</v>
      </c>
      <c r="CN655" s="53">
        <v>0</v>
      </c>
      <c r="CO655" s="54">
        <v>4.09</v>
      </c>
      <c r="CP655" s="54">
        <v>2.2000000000000002</v>
      </c>
      <c r="CQ655" s="4">
        <v>2.75</v>
      </c>
    </row>
    <row r="656" spans="1:95" x14ac:dyDescent="0.35">
      <c r="A656" s="55">
        <v>655</v>
      </c>
      <c r="B656" t="s">
        <v>119</v>
      </c>
      <c r="C656" s="27" t="s">
        <v>928</v>
      </c>
      <c r="D656" s="3" t="s">
        <v>94</v>
      </c>
      <c r="E656" s="33" t="s">
        <v>89</v>
      </c>
      <c r="F656" s="4">
        <f>IFERROR(AVERAGEIF(Table1[[#This Row],[2019-Apr]:[2025-July]],"&lt;&gt;0"),0)</f>
        <v>3.3656666666666673</v>
      </c>
      <c r="G656" s="4">
        <f ca="1">IFERROR(AVERAGEIF(OFFSET(Table1[[#This Row],[Status]],0,COUNT(Table1[[#This Row],[2019-May]:[2025-July]]),1,-12),"&lt;&gt;0"),0)</f>
        <v>5.1499999999999995</v>
      </c>
      <c r="H656" s="55">
        <f>IFERROR(SMALL(Table1[[#This Row],[2019-Apr]:[2025-July]],COUNTIF(Table1[[#This Row],[2019-Apr]:[2025-July]],0)+1),0)</f>
        <v>1.25</v>
      </c>
      <c r="I656" s="55">
        <f>IFERROR(MAX(Table1[[#This Row],[2019-Apr]:[2025-July]]),0)</f>
        <v>5.9</v>
      </c>
      <c r="J656" s="4" cm="1">
        <f t="array" ref="J65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1.6126666666666667</v>
      </c>
      <c r="K656" s="4">
        <v>4.5</v>
      </c>
      <c r="L656" s="4">
        <f>IF(Table1[[#This Row],[Standard as per ISO]]&gt;=Table1[[#This Row],[Avg of best 6]],Table1[[#This Row],[Standard as per ISO]],Table1[[#This Row],[Avg of best 6]])</f>
        <v>4.5</v>
      </c>
      <c r="M656" s="4" cm="1">
        <f t="array" ref="M656">IFERROR(LOOKUP(2,1/(Table1[[#This Row],[2019-May]:[2025-July]]&lt;&gt;0),Table1[[#This Row],[2019-May]:[2025-July]]),0)</f>
        <v>4.21</v>
      </c>
      <c r="N656" s="4">
        <f>COUNTIF(Table1[[#This Row],[2019-Apr]:[2025-July]],"&gt;="&amp;Table1[[#This Row],[Target]])</f>
        <v>6</v>
      </c>
      <c r="O656" s="4">
        <f>IF(Table1[[#This Row],[Outliers 2Y]]=0,1,0)</f>
        <v>0</v>
      </c>
      <c r="P656" s="4">
        <f>IF(Table1[[#This Row],[Last value]]&gt;1.5*Table1[[#This Row],[Target]],1,0)</f>
        <v>0</v>
      </c>
      <c r="Q656" s="4">
        <f>IF(AND(1.5*Table1[[#This Row],[Target]]&gt;=Table1[[#This Row],[Last value]],Table1[[#This Row],[Last value]]&gt;Table1[[#This Row],[Target]]),1,0)</f>
        <v>0</v>
      </c>
      <c r="R656" s="4">
        <f>IF(Table1[[#This Row],[Target]]&gt;=Table1[[#This Row],[Last value]],1,0)</f>
        <v>1</v>
      </c>
      <c r="S656" s="4" t="str">
        <f t="shared" si="17"/>
        <v>Green</v>
      </c>
      <c r="T656">
        <v>4.97</v>
      </c>
      <c r="U656">
        <v>2.41</v>
      </c>
      <c r="V656">
        <v>5.05</v>
      </c>
      <c r="W656">
        <v>0</v>
      </c>
      <c r="X656">
        <v>0</v>
      </c>
      <c r="Y656">
        <v>1.44</v>
      </c>
      <c r="Z656">
        <v>1.25</v>
      </c>
      <c r="AA656">
        <v>0</v>
      </c>
      <c r="AB656">
        <v>2.9</v>
      </c>
      <c r="AC656">
        <v>0</v>
      </c>
      <c r="AD656">
        <v>2.5</v>
      </c>
      <c r="AE656">
        <v>2.2999999999999998</v>
      </c>
      <c r="AF656">
        <v>0</v>
      </c>
      <c r="AG656">
        <v>0</v>
      </c>
      <c r="AH656">
        <v>2.1</v>
      </c>
      <c r="AI656">
        <v>2.08</v>
      </c>
      <c r="AJ656">
        <v>2.7</v>
      </c>
      <c r="AK656">
        <v>0</v>
      </c>
      <c r="AL656">
        <v>2.89</v>
      </c>
      <c r="AM656">
        <v>3.45</v>
      </c>
      <c r="AN656">
        <v>3.8</v>
      </c>
      <c r="AO656">
        <v>0</v>
      </c>
      <c r="AP656">
        <v>3.2</v>
      </c>
      <c r="AQ656">
        <v>0</v>
      </c>
      <c r="AR656" s="8">
        <v>0</v>
      </c>
      <c r="AS656" s="8">
        <v>3.67</v>
      </c>
      <c r="AT656" s="8">
        <v>3.62</v>
      </c>
      <c r="AU656" s="3">
        <v>3.14</v>
      </c>
      <c r="AV656" s="3">
        <v>0</v>
      </c>
      <c r="AW656" s="3">
        <v>0</v>
      </c>
      <c r="AX656" s="3">
        <v>3.73</v>
      </c>
      <c r="AY656" s="3">
        <v>0</v>
      </c>
      <c r="AZ656" s="3">
        <v>2.2000000000000002</v>
      </c>
      <c r="BA656" s="3">
        <v>0</v>
      </c>
      <c r="BB656" s="3">
        <v>3.1</v>
      </c>
      <c r="BC656">
        <v>2.8</v>
      </c>
      <c r="BD656">
        <v>0</v>
      </c>
      <c r="BE656" s="11">
        <v>1.5269999999999999</v>
      </c>
      <c r="BF656" s="4">
        <v>1.2789999999999999</v>
      </c>
      <c r="BG656" s="4">
        <v>0</v>
      </c>
      <c r="BH656" s="4">
        <v>0</v>
      </c>
      <c r="BI656" s="4">
        <v>2.7029999999999998</v>
      </c>
      <c r="BJ656" s="14">
        <v>3.2450000000000001</v>
      </c>
      <c r="BK656" s="14">
        <v>3.1819999999999999</v>
      </c>
      <c r="BL656" s="4">
        <v>0</v>
      </c>
      <c r="BM656" s="17">
        <v>0</v>
      </c>
      <c r="BN656" s="4">
        <v>0</v>
      </c>
      <c r="BO656" s="4">
        <v>0</v>
      </c>
      <c r="BP656" s="4">
        <v>0</v>
      </c>
      <c r="BQ656" s="4">
        <v>3.1890000000000001</v>
      </c>
      <c r="BR656" s="4">
        <v>0</v>
      </c>
      <c r="BS656" s="4">
        <v>4.2560000000000002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3.7</v>
      </c>
      <c r="BZ656">
        <v>3.45</v>
      </c>
      <c r="CA656">
        <v>0</v>
      </c>
      <c r="CB656">
        <v>0</v>
      </c>
      <c r="CC656">
        <v>4.32</v>
      </c>
      <c r="CD656">
        <v>0</v>
      </c>
      <c r="CE656" s="19">
        <v>0</v>
      </c>
      <c r="CF656" s="19">
        <v>3.9</v>
      </c>
      <c r="CG656" s="4">
        <v>0</v>
      </c>
      <c r="CH656" s="4">
        <v>0</v>
      </c>
      <c r="CI656" s="4">
        <v>0</v>
      </c>
      <c r="CJ656" s="34">
        <v>5.3</v>
      </c>
      <c r="CK656" s="34">
        <v>5.9</v>
      </c>
      <c r="CL656" s="43">
        <v>5.7</v>
      </c>
      <c r="CM656" s="4">
        <v>5.7</v>
      </c>
      <c r="CN656" s="53">
        <v>0</v>
      </c>
      <c r="CO656" s="54">
        <v>4.4000000000000004</v>
      </c>
      <c r="CP656" s="54">
        <v>0</v>
      </c>
      <c r="CQ656" s="4">
        <v>4.21</v>
      </c>
    </row>
    <row r="657" spans="1:95" x14ac:dyDescent="0.35">
      <c r="A657" s="55">
        <v>656</v>
      </c>
      <c r="B657" t="s">
        <v>119</v>
      </c>
      <c r="C657" s="27" t="s">
        <v>929</v>
      </c>
      <c r="D657" s="3" t="s">
        <v>94</v>
      </c>
      <c r="E657" s="33" t="s">
        <v>89</v>
      </c>
      <c r="F657" s="4">
        <f>IFERROR(AVERAGEIF(Table1[[#This Row],[2019-Apr]:[2025-July]],"&lt;&gt;0"),0)</f>
        <v>6.0929411764705881</v>
      </c>
      <c r="G657" s="4">
        <f ca="1">IFERROR(AVERAGEIF(OFFSET(Table1[[#This Row],[Status]],0,COUNT(Table1[[#This Row],[2019-May]:[2025-July]]),1,-12),"&lt;&gt;0"),0)</f>
        <v>4.8679999999999994</v>
      </c>
      <c r="H657" s="55">
        <f>IFERROR(SMALL(Table1[[#This Row],[2019-Apr]:[2025-July]],COUNTIF(Table1[[#This Row],[2019-Apr]:[2025-July]],0)+1),0)</f>
        <v>1.2789999999999999</v>
      </c>
      <c r="I657" s="55">
        <f>IFERROR(MAX(Table1[[#This Row],[2019-Apr]:[2025-July]]),0)</f>
        <v>20.399999999999999</v>
      </c>
      <c r="J657" s="4" cm="1">
        <f t="array" ref="J65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2.1501666666666668</v>
      </c>
      <c r="K657" s="4">
        <v>4.5</v>
      </c>
      <c r="L657" s="4">
        <f>IF(Table1[[#This Row],[Standard as per ISO]]&gt;=Table1[[#This Row],[Avg of best 6]],Table1[[#This Row],[Standard as per ISO]],Table1[[#This Row],[Avg of best 6]])</f>
        <v>4.5</v>
      </c>
      <c r="M657" s="4" cm="1">
        <f t="array" ref="M657">IFERROR(LOOKUP(2,1/(Table1[[#This Row],[2019-May]:[2025-July]]&lt;&gt;0),Table1[[#This Row],[2019-May]:[2025-July]]),0)</f>
        <v>5.6</v>
      </c>
      <c r="N657" s="4">
        <f>COUNTIF(Table1[[#This Row],[2019-Apr]:[2025-July]],"&gt;="&amp;Table1[[#This Row],[Target]])</f>
        <v>16</v>
      </c>
      <c r="O657" s="4">
        <f>IF(Table1[[#This Row],[Outliers 2Y]]=0,1,0)</f>
        <v>0</v>
      </c>
      <c r="P657" s="4">
        <f>IF(Table1[[#This Row],[Last value]]&gt;1.5*Table1[[#This Row],[Target]],1,0)</f>
        <v>0</v>
      </c>
      <c r="Q657" s="4">
        <f>IF(AND(1.5*Table1[[#This Row],[Target]]&gt;=Table1[[#This Row],[Last value]],Table1[[#This Row],[Last value]]&gt;Table1[[#This Row],[Target]]),1,0)</f>
        <v>1</v>
      </c>
      <c r="R657" s="4">
        <f>IF(Table1[[#This Row],[Target]]&gt;=Table1[[#This Row],[Last value]],1,0)</f>
        <v>0</v>
      </c>
      <c r="S657" s="4" t="str">
        <f t="shared" si="17"/>
        <v>Yellow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3.31</v>
      </c>
      <c r="Z657">
        <v>7.31</v>
      </c>
      <c r="AA657">
        <v>16.100000000000001</v>
      </c>
      <c r="AB657">
        <v>20.399999999999999</v>
      </c>
      <c r="AC657">
        <v>4.9000000000000004</v>
      </c>
      <c r="AD657">
        <v>2.7</v>
      </c>
      <c r="AE657">
        <v>2.1</v>
      </c>
      <c r="AF657">
        <v>3.2</v>
      </c>
      <c r="AG657">
        <v>2.7</v>
      </c>
      <c r="AH657">
        <v>2.7</v>
      </c>
      <c r="AI657">
        <v>3.61</v>
      </c>
      <c r="AJ657">
        <v>0</v>
      </c>
      <c r="AK657">
        <v>0</v>
      </c>
      <c r="AL657">
        <v>3.33</v>
      </c>
      <c r="AM657">
        <v>3.5</v>
      </c>
      <c r="AN657">
        <v>3.9</v>
      </c>
      <c r="AO657">
        <v>0</v>
      </c>
      <c r="AP657">
        <v>12.4</v>
      </c>
      <c r="AQ657">
        <v>0</v>
      </c>
      <c r="AR657" s="8">
        <v>0</v>
      </c>
      <c r="AS657" s="8">
        <v>0</v>
      </c>
      <c r="AT657" s="8">
        <v>0</v>
      </c>
      <c r="AU657" s="3">
        <v>0</v>
      </c>
      <c r="AV657" s="3">
        <v>0</v>
      </c>
      <c r="AW657" s="3">
        <v>13.7</v>
      </c>
      <c r="AX657" s="3">
        <v>0</v>
      </c>
      <c r="AY657" s="3">
        <v>0</v>
      </c>
      <c r="AZ657" s="3">
        <v>0</v>
      </c>
      <c r="BA657" s="3">
        <v>11.8</v>
      </c>
      <c r="BB657" s="3">
        <v>15.8</v>
      </c>
      <c r="BC657">
        <v>3.7</v>
      </c>
      <c r="BD657">
        <v>0</v>
      </c>
      <c r="BE657" s="11">
        <v>4.7830000000000004</v>
      </c>
      <c r="BF657" s="4">
        <v>0</v>
      </c>
      <c r="BG657" s="4">
        <v>1.2789999999999999</v>
      </c>
      <c r="BH657" s="4">
        <v>0</v>
      </c>
      <c r="BI657" s="4">
        <v>1.4219999999999999</v>
      </c>
      <c r="BJ657" s="13">
        <v>0</v>
      </c>
      <c r="BK657" s="13">
        <v>4.05</v>
      </c>
      <c r="BL657" s="4">
        <v>3.8050000000000002</v>
      </c>
      <c r="BM657" s="16">
        <v>0</v>
      </c>
      <c r="BN657" s="4">
        <v>5.7279999999999998</v>
      </c>
      <c r="BO657" s="4">
        <v>0</v>
      </c>
      <c r="BP657" s="4">
        <v>5.3869999999999996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3.9860000000000002</v>
      </c>
      <c r="BW657" s="4">
        <v>0</v>
      </c>
      <c r="BX657" s="4">
        <v>0</v>
      </c>
      <c r="BY657" s="4">
        <v>6.45</v>
      </c>
      <c r="BZ657">
        <v>0</v>
      </c>
      <c r="CA657">
        <v>0</v>
      </c>
      <c r="CB657">
        <v>0</v>
      </c>
      <c r="CC657">
        <v>8.77</v>
      </c>
      <c r="CD657">
        <v>0</v>
      </c>
      <c r="CE657" s="19">
        <v>0</v>
      </c>
      <c r="CF657" s="19">
        <v>6.3</v>
      </c>
      <c r="CG657" s="4">
        <v>5.44</v>
      </c>
      <c r="CH657" s="4">
        <v>0</v>
      </c>
      <c r="CI657" s="4">
        <v>0</v>
      </c>
      <c r="CJ657" s="34">
        <v>0</v>
      </c>
      <c r="CK657" s="34">
        <v>3.1</v>
      </c>
      <c r="CL657" s="43">
        <v>0</v>
      </c>
      <c r="CM657" s="4">
        <v>3.9</v>
      </c>
      <c r="CN657" s="53">
        <v>0</v>
      </c>
      <c r="CO657" s="54">
        <v>5.6</v>
      </c>
      <c r="CP657" s="54">
        <v>0</v>
      </c>
      <c r="CQ657" s="4">
        <v>0</v>
      </c>
    </row>
    <row r="658" spans="1:95" x14ac:dyDescent="0.35">
      <c r="A658" s="55">
        <v>657</v>
      </c>
      <c r="B658" t="s">
        <v>119</v>
      </c>
      <c r="C658" s="27" t="s">
        <v>930</v>
      </c>
      <c r="D658" s="3" t="s">
        <v>94</v>
      </c>
      <c r="E658" s="33" t="s">
        <v>89</v>
      </c>
      <c r="F658" s="4">
        <f>IFERROR(AVERAGEIF(Table1[[#This Row],[2019-Apr]:[2025-July]],"&lt;&gt;0"),0)</f>
        <v>3.490259259259259</v>
      </c>
      <c r="G658" s="4">
        <f ca="1">IFERROR(AVERAGEIF(OFFSET(Table1[[#This Row],[Status]],0,COUNT(Table1[[#This Row],[2019-May]:[2025-July]]),1,-12),"&lt;&gt;0"),0)</f>
        <v>2.8250000000000002</v>
      </c>
      <c r="H658" s="55">
        <f>IFERROR(SMALL(Table1[[#This Row],[2019-Apr]:[2025-July]],COUNTIF(Table1[[#This Row],[2019-Apr]:[2025-July]],0)+1),0)</f>
        <v>1.5</v>
      </c>
      <c r="I658" s="55">
        <f>IFERROR(MAX(Table1[[#This Row],[2019-Apr]:[2025-July]]),0)</f>
        <v>8.4499999999999993</v>
      </c>
      <c r="J658" s="4" cm="1">
        <f t="array" ref="J65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1.8028333333333333</v>
      </c>
      <c r="K658" s="4">
        <v>4.5</v>
      </c>
      <c r="L658" s="4">
        <f>IF(Table1[[#This Row],[Standard as per ISO]]&gt;=Table1[[#This Row],[Avg of best 6]],Table1[[#This Row],[Standard as per ISO]],Table1[[#This Row],[Avg of best 6]])</f>
        <v>4.5</v>
      </c>
      <c r="M658" s="4" cm="1">
        <f t="array" ref="M658">IFERROR(LOOKUP(2,1/(Table1[[#This Row],[2019-May]:[2025-July]]&lt;&gt;0),Table1[[#This Row],[2019-May]:[2025-July]]),0)</f>
        <v>3.59</v>
      </c>
      <c r="N658" s="4">
        <f>COUNTIF(Table1[[#This Row],[2019-Apr]:[2025-July]],"&gt;="&amp;Table1[[#This Row],[Target]])</f>
        <v>4</v>
      </c>
      <c r="O658" s="4">
        <f>IF(Table1[[#This Row],[Outliers 2Y]]=0,1,0)</f>
        <v>0</v>
      </c>
      <c r="P658" s="4">
        <f>IF(Table1[[#This Row],[Last value]]&gt;1.5*Table1[[#This Row],[Target]],1,0)</f>
        <v>0</v>
      </c>
      <c r="Q658" s="4">
        <f>IF(AND(1.5*Table1[[#This Row],[Target]]&gt;=Table1[[#This Row],[Last value]],Table1[[#This Row],[Last value]]&gt;Table1[[#This Row],[Target]]),1,0)</f>
        <v>0</v>
      </c>
      <c r="R658" s="4">
        <f>IF(Table1[[#This Row],[Target]]&gt;=Table1[[#This Row],[Last value]],1,0)</f>
        <v>1</v>
      </c>
      <c r="S658" s="4" t="str">
        <f t="shared" si="17"/>
        <v>Green</v>
      </c>
      <c r="T658">
        <v>0</v>
      </c>
      <c r="U658">
        <v>0</v>
      </c>
      <c r="V658">
        <v>5.53</v>
      </c>
      <c r="W658">
        <v>4.05</v>
      </c>
      <c r="X658">
        <v>5.26</v>
      </c>
      <c r="Y658">
        <v>0</v>
      </c>
      <c r="Z658">
        <v>0</v>
      </c>
      <c r="AA658">
        <v>3.1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3.8</v>
      </c>
      <c r="AK658">
        <v>2.78</v>
      </c>
      <c r="AL658">
        <v>0</v>
      </c>
      <c r="AM658">
        <v>0</v>
      </c>
      <c r="AN658">
        <v>3.3</v>
      </c>
      <c r="AO658">
        <v>0</v>
      </c>
      <c r="AP658">
        <v>0</v>
      </c>
      <c r="AQ658">
        <v>2.91</v>
      </c>
      <c r="AR658" s="8">
        <v>2.94</v>
      </c>
      <c r="AS658" s="8">
        <v>3.7</v>
      </c>
      <c r="AT658" s="8">
        <v>3.85</v>
      </c>
      <c r="AU658" s="3">
        <v>2.76</v>
      </c>
      <c r="AV658" s="3">
        <v>2.73</v>
      </c>
      <c r="AW658" s="3">
        <v>3.31</v>
      </c>
      <c r="AX658" s="3">
        <v>8.4499999999999993</v>
      </c>
      <c r="AY658" s="3">
        <v>7.46</v>
      </c>
      <c r="AZ658" s="3">
        <v>4.4000000000000004</v>
      </c>
      <c r="BA658" s="3">
        <v>0</v>
      </c>
      <c r="BB658" s="3">
        <v>1.5</v>
      </c>
      <c r="BC658" s="3">
        <v>0</v>
      </c>
      <c r="BD658">
        <v>0</v>
      </c>
      <c r="BE658" s="11">
        <v>0</v>
      </c>
      <c r="BF658" s="4">
        <v>1.91</v>
      </c>
      <c r="BG658" s="4">
        <v>0</v>
      </c>
      <c r="BH658" s="4">
        <v>0</v>
      </c>
      <c r="BI658" s="4">
        <v>0</v>
      </c>
      <c r="BJ658" s="14">
        <v>0</v>
      </c>
      <c r="BK658" s="14">
        <v>0</v>
      </c>
      <c r="BL658" s="4">
        <v>0</v>
      </c>
      <c r="BM658" s="17">
        <v>0</v>
      </c>
      <c r="BN658" s="4">
        <v>0</v>
      </c>
      <c r="BO658" s="4">
        <v>0</v>
      </c>
      <c r="BP658" s="4">
        <v>0</v>
      </c>
      <c r="BQ658" s="4">
        <v>1.593</v>
      </c>
      <c r="BR658" s="4">
        <v>0</v>
      </c>
      <c r="BS658" s="4">
        <v>1.944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>
        <v>2.0699999999999998</v>
      </c>
      <c r="CA658">
        <v>0</v>
      </c>
      <c r="CB658">
        <v>0</v>
      </c>
      <c r="CC658">
        <v>0</v>
      </c>
      <c r="CD658">
        <v>0</v>
      </c>
      <c r="CE658" s="19">
        <v>2.6</v>
      </c>
      <c r="CF658" s="19">
        <v>0</v>
      </c>
      <c r="CG658" s="4">
        <v>0</v>
      </c>
      <c r="CH658" s="4">
        <v>0</v>
      </c>
      <c r="CI658" s="4">
        <v>0</v>
      </c>
      <c r="CJ658" s="34">
        <v>3</v>
      </c>
      <c r="CK658" s="34">
        <v>0</v>
      </c>
      <c r="CL658" s="43">
        <v>3.9</v>
      </c>
      <c r="CM658" s="4">
        <v>0</v>
      </c>
      <c r="CN658" s="53">
        <v>0</v>
      </c>
      <c r="CO658" s="54">
        <v>0</v>
      </c>
      <c r="CP658" s="54">
        <v>1.8</v>
      </c>
      <c r="CQ658" s="4">
        <v>3.59</v>
      </c>
    </row>
    <row r="659" spans="1:95" x14ac:dyDescent="0.35">
      <c r="A659" s="55">
        <v>658</v>
      </c>
      <c r="B659" t="s">
        <v>119</v>
      </c>
      <c r="C659" s="27" t="s">
        <v>931</v>
      </c>
      <c r="D659" s="3" t="s">
        <v>94</v>
      </c>
      <c r="E659" s="33" t="s">
        <v>89</v>
      </c>
      <c r="F659" s="4">
        <f>IFERROR(AVERAGEIF(Table1[[#This Row],[2019-Apr]:[2025-July]],"&lt;&gt;0"),0)</f>
        <v>3.4817777777777765</v>
      </c>
      <c r="G659" s="4">
        <f ca="1">IFERROR(AVERAGEIF(OFFSET(Table1[[#This Row],[Status]],0,COUNT(Table1[[#This Row],[2019-May]:[2025-July]]),1,-12),"&lt;&gt;0"),0)</f>
        <v>5.6166666666666671</v>
      </c>
      <c r="H659" s="55">
        <f>IFERROR(SMALL(Table1[[#This Row],[2019-Apr]:[2025-July]],COUNTIF(Table1[[#This Row],[2019-Apr]:[2025-July]],0)+1),0)</f>
        <v>1.9</v>
      </c>
      <c r="I659" s="55">
        <f>IFERROR(MAX(Table1[[#This Row],[2019-Apr]:[2025-July]]),0)</f>
        <v>8.93</v>
      </c>
      <c r="J659" s="4" cm="1">
        <f t="array" ref="J65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2.1011666666666668</v>
      </c>
      <c r="K659" s="4">
        <v>4.5</v>
      </c>
      <c r="L659" s="4">
        <f>IF(Table1[[#This Row],[Standard as per ISO]]&gt;=Table1[[#This Row],[Avg of best 6]],Table1[[#This Row],[Standard as per ISO]],Table1[[#This Row],[Avg of best 6]])</f>
        <v>4.5</v>
      </c>
      <c r="M659" s="4" cm="1">
        <f t="array" ref="M659">IFERROR(LOOKUP(2,1/(Table1[[#This Row],[2019-May]:[2025-July]]&lt;&gt;0),Table1[[#This Row],[2019-May]:[2025-July]]),0)</f>
        <v>6.8</v>
      </c>
      <c r="N659" s="4">
        <f>COUNTIF(Table1[[#This Row],[2019-Apr]:[2025-July]],"&gt;="&amp;Table1[[#This Row],[Target]])</f>
        <v>9</v>
      </c>
      <c r="O659" s="4">
        <f>IF(Table1[[#This Row],[Outliers 2Y]]=0,1,0)</f>
        <v>0</v>
      </c>
      <c r="P659" s="4">
        <f>IF(Table1[[#This Row],[Last value]]&gt;1.5*Table1[[#This Row],[Target]],1,0)</f>
        <v>1</v>
      </c>
      <c r="Q659" s="4">
        <f>IF(AND(1.5*Table1[[#This Row],[Target]]&gt;=Table1[[#This Row],[Last value]],Table1[[#This Row],[Last value]]&gt;Table1[[#This Row],[Target]]),1,0)</f>
        <v>0</v>
      </c>
      <c r="R659" s="4">
        <f>IF(Table1[[#This Row],[Target]]&gt;=Table1[[#This Row],[Last value]],1,0)</f>
        <v>0</v>
      </c>
      <c r="S659" s="4" t="str">
        <f t="shared" si="17"/>
        <v>Red</v>
      </c>
      <c r="T659">
        <v>3.58</v>
      </c>
      <c r="U659">
        <v>4.74</v>
      </c>
      <c r="V659">
        <v>3.54</v>
      </c>
      <c r="W659">
        <v>2.2200000000000002</v>
      </c>
      <c r="X659">
        <v>2.5</v>
      </c>
      <c r="Y659">
        <v>2.52</v>
      </c>
      <c r="Z659">
        <v>0</v>
      </c>
      <c r="AA659">
        <v>2.27</v>
      </c>
      <c r="AB659">
        <v>0</v>
      </c>
      <c r="AC659">
        <v>2.6</v>
      </c>
      <c r="AD659">
        <v>0</v>
      </c>
      <c r="AE659">
        <v>0</v>
      </c>
      <c r="AF659">
        <v>2.6</v>
      </c>
      <c r="AG659">
        <v>0</v>
      </c>
      <c r="AH659">
        <v>2.2999999999999998</v>
      </c>
      <c r="AI659">
        <v>2.2000000000000002</v>
      </c>
      <c r="AJ659">
        <v>1.9</v>
      </c>
      <c r="AK659">
        <v>2.98</v>
      </c>
      <c r="AL659">
        <v>0</v>
      </c>
      <c r="AM659">
        <v>0</v>
      </c>
      <c r="AN659">
        <v>2.7</v>
      </c>
      <c r="AO659">
        <v>0</v>
      </c>
      <c r="AP659">
        <v>0</v>
      </c>
      <c r="AQ659">
        <v>2.29</v>
      </c>
      <c r="AR659" s="8">
        <v>0</v>
      </c>
      <c r="AS659" s="8">
        <v>2.17</v>
      </c>
      <c r="AT659" s="8">
        <v>0</v>
      </c>
      <c r="AU659" s="3">
        <v>0</v>
      </c>
      <c r="AV659" s="3">
        <v>0</v>
      </c>
      <c r="AW659" s="3">
        <v>2.83</v>
      </c>
      <c r="AX659" s="3">
        <v>2.83</v>
      </c>
      <c r="AY659" s="3">
        <v>2.5099999999999998</v>
      </c>
      <c r="AZ659" s="3">
        <v>0</v>
      </c>
      <c r="BA659" s="3">
        <v>0</v>
      </c>
      <c r="BB659" s="3">
        <v>0</v>
      </c>
      <c r="BC659" s="3">
        <v>0</v>
      </c>
      <c r="BD659">
        <v>2.4</v>
      </c>
      <c r="BE659" s="11">
        <v>2.5219999999999998</v>
      </c>
      <c r="BF659" s="4">
        <v>0</v>
      </c>
      <c r="BG659" s="4">
        <v>1.91</v>
      </c>
      <c r="BH659" s="4">
        <v>0</v>
      </c>
      <c r="BI659" s="4">
        <v>0</v>
      </c>
      <c r="BJ659" s="13">
        <v>0</v>
      </c>
      <c r="BK659" s="13">
        <v>2.2069999999999999</v>
      </c>
      <c r="BL659" s="4">
        <v>0</v>
      </c>
      <c r="BM659" s="16">
        <v>0</v>
      </c>
      <c r="BN659" s="4">
        <v>0</v>
      </c>
      <c r="BO659" s="4">
        <v>0</v>
      </c>
      <c r="BP659" s="4">
        <v>2.536</v>
      </c>
      <c r="BQ659" s="4">
        <v>2.3140000000000001</v>
      </c>
      <c r="BR659" s="4">
        <v>0</v>
      </c>
      <c r="BS659" s="4">
        <v>0</v>
      </c>
      <c r="BT659" s="4">
        <v>4.4669999999999996</v>
      </c>
      <c r="BU659" s="4">
        <v>0</v>
      </c>
      <c r="BV659" s="4">
        <v>4.9279999999999999</v>
      </c>
      <c r="BW659" s="4">
        <v>0</v>
      </c>
      <c r="BX659" s="4">
        <v>0</v>
      </c>
      <c r="BY659" s="4">
        <v>5.0199999999999996</v>
      </c>
      <c r="BZ659">
        <v>0</v>
      </c>
      <c r="CA659">
        <v>0</v>
      </c>
      <c r="CB659">
        <v>0</v>
      </c>
      <c r="CC659">
        <v>5.26</v>
      </c>
      <c r="CD659">
        <v>0</v>
      </c>
      <c r="CE659" s="19">
        <v>0</v>
      </c>
      <c r="CF659" s="19">
        <v>0</v>
      </c>
      <c r="CG659" s="4">
        <v>4.2699999999999996</v>
      </c>
      <c r="CH659" s="4">
        <v>0</v>
      </c>
      <c r="CI659" s="4">
        <v>0</v>
      </c>
      <c r="CJ659" s="34">
        <v>4.3</v>
      </c>
      <c r="CK659" s="34">
        <v>6.6</v>
      </c>
      <c r="CL659" s="43">
        <v>5.0999999999999996</v>
      </c>
      <c r="CM659" s="4">
        <v>4.5</v>
      </c>
      <c r="CN659" s="53">
        <v>0</v>
      </c>
      <c r="CO659" s="54">
        <v>0</v>
      </c>
      <c r="CP659" s="54">
        <v>8.93</v>
      </c>
      <c r="CQ659" s="4">
        <v>6.8</v>
      </c>
    </row>
    <row r="660" spans="1:95" x14ac:dyDescent="0.35">
      <c r="A660" s="55">
        <v>659</v>
      </c>
      <c r="B660" t="s">
        <v>119</v>
      </c>
      <c r="C660" s="27" t="s">
        <v>932</v>
      </c>
      <c r="D660" s="3" t="s">
        <v>94</v>
      </c>
      <c r="E660" s="33" t="s">
        <v>89</v>
      </c>
      <c r="F660" s="4">
        <f>IFERROR(AVERAGEIF(Table1[[#This Row],[2019-Apr]:[2025-July]],"&lt;&gt;0"),0)</f>
        <v>3.6113214285714292</v>
      </c>
      <c r="G660" s="4">
        <f ca="1">IFERROR(AVERAGEIF(OFFSET(Table1[[#This Row],[Status]],0,COUNT(Table1[[#This Row],[2019-May]:[2025-July]]),1,-12),"&lt;&gt;0"),0)</f>
        <v>4.8</v>
      </c>
      <c r="H660" s="55">
        <f>IFERROR(SMALL(Table1[[#This Row],[2019-Apr]:[2025-July]],COUNTIF(Table1[[#This Row],[2019-Apr]:[2025-July]],0)+1),0)</f>
        <v>2.6</v>
      </c>
      <c r="I660" s="55">
        <f>IFERROR(MAX(Table1[[#This Row],[2019-Apr]:[2025-July]]),0)</f>
        <v>7.1</v>
      </c>
      <c r="J660" s="4" cm="1">
        <f t="array" ref="J66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2.7683333333333331</v>
      </c>
      <c r="K660" s="4">
        <v>4.5</v>
      </c>
      <c r="L660" s="4">
        <f>IF(Table1[[#This Row],[Standard as per ISO]]&gt;=Table1[[#This Row],[Avg of best 6]],Table1[[#This Row],[Standard as per ISO]],Table1[[#This Row],[Avg of best 6]])</f>
        <v>4.5</v>
      </c>
      <c r="M660" s="4" cm="1">
        <f t="array" ref="M660">IFERROR(LOOKUP(2,1/(Table1[[#This Row],[2019-May]:[2025-July]]&lt;&gt;0),Table1[[#This Row],[2019-May]:[2025-July]]),0)</f>
        <v>7.1</v>
      </c>
      <c r="N660" s="4">
        <f>COUNTIF(Table1[[#This Row],[2019-Apr]:[2025-July]],"&gt;="&amp;Table1[[#This Row],[Target]])</f>
        <v>2</v>
      </c>
      <c r="O660" s="4">
        <f>IF(Table1[[#This Row],[Outliers 2Y]]=0,1,0)</f>
        <v>0</v>
      </c>
      <c r="P660" s="4">
        <f>IF(Table1[[#This Row],[Last value]]&gt;1.5*Table1[[#This Row],[Target]],1,0)</f>
        <v>1</v>
      </c>
      <c r="Q660" s="4">
        <f>IF(AND(1.5*Table1[[#This Row],[Target]]&gt;=Table1[[#This Row],[Last value]],Table1[[#This Row],[Last value]]&gt;Table1[[#This Row],[Target]]),1,0)</f>
        <v>0</v>
      </c>
      <c r="R660" s="4">
        <f>IF(Table1[[#This Row],[Target]]&gt;=Table1[[#This Row],[Last value]],1,0)</f>
        <v>0</v>
      </c>
      <c r="S660" s="4" t="str">
        <f t="shared" si="17"/>
        <v>Red</v>
      </c>
      <c r="T660">
        <v>0</v>
      </c>
      <c r="U660">
        <v>0</v>
      </c>
      <c r="V660">
        <v>3.68</v>
      </c>
      <c r="W660">
        <v>0</v>
      </c>
      <c r="X660">
        <v>0</v>
      </c>
      <c r="Y660">
        <v>3.29</v>
      </c>
      <c r="Z660">
        <v>3.18</v>
      </c>
      <c r="AA660">
        <v>0</v>
      </c>
      <c r="AB660">
        <v>3.1</v>
      </c>
      <c r="AC660">
        <v>0</v>
      </c>
      <c r="AD660">
        <v>2.8</v>
      </c>
      <c r="AE660">
        <v>3.9</v>
      </c>
      <c r="AF660">
        <v>0</v>
      </c>
      <c r="AG660">
        <v>2.6</v>
      </c>
      <c r="AH660">
        <v>0</v>
      </c>
      <c r="AI660">
        <v>0</v>
      </c>
      <c r="AJ660">
        <v>0</v>
      </c>
      <c r="AK660">
        <v>0</v>
      </c>
      <c r="AL660">
        <v>3.53</v>
      </c>
      <c r="AM660">
        <v>3.3</v>
      </c>
      <c r="AN660">
        <v>4.2</v>
      </c>
      <c r="AO660">
        <v>0</v>
      </c>
      <c r="AP660">
        <v>2.78</v>
      </c>
      <c r="AQ660">
        <v>0</v>
      </c>
      <c r="AR660" s="8">
        <v>3.28</v>
      </c>
      <c r="AS660" s="8">
        <v>0</v>
      </c>
      <c r="AT660" s="8">
        <v>2.76</v>
      </c>
      <c r="AU660" s="3">
        <v>2.87</v>
      </c>
      <c r="AV660" s="3">
        <v>3.71</v>
      </c>
      <c r="AW660" s="3">
        <v>0</v>
      </c>
      <c r="AX660" s="3">
        <v>0</v>
      </c>
      <c r="AY660" s="3">
        <v>0</v>
      </c>
      <c r="AZ660" s="3">
        <v>2.8</v>
      </c>
      <c r="BA660" s="3">
        <v>3.2</v>
      </c>
      <c r="BB660" s="3">
        <v>0</v>
      </c>
      <c r="BC660">
        <v>4.2</v>
      </c>
      <c r="BD660">
        <v>0</v>
      </c>
      <c r="BE660" s="11">
        <v>0</v>
      </c>
      <c r="BF660" s="4">
        <v>3.423</v>
      </c>
      <c r="BG660" s="4">
        <v>0</v>
      </c>
      <c r="BH660" s="4">
        <v>0</v>
      </c>
      <c r="BI660" s="4">
        <v>3.7490000000000001</v>
      </c>
      <c r="BJ660" s="14">
        <v>0</v>
      </c>
      <c r="BK660" s="14">
        <v>0</v>
      </c>
      <c r="BL660" s="4">
        <v>3.3570000000000002</v>
      </c>
      <c r="BM660" s="17">
        <v>0</v>
      </c>
      <c r="BN660" s="4">
        <v>0</v>
      </c>
      <c r="BO660" s="4">
        <v>0</v>
      </c>
      <c r="BP660" s="4">
        <v>2.9980000000000002</v>
      </c>
      <c r="BQ660" s="4">
        <v>0</v>
      </c>
      <c r="BR660" s="4">
        <v>0</v>
      </c>
      <c r="BS660" s="4">
        <v>0</v>
      </c>
      <c r="BT660" s="4">
        <v>3.15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>
        <v>4.38</v>
      </c>
      <c r="CA660">
        <v>0</v>
      </c>
      <c r="CB660">
        <v>0</v>
      </c>
      <c r="CC660">
        <v>6.48</v>
      </c>
      <c r="CD660">
        <v>0</v>
      </c>
      <c r="CE660" s="19">
        <v>0</v>
      </c>
      <c r="CF660" s="19">
        <v>3.9</v>
      </c>
      <c r="CG660" s="4">
        <v>0</v>
      </c>
      <c r="CH660" s="4">
        <v>0</v>
      </c>
      <c r="CI660" s="4">
        <v>0</v>
      </c>
      <c r="CJ660" s="34">
        <v>0</v>
      </c>
      <c r="CK660" s="34">
        <v>0</v>
      </c>
      <c r="CL660" s="43">
        <v>0</v>
      </c>
      <c r="CM660" s="4">
        <v>3.4</v>
      </c>
      <c r="CN660" s="53">
        <v>0</v>
      </c>
      <c r="CO660" s="54">
        <v>7.1</v>
      </c>
      <c r="CP660" s="54">
        <v>0</v>
      </c>
      <c r="CQ660" s="4">
        <v>0</v>
      </c>
    </row>
    <row r="661" spans="1:95" x14ac:dyDescent="0.35">
      <c r="A661" s="55">
        <v>660</v>
      </c>
      <c r="B661" t="s">
        <v>119</v>
      </c>
      <c r="C661" s="27" t="s">
        <v>933</v>
      </c>
      <c r="D661" s="3" t="s">
        <v>94</v>
      </c>
      <c r="E661" s="33" t="s">
        <v>89</v>
      </c>
      <c r="F661" s="4">
        <f>IFERROR(AVERAGEIF(Table1[[#This Row],[2019-Apr]:[2025-July]],"&lt;&gt;0"),0)</f>
        <v>3.7399615384615386</v>
      </c>
      <c r="G661" s="4">
        <f ca="1">IFERROR(AVERAGEIF(OFFSET(Table1[[#This Row],[Status]],0,COUNT(Table1[[#This Row],[2019-May]:[2025-July]]),1,-12),"&lt;&gt;0"),0)</f>
        <v>3.2</v>
      </c>
      <c r="H661" s="55">
        <f>IFERROR(SMALL(Table1[[#This Row],[2019-Apr]:[2025-July]],COUNTIF(Table1[[#This Row],[2019-Apr]:[2025-July]],0)+1),0)</f>
        <v>2.85</v>
      </c>
      <c r="I661" s="55">
        <f>IFERROR(MAX(Table1[[#This Row],[2019-Apr]:[2025-July]]),0)</f>
        <v>6.06</v>
      </c>
      <c r="J661" s="4" cm="1">
        <f t="array" ref="J66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2.9750000000000001</v>
      </c>
      <c r="K661" s="4">
        <v>4.5</v>
      </c>
      <c r="L661" s="4">
        <f>IF(Table1[[#This Row],[Standard as per ISO]]&gt;=Table1[[#This Row],[Avg of best 6]],Table1[[#This Row],[Standard as per ISO]],Table1[[#This Row],[Avg of best 6]])</f>
        <v>4.5</v>
      </c>
      <c r="M661" s="4" cm="1">
        <f t="array" ref="M661">IFERROR(LOOKUP(2,1/(Table1[[#This Row],[2019-May]:[2025-July]]&lt;&gt;0),Table1[[#This Row],[2019-May]:[2025-July]]),0)</f>
        <v>4.5999999999999996</v>
      </c>
      <c r="N661" s="4">
        <f>COUNTIF(Table1[[#This Row],[2019-Apr]:[2025-July]],"&gt;="&amp;Table1[[#This Row],[Target]])</f>
        <v>4</v>
      </c>
      <c r="O661" s="4">
        <f>IF(Table1[[#This Row],[Outliers 2Y]]=0,1,0)</f>
        <v>0</v>
      </c>
      <c r="P661" s="4">
        <f>IF(Table1[[#This Row],[Last value]]&gt;1.5*Table1[[#This Row],[Target]],1,0)</f>
        <v>0</v>
      </c>
      <c r="Q661" s="4">
        <f>IF(AND(1.5*Table1[[#This Row],[Target]]&gt;=Table1[[#This Row],[Last value]],Table1[[#This Row],[Last value]]&gt;Table1[[#This Row],[Target]]),1,0)</f>
        <v>1</v>
      </c>
      <c r="R661" s="4">
        <f>IF(Table1[[#This Row],[Target]]&gt;=Table1[[#This Row],[Last value]],1,0)</f>
        <v>0</v>
      </c>
      <c r="S661" s="4" t="str">
        <f t="shared" si="17"/>
        <v>Yellow</v>
      </c>
      <c r="T661">
        <v>0</v>
      </c>
      <c r="U661">
        <v>0</v>
      </c>
      <c r="V661">
        <v>4.22</v>
      </c>
      <c r="W661">
        <v>3.2</v>
      </c>
      <c r="X661">
        <v>2.85</v>
      </c>
      <c r="Y661">
        <v>4.79</v>
      </c>
      <c r="Z661">
        <v>4.17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4.0999999999999996</v>
      </c>
      <c r="AH661">
        <v>0</v>
      </c>
      <c r="AI661">
        <v>0</v>
      </c>
      <c r="AJ661">
        <v>0</v>
      </c>
      <c r="AK661">
        <v>4</v>
      </c>
      <c r="AL661">
        <v>0</v>
      </c>
      <c r="AM661">
        <v>0</v>
      </c>
      <c r="AN661">
        <v>6.06</v>
      </c>
      <c r="AO661">
        <v>0</v>
      </c>
      <c r="AP661">
        <v>0</v>
      </c>
      <c r="AQ661">
        <v>5.36</v>
      </c>
      <c r="AR661" s="8">
        <v>0</v>
      </c>
      <c r="AS661" s="8">
        <v>0</v>
      </c>
      <c r="AT661" s="8">
        <v>3.17</v>
      </c>
      <c r="AU661" s="3">
        <v>3.15</v>
      </c>
      <c r="AV661" s="3">
        <v>3.1</v>
      </c>
      <c r="AW661" s="3">
        <v>0</v>
      </c>
      <c r="AX661" s="3">
        <v>3.1</v>
      </c>
      <c r="AY661" s="3">
        <v>3.26</v>
      </c>
      <c r="AZ661" s="3">
        <v>0</v>
      </c>
      <c r="BA661" s="3">
        <v>2.9</v>
      </c>
      <c r="BB661" s="3">
        <v>0</v>
      </c>
      <c r="BC661">
        <v>3</v>
      </c>
      <c r="BD661">
        <v>0</v>
      </c>
      <c r="BE661" s="11">
        <v>0</v>
      </c>
      <c r="BF661" s="4">
        <v>0</v>
      </c>
      <c r="BG661" s="4">
        <v>3.423</v>
      </c>
      <c r="BH661" s="4">
        <v>0</v>
      </c>
      <c r="BI661" s="4">
        <v>0</v>
      </c>
      <c r="BJ661" s="13">
        <v>0</v>
      </c>
      <c r="BK661" s="13">
        <v>0</v>
      </c>
      <c r="BL661" s="4">
        <v>3.8479999999999999</v>
      </c>
      <c r="BM661" s="16">
        <v>0</v>
      </c>
      <c r="BN661" s="4">
        <v>0</v>
      </c>
      <c r="BO661" s="4">
        <v>0</v>
      </c>
      <c r="BP661" s="4">
        <v>4.0199999999999996</v>
      </c>
      <c r="BQ661" s="4">
        <v>0</v>
      </c>
      <c r="BR661" s="4">
        <v>0</v>
      </c>
      <c r="BS661" s="4">
        <v>3.911</v>
      </c>
      <c r="BT661" s="4">
        <v>3.7109999999999999</v>
      </c>
      <c r="BU661" s="4">
        <v>0</v>
      </c>
      <c r="BV661" s="4">
        <v>3.556</v>
      </c>
      <c r="BW661" s="4">
        <v>0</v>
      </c>
      <c r="BX661" s="4">
        <v>0</v>
      </c>
      <c r="BY661" s="4">
        <v>3.34</v>
      </c>
      <c r="BZ661">
        <v>0</v>
      </c>
      <c r="CA661">
        <v>0</v>
      </c>
      <c r="CB661">
        <v>0</v>
      </c>
      <c r="CC661">
        <v>0</v>
      </c>
      <c r="CD661">
        <v>0</v>
      </c>
      <c r="CE661" s="19">
        <v>2.9</v>
      </c>
      <c r="CF661" s="19">
        <v>0</v>
      </c>
      <c r="CG661" s="4">
        <v>0</v>
      </c>
      <c r="CH661" s="4">
        <v>0</v>
      </c>
      <c r="CI661" s="4">
        <v>0</v>
      </c>
      <c r="CJ661" s="34">
        <v>3.5</v>
      </c>
      <c r="CK661" s="34">
        <v>0</v>
      </c>
      <c r="CL661" s="43">
        <v>0</v>
      </c>
      <c r="CM661" s="4">
        <v>0</v>
      </c>
      <c r="CN661" s="53">
        <v>0</v>
      </c>
      <c r="CO661" s="54">
        <v>0</v>
      </c>
      <c r="CP661" s="54">
        <v>0</v>
      </c>
      <c r="CQ661" s="4">
        <v>4.5999999999999996</v>
      </c>
    </row>
    <row r="662" spans="1:95" x14ac:dyDescent="0.35">
      <c r="A662" s="55">
        <v>661</v>
      </c>
      <c r="B662" t="s">
        <v>119</v>
      </c>
      <c r="C662" s="27" t="s">
        <v>934</v>
      </c>
      <c r="D662" s="3" t="s">
        <v>94</v>
      </c>
      <c r="E662" s="33" t="s">
        <v>89</v>
      </c>
      <c r="F662" s="4">
        <f ca="1">IFERROR(AVERAGEIF(Table1[[#This Row],[2019-Apr]:[2025-July]],"&lt;&gt;0"),0)</f>
        <v>0</v>
      </c>
      <c r="G662" s="4">
        <f ca="1">IFERROR(AVERAGEIF(OFFSET(Table1[[#This Row],[Status]],0,COUNT(Table1[[#This Row],[2019-May]:[2025-July]]),1,-12),"&lt;&gt;0"),0)</f>
        <v>0</v>
      </c>
      <c r="H662" s="55">
        <f ca="1">IFERROR(SMALL(Table1[[#This Row],[2019-Apr]:[2025-July]],COUNTIF(Table1[[#This Row],[2019-Apr]:[2025-July]],0)+1),0)</f>
        <v>0</v>
      </c>
      <c r="I662" s="55">
        <f ca="1">IFERROR(MAX(Table1[[#This Row],[2019-Apr]:[2025-July]]),0)</f>
        <v>0</v>
      </c>
      <c r="J662" s="4" cm="1">
        <f t="array" aca="1" ref="J662" ca="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662" s="4">
        <v>4.5</v>
      </c>
      <c r="L662" s="4">
        <f ca="1">IF(Table1[[#This Row],[Standard as per ISO]]&gt;=Table1[[#This Row],[Avg of best 6]],Table1[[#This Row],[Standard as per ISO]],Table1[[#This Row],[Avg of best 6]])</f>
        <v>4.5</v>
      </c>
      <c r="M662" s="4" cm="1">
        <f t="array" ref="M662">IFERROR(LOOKUP(2,1/(Table1[[#This Row],[2019-May]:[2025-July]]&lt;&gt;0),Table1[[#This Row],[2019-May]:[2025-July]]),0)</f>
        <v>5.0999999999999996</v>
      </c>
      <c r="N662" s="4">
        <f ca="1">COUNTIF(Table1[[#This Row],[2019-Apr]:[2025-July]],"&gt;="&amp;Table1[[#This Row],[Target]])</f>
        <v>0</v>
      </c>
      <c r="O662" s="4">
        <f ca="1">IF(Table1[[#This Row],[Outliers 2Y]]=0,1,0)</f>
        <v>1</v>
      </c>
      <c r="P662" s="4">
        <f ca="1">IF(Table1[[#This Row],[Last value]]&gt;1.5*Table1[[#This Row],[Target]],1,0)</f>
        <v>0</v>
      </c>
      <c r="Q662" s="4">
        <f ca="1">IF(AND(1.5*Table1[[#This Row],[Target]]&gt;=Table1[[#This Row],[Last value]],Table1[[#This Row],[Last value]]&gt;Table1[[#This Row],[Target]]),1,0)</f>
        <v>0</v>
      </c>
      <c r="R662" s="4">
        <f ca="1">IF(Table1[[#This Row],[Target]]&gt;=Table1[[#This Row],[Last value]],1,0)</f>
        <v>1</v>
      </c>
      <c r="S662" s="4" t="str">
        <f t="shared" ca="1" si="17"/>
        <v>Green</v>
      </c>
      <c r="T662">
        <v>3</v>
      </c>
      <c r="U662">
        <v>0</v>
      </c>
      <c r="V662">
        <v>3</v>
      </c>
      <c r="W662">
        <v>2.73</v>
      </c>
      <c r="X662">
        <v>0</v>
      </c>
      <c r="Y662">
        <v>0</v>
      </c>
      <c r="Z662">
        <v>0</v>
      </c>
      <c r="AA662">
        <v>3.77</v>
      </c>
      <c r="AB662">
        <v>3</v>
      </c>
      <c r="AC662">
        <v>2.9</v>
      </c>
      <c r="AD662">
        <v>3.4</v>
      </c>
      <c r="AE662">
        <v>2.8</v>
      </c>
      <c r="AF662">
        <v>2.7</v>
      </c>
      <c r="AG662">
        <v>0</v>
      </c>
      <c r="AH662">
        <v>2</v>
      </c>
      <c r="AI662">
        <v>2.65</v>
      </c>
      <c r="AJ662">
        <v>1.9</v>
      </c>
      <c r="AK662">
        <v>0</v>
      </c>
      <c r="AL662">
        <v>3.59</v>
      </c>
      <c r="AM662">
        <v>2.14</v>
      </c>
      <c r="AN662">
        <v>0</v>
      </c>
      <c r="AO662">
        <v>0</v>
      </c>
      <c r="AP662">
        <v>3.55</v>
      </c>
      <c r="AQ662">
        <v>0</v>
      </c>
      <c r="AR662" s="8">
        <v>5.09</v>
      </c>
      <c r="AS662" s="8">
        <v>4.75</v>
      </c>
      <c r="AT662" s="8">
        <v>0</v>
      </c>
      <c r="AU662" s="3">
        <v>0</v>
      </c>
      <c r="AV662" s="3">
        <v>0</v>
      </c>
      <c r="AW662" s="3">
        <v>3.06</v>
      </c>
      <c r="AX662" s="3">
        <v>0</v>
      </c>
      <c r="AY662" s="3">
        <v>0</v>
      </c>
      <c r="AZ662" s="3">
        <v>3.6</v>
      </c>
      <c r="BA662" s="3">
        <v>0</v>
      </c>
      <c r="BB662" s="3">
        <v>3</v>
      </c>
      <c r="BC662" s="3">
        <v>0</v>
      </c>
      <c r="BD662">
        <v>0</v>
      </c>
      <c r="BE662" s="11">
        <v>2.4369999999999998</v>
      </c>
      <c r="BF662" s="4">
        <v>3.153</v>
      </c>
      <c r="BG662" s="4">
        <v>3.347</v>
      </c>
      <c r="BH662" s="4">
        <v>0</v>
      </c>
      <c r="BI662" s="4">
        <v>4.67</v>
      </c>
      <c r="BJ662" s="14">
        <v>0</v>
      </c>
      <c r="BK662" s="14">
        <v>2.63</v>
      </c>
      <c r="BL662" s="4">
        <v>0</v>
      </c>
      <c r="BM662" s="17">
        <v>0</v>
      </c>
      <c r="BN662" s="4">
        <v>0</v>
      </c>
      <c r="BO662" s="4">
        <v>0</v>
      </c>
      <c r="BP662" s="4">
        <v>2.6139999999999999</v>
      </c>
      <c r="BQ662" s="4">
        <v>3.7240000000000002</v>
      </c>
      <c r="BR662" s="4">
        <v>0</v>
      </c>
      <c r="BS662" s="4">
        <v>0</v>
      </c>
      <c r="BT662" s="4">
        <v>2.8239999999999998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>
        <v>0</v>
      </c>
      <c r="CA662">
        <v>0</v>
      </c>
      <c r="CB662">
        <v>0</v>
      </c>
      <c r="CC662">
        <v>3.35</v>
      </c>
      <c r="CD662">
        <v>0</v>
      </c>
      <c r="CE662" s="19" cm="1">
        <f t="array" aca="1" ref="CE662" ca="1">+CE591:JC662</f>
        <v>0</v>
      </c>
      <c r="CF662" s="19">
        <v>3.2</v>
      </c>
      <c r="CG662" s="4">
        <v>0</v>
      </c>
      <c r="CH662" s="4">
        <v>0</v>
      </c>
      <c r="CI662" s="4">
        <v>0</v>
      </c>
      <c r="CJ662" s="34">
        <v>3.6</v>
      </c>
      <c r="CK662" s="34">
        <v>3.9</v>
      </c>
      <c r="CL662" s="43">
        <v>3.3</v>
      </c>
      <c r="CM662" s="4">
        <v>3.6</v>
      </c>
      <c r="CN662" s="53">
        <v>4.45</v>
      </c>
      <c r="CO662" s="54">
        <v>3.7</v>
      </c>
      <c r="CP662" s="54">
        <v>5.0999999999999996</v>
      </c>
      <c r="CQ662" s="4">
        <v>0</v>
      </c>
    </row>
    <row r="663" spans="1:95" x14ac:dyDescent="0.35">
      <c r="A663" s="55">
        <v>662</v>
      </c>
      <c r="B663" t="s">
        <v>119</v>
      </c>
      <c r="C663" s="27" t="s">
        <v>935</v>
      </c>
      <c r="D663" s="3" t="s">
        <v>93</v>
      </c>
      <c r="E663" s="33" t="s">
        <v>89</v>
      </c>
      <c r="F663" s="4">
        <f>IFERROR(AVERAGEIF(Table1[[#This Row],[2019-Apr]:[2025-July]],"&lt;&gt;0"),0)</f>
        <v>4.1419661016949165</v>
      </c>
      <c r="G663" s="4">
        <f ca="1">IFERROR(AVERAGEIF(OFFSET(Table1[[#This Row],[Status]],0,COUNT(Table1[[#This Row],[2019-May]:[2025-July]]),1,-12),"&lt;&gt;0"),0)</f>
        <v>7.056</v>
      </c>
      <c r="H663" s="55">
        <f>IFERROR(SMALL(Table1[[#This Row],[2019-Apr]:[2025-July]],COUNTIF(Table1[[#This Row],[2019-Apr]:[2025-July]],0)+1),0)</f>
        <v>0.67100000000000004</v>
      </c>
      <c r="I663" s="55">
        <f>IFERROR(MAX(Table1[[#This Row],[2019-Apr]:[2025-July]]),0)</f>
        <v>13.61</v>
      </c>
      <c r="J663" s="4" cm="1">
        <f t="array" ref="J66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0.85333333333333317</v>
      </c>
      <c r="K663" s="4">
        <v>4.5</v>
      </c>
      <c r="L663" s="4">
        <f>IF(Table1[[#This Row],[Standard as per ISO]]&gt;=Table1[[#This Row],[Avg of best 6]],Table1[[#This Row],[Standard as per ISO]],Table1[[#This Row],[Avg of best 6]])</f>
        <v>4.5</v>
      </c>
      <c r="M663" s="4" cm="1">
        <f t="array" ref="M663">IFERROR(LOOKUP(2,1/(Table1[[#This Row],[2019-May]:[2025-July]]&lt;&gt;0),Table1[[#This Row],[2019-May]:[2025-July]]),0)</f>
        <v>8.4</v>
      </c>
      <c r="N663" s="4">
        <f>COUNTIF(Table1[[#This Row],[2019-Apr]:[2025-July]],"&gt;="&amp;Table1[[#This Row],[Target]])</f>
        <v>24</v>
      </c>
      <c r="O663" s="4">
        <f>IF(Table1[[#This Row],[Outliers 2Y]]=0,1,0)</f>
        <v>0</v>
      </c>
      <c r="P663" s="4">
        <f>IF(Table1[[#This Row],[Last value]]&gt;1.5*Table1[[#This Row],[Target]],1,0)</f>
        <v>1</v>
      </c>
      <c r="Q663" s="4">
        <f>IF(AND(1.5*Table1[[#This Row],[Target]]&gt;=Table1[[#This Row],[Last value]],Table1[[#This Row],[Last value]]&gt;Table1[[#This Row],[Target]]),1,0)</f>
        <v>0</v>
      </c>
      <c r="R663" s="4">
        <f>IF(Table1[[#This Row],[Target]]&gt;=Table1[[#This Row],[Last value]],1,0)</f>
        <v>0</v>
      </c>
      <c r="S663" s="4" t="str">
        <f t="shared" si="17"/>
        <v>Red</v>
      </c>
      <c r="T663">
        <v>6.65</v>
      </c>
      <c r="U663">
        <v>0</v>
      </c>
      <c r="V663">
        <v>9.18</v>
      </c>
      <c r="W663">
        <v>1.1000000000000001</v>
      </c>
      <c r="X663">
        <v>0</v>
      </c>
      <c r="Y663">
        <v>7.5</v>
      </c>
      <c r="Z663">
        <v>6.01</v>
      </c>
      <c r="AA663">
        <v>0</v>
      </c>
      <c r="AB663">
        <v>5.5</v>
      </c>
      <c r="AC663">
        <v>10.8</v>
      </c>
      <c r="AD663">
        <v>1.9</v>
      </c>
      <c r="AE663">
        <v>1.9</v>
      </c>
      <c r="AF663">
        <v>0</v>
      </c>
      <c r="AG663">
        <v>0.7</v>
      </c>
      <c r="AH663">
        <v>1.4</v>
      </c>
      <c r="AI663">
        <v>0</v>
      </c>
      <c r="AJ663">
        <v>1</v>
      </c>
      <c r="AK663">
        <v>5.9</v>
      </c>
      <c r="AL663">
        <v>6.38</v>
      </c>
      <c r="AM663">
        <v>6.53</v>
      </c>
      <c r="AN663">
        <v>8.3000000000000007</v>
      </c>
      <c r="AO663">
        <v>7.66</v>
      </c>
      <c r="AP663">
        <v>0</v>
      </c>
      <c r="AQ663">
        <v>0</v>
      </c>
      <c r="AR663" s="8">
        <v>3.99</v>
      </c>
      <c r="AS663" s="8">
        <v>3.55</v>
      </c>
      <c r="AT663" s="8">
        <v>0</v>
      </c>
      <c r="AU663" s="3">
        <v>2.0099999999999998</v>
      </c>
      <c r="AV663" s="3">
        <v>2.4900000000000002</v>
      </c>
      <c r="AW663" s="3">
        <v>2.89</v>
      </c>
      <c r="AX663" s="3">
        <v>6.02</v>
      </c>
      <c r="AY663" s="3">
        <v>5.95</v>
      </c>
      <c r="AZ663" s="3">
        <v>2.5</v>
      </c>
      <c r="BA663" s="3">
        <v>1.9</v>
      </c>
      <c r="BB663" s="3">
        <v>2.2999999999999998</v>
      </c>
      <c r="BC663">
        <v>4.5</v>
      </c>
      <c r="BD663">
        <v>0</v>
      </c>
      <c r="BE663" s="11">
        <v>3.1349999999999998</v>
      </c>
      <c r="BF663" s="4">
        <v>0</v>
      </c>
      <c r="BG663" s="4">
        <v>6.58</v>
      </c>
      <c r="BH663" s="4">
        <v>0</v>
      </c>
      <c r="BI663" s="4">
        <v>1.2529999999999999</v>
      </c>
      <c r="BJ663" s="13">
        <v>0.93899999999999995</v>
      </c>
      <c r="BK663" s="13">
        <v>0.67100000000000004</v>
      </c>
      <c r="BL663" s="4">
        <v>0</v>
      </c>
      <c r="BM663" s="16">
        <v>0</v>
      </c>
      <c r="BN663" s="4">
        <v>1.341</v>
      </c>
      <c r="BO663" s="4">
        <v>1.198</v>
      </c>
      <c r="BP663" s="4">
        <v>1.0229999999999999</v>
      </c>
      <c r="BQ663" s="4">
        <v>1.673</v>
      </c>
      <c r="BR663" s="4">
        <v>1.5980000000000001</v>
      </c>
      <c r="BS663" s="4">
        <v>1.669</v>
      </c>
      <c r="BT663" s="4">
        <v>0.78700000000000003</v>
      </c>
      <c r="BU663" s="4">
        <v>1.4770000000000001</v>
      </c>
      <c r="BV663" s="4">
        <v>1.4770000000000001</v>
      </c>
      <c r="BW663" s="4">
        <v>0</v>
      </c>
      <c r="BX663" s="4">
        <v>2.4849999999999999</v>
      </c>
      <c r="BY663" s="4">
        <v>1.07</v>
      </c>
      <c r="BZ663">
        <v>0</v>
      </c>
      <c r="CA663">
        <v>2.33</v>
      </c>
      <c r="CB663">
        <v>1.58</v>
      </c>
      <c r="CC663">
        <v>2.75</v>
      </c>
      <c r="CD663">
        <v>3.87</v>
      </c>
      <c r="CE663" s="20">
        <v>0</v>
      </c>
      <c r="CF663" s="19">
        <v>4.2</v>
      </c>
      <c r="CG663" s="4">
        <v>4.8499999999999996</v>
      </c>
      <c r="CH663" s="4">
        <v>13.61</v>
      </c>
      <c r="CI663" s="4">
        <v>0</v>
      </c>
      <c r="CJ663" s="34">
        <v>6.3</v>
      </c>
      <c r="CK663" s="34">
        <v>5.6</v>
      </c>
      <c r="CL663" s="43">
        <v>8</v>
      </c>
      <c r="CM663" s="4">
        <v>4.4000000000000004</v>
      </c>
      <c r="CN663" s="53">
        <v>8.8000000000000007</v>
      </c>
      <c r="CO663" s="54">
        <v>8.8000000000000007</v>
      </c>
      <c r="CP663" s="54">
        <v>6</v>
      </c>
      <c r="CQ663" s="4">
        <v>8.4</v>
      </c>
    </row>
    <row r="664" spans="1:95" x14ac:dyDescent="0.35">
      <c r="A664" s="55">
        <v>663</v>
      </c>
      <c r="B664" t="s">
        <v>119</v>
      </c>
      <c r="C664" s="27" t="s">
        <v>936</v>
      </c>
      <c r="D664" s="3" t="s">
        <v>93</v>
      </c>
      <c r="E664" s="33" t="s">
        <v>89</v>
      </c>
      <c r="F664" s="4">
        <f>IFERROR(AVERAGEIF(Table1[[#This Row],[2019-Apr]:[2025-July]],"&lt;&gt;0"),0)</f>
        <v>3.8844761904761902</v>
      </c>
      <c r="G664" s="4">
        <f ca="1">IFERROR(AVERAGEIF(OFFSET(Table1[[#This Row],[Status]],0,COUNT(Table1[[#This Row],[2019-May]:[2025-July]]),1,-12),"&lt;&gt;0"),0)</f>
        <v>3.2072727272727275</v>
      </c>
      <c r="H664" s="55">
        <f>IFERROR(SMALL(Table1[[#This Row],[2019-Apr]:[2025-July]],COUNTIF(Table1[[#This Row],[2019-Apr]:[2025-July]],0)+1),0)</f>
        <v>0.69499999999999995</v>
      </c>
      <c r="I664" s="55">
        <f>IFERROR(MAX(Table1[[#This Row],[2019-Apr]:[2025-July]]),0)</f>
        <v>10.1</v>
      </c>
      <c r="J664" s="4" cm="1">
        <f t="array" ref="J66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1.3021666666666667</v>
      </c>
      <c r="K664" s="4">
        <v>4.5</v>
      </c>
      <c r="L664" s="4">
        <f>IF(Table1[[#This Row],[Standard as per ISO]]&gt;=Table1[[#This Row],[Avg of best 6]],Table1[[#This Row],[Standard as per ISO]],Table1[[#This Row],[Avg of best 6]])</f>
        <v>4.5</v>
      </c>
      <c r="M664" s="4" cm="1">
        <f t="array" ref="M664">IFERROR(LOOKUP(2,1/(Table1[[#This Row],[2019-May]:[2025-July]]&lt;&gt;0),Table1[[#This Row],[2019-May]:[2025-July]]),0)</f>
        <v>3.9</v>
      </c>
      <c r="N664" s="4">
        <f>COUNTIF(Table1[[#This Row],[2019-Apr]:[2025-July]],"&gt;="&amp;Table1[[#This Row],[Target]])</f>
        <v>14</v>
      </c>
      <c r="O664" s="4">
        <f>IF(Table1[[#This Row],[Outliers 2Y]]=0,1,0)</f>
        <v>0</v>
      </c>
      <c r="P664" s="4">
        <f>IF(Table1[[#This Row],[Last value]]&gt;1.5*Table1[[#This Row],[Target]],1,0)</f>
        <v>0</v>
      </c>
      <c r="Q664" s="4">
        <f>IF(AND(1.5*Table1[[#This Row],[Target]]&gt;=Table1[[#This Row],[Last value]],Table1[[#This Row],[Last value]]&gt;Table1[[#This Row],[Target]]),1,0)</f>
        <v>0</v>
      </c>
      <c r="R664" s="4">
        <f>IF(Table1[[#This Row],[Target]]&gt;=Table1[[#This Row],[Last value]],1,0)</f>
        <v>1</v>
      </c>
      <c r="S664" s="4" t="str">
        <f t="shared" si="17"/>
        <v>Green</v>
      </c>
      <c r="T664">
        <v>5.94</v>
      </c>
      <c r="U664">
        <v>0</v>
      </c>
      <c r="V664">
        <v>4.95</v>
      </c>
      <c r="W664">
        <v>5.0599999999999996</v>
      </c>
      <c r="X664">
        <v>0</v>
      </c>
      <c r="Y664">
        <v>5.3</v>
      </c>
      <c r="Z664">
        <v>5.12</v>
      </c>
      <c r="AA664">
        <v>0</v>
      </c>
      <c r="AB664">
        <v>5.6</v>
      </c>
      <c r="AC664">
        <v>8.5</v>
      </c>
      <c r="AD664">
        <v>6.5</v>
      </c>
      <c r="AE664">
        <v>10.1</v>
      </c>
      <c r="AF664">
        <v>3.2</v>
      </c>
      <c r="AG664">
        <v>5.9</v>
      </c>
      <c r="AH664">
        <v>2.7</v>
      </c>
      <c r="AI664">
        <v>0</v>
      </c>
      <c r="AJ664">
        <v>7.5</v>
      </c>
      <c r="AK664">
        <v>8.08</v>
      </c>
      <c r="AL664">
        <v>6.93</v>
      </c>
      <c r="AM664">
        <v>0</v>
      </c>
      <c r="AN664">
        <v>0</v>
      </c>
      <c r="AO664">
        <v>0</v>
      </c>
      <c r="AP664">
        <v>0</v>
      </c>
      <c r="AQ664">
        <v>0</v>
      </c>
      <c r="AR664" s="8">
        <v>0</v>
      </c>
      <c r="AS664" s="8">
        <v>1.36</v>
      </c>
      <c r="AT664" s="8">
        <v>0</v>
      </c>
      <c r="AU664" s="3">
        <v>1.59</v>
      </c>
      <c r="AV664" s="3">
        <v>1.89</v>
      </c>
      <c r="AW664" s="3">
        <v>2.83</v>
      </c>
      <c r="AX664" s="3">
        <v>1.87</v>
      </c>
      <c r="AY664" s="3">
        <v>1.25</v>
      </c>
      <c r="AZ664" s="3">
        <v>1.4</v>
      </c>
      <c r="BA664" s="3">
        <v>1.9</v>
      </c>
      <c r="BB664" s="3">
        <v>4.2</v>
      </c>
      <c r="BC664">
        <v>2.1</v>
      </c>
      <c r="BD664">
        <v>0</v>
      </c>
      <c r="BE664" s="11">
        <v>1.6779999999999999</v>
      </c>
      <c r="BF664" s="4">
        <v>1.7270000000000001</v>
      </c>
      <c r="BG664" s="4">
        <v>6.58</v>
      </c>
      <c r="BH664" s="4">
        <v>0</v>
      </c>
      <c r="BI664" s="4">
        <v>0</v>
      </c>
      <c r="BJ664" s="14">
        <v>0</v>
      </c>
      <c r="BK664" s="14">
        <v>0.69499999999999995</v>
      </c>
      <c r="BL664" s="4">
        <v>0</v>
      </c>
      <c r="BM664" s="17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1.518</v>
      </c>
      <c r="BV664" s="4">
        <v>0</v>
      </c>
      <c r="BW664" s="4">
        <v>0</v>
      </c>
      <c r="BX664" s="4">
        <v>0</v>
      </c>
      <c r="BY664" s="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 s="20">
        <v>0</v>
      </c>
      <c r="CF664" s="19">
        <v>3.6</v>
      </c>
      <c r="CG664" s="4">
        <v>3.34</v>
      </c>
      <c r="CH664" s="4">
        <v>3.67</v>
      </c>
      <c r="CI664" s="4">
        <v>2.37</v>
      </c>
      <c r="CJ664" s="34">
        <v>2.9</v>
      </c>
      <c r="CK664" s="34">
        <v>3</v>
      </c>
      <c r="CL664" s="43">
        <v>2.2999999999999998</v>
      </c>
      <c r="CM664" s="4">
        <v>3.3</v>
      </c>
      <c r="CN664" s="53">
        <v>3.2</v>
      </c>
      <c r="CO664" s="54">
        <v>4.2</v>
      </c>
      <c r="CP664" s="54">
        <v>3.4</v>
      </c>
      <c r="CQ664" s="4">
        <v>3.9</v>
      </c>
    </row>
    <row r="665" spans="1:95" x14ac:dyDescent="0.35">
      <c r="A665" s="55">
        <v>664</v>
      </c>
      <c r="B665" t="s">
        <v>119</v>
      </c>
      <c r="C665" s="27" t="s">
        <v>937</v>
      </c>
      <c r="D665" s="3" t="s">
        <v>88</v>
      </c>
      <c r="E665" s="33" t="s">
        <v>89</v>
      </c>
      <c r="F665" s="4">
        <f>IFERROR(AVERAGEIF(Table1[[#This Row],[2019-Apr]:[2025-July]],"&lt;&gt;0"),0)</f>
        <v>1.7548000000000001</v>
      </c>
      <c r="G665" s="4">
        <f ca="1">IFERROR(AVERAGEIF(OFFSET(Table1[[#This Row],[Status]],0,COUNT(Table1[[#This Row],[2019-May]:[2025-July]]),1,-12),"&lt;&gt;0"),0)</f>
        <v>1.9125000000000003</v>
      </c>
      <c r="H665" s="55">
        <f>IFERROR(SMALL(Table1[[#This Row],[2019-Apr]:[2025-July]],COUNTIF(Table1[[#This Row],[2019-Apr]:[2025-July]],0)+1),0)</f>
        <v>0.8</v>
      </c>
      <c r="I665" s="55">
        <f>IFERROR(MAX(Table1[[#This Row],[2019-Apr]:[2025-July]]),0)</f>
        <v>3.2</v>
      </c>
      <c r="J665" s="4" cm="1">
        <f t="array" ref="J66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1.0233333333333332</v>
      </c>
      <c r="K665" s="4">
        <v>4.5</v>
      </c>
      <c r="L665" s="4">
        <f>IF(Table1[[#This Row],[Standard as per ISO]]&gt;=Table1[[#This Row],[Avg of best 6]],Table1[[#This Row],[Standard as per ISO]],Table1[[#This Row],[Avg of best 6]])</f>
        <v>4.5</v>
      </c>
      <c r="M665" s="4" cm="1">
        <f t="array" ref="M665">IFERROR(LOOKUP(2,1/(Table1[[#This Row],[2019-May]:[2025-July]]&lt;&gt;0),Table1[[#This Row],[2019-May]:[2025-July]]),0)</f>
        <v>1.8</v>
      </c>
      <c r="N665" s="4">
        <f>COUNTIF(Table1[[#This Row],[2019-Apr]:[2025-July]],"&gt;="&amp;Table1[[#This Row],[Target]])</f>
        <v>0</v>
      </c>
      <c r="O665" s="4">
        <f>IF(Table1[[#This Row],[Outliers 2Y]]=0,1,0)</f>
        <v>1</v>
      </c>
      <c r="P665" s="4">
        <f>IF(Table1[[#This Row],[Last value]]&gt;1.5*Table1[[#This Row],[Target]],1,0)</f>
        <v>0</v>
      </c>
      <c r="Q665" s="4">
        <f>IF(AND(1.5*Table1[[#This Row],[Target]]&gt;=Table1[[#This Row],[Last value]],Table1[[#This Row],[Last value]]&gt;Table1[[#This Row],[Target]]),1,0)</f>
        <v>0</v>
      </c>
      <c r="R665" s="4">
        <f>IF(Table1[[#This Row],[Target]]&gt;=Table1[[#This Row],[Last value]],1,0)</f>
        <v>1</v>
      </c>
      <c r="S665" s="4" t="str">
        <f t="shared" si="17"/>
        <v>Green</v>
      </c>
      <c r="T665">
        <v>2.2999999999999998</v>
      </c>
      <c r="U665">
        <v>0</v>
      </c>
      <c r="V665">
        <v>1.33</v>
      </c>
      <c r="W665">
        <v>2</v>
      </c>
      <c r="X665">
        <v>0</v>
      </c>
      <c r="Y665">
        <v>1.25</v>
      </c>
      <c r="Z665">
        <v>1.98</v>
      </c>
      <c r="AA665">
        <v>1.2</v>
      </c>
      <c r="AB665">
        <v>1.5</v>
      </c>
      <c r="AC665">
        <v>1.47</v>
      </c>
      <c r="AD665">
        <v>1.7</v>
      </c>
      <c r="AE665">
        <v>1.6</v>
      </c>
      <c r="AF665">
        <v>1.7</v>
      </c>
      <c r="AG665">
        <v>1.43</v>
      </c>
      <c r="AH665">
        <v>1.85</v>
      </c>
      <c r="AI665">
        <v>0</v>
      </c>
      <c r="AJ665">
        <v>0.98</v>
      </c>
      <c r="AK665">
        <v>0.82</v>
      </c>
      <c r="AL665">
        <v>1.17</v>
      </c>
      <c r="AM665">
        <v>0</v>
      </c>
      <c r="AN665">
        <v>1.8</v>
      </c>
      <c r="AO665">
        <v>2.6</v>
      </c>
      <c r="AP665">
        <v>1.7</v>
      </c>
      <c r="AQ665">
        <v>0</v>
      </c>
      <c r="AR665" s="8">
        <v>2.36</v>
      </c>
      <c r="AS665" s="8">
        <v>2.0699999999999998</v>
      </c>
      <c r="AT665" s="8">
        <v>0</v>
      </c>
      <c r="AU665" s="3">
        <v>1.89</v>
      </c>
      <c r="AV665" s="3">
        <v>1.44</v>
      </c>
      <c r="AW665" s="3">
        <v>1.55</v>
      </c>
      <c r="AX665" s="3">
        <v>1.52</v>
      </c>
      <c r="AY665" s="3">
        <v>1.23</v>
      </c>
      <c r="AZ665" s="3">
        <v>2.2000000000000002</v>
      </c>
      <c r="BA665" s="3">
        <v>1.8</v>
      </c>
      <c r="BB665" s="3">
        <v>1.6</v>
      </c>
      <c r="BC665">
        <v>1.6</v>
      </c>
      <c r="BD665">
        <v>0</v>
      </c>
      <c r="BE665" s="11">
        <v>1.7</v>
      </c>
      <c r="BF665" s="4">
        <v>0</v>
      </c>
      <c r="BG665" s="4">
        <v>1.931</v>
      </c>
      <c r="BH665" s="4">
        <v>0</v>
      </c>
      <c r="BI665" s="4">
        <v>2.2599999999999998</v>
      </c>
      <c r="BJ665" s="13">
        <v>2.145</v>
      </c>
      <c r="BK665" s="13">
        <v>1.9430000000000001</v>
      </c>
      <c r="BL665" s="4">
        <v>0</v>
      </c>
      <c r="BM665" s="16">
        <v>0</v>
      </c>
      <c r="BN665" s="4">
        <v>0</v>
      </c>
      <c r="BO665" s="4">
        <v>0</v>
      </c>
      <c r="BP665" s="4">
        <v>0</v>
      </c>
      <c r="BQ665" s="4">
        <v>2.0779999999999998</v>
      </c>
      <c r="BR665" s="4">
        <v>0</v>
      </c>
      <c r="BS665" s="4">
        <v>0</v>
      </c>
      <c r="BT665" s="4">
        <v>1.9139999999999999</v>
      </c>
      <c r="BU665" s="4">
        <v>0</v>
      </c>
      <c r="BV665" s="4">
        <v>1.669</v>
      </c>
      <c r="BW665" s="4">
        <v>0</v>
      </c>
      <c r="BX665" s="4">
        <v>1.68</v>
      </c>
      <c r="BY665" s="4">
        <v>1.17</v>
      </c>
      <c r="BZ665">
        <v>0</v>
      </c>
      <c r="CA665">
        <v>0</v>
      </c>
      <c r="CB665">
        <v>0</v>
      </c>
      <c r="CC665">
        <v>2.5099999999999998</v>
      </c>
      <c r="CD665">
        <v>0</v>
      </c>
      <c r="CE665" s="20">
        <v>0</v>
      </c>
      <c r="CF665" s="19">
        <v>0.8</v>
      </c>
      <c r="CG665" s="4">
        <v>0</v>
      </c>
      <c r="CH665" s="4">
        <v>0</v>
      </c>
      <c r="CI665" s="4">
        <v>0</v>
      </c>
      <c r="CJ665" s="34">
        <v>1.8</v>
      </c>
      <c r="CK665" s="34">
        <v>3.2</v>
      </c>
      <c r="CL665" s="43">
        <v>2.1</v>
      </c>
      <c r="CM665" s="4">
        <v>2.4</v>
      </c>
      <c r="CN665" s="53">
        <v>1.8</v>
      </c>
      <c r="CO665" s="54">
        <v>1.8</v>
      </c>
      <c r="CP665" s="54">
        <v>1.4</v>
      </c>
      <c r="CQ665" s="4">
        <v>1.8</v>
      </c>
    </row>
    <row r="666" spans="1:95" x14ac:dyDescent="0.35">
      <c r="A666" s="55">
        <v>665</v>
      </c>
      <c r="B666" t="s">
        <v>119</v>
      </c>
      <c r="C666" s="27" t="s">
        <v>938</v>
      </c>
      <c r="D666" s="3" t="s">
        <v>94</v>
      </c>
      <c r="E666" s="33" t="s">
        <v>89</v>
      </c>
      <c r="F666" s="4">
        <f>IFERROR(AVERAGEIF(Table1[[#This Row],[2019-Apr]:[2025-July]],"&lt;&gt;0"),0)</f>
        <v>3.3276388888888886</v>
      </c>
      <c r="G666" s="4">
        <f ca="1">IFERROR(AVERAGEIF(OFFSET(Table1[[#This Row],[Status]],0,COUNT(Table1[[#This Row],[2019-May]:[2025-July]]),1,-12),"&lt;&gt;0"),0)</f>
        <v>6.12</v>
      </c>
      <c r="H666" s="55">
        <f>IFERROR(SMALL(Table1[[#This Row],[2019-Apr]:[2025-July]],COUNTIF(Table1[[#This Row],[2019-Apr]:[2025-July]],0)+1),0)</f>
        <v>1.55</v>
      </c>
      <c r="I666" s="55">
        <f>IFERROR(MAX(Table1[[#This Row],[2019-Apr]:[2025-July]]),0)</f>
        <v>10.3</v>
      </c>
      <c r="J666" s="4" cm="1">
        <f t="array" ref="J66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1.7478333333333333</v>
      </c>
      <c r="K666" s="4">
        <v>4.5</v>
      </c>
      <c r="L666" s="4">
        <f>IF(Table1[[#This Row],[Standard as per ISO]]&gt;=Table1[[#This Row],[Avg of best 6]],Table1[[#This Row],[Standard as per ISO]],Table1[[#This Row],[Avg of best 6]])</f>
        <v>4.5</v>
      </c>
      <c r="M666" s="4" cm="1">
        <f t="array" ref="M666">IFERROR(LOOKUP(2,1/(Table1[[#This Row],[2019-May]:[2025-July]]&lt;&gt;0),Table1[[#This Row],[2019-May]:[2025-July]]),0)</f>
        <v>6</v>
      </c>
      <c r="N666" s="4">
        <f>COUNTIF(Table1[[#This Row],[2019-Apr]:[2025-July]],"&gt;="&amp;Table1[[#This Row],[Target]])</f>
        <v>6</v>
      </c>
      <c r="O666" s="4">
        <f>IF(Table1[[#This Row],[Outliers 2Y]]=0,1,0)</f>
        <v>0</v>
      </c>
      <c r="P666" s="4">
        <f>IF(Table1[[#This Row],[Last value]]&gt;1.5*Table1[[#This Row],[Target]],1,0)</f>
        <v>0</v>
      </c>
      <c r="Q666" s="4">
        <f>IF(AND(1.5*Table1[[#This Row],[Target]]&gt;=Table1[[#This Row],[Last value]],Table1[[#This Row],[Last value]]&gt;Table1[[#This Row],[Target]]),1,0)</f>
        <v>1</v>
      </c>
      <c r="R666" s="4">
        <f>IF(Table1[[#This Row],[Target]]&gt;=Table1[[#This Row],[Last value]],1,0)</f>
        <v>0</v>
      </c>
      <c r="S666" s="4" t="str">
        <f t="shared" si="17"/>
        <v>Yellow</v>
      </c>
      <c r="T666">
        <v>2.41</v>
      </c>
      <c r="U666">
        <v>0</v>
      </c>
      <c r="V666">
        <v>4.68</v>
      </c>
      <c r="W666">
        <v>2.44</v>
      </c>
      <c r="X666">
        <v>2.76</v>
      </c>
      <c r="Y666">
        <v>2.13</v>
      </c>
      <c r="Z666">
        <v>0</v>
      </c>
      <c r="AA666">
        <v>0</v>
      </c>
      <c r="AB666">
        <v>2.8</v>
      </c>
      <c r="AC666">
        <v>0</v>
      </c>
      <c r="AD666">
        <v>0</v>
      </c>
      <c r="AE666">
        <v>2.2999999999999998</v>
      </c>
      <c r="AF666">
        <v>2.2999999999999998</v>
      </c>
      <c r="AG666">
        <v>2.9</v>
      </c>
      <c r="AH666">
        <v>2.64</v>
      </c>
      <c r="AI666">
        <v>0</v>
      </c>
      <c r="AJ666">
        <v>0</v>
      </c>
      <c r="AK666">
        <v>0</v>
      </c>
      <c r="AL666">
        <v>10.3</v>
      </c>
      <c r="AM666">
        <v>0</v>
      </c>
      <c r="AN666">
        <v>4.4000000000000004</v>
      </c>
      <c r="AO666">
        <v>0</v>
      </c>
      <c r="AP666">
        <v>2.0699999999999998</v>
      </c>
      <c r="AQ666">
        <v>2.44</v>
      </c>
      <c r="AR666" s="8">
        <v>1.6539999999999999</v>
      </c>
      <c r="AS666" s="8">
        <v>2.17</v>
      </c>
      <c r="AT666" s="8">
        <v>3.91</v>
      </c>
      <c r="AU666" s="3">
        <v>1.55</v>
      </c>
      <c r="AV666" s="3">
        <v>0</v>
      </c>
      <c r="AW666" s="3">
        <v>2.73</v>
      </c>
      <c r="AX666" s="3">
        <v>1.67</v>
      </c>
      <c r="AY666" s="3">
        <v>3.85</v>
      </c>
      <c r="AZ666" s="3">
        <v>0</v>
      </c>
      <c r="BA666" s="3">
        <v>2.1</v>
      </c>
      <c r="BB666" s="3">
        <v>2.7</v>
      </c>
      <c r="BC666">
        <v>2.2999999999999998</v>
      </c>
      <c r="BD666">
        <v>0</v>
      </c>
      <c r="BE666" s="11">
        <v>2.2570000000000001</v>
      </c>
      <c r="BF666" s="4">
        <v>0</v>
      </c>
      <c r="BG666" s="4">
        <v>1.6970000000000001</v>
      </c>
      <c r="BH666" s="4">
        <v>0</v>
      </c>
      <c r="BI666" s="4">
        <v>1.8460000000000001</v>
      </c>
      <c r="BJ666" s="14">
        <v>0</v>
      </c>
      <c r="BK666" s="14">
        <v>3.0659999999999998</v>
      </c>
      <c r="BL666" s="4">
        <v>4.085</v>
      </c>
      <c r="BM666" s="17">
        <v>0</v>
      </c>
      <c r="BN666" s="4">
        <v>0</v>
      </c>
      <c r="BO666" s="4">
        <v>0</v>
      </c>
      <c r="BP666" s="4">
        <v>2.524</v>
      </c>
      <c r="BQ666" s="4">
        <v>0</v>
      </c>
      <c r="BR666" s="4">
        <v>0</v>
      </c>
      <c r="BS666" s="4">
        <v>2.7650000000000001</v>
      </c>
      <c r="BT666" s="4">
        <v>0</v>
      </c>
      <c r="BU666" s="4">
        <v>0</v>
      </c>
      <c r="BV666" s="4">
        <v>0</v>
      </c>
      <c r="BW666" s="4">
        <v>9.7309999999999999</v>
      </c>
      <c r="BX666" s="4">
        <v>0</v>
      </c>
      <c r="BY666" s="4">
        <v>0</v>
      </c>
      <c r="BZ666">
        <v>0</v>
      </c>
      <c r="CA666">
        <v>0</v>
      </c>
      <c r="CB666">
        <v>0</v>
      </c>
      <c r="CC666">
        <v>2.2599999999999998</v>
      </c>
      <c r="CD666">
        <v>0</v>
      </c>
      <c r="CE666" s="20">
        <v>0</v>
      </c>
      <c r="CF666" s="19">
        <v>6.5</v>
      </c>
      <c r="CG666" s="4">
        <v>5.86</v>
      </c>
      <c r="CH666" s="4">
        <v>0</v>
      </c>
      <c r="CI666" s="4">
        <v>0</v>
      </c>
      <c r="CJ666" s="34">
        <v>0</v>
      </c>
      <c r="CK666" s="34">
        <v>6</v>
      </c>
      <c r="CL666" s="43">
        <v>0</v>
      </c>
      <c r="CM666" s="4">
        <v>0</v>
      </c>
      <c r="CN666" s="53">
        <v>0</v>
      </c>
      <c r="CO666" s="54">
        <v>0</v>
      </c>
      <c r="CP666" s="54">
        <v>0</v>
      </c>
      <c r="CQ666" s="4">
        <v>0</v>
      </c>
    </row>
    <row r="667" spans="1:95" x14ac:dyDescent="0.35">
      <c r="A667" s="55">
        <v>666</v>
      </c>
      <c r="B667" t="s">
        <v>119</v>
      </c>
      <c r="C667" s="27" t="s">
        <v>939</v>
      </c>
      <c r="D667" s="3" t="s">
        <v>94</v>
      </c>
      <c r="E667" s="33" t="s">
        <v>89</v>
      </c>
      <c r="F667" s="4">
        <f>IFERROR(AVERAGEIF(Table1[[#This Row],[2019-Apr]:[2025-July]],"&lt;&gt;0"),0)</f>
        <v>3.2790404040404044</v>
      </c>
      <c r="G667" s="4">
        <f ca="1">IFERROR(AVERAGEIF(OFFSET(Table1[[#This Row],[Status]],0,COUNT(Table1[[#This Row],[2019-May]:[2025-July]]),1,-12),"&lt;&gt;0"),0)</f>
        <v>4.265714285714286</v>
      </c>
      <c r="H667" s="55">
        <f>IFERROR(SMALL(Table1[[#This Row],[2019-Apr]:[2025-July]],COUNTIF(Table1[[#This Row],[2019-Apr]:[2025-July]],0)+1),0)</f>
        <v>1.37</v>
      </c>
      <c r="I667" s="55">
        <f>IFERROR(MAX(Table1[[#This Row],[2019-Apr]:[2025-July]]),0)</f>
        <v>6.87</v>
      </c>
      <c r="J667" s="4" cm="1">
        <f t="array" ref="J66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1.8100555555555555</v>
      </c>
      <c r="K667" s="4">
        <v>4.5</v>
      </c>
      <c r="L667" s="4">
        <f>IF(Table1[[#This Row],[Standard as per ISO]]&gt;=Table1[[#This Row],[Avg of best 6]],Table1[[#This Row],[Standard as per ISO]],Table1[[#This Row],[Avg of best 6]])</f>
        <v>4.5</v>
      </c>
      <c r="M667" s="4" cm="1">
        <f t="array" ref="M667">IFERROR(LOOKUP(2,1/(Table1[[#This Row],[2019-May]:[2025-July]]&lt;&gt;0),Table1[[#This Row],[2019-May]:[2025-July]]),0)</f>
        <v>4.68</v>
      </c>
      <c r="N667" s="4">
        <f>COUNTIF(Table1[[#This Row],[2019-Apr]:[2025-July]],"&gt;="&amp;Table1[[#This Row],[Target]])</f>
        <v>7</v>
      </c>
      <c r="O667" s="4">
        <f>IF(Table1[[#This Row],[Outliers 2Y]]=0,1,0)</f>
        <v>0</v>
      </c>
      <c r="P667" s="4">
        <f>IF(Table1[[#This Row],[Last value]]&gt;1.5*Table1[[#This Row],[Target]],1,0)</f>
        <v>0</v>
      </c>
      <c r="Q667" s="4">
        <f>IF(AND(1.5*Table1[[#This Row],[Target]]&gt;=Table1[[#This Row],[Last value]],Table1[[#This Row],[Last value]]&gt;Table1[[#This Row],[Target]]),1,0)</f>
        <v>1</v>
      </c>
      <c r="R667" s="4">
        <f>IF(Table1[[#This Row],[Target]]&gt;=Table1[[#This Row],[Last value]],1,0)</f>
        <v>0</v>
      </c>
      <c r="S667" s="4" t="str">
        <f t="shared" si="17"/>
        <v>Yellow</v>
      </c>
      <c r="T667">
        <v>2.2000000000000002</v>
      </c>
      <c r="U667">
        <v>0</v>
      </c>
      <c r="V667">
        <v>6.87</v>
      </c>
      <c r="W667">
        <v>2.68</v>
      </c>
      <c r="X667">
        <v>0</v>
      </c>
      <c r="Y667">
        <v>0</v>
      </c>
      <c r="Z667">
        <v>2.52</v>
      </c>
      <c r="AA667">
        <v>0</v>
      </c>
      <c r="AB667">
        <v>1.9</v>
      </c>
      <c r="AC667">
        <v>1.9</v>
      </c>
      <c r="AD667">
        <v>2.6</v>
      </c>
      <c r="AE667">
        <v>0</v>
      </c>
      <c r="AF667">
        <v>0</v>
      </c>
      <c r="AG667">
        <v>1.8333333333333333</v>
      </c>
      <c r="AH667">
        <v>2.1</v>
      </c>
      <c r="AI667">
        <v>0</v>
      </c>
      <c r="AJ667">
        <v>0</v>
      </c>
      <c r="AK667">
        <v>0</v>
      </c>
      <c r="AL667">
        <v>5.46</v>
      </c>
      <c r="AM667">
        <v>1.96</v>
      </c>
      <c r="AN667">
        <v>5.19</v>
      </c>
      <c r="AO667">
        <v>0</v>
      </c>
      <c r="AP667">
        <v>3.22</v>
      </c>
      <c r="AQ667">
        <v>4.18</v>
      </c>
      <c r="AR667" s="8">
        <v>0</v>
      </c>
      <c r="AS667" s="8">
        <v>2.96</v>
      </c>
      <c r="AT667" s="8">
        <v>0</v>
      </c>
      <c r="AU667" s="3">
        <v>3.24</v>
      </c>
      <c r="AV667" s="3">
        <v>2.21</v>
      </c>
      <c r="AW667" s="3">
        <v>0</v>
      </c>
      <c r="AX667" s="3">
        <v>0</v>
      </c>
      <c r="AY667" s="3">
        <v>3.4</v>
      </c>
      <c r="AZ667" s="3">
        <v>0</v>
      </c>
      <c r="BA667" s="3">
        <v>0</v>
      </c>
      <c r="BB667" s="3">
        <v>0</v>
      </c>
      <c r="BC667">
        <v>3.1</v>
      </c>
      <c r="BD667">
        <v>0</v>
      </c>
      <c r="BE667" s="11">
        <v>0</v>
      </c>
      <c r="BF667" s="4">
        <v>2.1459999999999999</v>
      </c>
      <c r="BG667" s="4">
        <v>0</v>
      </c>
      <c r="BH667" s="4">
        <v>0</v>
      </c>
      <c r="BI667" s="4">
        <v>1.897</v>
      </c>
      <c r="BJ667" s="13">
        <v>0</v>
      </c>
      <c r="BK667" s="13">
        <v>0</v>
      </c>
      <c r="BL667" s="4">
        <v>0</v>
      </c>
      <c r="BM667" s="16">
        <v>0</v>
      </c>
      <c r="BN667" s="4">
        <v>0</v>
      </c>
      <c r="BO667" s="4">
        <v>0</v>
      </c>
      <c r="BP667" s="4">
        <v>2.952</v>
      </c>
      <c r="BQ667" s="4">
        <v>0</v>
      </c>
      <c r="BR667" s="4">
        <v>0</v>
      </c>
      <c r="BS667" s="4">
        <v>2.2250000000000001</v>
      </c>
      <c r="BT667" s="4">
        <v>0</v>
      </c>
      <c r="BU667" s="4">
        <v>0</v>
      </c>
      <c r="BV667" s="4">
        <v>0</v>
      </c>
      <c r="BW667" s="4">
        <v>3.5550000000000002</v>
      </c>
      <c r="BX667" s="4">
        <v>0</v>
      </c>
      <c r="BY667" s="4">
        <v>0</v>
      </c>
      <c r="BZ667">
        <v>0</v>
      </c>
      <c r="CA667">
        <v>0</v>
      </c>
      <c r="CB667">
        <v>0</v>
      </c>
      <c r="CC667">
        <v>1.37</v>
      </c>
      <c r="CD667">
        <v>0</v>
      </c>
      <c r="CE667" s="20">
        <v>0</v>
      </c>
      <c r="CF667" s="19">
        <v>3.1</v>
      </c>
      <c r="CG667" s="4">
        <v>0</v>
      </c>
      <c r="CH667" s="4">
        <v>0</v>
      </c>
      <c r="CI667" s="4">
        <v>0</v>
      </c>
      <c r="CJ667" s="34">
        <v>3.2</v>
      </c>
      <c r="CK667" s="34">
        <v>5.3</v>
      </c>
      <c r="CL667" s="43">
        <v>0</v>
      </c>
      <c r="CM667" s="4">
        <v>3.6</v>
      </c>
      <c r="CN667" s="53">
        <v>2.93</v>
      </c>
      <c r="CO667" s="54">
        <v>5.33</v>
      </c>
      <c r="CP667" s="54">
        <v>6.4</v>
      </c>
      <c r="CQ667" s="4">
        <v>4.68</v>
      </c>
    </row>
    <row r="668" spans="1:95" x14ac:dyDescent="0.35">
      <c r="A668" s="55">
        <v>667</v>
      </c>
      <c r="B668" t="s">
        <v>119</v>
      </c>
      <c r="C668" s="27" t="s">
        <v>940</v>
      </c>
      <c r="D668" s="3" t="s">
        <v>94</v>
      </c>
      <c r="E668" s="33" t="s">
        <v>89</v>
      </c>
      <c r="F668" s="4">
        <f>IFERROR(AVERAGEIF(Table1[[#This Row],[2019-Apr]:[2025-July]],"&lt;&gt;0"),0)</f>
        <v>2.1647666666666665</v>
      </c>
      <c r="G668" s="4">
        <f ca="1">IFERROR(AVERAGEIF(OFFSET(Table1[[#This Row],[Status]],0,COUNT(Table1[[#This Row],[2019-May]:[2025-July]]),1,-12),"&lt;&gt;0"),0)</f>
        <v>2.1149999999999998</v>
      </c>
      <c r="H668" s="55">
        <f>IFERROR(SMALL(Table1[[#This Row],[2019-Apr]:[2025-July]],COUNTIF(Table1[[#This Row],[2019-Apr]:[2025-July]],0)+1),0)</f>
        <v>1.1200000000000001</v>
      </c>
      <c r="I668" s="55">
        <f>IFERROR(MAX(Table1[[#This Row],[2019-Apr]:[2025-July]]),0)</f>
        <v>4.4000000000000004</v>
      </c>
      <c r="J668" s="4" cm="1">
        <f t="array" ref="J66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1.5250000000000001</v>
      </c>
      <c r="K668" s="4">
        <v>4.5</v>
      </c>
      <c r="L668" s="4">
        <f>IF(Table1[[#This Row],[Standard as per ISO]]&gt;=Table1[[#This Row],[Avg of best 6]],Table1[[#This Row],[Standard as per ISO]],Table1[[#This Row],[Avg of best 6]])</f>
        <v>4.5</v>
      </c>
      <c r="M668" s="4" cm="1">
        <f t="array" ref="M668">IFERROR(LOOKUP(2,1/(Table1[[#This Row],[2019-May]:[2025-July]]&lt;&gt;0),Table1[[#This Row],[2019-May]:[2025-July]]),0)</f>
        <v>2.29</v>
      </c>
      <c r="N668" s="4">
        <f>COUNTIF(Table1[[#This Row],[2019-Apr]:[2025-July]],"&gt;="&amp;Table1[[#This Row],[Target]])</f>
        <v>0</v>
      </c>
      <c r="O668" s="4">
        <f>IF(Table1[[#This Row],[Outliers 2Y]]=0,1,0)</f>
        <v>1</v>
      </c>
      <c r="P668" s="4">
        <f>IF(Table1[[#This Row],[Last value]]&gt;1.5*Table1[[#This Row],[Target]],1,0)</f>
        <v>0</v>
      </c>
      <c r="Q668" s="4">
        <f>IF(AND(1.5*Table1[[#This Row],[Target]]&gt;=Table1[[#This Row],[Last value]],Table1[[#This Row],[Last value]]&gt;Table1[[#This Row],[Target]]),1,0)</f>
        <v>0</v>
      </c>
      <c r="R668" s="4">
        <f>IF(Table1[[#This Row],[Target]]&gt;=Table1[[#This Row],[Last value]],1,0)</f>
        <v>1</v>
      </c>
      <c r="S668" s="4" t="str">
        <f t="shared" si="17"/>
        <v>Green</v>
      </c>
      <c r="T668">
        <v>0</v>
      </c>
      <c r="U668">
        <v>0</v>
      </c>
      <c r="V668">
        <v>0</v>
      </c>
      <c r="W668">
        <v>2.11</v>
      </c>
      <c r="X668">
        <v>1.76</v>
      </c>
      <c r="Y668">
        <v>1.99</v>
      </c>
      <c r="Z668">
        <v>1.93</v>
      </c>
      <c r="AA668">
        <v>0</v>
      </c>
      <c r="AB668">
        <v>1.8</v>
      </c>
      <c r="AC668">
        <v>1.8</v>
      </c>
      <c r="AD668">
        <v>1.9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2.21</v>
      </c>
      <c r="AN668">
        <v>2.1</v>
      </c>
      <c r="AO668">
        <v>0</v>
      </c>
      <c r="AP668">
        <v>1.93</v>
      </c>
      <c r="AQ668">
        <v>0</v>
      </c>
      <c r="AR668" s="8">
        <v>2.09</v>
      </c>
      <c r="AS668" s="8">
        <v>0</v>
      </c>
      <c r="AT668" s="8">
        <v>2.4900000000000002</v>
      </c>
      <c r="AU668" s="3">
        <v>0</v>
      </c>
      <c r="AV668" s="3">
        <v>2.83</v>
      </c>
      <c r="AW668" s="3">
        <v>1.67</v>
      </c>
      <c r="AX668" s="3">
        <v>2.93</v>
      </c>
      <c r="AY668" s="3">
        <v>0</v>
      </c>
      <c r="AZ668" s="3">
        <v>0</v>
      </c>
      <c r="BA668" s="3">
        <v>1.8</v>
      </c>
      <c r="BB668" s="3">
        <v>2.4</v>
      </c>
      <c r="BC668" s="3">
        <v>0</v>
      </c>
      <c r="BD668">
        <v>0</v>
      </c>
      <c r="BE668" s="11">
        <v>2.2229999999999999</v>
      </c>
      <c r="BF668" s="4">
        <v>2.5790000000000002</v>
      </c>
      <c r="BG668" s="4">
        <v>0</v>
      </c>
      <c r="BH668" s="4">
        <v>0</v>
      </c>
      <c r="BI668" s="4">
        <v>0</v>
      </c>
      <c r="BJ668" s="14">
        <v>0</v>
      </c>
      <c r="BK668" s="14">
        <v>2.6749999999999998</v>
      </c>
      <c r="BL668" s="4">
        <v>2.282</v>
      </c>
      <c r="BM668" s="17">
        <v>0</v>
      </c>
      <c r="BN668" s="4">
        <v>0</v>
      </c>
      <c r="BO668" s="4">
        <v>0</v>
      </c>
      <c r="BP668" s="4">
        <v>2.4249999999999998</v>
      </c>
      <c r="BQ668" s="4">
        <v>0</v>
      </c>
      <c r="BR668" s="4">
        <v>0</v>
      </c>
      <c r="BS668" s="4">
        <v>2.0390000000000001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 s="19">
        <v>1.3</v>
      </c>
      <c r="CF668" s="19">
        <v>0</v>
      </c>
      <c r="CG668" s="4">
        <v>0</v>
      </c>
      <c r="CH668" s="4">
        <v>0</v>
      </c>
      <c r="CI668" s="4">
        <v>0</v>
      </c>
      <c r="CJ668" s="34">
        <v>1.7</v>
      </c>
      <c r="CK668" s="34">
        <v>0</v>
      </c>
      <c r="CL668" s="43">
        <v>0</v>
      </c>
      <c r="CM668" s="4">
        <v>1.6</v>
      </c>
      <c r="CN668" s="53">
        <v>1.1200000000000001</v>
      </c>
      <c r="CO668" s="54">
        <v>2.57</v>
      </c>
      <c r="CP668" s="54">
        <v>4.4000000000000004</v>
      </c>
      <c r="CQ668" s="4">
        <v>2.29</v>
      </c>
    </row>
    <row r="669" spans="1:95" x14ac:dyDescent="0.35">
      <c r="A669" s="55">
        <v>668</v>
      </c>
      <c r="B669" t="s">
        <v>119</v>
      </c>
      <c r="C669" s="27" t="s">
        <v>941</v>
      </c>
      <c r="D669" s="3" t="s">
        <v>94</v>
      </c>
      <c r="E669" s="33" t="s">
        <v>89</v>
      </c>
      <c r="F669" s="4">
        <f>IFERROR(AVERAGEIF(Table1[[#This Row],[2019-Apr]:[2025-July]],"&lt;&gt;0"),0)</f>
        <v>4.4821621621621626</v>
      </c>
      <c r="G669" s="4">
        <f ca="1">IFERROR(AVERAGEIF(OFFSET(Table1[[#This Row],[Status]],0,COUNT(Table1[[#This Row],[2019-May]:[2025-July]]),1,-12),"&lt;&gt;0"),0)</f>
        <v>5.8379999999999992</v>
      </c>
      <c r="H669" s="55">
        <f>IFERROR(SMALL(Table1[[#This Row],[2019-Apr]:[2025-July]],COUNTIF(Table1[[#This Row],[2019-Apr]:[2025-July]],0)+1),0)</f>
        <v>1.47</v>
      </c>
      <c r="I669" s="55">
        <f>IFERROR(MAX(Table1[[#This Row],[2019-Apr]:[2025-July]]),0)</f>
        <v>9.99</v>
      </c>
      <c r="J669" s="4" cm="1">
        <f t="array" ref="J66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2.44</v>
      </c>
      <c r="K669" s="4">
        <v>4.5</v>
      </c>
      <c r="L669" s="4">
        <f>IF(Table1[[#This Row],[Standard as per ISO]]&gt;=Table1[[#This Row],[Avg of best 6]],Table1[[#This Row],[Standard as per ISO]],Table1[[#This Row],[Avg of best 6]])</f>
        <v>4.5</v>
      </c>
      <c r="M669" s="4" cm="1">
        <f t="array" ref="M669">IFERROR(LOOKUP(2,1/(Table1[[#This Row],[2019-May]:[2025-July]]&lt;&gt;0),Table1[[#This Row],[2019-May]:[2025-July]]),0)</f>
        <v>5.45</v>
      </c>
      <c r="N669" s="4">
        <f>COUNTIF(Table1[[#This Row],[2019-Apr]:[2025-July]],"&gt;="&amp;Table1[[#This Row],[Target]])</f>
        <v>17</v>
      </c>
      <c r="O669" s="4">
        <f>IF(Table1[[#This Row],[Outliers 2Y]]=0,1,0)</f>
        <v>0</v>
      </c>
      <c r="P669" s="4">
        <f>IF(Table1[[#This Row],[Last value]]&gt;1.5*Table1[[#This Row],[Target]],1,0)</f>
        <v>0</v>
      </c>
      <c r="Q669" s="4">
        <f>IF(AND(1.5*Table1[[#This Row],[Target]]&gt;=Table1[[#This Row],[Last value]],Table1[[#This Row],[Last value]]&gt;Table1[[#This Row],[Target]]),1,0)</f>
        <v>1</v>
      </c>
      <c r="R669" s="4">
        <f>IF(Table1[[#This Row],[Target]]&gt;=Table1[[#This Row],[Last value]],1,0)</f>
        <v>0</v>
      </c>
      <c r="S669" s="4" t="str">
        <f t="shared" si="17"/>
        <v>Yellow</v>
      </c>
      <c r="T669">
        <v>3.99</v>
      </c>
      <c r="U669">
        <v>2.65</v>
      </c>
      <c r="V669">
        <v>0</v>
      </c>
      <c r="W669">
        <v>2.62</v>
      </c>
      <c r="X669">
        <v>3.19</v>
      </c>
      <c r="Y669">
        <v>2.8</v>
      </c>
      <c r="Z669">
        <v>5.68</v>
      </c>
      <c r="AA669">
        <v>4.5999999999999996</v>
      </c>
      <c r="AB669">
        <v>6.1</v>
      </c>
      <c r="AC669">
        <v>4.2</v>
      </c>
      <c r="AD669">
        <v>4.7</v>
      </c>
      <c r="AE669">
        <v>0</v>
      </c>
      <c r="AF669">
        <v>0</v>
      </c>
      <c r="AG669">
        <v>5.5</v>
      </c>
      <c r="AH669">
        <v>4.9800000000000004</v>
      </c>
      <c r="AI669">
        <v>0</v>
      </c>
      <c r="AJ669">
        <v>0</v>
      </c>
      <c r="AK669">
        <v>5.28</v>
      </c>
      <c r="AL669">
        <v>0</v>
      </c>
      <c r="AM669">
        <v>0</v>
      </c>
      <c r="AN669">
        <v>0</v>
      </c>
      <c r="AO669">
        <v>0</v>
      </c>
      <c r="AP669">
        <v>3.6</v>
      </c>
      <c r="AQ669">
        <v>2.85</v>
      </c>
      <c r="AR669" s="8">
        <v>0</v>
      </c>
      <c r="AS669" s="8">
        <v>5.61</v>
      </c>
      <c r="AT669" s="8">
        <v>3.9</v>
      </c>
      <c r="AU669" s="3">
        <v>4.9800000000000004</v>
      </c>
      <c r="AV669" s="3">
        <v>4.0599999999999996</v>
      </c>
      <c r="AW669" s="3">
        <v>3.44</v>
      </c>
      <c r="AX669" s="3">
        <v>3.49</v>
      </c>
      <c r="AY669" s="3">
        <v>0</v>
      </c>
      <c r="AZ669" s="3">
        <v>0</v>
      </c>
      <c r="BA669" s="3">
        <v>2.6</v>
      </c>
      <c r="BB669" s="3">
        <v>2.5</v>
      </c>
      <c r="BC669">
        <v>5.9</v>
      </c>
      <c r="BD669">
        <v>0</v>
      </c>
      <c r="BE669" s="11">
        <v>0</v>
      </c>
      <c r="BF669" s="4">
        <v>2.99</v>
      </c>
      <c r="BG669" s="4">
        <v>0</v>
      </c>
      <c r="BH669" s="4">
        <v>0</v>
      </c>
      <c r="BI669" s="4">
        <v>0</v>
      </c>
      <c r="BJ669" s="13">
        <v>0</v>
      </c>
      <c r="BK669" s="13">
        <v>2.9609999999999999</v>
      </c>
      <c r="BL669" s="4">
        <v>3.911</v>
      </c>
      <c r="BM669" s="16">
        <v>0</v>
      </c>
      <c r="BN669" s="4">
        <v>0</v>
      </c>
      <c r="BO669" s="4">
        <v>0</v>
      </c>
      <c r="BP669" s="4">
        <v>3.8860000000000001</v>
      </c>
      <c r="BQ669" s="4">
        <v>0</v>
      </c>
      <c r="BR669" s="4">
        <v>0</v>
      </c>
      <c r="BS669" s="4">
        <v>6.7720000000000002</v>
      </c>
      <c r="BT669" s="4">
        <v>0</v>
      </c>
      <c r="BU669" s="4">
        <v>0</v>
      </c>
      <c r="BV669" s="4">
        <v>0</v>
      </c>
      <c r="BW669" s="4">
        <v>9.99</v>
      </c>
      <c r="BX669" s="4">
        <v>0</v>
      </c>
      <c r="BY669" s="4">
        <v>0</v>
      </c>
      <c r="BZ669">
        <v>0</v>
      </c>
      <c r="CA669">
        <v>0</v>
      </c>
      <c r="CB669">
        <v>0</v>
      </c>
      <c r="CC669">
        <v>1.47</v>
      </c>
      <c r="CD669">
        <v>0</v>
      </c>
      <c r="CE669" s="19">
        <v>0</v>
      </c>
      <c r="CF669" s="19">
        <v>3.3</v>
      </c>
      <c r="CG669" s="4">
        <v>0</v>
      </c>
      <c r="CH669" s="4">
        <v>0</v>
      </c>
      <c r="CI669" s="4">
        <v>0</v>
      </c>
      <c r="CJ669" s="34">
        <v>7.5</v>
      </c>
      <c r="CK669" s="34">
        <v>6.6</v>
      </c>
      <c r="CL669" s="43">
        <v>0</v>
      </c>
      <c r="CM669" s="4">
        <v>0</v>
      </c>
      <c r="CN669" s="53">
        <v>0</v>
      </c>
      <c r="CO669" s="54">
        <v>6.69</v>
      </c>
      <c r="CP669" s="54">
        <v>5.0999999999999996</v>
      </c>
      <c r="CQ669" s="4">
        <v>5.45</v>
      </c>
    </row>
    <row r="670" spans="1:95" x14ac:dyDescent="0.35">
      <c r="A670" s="55">
        <v>669</v>
      </c>
      <c r="B670" t="s">
        <v>119</v>
      </c>
      <c r="C670" s="27" t="s">
        <v>942</v>
      </c>
      <c r="D670" s="3" t="s">
        <v>94</v>
      </c>
      <c r="E670" s="33" t="s">
        <v>89</v>
      </c>
      <c r="F670" s="4">
        <f>IFERROR(AVERAGEIF(Table1[[#This Row],[2019-Apr]:[2025-July]],"&lt;&gt;0"),0)</f>
        <v>4.1284500000000008</v>
      </c>
      <c r="G670" s="4">
        <f ca="1">IFERROR(AVERAGEIF(OFFSET(Table1[[#This Row],[Status]],0,COUNT(Table1[[#This Row],[2019-May]:[2025-July]]),1,-12),"&lt;&gt;0"),0)</f>
        <v>3.6724999999999994</v>
      </c>
      <c r="H670" s="55">
        <f>IFERROR(SMALL(Table1[[#This Row],[2019-Apr]:[2025-July]],COUNTIF(Table1[[#This Row],[2019-Apr]:[2025-July]],0)+1),0)</f>
        <v>2.7</v>
      </c>
      <c r="I670" s="55">
        <f>IFERROR(MAX(Table1[[#This Row],[2019-Apr]:[2025-July]]),0)</f>
        <v>6.9</v>
      </c>
      <c r="J670" s="4" cm="1">
        <f t="array" ref="J67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2.8301666666666669</v>
      </c>
      <c r="K670" s="4">
        <v>4.5</v>
      </c>
      <c r="L670" s="4">
        <f>IF(Table1[[#This Row],[Standard as per ISO]]&gt;=Table1[[#This Row],[Avg of best 6]],Table1[[#This Row],[Standard as per ISO]],Table1[[#This Row],[Avg of best 6]])</f>
        <v>4.5</v>
      </c>
      <c r="M670" s="4" cm="1">
        <f t="array" ref="M670">IFERROR(LOOKUP(2,1/(Table1[[#This Row],[2019-May]:[2025-July]]&lt;&gt;0),Table1[[#This Row],[2019-May]:[2025-July]]),0)</f>
        <v>3.79</v>
      </c>
      <c r="N670" s="4">
        <f>COUNTIF(Table1[[#This Row],[2019-Apr]:[2025-July]],"&gt;="&amp;Table1[[#This Row],[Target]])</f>
        <v>5</v>
      </c>
      <c r="O670" s="4">
        <f>IF(Table1[[#This Row],[Outliers 2Y]]=0,1,0)</f>
        <v>0</v>
      </c>
      <c r="P670" s="4">
        <f>IF(Table1[[#This Row],[Last value]]&gt;1.5*Table1[[#This Row],[Target]],1,0)</f>
        <v>0</v>
      </c>
      <c r="Q670" s="4">
        <f>IF(AND(1.5*Table1[[#This Row],[Target]]&gt;=Table1[[#This Row],[Last value]],Table1[[#This Row],[Last value]]&gt;Table1[[#This Row],[Target]]),1,0)</f>
        <v>0</v>
      </c>
      <c r="R670" s="4">
        <f>IF(Table1[[#This Row],[Target]]&gt;=Table1[[#This Row],[Last value]],1,0)</f>
        <v>1</v>
      </c>
      <c r="S670" s="4" t="str">
        <f t="shared" si="17"/>
        <v>Green</v>
      </c>
      <c r="T670">
        <v>0</v>
      </c>
      <c r="U670">
        <v>0</v>
      </c>
      <c r="V670">
        <v>3.84</v>
      </c>
      <c r="W670">
        <v>3.44</v>
      </c>
      <c r="X670">
        <v>0</v>
      </c>
      <c r="Y670">
        <v>0</v>
      </c>
      <c r="Z670">
        <v>0</v>
      </c>
      <c r="AA670">
        <v>4.4000000000000004</v>
      </c>
      <c r="AB670">
        <v>4.2</v>
      </c>
      <c r="AC670">
        <v>0</v>
      </c>
      <c r="AD670">
        <v>0</v>
      </c>
      <c r="AE670">
        <v>5.3</v>
      </c>
      <c r="AF670">
        <v>4.2</v>
      </c>
      <c r="AG670">
        <v>0</v>
      </c>
      <c r="AH670">
        <v>0</v>
      </c>
      <c r="AI670">
        <v>0</v>
      </c>
      <c r="AJ670">
        <v>4.1500000000000004</v>
      </c>
      <c r="AK670">
        <v>0</v>
      </c>
      <c r="AL670">
        <v>6.29</v>
      </c>
      <c r="AM670">
        <v>5.54</v>
      </c>
      <c r="AN670">
        <v>6.9</v>
      </c>
      <c r="AO670">
        <v>0</v>
      </c>
      <c r="AP670">
        <v>0</v>
      </c>
      <c r="AQ670">
        <v>0</v>
      </c>
      <c r="AR670" s="8">
        <v>3.91</v>
      </c>
      <c r="AS670" s="8">
        <v>0</v>
      </c>
      <c r="AT670" s="8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2.95</v>
      </c>
      <c r="AZ670" s="3">
        <v>2.9</v>
      </c>
      <c r="BA670" s="3">
        <v>0</v>
      </c>
      <c r="BB670" s="3">
        <v>0</v>
      </c>
      <c r="BC670">
        <v>2.8</v>
      </c>
      <c r="BD670">
        <v>0</v>
      </c>
      <c r="BE670" s="11">
        <v>2.7309999999999999</v>
      </c>
      <c r="BF670" s="4">
        <v>0</v>
      </c>
      <c r="BG670" s="4">
        <v>4.3280000000000003</v>
      </c>
      <c r="BH670" s="4">
        <v>0</v>
      </c>
      <c r="BI670" s="4">
        <v>0</v>
      </c>
      <c r="BJ670" s="14">
        <v>0</v>
      </c>
      <c r="BK670" s="14">
        <v>0</v>
      </c>
      <c r="BL670" s="4">
        <v>0</v>
      </c>
      <c r="BM670" s="17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 s="19">
        <v>2.7</v>
      </c>
      <c r="CF670" s="19">
        <v>0</v>
      </c>
      <c r="CG670" s="4">
        <v>0</v>
      </c>
      <c r="CH670" s="4">
        <v>0</v>
      </c>
      <c r="CI670" s="4">
        <v>0</v>
      </c>
      <c r="CJ670" s="34">
        <v>0</v>
      </c>
      <c r="CK670" s="34">
        <v>0</v>
      </c>
      <c r="CL670" s="43">
        <v>2.9</v>
      </c>
      <c r="CM670" s="4">
        <v>5.3</v>
      </c>
      <c r="CN670" s="53">
        <v>3.79</v>
      </c>
      <c r="CO670" s="54">
        <v>0</v>
      </c>
      <c r="CP670" s="54">
        <v>0</v>
      </c>
      <c r="CQ670" s="4">
        <v>0</v>
      </c>
    </row>
    <row r="671" spans="1:95" x14ac:dyDescent="0.35">
      <c r="A671" s="55">
        <v>670</v>
      </c>
      <c r="B671" t="s">
        <v>119</v>
      </c>
      <c r="C671" s="27" t="s">
        <v>943</v>
      </c>
      <c r="D671" s="3" t="s">
        <v>88</v>
      </c>
      <c r="E671" s="33" t="s">
        <v>89</v>
      </c>
      <c r="F671" s="4">
        <f>IFERROR(AVERAGEIF(Table1[[#This Row],[2019-Apr]:[2025-July]],"&lt;&gt;0"),0)</f>
        <v>13.105348837209304</v>
      </c>
      <c r="G671" s="4">
        <f ca="1">IFERROR(AVERAGEIF(OFFSET(Table1[[#This Row],[Status]],0,COUNT(Table1[[#This Row],[2019-May]:[2025-July]]),1,-12),"&lt;&gt;0"),0)</f>
        <v>2.8633333333333333</v>
      </c>
      <c r="H671" s="55">
        <f>IFERROR(SMALL(Table1[[#This Row],[2019-Apr]:[2025-July]],COUNTIF(Table1[[#This Row],[2019-Apr]:[2025-July]],0)+1),0)</f>
        <v>2.2000000000000002</v>
      </c>
      <c r="I671" s="55">
        <f>IFERROR(MAX(Table1[[#This Row],[2019-Apr]:[2025-July]]),0)</f>
        <v>23.7</v>
      </c>
      <c r="J671" s="4" cm="1">
        <f t="array" ref="J67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3.2309999999999999</v>
      </c>
      <c r="K671" s="4">
        <v>4.5</v>
      </c>
      <c r="L671" s="4">
        <f>IF(Table1[[#This Row],[Standard as per ISO]]&gt;=Table1[[#This Row],[Avg of best 6]],Table1[[#This Row],[Standard as per ISO]],Table1[[#This Row],[Avg of best 6]])</f>
        <v>4.5</v>
      </c>
      <c r="M671" s="4" cm="1">
        <f t="array" ref="M671">IFERROR(LOOKUP(2,1/(Table1[[#This Row],[2019-May]:[2025-July]]&lt;&gt;0),Table1[[#This Row],[2019-May]:[2025-July]]),0)</f>
        <v>3.5</v>
      </c>
      <c r="N671" s="4">
        <f>COUNTIF(Table1[[#This Row],[2019-Apr]:[2025-July]],"&gt;="&amp;Table1[[#This Row],[Target]])</f>
        <v>36</v>
      </c>
      <c r="O671" s="4">
        <f>IF(Table1[[#This Row],[Outliers 2Y]]=0,1,0)</f>
        <v>0</v>
      </c>
      <c r="P671" s="4">
        <f>IF(Table1[[#This Row],[Last value]]&gt;1.5*Table1[[#This Row],[Target]],1,0)</f>
        <v>0</v>
      </c>
      <c r="Q671" s="4">
        <f>IF(AND(1.5*Table1[[#This Row],[Target]]&gt;=Table1[[#This Row],[Last value]],Table1[[#This Row],[Last value]]&gt;Table1[[#This Row],[Target]]),1,0)</f>
        <v>0</v>
      </c>
      <c r="R671" s="4">
        <f>IF(Table1[[#This Row],[Target]]&gt;=Table1[[#This Row],[Last value]],1,0)</f>
        <v>1</v>
      </c>
      <c r="S671" s="4" t="str">
        <f t="shared" si="17"/>
        <v>Green</v>
      </c>
      <c r="T671">
        <v>11.3</v>
      </c>
      <c r="U671">
        <v>23</v>
      </c>
      <c r="V671">
        <v>15</v>
      </c>
      <c r="W671">
        <v>13.7</v>
      </c>
      <c r="X671">
        <v>0</v>
      </c>
      <c r="Y671">
        <v>13.4</v>
      </c>
      <c r="Z671">
        <v>0</v>
      </c>
      <c r="AA671">
        <v>0</v>
      </c>
      <c r="AB671">
        <v>16.899999999999999</v>
      </c>
      <c r="AC671">
        <v>17.100000000000001</v>
      </c>
      <c r="AD671">
        <v>22</v>
      </c>
      <c r="AE671">
        <v>23.7</v>
      </c>
      <c r="AF671">
        <v>14.5</v>
      </c>
      <c r="AG671">
        <v>11.1</v>
      </c>
      <c r="AH671">
        <v>11.1</v>
      </c>
      <c r="AI671">
        <v>19.399999999999999</v>
      </c>
      <c r="AJ671">
        <v>0</v>
      </c>
      <c r="AK671">
        <v>18.100000000000001</v>
      </c>
      <c r="AL671">
        <v>9.94</v>
      </c>
      <c r="AM671">
        <v>0</v>
      </c>
      <c r="AN671">
        <v>12.5</v>
      </c>
      <c r="AO671">
        <v>9.1</v>
      </c>
      <c r="AP671">
        <v>19.5</v>
      </c>
      <c r="AQ671">
        <v>15.1</v>
      </c>
      <c r="AR671" s="8">
        <v>15.1</v>
      </c>
      <c r="AS671" s="8">
        <v>18.5</v>
      </c>
      <c r="AT671" s="8">
        <v>18.100000000000001</v>
      </c>
      <c r="AU671" s="3">
        <v>9.8000000000000007</v>
      </c>
      <c r="AV671" s="3">
        <v>10.3</v>
      </c>
      <c r="AW671" s="3">
        <v>23.2</v>
      </c>
      <c r="AX671" s="3">
        <v>15.2</v>
      </c>
      <c r="AY671" s="3">
        <v>9.6</v>
      </c>
      <c r="AZ671" s="3">
        <v>15.2</v>
      </c>
      <c r="BA671" s="3">
        <v>12.3</v>
      </c>
      <c r="BB671" s="3">
        <v>12.2</v>
      </c>
      <c r="BC671">
        <v>16.600000000000001</v>
      </c>
      <c r="BD671">
        <v>17.600000000000001</v>
      </c>
      <c r="BE671" s="11">
        <v>20.56</v>
      </c>
      <c r="BF671" s="4">
        <v>18.39</v>
      </c>
      <c r="BG671" s="4">
        <v>0</v>
      </c>
      <c r="BH671" s="4">
        <v>0</v>
      </c>
      <c r="BI671" s="4">
        <v>0</v>
      </c>
      <c r="BJ671" s="13">
        <v>4.0709999999999997</v>
      </c>
      <c r="BK671" s="13">
        <v>5.9710000000000001</v>
      </c>
      <c r="BL671" s="4">
        <v>0</v>
      </c>
      <c r="BM671" s="16">
        <v>0</v>
      </c>
      <c r="BN671" s="4">
        <v>0</v>
      </c>
      <c r="BO671" s="4">
        <v>0</v>
      </c>
      <c r="BP671" s="4">
        <v>0</v>
      </c>
      <c r="BQ671" s="4">
        <v>5.0119999999999996</v>
      </c>
      <c r="BR671" s="4">
        <v>3.746</v>
      </c>
      <c r="BS671" s="4">
        <v>3.49</v>
      </c>
      <c r="BT671" s="4">
        <v>3.56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 s="19">
        <v>2.2000000000000002</v>
      </c>
      <c r="CF671" s="19">
        <v>0</v>
      </c>
      <c r="CG671" s="4">
        <v>0</v>
      </c>
      <c r="CH671" s="4">
        <v>0</v>
      </c>
      <c r="CI671" s="4">
        <v>0</v>
      </c>
      <c r="CJ671" s="34">
        <v>0</v>
      </c>
      <c r="CK671" s="34">
        <v>0</v>
      </c>
      <c r="CL671" s="43">
        <v>0</v>
      </c>
      <c r="CM671" s="4">
        <v>0</v>
      </c>
      <c r="CN671" s="53">
        <v>0</v>
      </c>
      <c r="CO671" s="54">
        <v>2.89</v>
      </c>
      <c r="CP671" s="54">
        <v>3.5</v>
      </c>
      <c r="CQ671" s="4">
        <v>0</v>
      </c>
    </row>
    <row r="672" spans="1:95" x14ac:dyDescent="0.35">
      <c r="A672" s="55">
        <v>671</v>
      </c>
      <c r="B672" t="s">
        <v>119</v>
      </c>
      <c r="C672" s="27" t="s">
        <v>944</v>
      </c>
      <c r="D672" s="3" t="s">
        <v>88</v>
      </c>
      <c r="E672" s="33" t="s">
        <v>90</v>
      </c>
      <c r="F672" s="4">
        <f>IFERROR(AVERAGEIF(Table1[[#This Row],[2019-Apr]:[2025-July]],"&lt;&gt;0"),0)</f>
        <v>4.2437181818181822</v>
      </c>
      <c r="G672" s="4">
        <f ca="1">IFERROR(AVERAGEIF(OFFSET(Table1[[#This Row],[Status]],0,COUNT(Table1[[#This Row],[2019-May]:[2025-July]]),1,-12),"&lt;&gt;0"),0)</f>
        <v>3.0549999999999997</v>
      </c>
      <c r="H672" s="55">
        <f>IFERROR(SMALL(Table1[[#This Row],[2019-Apr]:[2025-July]],COUNTIF(Table1[[#This Row],[2019-Apr]:[2025-July]],0)+1),0)</f>
        <v>1.94</v>
      </c>
      <c r="I672" s="55">
        <f>IFERROR(MAX(Table1[[#This Row],[2019-Apr]:[2025-July]]),0)</f>
        <v>8.1419999999999995</v>
      </c>
      <c r="J672" s="4" cm="1">
        <f t="array" ref="J67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2.2425000000000002</v>
      </c>
      <c r="K672" s="4">
        <v>4.5</v>
      </c>
      <c r="L672" s="4">
        <f>IF(Table1[[#This Row],[Standard as per ISO]]&gt;=Table1[[#This Row],[Avg of best 6]],Table1[[#This Row],[Standard as per ISO]],Table1[[#This Row],[Avg of best 6]])</f>
        <v>4.5</v>
      </c>
      <c r="M672" s="4" cm="1">
        <f t="array" ref="M672">IFERROR(LOOKUP(2,1/(Table1[[#This Row],[2019-May]:[2025-July]]&lt;&gt;0),Table1[[#This Row],[2019-May]:[2025-July]]),0)</f>
        <v>2.5</v>
      </c>
      <c r="N672" s="4">
        <f>COUNTIF(Table1[[#This Row],[2019-Apr]:[2025-July]],"&gt;="&amp;Table1[[#This Row],[Target]])</f>
        <v>23</v>
      </c>
      <c r="O672" s="4">
        <f>IF(Table1[[#This Row],[Outliers 2Y]]=0,1,0)</f>
        <v>0</v>
      </c>
      <c r="P672" s="4">
        <f>IF(Table1[[#This Row],[Last value]]&gt;1.5*Table1[[#This Row],[Target]],1,0)</f>
        <v>0</v>
      </c>
      <c r="Q672" s="4">
        <f>IF(AND(1.5*Table1[[#This Row],[Target]]&gt;=Table1[[#This Row],[Last value]],Table1[[#This Row],[Last value]]&gt;Table1[[#This Row],[Target]]),1,0)</f>
        <v>0</v>
      </c>
      <c r="R672" s="4">
        <f>IF(Table1[[#This Row],[Target]]&gt;=Table1[[#This Row],[Last value]],1,0)</f>
        <v>1</v>
      </c>
      <c r="S672" s="4" t="str">
        <f t="shared" si="17"/>
        <v>Green</v>
      </c>
      <c r="T672">
        <v>4.6399999999999997</v>
      </c>
      <c r="U672">
        <v>0</v>
      </c>
      <c r="V672">
        <v>4.5</v>
      </c>
      <c r="W672">
        <v>0</v>
      </c>
      <c r="X672">
        <v>0</v>
      </c>
      <c r="Y672">
        <v>5.4</v>
      </c>
      <c r="Z672">
        <v>5.0199999999999996</v>
      </c>
      <c r="AA672">
        <v>0</v>
      </c>
      <c r="AB672">
        <v>5.9</v>
      </c>
      <c r="AC672">
        <v>3.45</v>
      </c>
      <c r="AD672">
        <v>5.9</v>
      </c>
      <c r="AE672">
        <v>0</v>
      </c>
      <c r="AF672">
        <v>5.2</v>
      </c>
      <c r="AG672">
        <v>4.4624999999999995</v>
      </c>
      <c r="AH672">
        <v>5.0999999999999996</v>
      </c>
      <c r="AI672">
        <v>0</v>
      </c>
      <c r="AJ672">
        <v>4.0999999999999996</v>
      </c>
      <c r="AK672">
        <v>5.7</v>
      </c>
      <c r="AL672">
        <v>4.6100000000000003</v>
      </c>
      <c r="AM672">
        <v>0</v>
      </c>
      <c r="AN672">
        <v>4.26</v>
      </c>
      <c r="AO672">
        <v>4.42</v>
      </c>
      <c r="AP672">
        <v>3.95</v>
      </c>
      <c r="AQ672">
        <v>4.67</v>
      </c>
      <c r="AR672" s="8">
        <v>4.7</v>
      </c>
      <c r="AS672" s="8">
        <v>3.18</v>
      </c>
      <c r="AT672" s="8">
        <v>3.96</v>
      </c>
      <c r="AU672" s="3">
        <v>3.96</v>
      </c>
      <c r="AV672" s="3">
        <v>5</v>
      </c>
      <c r="AW672" s="3">
        <v>5.35</v>
      </c>
      <c r="AX672" s="3">
        <v>4.3499999999999996</v>
      </c>
      <c r="AY672" s="3">
        <v>5.54</v>
      </c>
      <c r="AZ672" s="3">
        <v>4.9000000000000004</v>
      </c>
      <c r="BA672" s="3">
        <v>0</v>
      </c>
      <c r="BB672" s="3">
        <v>4.3</v>
      </c>
      <c r="BC672">
        <v>5.2</v>
      </c>
      <c r="BD672">
        <v>5.7</v>
      </c>
      <c r="BE672" s="11">
        <v>5.952</v>
      </c>
      <c r="BF672" s="4">
        <v>7.0469999999999997</v>
      </c>
      <c r="BG672" s="4">
        <v>7.625</v>
      </c>
      <c r="BH672" s="4">
        <v>0</v>
      </c>
      <c r="BI672" s="4">
        <v>0</v>
      </c>
      <c r="BJ672" s="14">
        <v>8.1419999999999995</v>
      </c>
      <c r="BK672" s="14">
        <v>4.774</v>
      </c>
      <c r="BL672" s="4">
        <v>0</v>
      </c>
      <c r="BM672" s="17">
        <v>0</v>
      </c>
      <c r="BN672" s="4">
        <v>0</v>
      </c>
      <c r="BO672" s="4">
        <v>0</v>
      </c>
      <c r="BP672" s="4">
        <v>2.125</v>
      </c>
      <c r="BQ672" s="4">
        <v>3.8929999999999998</v>
      </c>
      <c r="BR672" s="4">
        <v>0</v>
      </c>
      <c r="BS672" s="4">
        <v>0</v>
      </c>
      <c r="BT672" s="4">
        <v>2.964</v>
      </c>
      <c r="BU672" s="4">
        <v>0</v>
      </c>
      <c r="BV672" s="4">
        <v>0</v>
      </c>
      <c r="BW672" s="4">
        <v>0</v>
      </c>
      <c r="BX672" s="4">
        <v>0</v>
      </c>
      <c r="BY672" s="4">
        <v>3.81</v>
      </c>
      <c r="BZ672">
        <v>1.94</v>
      </c>
      <c r="CA672">
        <v>2.84</v>
      </c>
      <c r="CB672">
        <v>2.19</v>
      </c>
      <c r="CC672">
        <v>0</v>
      </c>
      <c r="CD672">
        <v>3.52</v>
      </c>
      <c r="CE672" s="19">
        <v>3</v>
      </c>
      <c r="CF672" s="19">
        <v>3.9</v>
      </c>
      <c r="CG672" s="4">
        <v>3.16</v>
      </c>
      <c r="CH672" s="4">
        <v>3.26</v>
      </c>
      <c r="CI672" s="4">
        <v>2.88</v>
      </c>
      <c r="CJ672" s="34">
        <v>2.2999999999999998</v>
      </c>
      <c r="CK672" s="34">
        <v>2.9</v>
      </c>
      <c r="CL672" s="43">
        <v>3.3</v>
      </c>
      <c r="CM672" s="4">
        <v>2.4</v>
      </c>
      <c r="CN672" s="53">
        <v>3.5</v>
      </c>
      <c r="CO672" s="54">
        <v>2.66</v>
      </c>
      <c r="CP672" s="54">
        <v>3.4</v>
      </c>
      <c r="CQ672" s="4">
        <v>2.5</v>
      </c>
    </row>
    <row r="673" spans="1:95" x14ac:dyDescent="0.35">
      <c r="A673" s="55">
        <v>672</v>
      </c>
      <c r="B673" t="s">
        <v>119</v>
      </c>
      <c r="C673" s="27" t="s">
        <v>945</v>
      </c>
      <c r="D673" s="3" t="s">
        <v>88</v>
      </c>
      <c r="E673" s="33" t="s">
        <v>90</v>
      </c>
      <c r="F673" s="4">
        <f>IFERROR(AVERAGEIF(Table1[[#This Row],[2019-Apr]:[2025-July]],"&lt;&gt;0"),0)</f>
        <v>4.4820999999999991</v>
      </c>
      <c r="G673" s="4">
        <f ca="1">IFERROR(AVERAGEIF(OFFSET(Table1[[#This Row],[Status]],0,COUNT(Table1[[#This Row],[2019-May]:[2025-July]]),1,-12),"&lt;&gt;0"),0)</f>
        <v>0</v>
      </c>
      <c r="H673" s="55">
        <f>IFERROR(SMALL(Table1[[#This Row],[2019-Apr]:[2025-July]],COUNTIF(Table1[[#This Row],[2019-Apr]:[2025-July]],0)+1),0)</f>
        <v>2.48</v>
      </c>
      <c r="I673" s="55">
        <f>IFERROR(MAX(Table1[[#This Row],[2019-Apr]:[2025-July]]),0)</f>
        <v>7.72</v>
      </c>
      <c r="J673" s="4" cm="1">
        <f t="array" ref="J67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3.7168333333333332</v>
      </c>
      <c r="K673" s="4">
        <v>4.5</v>
      </c>
      <c r="L673" s="4">
        <f>IF(Table1[[#This Row],[Standard as per ISO]]&gt;=Table1[[#This Row],[Avg of best 6]],Table1[[#This Row],[Standard as per ISO]],Table1[[#This Row],[Avg of best 6]])</f>
        <v>4.5</v>
      </c>
      <c r="M673" s="4" cm="1">
        <f t="array" ref="M673">IFERROR(LOOKUP(2,1/(Table1[[#This Row],[2019-May]:[2025-July]]&lt;&gt;0),Table1[[#This Row],[2019-May]:[2025-July]]),0)</f>
        <v>2.48</v>
      </c>
      <c r="N673" s="4">
        <f>COUNTIF(Table1[[#This Row],[2019-Apr]:[2025-July]],"&gt;="&amp;Table1[[#This Row],[Target]])</f>
        <v>3</v>
      </c>
      <c r="O673" s="4">
        <f>IF(Table1[[#This Row],[Outliers 2Y]]=0,1,0)</f>
        <v>0</v>
      </c>
      <c r="P673" s="4">
        <f>IF(Table1[[#This Row],[Last value]]&gt;1.5*Table1[[#This Row],[Target]],1,0)</f>
        <v>0</v>
      </c>
      <c r="Q673" s="4">
        <f>IF(AND(1.5*Table1[[#This Row],[Target]]&gt;=Table1[[#This Row],[Last value]],Table1[[#This Row],[Last value]]&gt;Table1[[#This Row],[Target]]),1,0)</f>
        <v>0</v>
      </c>
      <c r="R673" s="4">
        <f>IF(Table1[[#This Row],[Target]]&gt;=Table1[[#This Row],[Last value]],1,0)</f>
        <v>1</v>
      </c>
      <c r="S673" s="4" t="str">
        <f t="shared" si="17"/>
        <v>Green</v>
      </c>
      <c r="T673">
        <v>0</v>
      </c>
      <c r="U673">
        <v>0</v>
      </c>
      <c r="V673">
        <v>0</v>
      </c>
      <c r="W673">
        <v>7.72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4.5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3.78</v>
      </c>
      <c r="AM673">
        <v>0</v>
      </c>
      <c r="AN673">
        <v>0</v>
      </c>
      <c r="AO673">
        <v>0</v>
      </c>
      <c r="AP673">
        <v>0</v>
      </c>
      <c r="AQ673">
        <v>0</v>
      </c>
      <c r="AR673" s="8">
        <v>0</v>
      </c>
      <c r="AS673" s="8">
        <v>0</v>
      </c>
      <c r="AT673" s="8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5.9</v>
      </c>
      <c r="BA673" s="3">
        <v>4.4000000000000004</v>
      </c>
      <c r="BB673" s="3">
        <v>4.3</v>
      </c>
      <c r="BC673" s="3">
        <v>0</v>
      </c>
      <c r="BD673">
        <v>0</v>
      </c>
      <c r="BE673" s="11">
        <v>0</v>
      </c>
      <c r="BF673" s="4">
        <v>0</v>
      </c>
      <c r="BG673" s="4">
        <v>3.6259999999999999</v>
      </c>
      <c r="BH673" s="4">
        <v>3.9060000000000001</v>
      </c>
      <c r="BI673" s="4">
        <v>0</v>
      </c>
      <c r="BJ673" s="13">
        <v>0</v>
      </c>
      <c r="BK673" s="13">
        <v>0</v>
      </c>
      <c r="BL673" s="4">
        <v>0</v>
      </c>
      <c r="BM673" s="16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4.2089999999999996</v>
      </c>
      <c r="BW673" s="4">
        <v>0</v>
      </c>
      <c r="BX673" s="4">
        <v>0</v>
      </c>
      <c r="BY673" s="4">
        <v>0</v>
      </c>
      <c r="BZ673">
        <v>0</v>
      </c>
      <c r="CA673">
        <v>0</v>
      </c>
      <c r="CB673">
        <v>0</v>
      </c>
      <c r="CC673">
        <v>2.48</v>
      </c>
      <c r="CD673">
        <v>0</v>
      </c>
      <c r="CE673" s="19">
        <v>0</v>
      </c>
      <c r="CF673" s="19">
        <v>0</v>
      </c>
      <c r="CG673" s="4">
        <v>0</v>
      </c>
      <c r="CH673" s="4">
        <v>0</v>
      </c>
      <c r="CI673" s="4">
        <v>0</v>
      </c>
      <c r="CJ673" s="34">
        <v>0</v>
      </c>
      <c r="CK673" s="34">
        <v>0</v>
      </c>
      <c r="CL673" s="43">
        <v>0</v>
      </c>
      <c r="CM673" s="4">
        <v>0</v>
      </c>
      <c r="CN673" s="53">
        <v>0</v>
      </c>
      <c r="CO673" s="54">
        <v>0</v>
      </c>
      <c r="CP673" s="54">
        <v>0</v>
      </c>
      <c r="CQ673" s="4">
        <v>0</v>
      </c>
    </row>
    <row r="674" spans="1:95" x14ac:dyDescent="0.35">
      <c r="A674" s="55">
        <v>673</v>
      </c>
      <c r="B674" t="s">
        <v>119</v>
      </c>
      <c r="C674" s="27" t="s">
        <v>946</v>
      </c>
      <c r="D674" s="3" t="s">
        <v>93</v>
      </c>
      <c r="E674" s="33" t="s">
        <v>89</v>
      </c>
      <c r="F674" s="4">
        <f>IFERROR(AVERAGEIF(Table1[[#This Row],[2019-Apr]:[2025-July]],"&lt;&gt;0"),0)</f>
        <v>2.0461538461538464</v>
      </c>
      <c r="G674" s="4">
        <f ca="1">IFERROR(AVERAGEIF(OFFSET(Table1[[#This Row],[Status]],0,COUNT(Table1[[#This Row],[2019-May]:[2025-July]]),1,-12),"&lt;&gt;0"),0)</f>
        <v>1.3990909090909092</v>
      </c>
      <c r="H674" s="55">
        <f>IFERROR(SMALL(Table1[[#This Row],[2019-Apr]:[2025-July]],COUNTIF(Table1[[#This Row],[2019-Apr]:[2025-July]],0)+1),0)</f>
        <v>1.2</v>
      </c>
      <c r="I674" s="55">
        <f>IFERROR(MAX(Table1[[#This Row],[2019-Apr]:[2025-July]]),0)</f>
        <v>4.3499999999999996</v>
      </c>
      <c r="J674" s="4" cm="1">
        <f t="array" ref="J67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1.2499999999999998</v>
      </c>
      <c r="K674" s="4">
        <v>4.5</v>
      </c>
      <c r="L674" s="4">
        <f>IF(Table1[[#This Row],[Standard as per ISO]]&gt;=Table1[[#This Row],[Avg of best 6]],Table1[[#This Row],[Standard as per ISO]],Table1[[#This Row],[Avg of best 6]])</f>
        <v>4.5</v>
      </c>
      <c r="M674" s="4" cm="1">
        <f t="array" ref="M674">IFERROR(LOOKUP(2,1/(Table1[[#This Row],[2019-May]:[2025-July]]&lt;&gt;0),Table1[[#This Row],[2019-May]:[2025-July]]),0)</f>
        <v>1.4</v>
      </c>
      <c r="N674" s="4">
        <f>COUNTIF(Table1[[#This Row],[2019-Apr]:[2025-July]],"&gt;="&amp;Table1[[#This Row],[Target]])</f>
        <v>0</v>
      </c>
      <c r="O674" s="4">
        <f>IF(Table1[[#This Row],[Outliers 2Y]]=0,1,0)</f>
        <v>1</v>
      </c>
      <c r="P674" s="4">
        <f>IF(Table1[[#This Row],[Last value]]&gt;1.5*Table1[[#This Row],[Target]],1,0)</f>
        <v>0</v>
      </c>
      <c r="Q674" s="4">
        <f>IF(AND(1.5*Table1[[#This Row],[Target]]&gt;=Table1[[#This Row],[Last value]],Table1[[#This Row],[Last value]]&gt;Table1[[#This Row],[Target]]),1,0)</f>
        <v>0</v>
      </c>
      <c r="R674" s="4">
        <f>IF(Table1[[#This Row],[Target]]&gt;=Table1[[#This Row],[Last value]],1,0)</f>
        <v>1</v>
      </c>
      <c r="S674" s="4" t="str">
        <f>IF(P674=1, "Red", IF(Q674=1, "Yellow", "Green"))</f>
        <v>Green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2.5</v>
      </c>
      <c r="BB674" s="3">
        <v>2.9</v>
      </c>
      <c r="BC674">
        <v>3.1</v>
      </c>
      <c r="BD674">
        <v>2.93</v>
      </c>
      <c r="BE674" s="11">
        <v>2.94</v>
      </c>
      <c r="BF674" s="4">
        <v>2.8</v>
      </c>
      <c r="BG674" s="4">
        <v>2.89</v>
      </c>
      <c r="BH674" s="4">
        <v>0</v>
      </c>
      <c r="BI674" s="4">
        <v>2.72</v>
      </c>
      <c r="BJ674" s="13">
        <v>2.84</v>
      </c>
      <c r="BK674" s="13">
        <v>3.8</v>
      </c>
      <c r="BL674" s="4">
        <v>2.7</v>
      </c>
      <c r="BM674" s="16">
        <v>0</v>
      </c>
      <c r="BN674" s="4">
        <v>4.3499999999999996</v>
      </c>
      <c r="BO674" s="4">
        <v>2.94</v>
      </c>
      <c r="BP674" s="4">
        <v>3.51</v>
      </c>
      <c r="BQ674" s="4">
        <v>1.35</v>
      </c>
      <c r="BR674" s="4">
        <v>1.38</v>
      </c>
      <c r="BS674" s="4">
        <v>1.57</v>
      </c>
      <c r="BT674" s="4">
        <v>1.61</v>
      </c>
      <c r="BU674" s="4">
        <v>1.64</v>
      </c>
      <c r="BV674" s="4">
        <v>1.37</v>
      </c>
      <c r="BW674" s="4">
        <v>1.53</v>
      </c>
      <c r="BX674" s="4">
        <v>1.49</v>
      </c>
      <c r="BY674" s="4">
        <v>1.54</v>
      </c>
      <c r="BZ674" s="4">
        <v>0</v>
      </c>
      <c r="CA674" s="4">
        <v>1.69</v>
      </c>
      <c r="CB674" s="4">
        <v>1.56</v>
      </c>
      <c r="CC674" s="4">
        <v>1.67</v>
      </c>
      <c r="CD674" s="4">
        <v>1.69</v>
      </c>
      <c r="CE674" s="24">
        <v>0</v>
      </c>
      <c r="CF674" s="24">
        <v>1.88</v>
      </c>
      <c r="CG674" s="4">
        <v>1.62</v>
      </c>
      <c r="CH674" s="4">
        <v>1.58</v>
      </c>
      <c r="CI674" s="4">
        <v>1.41</v>
      </c>
      <c r="CJ674" s="34">
        <v>1.4</v>
      </c>
      <c r="CK674" s="34">
        <v>1.3</v>
      </c>
      <c r="CL674" s="43">
        <v>1.3</v>
      </c>
      <c r="CM674" s="4">
        <v>1.2</v>
      </c>
      <c r="CN674" s="53">
        <v>1.3</v>
      </c>
      <c r="CO674" s="54">
        <v>1.2</v>
      </c>
      <c r="CP674" s="54">
        <v>1.2</v>
      </c>
      <c r="CQ674" s="4">
        <v>1.4</v>
      </c>
    </row>
    <row r="675" spans="1:95" x14ac:dyDescent="0.35">
      <c r="A675" s="55">
        <v>674</v>
      </c>
      <c r="B675" t="s">
        <v>119</v>
      </c>
      <c r="C675" s="27" t="s">
        <v>947</v>
      </c>
      <c r="D675" s="3" t="s">
        <v>88</v>
      </c>
      <c r="E675" s="33" t="s">
        <v>89</v>
      </c>
      <c r="F675" s="4">
        <f>IFERROR(AVERAGEIF(Table1[[#This Row],[2019-Apr]:[2025-July]],"&lt;&gt;0"),0)</f>
        <v>1.1953392857142859</v>
      </c>
      <c r="G675" s="4">
        <f ca="1">IFERROR(AVERAGEIF(OFFSET(Table1[[#This Row],[Status]],0,COUNT(Table1[[#This Row],[2019-May]:[2025-July]]),1,-12),"&lt;&gt;0"),0)</f>
        <v>1.125</v>
      </c>
      <c r="H675" s="55">
        <f>IFERROR(SMALL(Table1[[#This Row],[2019-Apr]:[2025-July]],COUNTIF(Table1[[#This Row],[2019-Apr]:[2025-July]],0)+1),0)</f>
        <v>0.64</v>
      </c>
      <c r="I675" s="55">
        <f>IFERROR(MAX(Table1[[#This Row],[2019-Apr]:[2025-July]]),0)</f>
        <v>7.72</v>
      </c>
      <c r="J675" s="4" cm="1">
        <f t="array" ref="J67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0.72333333333333327</v>
      </c>
      <c r="K675" s="4">
        <v>4.5</v>
      </c>
      <c r="L675" s="4">
        <f>IF(Table1[[#This Row],[Standard as per ISO]]&gt;=Table1[[#This Row],[Avg of best 6]],Table1[[#This Row],[Standard as per ISO]],Table1[[#This Row],[Avg of best 6]])</f>
        <v>4.5</v>
      </c>
      <c r="M675" s="4" cm="1">
        <f t="array" ref="M675">IFERROR(LOOKUP(2,1/(Table1[[#This Row],[2019-May]:[2025-July]]&lt;&gt;0),Table1[[#This Row],[2019-May]:[2025-July]]),0)</f>
        <v>0.9</v>
      </c>
      <c r="N675" s="4">
        <f>COUNTIF(Table1[[#This Row],[2019-Apr]:[2025-July]],"&gt;="&amp;Table1[[#This Row],[Target]])</f>
        <v>1</v>
      </c>
      <c r="O675" s="4">
        <f>IF(Table1[[#This Row],[Outliers 2Y]]=0,1,0)</f>
        <v>0</v>
      </c>
      <c r="P675" s="4">
        <f>IF(Table1[[#This Row],[Last value]]&gt;1.5*Table1[[#This Row],[Target]],1,0)</f>
        <v>0</v>
      </c>
      <c r="Q675" s="4">
        <f>IF(AND(1.5*Table1[[#This Row],[Target]]&gt;=Table1[[#This Row],[Last value]],Table1[[#This Row],[Last value]]&gt;Table1[[#This Row],[Target]]),1,0)</f>
        <v>0</v>
      </c>
      <c r="R675" s="4">
        <f>IF(Table1[[#This Row],[Target]]&gt;=Table1[[#This Row],[Last value]],1,0)</f>
        <v>1</v>
      </c>
      <c r="S675" s="4" t="str">
        <f t="shared" si="17"/>
        <v>Green</v>
      </c>
      <c r="T675">
        <v>0</v>
      </c>
      <c r="U675">
        <v>3.04</v>
      </c>
      <c r="V675">
        <v>0</v>
      </c>
      <c r="W675">
        <v>7.72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0.9</v>
      </c>
      <c r="AG675">
        <v>1.1000000000000001</v>
      </c>
      <c r="AH675">
        <v>1.2</v>
      </c>
      <c r="AI675">
        <v>0</v>
      </c>
      <c r="AJ675">
        <v>1.32</v>
      </c>
      <c r="AK675">
        <v>0.82</v>
      </c>
      <c r="AL675">
        <v>0.78</v>
      </c>
      <c r="AM675">
        <v>0.79</v>
      </c>
      <c r="AN675">
        <v>0.7</v>
      </c>
      <c r="AO675">
        <v>0.78</v>
      </c>
      <c r="AP675">
        <v>0.64</v>
      </c>
      <c r="AQ675">
        <v>0.72</v>
      </c>
      <c r="AR675" s="8">
        <v>0.79</v>
      </c>
      <c r="AS675" s="8">
        <v>0.8</v>
      </c>
      <c r="AT675" s="8">
        <v>0</v>
      </c>
      <c r="AU675" s="3">
        <v>0.91</v>
      </c>
      <c r="AV675" s="3">
        <v>0.77</v>
      </c>
      <c r="AW675" s="3">
        <v>0.73</v>
      </c>
      <c r="AX675" s="3">
        <v>1.53</v>
      </c>
      <c r="AY675" s="3">
        <v>1.0900000000000001</v>
      </c>
      <c r="AZ675" s="3">
        <v>0.84</v>
      </c>
      <c r="BA675" s="3">
        <v>1.7</v>
      </c>
      <c r="BB675" s="3">
        <v>2.9</v>
      </c>
      <c r="BC675">
        <v>0.9</v>
      </c>
      <c r="BD675">
        <v>0</v>
      </c>
      <c r="BE675" s="11">
        <v>0.95</v>
      </c>
      <c r="BF675" s="4">
        <v>0.86399999999999999</v>
      </c>
      <c r="BG675" s="4">
        <v>0.86399999999999999</v>
      </c>
      <c r="BH675" s="4">
        <v>1.27</v>
      </c>
      <c r="BI675" s="4">
        <v>1.3069999999999999</v>
      </c>
      <c r="BJ675" s="14">
        <v>0.96499999999999997</v>
      </c>
      <c r="BK675" s="14">
        <v>0.82599999999999996</v>
      </c>
      <c r="BL675" s="4">
        <v>0.82599999999999996</v>
      </c>
      <c r="BM675" s="17">
        <v>0.90900000000000003</v>
      </c>
      <c r="BN675" s="4">
        <v>0.88800000000000001</v>
      </c>
      <c r="BO675" s="4">
        <v>1.512</v>
      </c>
      <c r="BP675" s="4">
        <v>0.92800000000000005</v>
      </c>
      <c r="BQ675" s="4">
        <v>0.95199999999999996</v>
      </c>
      <c r="BR675" s="4">
        <v>1.0009999999999999</v>
      </c>
      <c r="BS675" s="4">
        <v>1.393</v>
      </c>
      <c r="BT675" s="4">
        <v>0.91600000000000004</v>
      </c>
      <c r="BU675" s="4">
        <v>0.96899999999999997</v>
      </c>
      <c r="BV675" s="4">
        <v>0.96899999999999997</v>
      </c>
      <c r="BW675" s="4">
        <v>0.84</v>
      </c>
      <c r="BX675" s="4">
        <v>0.84</v>
      </c>
      <c r="BY675" s="4">
        <v>1.1499999999999999</v>
      </c>
      <c r="BZ675">
        <v>0</v>
      </c>
      <c r="CA675">
        <v>0</v>
      </c>
      <c r="CB675">
        <v>0</v>
      </c>
      <c r="CC675">
        <v>1.43</v>
      </c>
      <c r="CD675">
        <v>0</v>
      </c>
      <c r="CE675" s="19">
        <v>0</v>
      </c>
      <c r="CF675" s="19">
        <v>2.9</v>
      </c>
      <c r="CG675" s="4">
        <v>0</v>
      </c>
      <c r="CH675" s="4">
        <v>0</v>
      </c>
      <c r="CI675" s="4">
        <v>0</v>
      </c>
      <c r="CJ675" s="34">
        <v>1</v>
      </c>
      <c r="CK675" s="34">
        <v>0.9</v>
      </c>
      <c r="CL675" s="43">
        <v>0.8</v>
      </c>
      <c r="CM675" s="4">
        <v>0.8</v>
      </c>
      <c r="CN675" s="53">
        <v>0.9</v>
      </c>
      <c r="CO675" s="54">
        <v>0.9</v>
      </c>
      <c r="CP675" s="54">
        <v>0.8</v>
      </c>
      <c r="CQ675" s="4">
        <v>0.9</v>
      </c>
    </row>
    <row r="676" spans="1:95" x14ac:dyDescent="0.35">
      <c r="A676" s="55">
        <v>675</v>
      </c>
      <c r="B676" t="s">
        <v>119</v>
      </c>
      <c r="C676" s="27" t="s">
        <v>948</v>
      </c>
      <c r="D676" s="3" t="s">
        <v>88</v>
      </c>
      <c r="E676" s="33" t="s">
        <v>89</v>
      </c>
      <c r="F676" s="4">
        <f>IFERROR(AVERAGEIF(Table1[[#This Row],[2019-Apr]:[2025-July]],"&lt;&gt;0"),0)</f>
        <v>0.99842307692307708</v>
      </c>
      <c r="G676" s="4">
        <f ca="1">IFERROR(AVERAGEIF(OFFSET(Table1[[#This Row],[Status]],0,COUNT(Table1[[#This Row],[2019-May]:[2025-July]]),1,-12),"&lt;&gt;0"),0)</f>
        <v>1.3374999999999999</v>
      </c>
      <c r="H676" s="55">
        <f>IFERROR(SMALL(Table1[[#This Row],[2019-Apr]:[2025-July]],COUNTIF(Table1[[#This Row],[2019-Apr]:[2025-July]],0)+1),0)</f>
        <v>0.64600000000000002</v>
      </c>
      <c r="I676" s="55">
        <f>IFERROR(MAX(Table1[[#This Row],[2019-Apr]:[2025-July]]),0)</f>
        <v>2.8</v>
      </c>
      <c r="J676" s="4" cm="1">
        <f t="array" ref="J67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0.68766666666666676</v>
      </c>
      <c r="K676" s="4">
        <v>4.5</v>
      </c>
      <c r="L676" s="4">
        <f>IF(Table1[[#This Row],[Standard as per ISO]]&gt;=Table1[[#This Row],[Avg of best 6]],Table1[[#This Row],[Standard as per ISO]],Table1[[#This Row],[Avg of best 6]])</f>
        <v>4.5</v>
      </c>
      <c r="M676" s="4" cm="1">
        <f t="array" ref="M676">IFERROR(LOOKUP(2,1/(Table1[[#This Row],[2019-May]:[2025-July]]&lt;&gt;0),Table1[[#This Row],[2019-May]:[2025-July]]),0)</f>
        <v>2.4</v>
      </c>
      <c r="N676" s="4">
        <f>COUNTIF(Table1[[#This Row],[2019-Apr]:[2025-July]],"&gt;="&amp;Table1[[#This Row],[Target]])</f>
        <v>0</v>
      </c>
      <c r="O676" s="4">
        <f>IF(Table1[[#This Row],[Outliers 2Y]]=0,1,0)</f>
        <v>1</v>
      </c>
      <c r="P676" s="4">
        <f>IF(Table1[[#This Row],[Last value]]&gt;1.5*Table1[[#This Row],[Target]],1,0)</f>
        <v>0</v>
      </c>
      <c r="Q676" s="4">
        <f>IF(AND(1.5*Table1[[#This Row],[Target]]&gt;=Table1[[#This Row],[Last value]],Table1[[#This Row],[Last value]]&gt;Table1[[#This Row],[Target]]),1,0)</f>
        <v>0</v>
      </c>
      <c r="R676" s="4">
        <f>IF(Table1[[#This Row],[Target]]&gt;=Table1[[#This Row],[Last value]],1,0)</f>
        <v>1</v>
      </c>
      <c r="S676" s="4" t="str">
        <f t="shared" si="17"/>
        <v>Green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0.8</v>
      </c>
      <c r="AF676">
        <v>0.8</v>
      </c>
      <c r="AG676">
        <v>0.8</v>
      </c>
      <c r="AH676">
        <v>2.8</v>
      </c>
      <c r="AI676">
        <v>0</v>
      </c>
      <c r="AJ676">
        <v>0.77</v>
      </c>
      <c r="AK676">
        <v>0.69</v>
      </c>
      <c r="AL676">
        <v>0.73</v>
      </c>
      <c r="AM676">
        <v>0.73</v>
      </c>
      <c r="AN676">
        <v>0.7</v>
      </c>
      <c r="AO676">
        <v>0.76</v>
      </c>
      <c r="AP676">
        <v>0.76</v>
      </c>
      <c r="AQ676">
        <v>0.76</v>
      </c>
      <c r="AR676" s="8">
        <v>0.71</v>
      </c>
      <c r="AS676" s="8">
        <v>0.69</v>
      </c>
      <c r="AT676" s="8">
        <v>0</v>
      </c>
      <c r="AU676" s="3">
        <v>0.72</v>
      </c>
      <c r="AV676" s="3">
        <v>0.77</v>
      </c>
      <c r="AW676" s="3">
        <v>0.75</v>
      </c>
      <c r="AX676" s="3">
        <v>0</v>
      </c>
      <c r="AY676" s="3">
        <v>0</v>
      </c>
      <c r="AZ676" s="3">
        <v>0.8</v>
      </c>
      <c r="BA676" s="3">
        <v>0.7</v>
      </c>
      <c r="BB676" s="3">
        <v>0.7</v>
      </c>
      <c r="BC676">
        <v>1.4</v>
      </c>
      <c r="BD676">
        <v>0</v>
      </c>
      <c r="BE676" s="11">
        <v>0.71699999999999997</v>
      </c>
      <c r="BF676" s="4">
        <v>0.70899999999999996</v>
      </c>
      <c r="BG676" s="4">
        <v>0.70899999999999996</v>
      </c>
      <c r="BH676" s="4">
        <v>0.93100000000000005</v>
      </c>
      <c r="BI676" s="4">
        <v>0.70399999999999996</v>
      </c>
      <c r="BJ676" s="13">
        <v>1.1319999999999999</v>
      </c>
      <c r="BK676" s="13">
        <v>1.0940000000000001</v>
      </c>
      <c r="BL676" s="4">
        <v>0.76100000000000001</v>
      </c>
      <c r="BM676" s="16">
        <v>0.90600000000000003</v>
      </c>
      <c r="BN676" s="4">
        <v>0.89100000000000001</v>
      </c>
      <c r="BO676" s="4">
        <v>1.107</v>
      </c>
      <c r="BP676" s="4">
        <v>0.72399999999999998</v>
      </c>
      <c r="BQ676" s="4">
        <v>0.88300000000000001</v>
      </c>
      <c r="BR676" s="4">
        <v>1.1319999999999999</v>
      </c>
      <c r="BS676" s="4">
        <v>0.94199999999999995</v>
      </c>
      <c r="BT676" s="4">
        <v>0.94399999999999995</v>
      </c>
      <c r="BU676" s="4">
        <v>0.79200000000000004</v>
      </c>
      <c r="BV676" s="4">
        <v>1.456</v>
      </c>
      <c r="BW676" s="4">
        <v>1.0680000000000001</v>
      </c>
      <c r="BX676" s="4">
        <v>0.64600000000000002</v>
      </c>
      <c r="BY676" s="4">
        <v>1.1000000000000001</v>
      </c>
      <c r="BZ676">
        <v>0</v>
      </c>
      <c r="CA676">
        <v>0</v>
      </c>
      <c r="CB676">
        <v>0</v>
      </c>
      <c r="CC676">
        <v>1.1299999999999999</v>
      </c>
      <c r="CD676">
        <v>0</v>
      </c>
      <c r="CE676" s="19">
        <v>0</v>
      </c>
      <c r="CF676" s="19">
        <v>1.5</v>
      </c>
      <c r="CG676" s="4">
        <v>0</v>
      </c>
      <c r="CH676" s="4">
        <v>0</v>
      </c>
      <c r="CI676" s="4">
        <v>0</v>
      </c>
      <c r="CJ676" s="34">
        <v>1.5</v>
      </c>
      <c r="CK676" s="34">
        <v>1.5</v>
      </c>
      <c r="CL676" s="43">
        <v>1.1000000000000001</v>
      </c>
      <c r="CM676" s="4">
        <v>1.6</v>
      </c>
      <c r="CN676" s="53">
        <v>1.4</v>
      </c>
      <c r="CO676" s="54">
        <v>1</v>
      </c>
      <c r="CP676" s="54">
        <v>1.1000000000000001</v>
      </c>
      <c r="CQ676" s="4">
        <v>2.4</v>
      </c>
    </row>
    <row r="677" spans="1:95" x14ac:dyDescent="0.35">
      <c r="A677" s="55">
        <v>676</v>
      </c>
      <c r="B677" t="s">
        <v>119</v>
      </c>
      <c r="C677" s="27" t="s">
        <v>949</v>
      </c>
      <c r="D677" s="3" t="s">
        <v>88</v>
      </c>
      <c r="E677" s="33" t="s">
        <v>89</v>
      </c>
      <c r="F677" s="4">
        <f>IFERROR(AVERAGEIF(Table1[[#This Row],[2019-Apr]:[2025-July]],"&lt;&gt;0"),0)</f>
        <v>0.88029629629629624</v>
      </c>
      <c r="G677" s="4">
        <f ca="1">IFERROR(AVERAGEIF(OFFSET(Table1[[#This Row],[Status]],0,COUNT(Table1[[#This Row],[2019-May]:[2025-July]]),1,-12),"&lt;&gt;0"),0)</f>
        <v>0.86250000000000004</v>
      </c>
      <c r="H677" s="55">
        <f>IFERROR(SMALL(Table1[[#This Row],[2019-Apr]:[2025-July]],COUNTIF(Table1[[#This Row],[2019-Apr]:[2025-July]],0)+1),0)</f>
        <v>0.4</v>
      </c>
      <c r="I677" s="55">
        <f>IFERROR(MAX(Table1[[#This Row],[2019-Apr]:[2025-July]]),0)</f>
        <v>1.83</v>
      </c>
      <c r="J677" s="4" cm="1">
        <f t="array" ref="J67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0.54116666666666668</v>
      </c>
      <c r="K677" s="4">
        <v>4.5</v>
      </c>
      <c r="L677" s="4">
        <f>IF(Table1[[#This Row],[Standard as per ISO]]&gt;=Table1[[#This Row],[Avg of best 6]],Table1[[#This Row],[Standard as per ISO]],Table1[[#This Row],[Avg of best 6]])</f>
        <v>4.5</v>
      </c>
      <c r="M677" s="4" cm="1">
        <f t="array" ref="M677">IFERROR(LOOKUP(2,1/(Table1[[#This Row],[2019-May]:[2025-July]]&lt;&gt;0),Table1[[#This Row],[2019-May]:[2025-July]]),0)</f>
        <v>1.8</v>
      </c>
      <c r="N677" s="4">
        <f>COUNTIF(Table1[[#This Row],[2019-Apr]:[2025-July]],"&gt;="&amp;Table1[[#This Row],[Target]])</f>
        <v>0</v>
      </c>
      <c r="O677" s="4">
        <f>IF(Table1[[#This Row],[Outliers 2Y]]=0,1,0)</f>
        <v>1</v>
      </c>
      <c r="P677" s="4">
        <f>IF(Table1[[#This Row],[Last value]]&gt;1.5*Table1[[#This Row],[Target]],1,0)</f>
        <v>0</v>
      </c>
      <c r="Q677" s="4">
        <f>IF(AND(1.5*Table1[[#This Row],[Target]]&gt;=Table1[[#This Row],[Last value]],Table1[[#This Row],[Last value]]&gt;Table1[[#This Row],[Target]]),1,0)</f>
        <v>0</v>
      </c>
      <c r="R677" s="4">
        <f>IF(Table1[[#This Row],[Target]]&gt;=Table1[[#This Row],[Last value]],1,0)</f>
        <v>1</v>
      </c>
      <c r="S677" s="4" t="str">
        <f t="shared" si="17"/>
        <v>Green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0.9</v>
      </c>
      <c r="AF677">
        <v>1</v>
      </c>
      <c r="AG677">
        <v>1.8</v>
      </c>
      <c r="AH677">
        <v>0.65</v>
      </c>
      <c r="AI677">
        <v>0</v>
      </c>
      <c r="AJ677">
        <v>0.69</v>
      </c>
      <c r="AK677">
        <v>0.68</v>
      </c>
      <c r="AL677">
        <v>0.63</v>
      </c>
      <c r="AM677">
        <v>0.69</v>
      </c>
      <c r="AN677">
        <v>0.4</v>
      </c>
      <c r="AO677">
        <v>0.56000000000000005</v>
      </c>
      <c r="AP677">
        <v>0.6</v>
      </c>
      <c r="AQ677">
        <v>0.56000000000000005</v>
      </c>
      <c r="AR677" s="8">
        <v>1.83</v>
      </c>
      <c r="AS677" s="8">
        <v>0.63</v>
      </c>
      <c r="AT677" s="8">
        <v>0</v>
      </c>
      <c r="AU677" s="3">
        <v>0.56000000000000005</v>
      </c>
      <c r="AV677" s="3">
        <v>0.77</v>
      </c>
      <c r="AW677" s="3">
        <v>0.75</v>
      </c>
      <c r="AX677" s="3">
        <v>0.88</v>
      </c>
      <c r="AY677" s="3">
        <v>1.1200000000000001</v>
      </c>
      <c r="AZ677" s="3">
        <v>0.6</v>
      </c>
      <c r="BA677" s="3">
        <v>1</v>
      </c>
      <c r="BB677" s="3">
        <v>0.8</v>
      </c>
      <c r="BC677">
        <v>1</v>
      </c>
      <c r="BD677">
        <v>0</v>
      </c>
      <c r="BE677" s="11">
        <v>0.74299999999999999</v>
      </c>
      <c r="BF677" s="4">
        <v>0.74299999999999999</v>
      </c>
      <c r="BG677" s="4">
        <v>0.74299999999999999</v>
      </c>
      <c r="BH677" s="4">
        <v>1.0369999999999999</v>
      </c>
      <c r="BI677" s="4">
        <v>0.77100000000000002</v>
      </c>
      <c r="BJ677" s="14">
        <v>0.77</v>
      </c>
      <c r="BK677" s="14">
        <v>0.60399999999999998</v>
      </c>
      <c r="BL677" s="4">
        <v>0.81100000000000005</v>
      </c>
      <c r="BM677" s="17">
        <v>0.76700000000000002</v>
      </c>
      <c r="BN677" s="4">
        <v>0.56699999999999995</v>
      </c>
      <c r="BO677" s="4">
        <v>1.2589999999999999</v>
      </c>
      <c r="BP677" s="4">
        <v>0.86899999999999999</v>
      </c>
      <c r="BQ677" s="4">
        <v>0.88400000000000001</v>
      </c>
      <c r="BR677" s="4">
        <v>1.2729999999999999</v>
      </c>
      <c r="BS677" s="4">
        <v>0.88800000000000001</v>
      </c>
      <c r="BT677" s="4">
        <v>0.83099999999999996</v>
      </c>
      <c r="BU677" s="4">
        <v>0.84699999999999998</v>
      </c>
      <c r="BV677" s="4">
        <v>1.038</v>
      </c>
      <c r="BW677" s="4">
        <v>1.099</v>
      </c>
      <c r="BX677" s="4">
        <v>0.84199999999999997</v>
      </c>
      <c r="BY677" s="4">
        <v>1.05</v>
      </c>
      <c r="BZ677">
        <v>0</v>
      </c>
      <c r="CA677">
        <v>0</v>
      </c>
      <c r="CB677">
        <v>0</v>
      </c>
      <c r="CC677">
        <v>1.3</v>
      </c>
      <c r="CD677">
        <v>0</v>
      </c>
      <c r="CE677" s="19">
        <v>0</v>
      </c>
      <c r="CF677" s="19">
        <v>1</v>
      </c>
      <c r="CG677" s="4">
        <v>0</v>
      </c>
      <c r="CH677" s="4">
        <v>0</v>
      </c>
      <c r="CI677" s="4">
        <v>0</v>
      </c>
      <c r="CJ677" s="34">
        <v>1</v>
      </c>
      <c r="CK677" s="34">
        <v>1</v>
      </c>
      <c r="CL677" s="43">
        <v>0.9</v>
      </c>
      <c r="CM677" s="4">
        <v>0.7</v>
      </c>
      <c r="CN677" s="53">
        <v>0.7</v>
      </c>
      <c r="CO677" s="54">
        <v>0.9</v>
      </c>
      <c r="CP677" s="54">
        <v>0.7</v>
      </c>
      <c r="CQ677" s="4">
        <v>1.8</v>
      </c>
    </row>
    <row r="678" spans="1:95" x14ac:dyDescent="0.35">
      <c r="A678" s="55">
        <v>677</v>
      </c>
      <c r="B678" t="s">
        <v>119</v>
      </c>
      <c r="C678" s="27" t="s">
        <v>950</v>
      </c>
      <c r="D678" s="3" t="s">
        <v>88</v>
      </c>
      <c r="E678" s="33" t="s">
        <v>89</v>
      </c>
      <c r="F678" s="4">
        <f>IFERROR(AVERAGEIF(Table1[[#This Row],[2019-Apr]:[2025-July]],"&lt;&gt;0"),0)</f>
        <v>0.69662962962962938</v>
      </c>
      <c r="G678" s="4">
        <f ca="1">IFERROR(AVERAGEIF(OFFSET(Table1[[#This Row],[Status]],0,COUNT(Table1[[#This Row],[2019-May]:[2025-July]]),1,-12),"&lt;&gt;0"),0)</f>
        <v>0.67500000000000004</v>
      </c>
      <c r="H678" s="55">
        <f>IFERROR(SMALL(Table1[[#This Row],[2019-Apr]:[2025-July]],COUNTIF(Table1[[#This Row],[2019-Apr]:[2025-July]],0)+1),0)</f>
        <v>0.4</v>
      </c>
      <c r="I678" s="55">
        <f>IFERROR(MAX(Table1[[#This Row],[2019-Apr]:[2025-July]]),0)</f>
        <v>1.2</v>
      </c>
      <c r="J678" s="4" cm="1">
        <f t="array" ref="J67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0.42333333333333334</v>
      </c>
      <c r="K678" s="4">
        <v>4.5</v>
      </c>
      <c r="L678" s="4">
        <f>IF(Table1[[#This Row],[Standard as per ISO]]&gt;=Table1[[#This Row],[Avg of best 6]],Table1[[#This Row],[Standard as per ISO]],Table1[[#This Row],[Avg of best 6]])</f>
        <v>4.5</v>
      </c>
      <c r="M678" s="4" cm="1">
        <f t="array" ref="M678">IFERROR(LOOKUP(2,1/(Table1[[#This Row],[2019-May]:[2025-July]]&lt;&gt;0),Table1[[#This Row],[2019-May]:[2025-July]]),0)</f>
        <v>0.9</v>
      </c>
      <c r="N678" s="4">
        <f>COUNTIF(Table1[[#This Row],[2019-Apr]:[2025-July]],"&gt;="&amp;Table1[[#This Row],[Target]])</f>
        <v>0</v>
      </c>
      <c r="O678" s="4">
        <f>IF(Table1[[#This Row],[Outliers 2Y]]=0,1,0)</f>
        <v>1</v>
      </c>
      <c r="P678" s="4">
        <f>IF(Table1[[#This Row],[Last value]]&gt;1.5*Table1[[#This Row],[Target]],1,0)</f>
        <v>0</v>
      </c>
      <c r="Q678" s="4">
        <f>IF(AND(1.5*Table1[[#This Row],[Target]]&gt;=Table1[[#This Row],[Last value]],Table1[[#This Row],[Last value]]&gt;Table1[[#This Row],[Target]]),1,0)</f>
        <v>0</v>
      </c>
      <c r="R678" s="4">
        <f>IF(Table1[[#This Row],[Target]]&gt;=Table1[[#This Row],[Last value]],1,0)</f>
        <v>1</v>
      </c>
      <c r="S678" s="4" t="str">
        <f t="shared" si="17"/>
        <v>Green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0.9</v>
      </c>
      <c r="AF678">
        <v>0.4</v>
      </c>
      <c r="AG678">
        <v>0.4</v>
      </c>
      <c r="AH678">
        <v>1.1000000000000001</v>
      </c>
      <c r="AI678">
        <v>0</v>
      </c>
      <c r="AJ678">
        <v>0.83</v>
      </c>
      <c r="AK678">
        <v>0.86</v>
      </c>
      <c r="AL678">
        <v>0.52</v>
      </c>
      <c r="AM678">
        <v>0.4</v>
      </c>
      <c r="AN678">
        <v>0.6</v>
      </c>
      <c r="AO678">
        <v>0.46</v>
      </c>
      <c r="AP678">
        <v>0.55400000000000005</v>
      </c>
      <c r="AQ678">
        <v>0.77</v>
      </c>
      <c r="AR678" s="8">
        <v>0.54</v>
      </c>
      <c r="AS678" s="8">
        <v>0.65</v>
      </c>
      <c r="AT678" s="8">
        <v>0</v>
      </c>
      <c r="AU678" s="3">
        <v>0.62</v>
      </c>
      <c r="AV678" s="3">
        <v>0.56000000000000005</v>
      </c>
      <c r="AW678" s="3">
        <v>0.51</v>
      </c>
      <c r="AX678" s="3">
        <v>0.9</v>
      </c>
      <c r="AY678" s="3">
        <v>0.48</v>
      </c>
      <c r="AZ678" s="3">
        <v>0.87</v>
      </c>
      <c r="BA678" s="3">
        <v>0.6</v>
      </c>
      <c r="BB678" s="3">
        <v>1.2</v>
      </c>
      <c r="BC678">
        <v>0.9</v>
      </c>
      <c r="BD678">
        <v>0</v>
      </c>
      <c r="BE678" s="11">
        <v>0.53800000000000003</v>
      </c>
      <c r="BF678" s="4">
        <v>0.53800000000000003</v>
      </c>
      <c r="BG678" s="4">
        <v>0.53800000000000003</v>
      </c>
      <c r="BH678" s="4">
        <v>0.64800000000000002</v>
      </c>
      <c r="BI678" s="4">
        <v>0.74199999999999999</v>
      </c>
      <c r="BJ678" s="13">
        <v>0.89700000000000002</v>
      </c>
      <c r="BK678" s="13">
        <v>0.57999999999999996</v>
      </c>
      <c r="BL678" s="4">
        <v>0.78100000000000003</v>
      </c>
      <c r="BM678" s="16">
        <v>0.755</v>
      </c>
      <c r="BN678" s="4">
        <v>0.89100000000000001</v>
      </c>
      <c r="BO678" s="4">
        <v>0.999</v>
      </c>
      <c r="BP678" s="4">
        <v>0.85099999999999998</v>
      </c>
      <c r="BQ678" s="4">
        <v>0.82399999999999995</v>
      </c>
      <c r="BR678" s="4">
        <v>0.67900000000000005</v>
      </c>
      <c r="BS678" s="4">
        <v>0.61799999999999999</v>
      </c>
      <c r="BT678" s="4">
        <v>0.61199999999999999</v>
      </c>
      <c r="BU678" s="4">
        <v>0.621</v>
      </c>
      <c r="BV678" s="4">
        <v>1.1539999999999999</v>
      </c>
      <c r="BW678" s="4">
        <v>0.64500000000000002</v>
      </c>
      <c r="BX678" s="4">
        <v>0.53300000000000003</v>
      </c>
      <c r="BY678" s="4">
        <v>0.73</v>
      </c>
      <c r="BZ678">
        <v>0</v>
      </c>
      <c r="CA678">
        <v>0</v>
      </c>
      <c r="CB678">
        <v>0</v>
      </c>
      <c r="CC678">
        <v>0.52</v>
      </c>
      <c r="CD678">
        <v>0</v>
      </c>
      <c r="CE678" s="19">
        <v>0</v>
      </c>
      <c r="CF678" s="19">
        <v>0.5</v>
      </c>
      <c r="CG678" s="4">
        <v>0</v>
      </c>
      <c r="CH678" s="4">
        <v>0</v>
      </c>
      <c r="CI678" s="4">
        <v>0</v>
      </c>
      <c r="CJ678" s="34">
        <v>0.7</v>
      </c>
      <c r="CK678" s="34">
        <v>0.8</v>
      </c>
      <c r="CL678" s="43">
        <v>0.6</v>
      </c>
      <c r="CM678" s="4">
        <v>0.7</v>
      </c>
      <c r="CN678" s="53">
        <v>0.9</v>
      </c>
      <c r="CO678" s="54">
        <v>0.8</v>
      </c>
      <c r="CP678" s="54">
        <v>0.4</v>
      </c>
      <c r="CQ678" s="4">
        <v>0.9</v>
      </c>
    </row>
    <row r="679" spans="1:95" x14ac:dyDescent="0.35">
      <c r="A679" s="55">
        <v>678</v>
      </c>
      <c r="B679" t="s">
        <v>119</v>
      </c>
      <c r="C679" s="27" t="s">
        <v>951</v>
      </c>
      <c r="D679" s="3" t="s">
        <v>88</v>
      </c>
      <c r="E679" s="33" t="s">
        <v>89</v>
      </c>
      <c r="F679" s="4">
        <f>IFERROR(AVERAGEIF(Table1[[#This Row],[2019-Apr]:[2025-July]],"&lt;&gt;0"),0)</f>
        <v>7.2707173913043457</v>
      </c>
      <c r="G679" s="4">
        <f ca="1">IFERROR(AVERAGEIF(OFFSET(Table1[[#This Row],[Status]],0,COUNT(Table1[[#This Row],[2019-May]:[2025-July]]),1,-12),"&lt;&gt;0"),0)</f>
        <v>3.1875</v>
      </c>
      <c r="H679" s="55">
        <f>IFERROR(SMALL(Table1[[#This Row],[2019-Apr]:[2025-July]],COUNTIF(Table1[[#This Row],[2019-Apr]:[2025-July]],0)+1),0)</f>
        <v>2.4</v>
      </c>
      <c r="I679" s="55">
        <f>IFERROR(MAX(Table1[[#This Row],[2019-Apr]:[2025-July]]),0)</f>
        <v>18.100000000000001</v>
      </c>
      <c r="J679" s="4" cm="1">
        <f t="array" ref="J67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2.8688333333333333</v>
      </c>
      <c r="K679" s="4">
        <v>4.5</v>
      </c>
      <c r="L679" s="4">
        <f>IF(Table1[[#This Row],[Standard as per ISO]]&gt;=Table1[[#This Row],[Avg of best 6]],Table1[[#This Row],[Standard as per ISO]],Table1[[#This Row],[Avg of best 6]])</f>
        <v>4.5</v>
      </c>
      <c r="M679" s="4" cm="1">
        <f t="array" ref="M679">IFERROR(LOOKUP(2,1/(Table1[[#This Row],[2019-May]:[2025-July]]&lt;&gt;0),Table1[[#This Row],[2019-May]:[2025-July]]),0)</f>
        <v>3.3</v>
      </c>
      <c r="N679" s="4">
        <f>COUNTIF(Table1[[#This Row],[2019-Apr]:[2025-July]],"&gt;="&amp;Table1[[#This Row],[Target]])</f>
        <v>28</v>
      </c>
      <c r="O679" s="4">
        <f>IF(Table1[[#This Row],[Outliers 2Y]]=0,1,0)</f>
        <v>0</v>
      </c>
      <c r="P679" s="4">
        <f>IF(Table1[[#This Row],[Last value]]&gt;1.5*Table1[[#This Row],[Target]],1,0)</f>
        <v>0</v>
      </c>
      <c r="Q679" s="4">
        <f>IF(AND(1.5*Table1[[#This Row],[Target]]&gt;=Table1[[#This Row],[Last value]],Table1[[#This Row],[Last value]]&gt;Table1[[#This Row],[Target]]),1,0)</f>
        <v>0</v>
      </c>
      <c r="R679" s="4">
        <f>IF(Table1[[#This Row],[Target]]&gt;=Table1[[#This Row],[Last value]],1,0)</f>
        <v>1</v>
      </c>
      <c r="S679" s="4" t="str">
        <f t="shared" si="17"/>
        <v>Green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10.5</v>
      </c>
      <c r="AF679">
        <v>14.9</v>
      </c>
      <c r="AG679">
        <v>13.2</v>
      </c>
      <c r="AH679">
        <v>11.3</v>
      </c>
      <c r="AI679">
        <v>0</v>
      </c>
      <c r="AJ679">
        <v>16.100000000000001</v>
      </c>
      <c r="AK679">
        <v>15.5</v>
      </c>
      <c r="AL679">
        <v>18.100000000000001</v>
      </c>
      <c r="AM679">
        <v>17.399999999999999</v>
      </c>
      <c r="AN679">
        <v>12.4</v>
      </c>
      <c r="AO679">
        <v>10.85</v>
      </c>
      <c r="AP679">
        <v>11.3</v>
      </c>
      <c r="AQ679">
        <v>7.55</v>
      </c>
      <c r="AR679" s="8">
        <v>5.28</v>
      </c>
      <c r="AS679" s="8">
        <v>12.1</v>
      </c>
      <c r="AT679" s="8">
        <v>0</v>
      </c>
      <c r="AU679" s="3">
        <v>4.75</v>
      </c>
      <c r="AV679" s="3">
        <v>8.39</v>
      </c>
      <c r="AW679" s="3">
        <v>14.9</v>
      </c>
      <c r="AX679" s="3">
        <v>10.3</v>
      </c>
      <c r="AY679" s="3">
        <v>12.1</v>
      </c>
      <c r="AZ679" s="3">
        <v>6</v>
      </c>
      <c r="BA679" s="3">
        <v>4.7</v>
      </c>
      <c r="BB679" s="3">
        <v>5.0199999999999996</v>
      </c>
      <c r="BC679">
        <v>6.3</v>
      </c>
      <c r="BD679">
        <v>0</v>
      </c>
      <c r="BE679" s="11">
        <v>4.8280000000000003</v>
      </c>
      <c r="BF679" s="4">
        <v>4.8280000000000003</v>
      </c>
      <c r="BG679" s="4">
        <v>4.8280000000000003</v>
      </c>
      <c r="BH679" s="4">
        <v>0</v>
      </c>
      <c r="BI679" s="4">
        <v>5.46</v>
      </c>
      <c r="BJ679" s="14">
        <v>4.1660000000000004</v>
      </c>
      <c r="BK679" s="14">
        <v>4.7610000000000001</v>
      </c>
      <c r="BL679" s="4">
        <v>0</v>
      </c>
      <c r="BM679" s="17">
        <v>0</v>
      </c>
      <c r="BN679" s="4">
        <v>0</v>
      </c>
      <c r="BO679" s="4">
        <v>3.948</v>
      </c>
      <c r="BP679" s="4">
        <v>0</v>
      </c>
      <c r="BQ679" s="4">
        <v>3.629</v>
      </c>
      <c r="BR679" s="4">
        <v>3.0030000000000001</v>
      </c>
      <c r="BS679" s="4">
        <v>0</v>
      </c>
      <c r="BT679" s="4">
        <v>3.32</v>
      </c>
      <c r="BU679" s="4">
        <v>3.32</v>
      </c>
      <c r="BV679" s="4">
        <v>3.32</v>
      </c>
      <c r="BW679" s="4">
        <v>0</v>
      </c>
      <c r="BX679" s="4">
        <v>4.2919999999999998</v>
      </c>
      <c r="BY679" s="4">
        <v>3.01</v>
      </c>
      <c r="BZ679">
        <v>0</v>
      </c>
      <c r="CA679">
        <v>0</v>
      </c>
      <c r="CB679">
        <v>0</v>
      </c>
      <c r="CC679">
        <v>0</v>
      </c>
      <c r="CD679">
        <v>0</v>
      </c>
      <c r="CE679" s="19">
        <v>0</v>
      </c>
      <c r="CF679" s="19">
        <v>2.8</v>
      </c>
      <c r="CG679" s="4">
        <v>0</v>
      </c>
      <c r="CH679" s="4">
        <v>0</v>
      </c>
      <c r="CI679" s="4">
        <v>0</v>
      </c>
      <c r="CJ679" s="34">
        <v>2.9</v>
      </c>
      <c r="CK679" s="34">
        <v>3.6</v>
      </c>
      <c r="CL679" s="43">
        <v>3.3</v>
      </c>
      <c r="CM679" s="4">
        <v>2.4</v>
      </c>
      <c r="CN679" s="53">
        <v>3.4</v>
      </c>
      <c r="CO679" s="54">
        <v>4</v>
      </c>
      <c r="CP679" s="54">
        <v>3.1</v>
      </c>
      <c r="CQ679" s="4">
        <v>3.3</v>
      </c>
    </row>
    <row r="680" spans="1:95" x14ac:dyDescent="0.35">
      <c r="A680" s="55">
        <v>679</v>
      </c>
      <c r="B680" t="s">
        <v>119</v>
      </c>
      <c r="C680" s="27" t="s">
        <v>952</v>
      </c>
      <c r="D680" s="3" t="s">
        <v>88</v>
      </c>
      <c r="E680" s="33" t="s">
        <v>89</v>
      </c>
      <c r="F680" s="4">
        <f>IFERROR(AVERAGEIF(Table1[[#This Row],[2019-Apr]:[2025-July]],"&lt;&gt;0"),0)</f>
        <v>0.91451020408163275</v>
      </c>
      <c r="G680" s="4">
        <f ca="1">IFERROR(AVERAGEIF(OFFSET(Table1[[#This Row],[Status]],0,COUNT(Table1[[#This Row],[2019-May]:[2025-July]]),1,-12),"&lt;&gt;0"),0)</f>
        <v>0.73333333333333328</v>
      </c>
      <c r="H680" s="55">
        <f>IFERROR(SMALL(Table1[[#This Row],[2019-Apr]:[2025-July]],COUNTIF(Table1[[#This Row],[2019-Apr]:[2025-July]],0)+1),0)</f>
        <v>0.34399999999999997</v>
      </c>
      <c r="I680" s="55">
        <f>IFERROR(MAX(Table1[[#This Row],[2019-Apr]:[2025-July]]),0)</f>
        <v>3.3</v>
      </c>
      <c r="J680" s="4" cm="1">
        <f t="array" ref="J68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0.39883333333333337</v>
      </c>
      <c r="K680" s="4">
        <v>4.5</v>
      </c>
      <c r="L680" s="4">
        <f>IF(Table1[[#This Row],[Standard as per ISO]]&gt;=Table1[[#This Row],[Avg of best 6]],Table1[[#This Row],[Standard as per ISO]],Table1[[#This Row],[Avg of best 6]])</f>
        <v>4.5</v>
      </c>
      <c r="M680" s="4" cm="1">
        <f t="array" ref="M680">IFERROR(LOOKUP(2,1/(Table1[[#This Row],[2019-May]:[2025-July]]&lt;&gt;0),Table1[[#This Row],[2019-May]:[2025-July]]),0)</f>
        <v>0.9</v>
      </c>
      <c r="N680" s="4">
        <f>COUNTIF(Table1[[#This Row],[2019-Apr]:[2025-July]],"&gt;="&amp;Table1[[#This Row],[Target]])</f>
        <v>0</v>
      </c>
      <c r="O680" s="4">
        <f>IF(Table1[[#This Row],[Outliers 2Y]]=0,1,0)</f>
        <v>1</v>
      </c>
      <c r="P680" s="4">
        <f>IF(Table1[[#This Row],[Last value]]&gt;1.5*Table1[[#This Row],[Target]],1,0)</f>
        <v>0</v>
      </c>
      <c r="Q680" s="4">
        <f>IF(AND(1.5*Table1[[#This Row],[Target]]&gt;=Table1[[#This Row],[Last value]],Table1[[#This Row],[Last value]]&gt;Table1[[#This Row],[Target]]),1,0)</f>
        <v>0</v>
      </c>
      <c r="R680" s="4">
        <f>IF(Table1[[#This Row],[Target]]&gt;=Table1[[#This Row],[Last value]],1,0)</f>
        <v>1</v>
      </c>
      <c r="S680" s="4" t="str">
        <f t="shared" si="17"/>
        <v>Green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0.86</v>
      </c>
      <c r="AF680">
        <v>1.6</v>
      </c>
      <c r="AG680">
        <v>0.6</v>
      </c>
      <c r="AH680">
        <v>1</v>
      </c>
      <c r="AI680">
        <v>0</v>
      </c>
      <c r="AJ680">
        <v>0.76</v>
      </c>
      <c r="AK680">
        <v>0.6</v>
      </c>
      <c r="AL680">
        <v>0</v>
      </c>
      <c r="AM680">
        <v>0.46</v>
      </c>
      <c r="AN680">
        <v>1.3</v>
      </c>
      <c r="AO680">
        <v>1.65</v>
      </c>
      <c r="AP680">
        <v>0.37</v>
      </c>
      <c r="AQ680">
        <v>1</v>
      </c>
      <c r="AR680" s="8">
        <v>1.07</v>
      </c>
      <c r="AS680" s="8">
        <v>0</v>
      </c>
      <c r="AT680" s="8">
        <v>0</v>
      </c>
      <c r="AU680" s="3">
        <v>1.21</v>
      </c>
      <c r="AV680" s="3">
        <v>0.37</v>
      </c>
      <c r="AW680" s="3">
        <v>0.95</v>
      </c>
      <c r="AX680" s="3">
        <v>0.85</v>
      </c>
      <c r="AY680" s="3">
        <v>0.72</v>
      </c>
      <c r="AZ680" s="3">
        <v>1.3</v>
      </c>
      <c r="BA680" s="3">
        <v>0.4</v>
      </c>
      <c r="BB680" s="3">
        <v>1.4</v>
      </c>
      <c r="BC680" s="3">
        <v>0</v>
      </c>
      <c r="BD680">
        <v>0</v>
      </c>
      <c r="BE680" s="11">
        <v>1.3160000000000001</v>
      </c>
      <c r="BF680" s="4">
        <v>1.3160000000000001</v>
      </c>
      <c r="BG680" s="4">
        <v>1.3160000000000001</v>
      </c>
      <c r="BH680" s="4">
        <v>1.8580000000000001</v>
      </c>
      <c r="BI680" s="4">
        <v>1.1140000000000001</v>
      </c>
      <c r="BJ680" s="13">
        <v>1.032</v>
      </c>
      <c r="BK680" s="13">
        <v>0.44900000000000001</v>
      </c>
      <c r="BL680" s="4">
        <v>3.3</v>
      </c>
      <c r="BM680" s="16">
        <v>0.34399999999999997</v>
      </c>
      <c r="BN680" s="4">
        <v>0.83599999999999997</v>
      </c>
      <c r="BO680" s="4">
        <v>0.72299999999999998</v>
      </c>
      <c r="BP680" s="4">
        <v>0.745</v>
      </c>
      <c r="BQ680" s="4">
        <v>0.95899999999999996</v>
      </c>
      <c r="BR680" s="4">
        <v>0.63</v>
      </c>
      <c r="BS680" s="4">
        <v>0.60599999999999998</v>
      </c>
      <c r="BT680" s="4">
        <v>0.46</v>
      </c>
      <c r="BU680" s="4">
        <v>0.49099999999999999</v>
      </c>
      <c r="BV680" s="4">
        <v>0.54700000000000004</v>
      </c>
      <c r="BW680" s="4">
        <v>1.5109999999999999</v>
      </c>
      <c r="BX680" s="4">
        <v>0.47799999999999998</v>
      </c>
      <c r="BY680" s="4">
        <v>0.5</v>
      </c>
      <c r="BZ680">
        <v>0</v>
      </c>
      <c r="CA680">
        <v>0</v>
      </c>
      <c r="CB680">
        <v>0</v>
      </c>
      <c r="CC680">
        <v>0.51</v>
      </c>
      <c r="CD680">
        <v>0</v>
      </c>
      <c r="CE680" s="19">
        <v>0</v>
      </c>
      <c r="CF680" s="19">
        <v>0.7</v>
      </c>
      <c r="CG680" s="4">
        <v>0</v>
      </c>
      <c r="CH680" s="4">
        <v>0</v>
      </c>
      <c r="CI680" s="4">
        <v>0</v>
      </c>
      <c r="CJ680" s="34">
        <v>0.5</v>
      </c>
      <c r="CK680" s="34">
        <v>0.6</v>
      </c>
      <c r="CL680" s="43">
        <v>0</v>
      </c>
      <c r="CM680" s="4">
        <v>1.2</v>
      </c>
      <c r="CN680" s="53">
        <v>0.8</v>
      </c>
      <c r="CO680" s="54">
        <v>0.6</v>
      </c>
      <c r="CP680" s="54">
        <v>0</v>
      </c>
      <c r="CQ680" s="4">
        <v>0.9</v>
      </c>
    </row>
    <row r="681" spans="1:95" x14ac:dyDescent="0.35">
      <c r="A681" s="55">
        <v>680</v>
      </c>
      <c r="B681" t="s">
        <v>119</v>
      </c>
      <c r="C681" s="27" t="s">
        <v>953</v>
      </c>
      <c r="D681" s="3" t="s">
        <v>93</v>
      </c>
      <c r="E681" s="33" t="s">
        <v>89</v>
      </c>
      <c r="F681" s="4">
        <f>IFERROR(AVERAGEIF(Table1[[#This Row],[2019-Apr]:[2025-July]],"&lt;&gt;0"),0)</f>
        <v>1.6189999999999998</v>
      </c>
      <c r="G681" s="4">
        <f ca="1">IFERROR(AVERAGEIF(OFFSET(Table1[[#This Row],[Status]],0,COUNT(Table1[[#This Row],[2019-May]:[2025-July]]),1,-12),"&lt;&gt;0"),0)</f>
        <v>1.6544444444444444</v>
      </c>
      <c r="H681" s="55">
        <f>IFERROR(SMALL(Table1[[#This Row],[2019-Apr]:[2025-July]],COUNTIF(Table1[[#This Row],[2019-Apr]:[2025-July]],0)+1),0)</f>
        <v>1.02</v>
      </c>
      <c r="I681" s="55">
        <f>IFERROR(MAX(Table1[[#This Row],[2019-Apr]:[2025-July]]),0)</f>
        <v>2.2999999999999998</v>
      </c>
      <c r="J681" s="4" cm="1">
        <f t="array" ref="J68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1.3816666666666668</v>
      </c>
      <c r="K681" s="4">
        <v>4.5</v>
      </c>
      <c r="L681" s="4">
        <f>IF(Table1[[#This Row],[Standard as per ISO]]&gt;=Table1[[#This Row],[Avg of best 6]],Table1[[#This Row],[Standard as per ISO]],Table1[[#This Row],[Avg of best 6]])</f>
        <v>4.5</v>
      </c>
      <c r="M681" s="4" cm="1">
        <f t="array" ref="M681">IFERROR(LOOKUP(2,1/(Table1[[#This Row],[2019-May]:[2025-July]]&lt;&gt;0),Table1[[#This Row],[2019-May]:[2025-July]]),0)</f>
        <v>1.3</v>
      </c>
      <c r="N681" s="4">
        <f>COUNTIF(Table1[[#This Row],[2019-Apr]:[2025-July]],"&gt;="&amp;Table1[[#This Row],[Target]])</f>
        <v>0</v>
      </c>
      <c r="O681" s="4">
        <f>IF(Table1[[#This Row],[Outliers 2Y]]=0,1,0)</f>
        <v>1</v>
      </c>
      <c r="P681" s="4">
        <f>IF(Table1[[#This Row],[Last value]]&gt;1.5*Table1[[#This Row],[Target]],1,0)</f>
        <v>0</v>
      </c>
      <c r="Q681" s="4">
        <f>IF(AND(1.5*Table1[[#This Row],[Target]]&gt;=Table1[[#This Row],[Last value]],Table1[[#This Row],[Last value]]&gt;Table1[[#This Row],[Target]]),1,0)</f>
        <v>0</v>
      </c>
      <c r="R681" s="4">
        <f>IF(Table1[[#This Row],[Target]]&gt;=Table1[[#This Row],[Last value]],1,0)</f>
        <v>1</v>
      </c>
      <c r="S681" s="4" t="str">
        <f t="shared" ref="S681:S716" si="18">IF(P681=1, "Red", IF(Q681=1, "Yellow", "Green"))</f>
        <v>Green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 s="4">
        <v>1.02</v>
      </c>
      <c r="CI681" s="4">
        <v>1.57</v>
      </c>
      <c r="CJ681" s="34">
        <v>2</v>
      </c>
      <c r="CK681" s="34">
        <v>1.3</v>
      </c>
      <c r="CL681" s="27">
        <v>1.8</v>
      </c>
      <c r="CM681" s="4">
        <v>1.5</v>
      </c>
      <c r="CN681" s="53">
        <v>2.2999999999999998</v>
      </c>
      <c r="CO681" s="54">
        <v>1.8</v>
      </c>
      <c r="CP681" s="54">
        <v>1.6</v>
      </c>
      <c r="CQ681" s="4">
        <v>1.3</v>
      </c>
    </row>
    <row r="682" spans="1:95" x14ac:dyDescent="0.35">
      <c r="A682" s="55">
        <v>681</v>
      </c>
      <c r="B682" t="s">
        <v>119</v>
      </c>
      <c r="C682" s="27" t="s">
        <v>954</v>
      </c>
      <c r="D682" s="3" t="s">
        <v>93</v>
      </c>
      <c r="E682" s="33" t="s">
        <v>89</v>
      </c>
      <c r="F682" s="4">
        <f>IFERROR(AVERAGEIF(Table1[[#This Row],[2019-Apr]:[2025-July]],"&lt;&gt;0"),0)</f>
        <v>1.3169999999999999</v>
      </c>
      <c r="G682" s="4">
        <f ca="1">IFERROR(AVERAGEIF(OFFSET(Table1[[#This Row],[Status]],0,COUNT(Table1[[#This Row],[2019-May]:[2025-July]]),1,-12),"&lt;&gt;0"),0)</f>
        <v>1.2855555555555556</v>
      </c>
      <c r="H682" s="55">
        <f>IFERROR(SMALL(Table1[[#This Row],[2019-Apr]:[2025-July]],COUNTIF(Table1[[#This Row],[2019-Apr]:[2025-July]],0)+1),0)</f>
        <v>0.9</v>
      </c>
      <c r="I682" s="55">
        <f>IFERROR(MAX(Table1[[#This Row],[2019-Apr]:[2025-July]]),0)</f>
        <v>2.1</v>
      </c>
      <c r="J682" s="4" cm="1">
        <f t="array" ref="J68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1.0666666666666667</v>
      </c>
      <c r="K682" s="4">
        <v>4.5</v>
      </c>
      <c r="L682" s="4">
        <f>IF(Table1[[#This Row],[Standard as per ISO]]&gt;=Table1[[#This Row],[Avg of best 6]],Table1[[#This Row],[Standard as per ISO]],Table1[[#This Row],[Avg of best 6]])</f>
        <v>4.5</v>
      </c>
      <c r="M682" s="4" cm="1">
        <f t="array" ref="M682">IFERROR(LOOKUP(2,1/(Table1[[#This Row],[2019-May]:[2025-July]]&lt;&gt;0),Table1[[#This Row],[2019-May]:[2025-July]]),0)</f>
        <v>1.6</v>
      </c>
      <c r="N682" s="4">
        <f>COUNTIF(Table1[[#This Row],[2019-Apr]:[2025-July]],"&gt;="&amp;Table1[[#This Row],[Target]])</f>
        <v>0</v>
      </c>
      <c r="O682" s="4">
        <f>IF(Table1[[#This Row],[Outliers 2Y]]=0,1,0)</f>
        <v>1</v>
      </c>
      <c r="P682" s="4">
        <f>IF(Table1[[#This Row],[Last value]]&gt;1.5*Table1[[#This Row],[Target]],1,0)</f>
        <v>0</v>
      </c>
      <c r="Q682" s="4">
        <f>IF(AND(1.5*Table1[[#This Row],[Target]]&gt;=Table1[[#This Row],[Last value]],Table1[[#This Row],[Last value]]&gt;Table1[[#This Row],[Target]]),1,0)</f>
        <v>0</v>
      </c>
      <c r="R682" s="4">
        <f>IF(Table1[[#This Row],[Target]]&gt;=Table1[[#This Row],[Last value]],1,0)</f>
        <v>1</v>
      </c>
      <c r="S682" s="4" t="str">
        <f t="shared" si="18"/>
        <v>Green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 s="4">
        <v>1.37</v>
      </c>
      <c r="CI682" s="4">
        <v>1.3</v>
      </c>
      <c r="CJ682" s="34">
        <v>1.7</v>
      </c>
      <c r="CK682" s="34">
        <v>1</v>
      </c>
      <c r="CL682" s="27">
        <v>1</v>
      </c>
      <c r="CM682" s="4">
        <v>2.1</v>
      </c>
      <c r="CN682" s="53">
        <v>1.2</v>
      </c>
      <c r="CO682" s="54">
        <v>0.9</v>
      </c>
      <c r="CP682" s="54">
        <v>1</v>
      </c>
      <c r="CQ682" s="4">
        <v>1.6</v>
      </c>
    </row>
    <row r="683" spans="1:95" x14ac:dyDescent="0.35">
      <c r="A683" s="55">
        <v>682</v>
      </c>
      <c r="B683" t="s">
        <v>119</v>
      </c>
      <c r="C683" s="27" t="s">
        <v>955</v>
      </c>
      <c r="D683" s="3" t="s">
        <v>93</v>
      </c>
      <c r="E683" s="33" t="s">
        <v>89</v>
      </c>
      <c r="F683" s="4">
        <f>IFERROR(AVERAGEIF(Table1[[#This Row],[2019-Apr]:[2025-July]],"&lt;&gt;0"),0)</f>
        <v>2.1459999999999999</v>
      </c>
      <c r="G683" s="4">
        <f ca="1">IFERROR(AVERAGEIF(OFFSET(Table1[[#This Row],[Status]],0,COUNT(Table1[[#This Row],[2019-May]:[2025-July]]),1,-12),"&lt;&gt;0"),0)</f>
        <v>2.2066666666666666</v>
      </c>
      <c r="H683" s="55">
        <f>IFERROR(SMALL(Table1[[#This Row],[2019-Apr]:[2025-July]],COUNTIF(Table1[[#This Row],[2019-Apr]:[2025-July]],0)+1),0)</f>
        <v>1.6</v>
      </c>
      <c r="I683" s="55">
        <f>IFERROR(MAX(Table1[[#This Row],[2019-Apr]:[2025-July]]),0)</f>
        <v>3</v>
      </c>
      <c r="J683" s="4" cm="1">
        <f t="array" ref="J68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1.7999999999999998</v>
      </c>
      <c r="K683" s="4">
        <v>4.5</v>
      </c>
      <c r="L683" s="4">
        <f>IF(Table1[[#This Row],[Standard as per ISO]]&gt;=Table1[[#This Row],[Avg of best 6]],Table1[[#This Row],[Standard as per ISO]],Table1[[#This Row],[Avg of best 6]])</f>
        <v>4.5</v>
      </c>
      <c r="M683" s="4" cm="1">
        <f t="array" ref="M683">IFERROR(LOOKUP(2,1/(Table1[[#This Row],[2019-May]:[2025-July]]&lt;&gt;0),Table1[[#This Row],[2019-May]:[2025-July]]),0)</f>
        <v>1.6</v>
      </c>
      <c r="N683" s="4">
        <f>COUNTIF(Table1[[#This Row],[2019-Apr]:[2025-July]],"&gt;="&amp;Table1[[#This Row],[Target]])</f>
        <v>0</v>
      </c>
      <c r="O683" s="4">
        <f>IF(Table1[[#This Row],[Outliers 2Y]]=0,1,0)</f>
        <v>1</v>
      </c>
      <c r="P683" s="4">
        <f>IF(Table1[[#This Row],[Last value]]&gt;1.5*Table1[[#This Row],[Target]],1,0)</f>
        <v>0</v>
      </c>
      <c r="Q683" s="4">
        <f>IF(AND(1.5*Table1[[#This Row],[Target]]&gt;=Table1[[#This Row],[Last value]],Table1[[#This Row],[Last value]]&gt;Table1[[#This Row],[Target]]),1,0)</f>
        <v>0</v>
      </c>
      <c r="R683" s="4">
        <f>IF(Table1[[#This Row],[Target]]&gt;=Table1[[#This Row],[Last value]],1,0)</f>
        <v>1</v>
      </c>
      <c r="S683" s="4" t="str">
        <f t="shared" si="18"/>
        <v>Green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 s="4">
        <v>2.96</v>
      </c>
      <c r="CI683" s="4">
        <v>3</v>
      </c>
      <c r="CJ683" s="34">
        <v>1.8</v>
      </c>
      <c r="CK683" s="34">
        <v>2.4</v>
      </c>
      <c r="CL683" s="27">
        <v>2</v>
      </c>
      <c r="CM683" s="4">
        <v>2.1</v>
      </c>
      <c r="CN683" s="53">
        <v>2.2999999999999998</v>
      </c>
      <c r="CO683" s="54">
        <v>1.6</v>
      </c>
      <c r="CP683" s="54">
        <v>1.7</v>
      </c>
      <c r="CQ683" s="4">
        <v>1.6</v>
      </c>
    </row>
    <row r="684" spans="1:95" x14ac:dyDescent="0.35">
      <c r="A684" s="55">
        <v>683</v>
      </c>
      <c r="B684" t="s">
        <v>119</v>
      </c>
      <c r="C684" s="27" t="s">
        <v>956</v>
      </c>
      <c r="D684" s="3" t="s">
        <v>93</v>
      </c>
      <c r="E684" s="33" t="s">
        <v>89</v>
      </c>
      <c r="F684" s="4">
        <f>IFERROR(AVERAGEIF(Table1[[#This Row],[2019-Apr]:[2025-July]],"&lt;&gt;0"),0)</f>
        <v>2.1859999999999999</v>
      </c>
      <c r="G684" s="4">
        <f ca="1">IFERROR(AVERAGEIF(OFFSET(Table1[[#This Row],[Status]],0,COUNT(Table1[[#This Row],[2019-May]:[2025-July]]),1,-12),"&lt;&gt;0"),0)</f>
        <v>2.1288888888888891</v>
      </c>
      <c r="H684" s="55">
        <f>IFERROR(SMALL(Table1[[#This Row],[2019-Apr]:[2025-July]],COUNTIF(Table1[[#This Row],[2019-Apr]:[2025-July]],0)+1),0)</f>
        <v>1.3</v>
      </c>
      <c r="I684" s="55">
        <f>IFERROR(MAX(Table1[[#This Row],[2019-Apr]:[2025-July]]),0)</f>
        <v>3.2</v>
      </c>
      <c r="J684" s="4" cm="1">
        <f t="array" ref="J68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1.7716666666666665</v>
      </c>
      <c r="K684" s="4">
        <v>4.5</v>
      </c>
      <c r="L684" s="4">
        <f>IF(Table1[[#This Row],[Standard as per ISO]]&gt;=Table1[[#This Row],[Avg of best 6]],Table1[[#This Row],[Standard as per ISO]],Table1[[#This Row],[Avg of best 6]])</f>
        <v>4.5</v>
      </c>
      <c r="M684" s="4" cm="1">
        <f t="array" ref="M684">IFERROR(LOOKUP(2,1/(Table1[[#This Row],[2019-May]:[2025-July]]&lt;&gt;0),Table1[[#This Row],[2019-May]:[2025-July]]),0)</f>
        <v>2.7</v>
      </c>
      <c r="N684" s="4">
        <f>COUNTIF(Table1[[#This Row],[2019-Apr]:[2025-July]],"&gt;="&amp;Table1[[#This Row],[Target]])</f>
        <v>0</v>
      </c>
      <c r="O684" s="4">
        <f>IF(Table1[[#This Row],[Outliers 2Y]]=0,1,0)</f>
        <v>1</v>
      </c>
      <c r="P684" s="4">
        <f>IF(Table1[[#This Row],[Last value]]&gt;1.5*Table1[[#This Row],[Target]],1,0)</f>
        <v>0</v>
      </c>
      <c r="Q684" s="4">
        <f>IF(AND(1.5*Table1[[#This Row],[Target]]&gt;=Table1[[#This Row],[Last value]],Table1[[#This Row],[Last value]]&gt;Table1[[#This Row],[Target]]),1,0)</f>
        <v>0</v>
      </c>
      <c r="R684" s="4">
        <f>IF(Table1[[#This Row],[Target]]&gt;=Table1[[#This Row],[Last value]],1,0)</f>
        <v>1</v>
      </c>
      <c r="S684" s="4" t="str">
        <f t="shared" si="18"/>
        <v>Green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 s="4">
        <v>2.0299999999999998</v>
      </c>
      <c r="CI684" s="4">
        <v>3.03</v>
      </c>
      <c r="CJ684" s="34">
        <v>1.8</v>
      </c>
      <c r="CK684" s="34">
        <v>2.1</v>
      </c>
      <c r="CL684" s="27">
        <v>3.2</v>
      </c>
      <c r="CM684" s="4">
        <v>1.7</v>
      </c>
      <c r="CN684" s="53">
        <v>2.2999999999999998</v>
      </c>
      <c r="CO684" s="54">
        <v>1.3</v>
      </c>
      <c r="CP684" s="54">
        <v>1.7</v>
      </c>
      <c r="CQ684" s="4">
        <v>2.7</v>
      </c>
    </row>
    <row r="685" spans="1:95" x14ac:dyDescent="0.35">
      <c r="A685" s="55">
        <v>684</v>
      </c>
      <c r="B685" t="s">
        <v>119</v>
      </c>
      <c r="C685" s="27" t="s">
        <v>957</v>
      </c>
      <c r="D685" s="3" t="s">
        <v>93</v>
      </c>
      <c r="E685" s="33" t="s">
        <v>89</v>
      </c>
      <c r="F685" s="4">
        <f>IFERROR(AVERAGEIF(Table1[[#This Row],[2019-Apr]:[2025-July]],"&lt;&gt;0"),0)</f>
        <v>4.4450000000000003</v>
      </c>
      <c r="G685" s="4">
        <f ca="1">IFERROR(AVERAGEIF(OFFSET(Table1[[#This Row],[Status]],0,COUNT(Table1[[#This Row],[2019-May]:[2025-July]]),1,-12),"&lt;&gt;0"),0)</f>
        <v>4.6388888888888893</v>
      </c>
      <c r="H685" s="55">
        <f>IFERROR(SMALL(Table1[[#This Row],[2019-Apr]:[2025-July]],COUNTIF(Table1[[#This Row],[2019-Apr]:[2025-July]],0)+1),0)</f>
        <v>2.7</v>
      </c>
      <c r="I685" s="55">
        <f>IFERROR(MAX(Table1[[#This Row],[2019-Apr]:[2025-July]]),0)</f>
        <v>6.5</v>
      </c>
      <c r="J685" s="4" cm="1">
        <f t="array" ref="J68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3.7016666666666667</v>
      </c>
      <c r="K685" s="4">
        <v>4.5</v>
      </c>
      <c r="L685" s="4">
        <f>IF(Table1[[#This Row],[Standard as per ISO]]&gt;=Table1[[#This Row],[Avg of best 6]],Table1[[#This Row],[Standard as per ISO]],Table1[[#This Row],[Avg of best 6]])</f>
        <v>4.5</v>
      </c>
      <c r="M685" s="4" cm="1">
        <f t="array" ref="M685">IFERROR(LOOKUP(2,1/(Table1[[#This Row],[2019-May]:[2025-July]]&lt;&gt;0),Table1[[#This Row],[2019-May]:[2025-July]]),0)</f>
        <v>2.7</v>
      </c>
      <c r="N685" s="4">
        <f>COUNTIF(Table1[[#This Row],[2019-Apr]:[2025-July]],"&gt;="&amp;Table1[[#This Row],[Target]])</f>
        <v>5</v>
      </c>
      <c r="O685" s="4">
        <f>IF(Table1[[#This Row],[Outliers 2Y]]=0,1,0)</f>
        <v>0</v>
      </c>
      <c r="P685" s="4">
        <f>IF(Table1[[#This Row],[Last value]]&gt;1.5*Table1[[#This Row],[Target]],1,0)</f>
        <v>0</v>
      </c>
      <c r="Q685" s="4">
        <f>IF(AND(1.5*Table1[[#This Row],[Target]]&gt;=Table1[[#This Row],[Last value]],Table1[[#This Row],[Last value]]&gt;Table1[[#This Row],[Target]]),1,0)</f>
        <v>0</v>
      </c>
      <c r="R685" s="4">
        <f>IF(Table1[[#This Row],[Target]]&gt;=Table1[[#This Row],[Last value]],1,0)</f>
        <v>1</v>
      </c>
      <c r="S685" s="4" t="str">
        <f t="shared" si="18"/>
        <v>Green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 s="4">
        <v>4.54</v>
      </c>
      <c r="CI685" s="4">
        <v>4.51</v>
      </c>
      <c r="CJ685" s="34">
        <v>4.0999999999999996</v>
      </c>
      <c r="CK685" s="34">
        <v>5.3</v>
      </c>
      <c r="CL685" s="27">
        <v>4</v>
      </c>
      <c r="CM685" s="4">
        <v>3.3</v>
      </c>
      <c r="CN685" s="53">
        <v>3.6</v>
      </c>
      <c r="CO685" s="54">
        <v>6.5</v>
      </c>
      <c r="CP685" s="54">
        <v>5.9</v>
      </c>
      <c r="CQ685" s="4">
        <v>2.7</v>
      </c>
    </row>
    <row r="686" spans="1:95" x14ac:dyDescent="0.35">
      <c r="A686" s="55">
        <v>685</v>
      </c>
      <c r="B686" t="s">
        <v>119</v>
      </c>
      <c r="C686" s="27" t="s">
        <v>958</v>
      </c>
      <c r="D686" s="3" t="s">
        <v>93</v>
      </c>
      <c r="E686" s="33" t="s">
        <v>89</v>
      </c>
      <c r="F686" s="4">
        <f>IFERROR(AVERAGEIF(Table1[[#This Row],[2019-Apr]:[2025-July]],"&lt;&gt;0"),0)</f>
        <v>5.2030000000000003</v>
      </c>
      <c r="G686" s="4">
        <f ca="1">IFERROR(AVERAGEIF(OFFSET(Table1[[#This Row],[Status]],0,COUNT(Table1[[#This Row],[2019-May]:[2025-July]]),1,-12),"&lt;&gt;0"),0)</f>
        <v>5.181111111111111</v>
      </c>
      <c r="H686" s="55">
        <f>IFERROR(SMALL(Table1[[#This Row],[2019-Apr]:[2025-July]],COUNTIF(Table1[[#This Row],[2019-Apr]:[2025-July]],0)+1),0)</f>
        <v>3</v>
      </c>
      <c r="I686" s="55">
        <f>IFERROR(MAX(Table1[[#This Row],[2019-Apr]:[2025-July]]),0)</f>
        <v>6.63</v>
      </c>
      <c r="J686" s="4" cm="1">
        <f t="array" ref="J68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4.5166666666666666</v>
      </c>
      <c r="K686" s="4">
        <v>4.5</v>
      </c>
      <c r="L686" s="4">
        <v>4.5</v>
      </c>
      <c r="M686" s="4" cm="1">
        <f t="array" ref="M686">IFERROR(LOOKUP(2,1/(Table1[[#This Row],[2019-May]:[2025-July]]&lt;&gt;0),Table1[[#This Row],[2019-May]:[2025-July]]),0)</f>
        <v>5.4</v>
      </c>
      <c r="N686" s="4">
        <f>COUNTIF(Table1[[#This Row],[2019-Apr]:[2025-July]],"&gt;="&amp;Table1[[#This Row],[Target]])</f>
        <v>7</v>
      </c>
      <c r="O686" s="4">
        <f>IF(Table1[[#This Row],[Outliers 2Y]]=0,1,0)</f>
        <v>0</v>
      </c>
      <c r="P686" s="4">
        <f>IF(Table1[[#This Row],[Last value]]&gt;1.5*Table1[[#This Row],[Target]],1,0)</f>
        <v>0</v>
      </c>
      <c r="Q686" s="4">
        <f>IF(AND(1.5*Table1[[#This Row],[Target]]&gt;=Table1[[#This Row],[Last value]],Table1[[#This Row],[Last value]]&gt;Table1[[#This Row],[Target]]),1,0)</f>
        <v>1</v>
      </c>
      <c r="R686" s="4">
        <f>IF(Table1[[#This Row],[Target]]&gt;=Table1[[#This Row],[Last value]],1,0)</f>
        <v>0</v>
      </c>
      <c r="S686" s="4" t="str">
        <f t="shared" si="18"/>
        <v>Yellow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 s="4">
        <v>3</v>
      </c>
      <c r="CI686" s="4">
        <v>6.63</v>
      </c>
      <c r="CJ686" s="34">
        <v>6.5</v>
      </c>
      <c r="CK686" s="34">
        <v>5.9</v>
      </c>
      <c r="CL686" s="27">
        <v>4.8</v>
      </c>
      <c r="CM686" s="4">
        <v>4.3</v>
      </c>
      <c r="CN686" s="53">
        <v>3.9</v>
      </c>
      <c r="CO686" s="54">
        <v>5.7</v>
      </c>
      <c r="CP686" s="54">
        <v>5.9</v>
      </c>
      <c r="CQ686" s="4">
        <v>5.4</v>
      </c>
    </row>
    <row r="687" spans="1:95" x14ac:dyDescent="0.35">
      <c r="A687" s="55">
        <v>686</v>
      </c>
      <c r="B687" t="s">
        <v>119</v>
      </c>
      <c r="C687" s="27" t="s">
        <v>959</v>
      </c>
      <c r="D687" s="3" t="s">
        <v>94</v>
      </c>
      <c r="E687" s="33" t="s">
        <v>89</v>
      </c>
      <c r="F687" s="4">
        <f>IFERROR(AVERAGEIF(Table1[[#This Row],[2019-Apr]:[2025-July]],"&lt;&gt;0"),0)</f>
        <v>2.4980000000000002</v>
      </c>
      <c r="G687" s="4">
        <f ca="1">IFERROR(AVERAGEIF(OFFSET(Table1[[#This Row],[Status]],0,COUNT(Table1[[#This Row],[2019-May]:[2025-July]]),1,-12),"&lt;&gt;0"),0)</f>
        <v>2.4750000000000001</v>
      </c>
      <c r="H687" s="55">
        <f>IFERROR(SMALL(Table1[[#This Row],[2019-Apr]:[2025-July]],COUNTIF(Table1[[#This Row],[2019-Apr]:[2025-July]],0)+1),0)</f>
        <v>2.1</v>
      </c>
      <c r="I687" s="55">
        <f>IFERROR(MAX(Table1[[#This Row],[2019-Apr]:[2025-July]]),0)</f>
        <v>2.8</v>
      </c>
      <c r="J687" s="4" cm="1">
        <f t="array" ref="J68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2.4980000000000002</v>
      </c>
      <c r="K687" s="4">
        <v>4.5</v>
      </c>
      <c r="L687" s="4">
        <f>IF(Table1[[#This Row],[Standard as per ISO]]&gt;=Table1[[#This Row],[Avg of best 6]],Table1[[#This Row],[Standard as per ISO]],Table1[[#This Row],[Avg of best 6]])</f>
        <v>4.5</v>
      </c>
      <c r="M687" s="4" cm="1">
        <f t="array" ref="M687">IFERROR(LOOKUP(2,1/(Table1[[#This Row],[2019-May]:[2025-July]]&lt;&gt;0),Table1[[#This Row],[2019-May]:[2025-July]]),0)</f>
        <v>2.59</v>
      </c>
      <c r="N687" s="4">
        <f>COUNTIF(Table1[[#This Row],[2019-Apr]:[2025-July]],"&gt;="&amp;Table1[[#This Row],[Target]])</f>
        <v>0</v>
      </c>
      <c r="O687" s="4">
        <f>IF(Table1[[#This Row],[Outliers 2Y]]=0,1,0)</f>
        <v>1</v>
      </c>
      <c r="P687" s="4">
        <f>IF(Table1[[#This Row],[Last value]]&gt;1.5*Table1[[#This Row],[Target]],1,0)</f>
        <v>0</v>
      </c>
      <c r="Q687" s="4">
        <f>IF(AND(1.5*Table1[[#This Row],[Target]]&gt;=Table1[[#This Row],[Last value]],Table1[[#This Row],[Last value]]&gt;Table1[[#This Row],[Target]]),1,0)</f>
        <v>0</v>
      </c>
      <c r="R687" s="4">
        <f>IF(Table1[[#This Row],[Target]]&gt;=Table1[[#This Row],[Last value]],1,0)</f>
        <v>1</v>
      </c>
      <c r="S687" s="4" t="str">
        <f t="shared" si="18"/>
        <v>Green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 s="34">
        <v>0</v>
      </c>
      <c r="CK687" s="34">
        <v>0</v>
      </c>
      <c r="CL687" s="43">
        <v>2.2999999999999998</v>
      </c>
      <c r="CM687" s="4">
        <v>2.1</v>
      </c>
      <c r="CN687" s="53">
        <v>0</v>
      </c>
      <c r="CO687" s="54">
        <v>2.7</v>
      </c>
      <c r="CP687" s="54">
        <v>2.8</v>
      </c>
      <c r="CQ687" s="4">
        <v>2.59</v>
      </c>
    </row>
    <row r="688" spans="1:95" x14ac:dyDescent="0.35">
      <c r="A688" s="55">
        <v>687</v>
      </c>
      <c r="B688" t="s">
        <v>119</v>
      </c>
      <c r="C688" s="27" t="s">
        <v>960</v>
      </c>
      <c r="D688" s="3" t="s">
        <v>94</v>
      </c>
      <c r="E688" s="33" t="s">
        <v>89</v>
      </c>
      <c r="F688" s="4">
        <f>IFERROR(AVERAGEIF(Table1[[#This Row],[2019-Apr]:[2025-July]],"&lt;&gt;0"),0)</f>
        <v>2.8639999999999999</v>
      </c>
      <c r="G688" s="4">
        <f ca="1">IFERROR(AVERAGEIF(OFFSET(Table1[[#This Row],[Status]],0,COUNT(Table1[[#This Row],[2019-May]:[2025-July]]),1,-12),"&lt;&gt;0"),0)</f>
        <v>2.8639999999999999</v>
      </c>
      <c r="H688" s="55">
        <f>IFERROR(SMALL(Table1[[#This Row],[2019-Apr]:[2025-July]],COUNTIF(Table1[[#This Row],[2019-Apr]:[2025-July]],0)+1),0)</f>
        <v>2.2200000000000002</v>
      </c>
      <c r="I688" s="55">
        <f>IFERROR(MAX(Table1[[#This Row],[2019-Apr]:[2025-July]]),0)</f>
        <v>3.2</v>
      </c>
      <c r="J688" s="4" cm="1">
        <f t="array" ref="J68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2.8639999999999999</v>
      </c>
      <c r="K688" s="4">
        <v>4.5</v>
      </c>
      <c r="L688" s="4">
        <f>IF(Table1[[#This Row],[Standard as per ISO]]&gt;=Table1[[#This Row],[Avg of best 6]],Table1[[#This Row],[Standard as per ISO]],Table1[[#This Row],[Avg of best 6]])</f>
        <v>4.5</v>
      </c>
      <c r="M688" s="4" cm="1">
        <f t="array" ref="M688">IFERROR(LOOKUP(2,1/(Table1[[#This Row],[2019-May]:[2025-July]]&lt;&gt;0),Table1[[#This Row],[2019-May]:[2025-July]]),0)</f>
        <v>3.2</v>
      </c>
      <c r="N688" s="4">
        <f>COUNTIF(Table1[[#This Row],[2019-Apr]:[2025-July]],"&gt;="&amp;Table1[[#This Row],[Target]])</f>
        <v>0</v>
      </c>
      <c r="O688" s="4">
        <f>IF(Table1[[#This Row],[Outliers 2Y]]=0,1,0)</f>
        <v>1</v>
      </c>
      <c r="P688" s="4">
        <f>IF(Table1[[#This Row],[Last value]]&gt;1.5*Table1[[#This Row],[Target]],1,0)</f>
        <v>0</v>
      </c>
      <c r="Q688" s="4">
        <f>IF(AND(1.5*Table1[[#This Row],[Target]]&gt;=Table1[[#This Row],[Last value]],Table1[[#This Row],[Last value]]&gt;Table1[[#This Row],[Target]]),1,0)</f>
        <v>0</v>
      </c>
      <c r="R688" s="4">
        <f>IF(Table1[[#This Row],[Target]]&gt;=Table1[[#This Row],[Last value]],1,0)</f>
        <v>1</v>
      </c>
      <c r="S688" s="4" t="str">
        <f t="shared" si="18"/>
        <v>Green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 s="34">
        <v>3.1</v>
      </c>
      <c r="CK688" s="34">
        <v>2.8</v>
      </c>
      <c r="CL688" s="43">
        <v>0</v>
      </c>
      <c r="CM688" s="4">
        <v>3</v>
      </c>
      <c r="CN688" s="53">
        <v>0</v>
      </c>
      <c r="CO688" s="54">
        <v>2.2200000000000002</v>
      </c>
      <c r="CP688" s="54">
        <v>3.2</v>
      </c>
      <c r="CQ688" s="4">
        <v>0</v>
      </c>
    </row>
    <row r="689" spans="1:95" x14ac:dyDescent="0.35">
      <c r="A689" s="55">
        <v>688</v>
      </c>
      <c r="B689" t="s">
        <v>119</v>
      </c>
      <c r="C689" s="27" t="s">
        <v>961</v>
      </c>
      <c r="D689" s="3" t="s">
        <v>94</v>
      </c>
      <c r="E689" s="33" t="s">
        <v>89</v>
      </c>
      <c r="F689" s="4">
        <f>IFERROR(AVERAGEIF(Table1[[#This Row],[2019-Apr]:[2025-July]],"&lt;&gt;0"),0)</f>
        <v>2.48</v>
      </c>
      <c r="G689" s="4">
        <f ca="1">IFERROR(AVERAGEIF(OFFSET(Table1[[#This Row],[Status]],0,COUNT(Table1[[#This Row],[2019-May]:[2025-July]]),1,-12),"&lt;&gt;0"),0)</f>
        <v>2.3000000000000003</v>
      </c>
      <c r="H689" s="55">
        <f>IFERROR(SMALL(Table1[[#This Row],[2019-Apr]:[2025-July]],COUNTIF(Table1[[#This Row],[2019-Apr]:[2025-July]],0)+1),0)</f>
        <v>2</v>
      </c>
      <c r="I689" s="55">
        <f>IFERROR(MAX(Table1[[#This Row],[2019-Apr]:[2025-July]]),0)</f>
        <v>3.02</v>
      </c>
      <c r="J689" s="4" cm="1">
        <f t="array" ref="J68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2.48</v>
      </c>
      <c r="K689" s="4">
        <v>4.5</v>
      </c>
      <c r="L689" s="4">
        <f>IF(Table1[[#This Row],[Standard as per ISO]]&gt;=Table1[[#This Row],[Avg of best 6]],Table1[[#This Row],[Standard as per ISO]],Table1[[#This Row],[Avg of best 6]])</f>
        <v>4.5</v>
      </c>
      <c r="M689" s="4" cm="1">
        <f t="array" ref="M689">IFERROR(LOOKUP(2,1/(Table1[[#This Row],[2019-May]:[2025-July]]&lt;&gt;0),Table1[[#This Row],[2019-May]:[2025-July]]),0)</f>
        <v>3.02</v>
      </c>
      <c r="N689" s="4">
        <f>COUNTIF(Table1[[#This Row],[2019-Apr]:[2025-July]],"&gt;="&amp;Table1[[#This Row],[Target]])</f>
        <v>0</v>
      </c>
      <c r="O689" s="4">
        <f>IF(Table1[[#This Row],[Outliers 2Y]]=0,1,0)</f>
        <v>1</v>
      </c>
      <c r="P689" s="4">
        <f>IF(Table1[[#This Row],[Last value]]&gt;1.5*Table1[[#This Row],[Target]],1,0)</f>
        <v>0</v>
      </c>
      <c r="Q689" s="4">
        <f>IF(AND(1.5*Table1[[#This Row],[Target]]&gt;=Table1[[#This Row],[Last value]],Table1[[#This Row],[Last value]]&gt;Table1[[#This Row],[Target]]),1,0)</f>
        <v>0</v>
      </c>
      <c r="R689" s="4">
        <f>IF(Table1[[#This Row],[Target]]&gt;=Table1[[#This Row],[Last value]],1,0)</f>
        <v>1</v>
      </c>
      <c r="S689" s="4" t="str">
        <f t="shared" si="18"/>
        <v>Green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 s="34">
        <v>2.2000000000000002</v>
      </c>
      <c r="CK689" s="34">
        <v>2.7</v>
      </c>
      <c r="CL689" s="43">
        <v>2</v>
      </c>
      <c r="CM689" s="4">
        <v>0</v>
      </c>
      <c r="CN689" s="53">
        <v>0</v>
      </c>
      <c r="CO689" s="54">
        <v>0</v>
      </c>
      <c r="CP689" s="54">
        <v>0</v>
      </c>
      <c r="CQ689" s="4">
        <v>3.02</v>
      </c>
    </row>
    <row r="690" spans="1:95" x14ac:dyDescent="0.35">
      <c r="A690" s="55">
        <v>689</v>
      </c>
      <c r="B690" t="s">
        <v>119</v>
      </c>
      <c r="C690" s="27" t="s">
        <v>962</v>
      </c>
      <c r="D690" s="3" t="s">
        <v>94</v>
      </c>
      <c r="E690" s="33" t="s">
        <v>89</v>
      </c>
      <c r="F690" s="4">
        <f>IFERROR(AVERAGEIF(Table1[[#This Row],[2019-Apr]:[2025-July]],"&lt;&gt;0"),0)</f>
        <v>4.2859999999999996</v>
      </c>
      <c r="G690" s="4">
        <f ca="1">IFERROR(AVERAGEIF(OFFSET(Table1[[#This Row],[Status]],0,COUNT(Table1[[#This Row],[2019-May]:[2025-July]]),1,-12),"&lt;&gt;0"),0)</f>
        <v>4.2750000000000004</v>
      </c>
      <c r="H690" s="55">
        <f>IFERROR(SMALL(Table1[[#This Row],[2019-Apr]:[2025-July]],COUNTIF(Table1[[#This Row],[2019-Apr]:[2025-July]],0)+1),0)</f>
        <v>2</v>
      </c>
      <c r="I690" s="55">
        <f>IFERROR(MAX(Table1[[#This Row],[2019-Apr]:[2025-July]]),0)</f>
        <v>5.8</v>
      </c>
      <c r="J690" s="4" cm="1">
        <f t="array" ref="J69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4.2859999999999996</v>
      </c>
      <c r="K690" s="4">
        <v>4.5</v>
      </c>
      <c r="L690" s="4">
        <f>IF(Table1[[#This Row],[Standard as per ISO]]&gt;=Table1[[#This Row],[Avg of best 6]],Table1[[#This Row],[Standard as per ISO]],Table1[[#This Row],[Avg of best 6]])</f>
        <v>4.5</v>
      </c>
      <c r="M690" s="4" cm="1">
        <f t="array" ref="M690">IFERROR(LOOKUP(2,1/(Table1[[#This Row],[2019-May]:[2025-July]]&lt;&gt;0),Table1[[#This Row],[2019-May]:[2025-July]]),0)</f>
        <v>4.33</v>
      </c>
      <c r="N690" s="4">
        <f>COUNTIF(Table1[[#This Row],[2019-Apr]:[2025-July]],"&gt;="&amp;Table1[[#This Row],[Target]])</f>
        <v>2</v>
      </c>
      <c r="O690" s="4">
        <f>IF(Table1[[#This Row],[Outliers 2Y]]=0,1,0)</f>
        <v>0</v>
      </c>
      <c r="P690" s="4">
        <f>IF(Table1[[#This Row],[Last value]]&gt;1.5*Table1[[#This Row],[Target]],1,0)</f>
        <v>0</v>
      </c>
      <c r="Q690" s="4">
        <f>IF(AND(1.5*Table1[[#This Row],[Target]]&gt;=Table1[[#This Row],[Last value]],Table1[[#This Row],[Last value]]&gt;Table1[[#This Row],[Target]]),1,0)</f>
        <v>0</v>
      </c>
      <c r="R690" s="4">
        <f>IF(Table1[[#This Row],[Target]]&gt;=Table1[[#This Row],[Last value]],1,0)</f>
        <v>1</v>
      </c>
      <c r="S690" s="4" t="str">
        <f t="shared" si="18"/>
        <v>Green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 s="34">
        <v>0</v>
      </c>
      <c r="CK690" s="34">
        <v>2</v>
      </c>
      <c r="CL690" s="43">
        <v>5.5</v>
      </c>
      <c r="CM690" s="4">
        <v>3.8</v>
      </c>
      <c r="CN690" s="53">
        <v>0</v>
      </c>
      <c r="CO690" s="54">
        <v>5.8</v>
      </c>
      <c r="CP690" s="54">
        <v>0</v>
      </c>
      <c r="CQ690" s="4">
        <v>4.33</v>
      </c>
    </row>
    <row r="691" spans="1:95" x14ac:dyDescent="0.35">
      <c r="A691" s="55">
        <v>690</v>
      </c>
      <c r="B691" t="s">
        <v>119</v>
      </c>
      <c r="C691" s="27" t="s">
        <v>963</v>
      </c>
      <c r="D691" s="3" t="s">
        <v>94</v>
      </c>
      <c r="E691" s="33" t="s">
        <v>89</v>
      </c>
      <c r="F691" s="4">
        <f>IFERROR(AVERAGEIF(Table1[[#This Row],[2019-Apr]:[2025-July]],"&lt;&gt;0"),0)</f>
        <v>3.7266666666666666</v>
      </c>
      <c r="G691" s="4">
        <f ca="1">IFERROR(AVERAGEIF(OFFSET(Table1[[#This Row],[Status]],0,COUNT(Table1[[#This Row],[2019-May]:[2025-July]]),1,-12),"&lt;&gt;0"),0)</f>
        <v>3.65</v>
      </c>
      <c r="H691" s="55">
        <f>IFERROR(SMALL(Table1[[#This Row],[2019-Apr]:[2025-July]],COUNTIF(Table1[[#This Row],[2019-Apr]:[2025-July]],0)+1),0)</f>
        <v>3.4</v>
      </c>
      <c r="I691" s="55">
        <f>IFERROR(MAX(Table1[[#This Row],[2019-Apr]:[2025-July]]),0)</f>
        <v>3.9</v>
      </c>
      <c r="J691" s="4" cm="1">
        <f t="array" ref="J69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3.7266666666666666</v>
      </c>
      <c r="K691" s="4">
        <v>4.5</v>
      </c>
      <c r="L691" s="4">
        <f>IF(Table1[[#This Row],[Standard as per ISO]]&gt;=Table1[[#This Row],[Avg of best 6]],Table1[[#This Row],[Standard as per ISO]],Table1[[#This Row],[Avg of best 6]])</f>
        <v>4.5</v>
      </c>
      <c r="M691" s="4" cm="1">
        <f t="array" ref="M691">IFERROR(LOOKUP(2,1/(Table1[[#This Row],[2019-May]:[2025-July]]&lt;&gt;0),Table1[[#This Row],[2019-May]:[2025-July]]),0)</f>
        <v>3.88</v>
      </c>
      <c r="N691" s="4">
        <f>COUNTIF(Table1[[#This Row],[2019-Apr]:[2025-July]],"&gt;="&amp;Table1[[#This Row],[Target]])</f>
        <v>0</v>
      </c>
      <c r="O691" s="4">
        <f>IF(Table1[[#This Row],[Outliers 2Y]]=0,1,0)</f>
        <v>1</v>
      </c>
      <c r="P691" s="4">
        <f>IF(Table1[[#This Row],[Last value]]&gt;1.5*Table1[[#This Row],[Target]],1,0)</f>
        <v>0</v>
      </c>
      <c r="Q691" s="4">
        <f>IF(AND(1.5*Table1[[#This Row],[Target]]&gt;=Table1[[#This Row],[Last value]],Table1[[#This Row],[Last value]]&gt;Table1[[#This Row],[Target]]),1,0)</f>
        <v>0</v>
      </c>
      <c r="R691" s="4">
        <f>IF(Table1[[#This Row],[Target]]&gt;=Table1[[#This Row],[Last value]],1,0)</f>
        <v>1</v>
      </c>
      <c r="S691" s="4" t="str">
        <f t="shared" si="18"/>
        <v>Green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 s="34">
        <v>3.4</v>
      </c>
      <c r="CK691" s="34">
        <v>0</v>
      </c>
      <c r="CL691" s="43">
        <v>0</v>
      </c>
      <c r="CM691" s="4">
        <v>0</v>
      </c>
      <c r="CN691" s="53">
        <v>0</v>
      </c>
      <c r="CO691" s="54">
        <v>0</v>
      </c>
      <c r="CP691" s="54">
        <v>3.9</v>
      </c>
      <c r="CQ691" s="4">
        <v>3.88</v>
      </c>
    </row>
    <row r="692" spans="1:95" x14ac:dyDescent="0.35">
      <c r="A692" s="55">
        <v>691</v>
      </c>
      <c r="B692" t="s">
        <v>119</v>
      </c>
      <c r="C692" s="27" t="s">
        <v>964</v>
      </c>
      <c r="D692" s="3" t="s">
        <v>94</v>
      </c>
      <c r="E692" s="33" t="s">
        <v>89</v>
      </c>
      <c r="F692" s="4">
        <f>IFERROR(AVERAGEIF(Table1[[#This Row],[2019-Apr]:[2025-July]],"&lt;&gt;0"),0)</f>
        <v>2.9542857142857142</v>
      </c>
      <c r="G692" s="4">
        <f ca="1">IFERROR(AVERAGEIF(OFFSET(Table1[[#This Row],[Status]],0,COUNT(Table1[[#This Row],[2019-May]:[2025-July]]),1,-12),"&lt;&gt;0"),0)</f>
        <v>2.8333333333333335</v>
      </c>
      <c r="H692" s="55">
        <f>IFERROR(SMALL(Table1[[#This Row],[2019-Apr]:[2025-July]],COUNTIF(Table1[[#This Row],[2019-Apr]:[2025-July]],0)+1),0)</f>
        <v>1.8</v>
      </c>
      <c r="I692" s="55">
        <f>IFERROR(MAX(Table1[[#This Row],[2019-Apr]:[2025-July]]),0)</f>
        <v>4.0999999999999996</v>
      </c>
      <c r="J692" s="4" cm="1">
        <f t="array" ref="J69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2.7633333333333336</v>
      </c>
      <c r="K692" s="4">
        <v>4.5</v>
      </c>
      <c r="L692" s="4">
        <f>IF(Table1[[#This Row],[Standard as per ISO]]&gt;=Table1[[#This Row],[Avg of best 6]],Table1[[#This Row],[Standard as per ISO]],Table1[[#This Row],[Avg of best 6]])</f>
        <v>4.5</v>
      </c>
      <c r="M692" s="4" cm="1">
        <f t="array" ref="M692">IFERROR(LOOKUP(2,1/(Table1[[#This Row],[2019-May]:[2025-July]]&lt;&gt;0),Table1[[#This Row],[2019-May]:[2025-July]]),0)</f>
        <v>3.68</v>
      </c>
      <c r="N692" s="4">
        <f>COUNTIF(Table1[[#This Row],[2019-Apr]:[2025-July]],"&gt;="&amp;Table1[[#This Row],[Target]])</f>
        <v>0</v>
      </c>
      <c r="O692" s="4">
        <f>IF(Table1[[#This Row],[Outliers 2Y]]=0,1,0)</f>
        <v>1</v>
      </c>
      <c r="P692" s="4">
        <f>IF(Table1[[#This Row],[Last value]]&gt;1.5*Table1[[#This Row],[Target]],1,0)</f>
        <v>0</v>
      </c>
      <c r="Q692" s="4">
        <f>IF(AND(1.5*Table1[[#This Row],[Target]]&gt;=Table1[[#This Row],[Last value]],Table1[[#This Row],[Last value]]&gt;Table1[[#This Row],[Target]]),1,0)</f>
        <v>0</v>
      </c>
      <c r="R692" s="4">
        <f>IF(Table1[[#This Row],[Target]]&gt;=Table1[[#This Row],[Last value]],1,0)</f>
        <v>1</v>
      </c>
      <c r="S692" s="4" t="str">
        <f t="shared" si="18"/>
        <v>Green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 s="34">
        <v>2.9</v>
      </c>
      <c r="CK692" s="34">
        <v>2.6</v>
      </c>
      <c r="CL692" s="43">
        <v>4.0999999999999996</v>
      </c>
      <c r="CM692" s="4">
        <v>2.4</v>
      </c>
      <c r="CN692" s="53">
        <v>0</v>
      </c>
      <c r="CO692" s="54">
        <v>3.2</v>
      </c>
      <c r="CP692" s="54">
        <v>1.8</v>
      </c>
      <c r="CQ692" s="4">
        <v>3.68</v>
      </c>
    </row>
    <row r="693" spans="1:95" x14ac:dyDescent="0.35">
      <c r="A693" s="55">
        <v>692</v>
      </c>
      <c r="B693" t="s">
        <v>119</v>
      </c>
      <c r="C693" s="27" t="s">
        <v>965</v>
      </c>
      <c r="D693" s="3" t="s">
        <v>94</v>
      </c>
      <c r="E693" s="33" t="s">
        <v>89</v>
      </c>
      <c r="F693" s="4">
        <f>IFERROR(AVERAGEIF(Table1[[#This Row],[2019-Apr]:[2025-July]],"&lt;&gt;0"),0)</f>
        <v>2.1199999999999997</v>
      </c>
      <c r="G693" s="4">
        <f ca="1">IFERROR(AVERAGEIF(OFFSET(Table1[[#This Row],[Status]],0,COUNT(Table1[[#This Row],[2019-May]:[2025-July]]),1,-12),"&lt;&gt;0"),0)</f>
        <v>2.1199999999999997</v>
      </c>
      <c r="H693" s="55">
        <f>IFERROR(SMALL(Table1[[#This Row],[2019-Apr]:[2025-July]],COUNTIF(Table1[[#This Row],[2019-Apr]:[2025-July]],0)+1),0)</f>
        <v>1.6</v>
      </c>
      <c r="I693" s="55">
        <f>IFERROR(MAX(Table1[[#This Row],[2019-Apr]:[2025-July]]),0)</f>
        <v>2.6</v>
      </c>
      <c r="J693" s="4" cm="1">
        <f t="array" ref="J69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2.12</v>
      </c>
      <c r="K693" s="4">
        <v>4.5</v>
      </c>
      <c r="L693" s="4">
        <f>IF(Table1[[#This Row],[Standard as per ISO]]&gt;=Table1[[#This Row],[Avg of best 6]],Table1[[#This Row],[Standard as per ISO]],Table1[[#This Row],[Avg of best 6]])</f>
        <v>4.5</v>
      </c>
      <c r="M693" s="4" cm="1">
        <f t="array" ref="M693">IFERROR(LOOKUP(2,1/(Table1[[#This Row],[2019-May]:[2025-July]]&lt;&gt;0),Table1[[#This Row],[2019-May]:[2025-July]]),0)</f>
        <v>2.6</v>
      </c>
      <c r="N693" s="4">
        <f>COUNTIF(Table1[[#This Row],[2019-Apr]:[2025-July]],"&gt;="&amp;Table1[[#This Row],[Target]])</f>
        <v>0</v>
      </c>
      <c r="O693" s="4">
        <f>IF(Table1[[#This Row],[Outliers 2Y]]=0,1,0)</f>
        <v>1</v>
      </c>
      <c r="P693" s="4">
        <f>IF(Table1[[#This Row],[Last value]]&gt;1.5*Table1[[#This Row],[Target]],1,0)</f>
        <v>0</v>
      </c>
      <c r="Q693" s="4">
        <f>IF(AND(1.5*Table1[[#This Row],[Target]]&gt;=Table1[[#This Row],[Last value]],Table1[[#This Row],[Last value]]&gt;Table1[[#This Row],[Target]]),1,0)</f>
        <v>0</v>
      </c>
      <c r="R693" s="4">
        <f>IF(Table1[[#This Row],[Target]]&gt;=Table1[[#This Row],[Last value]],1,0)</f>
        <v>1</v>
      </c>
      <c r="S693" s="4" t="str">
        <f t="shared" si="18"/>
        <v>Green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 s="34">
        <v>2.1</v>
      </c>
      <c r="CK693" s="34">
        <v>1.6</v>
      </c>
      <c r="CL693" s="43">
        <v>2.4</v>
      </c>
      <c r="CM693" s="4">
        <v>2.1</v>
      </c>
      <c r="CN693" s="53">
        <v>0</v>
      </c>
      <c r="CO693" s="54">
        <v>1.92</v>
      </c>
      <c r="CP693" s="54">
        <v>2.6</v>
      </c>
      <c r="CQ693" s="4">
        <v>0</v>
      </c>
    </row>
    <row r="694" spans="1:95" x14ac:dyDescent="0.35">
      <c r="A694" s="55">
        <v>693</v>
      </c>
      <c r="B694" t="s">
        <v>119</v>
      </c>
      <c r="C694" s="27" t="s">
        <v>966</v>
      </c>
      <c r="D694" s="3" t="s">
        <v>88</v>
      </c>
      <c r="E694" s="33" t="s">
        <v>89</v>
      </c>
      <c r="F694" s="4">
        <f>IFERROR(AVERAGEIF(Table1[[#This Row],[2019-Apr]:[2025-July]],"&lt;&gt;0"),0)</f>
        <v>6.1999999999999993</v>
      </c>
      <c r="G694" s="4">
        <f ca="1">IFERROR(AVERAGEIF(OFFSET(Table1[[#This Row],[Status]],0,COUNT(Table1[[#This Row],[2019-May]:[2025-July]]),1,-12),"&lt;&gt;0"),0)</f>
        <v>6.1999999999999993</v>
      </c>
      <c r="H694" s="55">
        <f>IFERROR(SMALL(Table1[[#This Row],[2019-Apr]:[2025-July]],COUNTIF(Table1[[#This Row],[2019-Apr]:[2025-July]],0)+1),0)</f>
        <v>5.7</v>
      </c>
      <c r="I694" s="55">
        <f>IFERROR(MAX(Table1[[#This Row],[2019-Apr]:[2025-July]]),0)</f>
        <v>6.6</v>
      </c>
      <c r="J694" s="4" cm="1">
        <f t="array" ref="J69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6.1999999999999993</v>
      </c>
      <c r="K694" s="4">
        <v>4.5</v>
      </c>
      <c r="L694" s="4">
        <f>IF(Table1[[#This Row],[Standard as per ISO]]&gt;=Table1[[#This Row],[Avg of best 6]],Table1[[#This Row],[Standard as per ISO]],Table1[[#This Row],[Avg of best 6]])</f>
        <v>6.1999999999999993</v>
      </c>
      <c r="M694" s="4" cm="1">
        <f t="array" ref="M694">IFERROR(LOOKUP(2,1/(Table1[[#This Row],[2019-May]:[2025-July]]&lt;&gt;0),Table1[[#This Row],[2019-May]:[2025-July]]),0)</f>
        <v>5.7</v>
      </c>
      <c r="N694" s="4">
        <f>COUNTIF(Table1[[#This Row],[2019-Apr]:[2025-July]],"&gt;="&amp;Table1[[#This Row],[Target]])</f>
        <v>2</v>
      </c>
      <c r="O694" s="4">
        <f>IF(Table1[[#This Row],[Outliers 2Y]]=0,1,0)</f>
        <v>0</v>
      </c>
      <c r="P694" s="4">
        <f>IF(Table1[[#This Row],[Last value]]&gt;1.5*Table1[[#This Row],[Target]],1,0)</f>
        <v>0</v>
      </c>
      <c r="Q694" s="4">
        <f>IF(AND(1.5*Table1[[#This Row],[Target]]&gt;=Table1[[#This Row],[Last value]],Table1[[#This Row],[Last value]]&gt;Table1[[#This Row],[Target]]),1,0)</f>
        <v>0</v>
      </c>
      <c r="R694" s="4">
        <f>IF(Table1[[#This Row],[Target]]&gt;=Table1[[#This Row],[Last value]],1,0)</f>
        <v>1</v>
      </c>
      <c r="S694" s="4" t="str">
        <f t="shared" si="18"/>
        <v>Green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 s="34">
        <v>0</v>
      </c>
      <c r="CK694" s="34">
        <v>6.6</v>
      </c>
      <c r="CL694" s="43">
        <v>0</v>
      </c>
      <c r="CM694" s="4">
        <v>0</v>
      </c>
      <c r="CN694" s="53">
        <v>0</v>
      </c>
      <c r="CO694" s="54">
        <v>6.3</v>
      </c>
      <c r="CP694" s="54">
        <v>5.7</v>
      </c>
      <c r="CQ694" s="4">
        <v>0</v>
      </c>
    </row>
    <row r="695" spans="1:95" x14ac:dyDescent="0.35">
      <c r="A695" s="55">
        <v>694</v>
      </c>
      <c r="B695" t="s">
        <v>119</v>
      </c>
      <c r="C695" s="27" t="s">
        <v>967</v>
      </c>
      <c r="D695" s="3" t="s">
        <v>88</v>
      </c>
      <c r="E695" s="33" t="s">
        <v>89</v>
      </c>
      <c r="F695" s="4">
        <f>IFERROR(AVERAGEIF(Table1[[#This Row],[2019-Apr]:[2025-July]],"&lt;&gt;0"),0)</f>
        <v>1.0333333333333334</v>
      </c>
      <c r="G695" s="4">
        <f ca="1">IFERROR(AVERAGEIF(OFFSET(Table1[[#This Row],[Status]],0,COUNT(Table1[[#This Row],[2019-May]:[2025-July]]),1,-12),"&lt;&gt;0"),0)</f>
        <v>1.0333333333333334</v>
      </c>
      <c r="H695" s="55">
        <f>IFERROR(SMALL(Table1[[#This Row],[2019-Apr]:[2025-July]],COUNTIF(Table1[[#This Row],[2019-Apr]:[2025-July]],0)+1),0)</f>
        <v>0.9</v>
      </c>
      <c r="I695" s="55">
        <f>IFERROR(MAX(Table1[[#This Row],[2019-Apr]:[2025-July]]),0)</f>
        <v>1.2</v>
      </c>
      <c r="J695" s="4" cm="1">
        <f t="array" ref="J69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1.0333333333333334</v>
      </c>
      <c r="K695" s="4">
        <v>4.5</v>
      </c>
      <c r="L695" s="4">
        <f>IF(Table1[[#This Row],[Standard as per ISO]]&gt;=Table1[[#This Row],[Avg of best 6]],Table1[[#This Row],[Standard as per ISO]],Table1[[#This Row],[Avg of best 6]])</f>
        <v>4.5</v>
      </c>
      <c r="M695" s="4" cm="1">
        <f t="array" ref="M695">IFERROR(LOOKUP(2,1/(Table1[[#This Row],[2019-May]:[2025-July]]&lt;&gt;0),Table1[[#This Row],[2019-May]:[2025-July]]),0)</f>
        <v>0.9</v>
      </c>
      <c r="N695" s="4">
        <f>COUNTIF(Table1[[#This Row],[2019-Apr]:[2025-July]],"&gt;="&amp;Table1[[#This Row],[Target]])</f>
        <v>0</v>
      </c>
      <c r="O695" s="4">
        <f>IF(Table1[[#This Row],[Outliers 2Y]]=0,1,0)</f>
        <v>1</v>
      </c>
      <c r="P695" s="4">
        <f>IF(Table1[[#This Row],[Last value]]&gt;1.5*Table1[[#This Row],[Target]],1,0)</f>
        <v>0</v>
      </c>
      <c r="Q695" s="4">
        <f>IF(AND(1.5*Table1[[#This Row],[Target]]&gt;=Table1[[#This Row],[Last value]],Table1[[#This Row],[Last value]]&gt;Table1[[#This Row],[Target]]),1,0)</f>
        <v>0</v>
      </c>
      <c r="R695" s="4">
        <f>IF(Table1[[#This Row],[Target]]&gt;=Table1[[#This Row],[Last value]],1,0)</f>
        <v>1</v>
      </c>
      <c r="S695" s="4" t="str">
        <f t="shared" si="18"/>
        <v>Green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 s="34">
        <v>0</v>
      </c>
      <c r="CK695" s="34">
        <v>1.2</v>
      </c>
      <c r="CL695" s="43">
        <v>0</v>
      </c>
      <c r="CM695" s="4">
        <v>0</v>
      </c>
      <c r="CN695" s="53">
        <v>0</v>
      </c>
      <c r="CO695" s="54">
        <v>1</v>
      </c>
      <c r="CP695" s="54">
        <v>0.9</v>
      </c>
      <c r="CQ695" s="4">
        <v>0</v>
      </c>
    </row>
    <row r="696" spans="1:95" x14ac:dyDescent="0.35">
      <c r="A696" s="55">
        <v>695</v>
      </c>
      <c r="B696" t="s">
        <v>119</v>
      </c>
      <c r="C696" s="27" t="s">
        <v>968</v>
      </c>
      <c r="D696" s="3" t="s">
        <v>88</v>
      </c>
      <c r="E696" s="33" t="s">
        <v>89</v>
      </c>
      <c r="F696" s="4">
        <f>IFERROR(AVERAGEIF(Table1[[#This Row],[2019-Apr]:[2025-July]],"&lt;&gt;0"),0)</f>
        <v>1.1500000000000001</v>
      </c>
      <c r="G696" s="4">
        <f ca="1">IFERROR(AVERAGEIF(OFFSET(Table1[[#This Row],[Status]],0,COUNT(Table1[[#This Row],[2019-May]:[2025-July]]),1,-12),"&lt;&gt;0"),0)</f>
        <v>1.1500000000000001</v>
      </c>
      <c r="H696" s="55">
        <f>IFERROR(SMALL(Table1[[#This Row],[2019-Apr]:[2025-July]],COUNTIF(Table1[[#This Row],[2019-Apr]:[2025-July]],0)+1),0)</f>
        <v>1.1000000000000001</v>
      </c>
      <c r="I696" s="55">
        <f>IFERROR(MAX(Table1[[#This Row],[2019-Apr]:[2025-July]]),0)</f>
        <v>1.2</v>
      </c>
      <c r="J696" s="4" cm="1">
        <f t="array" ref="J69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1.1500000000000001</v>
      </c>
      <c r="K696" s="4">
        <v>4.5</v>
      </c>
      <c r="L696" s="4">
        <f>IF(Table1[[#This Row],[Standard as per ISO]]&gt;=Table1[[#This Row],[Avg of best 6]],Table1[[#This Row],[Standard as per ISO]],Table1[[#This Row],[Avg of best 6]])</f>
        <v>4.5</v>
      </c>
      <c r="M696" s="4" cm="1">
        <f t="array" ref="M696">IFERROR(LOOKUP(2,1/(Table1[[#This Row],[2019-May]:[2025-July]]&lt;&gt;0),Table1[[#This Row],[2019-May]:[2025-July]]),0)</f>
        <v>1.2</v>
      </c>
      <c r="N696" s="4">
        <f>COUNTIF(Table1[[#This Row],[2019-Apr]:[2025-July]],"&gt;="&amp;Table1[[#This Row],[Target]])</f>
        <v>0</v>
      </c>
      <c r="O696" s="4">
        <f>IF(Table1[[#This Row],[Outliers 2Y]]=0,1,0)</f>
        <v>1</v>
      </c>
      <c r="P696" s="4">
        <f>IF(Table1[[#This Row],[Last value]]&gt;1.5*Table1[[#This Row],[Target]],1,0)</f>
        <v>0</v>
      </c>
      <c r="Q696" s="4">
        <f>IF(AND(1.5*Table1[[#This Row],[Target]]&gt;=Table1[[#This Row],[Last value]],Table1[[#This Row],[Last value]]&gt;Table1[[#This Row],[Target]]),1,0)</f>
        <v>0</v>
      </c>
      <c r="R696" s="4">
        <f>IF(Table1[[#This Row],[Target]]&gt;=Table1[[#This Row],[Last value]],1,0)</f>
        <v>1</v>
      </c>
      <c r="S696" s="4" t="str">
        <f t="shared" si="18"/>
        <v>Green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 s="34">
        <v>0</v>
      </c>
      <c r="CK696" s="34">
        <v>1.1000000000000001</v>
      </c>
      <c r="CL696" s="43">
        <v>0</v>
      </c>
      <c r="CM696" s="4">
        <v>0</v>
      </c>
      <c r="CN696" s="53">
        <v>1.1000000000000001</v>
      </c>
      <c r="CO696" s="54">
        <v>1.2</v>
      </c>
      <c r="CP696" s="54">
        <v>1.2</v>
      </c>
      <c r="CQ696" s="4">
        <v>0</v>
      </c>
    </row>
    <row r="697" spans="1:95" x14ac:dyDescent="0.35">
      <c r="A697" s="55">
        <v>696</v>
      </c>
      <c r="B697" t="s">
        <v>119</v>
      </c>
      <c r="C697" s="27" t="s">
        <v>969</v>
      </c>
      <c r="D697" s="3" t="s">
        <v>93</v>
      </c>
      <c r="E697" s="33" t="s">
        <v>89</v>
      </c>
      <c r="F697" s="4">
        <f>IFERROR(AVERAGEIF(Table1[[#This Row],[2019-Apr]:[2025-July]],"&lt;&gt;0"),0)</f>
        <v>0</v>
      </c>
      <c r="G697" s="4">
        <f ca="1">IFERROR(AVERAGEIF(OFFSET(Table1[[#This Row],[Status]],0,COUNT(Table1[[#This Row],[2019-May]:[2025-July]]),1,-12),"&lt;&gt;0"),0)</f>
        <v>0</v>
      </c>
      <c r="H697" s="55">
        <f>IFERROR(SMALL(Table1[[#This Row],[2019-Apr]:[2025-July]],COUNTIF(Table1[[#This Row],[2019-Apr]:[2025-July]],0)+1),0)</f>
        <v>0</v>
      </c>
      <c r="I697" s="55">
        <f>IFERROR(MAX(Table1[[#This Row],[2019-Apr]:[2025-July]]),0)</f>
        <v>0</v>
      </c>
      <c r="J697" s="4" cm="1">
        <f t="array" ref="J69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697" s="4">
        <v>4.5</v>
      </c>
      <c r="L697" s="4">
        <f>IF(Table1[[#This Row],[Standard as per ISO]]&gt;=Table1[[#This Row],[Avg of best 6]],Table1[[#This Row],[Standard as per ISO]],Table1[[#This Row],[Avg of best 6]])</f>
        <v>4.5</v>
      </c>
      <c r="M697" s="4" cm="1">
        <f t="array" ref="M697">IFERROR(LOOKUP(2,1/(Table1[[#This Row],[2019-May]:[2025-July]]&lt;&gt;0),Table1[[#This Row],[2019-May]:[2025-July]]),0)</f>
        <v>0</v>
      </c>
      <c r="N697" s="4">
        <f>COUNTIF(Table1[[#This Row],[2019-Apr]:[2025-July]],"&gt;="&amp;Table1[[#This Row],[Target]])</f>
        <v>0</v>
      </c>
      <c r="O697" s="4">
        <f>IF(Table1[[#This Row],[Outliers 2Y]]=0,1,0)</f>
        <v>1</v>
      </c>
      <c r="P697" s="4">
        <f>IF(Table1[[#This Row],[Last value]]&gt;1.5*Table1[[#This Row],[Target]],1,0)</f>
        <v>0</v>
      </c>
      <c r="Q697" s="4">
        <f>IF(AND(1.5*Table1[[#This Row],[Target]]&gt;=Table1[[#This Row],[Last value]],Table1[[#This Row],[Last value]]&gt;Table1[[#This Row],[Target]]),1,0)</f>
        <v>0</v>
      </c>
      <c r="R697" s="4">
        <f>IF(Table1[[#This Row],[Target]]&gt;=Table1[[#This Row],[Last value]],1,0)</f>
        <v>1</v>
      </c>
      <c r="S697" s="4" t="str">
        <f t="shared" si="18"/>
        <v>Green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 s="34">
        <v>0</v>
      </c>
      <c r="CK697" s="34">
        <v>0</v>
      </c>
      <c r="CL697" s="43">
        <v>0</v>
      </c>
      <c r="CM697" s="4">
        <v>0</v>
      </c>
      <c r="CN697" s="53">
        <v>0</v>
      </c>
      <c r="CO697" s="54">
        <v>0</v>
      </c>
      <c r="CP697" s="54">
        <v>0</v>
      </c>
      <c r="CQ697" s="4">
        <v>0</v>
      </c>
    </row>
    <row r="698" spans="1:95" x14ac:dyDescent="0.35">
      <c r="A698" s="55">
        <v>697</v>
      </c>
      <c r="B698" t="s">
        <v>119</v>
      </c>
      <c r="C698" s="27" t="s">
        <v>970</v>
      </c>
      <c r="D698" s="3" t="s">
        <v>88</v>
      </c>
      <c r="E698" s="33" t="s">
        <v>89</v>
      </c>
      <c r="F698" s="4">
        <f>IFERROR(AVERAGEIF(Table1[[#This Row],[2019-Apr]:[2025-July]],"&lt;&gt;0"),0)</f>
        <v>1.05</v>
      </c>
      <c r="G698" s="4">
        <f ca="1">IFERROR(AVERAGEIF(OFFSET(Table1[[#This Row],[Status]],0,COUNT(Table1[[#This Row],[2019-May]:[2025-July]]),1,-12),"&lt;&gt;0"),0)</f>
        <v>1.05</v>
      </c>
      <c r="H698" s="55">
        <f>IFERROR(SMALL(Table1[[#This Row],[2019-Apr]:[2025-July]],COUNTIF(Table1[[#This Row],[2019-Apr]:[2025-July]],0)+1),0)</f>
        <v>0.9</v>
      </c>
      <c r="I698" s="55">
        <f>IFERROR(MAX(Table1[[#This Row],[2019-Apr]:[2025-July]]),0)</f>
        <v>1.2</v>
      </c>
      <c r="J698" s="4" cm="1">
        <f t="array" ref="J69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1.05</v>
      </c>
      <c r="K698" s="4">
        <v>4.5</v>
      </c>
      <c r="L698" s="4">
        <f>IF(Table1[[#This Row],[Standard as per ISO]]&gt;=Table1[[#This Row],[Avg of best 6]],Table1[[#This Row],[Standard as per ISO]],Table1[[#This Row],[Avg of best 6]])</f>
        <v>4.5</v>
      </c>
      <c r="M698" s="4" cm="1">
        <f t="array" ref="M698">IFERROR(LOOKUP(2,1/(Table1[[#This Row],[2019-May]:[2025-July]]&lt;&gt;0),Table1[[#This Row],[2019-May]:[2025-July]]),0)</f>
        <v>1.2</v>
      </c>
      <c r="N698" s="4">
        <f>COUNTIF(Table1[[#This Row],[2019-Apr]:[2025-July]],"&gt;="&amp;Table1[[#This Row],[Target]])</f>
        <v>0</v>
      </c>
      <c r="O698" s="4">
        <f>IF(Table1[[#This Row],[Outliers 2Y]]=0,1,0)</f>
        <v>1</v>
      </c>
      <c r="P698" s="4">
        <f>IF(Table1[[#This Row],[Last value]]&gt;1.5*Table1[[#This Row],[Target]],1,0)</f>
        <v>0</v>
      </c>
      <c r="Q698" s="4">
        <f>IF(AND(1.5*Table1[[#This Row],[Target]]&gt;=Table1[[#This Row],[Last value]],Table1[[#This Row],[Last value]]&gt;Table1[[#This Row],[Target]]),1,0)</f>
        <v>0</v>
      </c>
      <c r="R698" s="4">
        <f>IF(Table1[[#This Row],[Target]]&gt;=Table1[[#This Row],[Last value]],1,0)</f>
        <v>1</v>
      </c>
      <c r="S698" s="4" t="str">
        <f t="shared" si="18"/>
        <v>Green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 s="34">
        <v>0</v>
      </c>
      <c r="CK698" s="34">
        <v>0</v>
      </c>
      <c r="CL698" s="43">
        <v>0</v>
      </c>
      <c r="CM698" s="4">
        <v>0</v>
      </c>
      <c r="CN698" s="53">
        <v>0</v>
      </c>
      <c r="CO698" s="54">
        <v>0.9</v>
      </c>
      <c r="CP698" s="54">
        <v>1.2</v>
      </c>
      <c r="CQ698" s="4">
        <v>0</v>
      </c>
    </row>
    <row r="699" spans="1:95" x14ac:dyDescent="0.35">
      <c r="A699" s="55">
        <v>698</v>
      </c>
      <c r="B699" t="s">
        <v>119</v>
      </c>
      <c r="C699" s="27" t="s">
        <v>971</v>
      </c>
      <c r="D699" s="3" t="s">
        <v>88</v>
      </c>
      <c r="E699" s="33" t="s">
        <v>89</v>
      </c>
      <c r="F699" s="4">
        <f>IFERROR(AVERAGEIF(Table1[[#This Row],[2019-Apr]:[2025-July]],"&lt;&gt;0"),0)</f>
        <v>1.0750000000000002</v>
      </c>
      <c r="G699" s="4">
        <f ca="1">IFERROR(AVERAGEIF(OFFSET(Table1[[#This Row],[Status]],0,COUNT(Table1[[#This Row],[2019-May]:[2025-July]]),1,-12),"&lt;&gt;0"),0)</f>
        <v>0.96666666666666679</v>
      </c>
      <c r="H699" s="55">
        <f>IFERROR(SMALL(Table1[[#This Row],[2019-Apr]:[2025-July]],COUNTIF(Table1[[#This Row],[2019-Apr]:[2025-July]],0)+1),0)</f>
        <v>0.5</v>
      </c>
      <c r="I699" s="55">
        <f>IFERROR(MAX(Table1[[#This Row],[2019-Apr]:[2025-July]]),0)</f>
        <v>1.4</v>
      </c>
      <c r="J699" s="4" cm="1">
        <f t="array" ref="J69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1.0750000000000002</v>
      </c>
      <c r="K699" s="4">
        <v>4.5</v>
      </c>
      <c r="L699" s="4">
        <f>IF(Table1[[#This Row],[Standard as per ISO]]&gt;=Table1[[#This Row],[Avg of best 6]],Table1[[#This Row],[Standard as per ISO]],Table1[[#This Row],[Avg of best 6]])</f>
        <v>4.5</v>
      </c>
      <c r="M699" s="4" cm="1">
        <f t="array" ref="M699">IFERROR(LOOKUP(2,1/(Table1[[#This Row],[2019-May]:[2025-July]]&lt;&gt;0),Table1[[#This Row],[2019-May]:[2025-July]]),0)</f>
        <v>1.4</v>
      </c>
      <c r="N699" s="4">
        <f>COUNTIF(Table1[[#This Row],[2019-Apr]:[2025-July]],"&gt;="&amp;Table1[[#This Row],[Target]])</f>
        <v>0</v>
      </c>
      <c r="O699" s="4">
        <f>IF(Table1[[#This Row],[Outliers 2Y]]=0,1,0)</f>
        <v>1</v>
      </c>
      <c r="P699" s="4">
        <f>IF(Table1[[#This Row],[Last value]]&gt;1.5*Table1[[#This Row],[Target]],1,0)</f>
        <v>0</v>
      </c>
      <c r="Q699" s="4">
        <f>IF(AND(1.5*Table1[[#This Row],[Target]]&gt;=Table1[[#This Row],[Last value]],Table1[[#This Row],[Last value]]&gt;Table1[[#This Row],[Target]]),1,0)</f>
        <v>0</v>
      </c>
      <c r="R699" s="4">
        <f>IF(Table1[[#This Row],[Target]]&gt;=Table1[[#This Row],[Last value]],1,0)</f>
        <v>1</v>
      </c>
      <c r="S699" s="4" t="str">
        <f t="shared" si="18"/>
        <v>Green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 s="34">
        <v>0</v>
      </c>
      <c r="CK699" s="34">
        <v>0.5</v>
      </c>
      <c r="CL699" s="43">
        <v>0</v>
      </c>
      <c r="CM699" s="4">
        <v>0</v>
      </c>
      <c r="CN699" s="53">
        <v>0</v>
      </c>
      <c r="CO699" s="54">
        <v>1.3</v>
      </c>
      <c r="CP699" s="54">
        <v>1.1000000000000001</v>
      </c>
      <c r="CQ699" s="4">
        <v>1.4</v>
      </c>
    </row>
    <row r="700" spans="1:95" x14ac:dyDescent="0.35">
      <c r="A700" s="55">
        <v>699</v>
      </c>
      <c r="B700" t="s">
        <v>119</v>
      </c>
      <c r="C700" s="27" t="s">
        <v>972</v>
      </c>
      <c r="D700" s="3" t="s">
        <v>88</v>
      </c>
      <c r="E700" s="33" t="s">
        <v>89</v>
      </c>
      <c r="F700" s="4">
        <f>IFERROR(AVERAGEIF(Table1[[#This Row],[2019-Apr]:[2025-July]],"&lt;&gt;0"),0)</f>
        <v>1.05</v>
      </c>
      <c r="G700" s="4">
        <f ca="1">IFERROR(AVERAGEIF(OFFSET(Table1[[#This Row],[Status]],0,COUNT(Table1[[#This Row],[2019-May]:[2025-July]]),1,-12),"&lt;&gt;0"),0)</f>
        <v>1.05</v>
      </c>
      <c r="H700" s="55">
        <f>IFERROR(SMALL(Table1[[#This Row],[2019-Apr]:[2025-July]],COUNTIF(Table1[[#This Row],[2019-Apr]:[2025-July]],0)+1),0)</f>
        <v>1</v>
      </c>
      <c r="I700" s="55">
        <f>IFERROR(MAX(Table1[[#This Row],[2019-Apr]:[2025-July]]),0)</f>
        <v>1.1000000000000001</v>
      </c>
      <c r="J700" s="4" cm="1">
        <f t="array" ref="J70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1.05</v>
      </c>
      <c r="K700" s="4">
        <v>4.5</v>
      </c>
      <c r="L700" s="4">
        <f>IF(Table1[[#This Row],[Standard as per ISO]]&gt;=Table1[[#This Row],[Avg of best 6]],Table1[[#This Row],[Standard as per ISO]],Table1[[#This Row],[Avg of best 6]])</f>
        <v>4.5</v>
      </c>
      <c r="M700" s="4" cm="1">
        <f t="array" ref="M700">IFERROR(LOOKUP(2,1/(Table1[[#This Row],[2019-May]:[2025-July]]&lt;&gt;0),Table1[[#This Row],[2019-May]:[2025-July]]),0)</f>
        <v>1.1000000000000001</v>
      </c>
      <c r="N700" s="4">
        <f>COUNTIF(Table1[[#This Row],[2019-Apr]:[2025-July]],"&gt;="&amp;Table1[[#This Row],[Target]])</f>
        <v>0</v>
      </c>
      <c r="O700" s="4">
        <f>IF(Table1[[#This Row],[Outliers 2Y]]=0,1,0)</f>
        <v>1</v>
      </c>
      <c r="P700" s="4">
        <f>IF(Table1[[#This Row],[Last value]]&gt;1.5*Table1[[#This Row],[Target]],1,0)</f>
        <v>0</v>
      </c>
      <c r="Q700" s="4">
        <f>IF(AND(1.5*Table1[[#This Row],[Target]]&gt;=Table1[[#This Row],[Last value]],Table1[[#This Row],[Last value]]&gt;Table1[[#This Row],[Target]]),1,0)</f>
        <v>0</v>
      </c>
      <c r="R700" s="4">
        <f>IF(Table1[[#This Row],[Target]]&gt;=Table1[[#This Row],[Last value]],1,0)</f>
        <v>1</v>
      </c>
      <c r="S700" s="4" t="str">
        <f t="shared" si="18"/>
        <v>Green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 s="34">
        <v>0</v>
      </c>
      <c r="CK700" s="34">
        <v>0</v>
      </c>
      <c r="CL700" s="43">
        <v>0</v>
      </c>
      <c r="CM700" s="4">
        <v>0</v>
      </c>
      <c r="CN700" s="53">
        <v>0</v>
      </c>
      <c r="CO700" s="54">
        <v>1</v>
      </c>
      <c r="CP700" s="54">
        <v>1.1000000000000001</v>
      </c>
      <c r="CQ700" s="4">
        <v>0</v>
      </c>
    </row>
    <row r="701" spans="1:95" x14ac:dyDescent="0.35">
      <c r="A701" s="55">
        <v>700</v>
      </c>
      <c r="B701" t="s">
        <v>119</v>
      </c>
      <c r="C701" s="27" t="s">
        <v>973</v>
      </c>
      <c r="D701" s="3" t="s">
        <v>88</v>
      </c>
      <c r="E701" s="33" t="s">
        <v>89</v>
      </c>
      <c r="F701" s="4">
        <f>IFERROR(AVERAGEIF(Table1[[#This Row],[2019-Apr]:[2025-July]],"&lt;&gt;0"),0)</f>
        <v>1.675</v>
      </c>
      <c r="G701" s="4">
        <f ca="1">IFERROR(AVERAGEIF(OFFSET(Table1[[#This Row],[Status]],0,COUNT(Table1[[#This Row],[2019-May]:[2025-July]]),1,-12),"&lt;&gt;0"),0)</f>
        <v>1.6666666666666667</v>
      </c>
      <c r="H701" s="55">
        <f>IFERROR(SMALL(Table1[[#This Row],[2019-Apr]:[2025-July]],COUNTIF(Table1[[#This Row],[2019-Apr]:[2025-July]],0)+1),0)</f>
        <v>1.4</v>
      </c>
      <c r="I701" s="55">
        <f>IFERROR(MAX(Table1[[#This Row],[2019-Apr]:[2025-July]]),0)</f>
        <v>2</v>
      </c>
      <c r="J701" s="4" cm="1">
        <f t="array" ref="J70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1.675</v>
      </c>
      <c r="K701" s="4">
        <v>4.5</v>
      </c>
      <c r="L701" s="4">
        <f>IF(Table1[[#This Row],[Standard as per ISO]]&gt;=Table1[[#This Row],[Avg of best 6]],Table1[[#This Row],[Standard as per ISO]],Table1[[#This Row],[Avg of best 6]])</f>
        <v>4.5</v>
      </c>
      <c r="M701" s="4" cm="1">
        <f t="array" ref="M701">IFERROR(LOOKUP(2,1/(Table1[[#This Row],[2019-May]:[2025-July]]&lt;&gt;0),Table1[[#This Row],[2019-May]:[2025-July]]),0)</f>
        <v>1.7</v>
      </c>
      <c r="N701" s="4">
        <f>COUNTIF(Table1[[#This Row],[2019-Apr]:[2025-July]],"&gt;="&amp;Table1[[#This Row],[Target]])</f>
        <v>0</v>
      </c>
      <c r="O701" s="4">
        <f>IF(Table1[[#This Row],[Outliers 2Y]]=0,1,0)</f>
        <v>1</v>
      </c>
      <c r="P701" s="4">
        <f>IF(Table1[[#This Row],[Last value]]&gt;1.5*Table1[[#This Row],[Target]],1,0)</f>
        <v>0</v>
      </c>
      <c r="Q701" s="4">
        <f>IF(AND(1.5*Table1[[#This Row],[Target]]&gt;=Table1[[#This Row],[Last value]],Table1[[#This Row],[Last value]]&gt;Table1[[#This Row],[Target]]),1,0)</f>
        <v>0</v>
      </c>
      <c r="R701" s="4">
        <f>IF(Table1[[#This Row],[Target]]&gt;=Table1[[#This Row],[Last value]],1,0)</f>
        <v>1</v>
      </c>
      <c r="S701" s="4" t="str">
        <f t="shared" si="18"/>
        <v>Green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 s="34">
        <v>0</v>
      </c>
      <c r="CK701" s="34">
        <v>1.4</v>
      </c>
      <c r="CL701" s="43">
        <v>0</v>
      </c>
      <c r="CM701" s="4">
        <v>0</v>
      </c>
      <c r="CN701" s="53">
        <v>0</v>
      </c>
      <c r="CO701" s="54">
        <v>1.6</v>
      </c>
      <c r="CP701" s="54">
        <v>2</v>
      </c>
      <c r="CQ701" s="4">
        <v>1.7</v>
      </c>
    </row>
    <row r="702" spans="1:95" x14ac:dyDescent="0.35">
      <c r="A702" s="55">
        <v>701</v>
      </c>
      <c r="B702" t="s">
        <v>119</v>
      </c>
      <c r="C702" s="27" t="s">
        <v>974</v>
      </c>
      <c r="D702" s="3" t="s">
        <v>94</v>
      </c>
      <c r="E702" s="33" t="s">
        <v>89</v>
      </c>
      <c r="F702" s="4">
        <f>IFERROR(AVERAGEIF(Table1[[#This Row],[2019-Apr]:[2025-July]],"&lt;&gt;0"),0)</f>
        <v>8.7687500000000007</v>
      </c>
      <c r="G702" s="4">
        <f ca="1">IFERROR(AVERAGEIF(OFFSET(Table1[[#This Row],[Status]],0,COUNT(Table1[[#This Row],[2019-May]:[2025-July]]),1,-12),"&lt;&gt;0"),0)</f>
        <v>9.4785714285714295</v>
      </c>
      <c r="H702" s="55">
        <f>IFERROR(SMALL(Table1[[#This Row],[2019-Apr]:[2025-July]],COUNTIF(Table1[[#This Row],[2019-Apr]:[2025-July]],0)+1),0)</f>
        <v>3.8</v>
      </c>
      <c r="I702" s="55">
        <f>IFERROR(MAX(Table1[[#This Row],[2019-Apr]:[2025-July]]),0)</f>
        <v>13.54</v>
      </c>
      <c r="J702" s="4" cm="1">
        <f t="array" ref="J70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7.4016666666666664</v>
      </c>
      <c r="K702" s="4">
        <v>4.5</v>
      </c>
      <c r="L702" s="4">
        <f>IF(Table1[[#This Row],[Standard as per ISO]]&gt;=Table1[[#This Row],[Avg of best 6]],Table1[[#This Row],[Standard as per ISO]],Table1[[#This Row],[Avg of best 6]])</f>
        <v>7.4016666666666664</v>
      </c>
      <c r="M702" s="4" cm="1">
        <f t="array" ref="M702">IFERROR(LOOKUP(2,1/(Table1[[#This Row],[2019-May]:[2025-July]]&lt;&gt;0),Table1[[#This Row],[2019-May]:[2025-July]]),0)</f>
        <v>3.8</v>
      </c>
      <c r="N702" s="4">
        <f>COUNTIF(Table1[[#This Row],[2019-Apr]:[2025-July]],"&gt;="&amp;Table1[[#This Row],[Target]])</f>
        <v>5</v>
      </c>
      <c r="O702" s="4">
        <f>IF(Table1[[#This Row],[Outliers 2Y]]=0,1,0)</f>
        <v>0</v>
      </c>
      <c r="P702" s="4">
        <f>IF(Table1[[#This Row],[Last value]]&gt;1.5*Table1[[#This Row],[Target]],1,0)</f>
        <v>0</v>
      </c>
      <c r="Q702" s="4">
        <f>IF(AND(1.5*Table1[[#This Row],[Target]]&gt;=Table1[[#This Row],[Last value]],Table1[[#This Row],[Last value]]&gt;Table1[[#This Row],[Target]]),1,0)</f>
        <v>0</v>
      </c>
      <c r="R702" s="4">
        <f>IF(Table1[[#This Row],[Target]]&gt;=Table1[[#This Row],[Last value]],1,0)</f>
        <v>1</v>
      </c>
      <c r="S702" s="4" t="str">
        <f t="shared" si="18"/>
        <v>Green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 s="34">
        <v>8.6</v>
      </c>
      <c r="CK702" s="34">
        <v>9.9</v>
      </c>
      <c r="CL702" s="43">
        <v>10.5</v>
      </c>
      <c r="CM702" s="4">
        <v>12.2</v>
      </c>
      <c r="CN702" s="53">
        <v>13.54</v>
      </c>
      <c r="CO702" s="54">
        <v>6.41</v>
      </c>
      <c r="CP702" s="54">
        <v>5.2</v>
      </c>
      <c r="CQ702" s="4">
        <v>3.8</v>
      </c>
    </row>
    <row r="703" spans="1:95" x14ac:dyDescent="0.35">
      <c r="A703" s="55">
        <v>702</v>
      </c>
      <c r="B703" t="s">
        <v>119</v>
      </c>
      <c r="C703" s="27" t="s">
        <v>975</v>
      </c>
      <c r="D703" s="3" t="s">
        <v>94</v>
      </c>
      <c r="E703" s="33" t="s">
        <v>89</v>
      </c>
      <c r="F703" s="4">
        <f>IFERROR(AVERAGEIF(Table1[[#This Row],[2019-Apr]:[2025-July]],"&lt;&gt;0"),0)</f>
        <v>3.8950000000000005</v>
      </c>
      <c r="G703" s="4">
        <f ca="1">IFERROR(AVERAGEIF(OFFSET(Table1[[#This Row],[Status]],0,COUNT(Table1[[#This Row],[2019-May]:[2025-July]]),1,-12),"&lt;&gt;0"),0)</f>
        <v>3.8950000000000005</v>
      </c>
      <c r="H703" s="55">
        <f>IFERROR(SMALL(Table1[[#This Row],[2019-Apr]:[2025-July]],COUNTIF(Table1[[#This Row],[2019-Apr]:[2025-July]],0)+1),0)</f>
        <v>3.39</v>
      </c>
      <c r="I703" s="55">
        <f>IFERROR(MAX(Table1[[#This Row],[2019-Apr]:[2025-July]]),0)</f>
        <v>4.4000000000000004</v>
      </c>
      <c r="J703" s="4" cm="1">
        <f t="array" ref="J70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3.8950000000000005</v>
      </c>
      <c r="K703" s="4">
        <v>4.5</v>
      </c>
      <c r="L703" s="4">
        <f>IF(Table1[[#This Row],[Standard as per ISO]]&gt;=Table1[[#This Row],[Avg of best 6]],Table1[[#This Row],[Standard as per ISO]],Table1[[#This Row],[Avg of best 6]])</f>
        <v>4.5</v>
      </c>
      <c r="M703" s="4" cm="1">
        <f t="array" ref="M703">IFERROR(LOOKUP(2,1/(Table1[[#This Row],[2019-May]:[2025-July]]&lt;&gt;0),Table1[[#This Row],[2019-May]:[2025-July]]),0)</f>
        <v>4.4000000000000004</v>
      </c>
      <c r="N703" s="4">
        <f>COUNTIF(Table1[[#This Row],[2019-Apr]:[2025-July]],"&gt;="&amp;Table1[[#This Row],[Target]])</f>
        <v>0</v>
      </c>
      <c r="O703" s="4">
        <f>IF(Table1[[#This Row],[Outliers 2Y]]=0,1,0)</f>
        <v>1</v>
      </c>
      <c r="P703" s="4">
        <f>IF(Table1[[#This Row],[Last value]]&gt;1.5*Table1[[#This Row],[Target]],1,0)</f>
        <v>0</v>
      </c>
      <c r="Q703" s="4">
        <f>IF(AND(1.5*Table1[[#This Row],[Target]]&gt;=Table1[[#This Row],[Last value]],Table1[[#This Row],[Last value]]&gt;Table1[[#This Row],[Target]]),1,0)</f>
        <v>0</v>
      </c>
      <c r="R703" s="4">
        <f>IF(Table1[[#This Row],[Target]]&gt;=Table1[[#This Row],[Last value]],1,0)</f>
        <v>1</v>
      </c>
      <c r="S703" s="4" t="str">
        <f t="shared" si="18"/>
        <v>Green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 s="34">
        <v>0</v>
      </c>
      <c r="CK703" s="34">
        <v>0</v>
      </c>
      <c r="CL703" s="43">
        <v>0</v>
      </c>
      <c r="CM703" s="4">
        <v>0</v>
      </c>
      <c r="CN703" s="53">
        <v>0</v>
      </c>
      <c r="CO703" s="54">
        <v>3.39</v>
      </c>
      <c r="CP703" s="54">
        <v>4.4000000000000004</v>
      </c>
      <c r="CQ703" s="4">
        <v>0</v>
      </c>
    </row>
    <row r="704" spans="1:95" x14ac:dyDescent="0.35">
      <c r="A704" s="55">
        <v>703</v>
      </c>
      <c r="B704" t="s">
        <v>119</v>
      </c>
      <c r="C704" s="27" t="s">
        <v>976</v>
      </c>
      <c r="D704" s="3" t="s">
        <v>94</v>
      </c>
      <c r="E704" s="33" t="s">
        <v>89</v>
      </c>
      <c r="F704" s="4">
        <f>IFERROR(AVERAGEIF(Table1[[#This Row],[2019-Apr]:[2025-July]],"&lt;&gt;0"),0)</f>
        <v>4.9383333333333326</v>
      </c>
      <c r="G704" s="4">
        <f ca="1">IFERROR(AVERAGEIF(OFFSET(Table1[[#This Row],[Status]],0,COUNT(Table1[[#This Row],[2019-May]:[2025-July]]),1,-12),"&lt;&gt;0"),0)</f>
        <v>5.2459999999999996</v>
      </c>
      <c r="H704" s="55">
        <f>IFERROR(SMALL(Table1[[#This Row],[2019-Apr]:[2025-July]],COUNTIF(Table1[[#This Row],[2019-Apr]:[2025-July]],0)+1),0)</f>
        <v>3.2</v>
      </c>
      <c r="I704" s="55">
        <f>IFERROR(MAX(Table1[[#This Row],[2019-Apr]:[2025-July]]),0)</f>
        <v>6.5</v>
      </c>
      <c r="J704" s="4" cm="1">
        <f t="array" ref="J70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4.9383333333333335</v>
      </c>
      <c r="K704" s="4">
        <v>4.5</v>
      </c>
      <c r="L704" s="4">
        <f>IF(Table1[[#This Row],[Standard as per ISO]]&gt;=Table1[[#This Row],[Avg of best 6]],Table1[[#This Row],[Standard as per ISO]],Table1[[#This Row],[Avg of best 6]])</f>
        <v>4.9383333333333335</v>
      </c>
      <c r="M704" s="4" cm="1">
        <f t="array" ref="M704">IFERROR(LOOKUP(2,1/(Table1[[#This Row],[2019-May]:[2025-July]]&lt;&gt;0),Table1[[#This Row],[2019-May]:[2025-July]]),0)</f>
        <v>3.4</v>
      </c>
      <c r="N704" s="4">
        <f>COUNTIF(Table1[[#This Row],[2019-Apr]:[2025-July]],"&gt;="&amp;Table1[[#This Row],[Target]])</f>
        <v>3</v>
      </c>
      <c r="O704" s="4">
        <f>IF(Table1[[#This Row],[Outliers 2Y]]=0,1,0)</f>
        <v>0</v>
      </c>
      <c r="P704" s="4">
        <f>IF(Table1[[#This Row],[Last value]]&gt;1.5*Table1[[#This Row],[Target]],1,0)</f>
        <v>0</v>
      </c>
      <c r="Q704" s="4">
        <f>IF(AND(1.5*Table1[[#This Row],[Target]]&gt;=Table1[[#This Row],[Last value]],Table1[[#This Row],[Last value]]&gt;Table1[[#This Row],[Target]]),1,0)</f>
        <v>0</v>
      </c>
      <c r="R704" s="4">
        <f>IF(Table1[[#This Row],[Target]]&gt;=Table1[[#This Row],[Last value]],1,0)</f>
        <v>1</v>
      </c>
      <c r="S704" s="4" t="str">
        <f t="shared" si="18"/>
        <v>Green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 s="34">
        <v>6.5</v>
      </c>
      <c r="CK704" s="34">
        <v>6</v>
      </c>
      <c r="CL704" s="43">
        <v>3.2</v>
      </c>
      <c r="CM704" s="4">
        <v>4.7</v>
      </c>
      <c r="CN704" s="53">
        <v>5.83</v>
      </c>
      <c r="CO704" s="54">
        <v>0</v>
      </c>
      <c r="CP704" s="54">
        <v>0</v>
      </c>
      <c r="CQ704" s="4">
        <v>3.4</v>
      </c>
    </row>
    <row r="705" spans="1:95" x14ac:dyDescent="0.35">
      <c r="A705" s="55">
        <v>704</v>
      </c>
      <c r="B705" t="s">
        <v>119</v>
      </c>
      <c r="C705" s="27" t="s">
        <v>977</v>
      </c>
      <c r="D705" s="3" t="s">
        <v>94</v>
      </c>
      <c r="E705" s="33" t="s">
        <v>89</v>
      </c>
      <c r="F705" s="4">
        <f>IFERROR(AVERAGEIF(Table1[[#This Row],[2019-Apr]:[2025-July]],"&lt;&gt;0"),0)</f>
        <v>2.0975000000000001</v>
      </c>
      <c r="G705" s="4">
        <f ca="1">IFERROR(AVERAGEIF(OFFSET(Table1[[#This Row],[Status]],0,COUNT(Table1[[#This Row],[2019-May]:[2025-July]]),1,-12),"&lt;&gt;0"),0)</f>
        <v>2.0685714285714285</v>
      </c>
      <c r="H705" s="55">
        <f>IFERROR(SMALL(Table1[[#This Row],[2019-Apr]:[2025-July]],COUNTIF(Table1[[#This Row],[2019-Apr]:[2025-July]],0)+1),0)</f>
        <v>1.4</v>
      </c>
      <c r="I705" s="55">
        <f>IFERROR(MAX(Table1[[#This Row],[2019-Apr]:[2025-July]]),0)</f>
        <v>3.2</v>
      </c>
      <c r="J705" s="4" cm="1">
        <f t="array" ref="J70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1.88</v>
      </c>
      <c r="K705" s="4">
        <v>4.5</v>
      </c>
      <c r="L705" s="4">
        <f>IF(Table1[[#This Row],[Standard as per ISO]]&gt;=Table1[[#This Row],[Avg of best 6]],Table1[[#This Row],[Standard as per ISO]],Table1[[#This Row],[Avg of best 6]])</f>
        <v>4.5</v>
      </c>
      <c r="M705" s="4" cm="1">
        <f t="array" ref="M705">IFERROR(LOOKUP(2,1/(Table1[[#This Row],[2019-May]:[2025-July]]&lt;&gt;0),Table1[[#This Row],[2019-May]:[2025-July]]),0)</f>
        <v>2.2999999999999998</v>
      </c>
      <c r="N705" s="4">
        <f>COUNTIF(Table1[[#This Row],[2019-Apr]:[2025-July]],"&gt;="&amp;Table1[[#This Row],[Target]])</f>
        <v>0</v>
      </c>
      <c r="O705" s="4">
        <f>IF(Table1[[#This Row],[Outliers 2Y]]=0,1,0)</f>
        <v>1</v>
      </c>
      <c r="P705" s="4">
        <f>IF(Table1[[#This Row],[Last value]]&gt;1.5*Table1[[#This Row],[Target]],1,0)</f>
        <v>0</v>
      </c>
      <c r="Q705" s="4">
        <f>IF(AND(1.5*Table1[[#This Row],[Target]]&gt;=Table1[[#This Row],[Last value]],Table1[[#This Row],[Last value]]&gt;Table1[[#This Row],[Target]]),1,0)</f>
        <v>0</v>
      </c>
      <c r="R705" s="4">
        <f>IF(Table1[[#This Row],[Target]]&gt;=Table1[[#This Row],[Last value]],1,0)</f>
        <v>1</v>
      </c>
      <c r="S705" s="4" t="str">
        <f t="shared" si="18"/>
        <v>Green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 s="34">
        <v>1.7</v>
      </c>
      <c r="CK705" s="34">
        <v>3.2</v>
      </c>
      <c r="CL705" s="43">
        <v>1.4</v>
      </c>
      <c r="CM705" s="4">
        <v>2</v>
      </c>
      <c r="CN705" s="53">
        <v>2.14</v>
      </c>
      <c r="CO705" s="54">
        <v>1.94</v>
      </c>
      <c r="CP705" s="54">
        <v>2.1</v>
      </c>
      <c r="CQ705" s="4">
        <v>2.2999999999999998</v>
      </c>
    </row>
    <row r="706" spans="1:95" x14ac:dyDescent="0.35">
      <c r="A706" s="55">
        <v>705</v>
      </c>
      <c r="B706" t="s">
        <v>119</v>
      </c>
      <c r="C706" s="27" t="s">
        <v>978</v>
      </c>
      <c r="D706" s="3" t="s">
        <v>94</v>
      </c>
      <c r="E706" s="33" t="s">
        <v>89</v>
      </c>
      <c r="F706" s="4">
        <f>IFERROR(AVERAGEIF(Table1[[#This Row],[2019-Apr]:[2025-July]],"&lt;&gt;0"),0)</f>
        <v>7.2766666666666664</v>
      </c>
      <c r="G706" s="4">
        <f ca="1">IFERROR(AVERAGEIF(OFFSET(Table1[[#This Row],[Status]],0,COUNT(Table1[[#This Row],[2019-May]:[2025-July]]),1,-12),"&lt;&gt;0"),0)</f>
        <v>6.0149999999999997</v>
      </c>
      <c r="H706" s="55">
        <f>IFERROR(SMALL(Table1[[#This Row],[2019-Apr]:[2025-July]],COUNTIF(Table1[[#This Row],[2019-Apr]:[2025-July]],0)+1),0)</f>
        <v>4.5999999999999996</v>
      </c>
      <c r="I706" s="55">
        <f>IFERROR(MAX(Table1[[#This Row],[2019-Apr]:[2025-July]]),0)</f>
        <v>9.8000000000000007</v>
      </c>
      <c r="J706" s="4" cm="1">
        <f t="array" ref="J70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7.2766666666666664</v>
      </c>
      <c r="K706" s="4">
        <v>4.5</v>
      </c>
      <c r="L706" s="4">
        <f>IF(Table1[[#This Row],[Standard as per ISO]]&gt;=Table1[[#This Row],[Avg of best 6]],Table1[[#This Row],[Standard as per ISO]],Table1[[#This Row],[Avg of best 6]])</f>
        <v>7.2766666666666664</v>
      </c>
      <c r="M706" s="4" cm="1">
        <f t="array" ref="M706">IFERROR(LOOKUP(2,1/(Table1[[#This Row],[2019-May]:[2025-July]]&lt;&gt;0),Table1[[#This Row],[2019-May]:[2025-July]]),0)</f>
        <v>9.8000000000000007</v>
      </c>
      <c r="N706" s="4">
        <f>COUNTIF(Table1[[#This Row],[2019-Apr]:[2025-July]],"&gt;="&amp;Table1[[#This Row],[Target]])</f>
        <v>2</v>
      </c>
      <c r="O706" s="4">
        <f>IF(Table1[[#This Row],[Outliers 2Y]]=0,1,0)</f>
        <v>0</v>
      </c>
      <c r="P706" s="4">
        <f>IF(Table1[[#This Row],[Last value]]&gt;1.5*Table1[[#This Row],[Target]],1,0)</f>
        <v>0</v>
      </c>
      <c r="Q706" s="4">
        <f>IF(AND(1.5*Table1[[#This Row],[Target]]&gt;=Table1[[#This Row],[Last value]],Table1[[#This Row],[Last value]]&gt;Table1[[#This Row],[Target]]),1,0)</f>
        <v>1</v>
      </c>
      <c r="R706" s="4">
        <f>IF(Table1[[#This Row],[Target]]&gt;=Table1[[#This Row],[Last value]],1,0)</f>
        <v>0</v>
      </c>
      <c r="S706" s="4" t="str">
        <f t="shared" si="18"/>
        <v>Yellow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 s="34">
        <v>0</v>
      </c>
      <c r="CK706" s="34">
        <v>0</v>
      </c>
      <c r="CL706" s="43">
        <v>0</v>
      </c>
      <c r="CM706" s="4">
        <v>4.5999999999999996</v>
      </c>
      <c r="CN706" s="53">
        <v>0</v>
      </c>
      <c r="CO706" s="54">
        <v>7.43</v>
      </c>
      <c r="CP706" s="54">
        <v>0</v>
      </c>
      <c r="CQ706" s="4">
        <v>9.8000000000000007</v>
      </c>
    </row>
    <row r="707" spans="1:95" x14ac:dyDescent="0.35">
      <c r="A707" s="55">
        <v>706</v>
      </c>
      <c r="B707" t="s">
        <v>119</v>
      </c>
      <c r="C707" s="27" t="s">
        <v>979</v>
      </c>
      <c r="D707" s="3" t="s">
        <v>94</v>
      </c>
      <c r="E707" s="33" t="s">
        <v>89</v>
      </c>
      <c r="F707" s="4">
        <f>IFERROR(AVERAGEIF(Table1[[#This Row],[2019-Apr]:[2025-July]],"&lt;&gt;0"),0)</f>
        <v>5.33</v>
      </c>
      <c r="G707" s="4">
        <f ca="1">IFERROR(AVERAGEIF(OFFSET(Table1[[#This Row],[Status]],0,COUNT(Table1[[#This Row],[2019-May]:[2025-July]]),1,-12),"&lt;&gt;0"),0)</f>
        <v>5.33</v>
      </c>
      <c r="H707" s="55">
        <f>IFERROR(SMALL(Table1[[#This Row],[2019-Apr]:[2025-July]],COUNTIF(Table1[[#This Row],[2019-Apr]:[2025-July]],0)+1),0)</f>
        <v>5.0999999999999996</v>
      </c>
      <c r="I707" s="55">
        <f>IFERROR(MAX(Table1[[#This Row],[2019-Apr]:[2025-July]]),0)</f>
        <v>5.52</v>
      </c>
      <c r="J707" s="4" cm="1">
        <f t="array" ref="J70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5.33</v>
      </c>
      <c r="K707" s="4">
        <v>4.5</v>
      </c>
      <c r="L707" s="4">
        <f>IF(Table1[[#This Row],[Standard as per ISO]]&gt;=Table1[[#This Row],[Avg of best 6]],Table1[[#This Row],[Standard as per ISO]],Table1[[#This Row],[Avg of best 6]])</f>
        <v>5.33</v>
      </c>
      <c r="M707" s="4" cm="1">
        <f t="array" ref="M707">IFERROR(LOOKUP(2,1/(Table1[[#This Row],[2019-May]:[2025-July]]&lt;&gt;0),Table1[[#This Row],[2019-May]:[2025-July]]),0)</f>
        <v>5.5</v>
      </c>
      <c r="N707" s="4">
        <f>COUNTIF(Table1[[#This Row],[2019-Apr]:[2025-July]],"&gt;="&amp;Table1[[#This Row],[Target]])</f>
        <v>2</v>
      </c>
      <c r="O707" s="4">
        <f>IF(Table1[[#This Row],[Outliers 2Y]]=0,1,0)</f>
        <v>0</v>
      </c>
      <c r="P707" s="4">
        <f>IF(Table1[[#This Row],[Last value]]&gt;1.5*Table1[[#This Row],[Target]],1,0)</f>
        <v>0</v>
      </c>
      <c r="Q707" s="4">
        <f>IF(AND(1.5*Table1[[#This Row],[Target]]&gt;=Table1[[#This Row],[Last value]],Table1[[#This Row],[Last value]]&gt;Table1[[#This Row],[Target]]),1,0)</f>
        <v>1</v>
      </c>
      <c r="R707" s="4">
        <f>IF(Table1[[#This Row],[Target]]&gt;=Table1[[#This Row],[Last value]],1,0)</f>
        <v>0</v>
      </c>
      <c r="S707" s="4" t="str">
        <f t="shared" si="18"/>
        <v>Yellow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 s="34">
        <v>5.2</v>
      </c>
      <c r="CK707" s="34">
        <v>5.0999999999999996</v>
      </c>
      <c r="CL707" s="43">
        <v>0</v>
      </c>
      <c r="CM707" s="4">
        <v>0</v>
      </c>
      <c r="CN707" s="53">
        <v>5.52</v>
      </c>
      <c r="CO707" s="54">
        <v>0</v>
      </c>
      <c r="CP707" s="54">
        <v>5.5</v>
      </c>
      <c r="CQ707" s="4">
        <v>0</v>
      </c>
    </row>
    <row r="708" spans="1:95" x14ac:dyDescent="0.35">
      <c r="A708" s="55">
        <v>707</v>
      </c>
      <c r="B708" t="s">
        <v>119</v>
      </c>
      <c r="C708" s="27" t="s">
        <v>980</v>
      </c>
      <c r="D708" s="3" t="s">
        <v>94</v>
      </c>
      <c r="E708" s="33" t="s">
        <v>89</v>
      </c>
      <c r="F708" s="4">
        <f>IFERROR(AVERAGEIF(Table1[[#This Row],[2019-Apr]:[2025-July]],"&lt;&gt;0"),0)</f>
        <v>2.4674999999999998</v>
      </c>
      <c r="G708" s="4">
        <f ca="1">IFERROR(AVERAGEIF(OFFSET(Table1[[#This Row],[Status]],0,COUNT(Table1[[#This Row],[2019-May]:[2025-July]]),1,-12),"&lt;&gt;0"),0)</f>
        <v>2.3485714285714283</v>
      </c>
      <c r="H708" s="55">
        <f>IFERROR(SMALL(Table1[[#This Row],[2019-Apr]:[2025-July]],COUNTIF(Table1[[#This Row],[2019-Apr]:[2025-July]],0)+1),0)</f>
        <v>1.5</v>
      </c>
      <c r="I708" s="55">
        <f>IFERROR(MAX(Table1[[#This Row],[2019-Apr]:[2025-July]]),0)</f>
        <v>3.3</v>
      </c>
      <c r="J708" s="4" cm="1">
        <f t="array" ref="J70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2.2566666666666664</v>
      </c>
      <c r="K708" s="4">
        <v>4.5</v>
      </c>
      <c r="L708" s="4">
        <f>IF(Table1[[#This Row],[Standard as per ISO]]&gt;=Table1[[#This Row],[Avg of best 6]],Table1[[#This Row],[Standard as per ISO]],Table1[[#This Row],[Avg of best 6]])</f>
        <v>4.5</v>
      </c>
      <c r="M708" s="4" cm="1">
        <f t="array" ref="M708">IFERROR(LOOKUP(2,1/(Table1[[#This Row],[2019-May]:[2025-July]]&lt;&gt;0),Table1[[#This Row],[2019-May]:[2025-July]]),0)</f>
        <v>3.3</v>
      </c>
      <c r="N708" s="4">
        <f>COUNTIF(Table1[[#This Row],[2019-Apr]:[2025-July]],"&gt;="&amp;Table1[[#This Row],[Target]])</f>
        <v>0</v>
      </c>
      <c r="O708" s="4">
        <f>IF(Table1[[#This Row],[Outliers 2Y]]=0,1,0)</f>
        <v>1</v>
      </c>
      <c r="P708" s="4">
        <f>IF(Table1[[#This Row],[Last value]]&gt;1.5*Table1[[#This Row],[Target]],1,0)</f>
        <v>0</v>
      </c>
      <c r="Q708" s="4">
        <f>IF(AND(1.5*Table1[[#This Row],[Target]]&gt;=Table1[[#This Row],[Last value]],Table1[[#This Row],[Last value]]&gt;Table1[[#This Row],[Target]]),1,0)</f>
        <v>0</v>
      </c>
      <c r="R708" s="4">
        <f>IF(Table1[[#This Row],[Target]]&gt;=Table1[[#This Row],[Last value]],1,0)</f>
        <v>1</v>
      </c>
      <c r="S708" s="4" t="str">
        <f t="shared" si="18"/>
        <v>Green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 s="34">
        <v>2.2999999999999998</v>
      </c>
      <c r="CK708" s="34">
        <v>1.9</v>
      </c>
      <c r="CL708" s="43">
        <v>1.5</v>
      </c>
      <c r="CM708" s="4">
        <v>2.5</v>
      </c>
      <c r="CN708" s="53">
        <v>2.68</v>
      </c>
      <c r="CO708" s="54">
        <v>2.66</v>
      </c>
      <c r="CP708" s="54">
        <v>2.9</v>
      </c>
      <c r="CQ708" s="4">
        <v>3.3</v>
      </c>
    </row>
    <row r="709" spans="1:95" x14ac:dyDescent="0.35">
      <c r="A709" s="55">
        <v>708</v>
      </c>
      <c r="B709" t="s">
        <v>119</v>
      </c>
      <c r="C709" s="27" t="s">
        <v>981</v>
      </c>
      <c r="D709" s="3" t="s">
        <v>94</v>
      </c>
      <c r="E709" s="33" t="s">
        <v>89</v>
      </c>
      <c r="F709" s="4">
        <f>IFERROR(AVERAGEIF(Table1[[#This Row],[2019-Apr]:[2025-July]],"&lt;&gt;0"),0)</f>
        <v>2.4249999999999998</v>
      </c>
      <c r="G709" s="4">
        <f ca="1">IFERROR(AVERAGEIF(OFFSET(Table1[[#This Row],[Status]],0,COUNT(Table1[[#This Row],[2019-May]:[2025-July]]),1,-12),"&lt;&gt;0"),0)</f>
        <v>2.4249999999999998</v>
      </c>
      <c r="H709" s="55">
        <f>IFERROR(SMALL(Table1[[#This Row],[2019-Apr]:[2025-July]],COUNTIF(Table1[[#This Row],[2019-Apr]:[2025-July]],0)+1),0)</f>
        <v>1.9</v>
      </c>
      <c r="I709" s="55">
        <f>IFERROR(MAX(Table1[[#This Row],[2019-Apr]:[2025-July]]),0)</f>
        <v>3.1</v>
      </c>
      <c r="J709" s="4" cm="1">
        <f t="array" ref="J70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2.4249999999999998</v>
      </c>
      <c r="K709" s="4">
        <v>4.5</v>
      </c>
      <c r="L709" s="4">
        <f>IF(Table1[[#This Row],[Standard as per ISO]]&gt;=Table1[[#This Row],[Avg of best 6]],Table1[[#This Row],[Standard as per ISO]],Table1[[#This Row],[Avg of best 6]])</f>
        <v>4.5</v>
      </c>
      <c r="M709" s="4" cm="1">
        <f t="array" ref="M709">IFERROR(LOOKUP(2,1/(Table1[[#This Row],[2019-May]:[2025-July]]&lt;&gt;0),Table1[[#This Row],[2019-May]:[2025-July]]),0)</f>
        <v>3.1</v>
      </c>
      <c r="N709" s="4">
        <f>COUNTIF(Table1[[#This Row],[2019-Apr]:[2025-July]],"&gt;="&amp;Table1[[#This Row],[Target]])</f>
        <v>0</v>
      </c>
      <c r="O709" s="4">
        <f>IF(Table1[[#This Row],[Outliers 2Y]]=0,1,0)</f>
        <v>1</v>
      </c>
      <c r="P709" s="4">
        <f>IF(Table1[[#This Row],[Last value]]&gt;1.5*Table1[[#This Row],[Target]],1,0)</f>
        <v>0</v>
      </c>
      <c r="Q709" s="4">
        <f>IF(AND(1.5*Table1[[#This Row],[Target]]&gt;=Table1[[#This Row],[Last value]],Table1[[#This Row],[Last value]]&gt;Table1[[#This Row],[Target]]),1,0)</f>
        <v>0</v>
      </c>
      <c r="R709" s="4">
        <f>IF(Table1[[#This Row],[Target]]&gt;=Table1[[#This Row],[Last value]],1,0)</f>
        <v>1</v>
      </c>
      <c r="S709" s="4" t="str">
        <f t="shared" si="18"/>
        <v>Green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 s="34">
        <v>2.2999999999999998</v>
      </c>
      <c r="CK709" s="34">
        <v>0</v>
      </c>
      <c r="CL709" s="43">
        <v>1.9</v>
      </c>
      <c r="CM709" s="4">
        <v>2.4</v>
      </c>
      <c r="CN709" s="53">
        <v>0</v>
      </c>
      <c r="CO709" s="54">
        <v>0</v>
      </c>
      <c r="CP709" s="54">
        <v>3.1</v>
      </c>
      <c r="CQ709" s="4">
        <v>0</v>
      </c>
    </row>
    <row r="710" spans="1:95" x14ac:dyDescent="0.35">
      <c r="A710" s="55">
        <v>709</v>
      </c>
      <c r="B710" t="s">
        <v>119</v>
      </c>
      <c r="C710" s="27" t="s">
        <v>982</v>
      </c>
      <c r="D710" s="3" t="s">
        <v>94</v>
      </c>
      <c r="E710" s="33" t="s">
        <v>89</v>
      </c>
      <c r="F710" s="4">
        <f>IFERROR(AVERAGEIF(Table1[[#This Row],[2019-Apr]:[2025-July]],"&lt;&gt;0"),0)</f>
        <v>7.9566666666666661</v>
      </c>
      <c r="G710" s="4">
        <f ca="1">IFERROR(AVERAGEIF(OFFSET(Table1[[#This Row],[Status]],0,COUNT(Table1[[#This Row],[2019-May]:[2025-July]]),1,-12),"&lt;&gt;0"),0)</f>
        <v>7.72</v>
      </c>
      <c r="H710" s="55">
        <f>IFERROR(SMALL(Table1[[#This Row],[2019-Apr]:[2025-July]],COUNTIF(Table1[[#This Row],[2019-Apr]:[2025-July]],0)+1),0)</f>
        <v>7.6</v>
      </c>
      <c r="I710" s="55">
        <f>IFERROR(MAX(Table1[[#This Row],[2019-Apr]:[2025-July]]),0)</f>
        <v>8.43</v>
      </c>
      <c r="J710" s="4" cm="1">
        <f t="array" ref="J71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7.9566666666666661</v>
      </c>
      <c r="K710" s="4">
        <v>4.5</v>
      </c>
      <c r="L710" s="4">
        <f>IF(Table1[[#This Row],[Standard as per ISO]]&gt;=Table1[[#This Row],[Avg of best 6]],Table1[[#This Row],[Standard as per ISO]],Table1[[#This Row],[Avg of best 6]])</f>
        <v>7.9566666666666661</v>
      </c>
      <c r="M710" s="4" cm="1">
        <f t="array" ref="M710">IFERROR(LOOKUP(2,1/(Table1[[#This Row],[2019-May]:[2025-July]]&lt;&gt;0),Table1[[#This Row],[2019-May]:[2025-July]]),0)</f>
        <v>8.43</v>
      </c>
      <c r="N710" s="4">
        <f>COUNTIF(Table1[[#This Row],[2019-Apr]:[2025-July]],"&gt;="&amp;Table1[[#This Row],[Target]])</f>
        <v>1</v>
      </c>
      <c r="O710" s="4">
        <f>IF(Table1[[#This Row],[Outliers 2Y]]=0,1,0)</f>
        <v>0</v>
      </c>
      <c r="P710" s="4">
        <f>IF(Table1[[#This Row],[Last value]]&gt;1.5*Table1[[#This Row],[Target]],1,0)</f>
        <v>0</v>
      </c>
      <c r="Q710" s="4">
        <f>IF(AND(1.5*Table1[[#This Row],[Target]]&gt;=Table1[[#This Row],[Last value]],Table1[[#This Row],[Last value]]&gt;Table1[[#This Row],[Target]]),1,0)</f>
        <v>1</v>
      </c>
      <c r="R710" s="4">
        <f>IF(Table1[[#This Row],[Target]]&gt;=Table1[[#This Row],[Last value]],1,0)</f>
        <v>0</v>
      </c>
      <c r="S710" s="4" t="str">
        <f t="shared" si="18"/>
        <v>Yellow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 s="34">
        <v>0</v>
      </c>
      <c r="CK710" s="34">
        <v>7.6</v>
      </c>
      <c r="CL710" s="43">
        <v>0</v>
      </c>
      <c r="CM710" s="4">
        <v>0</v>
      </c>
      <c r="CN710" s="53">
        <v>0</v>
      </c>
      <c r="CO710" s="54">
        <v>7.84</v>
      </c>
      <c r="CP710" s="54">
        <v>0</v>
      </c>
      <c r="CQ710" s="4">
        <v>8.43</v>
      </c>
    </row>
    <row r="711" spans="1:95" x14ac:dyDescent="0.35">
      <c r="A711" s="55">
        <v>710</v>
      </c>
      <c r="B711" t="s">
        <v>119</v>
      </c>
      <c r="C711" s="27" t="s">
        <v>983</v>
      </c>
      <c r="D711" s="3" t="s">
        <v>94</v>
      </c>
      <c r="E711" s="33" t="s">
        <v>89</v>
      </c>
      <c r="F711" s="4">
        <f>IFERROR(AVERAGEIF(Table1[[#This Row],[2019-Apr]:[2025-July]],"&lt;&gt;0"),0)</f>
        <v>7.0457142857142854</v>
      </c>
      <c r="G711" s="4">
        <f ca="1">IFERROR(AVERAGEIF(OFFSET(Table1[[#This Row],[Status]],0,COUNT(Table1[[#This Row],[2019-May]:[2025-July]]),1,-12),"&lt;&gt;0"),0)</f>
        <v>6.9616666666666669</v>
      </c>
      <c r="H711" s="55">
        <f>IFERROR(SMALL(Table1[[#This Row],[2019-Apr]:[2025-July]],COUNTIF(Table1[[#This Row],[2019-Apr]:[2025-July]],0)+1),0)</f>
        <v>6.6</v>
      </c>
      <c r="I711" s="55">
        <f>IFERROR(MAX(Table1[[#This Row],[2019-Apr]:[2025-July]]),0)</f>
        <v>7.55</v>
      </c>
      <c r="J711" s="4" cm="1">
        <f t="array" ref="J71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6.9616666666666669</v>
      </c>
      <c r="K711" s="4">
        <v>4.5</v>
      </c>
      <c r="L711" s="4">
        <f>IF(Table1[[#This Row],[Standard as per ISO]]&gt;=Table1[[#This Row],[Avg of best 6]],Table1[[#This Row],[Standard as per ISO]],Table1[[#This Row],[Avg of best 6]])</f>
        <v>6.9616666666666669</v>
      </c>
      <c r="M711" s="4" cm="1">
        <f t="array" ref="M711">IFERROR(LOOKUP(2,1/(Table1[[#This Row],[2019-May]:[2025-July]]&lt;&gt;0),Table1[[#This Row],[2019-May]:[2025-July]]),0)</f>
        <v>7.55</v>
      </c>
      <c r="N711" s="4">
        <f>COUNTIF(Table1[[#This Row],[2019-Apr]:[2025-July]],"&gt;="&amp;Table1[[#This Row],[Target]])</f>
        <v>5</v>
      </c>
      <c r="O711" s="4">
        <f>IF(Table1[[#This Row],[Outliers 2Y]]=0,1,0)</f>
        <v>0</v>
      </c>
      <c r="P711" s="4">
        <f>IF(Table1[[#This Row],[Last value]]&gt;1.5*Table1[[#This Row],[Target]],1,0)</f>
        <v>0</v>
      </c>
      <c r="Q711" s="4">
        <f>IF(AND(1.5*Table1[[#This Row],[Target]]&gt;=Table1[[#This Row],[Last value]],Table1[[#This Row],[Last value]]&gt;Table1[[#This Row],[Target]]),1,0)</f>
        <v>1</v>
      </c>
      <c r="R711" s="4">
        <f>IF(Table1[[#This Row],[Target]]&gt;=Table1[[#This Row],[Last value]],1,0)</f>
        <v>0</v>
      </c>
      <c r="S711" s="4" t="str">
        <f t="shared" si="18"/>
        <v>Yellow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 s="34">
        <v>6.6</v>
      </c>
      <c r="CK711" s="34">
        <v>7.2</v>
      </c>
      <c r="CL711" s="43">
        <v>6.8</v>
      </c>
      <c r="CM711" s="4">
        <v>7.2</v>
      </c>
      <c r="CN711" s="53">
        <v>0</v>
      </c>
      <c r="CO711" s="54">
        <v>6.97</v>
      </c>
      <c r="CP711" s="54">
        <v>7</v>
      </c>
      <c r="CQ711" s="4">
        <v>7.55</v>
      </c>
    </row>
    <row r="712" spans="1:95" x14ac:dyDescent="0.35">
      <c r="A712" s="55">
        <v>711</v>
      </c>
      <c r="B712" t="s">
        <v>119</v>
      </c>
      <c r="C712" s="27" t="s">
        <v>984</v>
      </c>
      <c r="D712" s="3" t="s">
        <v>94</v>
      </c>
      <c r="E712" s="33" t="s">
        <v>89</v>
      </c>
      <c r="F712" s="4">
        <f>IFERROR(AVERAGEIF(Table1[[#This Row],[2019-Apr]:[2025-July]],"&lt;&gt;0"),0)</f>
        <v>2.2766666666666668</v>
      </c>
      <c r="G712" s="4">
        <f ca="1">IFERROR(AVERAGEIF(OFFSET(Table1[[#This Row],[Status]],0,COUNT(Table1[[#This Row],[2019-May]:[2025-July]]),1,-12),"&lt;&gt;0"),0)</f>
        <v>1.4500000000000002</v>
      </c>
      <c r="H712" s="55">
        <f>IFERROR(SMALL(Table1[[#This Row],[2019-Apr]:[2025-July]],COUNTIF(Table1[[#This Row],[2019-Apr]:[2025-July]],0)+1),0)</f>
        <v>1.1000000000000001</v>
      </c>
      <c r="I712" s="55">
        <f>IFERROR(MAX(Table1[[#This Row],[2019-Apr]:[2025-July]]),0)</f>
        <v>3.93</v>
      </c>
      <c r="J712" s="4" cm="1">
        <f t="array" ref="J71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2.2766666666666668</v>
      </c>
      <c r="K712" s="4">
        <v>4.5</v>
      </c>
      <c r="L712" s="4">
        <f>IF(Table1[[#This Row],[Standard as per ISO]]&gt;=Table1[[#This Row],[Avg of best 6]],Table1[[#This Row],[Standard as per ISO]],Table1[[#This Row],[Avg of best 6]])</f>
        <v>4.5</v>
      </c>
      <c r="M712" s="4" cm="1">
        <f t="array" ref="M712">IFERROR(LOOKUP(2,1/(Table1[[#This Row],[2019-May]:[2025-July]]&lt;&gt;0),Table1[[#This Row],[2019-May]:[2025-July]]),0)</f>
        <v>3.93</v>
      </c>
      <c r="N712" s="4">
        <f>COUNTIF(Table1[[#This Row],[2019-Apr]:[2025-July]],"&gt;="&amp;Table1[[#This Row],[Target]])</f>
        <v>0</v>
      </c>
      <c r="O712" s="4">
        <f>IF(Table1[[#This Row],[Outliers 2Y]]=0,1,0)</f>
        <v>1</v>
      </c>
      <c r="P712" s="4">
        <f>IF(Table1[[#This Row],[Last value]]&gt;1.5*Table1[[#This Row],[Target]],1,0)</f>
        <v>0</v>
      </c>
      <c r="Q712" s="4">
        <f>IF(AND(1.5*Table1[[#This Row],[Target]]&gt;=Table1[[#This Row],[Last value]],Table1[[#This Row],[Last value]]&gt;Table1[[#This Row],[Target]]),1,0)</f>
        <v>0</v>
      </c>
      <c r="R712" s="4">
        <f>IF(Table1[[#This Row],[Target]]&gt;=Table1[[#This Row],[Last value]],1,0)</f>
        <v>1</v>
      </c>
      <c r="S712" s="4" t="str">
        <f t="shared" si="18"/>
        <v>Green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 s="34">
        <v>0</v>
      </c>
      <c r="CK712" s="34">
        <v>1.1000000000000001</v>
      </c>
      <c r="CL712" s="43">
        <v>1.8</v>
      </c>
      <c r="CM712" s="4">
        <v>0</v>
      </c>
      <c r="CN712" s="53">
        <v>0</v>
      </c>
      <c r="CO712" s="54">
        <v>0</v>
      </c>
      <c r="CP712" s="54">
        <v>0</v>
      </c>
      <c r="CQ712" s="4">
        <v>3.93</v>
      </c>
    </row>
    <row r="713" spans="1:95" x14ac:dyDescent="0.35">
      <c r="A713" s="55">
        <v>712</v>
      </c>
      <c r="B713" t="s">
        <v>119</v>
      </c>
      <c r="C713" s="27" t="s">
        <v>985</v>
      </c>
      <c r="D713" s="3" t="s">
        <v>94</v>
      </c>
      <c r="E713" s="33" t="s">
        <v>89</v>
      </c>
      <c r="F713" s="4">
        <f>IFERROR(AVERAGEIF(Table1[[#This Row],[2019-Apr]:[2025-July]],"&lt;&gt;0"),0)</f>
        <v>2.0950000000000002</v>
      </c>
      <c r="G713" s="4">
        <f ca="1">IFERROR(AVERAGEIF(OFFSET(Table1[[#This Row],[Status]],0,COUNT(Table1[[#This Row],[2019-May]:[2025-July]]),1,-12),"&lt;&gt;0"),0)</f>
        <v>2.0950000000000002</v>
      </c>
      <c r="H713" s="55">
        <f>IFERROR(SMALL(Table1[[#This Row],[2019-Apr]:[2025-July]],COUNTIF(Table1[[#This Row],[2019-Apr]:[2025-July]],0)+1),0)</f>
        <v>1.8</v>
      </c>
      <c r="I713" s="55">
        <f>IFERROR(MAX(Table1[[#This Row],[2019-Apr]:[2025-July]]),0)</f>
        <v>2.4</v>
      </c>
      <c r="J713" s="4" cm="1">
        <f t="array" ref="J71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2.0950000000000002</v>
      </c>
      <c r="K713" s="4">
        <v>4.5</v>
      </c>
      <c r="L713" s="4">
        <f>IF(Table1[[#This Row],[Standard as per ISO]]&gt;=Table1[[#This Row],[Avg of best 6]],Table1[[#This Row],[Standard as per ISO]],Table1[[#This Row],[Avg of best 6]])</f>
        <v>4.5</v>
      </c>
      <c r="M713" s="4" cm="1">
        <f t="array" ref="M713">IFERROR(LOOKUP(2,1/(Table1[[#This Row],[2019-May]:[2025-July]]&lt;&gt;0),Table1[[#This Row],[2019-May]:[2025-July]]),0)</f>
        <v>2.4</v>
      </c>
      <c r="N713" s="4">
        <f>COUNTIF(Table1[[#This Row],[2019-Apr]:[2025-July]],"&gt;="&amp;Table1[[#This Row],[Target]])</f>
        <v>0</v>
      </c>
      <c r="O713" s="4">
        <f>IF(Table1[[#This Row],[Outliers 2Y]]=0,1,0)</f>
        <v>1</v>
      </c>
      <c r="P713" s="4">
        <f>IF(Table1[[#This Row],[Last value]]&gt;1.5*Table1[[#This Row],[Target]],1,0)</f>
        <v>0</v>
      </c>
      <c r="Q713" s="4">
        <f>IF(AND(1.5*Table1[[#This Row],[Target]]&gt;=Table1[[#This Row],[Last value]],Table1[[#This Row],[Last value]]&gt;Table1[[#This Row],[Target]]),1,0)</f>
        <v>0</v>
      </c>
      <c r="R713" s="4">
        <f>IF(Table1[[#This Row],[Target]]&gt;=Table1[[#This Row],[Last value]],1,0)</f>
        <v>1</v>
      </c>
      <c r="S713" s="4" t="str">
        <f t="shared" si="18"/>
        <v>Green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 s="34">
        <v>2.2000000000000002</v>
      </c>
      <c r="CK713" s="34">
        <v>0</v>
      </c>
      <c r="CL713" s="43">
        <v>0</v>
      </c>
      <c r="CM713" s="4">
        <v>1.8</v>
      </c>
      <c r="CN713" s="53">
        <v>0</v>
      </c>
      <c r="CO713" s="54">
        <v>1.98</v>
      </c>
      <c r="CP713" s="54">
        <v>2.4</v>
      </c>
      <c r="CQ713" s="4">
        <v>0</v>
      </c>
    </row>
    <row r="714" spans="1:95" x14ac:dyDescent="0.35">
      <c r="A714" s="55">
        <v>713</v>
      </c>
      <c r="B714" t="s">
        <v>119</v>
      </c>
      <c r="C714" s="27" t="s">
        <v>986</v>
      </c>
      <c r="D714" s="3" t="s">
        <v>94</v>
      </c>
      <c r="E714" s="33" t="s">
        <v>89</v>
      </c>
      <c r="F714" s="4">
        <f>IFERROR(AVERAGEIF(Table1[[#This Row],[2019-Apr]:[2025-July]],"&lt;&gt;0"),0)</f>
        <v>0</v>
      </c>
      <c r="G714" s="4">
        <f ca="1">IFERROR(AVERAGEIF(OFFSET(Table1[[#This Row],[Status]],0,COUNT(Table1[[#This Row],[2019-May]:[2025-July]]),1,-12),"&lt;&gt;0"),0)</f>
        <v>0</v>
      </c>
      <c r="H714" s="55">
        <f>IFERROR(SMALL(Table1[[#This Row],[2019-Apr]:[2025-July]],COUNTIF(Table1[[#This Row],[2019-Apr]:[2025-July]],0)+1),0)</f>
        <v>0</v>
      </c>
      <c r="I714" s="55">
        <f>IFERROR(MAX(Table1[[#This Row],[2019-Apr]:[2025-July]]),0)</f>
        <v>0</v>
      </c>
      <c r="J714" s="4" cm="1">
        <f t="array" ref="J71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714" s="4">
        <v>4.5</v>
      </c>
      <c r="L714" s="4">
        <f>IF(Table1[[#This Row],[Standard as per ISO]]&gt;=Table1[[#This Row],[Avg of best 6]],Table1[[#This Row],[Standard as per ISO]],Table1[[#This Row],[Avg of best 6]])</f>
        <v>4.5</v>
      </c>
      <c r="M714" s="4" cm="1">
        <f t="array" ref="M714">IFERROR(LOOKUP(2,1/(Table1[[#This Row],[2019-May]:[2025-July]]&lt;&gt;0),Table1[[#This Row],[2019-May]:[2025-July]]),0)</f>
        <v>0</v>
      </c>
      <c r="N714" s="4">
        <f>COUNTIF(Table1[[#This Row],[2019-Apr]:[2025-July]],"&gt;="&amp;Table1[[#This Row],[Target]])</f>
        <v>0</v>
      </c>
      <c r="O714" s="4">
        <f>IF(Table1[[#This Row],[Outliers 2Y]]=0,1,0)</f>
        <v>1</v>
      </c>
      <c r="P714" s="4">
        <f>IF(Table1[[#This Row],[Last value]]&gt;1.5*Table1[[#This Row],[Target]],1,0)</f>
        <v>0</v>
      </c>
      <c r="Q714" s="4">
        <f>IF(AND(1.5*Table1[[#This Row],[Target]]&gt;=Table1[[#This Row],[Last value]],Table1[[#This Row],[Last value]]&gt;Table1[[#This Row],[Target]]),1,0)</f>
        <v>0</v>
      </c>
      <c r="R714" s="4">
        <f>IF(Table1[[#This Row],[Target]]&gt;=Table1[[#This Row],[Last value]],1,0)</f>
        <v>1</v>
      </c>
      <c r="S714" s="4" t="str">
        <f t="shared" si="18"/>
        <v>Green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 s="34">
        <v>0</v>
      </c>
      <c r="CK714" s="34">
        <v>0</v>
      </c>
      <c r="CL714" s="43">
        <v>0</v>
      </c>
      <c r="CM714" s="4">
        <v>0</v>
      </c>
      <c r="CN714" s="53">
        <v>0</v>
      </c>
      <c r="CO714" s="54">
        <v>0</v>
      </c>
      <c r="CP714" s="54">
        <v>0</v>
      </c>
      <c r="CQ714" s="4">
        <v>0</v>
      </c>
    </row>
    <row r="715" spans="1:95" x14ac:dyDescent="0.35">
      <c r="A715" s="55">
        <v>714</v>
      </c>
      <c r="B715" t="s">
        <v>119</v>
      </c>
      <c r="C715" s="27" t="s">
        <v>987</v>
      </c>
      <c r="D715" s="3" t="s">
        <v>94</v>
      </c>
      <c r="E715" s="33" t="s">
        <v>89</v>
      </c>
      <c r="F715" s="4">
        <f>IFERROR(AVERAGEIF(Table1[[#This Row],[2019-Apr]:[2025-July]],"&lt;&gt;0"),0)</f>
        <v>0</v>
      </c>
      <c r="G715" s="4">
        <f ca="1">IFERROR(AVERAGEIF(OFFSET(Table1[[#This Row],[Status]],0,COUNT(Table1[[#This Row],[2019-May]:[2025-July]]),1,-12),"&lt;&gt;0"),0)</f>
        <v>0</v>
      </c>
      <c r="H715" s="55">
        <f>IFERROR(SMALL(Table1[[#This Row],[2019-Apr]:[2025-July]],COUNTIF(Table1[[#This Row],[2019-Apr]:[2025-July]],0)+1),0)</f>
        <v>0</v>
      </c>
      <c r="I715" s="55">
        <f>IFERROR(MAX(Table1[[#This Row],[2019-Apr]:[2025-July]]),0)</f>
        <v>0</v>
      </c>
      <c r="J715" s="4" cm="1">
        <f t="array" ref="J71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715" s="4">
        <v>4.5</v>
      </c>
      <c r="L715" s="4">
        <f>IF(Table1[[#This Row],[Standard as per ISO]]&gt;=Table1[[#This Row],[Avg of best 6]],Table1[[#This Row],[Standard as per ISO]],Table1[[#This Row],[Avg of best 6]])</f>
        <v>4.5</v>
      </c>
      <c r="M715" s="4" cm="1">
        <f t="array" ref="M715">IFERROR(LOOKUP(2,1/(Table1[[#This Row],[2019-May]:[2025-July]]&lt;&gt;0),Table1[[#This Row],[2019-May]:[2025-July]]),0)</f>
        <v>0</v>
      </c>
      <c r="N715" s="4">
        <f>COUNTIF(Table1[[#This Row],[2019-Apr]:[2025-July]],"&gt;="&amp;Table1[[#This Row],[Target]])</f>
        <v>0</v>
      </c>
      <c r="O715" s="4">
        <f>IF(Table1[[#This Row],[Outliers 2Y]]=0,1,0)</f>
        <v>1</v>
      </c>
      <c r="P715" s="4">
        <f>IF(Table1[[#This Row],[Last value]]&gt;1.5*Table1[[#This Row],[Target]],1,0)</f>
        <v>0</v>
      </c>
      <c r="Q715" s="4">
        <f>IF(AND(1.5*Table1[[#This Row],[Target]]&gt;=Table1[[#This Row],[Last value]],Table1[[#This Row],[Last value]]&gt;Table1[[#This Row],[Target]]),1,0)</f>
        <v>0</v>
      </c>
      <c r="R715" s="4">
        <f>IF(Table1[[#This Row],[Target]]&gt;=Table1[[#This Row],[Last value]],1,0)</f>
        <v>1</v>
      </c>
      <c r="S715" s="4" t="str">
        <f t="shared" si="18"/>
        <v>Green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 s="34">
        <v>0</v>
      </c>
      <c r="CK715" s="34">
        <v>0</v>
      </c>
      <c r="CL715" s="43">
        <v>0</v>
      </c>
      <c r="CM715" s="4">
        <v>0</v>
      </c>
      <c r="CN715" s="53">
        <v>0</v>
      </c>
      <c r="CO715" s="54">
        <v>0</v>
      </c>
      <c r="CP715" s="54">
        <v>0</v>
      </c>
      <c r="CQ715" s="4">
        <v>0</v>
      </c>
    </row>
    <row r="716" spans="1:95" x14ac:dyDescent="0.35">
      <c r="A716" s="55">
        <v>715</v>
      </c>
      <c r="B716" t="s">
        <v>119</v>
      </c>
      <c r="C716" s="27" t="s">
        <v>988</v>
      </c>
      <c r="D716" s="3" t="s">
        <v>94</v>
      </c>
      <c r="E716" s="33" t="s">
        <v>89</v>
      </c>
      <c r="F716" s="4">
        <f>IFERROR(AVERAGEIF(Table1[[#This Row],[2019-Apr]:[2025-July]],"&lt;&gt;0"),0)</f>
        <v>4.9000000000000004</v>
      </c>
      <c r="G716" s="4">
        <f ca="1">IFERROR(AVERAGEIF(OFFSET(Table1[[#This Row],[Status]],0,COUNT(Table1[[#This Row],[2019-May]:[2025-July]]),1,-12),"&lt;&gt;0"),0)</f>
        <v>4.5666666666666664</v>
      </c>
      <c r="H716" s="55">
        <f>IFERROR(SMALL(Table1[[#This Row],[2019-Apr]:[2025-July]],COUNTIF(Table1[[#This Row],[2019-Apr]:[2025-July]],0)+1),0)</f>
        <v>4.3</v>
      </c>
      <c r="I716" s="55">
        <f>IFERROR(MAX(Table1[[#This Row],[2019-Apr]:[2025-July]]),0)</f>
        <v>5.9</v>
      </c>
      <c r="J716" s="4" cm="1">
        <f t="array" ref="J71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4.9000000000000004</v>
      </c>
      <c r="K716" s="4">
        <v>4.5</v>
      </c>
      <c r="L716" s="4">
        <f>IF(Table1[[#This Row],[Standard as per ISO]]&gt;=Table1[[#This Row],[Avg of best 6]],Table1[[#This Row],[Standard as per ISO]],Table1[[#This Row],[Avg of best 6]])</f>
        <v>4.9000000000000004</v>
      </c>
      <c r="M716" s="4" cm="1">
        <f t="array" ref="M716">IFERROR(LOOKUP(2,1/(Table1[[#This Row],[2019-May]:[2025-July]]&lt;&gt;0),Table1[[#This Row],[2019-May]:[2025-July]]),0)</f>
        <v>5.9</v>
      </c>
      <c r="N716" s="4">
        <f>COUNTIF(Table1[[#This Row],[2019-Apr]:[2025-July]],"&gt;="&amp;Table1[[#This Row],[Target]])</f>
        <v>2</v>
      </c>
      <c r="O716" s="4">
        <f>IF(Table1[[#This Row],[Outliers 2Y]]=0,1,0)</f>
        <v>0</v>
      </c>
      <c r="P716" s="4">
        <f>IF(Table1[[#This Row],[Last value]]&gt;1.5*Table1[[#This Row],[Target]],1,0)</f>
        <v>0</v>
      </c>
      <c r="Q716" s="4">
        <f>IF(AND(1.5*Table1[[#This Row],[Target]]&gt;=Table1[[#This Row],[Last value]],Table1[[#This Row],[Last value]]&gt;Table1[[#This Row],[Target]]),1,0)</f>
        <v>1</v>
      </c>
      <c r="R716" s="4">
        <f>IF(Table1[[#This Row],[Target]]&gt;=Table1[[#This Row],[Last value]],1,0)</f>
        <v>0</v>
      </c>
      <c r="S716" s="4" t="str">
        <f t="shared" si="18"/>
        <v>Yellow</v>
      </c>
      <c r="T716">
        <v>0</v>
      </c>
      <c r="U716" s="55">
        <v>0</v>
      </c>
      <c r="V716" s="55">
        <v>0</v>
      </c>
      <c r="W716" s="55">
        <v>0</v>
      </c>
      <c r="X716" s="55">
        <v>0</v>
      </c>
      <c r="Y716" s="55">
        <v>0</v>
      </c>
      <c r="Z716" s="55">
        <v>0</v>
      </c>
      <c r="AA716" s="55">
        <v>0</v>
      </c>
      <c r="AB716" s="55">
        <v>0</v>
      </c>
      <c r="AC716" s="55">
        <v>0</v>
      </c>
      <c r="AD716" s="55">
        <v>0</v>
      </c>
      <c r="AE716" s="55">
        <v>0</v>
      </c>
      <c r="AF716" s="55">
        <v>0</v>
      </c>
      <c r="AG716" s="55">
        <v>0</v>
      </c>
      <c r="AH716" s="55">
        <v>0</v>
      </c>
      <c r="AI716" s="55">
        <v>0</v>
      </c>
      <c r="AJ716" s="55">
        <v>0</v>
      </c>
      <c r="AK716" s="55">
        <v>0</v>
      </c>
      <c r="AL716" s="55">
        <v>0</v>
      </c>
      <c r="AM716" s="55">
        <v>0</v>
      </c>
      <c r="AN716" s="55">
        <v>0</v>
      </c>
      <c r="AO716" s="55">
        <v>0</v>
      </c>
      <c r="AP716" s="55">
        <v>0</v>
      </c>
      <c r="AQ716" s="55">
        <v>0</v>
      </c>
      <c r="AR716" s="55">
        <v>0</v>
      </c>
      <c r="AS716" s="55">
        <v>0</v>
      </c>
      <c r="AT716" s="55">
        <v>0</v>
      </c>
      <c r="AU716" s="55">
        <v>0</v>
      </c>
      <c r="AV716" s="55">
        <v>0</v>
      </c>
      <c r="AW716" s="55">
        <v>0</v>
      </c>
      <c r="AX716" s="55">
        <v>0</v>
      </c>
      <c r="AY716" s="55">
        <v>0</v>
      </c>
      <c r="AZ716" s="55">
        <v>0</v>
      </c>
      <c r="BA716" s="55">
        <v>0</v>
      </c>
      <c r="BB716" s="55">
        <v>0</v>
      </c>
      <c r="BC716" s="55">
        <v>0</v>
      </c>
      <c r="BD716" s="55">
        <v>0</v>
      </c>
      <c r="BE716" s="55">
        <v>0</v>
      </c>
      <c r="BF716" s="55">
        <v>0</v>
      </c>
      <c r="BG716" s="55">
        <v>0</v>
      </c>
      <c r="BH716" s="55">
        <v>0</v>
      </c>
      <c r="BI716" s="55">
        <v>0</v>
      </c>
      <c r="BJ716" s="55">
        <v>0</v>
      </c>
      <c r="BK716" s="55">
        <v>0</v>
      </c>
      <c r="BL716" s="55">
        <v>0</v>
      </c>
      <c r="BM716" s="55">
        <v>0</v>
      </c>
      <c r="BN716" s="55">
        <v>0</v>
      </c>
      <c r="BO716" s="55">
        <v>0</v>
      </c>
      <c r="BP716" s="55">
        <v>0</v>
      </c>
      <c r="BQ716" s="55">
        <v>0</v>
      </c>
      <c r="BR716" s="55">
        <v>0</v>
      </c>
      <c r="BS716" s="55">
        <v>0</v>
      </c>
      <c r="BT716" s="55">
        <v>0</v>
      </c>
      <c r="BU716" s="55">
        <v>0</v>
      </c>
      <c r="BV716" s="55">
        <v>0</v>
      </c>
      <c r="BW716" s="55">
        <v>0</v>
      </c>
      <c r="BX716" s="55">
        <v>0</v>
      </c>
      <c r="BY716" s="55">
        <v>0</v>
      </c>
      <c r="BZ716" s="55">
        <v>0</v>
      </c>
      <c r="CA716" s="55">
        <v>0</v>
      </c>
      <c r="CB716" s="55">
        <v>0</v>
      </c>
      <c r="CC716" s="55">
        <v>0</v>
      </c>
      <c r="CD716" s="55">
        <v>0</v>
      </c>
      <c r="CE716" s="55">
        <v>0</v>
      </c>
      <c r="CF716" s="55">
        <v>0</v>
      </c>
      <c r="CG716" s="55">
        <v>0</v>
      </c>
      <c r="CH716" s="55">
        <v>0</v>
      </c>
      <c r="CI716" s="55">
        <v>0</v>
      </c>
      <c r="CJ716" s="55">
        <v>0</v>
      </c>
      <c r="CK716" s="34">
        <v>4.9000000000000004</v>
      </c>
      <c r="CL716" s="53">
        <v>0</v>
      </c>
      <c r="CM716" s="53">
        <v>0</v>
      </c>
      <c r="CN716" s="53">
        <v>0</v>
      </c>
      <c r="CO716" s="54">
        <v>4.5</v>
      </c>
      <c r="CP716" s="54">
        <v>4.3</v>
      </c>
      <c r="CQ716" s="4">
        <v>5.9</v>
      </c>
    </row>
    <row r="717" spans="1:95" s="55" customFormat="1" x14ac:dyDescent="0.35">
      <c r="A717" s="55">
        <v>716</v>
      </c>
      <c r="B717" s="55" t="s">
        <v>119</v>
      </c>
      <c r="C717" s="27" t="s">
        <v>1516</v>
      </c>
      <c r="D717" s="50" t="s">
        <v>93</v>
      </c>
      <c r="E717" s="33" t="s">
        <v>89</v>
      </c>
      <c r="F717" s="4">
        <f>IFERROR(AVERAGEIF(Table1[[#This Row],[2019-Apr]:[2025-July]],"&lt;&gt;0"),0)</f>
        <v>1.05</v>
      </c>
      <c r="G717" s="4">
        <f ca="1">IFERROR(AVERAGEIF(OFFSET(Table1[[#This Row],[Status]],0,COUNT(Table1[[#This Row],[2019-May]:[2025-July]]),1,-12),"&lt;&gt;0"),0)</f>
        <v>1.2</v>
      </c>
      <c r="H717" s="55">
        <f>IFERROR(SMALL(Table1[[#This Row],[2019-Apr]:[2025-July]],COUNTIF(Table1[[#This Row],[2019-Apr]:[2025-July]],0)+1),0)</f>
        <v>0.9</v>
      </c>
      <c r="I717" s="56">
        <f>IFERROR(MAX(Table1[[#This Row],[2019-Apr]:[2025-July]]),0)</f>
        <v>1.2</v>
      </c>
      <c r="J717" s="4" cm="1">
        <f t="array" ref="J71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1.05</v>
      </c>
      <c r="K717" s="4">
        <v>4.5</v>
      </c>
      <c r="L717" s="4">
        <f>IF(Table1[[#This Row],[Standard as per ISO]]&gt;=Table1[[#This Row],[Avg of best 6]],Table1[[#This Row],[Standard as per ISO]],Table1[[#This Row],[Avg of best 6]])</f>
        <v>4.5</v>
      </c>
      <c r="M717" s="4" cm="1">
        <f t="array" ref="M717">IFERROR(LOOKUP(2,1/(Table1[[#This Row],[2019-May]:[2025-July]]&lt;&gt;0),Table1[[#This Row],[2019-May]:[2025-July]]),0)</f>
        <v>0.9</v>
      </c>
      <c r="N717" s="4">
        <f>COUNTIF(Table1[[#This Row],[2019-Apr]:[2025-July]],"&gt;="&amp;Table1[[#This Row],[Target]])</f>
        <v>0</v>
      </c>
      <c r="O717" s="4">
        <f>IF(Table1[[#This Row],[Outliers 2Y]]=0,1,0)</f>
        <v>1</v>
      </c>
      <c r="P717" s="4">
        <f>IF(Table1[[#This Row],[Last value]]&gt;1.5*Table1[[#This Row],[Target]],1,0)</f>
        <v>0</v>
      </c>
      <c r="Q717" s="4">
        <f>IF(AND(1.5*Table1[[#This Row],[Target]]&gt;=Table1[[#This Row],[Last value]],Table1[[#This Row],[Last value]]&gt;Table1[[#This Row],[Target]]),1,0)</f>
        <v>0</v>
      </c>
      <c r="R717" s="4">
        <f>IF(Table1[[#This Row],[Target]]&gt;=Table1[[#This Row],[Last value]],1,0)</f>
        <v>1</v>
      </c>
      <c r="S717" s="4" t="str">
        <f t="shared" ref="S717:S723" si="19">IF(P717=1, "Red", IF(Q717=1, "Yellow", "Green"))</f>
        <v>Green</v>
      </c>
      <c r="T717" s="55">
        <v>0</v>
      </c>
      <c r="U717" s="55">
        <v>0</v>
      </c>
      <c r="V717" s="55">
        <v>0</v>
      </c>
      <c r="W717" s="55">
        <v>0</v>
      </c>
      <c r="X717" s="55">
        <v>0</v>
      </c>
      <c r="Y717" s="55">
        <v>0</v>
      </c>
      <c r="Z717" s="55">
        <v>0</v>
      </c>
      <c r="AA717" s="55">
        <v>0</v>
      </c>
      <c r="AB717" s="55">
        <v>0</v>
      </c>
      <c r="AC717" s="55">
        <v>0</v>
      </c>
      <c r="AD717" s="55">
        <v>0</v>
      </c>
      <c r="AE717" s="55">
        <v>0</v>
      </c>
      <c r="AF717" s="55">
        <v>0</v>
      </c>
      <c r="AG717" s="55">
        <v>0</v>
      </c>
      <c r="AH717" s="55">
        <v>0</v>
      </c>
      <c r="AI717" s="55">
        <v>0</v>
      </c>
      <c r="AJ717" s="55">
        <v>0</v>
      </c>
      <c r="AK717" s="55">
        <v>0</v>
      </c>
      <c r="AL717" s="55">
        <v>0</v>
      </c>
      <c r="AM717" s="55">
        <v>0</v>
      </c>
      <c r="AN717" s="55">
        <v>0</v>
      </c>
      <c r="AO717" s="55">
        <v>0</v>
      </c>
      <c r="AP717" s="55">
        <v>0</v>
      </c>
      <c r="AQ717" s="55">
        <v>0</v>
      </c>
      <c r="AR717" s="55">
        <v>0</v>
      </c>
      <c r="AS717" s="55">
        <v>0</v>
      </c>
      <c r="AT717" s="55">
        <v>0</v>
      </c>
      <c r="AU717" s="55">
        <v>0</v>
      </c>
      <c r="AV717" s="55">
        <v>0</v>
      </c>
      <c r="AW717" s="55">
        <v>0</v>
      </c>
      <c r="AX717" s="55">
        <v>0</v>
      </c>
      <c r="AY717" s="55">
        <v>0</v>
      </c>
      <c r="AZ717" s="55">
        <v>0</v>
      </c>
      <c r="BA717" s="55">
        <v>0</v>
      </c>
      <c r="BB717" s="55">
        <v>0</v>
      </c>
      <c r="BC717" s="55">
        <v>0</v>
      </c>
      <c r="BD717" s="55">
        <v>0</v>
      </c>
      <c r="BE717" s="55">
        <v>0</v>
      </c>
      <c r="BF717" s="55">
        <v>0</v>
      </c>
      <c r="BG717" s="55">
        <v>0</v>
      </c>
      <c r="BH717" s="55">
        <v>0</v>
      </c>
      <c r="BI717" s="55">
        <v>0</v>
      </c>
      <c r="BJ717" s="55">
        <v>0</v>
      </c>
      <c r="BK717" s="55">
        <v>0</v>
      </c>
      <c r="BL717" s="55">
        <v>0</v>
      </c>
      <c r="BM717" s="55">
        <v>0</v>
      </c>
      <c r="BN717" s="55">
        <v>0</v>
      </c>
      <c r="BO717" s="55">
        <v>0</v>
      </c>
      <c r="BP717" s="55">
        <v>0</v>
      </c>
      <c r="BQ717" s="55">
        <v>0</v>
      </c>
      <c r="BR717" s="55">
        <v>0</v>
      </c>
      <c r="BS717" s="55">
        <v>0</v>
      </c>
      <c r="BT717" s="55">
        <v>0</v>
      </c>
      <c r="BU717" s="55">
        <v>0</v>
      </c>
      <c r="BV717" s="55">
        <v>0</v>
      </c>
      <c r="BW717" s="55">
        <v>0</v>
      </c>
      <c r="BX717" s="55">
        <v>0</v>
      </c>
      <c r="BY717" s="55">
        <v>0</v>
      </c>
      <c r="BZ717" s="55">
        <v>0</v>
      </c>
      <c r="CA717" s="55">
        <v>0</v>
      </c>
      <c r="CB717" s="55">
        <v>0</v>
      </c>
      <c r="CC717" s="55">
        <v>0</v>
      </c>
      <c r="CD717" s="55">
        <v>0</v>
      </c>
      <c r="CE717" s="55">
        <v>0</v>
      </c>
      <c r="CF717" s="55">
        <v>0</v>
      </c>
      <c r="CG717" s="55">
        <v>0</v>
      </c>
      <c r="CH717" s="55">
        <v>0</v>
      </c>
      <c r="CI717" s="55">
        <v>0</v>
      </c>
      <c r="CJ717" s="55">
        <v>0</v>
      </c>
      <c r="CK717" s="55">
        <v>0</v>
      </c>
      <c r="CL717" s="53">
        <v>0</v>
      </c>
      <c r="CM717" s="53">
        <v>0</v>
      </c>
      <c r="CN717" s="53">
        <v>0</v>
      </c>
      <c r="CO717" s="53">
        <v>0</v>
      </c>
      <c r="CP717" s="57">
        <v>1.2</v>
      </c>
      <c r="CQ717" s="4">
        <v>0.9</v>
      </c>
    </row>
    <row r="718" spans="1:95" s="55" customFormat="1" x14ac:dyDescent="0.35">
      <c r="A718" s="55">
        <v>717</v>
      </c>
      <c r="B718" s="55" t="s">
        <v>119</v>
      </c>
      <c r="C718" s="27" t="s">
        <v>1517</v>
      </c>
      <c r="D718" s="50" t="s">
        <v>93</v>
      </c>
      <c r="E718" s="33" t="s">
        <v>89</v>
      </c>
      <c r="F718" s="4">
        <f>IFERROR(AVERAGEIF(Table1[[#This Row],[2019-Apr]:[2025-July]],"&lt;&gt;0"),0)</f>
        <v>7.5500000000000007</v>
      </c>
      <c r="G718" s="4">
        <f ca="1">IFERROR(AVERAGEIF(OFFSET(Table1[[#This Row],[Status]],0,COUNT(Table1[[#This Row],[2019-May]:[2025-July]]),1,-12),"&lt;&gt;0"),0)</f>
        <v>6.3</v>
      </c>
      <c r="H718" s="55">
        <f>IFERROR(SMALL(Table1[[#This Row],[2019-Apr]:[2025-July]],COUNTIF(Table1[[#This Row],[2019-Apr]:[2025-July]],0)+1),0)</f>
        <v>6.3</v>
      </c>
      <c r="I718" s="56">
        <f>IFERROR(MAX(Table1[[#This Row],[2019-Apr]:[2025-July]]),0)</f>
        <v>8.8000000000000007</v>
      </c>
      <c r="J718" s="4" cm="1">
        <f t="array" ref="J71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7.5500000000000007</v>
      </c>
      <c r="K718" s="4">
        <v>4.5</v>
      </c>
      <c r="L718" s="4">
        <f>IF(Table1[[#This Row],[Standard as per ISO]]&gt;=Table1[[#This Row],[Avg of best 6]],Table1[[#This Row],[Standard as per ISO]],Table1[[#This Row],[Avg of best 6]])</f>
        <v>7.5500000000000007</v>
      </c>
      <c r="M718" s="4" cm="1">
        <f t="array" ref="M718">IFERROR(LOOKUP(2,1/(Table1[[#This Row],[2019-May]:[2025-July]]&lt;&gt;0),Table1[[#This Row],[2019-May]:[2025-July]]),0)</f>
        <v>8.8000000000000007</v>
      </c>
      <c r="N718" s="4">
        <f>COUNTIF(Table1[[#This Row],[2019-Apr]:[2025-July]],"&gt;="&amp;Table1[[#This Row],[Target]])</f>
        <v>1</v>
      </c>
      <c r="O718" s="4">
        <f>IF(Table1[[#This Row],[Outliers 2Y]]=0,1,0)</f>
        <v>0</v>
      </c>
      <c r="P718" s="4">
        <f>IF(Table1[[#This Row],[Last value]]&gt;1.5*Table1[[#This Row],[Target]],1,0)</f>
        <v>0</v>
      </c>
      <c r="Q718" s="4">
        <f>IF(AND(1.5*Table1[[#This Row],[Target]]&gt;=Table1[[#This Row],[Last value]],Table1[[#This Row],[Last value]]&gt;Table1[[#This Row],[Target]]),1,0)</f>
        <v>1</v>
      </c>
      <c r="R718" s="4">
        <f>IF(Table1[[#This Row],[Target]]&gt;=Table1[[#This Row],[Last value]],1,0)</f>
        <v>0</v>
      </c>
      <c r="S718" s="4" t="str">
        <f t="shared" si="19"/>
        <v>Yellow</v>
      </c>
      <c r="T718" s="55">
        <v>0</v>
      </c>
      <c r="U718" s="55">
        <v>0</v>
      </c>
      <c r="V718" s="55">
        <v>0</v>
      </c>
      <c r="W718" s="55">
        <v>0</v>
      </c>
      <c r="X718" s="55">
        <v>0</v>
      </c>
      <c r="Y718" s="55">
        <v>0</v>
      </c>
      <c r="Z718" s="55">
        <v>0</v>
      </c>
      <c r="AA718" s="55">
        <v>0</v>
      </c>
      <c r="AB718" s="55">
        <v>0</v>
      </c>
      <c r="AC718" s="55">
        <v>0</v>
      </c>
      <c r="AD718" s="55">
        <v>0</v>
      </c>
      <c r="AE718" s="55">
        <v>0</v>
      </c>
      <c r="AF718" s="55">
        <v>0</v>
      </c>
      <c r="AG718" s="55">
        <v>0</v>
      </c>
      <c r="AH718" s="55">
        <v>0</v>
      </c>
      <c r="AI718" s="55">
        <v>0</v>
      </c>
      <c r="AJ718" s="55">
        <v>0</v>
      </c>
      <c r="AK718" s="55">
        <v>0</v>
      </c>
      <c r="AL718" s="55">
        <v>0</v>
      </c>
      <c r="AM718" s="55">
        <v>0</v>
      </c>
      <c r="AN718" s="55">
        <v>0</v>
      </c>
      <c r="AO718" s="55">
        <v>0</v>
      </c>
      <c r="AP718" s="55">
        <v>0</v>
      </c>
      <c r="AQ718" s="55">
        <v>0</v>
      </c>
      <c r="AR718" s="55">
        <v>0</v>
      </c>
      <c r="AS718" s="55">
        <v>0</v>
      </c>
      <c r="AT718" s="55">
        <v>0</v>
      </c>
      <c r="AU718" s="55">
        <v>0</v>
      </c>
      <c r="AV718" s="55">
        <v>0</v>
      </c>
      <c r="AW718" s="55">
        <v>0</v>
      </c>
      <c r="AX718" s="55">
        <v>0</v>
      </c>
      <c r="AY718" s="55">
        <v>0</v>
      </c>
      <c r="AZ718" s="55">
        <v>0</v>
      </c>
      <c r="BA718" s="55">
        <v>0</v>
      </c>
      <c r="BB718" s="55">
        <v>0</v>
      </c>
      <c r="BC718" s="55">
        <v>0</v>
      </c>
      <c r="BD718" s="55">
        <v>0</v>
      </c>
      <c r="BE718" s="55">
        <v>0</v>
      </c>
      <c r="BF718" s="55">
        <v>0</v>
      </c>
      <c r="BG718" s="55">
        <v>0</v>
      </c>
      <c r="BH718" s="55">
        <v>0</v>
      </c>
      <c r="BI718" s="55">
        <v>0</v>
      </c>
      <c r="BJ718" s="55">
        <v>0</v>
      </c>
      <c r="BK718" s="55">
        <v>0</v>
      </c>
      <c r="BL718" s="55">
        <v>0</v>
      </c>
      <c r="BM718" s="55">
        <v>0</v>
      </c>
      <c r="BN718" s="55">
        <v>0</v>
      </c>
      <c r="BO718" s="55">
        <v>0</v>
      </c>
      <c r="BP718" s="55">
        <v>0</v>
      </c>
      <c r="BQ718" s="55">
        <v>0</v>
      </c>
      <c r="BR718" s="55">
        <v>0</v>
      </c>
      <c r="BS718" s="55">
        <v>0</v>
      </c>
      <c r="BT718" s="55">
        <v>0</v>
      </c>
      <c r="BU718" s="55">
        <v>0</v>
      </c>
      <c r="BV718" s="55">
        <v>0</v>
      </c>
      <c r="BW718" s="55">
        <v>0</v>
      </c>
      <c r="BX718" s="55">
        <v>0</v>
      </c>
      <c r="BY718" s="55">
        <v>0</v>
      </c>
      <c r="BZ718" s="55">
        <v>0</v>
      </c>
      <c r="CA718" s="55">
        <v>0</v>
      </c>
      <c r="CB718" s="55">
        <v>0</v>
      </c>
      <c r="CC718" s="55">
        <v>0</v>
      </c>
      <c r="CD718" s="55">
        <v>0</v>
      </c>
      <c r="CE718" s="55">
        <v>0</v>
      </c>
      <c r="CF718" s="55">
        <v>0</v>
      </c>
      <c r="CG718" s="55">
        <v>0</v>
      </c>
      <c r="CH718" s="55">
        <v>0</v>
      </c>
      <c r="CI718" s="55">
        <v>0</v>
      </c>
      <c r="CJ718" s="55">
        <v>0</v>
      </c>
      <c r="CK718" s="55">
        <v>0</v>
      </c>
      <c r="CL718" s="53">
        <v>0</v>
      </c>
      <c r="CM718" s="53">
        <v>0</v>
      </c>
      <c r="CN718" s="53">
        <v>0</v>
      </c>
      <c r="CO718" s="53">
        <v>0</v>
      </c>
      <c r="CP718" s="57">
        <v>6.3</v>
      </c>
      <c r="CQ718" s="4">
        <v>8.8000000000000007</v>
      </c>
    </row>
    <row r="719" spans="1:95" s="55" customFormat="1" x14ac:dyDescent="0.35">
      <c r="A719" s="55">
        <v>718</v>
      </c>
      <c r="B719" s="55" t="s">
        <v>119</v>
      </c>
      <c r="C719" s="27" t="s">
        <v>1518</v>
      </c>
      <c r="D719" s="50" t="s">
        <v>103</v>
      </c>
      <c r="E719" s="33" t="s">
        <v>89</v>
      </c>
      <c r="F719" s="4">
        <f>IFERROR(AVERAGEIF(Table1[[#This Row],[2019-Apr]:[2025-July]],"&lt;&gt;0"),0)</f>
        <v>2.2999999999999998</v>
      </c>
      <c r="G719" s="4">
        <f ca="1">IFERROR(AVERAGEIF(OFFSET(Table1[[#This Row],[Status]],0,COUNT(Table1[[#This Row],[2019-May]:[2025-July]]),1,-12),"&lt;&gt;0"),0)</f>
        <v>0</v>
      </c>
      <c r="H719" s="55">
        <f>IFERROR(SMALL(Table1[[#This Row],[2019-Apr]:[2025-July]],COUNTIF(Table1[[#This Row],[2019-Apr]:[2025-July]],0)+1),0)</f>
        <v>2.2999999999999998</v>
      </c>
      <c r="I719" s="56">
        <f>IFERROR(MAX(Table1[[#This Row],[2019-Apr]:[2025-July]]),0)</f>
        <v>2.2999999999999998</v>
      </c>
      <c r="J719" s="4" cm="1">
        <f t="array" ref="J71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2.2999999999999998</v>
      </c>
      <c r="K719" s="4">
        <v>4.5</v>
      </c>
      <c r="L719" s="4">
        <f>IF(Table1[[#This Row],[Standard as per ISO]]&gt;=Table1[[#This Row],[Avg of best 6]],Table1[[#This Row],[Standard as per ISO]],Table1[[#This Row],[Avg of best 6]])</f>
        <v>4.5</v>
      </c>
      <c r="M719" s="4" cm="1">
        <f t="array" ref="M719">IFERROR(LOOKUP(2,1/(Table1[[#This Row],[2019-May]:[2025-July]]&lt;&gt;0),Table1[[#This Row],[2019-May]:[2025-July]]),0)</f>
        <v>2.2999999999999998</v>
      </c>
      <c r="N719" s="4">
        <f>COUNTIF(Table1[[#This Row],[2019-Apr]:[2025-July]],"&gt;="&amp;Table1[[#This Row],[Target]])</f>
        <v>0</v>
      </c>
      <c r="O719" s="4">
        <f>IF(Table1[[#This Row],[Outliers 2Y]]=0,1,0)</f>
        <v>1</v>
      </c>
      <c r="P719" s="4">
        <f>IF(Table1[[#This Row],[Last value]]&gt;1.5*Table1[[#This Row],[Target]],1,0)</f>
        <v>0</v>
      </c>
      <c r="Q719" s="4">
        <f>IF(AND(1.5*Table1[[#This Row],[Target]]&gt;=Table1[[#This Row],[Last value]],Table1[[#This Row],[Last value]]&gt;Table1[[#This Row],[Target]]),1,0)</f>
        <v>0</v>
      </c>
      <c r="R719" s="4">
        <f>IF(Table1[[#This Row],[Target]]&gt;=Table1[[#This Row],[Last value]],1,0)</f>
        <v>1</v>
      </c>
      <c r="S719" s="4" t="str">
        <f t="shared" si="19"/>
        <v>Green</v>
      </c>
      <c r="T719" s="55">
        <v>0</v>
      </c>
      <c r="U719" s="55">
        <v>0</v>
      </c>
      <c r="V719" s="55">
        <v>0</v>
      </c>
      <c r="W719" s="55">
        <v>0</v>
      </c>
      <c r="X719" s="55">
        <v>0</v>
      </c>
      <c r="Y719" s="55">
        <v>0</v>
      </c>
      <c r="Z719" s="55">
        <v>0</v>
      </c>
      <c r="AA719" s="55">
        <v>0</v>
      </c>
      <c r="AB719" s="55">
        <v>0</v>
      </c>
      <c r="AC719" s="55">
        <v>0</v>
      </c>
      <c r="AD719" s="55">
        <v>0</v>
      </c>
      <c r="AE719" s="55">
        <v>0</v>
      </c>
      <c r="AF719" s="55">
        <v>0</v>
      </c>
      <c r="AG719" s="55">
        <v>0</v>
      </c>
      <c r="AH719" s="55">
        <v>0</v>
      </c>
      <c r="AI719" s="55">
        <v>0</v>
      </c>
      <c r="AJ719" s="55">
        <v>0</v>
      </c>
      <c r="AK719" s="55">
        <v>0</v>
      </c>
      <c r="AL719" s="55">
        <v>0</v>
      </c>
      <c r="AM719" s="55">
        <v>0</v>
      </c>
      <c r="AN719" s="55">
        <v>0</v>
      </c>
      <c r="AO719" s="55">
        <v>0</v>
      </c>
      <c r="AP719" s="55">
        <v>0</v>
      </c>
      <c r="AQ719" s="55">
        <v>0</v>
      </c>
      <c r="AR719" s="55">
        <v>0</v>
      </c>
      <c r="AS719" s="55">
        <v>0</v>
      </c>
      <c r="AT719" s="55">
        <v>0</v>
      </c>
      <c r="AU719" s="55">
        <v>0</v>
      </c>
      <c r="AV719" s="55">
        <v>0</v>
      </c>
      <c r="AW719" s="55">
        <v>0</v>
      </c>
      <c r="AX719" s="55">
        <v>0</v>
      </c>
      <c r="AY719" s="55">
        <v>0</v>
      </c>
      <c r="AZ719" s="55">
        <v>0</v>
      </c>
      <c r="BA719" s="55">
        <v>0</v>
      </c>
      <c r="BB719" s="55">
        <v>0</v>
      </c>
      <c r="BC719" s="55">
        <v>0</v>
      </c>
      <c r="BD719" s="55">
        <v>0</v>
      </c>
      <c r="BE719" s="55">
        <v>0</v>
      </c>
      <c r="BF719" s="55">
        <v>0</v>
      </c>
      <c r="BG719" s="55">
        <v>0</v>
      </c>
      <c r="BH719" s="55">
        <v>0</v>
      </c>
      <c r="BI719" s="55">
        <v>0</v>
      </c>
      <c r="BJ719" s="55">
        <v>0</v>
      </c>
      <c r="BK719" s="55">
        <v>0</v>
      </c>
      <c r="BL719" s="55">
        <v>0</v>
      </c>
      <c r="BM719" s="55">
        <v>0</v>
      </c>
      <c r="BN719" s="55">
        <v>0</v>
      </c>
      <c r="BO719" s="55">
        <v>0</v>
      </c>
      <c r="BP719" s="55">
        <v>0</v>
      </c>
      <c r="BQ719" s="55">
        <v>0</v>
      </c>
      <c r="BR719" s="55">
        <v>0</v>
      </c>
      <c r="BS719" s="55">
        <v>0</v>
      </c>
      <c r="BT719" s="55">
        <v>0</v>
      </c>
      <c r="BU719" s="55">
        <v>0</v>
      </c>
      <c r="BV719" s="55">
        <v>0</v>
      </c>
      <c r="BW719" s="55">
        <v>0</v>
      </c>
      <c r="BX719" s="55">
        <v>0</v>
      </c>
      <c r="BY719" s="55">
        <v>0</v>
      </c>
      <c r="BZ719" s="55">
        <v>0</v>
      </c>
      <c r="CA719" s="55">
        <v>0</v>
      </c>
      <c r="CB719" s="55">
        <v>0</v>
      </c>
      <c r="CC719" s="55">
        <v>0</v>
      </c>
      <c r="CD719" s="55">
        <v>0</v>
      </c>
      <c r="CE719" s="55">
        <v>0</v>
      </c>
      <c r="CF719" s="55">
        <v>0</v>
      </c>
      <c r="CG719" s="55">
        <v>0</v>
      </c>
      <c r="CH719" s="55">
        <v>0</v>
      </c>
      <c r="CI719" s="55">
        <v>0</v>
      </c>
      <c r="CJ719" s="55">
        <v>0</v>
      </c>
      <c r="CK719" s="55">
        <v>0</v>
      </c>
      <c r="CL719" s="53">
        <v>0</v>
      </c>
      <c r="CM719" s="53">
        <v>0</v>
      </c>
      <c r="CN719" s="53">
        <v>0</v>
      </c>
      <c r="CO719" s="53">
        <v>0</v>
      </c>
      <c r="CP719" s="53">
        <v>0</v>
      </c>
      <c r="CQ719" s="4">
        <v>2.2999999999999998</v>
      </c>
    </row>
    <row r="720" spans="1:95" s="55" customFormat="1" x14ac:dyDescent="0.35">
      <c r="A720" s="55">
        <v>719</v>
      </c>
      <c r="B720" s="55" t="s">
        <v>119</v>
      </c>
      <c r="C720" s="27" t="s">
        <v>1519</v>
      </c>
      <c r="D720" s="50" t="s">
        <v>88</v>
      </c>
      <c r="E720" s="33" t="s">
        <v>89</v>
      </c>
      <c r="F720" s="4">
        <f>IFERROR(AVERAGEIF(Table1[[#This Row],[2019-Apr]:[2025-July]],"&lt;&gt;0"),0)</f>
        <v>1.6</v>
      </c>
      <c r="G720" s="4">
        <f ca="1">IFERROR(AVERAGEIF(OFFSET(Table1[[#This Row],[Status]],0,COUNT(Table1[[#This Row],[2019-May]:[2025-July]]),1,-12),"&lt;&gt;0"),0)</f>
        <v>0</v>
      </c>
      <c r="H720" s="55">
        <f>IFERROR(SMALL(Table1[[#This Row],[2019-Apr]:[2025-July]],COUNTIF(Table1[[#This Row],[2019-Apr]:[2025-July]],0)+1),0)</f>
        <v>1.6</v>
      </c>
      <c r="I720" s="56">
        <f>IFERROR(MAX(Table1[[#This Row],[2019-Apr]:[2025-July]]),0)</f>
        <v>1.6</v>
      </c>
      <c r="J720" s="4" cm="1">
        <f t="array" ref="J72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</v>
      </c>
      <c r="K720" s="4">
        <v>4.5</v>
      </c>
      <c r="L720" s="4">
        <f>IF(Table1[[#This Row],[Standard as per ISO]]&gt;=Table1[[#This Row],[Avg of best 6]],Table1[[#This Row],[Standard as per ISO]],Table1[[#This Row],[Avg of best 6]])</f>
        <v>4.5</v>
      </c>
      <c r="M720" s="4" cm="1">
        <f t="array" ref="M720">IFERROR(LOOKUP(2,1/(Table1[[#This Row],[2019-May]:[2025-July]]&lt;&gt;0),Table1[[#This Row],[2019-May]:[2025-July]]),0)</f>
        <v>1.6</v>
      </c>
      <c r="N720" s="4">
        <f>COUNTIF(Table1[[#This Row],[2019-Apr]:[2025-July]],"&gt;="&amp;Table1[[#This Row],[Target]])</f>
        <v>0</v>
      </c>
      <c r="O720" s="4">
        <f>IF(Table1[[#This Row],[Outliers 2Y]]=0,1,0)</f>
        <v>1</v>
      </c>
      <c r="P720" s="4">
        <f>IF(Table1[[#This Row],[Last value]]&gt;1.5*Table1[[#This Row],[Target]],1,0)</f>
        <v>0</v>
      </c>
      <c r="Q720" s="4">
        <f>IF(AND(1.5*Table1[[#This Row],[Target]]&gt;=Table1[[#This Row],[Last value]],Table1[[#This Row],[Last value]]&gt;Table1[[#This Row],[Target]]),1,0)</f>
        <v>0</v>
      </c>
      <c r="R720" s="4">
        <f>IF(Table1[[#This Row],[Target]]&gt;=Table1[[#This Row],[Last value]],1,0)</f>
        <v>1</v>
      </c>
      <c r="S720" s="4" t="str">
        <f t="shared" si="19"/>
        <v>Green</v>
      </c>
      <c r="T720" s="55">
        <v>0</v>
      </c>
      <c r="U720" s="55">
        <v>0</v>
      </c>
      <c r="V720" s="55">
        <v>0</v>
      </c>
      <c r="W720" s="55">
        <v>0</v>
      </c>
      <c r="X720" s="55">
        <v>0</v>
      </c>
      <c r="Y720" s="55">
        <v>0</v>
      </c>
      <c r="Z720" s="55">
        <v>0</v>
      </c>
      <c r="AA720" s="55">
        <v>0</v>
      </c>
      <c r="AB720" s="55">
        <v>0</v>
      </c>
      <c r="AC720" s="55">
        <v>0</v>
      </c>
      <c r="AD720" s="55">
        <v>0</v>
      </c>
      <c r="AE720" s="55">
        <v>0</v>
      </c>
      <c r="AF720" s="55">
        <v>0</v>
      </c>
      <c r="AG720" s="55">
        <v>0</v>
      </c>
      <c r="AH720" s="55">
        <v>0</v>
      </c>
      <c r="AI720" s="55">
        <v>0</v>
      </c>
      <c r="AJ720" s="55">
        <v>0</v>
      </c>
      <c r="AK720" s="55">
        <v>0</v>
      </c>
      <c r="AL720" s="55">
        <v>0</v>
      </c>
      <c r="AM720" s="55">
        <v>0</v>
      </c>
      <c r="AN720" s="55">
        <v>0</v>
      </c>
      <c r="AO720" s="55">
        <v>0</v>
      </c>
      <c r="AP720" s="55">
        <v>0</v>
      </c>
      <c r="AQ720" s="55">
        <v>0</v>
      </c>
      <c r="AR720" s="55">
        <v>0</v>
      </c>
      <c r="AS720" s="55">
        <v>0</v>
      </c>
      <c r="AT720" s="55">
        <v>0</v>
      </c>
      <c r="AU720" s="55">
        <v>0</v>
      </c>
      <c r="AV720" s="55">
        <v>0</v>
      </c>
      <c r="AW720" s="55">
        <v>0</v>
      </c>
      <c r="AX720" s="55">
        <v>0</v>
      </c>
      <c r="AY720" s="55">
        <v>0</v>
      </c>
      <c r="AZ720" s="55">
        <v>0</v>
      </c>
      <c r="BA720" s="55">
        <v>0</v>
      </c>
      <c r="BB720" s="55">
        <v>0</v>
      </c>
      <c r="BC720" s="55">
        <v>0</v>
      </c>
      <c r="BD720" s="55">
        <v>0</v>
      </c>
      <c r="BE720" s="55">
        <v>0</v>
      </c>
      <c r="BF720" s="55">
        <v>0</v>
      </c>
      <c r="BG720" s="55">
        <v>0</v>
      </c>
      <c r="BH720" s="55">
        <v>0</v>
      </c>
      <c r="BI720" s="55">
        <v>0</v>
      </c>
      <c r="BJ720" s="55">
        <v>0</v>
      </c>
      <c r="BK720" s="55">
        <v>0</v>
      </c>
      <c r="BL720" s="55">
        <v>0</v>
      </c>
      <c r="BM720" s="55">
        <v>0</v>
      </c>
      <c r="BN720" s="55">
        <v>0</v>
      </c>
      <c r="BO720" s="55">
        <v>0</v>
      </c>
      <c r="BP720" s="55">
        <v>0</v>
      </c>
      <c r="BQ720" s="55">
        <v>0</v>
      </c>
      <c r="BR720" s="55">
        <v>0</v>
      </c>
      <c r="BS720" s="55">
        <v>0</v>
      </c>
      <c r="BT720" s="55">
        <v>0</v>
      </c>
      <c r="BU720" s="55">
        <v>0</v>
      </c>
      <c r="BV720" s="55">
        <v>0</v>
      </c>
      <c r="BW720" s="55">
        <v>0</v>
      </c>
      <c r="BX720" s="55">
        <v>0</v>
      </c>
      <c r="BY720" s="55">
        <v>0</v>
      </c>
      <c r="BZ720" s="55">
        <v>0</v>
      </c>
      <c r="CA720" s="55">
        <v>0</v>
      </c>
      <c r="CB720" s="55">
        <v>0</v>
      </c>
      <c r="CC720" s="55">
        <v>0</v>
      </c>
      <c r="CD720" s="55">
        <v>0</v>
      </c>
      <c r="CE720" s="55">
        <v>0</v>
      </c>
      <c r="CF720" s="55">
        <v>0</v>
      </c>
      <c r="CG720" s="55">
        <v>0</v>
      </c>
      <c r="CH720" s="55">
        <v>0</v>
      </c>
      <c r="CI720" s="55">
        <v>0</v>
      </c>
      <c r="CJ720" s="55">
        <v>0</v>
      </c>
      <c r="CK720" s="55">
        <v>0</v>
      </c>
      <c r="CL720" s="53">
        <v>0</v>
      </c>
      <c r="CM720" s="53">
        <v>0</v>
      </c>
      <c r="CN720" s="53">
        <v>0</v>
      </c>
      <c r="CO720" s="53">
        <v>0</v>
      </c>
      <c r="CP720" s="53">
        <v>0</v>
      </c>
      <c r="CQ720" s="4">
        <v>1.6</v>
      </c>
    </row>
    <row r="721" spans="1:95" s="55" customFormat="1" x14ac:dyDescent="0.35">
      <c r="A721" s="55">
        <v>720</v>
      </c>
      <c r="B721" s="55" t="s">
        <v>119</v>
      </c>
      <c r="C721" s="27" t="s">
        <v>1520</v>
      </c>
      <c r="D721" s="50" t="s">
        <v>88</v>
      </c>
      <c r="E721" s="33" t="s">
        <v>89</v>
      </c>
      <c r="F721" s="4">
        <f>IFERROR(AVERAGEIF(Table1[[#This Row],[2019-Apr]:[2025-July]],"&lt;&gt;0"),0)</f>
        <v>0.8</v>
      </c>
      <c r="G721" s="4">
        <f ca="1">IFERROR(AVERAGEIF(OFFSET(Table1[[#This Row],[Status]],0,COUNT(Table1[[#This Row],[2019-May]:[2025-July]]),1,-12),"&lt;&gt;0"),0)</f>
        <v>0</v>
      </c>
      <c r="H721" s="55">
        <f>IFERROR(SMALL(Table1[[#This Row],[2019-Apr]:[2025-July]],COUNTIF(Table1[[#This Row],[2019-Apr]:[2025-July]],0)+1),0)</f>
        <v>0.8</v>
      </c>
      <c r="I721" s="56">
        <f>IFERROR(MAX(Table1[[#This Row],[2019-Apr]:[2025-July]]),0)</f>
        <v>0.8</v>
      </c>
      <c r="J721" s="4" cm="1">
        <f t="array" ref="J72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</v>
      </c>
      <c r="K721" s="4">
        <v>4.5</v>
      </c>
      <c r="L721" s="4">
        <f>IF(Table1[[#This Row],[Standard as per ISO]]&gt;=Table1[[#This Row],[Avg of best 6]],Table1[[#This Row],[Standard as per ISO]],Table1[[#This Row],[Avg of best 6]])</f>
        <v>4.5</v>
      </c>
      <c r="M721" s="4" cm="1">
        <f t="array" ref="M721">IFERROR(LOOKUP(2,1/(Table1[[#This Row],[2019-May]:[2025-July]]&lt;&gt;0),Table1[[#This Row],[2019-May]:[2025-July]]),0)</f>
        <v>0.8</v>
      </c>
      <c r="N721" s="4">
        <f>COUNTIF(Table1[[#This Row],[2019-Apr]:[2025-July]],"&gt;="&amp;Table1[[#This Row],[Target]])</f>
        <v>0</v>
      </c>
      <c r="O721" s="4">
        <f>IF(Table1[[#This Row],[Outliers 2Y]]=0,1,0)</f>
        <v>1</v>
      </c>
      <c r="P721" s="4">
        <f>IF(Table1[[#This Row],[Last value]]&gt;1.5*Table1[[#This Row],[Target]],1,0)</f>
        <v>0</v>
      </c>
      <c r="Q721" s="4">
        <f>IF(AND(1.5*Table1[[#This Row],[Target]]&gt;=Table1[[#This Row],[Last value]],Table1[[#This Row],[Last value]]&gt;Table1[[#This Row],[Target]]),1,0)</f>
        <v>0</v>
      </c>
      <c r="R721" s="4">
        <f>IF(Table1[[#This Row],[Target]]&gt;=Table1[[#This Row],[Last value]],1,0)</f>
        <v>1</v>
      </c>
      <c r="S721" s="4" t="str">
        <f t="shared" si="19"/>
        <v>Green</v>
      </c>
      <c r="T721" s="55">
        <v>0</v>
      </c>
      <c r="U721" s="55">
        <v>0</v>
      </c>
      <c r="V721" s="55">
        <v>0</v>
      </c>
      <c r="W721" s="55">
        <v>0</v>
      </c>
      <c r="X721" s="55">
        <v>0</v>
      </c>
      <c r="Y721" s="55">
        <v>0</v>
      </c>
      <c r="Z721" s="55">
        <v>0</v>
      </c>
      <c r="AA721" s="55">
        <v>0</v>
      </c>
      <c r="AB721" s="55">
        <v>0</v>
      </c>
      <c r="AC721" s="55">
        <v>0</v>
      </c>
      <c r="AD721" s="55">
        <v>0</v>
      </c>
      <c r="AE721" s="55">
        <v>0</v>
      </c>
      <c r="AF721" s="55">
        <v>0</v>
      </c>
      <c r="AG721" s="55">
        <v>0</v>
      </c>
      <c r="AH721" s="55">
        <v>0</v>
      </c>
      <c r="AI721" s="55">
        <v>0</v>
      </c>
      <c r="AJ721" s="55">
        <v>0</v>
      </c>
      <c r="AK721" s="55">
        <v>0</v>
      </c>
      <c r="AL721" s="55">
        <v>0</v>
      </c>
      <c r="AM721" s="55">
        <v>0</v>
      </c>
      <c r="AN721" s="55">
        <v>0</v>
      </c>
      <c r="AO721" s="55">
        <v>0</v>
      </c>
      <c r="AP721" s="55">
        <v>0</v>
      </c>
      <c r="AQ721" s="55">
        <v>0</v>
      </c>
      <c r="AR721" s="55">
        <v>0</v>
      </c>
      <c r="AS721" s="55">
        <v>0</v>
      </c>
      <c r="AT721" s="55">
        <v>0</v>
      </c>
      <c r="AU721" s="55">
        <v>0</v>
      </c>
      <c r="AV721" s="55">
        <v>0</v>
      </c>
      <c r="AW721" s="55">
        <v>0</v>
      </c>
      <c r="AX721" s="55">
        <v>0</v>
      </c>
      <c r="AY721" s="55">
        <v>0</v>
      </c>
      <c r="AZ721" s="55">
        <v>0</v>
      </c>
      <c r="BA721" s="55">
        <v>0</v>
      </c>
      <c r="BB721" s="55">
        <v>0</v>
      </c>
      <c r="BC721" s="55">
        <v>0</v>
      </c>
      <c r="BD721" s="55">
        <v>0</v>
      </c>
      <c r="BE721" s="55">
        <v>0</v>
      </c>
      <c r="BF721" s="55">
        <v>0</v>
      </c>
      <c r="BG721" s="55">
        <v>0</v>
      </c>
      <c r="BH721" s="55">
        <v>0</v>
      </c>
      <c r="BI721" s="55">
        <v>0</v>
      </c>
      <c r="BJ721" s="55">
        <v>0</v>
      </c>
      <c r="BK721" s="55">
        <v>0</v>
      </c>
      <c r="BL721" s="55">
        <v>0</v>
      </c>
      <c r="BM721" s="55">
        <v>0</v>
      </c>
      <c r="BN721" s="55">
        <v>0</v>
      </c>
      <c r="BO721" s="55">
        <v>0</v>
      </c>
      <c r="BP721" s="55">
        <v>0</v>
      </c>
      <c r="BQ721" s="55">
        <v>0</v>
      </c>
      <c r="BR721" s="55">
        <v>0</v>
      </c>
      <c r="BS721" s="55">
        <v>0</v>
      </c>
      <c r="BT721" s="55">
        <v>0</v>
      </c>
      <c r="BU721" s="55">
        <v>0</v>
      </c>
      <c r="BV721" s="55">
        <v>0</v>
      </c>
      <c r="BW721" s="55">
        <v>0</v>
      </c>
      <c r="BX721" s="55">
        <v>0</v>
      </c>
      <c r="BY721" s="55">
        <v>0</v>
      </c>
      <c r="BZ721" s="55">
        <v>0</v>
      </c>
      <c r="CA721" s="55">
        <v>0</v>
      </c>
      <c r="CB721" s="55">
        <v>0</v>
      </c>
      <c r="CC721" s="55">
        <v>0</v>
      </c>
      <c r="CD721" s="55">
        <v>0</v>
      </c>
      <c r="CE721" s="55">
        <v>0</v>
      </c>
      <c r="CF721" s="55">
        <v>0</v>
      </c>
      <c r="CG721" s="55">
        <v>0</v>
      </c>
      <c r="CH721" s="55">
        <v>0</v>
      </c>
      <c r="CI721" s="55">
        <v>0</v>
      </c>
      <c r="CJ721" s="55">
        <v>0</v>
      </c>
      <c r="CK721" s="55">
        <v>0</v>
      </c>
      <c r="CL721" s="53">
        <v>0</v>
      </c>
      <c r="CM721" s="53">
        <v>0</v>
      </c>
      <c r="CN721" s="53">
        <v>0</v>
      </c>
      <c r="CO721" s="53">
        <v>0</v>
      </c>
      <c r="CP721" s="53">
        <v>0</v>
      </c>
      <c r="CQ721" s="4">
        <v>0.8</v>
      </c>
    </row>
    <row r="722" spans="1:95" s="55" customFormat="1" x14ac:dyDescent="0.35">
      <c r="A722" s="55">
        <v>721</v>
      </c>
      <c r="B722" s="55" t="s">
        <v>119</v>
      </c>
      <c r="C722" s="27" t="s">
        <v>1585</v>
      </c>
      <c r="D722" s="50" t="s">
        <v>94</v>
      </c>
      <c r="E722" s="33" t="s">
        <v>89</v>
      </c>
      <c r="F722" s="4">
        <f>IFERROR(AVERAGEIF(Table1[[#This Row],[2019-Apr]:[2025-July]],"&lt;&gt;0"),0)</f>
        <v>0</v>
      </c>
      <c r="G722" s="4">
        <f ca="1">IFERROR(AVERAGEIF(OFFSET(Table1[[#This Row],[Status]],0,COUNT(Table1[[#This Row],[2019-May]:[2025-July]]),1,-12),"&lt;&gt;0"),0)</f>
        <v>0</v>
      </c>
      <c r="H722" s="55">
        <f>IFERROR(SMALL(Table1[[#This Row],[2019-Apr]:[2025-July]],COUNTIF(Table1[[#This Row],[2019-Apr]:[2025-July]],0)+1),0)</f>
        <v>0</v>
      </c>
      <c r="I722" s="56">
        <f>IFERROR(MAX(Table1[[#This Row],[2019-Apr]:[2025-July]]),0)</f>
        <v>0</v>
      </c>
      <c r="J722" s="4" cm="1">
        <f t="array" ref="J72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722" s="4">
        <v>4.5</v>
      </c>
      <c r="L722" s="4">
        <f>IF(Table1[[#This Row],[Standard as per ISO]]&gt;=Table1[[#This Row],[Avg of best 6]],Table1[[#This Row],[Standard as per ISO]],Table1[[#This Row],[Avg of best 6]])</f>
        <v>4.5</v>
      </c>
      <c r="M722" s="4" cm="1">
        <f t="array" ref="M722">IFERROR(LOOKUP(2,1/(Table1[[#This Row],[2019-May]:[2025-July]]&lt;&gt;0),Table1[[#This Row],[2019-May]:[2025-July]]),0)</f>
        <v>0</v>
      </c>
      <c r="N722" s="4">
        <f>COUNTIF(Table1[[#This Row],[2019-Apr]:[2025-July]],"&gt;="&amp;Table1[[#This Row],[Target]])</f>
        <v>0</v>
      </c>
      <c r="O722" s="4">
        <f>IF(Table1[[#This Row],[Outliers 2Y]]=0,1,0)</f>
        <v>1</v>
      </c>
      <c r="P722" s="4">
        <f>IF(Table1[[#This Row],[Last value]]&gt;1.5*Table1[[#This Row],[Target]],1,0)</f>
        <v>0</v>
      </c>
      <c r="Q722" s="4">
        <f>IF(AND(1.5*Table1[[#This Row],[Target]]&gt;=Table1[[#This Row],[Last value]],Table1[[#This Row],[Last value]]&gt;Table1[[#This Row],[Target]]),1,0)</f>
        <v>0</v>
      </c>
      <c r="R722" s="4">
        <f>IF(Table1[[#This Row],[Target]]&gt;=Table1[[#This Row],[Last value]],1,0)</f>
        <v>1</v>
      </c>
      <c r="S722" s="4" t="str">
        <f t="shared" si="19"/>
        <v>Green</v>
      </c>
      <c r="T722" s="55">
        <v>0</v>
      </c>
      <c r="U722" s="55">
        <v>0</v>
      </c>
      <c r="V722" s="55">
        <v>0</v>
      </c>
      <c r="W722" s="55">
        <v>0</v>
      </c>
      <c r="X722" s="55">
        <v>0</v>
      </c>
      <c r="Y722" s="55">
        <v>0</v>
      </c>
      <c r="Z722" s="55">
        <v>0</v>
      </c>
      <c r="AA722" s="55">
        <v>0</v>
      </c>
      <c r="AB722" s="55">
        <v>0</v>
      </c>
      <c r="AC722" s="55">
        <v>0</v>
      </c>
      <c r="AD722" s="55">
        <v>0</v>
      </c>
      <c r="AE722" s="55">
        <v>0</v>
      </c>
      <c r="AF722" s="55">
        <v>0</v>
      </c>
      <c r="AG722" s="55">
        <v>0</v>
      </c>
      <c r="AH722" s="55">
        <v>0</v>
      </c>
      <c r="AI722" s="55">
        <v>0</v>
      </c>
      <c r="AJ722" s="55">
        <v>0</v>
      </c>
      <c r="AK722" s="55">
        <v>0</v>
      </c>
      <c r="AL722" s="55">
        <v>0</v>
      </c>
      <c r="AM722" s="55">
        <v>0</v>
      </c>
      <c r="AN722" s="55">
        <v>0</v>
      </c>
      <c r="AO722" s="55">
        <v>0</v>
      </c>
      <c r="AP722" s="55">
        <v>0</v>
      </c>
      <c r="AQ722" s="55">
        <v>0</v>
      </c>
      <c r="AR722" s="55">
        <v>0</v>
      </c>
      <c r="AS722" s="55">
        <v>0</v>
      </c>
      <c r="AT722" s="55">
        <v>0</v>
      </c>
      <c r="AU722" s="55">
        <v>0</v>
      </c>
      <c r="AV722" s="55">
        <v>0</v>
      </c>
      <c r="AW722" s="55">
        <v>0</v>
      </c>
      <c r="AX722" s="55">
        <v>0</v>
      </c>
      <c r="AY722" s="55">
        <v>0</v>
      </c>
      <c r="AZ722" s="55">
        <v>0</v>
      </c>
      <c r="BA722" s="55">
        <v>0</v>
      </c>
      <c r="BB722" s="55">
        <v>0</v>
      </c>
      <c r="BC722" s="55">
        <v>0</v>
      </c>
      <c r="BD722" s="55">
        <v>0</v>
      </c>
      <c r="BE722" s="55">
        <v>0</v>
      </c>
      <c r="BF722" s="55">
        <v>0</v>
      </c>
      <c r="BG722" s="55">
        <v>0</v>
      </c>
      <c r="BH722" s="55">
        <v>0</v>
      </c>
      <c r="BI722" s="55">
        <v>0</v>
      </c>
      <c r="BJ722" s="55">
        <v>0</v>
      </c>
      <c r="BK722" s="55">
        <v>0</v>
      </c>
      <c r="BL722" s="55">
        <v>0</v>
      </c>
      <c r="BM722" s="55">
        <v>0</v>
      </c>
      <c r="BN722" s="55">
        <v>0</v>
      </c>
      <c r="BO722" s="55">
        <v>0</v>
      </c>
      <c r="BP722" s="55">
        <v>0</v>
      </c>
      <c r="BQ722" s="55">
        <v>0</v>
      </c>
      <c r="BR722" s="55">
        <v>0</v>
      </c>
      <c r="BS722" s="55">
        <v>0</v>
      </c>
      <c r="BT722" s="55">
        <v>0</v>
      </c>
      <c r="BU722" s="55">
        <v>0</v>
      </c>
      <c r="BV722" s="55">
        <v>0</v>
      </c>
      <c r="BW722" s="55">
        <v>0</v>
      </c>
      <c r="BX722" s="55">
        <v>0</v>
      </c>
      <c r="BY722" s="55">
        <v>0</v>
      </c>
      <c r="BZ722" s="55">
        <v>0</v>
      </c>
      <c r="CA722" s="55">
        <v>0</v>
      </c>
      <c r="CB722" s="55">
        <v>0</v>
      </c>
      <c r="CC722" s="55">
        <v>0</v>
      </c>
      <c r="CD722" s="55">
        <v>0</v>
      </c>
      <c r="CE722" s="55">
        <v>0</v>
      </c>
      <c r="CF722" s="55">
        <v>0</v>
      </c>
      <c r="CG722" s="55">
        <v>0</v>
      </c>
      <c r="CH722" s="55">
        <v>0</v>
      </c>
      <c r="CI722" s="55">
        <v>0</v>
      </c>
      <c r="CJ722" s="55">
        <v>0</v>
      </c>
      <c r="CK722" s="55">
        <v>0</v>
      </c>
      <c r="CL722" s="55">
        <v>0</v>
      </c>
      <c r="CM722" s="55">
        <v>0</v>
      </c>
      <c r="CN722" s="55">
        <v>0</v>
      </c>
      <c r="CO722" s="55">
        <v>0</v>
      </c>
      <c r="CP722" s="55">
        <v>0</v>
      </c>
      <c r="CQ722" s="55">
        <v>0</v>
      </c>
    </row>
    <row r="723" spans="1:95" s="55" customFormat="1" x14ac:dyDescent="0.35">
      <c r="A723" s="55">
        <v>722</v>
      </c>
      <c r="B723" s="55" t="s">
        <v>119</v>
      </c>
      <c r="C723" s="27" t="s">
        <v>1586</v>
      </c>
      <c r="D723" s="50" t="s">
        <v>94</v>
      </c>
      <c r="E723" s="33" t="s">
        <v>89</v>
      </c>
      <c r="F723" s="4">
        <f>IFERROR(AVERAGEIF(Table1[[#This Row],[2019-Apr]:[2025-July]],"&lt;&gt;0"),0)</f>
        <v>0</v>
      </c>
      <c r="G723" s="4">
        <f ca="1">IFERROR(AVERAGEIF(OFFSET(Table1[[#This Row],[Status]],0,COUNT(Table1[[#This Row],[2019-May]:[2025-July]]),1,-12),"&lt;&gt;0"),0)</f>
        <v>0</v>
      </c>
      <c r="H723" s="55">
        <f>IFERROR(SMALL(Table1[[#This Row],[2019-Apr]:[2025-July]],COUNTIF(Table1[[#This Row],[2019-Apr]:[2025-July]],0)+1),0)</f>
        <v>0</v>
      </c>
      <c r="I723" s="56">
        <f>IFERROR(MAX(Table1[[#This Row],[2019-Apr]:[2025-July]]),0)</f>
        <v>0</v>
      </c>
      <c r="J723" s="4" cm="1">
        <f t="array" ref="J72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723" s="4">
        <v>4.5</v>
      </c>
      <c r="L723" s="4">
        <f>IF(Table1[[#This Row],[Standard as per ISO]]&gt;=Table1[[#This Row],[Avg of best 6]],Table1[[#This Row],[Standard as per ISO]],Table1[[#This Row],[Avg of best 6]])</f>
        <v>4.5</v>
      </c>
      <c r="M723" s="4" cm="1">
        <f t="array" ref="M723">IFERROR(LOOKUP(2,1/(Table1[[#This Row],[2019-May]:[2025-July]]&lt;&gt;0),Table1[[#This Row],[2019-May]:[2025-July]]),0)</f>
        <v>0</v>
      </c>
      <c r="N723" s="4">
        <f>COUNTIF(Table1[[#This Row],[2019-Apr]:[2025-July]],"&gt;="&amp;Table1[[#This Row],[Target]])</f>
        <v>0</v>
      </c>
      <c r="O723" s="4">
        <f>IF(Table1[[#This Row],[Outliers 2Y]]=0,1,0)</f>
        <v>1</v>
      </c>
      <c r="P723" s="4">
        <f>IF(Table1[[#This Row],[Last value]]&gt;1.5*Table1[[#This Row],[Target]],1,0)</f>
        <v>0</v>
      </c>
      <c r="Q723" s="4">
        <f>IF(AND(1.5*Table1[[#This Row],[Target]]&gt;=Table1[[#This Row],[Last value]],Table1[[#This Row],[Last value]]&gt;Table1[[#This Row],[Target]]),1,0)</f>
        <v>0</v>
      </c>
      <c r="R723" s="4">
        <f>IF(Table1[[#This Row],[Target]]&gt;=Table1[[#This Row],[Last value]],1,0)</f>
        <v>1</v>
      </c>
      <c r="S723" s="4" t="str">
        <f t="shared" si="19"/>
        <v>Green</v>
      </c>
      <c r="T723" s="55">
        <v>0</v>
      </c>
      <c r="U723" s="55">
        <v>0</v>
      </c>
      <c r="V723" s="55">
        <v>0</v>
      </c>
      <c r="W723" s="55">
        <v>0</v>
      </c>
      <c r="X723" s="55">
        <v>0</v>
      </c>
      <c r="Y723" s="55">
        <v>0</v>
      </c>
      <c r="Z723" s="55">
        <v>0</v>
      </c>
      <c r="AA723" s="55">
        <v>0</v>
      </c>
      <c r="AB723" s="55">
        <v>0</v>
      </c>
      <c r="AC723" s="55">
        <v>0</v>
      </c>
      <c r="AD723" s="55">
        <v>0</v>
      </c>
      <c r="AE723" s="55">
        <v>0</v>
      </c>
      <c r="AF723" s="55">
        <v>0</v>
      </c>
      <c r="AG723" s="55">
        <v>0</v>
      </c>
      <c r="AH723" s="55">
        <v>0</v>
      </c>
      <c r="AI723" s="55">
        <v>0</v>
      </c>
      <c r="AJ723" s="55">
        <v>0</v>
      </c>
      <c r="AK723" s="55">
        <v>0</v>
      </c>
      <c r="AL723" s="55">
        <v>0</v>
      </c>
      <c r="AM723" s="55">
        <v>0</v>
      </c>
      <c r="AN723" s="55">
        <v>0</v>
      </c>
      <c r="AO723" s="55">
        <v>0</v>
      </c>
      <c r="AP723" s="55">
        <v>0</v>
      </c>
      <c r="AQ723" s="55">
        <v>0</v>
      </c>
      <c r="AR723" s="55">
        <v>0</v>
      </c>
      <c r="AS723" s="55">
        <v>0</v>
      </c>
      <c r="AT723" s="55">
        <v>0</v>
      </c>
      <c r="AU723" s="55">
        <v>0</v>
      </c>
      <c r="AV723" s="55">
        <v>0</v>
      </c>
      <c r="AW723" s="55">
        <v>0</v>
      </c>
      <c r="AX723" s="55">
        <v>0</v>
      </c>
      <c r="AY723" s="55">
        <v>0</v>
      </c>
      <c r="AZ723" s="55">
        <v>0</v>
      </c>
      <c r="BA723" s="55">
        <v>0</v>
      </c>
      <c r="BB723" s="55">
        <v>0</v>
      </c>
      <c r="BC723" s="55">
        <v>0</v>
      </c>
      <c r="BD723" s="55">
        <v>0</v>
      </c>
      <c r="BE723" s="55">
        <v>0</v>
      </c>
      <c r="BF723" s="55">
        <v>0</v>
      </c>
      <c r="BG723" s="55">
        <v>0</v>
      </c>
      <c r="BH723" s="55">
        <v>0</v>
      </c>
      <c r="BI723" s="55">
        <v>0</v>
      </c>
      <c r="BJ723" s="55">
        <v>0</v>
      </c>
      <c r="BK723" s="55">
        <v>0</v>
      </c>
      <c r="BL723" s="55">
        <v>0</v>
      </c>
      <c r="BM723" s="55">
        <v>0</v>
      </c>
      <c r="BN723" s="55">
        <v>0</v>
      </c>
      <c r="BO723" s="55">
        <v>0</v>
      </c>
      <c r="BP723" s="55">
        <v>0</v>
      </c>
      <c r="BQ723" s="55">
        <v>0</v>
      </c>
      <c r="BR723" s="55">
        <v>0</v>
      </c>
      <c r="BS723" s="55">
        <v>0</v>
      </c>
      <c r="BT723" s="55">
        <v>0</v>
      </c>
      <c r="BU723" s="55">
        <v>0</v>
      </c>
      <c r="BV723" s="55">
        <v>0</v>
      </c>
      <c r="BW723" s="55">
        <v>0</v>
      </c>
      <c r="BX723" s="55">
        <v>0</v>
      </c>
      <c r="BY723" s="55">
        <v>0</v>
      </c>
      <c r="BZ723" s="55">
        <v>0</v>
      </c>
      <c r="CA723" s="55">
        <v>0</v>
      </c>
      <c r="CB723" s="55">
        <v>0</v>
      </c>
      <c r="CC723" s="55">
        <v>0</v>
      </c>
      <c r="CD723" s="55">
        <v>0</v>
      </c>
      <c r="CE723" s="55">
        <v>0</v>
      </c>
      <c r="CF723" s="55">
        <v>0</v>
      </c>
      <c r="CG723" s="55">
        <v>0</v>
      </c>
      <c r="CH723" s="55">
        <v>0</v>
      </c>
      <c r="CI723" s="55">
        <v>0</v>
      </c>
      <c r="CJ723" s="55">
        <v>0</v>
      </c>
      <c r="CK723" s="55">
        <v>0</v>
      </c>
      <c r="CL723" s="55">
        <v>0</v>
      </c>
      <c r="CM723" s="55">
        <v>0</v>
      </c>
      <c r="CN723" s="55">
        <v>0</v>
      </c>
      <c r="CO723" s="55">
        <v>0</v>
      </c>
      <c r="CP723" s="55">
        <v>0</v>
      </c>
      <c r="CQ723" s="55">
        <v>0</v>
      </c>
    </row>
    <row r="724" spans="1:95" s="55" customFormat="1" x14ac:dyDescent="0.35">
      <c r="A724" s="55">
        <v>723</v>
      </c>
      <c r="B724" s="55" t="s">
        <v>105</v>
      </c>
      <c r="C724" s="27" t="s">
        <v>472</v>
      </c>
      <c r="D724" s="50" t="s">
        <v>106</v>
      </c>
      <c r="E724" s="33" t="s">
        <v>90</v>
      </c>
      <c r="F724" s="4">
        <f>IFERROR(AVERAGEIF(Table1[[#This Row],[2019-Apr]:[2025-July]],"&lt;&gt;0"),0)</f>
        <v>2.4679863013698635</v>
      </c>
      <c r="G724" s="4">
        <f ca="1">IFERROR(AVERAGEIF(OFFSET(Table1[[#This Row],[Status]],0,COUNT(Table1[[#This Row],[2019-May]:[2025-July]]),1,-12),"&lt;&gt;0"),0)</f>
        <v>1.2983333333333333</v>
      </c>
      <c r="H724" s="55">
        <f>IFERROR(SMALL(Table1[[#This Row],[2019-Apr]:[2025-July]],COUNTIF(Table1[[#This Row],[2019-Apr]:[2025-July]],0)+1),0)</f>
        <v>0.9</v>
      </c>
      <c r="I724" s="55">
        <f>IFERROR(MAX(Table1[[#This Row],[2019-Apr]:[2025-July]]),0)</f>
        <v>5.8</v>
      </c>
      <c r="J724" s="4" cm="1">
        <f t="array" ref="J72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1.0335000000000001</v>
      </c>
      <c r="K724" s="4">
        <v>4.5</v>
      </c>
      <c r="L724" s="4">
        <f>IF(Table1[[#This Row],[Standard as per ISO]]&gt;=Table1[[#This Row],[Avg of best 6]],Table1[[#This Row],[Standard as per ISO]],Table1[[#This Row],[Avg of best 6]])</f>
        <v>4.5</v>
      </c>
      <c r="M724" s="4" cm="1">
        <f t="array" ref="M724">IFERROR(LOOKUP(2,1/(Table1[[#This Row],[2019-May]:[2025-July]]&lt;&gt;0),Table1[[#This Row],[2019-May]:[2025-July]]),0)</f>
        <v>1.5</v>
      </c>
      <c r="N724" s="4">
        <f>COUNTIF(Table1[[#This Row],[2019-Apr]:[2025-July]],"&gt;="&amp;Table1[[#This Row],[Target]])</f>
        <v>2</v>
      </c>
      <c r="O724" s="4">
        <f>IF(Table1[[#This Row],[Outliers 2Y]]=0,1,0)</f>
        <v>0</v>
      </c>
      <c r="P724" s="4">
        <f>IF(Table1[[#This Row],[Last value]]&gt;1.5*Table1[[#This Row],[Target]],1,0)</f>
        <v>0</v>
      </c>
      <c r="Q724" s="4">
        <f>IF(AND(1.5*Table1[[#This Row],[Target]]&gt;=Table1[[#This Row],[Last value]],Table1[[#This Row],[Last value]]&gt;Table1[[#This Row],[Target]]),1,0)</f>
        <v>0</v>
      </c>
      <c r="R724" s="4">
        <f>IF(Table1[[#This Row],[Target]]&gt;=Table1[[#This Row],[Last value]],1,0)</f>
        <v>1</v>
      </c>
      <c r="S724" s="4" t="str">
        <f t="shared" ref="S724:S821" si="20">IF(P724=1, "Red", IF(Q724=1, "Yellow", "Green"))</f>
        <v>Green</v>
      </c>
      <c r="T724" s="55">
        <v>0</v>
      </c>
      <c r="U724" s="55">
        <v>0</v>
      </c>
      <c r="V724" s="55">
        <v>2.92</v>
      </c>
      <c r="W724" s="55">
        <v>3.42</v>
      </c>
      <c r="X724" s="55">
        <v>3.95</v>
      </c>
      <c r="Y724" s="55">
        <v>3.2</v>
      </c>
      <c r="Z724" s="55">
        <v>2.02</v>
      </c>
      <c r="AA724" s="55">
        <v>1.6</v>
      </c>
      <c r="AB724" s="55">
        <v>3.84</v>
      </c>
      <c r="AC724" s="55">
        <v>1.57</v>
      </c>
      <c r="AD724" s="55">
        <v>2.66</v>
      </c>
      <c r="AE724" s="55">
        <v>2.76</v>
      </c>
      <c r="AF724" s="55">
        <v>4.5</v>
      </c>
      <c r="AG724" s="55">
        <v>2</v>
      </c>
      <c r="AH724" s="55">
        <v>2</v>
      </c>
      <c r="AI724" s="55">
        <v>2.36</v>
      </c>
      <c r="AJ724" s="55">
        <v>2.46</v>
      </c>
      <c r="AK724" s="55">
        <v>2.4300000000000002</v>
      </c>
      <c r="AL724" s="55">
        <v>1.52</v>
      </c>
      <c r="AM724" s="55">
        <v>3.64</v>
      </c>
      <c r="AN724" s="55">
        <v>3.09</v>
      </c>
      <c r="AO724" s="55">
        <v>3.45</v>
      </c>
      <c r="AP724" s="55">
        <v>3</v>
      </c>
      <c r="AQ724" s="55">
        <v>4.16</v>
      </c>
      <c r="AR724" s="9">
        <v>2.83</v>
      </c>
      <c r="AS724" s="9">
        <v>4.4000000000000004</v>
      </c>
      <c r="AT724" s="9">
        <v>3.45</v>
      </c>
      <c r="AU724" s="50">
        <v>3.21</v>
      </c>
      <c r="AV724" s="50">
        <v>3.62</v>
      </c>
      <c r="AW724" s="50">
        <v>3.1</v>
      </c>
      <c r="AX724" s="50">
        <v>2.173</v>
      </c>
      <c r="AY724" s="50">
        <v>3.08</v>
      </c>
      <c r="AZ724" s="50">
        <v>1.9</v>
      </c>
      <c r="BA724" s="50">
        <v>3.6</v>
      </c>
      <c r="BB724" s="50">
        <v>2.9</v>
      </c>
      <c r="BC724" s="55">
        <v>5.8</v>
      </c>
      <c r="BD724" s="55">
        <v>0</v>
      </c>
      <c r="BE724" s="11">
        <v>3.2639999999999998</v>
      </c>
      <c r="BF724" s="4">
        <v>3.9289999999999998</v>
      </c>
      <c r="BG724" s="4">
        <v>2.2080000000000002</v>
      </c>
      <c r="BH724" s="4">
        <v>2.5390000000000001</v>
      </c>
      <c r="BI724" s="4">
        <v>2.8980000000000001</v>
      </c>
      <c r="BJ724" s="13">
        <v>2.786</v>
      </c>
      <c r="BK724" s="13">
        <v>2.2389999999999999</v>
      </c>
      <c r="BL724" s="4">
        <v>3.0259999999999998</v>
      </c>
      <c r="BM724" s="16">
        <v>3.3159999999999998</v>
      </c>
      <c r="BN724" s="4">
        <v>1.407</v>
      </c>
      <c r="BO724" s="4">
        <v>4.28</v>
      </c>
      <c r="BP724" s="4">
        <v>2.1379999999999999</v>
      </c>
      <c r="BQ724" s="4">
        <v>2.4630000000000001</v>
      </c>
      <c r="BR724" s="4">
        <v>1.677</v>
      </c>
      <c r="BS724" s="4">
        <v>0.997</v>
      </c>
      <c r="BT724" s="4">
        <v>2.617</v>
      </c>
      <c r="BU724" s="4">
        <v>1.1040000000000001</v>
      </c>
      <c r="BV724" s="4">
        <v>2.64</v>
      </c>
      <c r="BW724" s="4">
        <v>1.669</v>
      </c>
      <c r="BX724" s="4">
        <v>1.863</v>
      </c>
      <c r="BY724" s="4">
        <v>2.12</v>
      </c>
      <c r="BZ724" s="18">
        <v>2.36</v>
      </c>
      <c r="CA724" s="18">
        <v>1.31</v>
      </c>
      <c r="CB724" s="55">
        <v>2.4</v>
      </c>
      <c r="CC724" s="18">
        <v>1.5</v>
      </c>
      <c r="CD724" s="55">
        <v>1.72</v>
      </c>
      <c r="CE724" s="19">
        <v>1.5</v>
      </c>
      <c r="CF724" s="19">
        <v>1.4</v>
      </c>
      <c r="CG724" s="4">
        <v>1.74</v>
      </c>
      <c r="CH724" s="4">
        <v>1.7</v>
      </c>
      <c r="CI724" s="4">
        <v>1.34</v>
      </c>
      <c r="CJ724" s="34">
        <v>1.2</v>
      </c>
      <c r="CK724" s="34">
        <v>1.3</v>
      </c>
      <c r="CL724" s="43">
        <v>0.9</v>
      </c>
      <c r="CM724" s="4">
        <v>1.1000000000000001</v>
      </c>
      <c r="CN724" s="53">
        <v>1.2</v>
      </c>
      <c r="CO724" s="54">
        <v>0.9</v>
      </c>
      <c r="CP724" s="54">
        <v>1.3</v>
      </c>
      <c r="CQ724" s="4">
        <v>1.5</v>
      </c>
    </row>
    <row r="725" spans="1:95" s="55" customFormat="1" x14ac:dyDescent="0.35">
      <c r="A725" s="55">
        <v>724</v>
      </c>
      <c r="B725" s="55" t="s">
        <v>105</v>
      </c>
      <c r="C725" s="27" t="s">
        <v>473</v>
      </c>
      <c r="D725" s="50" t="s">
        <v>106</v>
      </c>
      <c r="E725" s="33" t="s">
        <v>90</v>
      </c>
      <c r="F725" s="4">
        <f>IFERROR(AVERAGEIF(Table1[[#This Row],[2019-Apr]:[2025-July]],"&lt;&gt;0"),0)</f>
        <v>2.3353611111111103</v>
      </c>
      <c r="G725" s="4">
        <f ca="1">IFERROR(AVERAGEIF(OFFSET(Table1[[#This Row],[Status]],0,COUNT(Table1[[#This Row],[2019-May]:[2025-July]]),1,-12),"&lt;&gt;0"),0)</f>
        <v>1.4399999999999997</v>
      </c>
      <c r="H725" s="55">
        <f>IFERROR(SMALL(Table1[[#This Row],[2019-Apr]:[2025-July]],COUNTIF(Table1[[#This Row],[2019-Apr]:[2025-July]],0)+1),0)</f>
        <v>0.87</v>
      </c>
      <c r="I725" s="55">
        <f>IFERROR(MAX(Table1[[#This Row],[2019-Apr]:[2025-July]]),0)</f>
        <v>4.72</v>
      </c>
      <c r="J725" s="4" cm="1">
        <f t="array" ref="J72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1.0445</v>
      </c>
      <c r="K725" s="4">
        <v>4.5</v>
      </c>
      <c r="L725" s="4">
        <f>IF(Table1[[#This Row],[Standard as per ISO]]&gt;=Table1[[#This Row],[Avg of best 6]],Table1[[#This Row],[Standard as per ISO]],Table1[[#This Row],[Avg of best 6]])</f>
        <v>4.5</v>
      </c>
      <c r="M725" s="4" cm="1">
        <f t="array" ref="M725">IFERROR(LOOKUP(2,1/(Table1[[#This Row],[2019-May]:[2025-July]]&lt;&gt;0),Table1[[#This Row],[2019-May]:[2025-July]]),0)</f>
        <v>1.2</v>
      </c>
      <c r="N725" s="4">
        <f>COUNTIF(Table1[[#This Row],[2019-Apr]:[2025-July]],"&gt;="&amp;Table1[[#This Row],[Target]])</f>
        <v>2</v>
      </c>
      <c r="O725" s="4">
        <f>IF(Table1[[#This Row],[Outliers 2Y]]=0,1,0)</f>
        <v>0</v>
      </c>
      <c r="P725" s="4">
        <f>IF(Table1[[#This Row],[Last value]]&gt;1.5*Table1[[#This Row],[Target]],1,0)</f>
        <v>0</v>
      </c>
      <c r="Q725" s="4">
        <f>IF(AND(1.5*Table1[[#This Row],[Target]]&gt;=Table1[[#This Row],[Last value]],Table1[[#This Row],[Last value]]&gt;Table1[[#This Row],[Target]]),1,0)</f>
        <v>0</v>
      </c>
      <c r="R725" s="4">
        <f>IF(Table1[[#This Row],[Target]]&gt;=Table1[[#This Row],[Last value]],1,0)</f>
        <v>1</v>
      </c>
      <c r="S725" s="4" t="str">
        <f t="shared" si="20"/>
        <v>Green</v>
      </c>
      <c r="T725" s="55">
        <v>0</v>
      </c>
      <c r="U725" s="55">
        <v>0</v>
      </c>
      <c r="V725" s="55">
        <v>1.29</v>
      </c>
      <c r="W725" s="55">
        <v>1.67</v>
      </c>
      <c r="X725" s="55">
        <v>0.87</v>
      </c>
      <c r="Y725" s="55">
        <v>2.7</v>
      </c>
      <c r="Z725" s="55">
        <v>1.77</v>
      </c>
      <c r="AA725" s="55">
        <v>2.5</v>
      </c>
      <c r="AB725" s="55">
        <v>2.2999999999999998</v>
      </c>
      <c r="AC725" s="55">
        <v>1.83</v>
      </c>
      <c r="AD725" s="55">
        <v>2.21</v>
      </c>
      <c r="AE725" s="55">
        <v>1.64</v>
      </c>
      <c r="AF725" s="55">
        <v>2.98</v>
      </c>
      <c r="AG725" s="55">
        <v>1.7</v>
      </c>
      <c r="AH725" s="55">
        <v>3.3</v>
      </c>
      <c r="AI725" s="55">
        <v>3.68</v>
      </c>
      <c r="AJ725" s="55">
        <v>2.4900000000000002</v>
      </c>
      <c r="AK725" s="55">
        <v>1.35</v>
      </c>
      <c r="AL725" s="55">
        <v>1.54</v>
      </c>
      <c r="AM725" s="55">
        <v>2.92</v>
      </c>
      <c r="AN725" s="55">
        <v>1.8</v>
      </c>
      <c r="AO725" s="55">
        <v>2.9</v>
      </c>
      <c r="AP725" s="55">
        <v>3.69</v>
      </c>
      <c r="AQ725" s="55">
        <v>4.07</v>
      </c>
      <c r="AR725" s="8">
        <v>4.72</v>
      </c>
      <c r="AS725" s="8">
        <v>0</v>
      </c>
      <c r="AT725" s="8">
        <v>2.78</v>
      </c>
      <c r="AU725" s="50">
        <v>3.53</v>
      </c>
      <c r="AV725" s="50">
        <v>3.8</v>
      </c>
      <c r="AW725" s="50">
        <v>2.2999999999999998</v>
      </c>
      <c r="AX725" s="50">
        <v>3.19</v>
      </c>
      <c r="AY725" s="50">
        <v>4.09</v>
      </c>
      <c r="AZ725" s="50">
        <v>1.8</v>
      </c>
      <c r="BA725" s="50">
        <v>4.3</v>
      </c>
      <c r="BB725" s="50">
        <v>3.8</v>
      </c>
      <c r="BC725" s="55">
        <v>4.7</v>
      </c>
      <c r="BD725" s="55">
        <v>0</v>
      </c>
      <c r="BE725" s="11">
        <v>2.004</v>
      </c>
      <c r="BF725" s="4">
        <v>3.7989999999999999</v>
      </c>
      <c r="BG725" s="4">
        <v>3.0470000000000002</v>
      </c>
      <c r="BH725" s="4">
        <v>2.8010000000000002</v>
      </c>
      <c r="BI725" s="4">
        <v>2.2050000000000001</v>
      </c>
      <c r="BJ725" s="14">
        <v>1.8939999999999999</v>
      </c>
      <c r="BK725" s="14">
        <v>2.3279999999999998</v>
      </c>
      <c r="BL725" s="4">
        <v>3.8690000000000002</v>
      </c>
      <c r="BM725" s="17">
        <v>3.2490000000000001</v>
      </c>
      <c r="BN725" s="4">
        <v>1.704</v>
      </c>
      <c r="BO725" s="4">
        <v>3.081</v>
      </c>
      <c r="BP725" s="4">
        <v>2.004</v>
      </c>
      <c r="BQ725" s="4">
        <v>1.52</v>
      </c>
      <c r="BR725" s="4">
        <v>1.7809999999999999</v>
      </c>
      <c r="BS725" s="4">
        <v>0.997</v>
      </c>
      <c r="BT725" s="4">
        <v>2.2240000000000002</v>
      </c>
      <c r="BU725" s="4">
        <v>1.8029999999999999</v>
      </c>
      <c r="BV725" s="4">
        <v>2.3660000000000001</v>
      </c>
      <c r="BW725" s="4">
        <v>1.7090000000000001</v>
      </c>
      <c r="BX725" s="4">
        <v>1.5409999999999999</v>
      </c>
      <c r="BY725" s="4">
        <v>1.6</v>
      </c>
      <c r="BZ725" s="55">
        <v>2.68</v>
      </c>
      <c r="CA725" s="55">
        <v>2.74</v>
      </c>
      <c r="CB725" s="55">
        <v>2.7</v>
      </c>
      <c r="CC725" s="55">
        <v>2.41</v>
      </c>
      <c r="CD725" s="55">
        <v>1.4</v>
      </c>
      <c r="CE725" s="19">
        <v>1.5</v>
      </c>
      <c r="CF725" s="19">
        <v>1.6</v>
      </c>
      <c r="CG725" s="4">
        <v>1.9</v>
      </c>
      <c r="CH725" s="4">
        <v>1.66</v>
      </c>
      <c r="CI725" s="4">
        <v>1.92</v>
      </c>
      <c r="CJ725" s="34">
        <v>1.2</v>
      </c>
      <c r="CK725" s="34">
        <v>1.5</v>
      </c>
      <c r="CL725" s="43">
        <v>1.1000000000000001</v>
      </c>
      <c r="CM725" s="4">
        <v>1</v>
      </c>
      <c r="CN725" s="53">
        <v>1.1000000000000001</v>
      </c>
      <c r="CO725" s="54">
        <v>1.2</v>
      </c>
      <c r="CP725" s="54">
        <v>1.6</v>
      </c>
      <c r="CQ725" s="4">
        <v>1.2</v>
      </c>
    </row>
    <row r="726" spans="1:95" s="55" customFormat="1" x14ac:dyDescent="0.35">
      <c r="A726" s="55">
        <v>725</v>
      </c>
      <c r="B726" s="55" t="s">
        <v>105</v>
      </c>
      <c r="C726" s="27" t="s">
        <v>474</v>
      </c>
      <c r="D726" s="50" t="s">
        <v>106</v>
      </c>
      <c r="E726" s="33" t="s">
        <v>90</v>
      </c>
      <c r="F726" s="4">
        <f>IFERROR(AVERAGEIF(Table1[[#This Row],[2019-Apr]:[2025-July]],"&lt;&gt;0"),0)</f>
        <v>3.2742428571428577</v>
      </c>
      <c r="G726" s="4">
        <f ca="1">IFERROR(AVERAGEIF(OFFSET(Table1[[#This Row],[Status]],0,COUNT(Table1[[#This Row],[2019-May]:[2025-July]]),1,-12),"&lt;&gt;0"),0)</f>
        <v>1.4927272727272725</v>
      </c>
      <c r="H726" s="55">
        <f>IFERROR(SMALL(Table1[[#This Row],[2019-Apr]:[2025-July]],COUNTIF(Table1[[#This Row],[2019-Apr]:[2025-July]],0)+1),0)</f>
        <v>0.8</v>
      </c>
      <c r="I726" s="55">
        <f>IFERROR(MAX(Table1[[#This Row],[2019-Apr]:[2025-July]]),0)</f>
        <v>7.4</v>
      </c>
      <c r="J726" s="4" cm="1">
        <f t="array" ref="J72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1.1851666666666667</v>
      </c>
      <c r="K726" s="4">
        <v>4.5</v>
      </c>
      <c r="L726" s="4">
        <f>IF(Table1[[#This Row],[Standard as per ISO]]&gt;=Table1[[#This Row],[Avg of best 6]],Table1[[#This Row],[Standard as per ISO]],Table1[[#This Row],[Avg of best 6]])</f>
        <v>4.5</v>
      </c>
      <c r="M726" s="4" cm="1">
        <f t="array" ref="M726">IFERROR(LOOKUP(2,1/(Table1[[#This Row],[2019-May]:[2025-July]]&lt;&gt;0),Table1[[#This Row],[2019-May]:[2025-July]]),0)</f>
        <v>1.8</v>
      </c>
      <c r="N726" s="4">
        <f>COUNTIF(Table1[[#This Row],[2019-Apr]:[2025-July]],"&gt;="&amp;Table1[[#This Row],[Target]])</f>
        <v>15</v>
      </c>
      <c r="O726" s="4">
        <f>IF(Table1[[#This Row],[Outliers 2Y]]=0,1,0)</f>
        <v>0</v>
      </c>
      <c r="P726" s="4">
        <f>IF(Table1[[#This Row],[Last value]]&gt;1.5*Table1[[#This Row],[Target]],1,0)</f>
        <v>0</v>
      </c>
      <c r="Q726" s="4">
        <f>IF(AND(1.5*Table1[[#This Row],[Target]]&gt;=Table1[[#This Row],[Last value]],Table1[[#This Row],[Last value]]&gt;Table1[[#This Row],[Target]]),1,0)</f>
        <v>0</v>
      </c>
      <c r="R726" s="4">
        <f>IF(Table1[[#This Row],[Target]]&gt;=Table1[[#This Row],[Last value]],1,0)</f>
        <v>1</v>
      </c>
      <c r="S726" s="4" t="str">
        <f t="shared" si="20"/>
        <v>Green</v>
      </c>
      <c r="T726" s="55">
        <v>0</v>
      </c>
      <c r="U726" s="55">
        <v>0</v>
      </c>
      <c r="V726" s="55">
        <v>0</v>
      </c>
      <c r="W726" s="55">
        <v>0</v>
      </c>
      <c r="X726" s="55">
        <v>3.46</v>
      </c>
      <c r="Y726" s="55">
        <v>2.6</v>
      </c>
      <c r="Z726" s="55">
        <v>3.15</v>
      </c>
      <c r="AA726" s="55">
        <v>2.64</v>
      </c>
      <c r="AB726" s="55">
        <v>3.2</v>
      </c>
      <c r="AC726" s="55">
        <v>3.22</v>
      </c>
      <c r="AD726" s="55">
        <v>2.52</v>
      </c>
      <c r="AE726" s="55">
        <v>7.4</v>
      </c>
      <c r="AF726" s="55">
        <v>6.31</v>
      </c>
      <c r="AG726" s="55">
        <v>4.9800000000000004</v>
      </c>
      <c r="AH726" s="55">
        <v>5.6</v>
      </c>
      <c r="AI726" s="55">
        <v>4.37</v>
      </c>
      <c r="AJ726" s="55">
        <v>2.04</v>
      </c>
      <c r="AK726" s="55">
        <v>2.3199999999999998</v>
      </c>
      <c r="AL726" s="55">
        <v>1.55</v>
      </c>
      <c r="AM726" s="55">
        <v>5.87</v>
      </c>
      <c r="AN726" s="55">
        <v>5.6</v>
      </c>
      <c r="AO726" s="55">
        <v>5.8</v>
      </c>
      <c r="AP726" s="55">
        <v>5.22</v>
      </c>
      <c r="AQ726" s="55">
        <v>3.2</v>
      </c>
      <c r="AR726" s="8">
        <v>3.73</v>
      </c>
      <c r="AS726" s="8">
        <v>3.56</v>
      </c>
      <c r="AT726" s="8">
        <v>6.42</v>
      </c>
      <c r="AU726" s="50">
        <v>4.71</v>
      </c>
      <c r="AV726" s="50">
        <v>6.3</v>
      </c>
      <c r="AW726" s="50">
        <v>3.25</v>
      </c>
      <c r="AX726" s="50">
        <v>3.26</v>
      </c>
      <c r="AY726" s="50">
        <v>3.94</v>
      </c>
      <c r="AZ726" s="50">
        <v>3.3</v>
      </c>
      <c r="BA726" s="50">
        <v>5.8</v>
      </c>
      <c r="BB726" s="50">
        <v>6</v>
      </c>
      <c r="BC726" s="55">
        <v>3.9</v>
      </c>
      <c r="BD726" s="55">
        <v>0</v>
      </c>
      <c r="BE726" s="11">
        <v>5.306</v>
      </c>
      <c r="BF726" s="4">
        <v>2.8759999999999999</v>
      </c>
      <c r="BG726" s="4">
        <v>4.5910000000000002</v>
      </c>
      <c r="BH726" s="4">
        <v>2.984</v>
      </c>
      <c r="BI726" s="4">
        <v>2.5390000000000001</v>
      </c>
      <c r="BJ726" s="13">
        <v>3.903</v>
      </c>
      <c r="BK726" s="13">
        <v>2.956</v>
      </c>
      <c r="BL726" s="4">
        <v>2.9950000000000001</v>
      </c>
      <c r="BM726" s="16">
        <v>3.9380000000000002</v>
      </c>
      <c r="BN726" s="4">
        <v>2.2789999999999999</v>
      </c>
      <c r="BO726" s="4">
        <v>4.3499999999999996</v>
      </c>
      <c r="BP726" s="4">
        <v>3.4860000000000002</v>
      </c>
      <c r="BQ726" s="4">
        <v>1.1910000000000001</v>
      </c>
      <c r="BR726" s="4">
        <v>1.9730000000000001</v>
      </c>
      <c r="BS726" s="4">
        <v>1.6040000000000001</v>
      </c>
      <c r="BT726" s="4">
        <v>3.6259999999999999</v>
      </c>
      <c r="BU726" s="4">
        <v>2.4849999999999999</v>
      </c>
      <c r="BV726" s="4">
        <v>3.7360000000000002</v>
      </c>
      <c r="BW726" s="4">
        <v>2.052</v>
      </c>
      <c r="BX726" s="4">
        <v>1.657</v>
      </c>
      <c r="BY726" s="4">
        <v>2.62</v>
      </c>
      <c r="BZ726" s="55">
        <v>3.37</v>
      </c>
      <c r="CA726" s="55">
        <v>2.75</v>
      </c>
      <c r="CB726" s="55">
        <v>3.03</v>
      </c>
      <c r="CC726" s="55">
        <v>2.44</v>
      </c>
      <c r="CD726" s="55">
        <v>1.02</v>
      </c>
      <c r="CE726" s="19">
        <v>0</v>
      </c>
      <c r="CF726" s="19">
        <v>1.5</v>
      </c>
      <c r="CG726" s="4">
        <v>1.8</v>
      </c>
      <c r="CH726" s="4">
        <v>1.63</v>
      </c>
      <c r="CI726" s="4">
        <v>1.69</v>
      </c>
      <c r="CJ726" s="34">
        <v>0.8</v>
      </c>
      <c r="CK726" s="34">
        <v>1.2</v>
      </c>
      <c r="CL726" s="43">
        <v>1.6</v>
      </c>
      <c r="CM726" s="4">
        <v>1.5</v>
      </c>
      <c r="CN726" s="53">
        <v>1.7</v>
      </c>
      <c r="CO726" s="54">
        <v>1.4</v>
      </c>
      <c r="CP726" s="54">
        <v>1.6</v>
      </c>
      <c r="CQ726" s="4">
        <v>1.8</v>
      </c>
    </row>
    <row r="727" spans="1:95" s="55" customFormat="1" x14ac:dyDescent="0.35">
      <c r="A727" s="55">
        <v>726</v>
      </c>
      <c r="B727" s="55" t="s">
        <v>105</v>
      </c>
      <c r="C727" s="27" t="s">
        <v>475</v>
      </c>
      <c r="D727" s="50" t="s">
        <v>106</v>
      </c>
      <c r="E727" s="33" t="s">
        <v>90</v>
      </c>
      <c r="F727" s="4">
        <f>IFERROR(AVERAGEIF(Table1[[#This Row],[2019-Apr]:[2025-July]],"&lt;&gt;0"),0)</f>
        <v>3.2506944444444441</v>
      </c>
      <c r="G727" s="4">
        <f ca="1">IFERROR(AVERAGEIF(OFFSET(Table1[[#This Row],[Status]],0,COUNT(Table1[[#This Row],[2019-May]:[2025-July]]),1,-12),"&lt;&gt;0"),0)</f>
        <v>1.5875000000000001</v>
      </c>
      <c r="H727" s="55">
        <f>IFERROR(SMALL(Table1[[#This Row],[2019-Apr]:[2025-July]],COUNTIF(Table1[[#This Row],[2019-Apr]:[2025-July]],0)+1),0)</f>
        <v>1</v>
      </c>
      <c r="I727" s="55">
        <f>IFERROR(MAX(Table1[[#This Row],[2019-Apr]:[2025-July]]),0)</f>
        <v>10.6</v>
      </c>
      <c r="J727" s="4" cm="1">
        <f t="array" ref="J72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1.2365000000000002</v>
      </c>
      <c r="K727" s="4">
        <v>4.5</v>
      </c>
      <c r="L727" s="4">
        <f>IF(Table1[[#This Row],[Standard as per ISO]]&gt;=Table1[[#This Row],[Avg of best 6]],Table1[[#This Row],[Standard as per ISO]],Table1[[#This Row],[Avg of best 6]])</f>
        <v>4.5</v>
      </c>
      <c r="M727" s="4" cm="1">
        <f t="array" ref="M727">IFERROR(LOOKUP(2,1/(Table1[[#This Row],[2019-May]:[2025-July]]&lt;&gt;0),Table1[[#This Row],[2019-May]:[2025-July]]),0)</f>
        <v>1.9</v>
      </c>
      <c r="N727" s="4">
        <f>COUNTIF(Table1[[#This Row],[2019-Apr]:[2025-July]],"&gt;="&amp;Table1[[#This Row],[Target]])</f>
        <v>14</v>
      </c>
      <c r="O727" s="4">
        <f>IF(Table1[[#This Row],[Outliers 2Y]]=0,1,0)</f>
        <v>0</v>
      </c>
      <c r="P727" s="4">
        <f>IF(Table1[[#This Row],[Last value]]&gt;1.5*Table1[[#This Row],[Target]],1,0)</f>
        <v>0</v>
      </c>
      <c r="Q727" s="4">
        <f>IF(AND(1.5*Table1[[#This Row],[Target]]&gt;=Table1[[#This Row],[Last value]],Table1[[#This Row],[Last value]]&gt;Table1[[#This Row],[Target]]),1,0)</f>
        <v>0</v>
      </c>
      <c r="R727" s="4">
        <f>IF(Table1[[#This Row],[Target]]&gt;=Table1[[#This Row],[Last value]],1,0)</f>
        <v>1</v>
      </c>
      <c r="S727" s="4" t="str">
        <f t="shared" si="20"/>
        <v>Green</v>
      </c>
      <c r="T727" s="55">
        <v>0</v>
      </c>
      <c r="U727" s="55">
        <v>0</v>
      </c>
      <c r="V727" s="55">
        <v>0</v>
      </c>
      <c r="W727" s="55">
        <v>3.83</v>
      </c>
      <c r="X727" s="55">
        <v>1.37</v>
      </c>
      <c r="Y727" s="55">
        <v>1.58</v>
      </c>
      <c r="Z727" s="55">
        <v>2.16</v>
      </c>
      <c r="AA727" s="55">
        <v>3.3</v>
      </c>
      <c r="AB727" s="55">
        <v>3.9</v>
      </c>
      <c r="AC727" s="55">
        <v>3.23</v>
      </c>
      <c r="AD727" s="55">
        <v>3.83</v>
      </c>
      <c r="AE727" s="55">
        <v>4.8</v>
      </c>
      <c r="AF727" s="55">
        <v>2.2999999999999998</v>
      </c>
      <c r="AG727" s="55">
        <v>4.3</v>
      </c>
      <c r="AH727" s="55">
        <v>5.2</v>
      </c>
      <c r="AI727" s="55">
        <v>3.55</v>
      </c>
      <c r="AJ727" s="55">
        <v>1.88</v>
      </c>
      <c r="AK727" s="55">
        <v>3.72</v>
      </c>
      <c r="AL727" s="55">
        <v>2.77</v>
      </c>
      <c r="AM727" s="55">
        <v>3.72</v>
      </c>
      <c r="AN727" s="55">
        <v>5.15</v>
      </c>
      <c r="AO727" s="55">
        <v>6.5</v>
      </c>
      <c r="AP727" s="55">
        <v>4.22</v>
      </c>
      <c r="AQ727" s="55">
        <v>2.72</v>
      </c>
      <c r="AR727" s="8">
        <v>6.89</v>
      </c>
      <c r="AS727" s="8">
        <v>3.86</v>
      </c>
      <c r="AT727" s="8">
        <v>5.36</v>
      </c>
      <c r="AU727" s="50">
        <v>5.38</v>
      </c>
      <c r="AV727" s="50">
        <v>6.6</v>
      </c>
      <c r="AW727" s="50">
        <v>4.45</v>
      </c>
      <c r="AX727" s="50">
        <v>5.14</v>
      </c>
      <c r="AY727" s="50">
        <v>6.62</v>
      </c>
      <c r="AZ727" s="50">
        <v>3.4</v>
      </c>
      <c r="BA727" s="50">
        <v>10.6</v>
      </c>
      <c r="BB727" s="50">
        <v>2.2999999999999998</v>
      </c>
      <c r="BC727" s="55">
        <v>4.0999999999999996</v>
      </c>
      <c r="BD727" s="55">
        <v>0</v>
      </c>
      <c r="BE727" s="11">
        <v>2.625</v>
      </c>
      <c r="BF727" s="4">
        <v>6.3659999999999997</v>
      </c>
      <c r="BG727" s="4">
        <v>5.1769999999999996</v>
      </c>
      <c r="BH727" s="4">
        <v>3.738</v>
      </c>
      <c r="BI727" s="4">
        <v>2.9710000000000001</v>
      </c>
      <c r="BJ727" s="14">
        <v>4.6070000000000002</v>
      </c>
      <c r="BK727" s="14">
        <v>2.0270000000000001</v>
      </c>
      <c r="BL727" s="4">
        <v>2.7330000000000001</v>
      </c>
      <c r="BM727" s="17">
        <v>3.8980000000000001</v>
      </c>
      <c r="BN727" s="4">
        <v>2.105</v>
      </c>
      <c r="BO727" s="4">
        <v>3.64</v>
      </c>
      <c r="BP727" s="4">
        <v>3.5310000000000001</v>
      </c>
      <c r="BQ727" s="4">
        <v>3.0339999999999998</v>
      </c>
      <c r="BR727" s="4">
        <v>2.5680000000000001</v>
      </c>
      <c r="BS727" s="4">
        <v>2.194</v>
      </c>
      <c r="BT727" s="4">
        <v>2.21</v>
      </c>
      <c r="BU727" s="4">
        <v>2.1930000000000001</v>
      </c>
      <c r="BV727" s="4">
        <v>1.982</v>
      </c>
      <c r="BW727" s="4">
        <v>1.2090000000000001</v>
      </c>
      <c r="BX727" s="4">
        <v>2.0219999999999998</v>
      </c>
      <c r="BY727" s="4">
        <v>2.35</v>
      </c>
      <c r="BZ727" s="55">
        <v>3.03</v>
      </c>
      <c r="CA727" s="55">
        <v>2.56</v>
      </c>
      <c r="CB727" s="55">
        <v>2.2200000000000002</v>
      </c>
      <c r="CC727" s="55">
        <v>1.94</v>
      </c>
      <c r="CD727" s="55">
        <v>1.44</v>
      </c>
      <c r="CE727" s="19">
        <v>1.9</v>
      </c>
      <c r="CF727" s="19">
        <v>1.8</v>
      </c>
      <c r="CG727" s="4">
        <v>1.66</v>
      </c>
      <c r="CH727" s="4">
        <v>1.34</v>
      </c>
      <c r="CI727" s="4">
        <v>1.65</v>
      </c>
      <c r="CJ727" s="34">
        <v>1.4</v>
      </c>
      <c r="CK727" s="34">
        <v>1.2</v>
      </c>
      <c r="CL727" s="43">
        <v>1.6</v>
      </c>
      <c r="CM727" s="4">
        <v>2.2000000000000002</v>
      </c>
      <c r="CN727" s="53">
        <v>1.3</v>
      </c>
      <c r="CO727" s="54">
        <v>1</v>
      </c>
      <c r="CP727" s="54">
        <v>2</v>
      </c>
      <c r="CQ727" s="4">
        <v>1.9</v>
      </c>
    </row>
    <row r="728" spans="1:95" s="55" customFormat="1" x14ac:dyDescent="0.35">
      <c r="A728" s="55">
        <v>727</v>
      </c>
      <c r="B728" s="55" t="s">
        <v>105</v>
      </c>
      <c r="C728" s="27" t="s">
        <v>476</v>
      </c>
      <c r="D728" s="50" t="s">
        <v>106</v>
      </c>
      <c r="E728" s="33" t="s">
        <v>90</v>
      </c>
      <c r="F728" s="4">
        <f>IFERROR(AVERAGEIF(Table1[[#This Row],[2019-Apr]:[2025-July]],"&lt;&gt;0"),0)</f>
        <v>0.6005068493150687</v>
      </c>
      <c r="G728" s="4">
        <f ca="1">IFERROR(AVERAGEIF(OFFSET(Table1[[#This Row],[Status]],0,COUNT(Table1[[#This Row],[2019-May]:[2025-July]]),1,-12),"&lt;&gt;0"),0)</f>
        <v>0.4300000000000001</v>
      </c>
      <c r="H728" s="55">
        <f>IFERROR(SMALL(Table1[[#This Row],[2019-Apr]:[2025-July]],COUNTIF(Table1[[#This Row],[2019-Apr]:[2025-July]],0)+1),0)</f>
        <v>0.2</v>
      </c>
      <c r="I728" s="55">
        <f>IFERROR(MAX(Table1[[#This Row],[2019-Apr]:[2025-July]]),0)</f>
        <v>1.7</v>
      </c>
      <c r="J728" s="4" cm="1">
        <f t="array" ref="J72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0.28200000000000003</v>
      </c>
      <c r="K728" s="4">
        <v>4.5</v>
      </c>
      <c r="L728" s="4">
        <f>IF(Table1[[#This Row],[Standard as per ISO]]&gt;=Table1[[#This Row],[Avg of best 6]],Table1[[#This Row],[Standard as per ISO]],Table1[[#This Row],[Avg of best 6]])</f>
        <v>4.5</v>
      </c>
      <c r="M728" s="4" cm="1">
        <f t="array" ref="M728">IFERROR(LOOKUP(2,1/(Table1[[#This Row],[2019-May]:[2025-July]]&lt;&gt;0),Table1[[#This Row],[2019-May]:[2025-July]]),0)</f>
        <v>0.7</v>
      </c>
      <c r="N728" s="4">
        <f>COUNTIF(Table1[[#This Row],[2019-Apr]:[2025-July]],"&gt;="&amp;Table1[[#This Row],[Target]])</f>
        <v>0</v>
      </c>
      <c r="O728" s="4">
        <f>IF(Table1[[#This Row],[Outliers 2Y]]=0,1,0)</f>
        <v>1</v>
      </c>
      <c r="P728" s="4">
        <f>IF(Table1[[#This Row],[Last value]]&gt;1.5*Table1[[#This Row],[Target]],1,0)</f>
        <v>0</v>
      </c>
      <c r="Q728" s="4">
        <f>IF(AND(1.5*Table1[[#This Row],[Target]]&gt;=Table1[[#This Row],[Last value]],Table1[[#This Row],[Last value]]&gt;Table1[[#This Row],[Target]]),1,0)</f>
        <v>0</v>
      </c>
      <c r="R728" s="4">
        <f>IF(Table1[[#This Row],[Target]]&gt;=Table1[[#This Row],[Last value]],1,0)</f>
        <v>1</v>
      </c>
      <c r="S728" s="4" t="str">
        <f t="shared" si="20"/>
        <v>Green</v>
      </c>
      <c r="T728" s="55">
        <v>0</v>
      </c>
      <c r="U728" s="55">
        <v>0</v>
      </c>
      <c r="V728" s="55">
        <v>0.42</v>
      </c>
      <c r="W728" s="55">
        <v>0.59</v>
      </c>
      <c r="X728" s="55">
        <v>0.63</v>
      </c>
      <c r="Y728" s="55">
        <v>0.51</v>
      </c>
      <c r="Z728" s="55">
        <v>0.56999999999999995</v>
      </c>
      <c r="AA728" s="55">
        <v>0.45</v>
      </c>
      <c r="AB728" s="55">
        <v>0.59</v>
      </c>
      <c r="AC728" s="55">
        <v>0.56999999999999995</v>
      </c>
      <c r="AD728" s="55">
        <v>0.65</v>
      </c>
      <c r="AE728" s="55">
        <v>0.53</v>
      </c>
      <c r="AF728" s="55">
        <v>0.6</v>
      </c>
      <c r="AG728" s="55">
        <v>0.81</v>
      </c>
      <c r="AH728" s="55">
        <v>1.1000000000000001</v>
      </c>
      <c r="AI728" s="55">
        <v>0.76</v>
      </c>
      <c r="AJ728" s="55">
        <v>0.82</v>
      </c>
      <c r="AK728" s="55">
        <v>0.67</v>
      </c>
      <c r="AL728" s="55">
        <v>0.59</v>
      </c>
      <c r="AM728" s="55">
        <v>0.47</v>
      </c>
      <c r="AN728" s="55">
        <v>0.33</v>
      </c>
      <c r="AO728" s="55">
        <v>0.7</v>
      </c>
      <c r="AP728" s="55">
        <v>0.54</v>
      </c>
      <c r="AQ728" s="55">
        <v>0.68</v>
      </c>
      <c r="AR728" s="8">
        <v>0.81</v>
      </c>
      <c r="AS728" s="8">
        <v>0.6</v>
      </c>
      <c r="AT728" s="8">
        <v>0.79</v>
      </c>
      <c r="AU728" s="50">
        <v>0.63</v>
      </c>
      <c r="AV728" s="50">
        <v>0.43</v>
      </c>
      <c r="AW728" s="50">
        <v>0.46</v>
      </c>
      <c r="AX728" s="50">
        <v>0.53</v>
      </c>
      <c r="AY728" s="50">
        <v>0.59</v>
      </c>
      <c r="AZ728" s="50">
        <v>0.6</v>
      </c>
      <c r="BA728" s="50">
        <v>1.7</v>
      </c>
      <c r="BB728" s="50">
        <v>0.9</v>
      </c>
      <c r="BC728" s="55">
        <v>0.3</v>
      </c>
      <c r="BD728" s="55">
        <v>0</v>
      </c>
      <c r="BE728" s="11">
        <v>0.79500000000000004</v>
      </c>
      <c r="BF728" s="4">
        <v>0.6</v>
      </c>
      <c r="BG728" s="4">
        <v>1.3560000000000001</v>
      </c>
      <c r="BH728" s="4">
        <v>1.25</v>
      </c>
      <c r="BI728" s="4">
        <v>0.56799999999999995</v>
      </c>
      <c r="BJ728" s="13">
        <v>0.36799999999999999</v>
      </c>
      <c r="BK728" s="13">
        <v>0.81299999999999994</v>
      </c>
      <c r="BL728" s="4">
        <v>1.2450000000000001</v>
      </c>
      <c r="BM728" s="16">
        <v>0.48199999999999998</v>
      </c>
      <c r="BN728" s="4">
        <v>0.498</v>
      </c>
      <c r="BO728" s="4">
        <v>0.53700000000000003</v>
      </c>
      <c r="BP728" s="4">
        <v>0.61799999999999999</v>
      </c>
      <c r="BQ728" s="4">
        <v>0.58399999999999996</v>
      </c>
      <c r="BR728" s="4">
        <v>0.374</v>
      </c>
      <c r="BS728" s="4">
        <v>0.38900000000000001</v>
      </c>
      <c r="BT728" s="4">
        <v>0.46600000000000003</v>
      </c>
      <c r="BU728" s="4">
        <v>0.54500000000000004</v>
      </c>
      <c r="BV728" s="4">
        <v>0.625</v>
      </c>
      <c r="BW728" s="4">
        <v>0.36199999999999999</v>
      </c>
      <c r="BX728" s="4">
        <v>0.752</v>
      </c>
      <c r="BY728" s="4">
        <v>0.4</v>
      </c>
      <c r="BZ728" s="55">
        <v>0.42</v>
      </c>
      <c r="CA728" s="55">
        <v>0.71</v>
      </c>
      <c r="CB728" s="55">
        <v>0.39</v>
      </c>
      <c r="CC728" s="55">
        <v>0.52</v>
      </c>
      <c r="CD728" s="55">
        <v>0.39</v>
      </c>
      <c r="CE728" s="19">
        <v>0.3</v>
      </c>
      <c r="CF728" s="19">
        <v>0.4</v>
      </c>
      <c r="CG728" s="4">
        <v>0.97</v>
      </c>
      <c r="CH728" s="4">
        <v>0.62</v>
      </c>
      <c r="CI728" s="4">
        <v>0.38</v>
      </c>
      <c r="CJ728" s="34">
        <v>0.4</v>
      </c>
      <c r="CK728" s="34">
        <v>0.4</v>
      </c>
      <c r="CL728" s="43">
        <v>0.2</v>
      </c>
      <c r="CM728" s="4">
        <v>0.4</v>
      </c>
      <c r="CN728" s="48">
        <v>0.4</v>
      </c>
      <c r="CO728" s="54">
        <v>0.2</v>
      </c>
      <c r="CP728" s="54">
        <v>0.49</v>
      </c>
      <c r="CQ728" s="4">
        <v>0.7</v>
      </c>
    </row>
    <row r="729" spans="1:95" s="55" customFormat="1" x14ac:dyDescent="0.35">
      <c r="A729" s="55">
        <v>728</v>
      </c>
      <c r="B729" s="55" t="s">
        <v>105</v>
      </c>
      <c r="C729" s="27" t="s">
        <v>477</v>
      </c>
      <c r="D729" s="50" t="s">
        <v>106</v>
      </c>
      <c r="E729" s="33" t="s">
        <v>90</v>
      </c>
      <c r="F729" s="4">
        <f>IFERROR(AVERAGEIF(Table1[[#This Row],[2019-Apr]:[2025-July]],"&lt;&gt;0"),0)</f>
        <v>0.75728767123287677</v>
      </c>
      <c r="G729" s="4">
        <f ca="1">IFERROR(AVERAGEIF(OFFSET(Table1[[#This Row],[Status]],0,COUNT(Table1[[#This Row],[2019-May]:[2025-July]]),1,-12),"&lt;&gt;0"),0)</f>
        <v>0.4925000000000001</v>
      </c>
      <c r="H729" s="55">
        <f>IFERROR(SMALL(Table1[[#This Row],[2019-Apr]:[2025-July]],COUNTIF(Table1[[#This Row],[2019-Apr]:[2025-July]],0)+1),0)</f>
        <v>0.27</v>
      </c>
      <c r="I729" s="55">
        <f>IFERROR(MAX(Table1[[#This Row],[2019-Apr]:[2025-July]]),0)</f>
        <v>1.63</v>
      </c>
      <c r="J729" s="4" cm="1">
        <f t="array" ref="J72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0.315</v>
      </c>
      <c r="K729" s="4">
        <v>4.5</v>
      </c>
      <c r="L729" s="4">
        <f>IF(Table1[[#This Row],[Standard as per ISO]]&gt;=Table1[[#This Row],[Avg of best 6]],Table1[[#This Row],[Standard as per ISO]],Table1[[#This Row],[Avg of best 6]])</f>
        <v>4.5</v>
      </c>
      <c r="M729" s="4" cm="1">
        <f t="array" ref="M729">IFERROR(LOOKUP(2,1/(Table1[[#This Row],[2019-May]:[2025-July]]&lt;&gt;0),Table1[[#This Row],[2019-May]:[2025-July]]),0)</f>
        <v>0.6</v>
      </c>
      <c r="N729" s="4">
        <f>COUNTIF(Table1[[#This Row],[2019-Apr]:[2025-July]],"&gt;="&amp;Table1[[#This Row],[Target]])</f>
        <v>0</v>
      </c>
      <c r="O729" s="4">
        <f>IF(Table1[[#This Row],[Outliers 2Y]]=0,1,0)</f>
        <v>1</v>
      </c>
      <c r="P729" s="4">
        <f>IF(Table1[[#This Row],[Last value]]&gt;1.5*Table1[[#This Row],[Target]],1,0)</f>
        <v>0</v>
      </c>
      <c r="Q729" s="4">
        <f>IF(AND(1.5*Table1[[#This Row],[Target]]&gt;=Table1[[#This Row],[Last value]],Table1[[#This Row],[Last value]]&gt;Table1[[#This Row],[Target]]),1,0)</f>
        <v>0</v>
      </c>
      <c r="R729" s="4">
        <f>IF(Table1[[#This Row],[Target]]&gt;=Table1[[#This Row],[Last value]],1,0)</f>
        <v>1</v>
      </c>
      <c r="S729" s="4" t="str">
        <f t="shared" si="20"/>
        <v>Green</v>
      </c>
      <c r="T729" s="55">
        <v>0</v>
      </c>
      <c r="U729" s="55">
        <v>0</v>
      </c>
      <c r="V729" s="55">
        <v>0.43</v>
      </c>
      <c r="W729" s="55">
        <v>0.87</v>
      </c>
      <c r="X729" s="55">
        <v>1.1399999999999999</v>
      </c>
      <c r="Y729" s="55">
        <v>1.25</v>
      </c>
      <c r="Z729" s="55">
        <v>0.78</v>
      </c>
      <c r="AA729" s="55">
        <v>0.69</v>
      </c>
      <c r="AB729" s="55">
        <v>0.78</v>
      </c>
      <c r="AC729" s="55">
        <v>0.82</v>
      </c>
      <c r="AD729" s="55">
        <v>1.58</v>
      </c>
      <c r="AE729" s="55">
        <v>0.96</v>
      </c>
      <c r="AF729" s="55">
        <v>0.72</v>
      </c>
      <c r="AG729" s="55">
        <v>0.9</v>
      </c>
      <c r="AH729" s="55">
        <v>1.1000000000000001</v>
      </c>
      <c r="AI729" s="55">
        <v>1.2</v>
      </c>
      <c r="AJ729" s="55">
        <v>0.84</v>
      </c>
      <c r="AK729" s="55">
        <v>1.06</v>
      </c>
      <c r="AL729" s="55">
        <v>1.27</v>
      </c>
      <c r="AM729" s="55">
        <v>0.34</v>
      </c>
      <c r="AN729" s="55">
        <v>0.52</v>
      </c>
      <c r="AO729" s="55">
        <v>0.84</v>
      </c>
      <c r="AP729" s="55">
        <v>0.27</v>
      </c>
      <c r="AQ729" s="55">
        <v>1.4</v>
      </c>
      <c r="AR729" s="8">
        <v>0.71</v>
      </c>
      <c r="AS729" s="8">
        <v>0.87</v>
      </c>
      <c r="AT729" s="8">
        <v>1.02</v>
      </c>
      <c r="AU729" s="50">
        <v>0.71</v>
      </c>
      <c r="AV729" s="50">
        <v>1.63</v>
      </c>
      <c r="AW729" s="50">
        <v>0.62</v>
      </c>
      <c r="AX729" s="50">
        <v>0.95</v>
      </c>
      <c r="AY729" s="50">
        <v>0.85</v>
      </c>
      <c r="AZ729" s="50">
        <v>1.4</v>
      </c>
      <c r="BA729" s="50">
        <v>0.5</v>
      </c>
      <c r="BB729" s="50">
        <v>0.3</v>
      </c>
      <c r="BC729" s="55">
        <v>0.6</v>
      </c>
      <c r="BD729" s="55">
        <v>0</v>
      </c>
      <c r="BE729" s="11">
        <v>0.51700000000000002</v>
      </c>
      <c r="BF729" s="4">
        <v>1.157</v>
      </c>
      <c r="BG729" s="4">
        <v>0.82299999999999995</v>
      </c>
      <c r="BH729" s="4">
        <v>1.02</v>
      </c>
      <c r="BI729" s="4">
        <v>0.56200000000000006</v>
      </c>
      <c r="BJ729" s="14">
        <v>0.52900000000000003</v>
      </c>
      <c r="BK729" s="14">
        <v>0.65500000000000003</v>
      </c>
      <c r="BL729" s="4">
        <v>0.86399999999999999</v>
      </c>
      <c r="BM729" s="17">
        <v>0.67900000000000005</v>
      </c>
      <c r="BN729" s="4">
        <v>0.63200000000000001</v>
      </c>
      <c r="BO729" s="4">
        <v>0.76700000000000002</v>
      </c>
      <c r="BP729" s="4">
        <v>0.65300000000000002</v>
      </c>
      <c r="BQ729" s="4">
        <v>0.874</v>
      </c>
      <c r="BR729" s="4">
        <v>0.64300000000000002</v>
      </c>
      <c r="BS729" s="4">
        <v>1.4330000000000001</v>
      </c>
      <c r="BT729" s="4">
        <v>0.51800000000000002</v>
      </c>
      <c r="BU729" s="4">
        <v>0.438</v>
      </c>
      <c r="BV729" s="4">
        <v>0.71599999999999997</v>
      </c>
      <c r="BW729" s="4">
        <v>0.624</v>
      </c>
      <c r="BX729" s="4">
        <v>0.77800000000000002</v>
      </c>
      <c r="BY729" s="4">
        <v>0.37</v>
      </c>
      <c r="BZ729" s="55">
        <v>0.74</v>
      </c>
      <c r="CA729" s="55">
        <v>0.82</v>
      </c>
      <c r="CB729" s="55">
        <v>0.52</v>
      </c>
      <c r="CC729" s="55">
        <v>0.79</v>
      </c>
      <c r="CD729" s="55">
        <v>0.73</v>
      </c>
      <c r="CE729" s="19">
        <v>0.4</v>
      </c>
      <c r="CF729" s="19">
        <v>0.8</v>
      </c>
      <c r="CG729" s="4">
        <v>0.64</v>
      </c>
      <c r="CH729" s="4">
        <v>0.62</v>
      </c>
      <c r="CI729" s="4">
        <v>0.31</v>
      </c>
      <c r="CJ729" s="34">
        <v>0.48</v>
      </c>
      <c r="CK729" s="34">
        <v>0.4</v>
      </c>
      <c r="CL729" s="43">
        <v>0.4</v>
      </c>
      <c r="CM729" s="4">
        <v>0.4</v>
      </c>
      <c r="CN729" s="48">
        <v>0.7</v>
      </c>
      <c r="CO729" s="54">
        <v>0.3</v>
      </c>
      <c r="CP729" s="54">
        <v>0.46</v>
      </c>
      <c r="CQ729" s="4">
        <v>0.6</v>
      </c>
    </row>
    <row r="730" spans="1:95" s="55" customFormat="1" x14ac:dyDescent="0.35">
      <c r="A730" s="55">
        <v>729</v>
      </c>
      <c r="B730" s="55" t="s">
        <v>105</v>
      </c>
      <c r="C730" s="27" t="s">
        <v>478</v>
      </c>
      <c r="D730" s="50" t="s">
        <v>106</v>
      </c>
      <c r="E730" s="33" t="s">
        <v>90</v>
      </c>
      <c r="F730" s="4">
        <f>IFERROR(AVERAGEIF(Table1[[#This Row],[2019-Apr]:[2025-July]],"&lt;&gt;0"),0)</f>
        <v>0.76024657534246565</v>
      </c>
      <c r="G730" s="4">
        <f ca="1">IFERROR(AVERAGEIF(OFFSET(Table1[[#This Row],[Status]],0,COUNT(Table1[[#This Row],[2019-May]:[2025-July]]),1,-12),"&lt;&gt;0"),0)</f>
        <v>0.56749999999999989</v>
      </c>
      <c r="H730" s="55">
        <f>IFERROR(SMALL(Table1[[#This Row],[2019-Apr]:[2025-July]],COUNTIF(Table1[[#This Row],[2019-Apr]:[2025-July]],0)+1),0)</f>
        <v>0.3</v>
      </c>
      <c r="I730" s="55">
        <f>IFERROR(MAX(Table1[[#This Row],[2019-Apr]:[2025-July]]),0)</f>
        <v>2</v>
      </c>
      <c r="J730" s="4" cm="1">
        <f t="array" ref="J73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0.30816666666666664</v>
      </c>
      <c r="K730" s="4">
        <v>4.5</v>
      </c>
      <c r="L730" s="4">
        <f>IF(Table1[[#This Row],[Standard as per ISO]]&gt;=Table1[[#This Row],[Avg of best 6]],Table1[[#This Row],[Standard as per ISO]],Table1[[#This Row],[Avg of best 6]])</f>
        <v>4.5</v>
      </c>
      <c r="M730" s="4" cm="1">
        <f t="array" ref="M730">IFERROR(LOOKUP(2,1/(Table1[[#This Row],[2019-May]:[2025-July]]&lt;&gt;0),Table1[[#This Row],[2019-May]:[2025-July]]),0)</f>
        <v>0.5</v>
      </c>
      <c r="N730" s="4">
        <f>COUNTIF(Table1[[#This Row],[2019-Apr]:[2025-July]],"&gt;="&amp;Table1[[#This Row],[Target]])</f>
        <v>0</v>
      </c>
      <c r="O730" s="4">
        <f>IF(Table1[[#This Row],[Outliers 2Y]]=0,1,0)</f>
        <v>1</v>
      </c>
      <c r="P730" s="4">
        <f>IF(Table1[[#This Row],[Last value]]&gt;1.5*Table1[[#This Row],[Target]],1,0)</f>
        <v>0</v>
      </c>
      <c r="Q730" s="4">
        <f>IF(AND(1.5*Table1[[#This Row],[Target]]&gt;=Table1[[#This Row],[Last value]],Table1[[#This Row],[Last value]]&gt;Table1[[#This Row],[Target]]),1,0)</f>
        <v>0</v>
      </c>
      <c r="R730" s="4">
        <f>IF(Table1[[#This Row],[Target]]&gt;=Table1[[#This Row],[Last value]],1,0)</f>
        <v>1</v>
      </c>
      <c r="S730" s="4" t="str">
        <f t="shared" si="20"/>
        <v>Green</v>
      </c>
      <c r="T730" s="55">
        <v>0</v>
      </c>
      <c r="U730" s="55">
        <v>0</v>
      </c>
      <c r="V730" s="55">
        <v>0.44</v>
      </c>
      <c r="W730" s="55">
        <v>1.98</v>
      </c>
      <c r="X730" s="55">
        <v>1.7</v>
      </c>
      <c r="Y730" s="55">
        <v>0.3</v>
      </c>
      <c r="Z730" s="55">
        <v>1.51</v>
      </c>
      <c r="AA730" s="55">
        <v>0.56000000000000005</v>
      </c>
      <c r="AB730" s="55">
        <v>0.76</v>
      </c>
      <c r="AC730" s="55">
        <v>0.37</v>
      </c>
      <c r="AD730" s="55">
        <v>1.05</v>
      </c>
      <c r="AE730" s="55">
        <v>0.8</v>
      </c>
      <c r="AF730" s="55">
        <v>0.97</v>
      </c>
      <c r="AG730" s="55">
        <v>0.98</v>
      </c>
      <c r="AH730" s="55">
        <v>2</v>
      </c>
      <c r="AI730" s="55">
        <v>0.74</v>
      </c>
      <c r="AJ730" s="55">
        <v>0.84</v>
      </c>
      <c r="AK730" s="55">
        <v>0.73</v>
      </c>
      <c r="AL730" s="55">
        <v>1.01</v>
      </c>
      <c r="AM730" s="55">
        <v>0.38</v>
      </c>
      <c r="AN730" s="55">
        <v>0.32</v>
      </c>
      <c r="AO730" s="55">
        <v>0.7</v>
      </c>
      <c r="AP730" s="55">
        <v>0.39</v>
      </c>
      <c r="AQ730" s="55">
        <v>0.47</v>
      </c>
      <c r="AR730" s="8">
        <v>0.77</v>
      </c>
      <c r="AS730" s="8">
        <v>1.03</v>
      </c>
      <c r="AT730" s="8">
        <v>1.24</v>
      </c>
      <c r="AU730" s="50">
        <v>0.76</v>
      </c>
      <c r="AV730" s="50">
        <v>0.8</v>
      </c>
      <c r="AW730" s="50">
        <v>0.66</v>
      </c>
      <c r="AX730" s="50">
        <v>1.1599999999999999</v>
      </c>
      <c r="AY730" s="50">
        <v>0.77</v>
      </c>
      <c r="AZ730" s="50">
        <v>0.9</v>
      </c>
      <c r="BA730" s="50">
        <v>0.4</v>
      </c>
      <c r="BB730" s="50">
        <v>1.1000000000000001</v>
      </c>
      <c r="BC730" s="55">
        <v>0.4</v>
      </c>
      <c r="BD730" s="55">
        <v>0</v>
      </c>
      <c r="BE730" s="11">
        <v>0.64300000000000002</v>
      </c>
      <c r="BF730" s="4">
        <v>0.54</v>
      </c>
      <c r="BG730" s="4">
        <v>0.84299999999999997</v>
      </c>
      <c r="BH730" s="4">
        <v>1.8879999999999999</v>
      </c>
      <c r="BI730" s="4">
        <v>0.68</v>
      </c>
      <c r="BJ730" s="13">
        <v>1.181</v>
      </c>
      <c r="BK730" s="13">
        <v>1.1040000000000001</v>
      </c>
      <c r="BL730" s="4">
        <v>0.93899999999999995</v>
      </c>
      <c r="BM730" s="16">
        <v>0.53700000000000003</v>
      </c>
      <c r="BN730" s="4">
        <v>0.86399999999999999</v>
      </c>
      <c r="BO730" s="4">
        <v>0.98399999999999999</v>
      </c>
      <c r="BP730" s="4">
        <v>0.86799999999999999</v>
      </c>
      <c r="BQ730" s="4">
        <v>0.81899999999999995</v>
      </c>
      <c r="BR730" s="4">
        <v>0.53800000000000003</v>
      </c>
      <c r="BS730" s="4">
        <v>0.309</v>
      </c>
      <c r="BT730" s="4">
        <v>0.53300000000000003</v>
      </c>
      <c r="BU730" s="4">
        <v>0.35899999999999999</v>
      </c>
      <c r="BV730" s="4">
        <v>0.35899999999999999</v>
      </c>
      <c r="BW730" s="4">
        <v>0.35899999999999999</v>
      </c>
      <c r="BX730" s="4">
        <v>0.71099999999999997</v>
      </c>
      <c r="BY730" s="4">
        <v>0.38</v>
      </c>
      <c r="BZ730" s="55">
        <v>0.32</v>
      </c>
      <c r="CA730" s="55">
        <v>0.95</v>
      </c>
      <c r="CB730" s="55">
        <v>0.91</v>
      </c>
      <c r="CC730" s="55">
        <v>0.76</v>
      </c>
      <c r="CD730" s="55">
        <v>0.82</v>
      </c>
      <c r="CE730" s="19">
        <v>0.7</v>
      </c>
      <c r="CF730" s="19">
        <v>0.9</v>
      </c>
      <c r="CG730" s="4">
        <v>0.66</v>
      </c>
      <c r="CH730" s="4">
        <v>0.71</v>
      </c>
      <c r="CI730" s="4">
        <v>0.33</v>
      </c>
      <c r="CJ730" s="34">
        <v>0.5</v>
      </c>
      <c r="CK730" s="34">
        <v>0.7</v>
      </c>
      <c r="CL730" s="43">
        <v>0.6</v>
      </c>
      <c r="CM730" s="4">
        <v>0.3</v>
      </c>
      <c r="CN730" s="48">
        <v>0.3</v>
      </c>
      <c r="CO730" s="54">
        <v>0.6</v>
      </c>
      <c r="CP730" s="54">
        <v>0.51</v>
      </c>
      <c r="CQ730" s="4">
        <v>0.5</v>
      </c>
    </row>
    <row r="731" spans="1:95" s="55" customFormat="1" x14ac:dyDescent="0.35">
      <c r="A731" s="55">
        <v>730</v>
      </c>
      <c r="B731" s="55" t="s">
        <v>105</v>
      </c>
      <c r="C731" s="27" t="s">
        <v>479</v>
      </c>
      <c r="D731" s="50" t="s">
        <v>106</v>
      </c>
      <c r="E731" s="33" t="s">
        <v>89</v>
      </c>
      <c r="F731" s="4">
        <f>IFERROR(AVERAGEIF(Table1[[#This Row],[2019-Apr]:[2025-July]],"&lt;&gt;0"),0)</f>
        <v>0.81389041095890424</v>
      </c>
      <c r="G731" s="4">
        <f ca="1">IFERROR(AVERAGEIF(OFFSET(Table1[[#This Row],[Status]],0,COUNT(Table1[[#This Row],[2019-May]:[2025-July]]),1,-12),"&lt;&gt;0"),0)</f>
        <v>0.58000000000000007</v>
      </c>
      <c r="H731" s="55">
        <f>IFERROR(SMALL(Table1[[#This Row],[2019-Apr]:[2025-July]],COUNTIF(Table1[[#This Row],[2019-Apr]:[2025-July]],0)+1),0)</f>
        <v>0.28000000000000003</v>
      </c>
      <c r="I731" s="55">
        <f>IFERROR(MAX(Table1[[#This Row],[2019-Apr]:[2025-July]]),0)</f>
        <v>1.9</v>
      </c>
      <c r="J731" s="4" cm="1">
        <f t="array" ref="J73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0.32116666666666666</v>
      </c>
      <c r="K731" s="4">
        <v>4.5</v>
      </c>
      <c r="L731" s="4">
        <f>IF(Table1[[#This Row],[Standard as per ISO]]&gt;=Table1[[#This Row],[Avg of best 6]],Table1[[#This Row],[Standard as per ISO]],Table1[[#This Row],[Avg of best 6]])</f>
        <v>4.5</v>
      </c>
      <c r="M731" s="4" cm="1">
        <f t="array" ref="M731">IFERROR(LOOKUP(2,1/(Table1[[#This Row],[2019-May]:[2025-July]]&lt;&gt;0),Table1[[#This Row],[2019-May]:[2025-July]]),0)</f>
        <v>0.7</v>
      </c>
      <c r="N731" s="4">
        <f>COUNTIF(Table1[[#This Row],[2019-Apr]:[2025-July]],"&gt;="&amp;Table1[[#This Row],[Target]])</f>
        <v>0</v>
      </c>
      <c r="O731" s="4">
        <f>IF(Table1[[#This Row],[Outliers 2Y]]=0,1,0)</f>
        <v>1</v>
      </c>
      <c r="P731" s="4">
        <f>IF(Table1[[#This Row],[Last value]]&gt;1.5*Table1[[#This Row],[Target]],1,0)</f>
        <v>0</v>
      </c>
      <c r="Q731" s="4">
        <f>IF(AND(1.5*Table1[[#This Row],[Target]]&gt;=Table1[[#This Row],[Last value]],Table1[[#This Row],[Last value]]&gt;Table1[[#This Row],[Target]]),1,0)</f>
        <v>0</v>
      </c>
      <c r="R731" s="4">
        <f>IF(Table1[[#This Row],[Target]]&gt;=Table1[[#This Row],[Last value]],1,0)</f>
        <v>1</v>
      </c>
      <c r="S731" s="4" t="str">
        <f t="shared" si="20"/>
        <v>Green</v>
      </c>
      <c r="T731" s="55">
        <v>0</v>
      </c>
      <c r="U731" s="55">
        <v>0</v>
      </c>
      <c r="V731" s="55">
        <v>0.3</v>
      </c>
      <c r="W731" s="55">
        <v>1.35</v>
      </c>
      <c r="X731" s="55">
        <v>1.03</v>
      </c>
      <c r="Y731" s="55">
        <v>0.65</v>
      </c>
      <c r="Z731" s="55">
        <v>1.1299999999999999</v>
      </c>
      <c r="AA731" s="55">
        <v>0.62</v>
      </c>
      <c r="AB731" s="55">
        <v>1.1000000000000001</v>
      </c>
      <c r="AC731" s="55">
        <v>0.28000000000000003</v>
      </c>
      <c r="AD731" s="55">
        <v>1.1299999999999999</v>
      </c>
      <c r="AE731" s="55">
        <v>0.8</v>
      </c>
      <c r="AF731" s="55">
        <v>0.8</v>
      </c>
      <c r="AG731" s="55">
        <v>0.9</v>
      </c>
      <c r="AH731" s="55">
        <v>1.5</v>
      </c>
      <c r="AI731" s="55">
        <v>1.2</v>
      </c>
      <c r="AJ731" s="55">
        <v>1.3</v>
      </c>
      <c r="AK731" s="55">
        <v>0.68</v>
      </c>
      <c r="AL731" s="55">
        <v>1.35</v>
      </c>
      <c r="AM731" s="55">
        <v>1.0900000000000001</v>
      </c>
      <c r="AN731" s="55">
        <v>0.32</v>
      </c>
      <c r="AO731" s="55">
        <v>0.86</v>
      </c>
      <c r="AP731" s="55">
        <v>0.34</v>
      </c>
      <c r="AQ731" s="55">
        <v>1.21</v>
      </c>
      <c r="AR731" s="9">
        <v>0.94</v>
      </c>
      <c r="AS731" s="9">
        <v>1.01</v>
      </c>
      <c r="AT731" s="9">
        <v>0.94</v>
      </c>
      <c r="AU731" s="50">
        <v>1.01</v>
      </c>
      <c r="AV731" s="50">
        <v>0.47</v>
      </c>
      <c r="AW731" s="50">
        <v>1.1200000000000001</v>
      </c>
      <c r="AX731" s="50">
        <v>0.98</v>
      </c>
      <c r="AY731" s="50">
        <v>1.65</v>
      </c>
      <c r="AZ731" s="50">
        <v>0.5</v>
      </c>
      <c r="BA731" s="50">
        <v>1</v>
      </c>
      <c r="BB731" s="50">
        <v>1.9</v>
      </c>
      <c r="BC731" s="55">
        <v>0.5</v>
      </c>
      <c r="BD731" s="55">
        <v>0</v>
      </c>
      <c r="BE731" s="11">
        <v>0.438</v>
      </c>
      <c r="BF731" s="4">
        <v>0.98299999999999998</v>
      </c>
      <c r="BG731" s="4">
        <v>1.044</v>
      </c>
      <c r="BH731" s="4">
        <v>0.68300000000000005</v>
      </c>
      <c r="BI731" s="4">
        <v>0.61499999999999999</v>
      </c>
      <c r="BJ731" s="14">
        <v>1.109</v>
      </c>
      <c r="BK731" s="14">
        <v>1.7330000000000001</v>
      </c>
      <c r="BL731" s="4">
        <v>0.53800000000000003</v>
      </c>
      <c r="BM731" s="17">
        <v>0.90400000000000003</v>
      </c>
      <c r="BN731" s="4">
        <v>0.52500000000000002</v>
      </c>
      <c r="BO731" s="4">
        <v>0.69199999999999995</v>
      </c>
      <c r="BP731" s="4">
        <v>0.57899999999999996</v>
      </c>
      <c r="BQ731" s="4">
        <v>0.80500000000000005</v>
      </c>
      <c r="BR731" s="4">
        <v>0.83099999999999996</v>
      </c>
      <c r="BS731" s="4">
        <v>0.45100000000000001</v>
      </c>
      <c r="BT731" s="4">
        <v>0.45600000000000002</v>
      </c>
      <c r="BU731" s="4">
        <v>0.317</v>
      </c>
      <c r="BV731" s="4">
        <v>0.48099999999999998</v>
      </c>
      <c r="BW731" s="4">
        <v>0.439</v>
      </c>
      <c r="BX731" s="4">
        <v>0.85099999999999998</v>
      </c>
      <c r="BY731" s="4">
        <v>0.37</v>
      </c>
      <c r="BZ731" s="55">
        <v>0.81</v>
      </c>
      <c r="CA731" s="55">
        <v>0.95</v>
      </c>
      <c r="CB731" s="55">
        <v>1.06</v>
      </c>
      <c r="CC731" s="55">
        <v>0.76</v>
      </c>
      <c r="CD731" s="55">
        <v>1.37</v>
      </c>
      <c r="CE731" s="19">
        <v>0.4</v>
      </c>
      <c r="CF731" s="19">
        <v>0.7</v>
      </c>
      <c r="CG731" s="4">
        <v>0.84</v>
      </c>
      <c r="CH731" s="4">
        <v>0.66</v>
      </c>
      <c r="CI731" s="4">
        <v>0.43</v>
      </c>
      <c r="CJ731" s="34">
        <v>0.7</v>
      </c>
      <c r="CK731" s="34">
        <v>0.5</v>
      </c>
      <c r="CL731" s="43">
        <v>0.6</v>
      </c>
      <c r="CM731" s="4">
        <v>0.5</v>
      </c>
      <c r="CN731" s="48">
        <v>0.5</v>
      </c>
      <c r="CO731" s="54">
        <v>0.4</v>
      </c>
      <c r="CP731" s="54">
        <v>0.73</v>
      </c>
      <c r="CQ731" s="4">
        <v>0.7</v>
      </c>
    </row>
    <row r="732" spans="1:95" s="55" customFormat="1" x14ac:dyDescent="0.35">
      <c r="A732" s="55">
        <v>731</v>
      </c>
      <c r="B732" s="55" t="s">
        <v>105</v>
      </c>
      <c r="C732" s="27" t="s">
        <v>480</v>
      </c>
      <c r="D732" s="50" t="s">
        <v>106</v>
      </c>
      <c r="E732" s="33" t="s">
        <v>90</v>
      </c>
      <c r="F732" s="4">
        <f>IFERROR(AVERAGEIF(Table1[[#This Row],[2019-Apr]:[2025-July]],"&lt;&gt;0"),0)</f>
        <v>0.87243835616438337</v>
      </c>
      <c r="G732" s="4">
        <f ca="1">IFERROR(AVERAGEIF(OFFSET(Table1[[#This Row],[Status]],0,COUNT(Table1[[#This Row],[2019-May]:[2025-July]]),1,-12),"&lt;&gt;0"),0)</f>
        <v>0.47083333333333338</v>
      </c>
      <c r="H732" s="55">
        <f>IFERROR(SMALL(Table1[[#This Row],[2019-Apr]:[2025-July]],COUNTIF(Table1[[#This Row],[2019-Apr]:[2025-July]],0)+1),0)</f>
        <v>0.13</v>
      </c>
      <c r="I732" s="55">
        <f>IFERROR(MAX(Table1[[#This Row],[2019-Apr]:[2025-July]]),0)</f>
        <v>1.87</v>
      </c>
      <c r="J732" s="4" cm="1">
        <f t="array" ref="J73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0.26166666666666666</v>
      </c>
      <c r="K732" s="4">
        <v>4.5</v>
      </c>
      <c r="L732" s="4">
        <f>IF(Table1[[#This Row],[Standard as per ISO]]&gt;=Table1[[#This Row],[Avg of best 6]],Table1[[#This Row],[Standard as per ISO]],Table1[[#This Row],[Avg of best 6]])</f>
        <v>4.5</v>
      </c>
      <c r="M732" s="4" cm="1">
        <f t="array" ref="M732">IFERROR(LOOKUP(2,1/(Table1[[#This Row],[2019-May]:[2025-July]]&lt;&gt;0),Table1[[#This Row],[2019-May]:[2025-July]]),0)</f>
        <v>0.8</v>
      </c>
      <c r="N732" s="4">
        <f>COUNTIF(Table1[[#This Row],[2019-Apr]:[2025-July]],"&gt;="&amp;Table1[[#This Row],[Target]])</f>
        <v>0</v>
      </c>
      <c r="O732" s="4">
        <f>IF(Table1[[#This Row],[Outliers 2Y]]=0,1,0)</f>
        <v>1</v>
      </c>
      <c r="P732" s="4">
        <f>IF(Table1[[#This Row],[Last value]]&gt;1.5*Table1[[#This Row],[Target]],1,0)</f>
        <v>0</v>
      </c>
      <c r="Q732" s="4">
        <f>IF(AND(1.5*Table1[[#This Row],[Target]]&gt;=Table1[[#This Row],[Last value]],Table1[[#This Row],[Last value]]&gt;Table1[[#This Row],[Target]]),1,0)</f>
        <v>0</v>
      </c>
      <c r="R732" s="4">
        <f>IF(Table1[[#This Row],[Target]]&gt;=Table1[[#This Row],[Last value]],1,0)</f>
        <v>1</v>
      </c>
      <c r="S732" s="4" t="str">
        <f t="shared" si="20"/>
        <v>Green</v>
      </c>
      <c r="T732" s="55">
        <v>0</v>
      </c>
      <c r="U732" s="55">
        <v>0</v>
      </c>
      <c r="V732" s="55">
        <v>0.13</v>
      </c>
      <c r="W732" s="55">
        <v>1.1200000000000001</v>
      </c>
      <c r="X732" s="55">
        <v>1.1399999999999999</v>
      </c>
      <c r="Y732" s="55">
        <v>0.7</v>
      </c>
      <c r="Z732" s="55">
        <v>0.45</v>
      </c>
      <c r="AA732" s="55">
        <v>1.2</v>
      </c>
      <c r="AB732" s="55">
        <v>0.88</v>
      </c>
      <c r="AC732" s="55">
        <v>0.27</v>
      </c>
      <c r="AD732" s="55">
        <v>1.23</v>
      </c>
      <c r="AE732" s="55">
        <v>0.8</v>
      </c>
      <c r="AF732" s="55">
        <v>0.82</v>
      </c>
      <c r="AG732" s="55">
        <v>0.84</v>
      </c>
      <c r="AH732" s="55">
        <v>0.7</v>
      </c>
      <c r="AI732" s="55">
        <v>1.55</v>
      </c>
      <c r="AJ732" s="55">
        <v>0.83</v>
      </c>
      <c r="AK732" s="55">
        <v>0.83</v>
      </c>
      <c r="AL732" s="55">
        <v>1.31</v>
      </c>
      <c r="AM732" s="55">
        <v>1.65</v>
      </c>
      <c r="AN732" s="55">
        <v>1.87</v>
      </c>
      <c r="AO732" s="55">
        <v>0.81</v>
      </c>
      <c r="AP732" s="55">
        <v>0.27</v>
      </c>
      <c r="AQ732" s="55">
        <v>1.19</v>
      </c>
      <c r="AR732" s="8">
        <v>1.31</v>
      </c>
      <c r="AS732" s="8">
        <v>1.27</v>
      </c>
      <c r="AT732" s="8">
        <v>0.81</v>
      </c>
      <c r="AU732" s="50">
        <v>0.87</v>
      </c>
      <c r="AV732" s="50">
        <v>0.52</v>
      </c>
      <c r="AW732" s="50">
        <v>0.95</v>
      </c>
      <c r="AX732" s="50">
        <v>0.9</v>
      </c>
      <c r="AY732" s="50">
        <v>1.1499999999999999</v>
      </c>
      <c r="AZ732" s="50">
        <v>0.48</v>
      </c>
      <c r="BA732" s="50">
        <v>1.8</v>
      </c>
      <c r="BB732" s="50">
        <v>1</v>
      </c>
      <c r="BC732" s="55">
        <v>0.4</v>
      </c>
      <c r="BD732" s="55">
        <v>0</v>
      </c>
      <c r="BE732" s="11">
        <v>1.758</v>
      </c>
      <c r="BF732" s="4">
        <v>1.2589999999999999</v>
      </c>
      <c r="BG732" s="4">
        <v>1.2589999999999999</v>
      </c>
      <c r="BH732" s="4">
        <v>0.94</v>
      </c>
      <c r="BI732" s="4">
        <v>0.94199999999999995</v>
      </c>
      <c r="BJ732" s="13">
        <v>0.97399999999999998</v>
      </c>
      <c r="BK732" s="13">
        <v>1.252</v>
      </c>
      <c r="BL732" s="4">
        <v>1.31</v>
      </c>
      <c r="BM732" s="16">
        <v>0.65700000000000003</v>
      </c>
      <c r="BN732" s="4">
        <v>1.0900000000000001</v>
      </c>
      <c r="BO732" s="4">
        <v>1.222</v>
      </c>
      <c r="BP732" s="4">
        <v>1.097</v>
      </c>
      <c r="BQ732" s="4">
        <v>1.357</v>
      </c>
      <c r="BR732" s="4">
        <v>1.238</v>
      </c>
      <c r="BS732" s="4">
        <v>0.628</v>
      </c>
      <c r="BT732" s="4">
        <v>0.38100000000000001</v>
      </c>
      <c r="BU732" s="4">
        <v>0.54100000000000004</v>
      </c>
      <c r="BV732" s="4">
        <v>0.41499999999999998</v>
      </c>
      <c r="BW732" s="4">
        <v>0.32300000000000001</v>
      </c>
      <c r="BX732" s="4">
        <v>0.875</v>
      </c>
      <c r="BY732" s="4">
        <v>0.64</v>
      </c>
      <c r="BZ732" s="55">
        <v>0.33</v>
      </c>
      <c r="CA732" s="55">
        <v>0.83</v>
      </c>
      <c r="CB732" s="55">
        <v>1.17</v>
      </c>
      <c r="CC732" s="55">
        <v>1.2</v>
      </c>
      <c r="CD732" s="55">
        <v>1.5</v>
      </c>
      <c r="CE732" s="19">
        <v>0.3</v>
      </c>
      <c r="CF732" s="19">
        <v>0.4</v>
      </c>
      <c r="CG732" s="4">
        <v>0.54</v>
      </c>
      <c r="CH732" s="4">
        <v>0.67</v>
      </c>
      <c r="CI732" s="4">
        <v>0.3</v>
      </c>
      <c r="CJ732" s="34">
        <v>0.6</v>
      </c>
      <c r="CK732" s="34">
        <v>0.3</v>
      </c>
      <c r="CL732" s="43">
        <v>0.6</v>
      </c>
      <c r="CM732" s="4">
        <v>0.3</v>
      </c>
      <c r="CN732" s="48">
        <v>0.4</v>
      </c>
      <c r="CO732" s="54">
        <v>0.4</v>
      </c>
      <c r="CP732" s="54">
        <v>0.84</v>
      </c>
      <c r="CQ732" s="4">
        <v>0.8</v>
      </c>
    </row>
    <row r="733" spans="1:95" s="55" customFormat="1" x14ac:dyDescent="0.35">
      <c r="A733" s="55">
        <v>732</v>
      </c>
      <c r="B733" s="55" t="s">
        <v>105</v>
      </c>
      <c r="C733" s="27" t="s">
        <v>481</v>
      </c>
      <c r="D733" s="50" t="s">
        <v>106</v>
      </c>
      <c r="E733" s="33" t="s">
        <v>89</v>
      </c>
      <c r="F733" s="4">
        <f>IFERROR(AVERAGEIF(Table1[[#This Row],[2019-Apr]:[2025-July]],"&lt;&gt;0"),0)</f>
        <v>0.88132876712328734</v>
      </c>
      <c r="G733" s="4">
        <f ca="1">IFERROR(AVERAGEIF(OFFSET(Table1[[#This Row],[Status]],0,COUNT(Table1[[#This Row],[2019-May]:[2025-July]]),1,-12),"&lt;&gt;0"),0)</f>
        <v>0.66500000000000015</v>
      </c>
      <c r="H733" s="55">
        <f>IFERROR(SMALL(Table1[[#This Row],[2019-Apr]:[2025-July]],COUNTIF(Table1[[#This Row],[2019-Apr]:[2025-July]],0)+1),0)</f>
        <v>0.26</v>
      </c>
      <c r="I733" s="55">
        <f>IFERROR(MAX(Table1[[#This Row],[2019-Apr]:[2025-July]]),0)</f>
        <v>2.5649999999999999</v>
      </c>
      <c r="J733" s="4" cm="1">
        <f t="array" ref="J73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0.32833333333333337</v>
      </c>
      <c r="K733" s="4">
        <v>4.5</v>
      </c>
      <c r="L733" s="4">
        <f>IF(Table1[[#This Row],[Standard as per ISO]]&gt;=Table1[[#This Row],[Avg of best 6]],Table1[[#This Row],[Standard as per ISO]],Table1[[#This Row],[Avg of best 6]])</f>
        <v>4.5</v>
      </c>
      <c r="M733" s="4" cm="1">
        <f t="array" ref="M733">IFERROR(LOOKUP(2,1/(Table1[[#This Row],[2019-May]:[2025-July]]&lt;&gt;0),Table1[[#This Row],[2019-May]:[2025-July]]),0)</f>
        <v>0.6</v>
      </c>
      <c r="N733" s="4">
        <f>COUNTIF(Table1[[#This Row],[2019-Apr]:[2025-July]],"&gt;="&amp;Table1[[#This Row],[Target]])</f>
        <v>0</v>
      </c>
      <c r="O733" s="4">
        <f>IF(Table1[[#This Row],[Outliers 2Y]]=0,1,0)</f>
        <v>1</v>
      </c>
      <c r="P733" s="4">
        <f>IF(Table1[[#This Row],[Last value]]&gt;1.5*Table1[[#This Row],[Target]],1,0)</f>
        <v>0</v>
      </c>
      <c r="Q733" s="4">
        <f>IF(AND(1.5*Table1[[#This Row],[Target]]&gt;=Table1[[#This Row],[Last value]],Table1[[#This Row],[Last value]]&gt;Table1[[#This Row],[Target]]),1,0)</f>
        <v>0</v>
      </c>
      <c r="R733" s="4">
        <f>IF(Table1[[#This Row],[Target]]&gt;=Table1[[#This Row],[Last value]],1,0)</f>
        <v>1</v>
      </c>
      <c r="S733" s="4" t="str">
        <f t="shared" si="20"/>
        <v>Green</v>
      </c>
      <c r="T733" s="55">
        <v>0</v>
      </c>
      <c r="U733" s="55">
        <v>0</v>
      </c>
      <c r="V733" s="55">
        <v>0.42</v>
      </c>
      <c r="W733" s="55">
        <v>0.55000000000000004</v>
      </c>
      <c r="X733" s="55">
        <v>1.1100000000000001</v>
      </c>
      <c r="Y733" s="55">
        <v>1</v>
      </c>
      <c r="Z733" s="55">
        <v>0.5</v>
      </c>
      <c r="AA733" s="55">
        <v>0.8</v>
      </c>
      <c r="AB733" s="55">
        <v>1.2</v>
      </c>
      <c r="AC733" s="55">
        <v>0.89</v>
      </c>
      <c r="AD733" s="55">
        <v>1.1100000000000001</v>
      </c>
      <c r="AE733" s="55">
        <v>0.8</v>
      </c>
      <c r="AF733" s="55">
        <v>0.53</v>
      </c>
      <c r="AG733" s="55">
        <v>0.84</v>
      </c>
      <c r="AH733" s="55">
        <v>1.4</v>
      </c>
      <c r="AI733" s="55">
        <v>0.65500000000000003</v>
      </c>
      <c r="AJ733" s="55">
        <v>0.96</v>
      </c>
      <c r="AK733" s="55">
        <v>0.66</v>
      </c>
      <c r="AL733" s="55">
        <v>1.21</v>
      </c>
      <c r="AM733" s="55">
        <v>1.1299999999999999</v>
      </c>
      <c r="AN733" s="55">
        <v>0.26</v>
      </c>
      <c r="AO733" s="55">
        <v>0.9</v>
      </c>
      <c r="AP733" s="55">
        <v>0.42</v>
      </c>
      <c r="AQ733" s="55">
        <v>0.92</v>
      </c>
      <c r="AR733" s="8">
        <v>1.17</v>
      </c>
      <c r="AS733" s="8">
        <v>1.57</v>
      </c>
      <c r="AT733" s="8">
        <v>1.31</v>
      </c>
      <c r="AU733" s="50">
        <v>1.33</v>
      </c>
      <c r="AV733" s="50">
        <v>0.41</v>
      </c>
      <c r="AW733" s="50">
        <v>0.69</v>
      </c>
      <c r="AX733" s="50">
        <v>1.01</v>
      </c>
      <c r="AY733" s="50">
        <v>0.78</v>
      </c>
      <c r="AZ733" s="50">
        <v>0.57999999999999996</v>
      </c>
      <c r="BA733" s="50">
        <v>1.4</v>
      </c>
      <c r="BB733" s="50">
        <v>1.7</v>
      </c>
      <c r="BC733" s="55">
        <v>1.2</v>
      </c>
      <c r="BD733" s="55">
        <v>0</v>
      </c>
      <c r="BE733" s="11">
        <v>2.5649999999999999</v>
      </c>
      <c r="BF733" s="4">
        <v>1.083</v>
      </c>
      <c r="BG733" s="4">
        <v>1.083</v>
      </c>
      <c r="BH733" s="4">
        <v>0.68</v>
      </c>
      <c r="BI733" s="4">
        <v>0.68</v>
      </c>
      <c r="BJ733" s="14">
        <v>0.90700000000000003</v>
      </c>
      <c r="BK733" s="14">
        <v>1.0620000000000001</v>
      </c>
      <c r="BL733" s="4">
        <v>0.98799999999999999</v>
      </c>
      <c r="BM733" s="17">
        <v>0.35399999999999998</v>
      </c>
      <c r="BN733" s="4">
        <v>1.0880000000000001</v>
      </c>
      <c r="BO733" s="4">
        <v>1.256</v>
      </c>
      <c r="BP733" s="4">
        <v>0.91200000000000003</v>
      </c>
      <c r="BQ733" s="4">
        <v>1.0429999999999999</v>
      </c>
      <c r="BR733" s="4">
        <v>1.135</v>
      </c>
      <c r="BS733" s="4">
        <v>0.94499999999999995</v>
      </c>
      <c r="BT733" s="4">
        <v>0.40200000000000002</v>
      </c>
      <c r="BU733" s="4">
        <v>0.34599999999999997</v>
      </c>
      <c r="BV733" s="4">
        <v>0.31</v>
      </c>
      <c r="BW733" s="4">
        <v>0.42699999999999999</v>
      </c>
      <c r="BX733" s="4">
        <v>1.3360000000000001</v>
      </c>
      <c r="BY733" s="4">
        <v>0.96</v>
      </c>
      <c r="BZ733" s="55">
        <v>0.56999999999999995</v>
      </c>
      <c r="CA733" s="55">
        <v>0.87</v>
      </c>
      <c r="CB733" s="55">
        <v>1.1599999999999999</v>
      </c>
      <c r="CC733" s="55">
        <v>1.1599999999999999</v>
      </c>
      <c r="CD733" s="55">
        <v>1.02</v>
      </c>
      <c r="CE733" s="19">
        <v>0.5</v>
      </c>
      <c r="CF733" s="19">
        <v>0.3</v>
      </c>
      <c r="CG733" s="4">
        <v>0.88</v>
      </c>
      <c r="CH733" s="4">
        <v>0.8</v>
      </c>
      <c r="CI733" s="4">
        <v>0.55000000000000004</v>
      </c>
      <c r="CJ733" s="34">
        <v>1</v>
      </c>
      <c r="CK733" s="34">
        <v>0.4</v>
      </c>
      <c r="CL733" s="43">
        <v>0.9</v>
      </c>
      <c r="CM733" s="4">
        <v>0.4</v>
      </c>
      <c r="CN733" s="48">
        <v>0.9</v>
      </c>
      <c r="CO733" s="54">
        <v>0.6</v>
      </c>
      <c r="CP733" s="54">
        <v>0.75</v>
      </c>
      <c r="CQ733" s="4">
        <v>0.6</v>
      </c>
    </row>
    <row r="734" spans="1:95" s="55" customFormat="1" x14ac:dyDescent="0.35">
      <c r="A734" s="55">
        <v>733</v>
      </c>
      <c r="B734" s="55" t="s">
        <v>105</v>
      </c>
      <c r="C734" s="27" t="s">
        <v>482</v>
      </c>
      <c r="D734" s="50" t="s">
        <v>106</v>
      </c>
      <c r="E734" s="33" t="s">
        <v>90</v>
      </c>
      <c r="F734" s="4">
        <f>IFERROR(AVERAGEIF(Table1[[#This Row],[2019-Apr]:[2025-July]],"&lt;&gt;0"),0)</f>
        <v>1.0503194444444446</v>
      </c>
      <c r="G734" s="4">
        <f ca="1">IFERROR(AVERAGEIF(OFFSET(Table1[[#This Row],[Status]],0,COUNT(Table1[[#This Row],[2019-May]:[2025-July]]),1,-12),"&lt;&gt;0"),0)</f>
        <v>0.73000000000000009</v>
      </c>
      <c r="H734" s="55">
        <f>IFERROR(SMALL(Table1[[#This Row],[2019-Apr]:[2025-July]],COUNTIF(Table1[[#This Row],[2019-Apr]:[2025-July]],0)+1),0)</f>
        <v>0.2</v>
      </c>
      <c r="I734" s="55">
        <f>IFERROR(MAX(Table1[[#This Row],[2019-Apr]:[2025-July]]),0)</f>
        <v>3.7</v>
      </c>
      <c r="J734" s="4" cm="1">
        <f t="array" ref="J73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0.26800000000000002</v>
      </c>
      <c r="K734" s="4">
        <v>4.5</v>
      </c>
      <c r="L734" s="4">
        <f>IF(Table1[[#This Row],[Standard as per ISO]]&gt;=Table1[[#This Row],[Avg of best 6]],Table1[[#This Row],[Standard as per ISO]],Table1[[#This Row],[Avg of best 6]])</f>
        <v>4.5</v>
      </c>
      <c r="M734" s="4" cm="1">
        <f t="array" ref="M734">IFERROR(LOOKUP(2,1/(Table1[[#This Row],[2019-May]:[2025-July]]&lt;&gt;0),Table1[[#This Row],[2019-May]:[2025-July]]),0)</f>
        <v>0.7</v>
      </c>
      <c r="N734" s="4">
        <f>COUNTIF(Table1[[#This Row],[2019-Apr]:[2025-July]],"&gt;="&amp;Table1[[#This Row],[Target]])</f>
        <v>0</v>
      </c>
      <c r="O734" s="4">
        <f>IF(Table1[[#This Row],[Outliers 2Y]]=0,1,0)</f>
        <v>1</v>
      </c>
      <c r="P734" s="4">
        <f>IF(Table1[[#This Row],[Last value]]&gt;1.5*Table1[[#This Row],[Target]],1,0)</f>
        <v>0</v>
      </c>
      <c r="Q734" s="4">
        <f>IF(AND(1.5*Table1[[#This Row],[Target]]&gt;=Table1[[#This Row],[Last value]],Table1[[#This Row],[Last value]]&gt;Table1[[#This Row],[Target]]),1,0)</f>
        <v>0</v>
      </c>
      <c r="R734" s="4">
        <f>IF(Table1[[#This Row],[Target]]&gt;=Table1[[#This Row],[Last value]],1,0)</f>
        <v>1</v>
      </c>
      <c r="S734" s="4" t="str">
        <f t="shared" si="20"/>
        <v>Green</v>
      </c>
      <c r="T734" s="55">
        <v>0</v>
      </c>
      <c r="U734" s="55">
        <v>0</v>
      </c>
      <c r="V734" s="55">
        <v>0</v>
      </c>
      <c r="W734" s="55">
        <v>1.22</v>
      </c>
      <c r="X734" s="55">
        <v>1.1399999999999999</v>
      </c>
      <c r="Y734" s="55">
        <v>1.4</v>
      </c>
      <c r="Z734" s="55">
        <v>0.39</v>
      </c>
      <c r="AA734" s="55">
        <v>0.64</v>
      </c>
      <c r="AB734" s="55">
        <v>2.9</v>
      </c>
      <c r="AC734" s="55">
        <v>0.23</v>
      </c>
      <c r="AD734" s="55">
        <v>1</v>
      </c>
      <c r="AE734" s="55">
        <v>1.4</v>
      </c>
      <c r="AF734" s="55">
        <v>1.4</v>
      </c>
      <c r="AG734" s="55">
        <v>1.23</v>
      </c>
      <c r="AH734" s="55">
        <v>3.7</v>
      </c>
      <c r="AI734" s="55">
        <v>1.91</v>
      </c>
      <c r="AJ734" s="55">
        <v>1.06</v>
      </c>
      <c r="AK734" s="55">
        <v>1.83</v>
      </c>
      <c r="AL734" s="55">
        <v>2.21</v>
      </c>
      <c r="AM734" s="55">
        <v>0.69</v>
      </c>
      <c r="AN734" s="55">
        <v>0.7</v>
      </c>
      <c r="AO734" s="55">
        <v>0.8</v>
      </c>
      <c r="AP734" s="55">
        <v>0.49</v>
      </c>
      <c r="AQ734" s="55">
        <v>1.01</v>
      </c>
      <c r="AR734" s="8">
        <v>1.08</v>
      </c>
      <c r="AS734" s="8">
        <v>0.57999999999999996</v>
      </c>
      <c r="AT734" s="8">
        <v>1.17</v>
      </c>
      <c r="AU734" s="50">
        <v>0.65</v>
      </c>
      <c r="AV734" s="50">
        <v>0.43</v>
      </c>
      <c r="AW734" s="50">
        <v>1.89</v>
      </c>
      <c r="AX734" s="50">
        <v>1.17</v>
      </c>
      <c r="AY734" s="50">
        <v>1.24</v>
      </c>
      <c r="AZ734" s="50">
        <v>0.3</v>
      </c>
      <c r="BA734" s="50">
        <v>1.9</v>
      </c>
      <c r="BB734" s="50">
        <v>2.1</v>
      </c>
      <c r="BC734" s="55">
        <v>0.6</v>
      </c>
      <c r="BD734" s="55">
        <v>0</v>
      </c>
      <c r="BE734" s="11">
        <v>2.278</v>
      </c>
      <c r="BF734" s="4">
        <v>0.68899999999999995</v>
      </c>
      <c r="BG734" s="4">
        <v>0.68899999999999995</v>
      </c>
      <c r="BH734" s="4">
        <v>0.78</v>
      </c>
      <c r="BI734" s="4">
        <v>1.466</v>
      </c>
      <c r="BJ734" s="13">
        <v>1.9470000000000001</v>
      </c>
      <c r="BK734" s="13">
        <v>0.72899999999999998</v>
      </c>
      <c r="BL734" s="4">
        <v>1.5269999999999999</v>
      </c>
      <c r="BM734" s="16">
        <v>0.64600000000000002</v>
      </c>
      <c r="BN734" s="4">
        <v>1.1240000000000001</v>
      </c>
      <c r="BO734" s="4">
        <v>1.611</v>
      </c>
      <c r="BP734" s="4">
        <v>0.93700000000000006</v>
      </c>
      <c r="BQ734" s="4">
        <v>1.198</v>
      </c>
      <c r="BR734" s="4">
        <v>0.84899999999999998</v>
      </c>
      <c r="BS734" s="4">
        <v>0.45200000000000001</v>
      </c>
      <c r="BT734" s="4">
        <v>0.60599999999999998</v>
      </c>
      <c r="BU734" s="4">
        <v>0.28899999999999998</v>
      </c>
      <c r="BV734" s="4">
        <v>0.28899999999999998</v>
      </c>
      <c r="BW734" s="4">
        <v>0.69599999999999995</v>
      </c>
      <c r="BX734" s="4">
        <v>0.93100000000000005</v>
      </c>
      <c r="BY734" s="4">
        <v>0.39</v>
      </c>
      <c r="BZ734" s="55">
        <v>0.46</v>
      </c>
      <c r="CA734" s="55">
        <v>1.28</v>
      </c>
      <c r="CB734" s="55">
        <v>1.31</v>
      </c>
      <c r="CC734" s="55">
        <v>1.05</v>
      </c>
      <c r="CD734" s="55">
        <v>1.48</v>
      </c>
      <c r="CE734" s="19">
        <v>0.2</v>
      </c>
      <c r="CF734" s="19">
        <v>0.6</v>
      </c>
      <c r="CG734" s="4">
        <v>0.55000000000000004</v>
      </c>
      <c r="CH734" s="4">
        <v>0.99</v>
      </c>
      <c r="CI734" s="4">
        <v>0.7</v>
      </c>
      <c r="CJ734" s="34">
        <v>0.7</v>
      </c>
      <c r="CK734" s="34">
        <v>0.7</v>
      </c>
      <c r="CL734" s="43">
        <v>1.6</v>
      </c>
      <c r="CM734" s="4">
        <v>0.3</v>
      </c>
      <c r="CN734" s="48">
        <v>0.7</v>
      </c>
      <c r="CO734" s="54">
        <v>1</v>
      </c>
      <c r="CP734" s="54">
        <v>0.72</v>
      </c>
      <c r="CQ734" s="4">
        <v>0.7</v>
      </c>
    </row>
    <row r="735" spans="1:95" s="55" customFormat="1" x14ac:dyDescent="0.35">
      <c r="A735" s="55">
        <v>734</v>
      </c>
      <c r="B735" s="55" t="s">
        <v>105</v>
      </c>
      <c r="C735" s="27" t="s">
        <v>483</v>
      </c>
      <c r="D735" s="50" t="s">
        <v>106</v>
      </c>
      <c r="E735" s="33" t="s">
        <v>90</v>
      </c>
      <c r="F735" s="4">
        <f>IFERROR(AVERAGEIF(Table1[[#This Row],[2019-Apr]:[2025-July]],"&lt;&gt;0"),0)</f>
        <v>0.54729090909090905</v>
      </c>
      <c r="G735" s="4">
        <f ca="1">IFERROR(AVERAGEIF(OFFSET(Table1[[#This Row],[Status]],0,COUNT(Table1[[#This Row],[2019-May]:[2025-July]]),1,-12),"&lt;&gt;0"),0)</f>
        <v>0.31083333333333335</v>
      </c>
      <c r="H735" s="55">
        <f>IFERROR(SMALL(Table1[[#This Row],[2019-Apr]:[2025-July]],COUNTIF(Table1[[#This Row],[2019-Apr]:[2025-July]],0)+1),0)</f>
        <v>0.2</v>
      </c>
      <c r="I735" s="55">
        <f>IFERROR(MAX(Table1[[#This Row],[2019-Apr]:[2025-July]]),0)</f>
        <v>1.49</v>
      </c>
      <c r="J735" s="4" cm="1">
        <f t="array" ref="J73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0.23283333333333334</v>
      </c>
      <c r="K735" s="4">
        <v>4.5</v>
      </c>
      <c r="L735" s="4">
        <f>IF(Table1[[#This Row],[Standard as per ISO]]&gt;=Table1[[#This Row],[Avg of best 6]],Table1[[#This Row],[Standard as per ISO]],Table1[[#This Row],[Avg of best 6]])</f>
        <v>4.5</v>
      </c>
      <c r="M735" s="4" cm="1">
        <f t="array" ref="M735">IFERROR(LOOKUP(2,1/(Table1[[#This Row],[2019-May]:[2025-July]]&lt;&gt;0),Table1[[#This Row],[2019-May]:[2025-July]]),0)</f>
        <v>0.6</v>
      </c>
      <c r="N735" s="4">
        <f>COUNTIF(Table1[[#This Row],[2019-Apr]:[2025-July]],"&gt;="&amp;Table1[[#This Row],[Target]])</f>
        <v>0</v>
      </c>
      <c r="O735" s="4">
        <f>IF(Table1[[#This Row],[Outliers 2Y]]=0,1,0)</f>
        <v>1</v>
      </c>
      <c r="P735" s="4">
        <f>IF(Table1[[#This Row],[Last value]]&gt;1.5*Table1[[#This Row],[Target]],1,0)</f>
        <v>0</v>
      </c>
      <c r="Q735" s="4">
        <f>IF(AND(1.5*Table1[[#This Row],[Target]]&gt;=Table1[[#This Row],[Last value]],Table1[[#This Row],[Last value]]&gt;Table1[[#This Row],[Target]]),1,0)</f>
        <v>0</v>
      </c>
      <c r="R735" s="4">
        <f>IF(Table1[[#This Row],[Target]]&gt;=Table1[[#This Row],[Last value]],1,0)</f>
        <v>1</v>
      </c>
      <c r="S735" s="4" t="str">
        <f t="shared" si="20"/>
        <v>Green</v>
      </c>
      <c r="T735" s="55">
        <v>0</v>
      </c>
      <c r="U735" s="55">
        <v>0</v>
      </c>
      <c r="V735" s="55">
        <v>0</v>
      </c>
      <c r="W735" s="55">
        <v>0</v>
      </c>
      <c r="X735" s="55">
        <v>0</v>
      </c>
      <c r="Y735" s="55">
        <v>0</v>
      </c>
      <c r="Z735" s="55">
        <v>0</v>
      </c>
      <c r="AA735" s="55">
        <v>0</v>
      </c>
      <c r="AB735" s="55">
        <v>0</v>
      </c>
      <c r="AC735" s="55">
        <v>0</v>
      </c>
      <c r="AD735" s="55">
        <v>0</v>
      </c>
      <c r="AE735" s="55">
        <v>0</v>
      </c>
      <c r="AF735" s="55">
        <v>0</v>
      </c>
      <c r="AG735" s="55">
        <v>0</v>
      </c>
      <c r="AH735" s="55">
        <v>0</v>
      </c>
      <c r="AI735" s="55">
        <v>0</v>
      </c>
      <c r="AJ735" s="55">
        <v>0</v>
      </c>
      <c r="AK735" s="55">
        <v>0</v>
      </c>
      <c r="AL735" s="55">
        <v>0.68</v>
      </c>
      <c r="AM735" s="55">
        <v>0.92</v>
      </c>
      <c r="AN735" s="55">
        <v>0</v>
      </c>
      <c r="AO735" s="55">
        <v>0.27</v>
      </c>
      <c r="AP735" s="55">
        <v>0.3</v>
      </c>
      <c r="AQ735" s="55">
        <v>0.51</v>
      </c>
      <c r="AR735" s="8">
        <v>0.4</v>
      </c>
      <c r="AS735" s="8">
        <v>0.52</v>
      </c>
      <c r="AT735" s="8">
        <v>0.48</v>
      </c>
      <c r="AU735" s="50">
        <v>0.39</v>
      </c>
      <c r="AV735" s="50">
        <v>0.49</v>
      </c>
      <c r="AW735" s="50">
        <v>0.72</v>
      </c>
      <c r="AX735" s="50">
        <v>0.32</v>
      </c>
      <c r="AY735" s="50">
        <v>0.28999999999999998</v>
      </c>
      <c r="AZ735" s="50">
        <v>1.49</v>
      </c>
      <c r="BA735" s="50">
        <v>1</v>
      </c>
      <c r="BB735" s="50">
        <v>0.7</v>
      </c>
      <c r="BC735" s="55">
        <v>0.4</v>
      </c>
      <c r="BD735" s="55">
        <v>0</v>
      </c>
      <c r="BE735" s="11">
        <v>0.53100000000000003</v>
      </c>
      <c r="BF735" s="4">
        <v>1.242</v>
      </c>
      <c r="BG735" s="4">
        <v>1.1080000000000001</v>
      </c>
      <c r="BH735" s="4">
        <v>1.1080000000000001</v>
      </c>
      <c r="BI735" s="4">
        <v>0.57299999999999995</v>
      </c>
      <c r="BJ735" s="13">
        <v>0.63200000000000001</v>
      </c>
      <c r="BK735" s="13">
        <v>0.51800000000000002</v>
      </c>
      <c r="BL735" s="4">
        <v>0.58199999999999996</v>
      </c>
      <c r="BM735" s="16">
        <v>0.57099999999999995</v>
      </c>
      <c r="BN735" s="4">
        <v>0.29399999999999998</v>
      </c>
      <c r="BO735" s="4">
        <v>0.60699999999999998</v>
      </c>
      <c r="BP735" s="4">
        <v>0.72099999999999997</v>
      </c>
      <c r="BQ735" s="4">
        <v>0.56000000000000005</v>
      </c>
      <c r="BR735" s="4">
        <v>0.92200000000000004</v>
      </c>
      <c r="BS735" s="4">
        <v>0.39700000000000002</v>
      </c>
      <c r="BT735" s="4">
        <v>0.94199999999999995</v>
      </c>
      <c r="BU735" s="4">
        <v>0</v>
      </c>
      <c r="BV735" s="4">
        <v>0.59899999999999998</v>
      </c>
      <c r="BW735" s="4">
        <v>0.28699999999999998</v>
      </c>
      <c r="BX735" s="4">
        <v>0.67700000000000005</v>
      </c>
      <c r="BY735" s="4">
        <v>0.55000000000000004</v>
      </c>
      <c r="BZ735" s="55">
        <v>0.35</v>
      </c>
      <c r="CA735" s="55">
        <v>0.36</v>
      </c>
      <c r="CB735" s="55">
        <v>0.57999999999999996</v>
      </c>
      <c r="CC735" s="55">
        <v>0.8</v>
      </c>
      <c r="CD735" s="55">
        <v>0.38</v>
      </c>
      <c r="CE735" s="19">
        <v>0.2</v>
      </c>
      <c r="CF735" s="19">
        <v>0.2</v>
      </c>
      <c r="CG735" s="4">
        <v>0.38</v>
      </c>
      <c r="CH735" s="4">
        <v>0.31</v>
      </c>
      <c r="CI735" s="4">
        <v>0.24</v>
      </c>
      <c r="CJ735" s="34">
        <v>0.3</v>
      </c>
      <c r="CK735" s="34">
        <v>0.4</v>
      </c>
      <c r="CL735" s="43">
        <v>0.3</v>
      </c>
      <c r="CM735" s="4">
        <v>0.3</v>
      </c>
      <c r="CN735" s="48">
        <v>0.4</v>
      </c>
      <c r="CO735" s="54">
        <v>0.5</v>
      </c>
      <c r="CP735" s="54">
        <v>0.2</v>
      </c>
      <c r="CQ735" s="4">
        <v>0.6</v>
      </c>
    </row>
    <row r="736" spans="1:95" s="55" customFormat="1" x14ac:dyDescent="0.35">
      <c r="A736" s="55">
        <v>735</v>
      </c>
      <c r="B736" s="55" t="s">
        <v>105</v>
      </c>
      <c r="C736" s="27" t="s">
        <v>484</v>
      </c>
      <c r="D736" s="50" t="s">
        <v>106</v>
      </c>
      <c r="E736" s="33" t="s">
        <v>90</v>
      </c>
      <c r="F736" s="4">
        <f>IFERROR(AVERAGEIF(Table1[[#This Row],[2019-Apr]:[2025-July]],"&lt;&gt;0"),0)</f>
        <v>0.55701785714285734</v>
      </c>
      <c r="G736" s="4">
        <f ca="1">IFERROR(AVERAGEIF(OFFSET(Table1[[#This Row],[Status]],0,COUNT(Table1[[#This Row],[2019-May]:[2025-July]]),1,-12),"&lt;&gt;0"),0)</f>
        <v>0.28083333333333332</v>
      </c>
      <c r="H736" s="55">
        <f>IFERROR(SMALL(Table1[[#This Row],[2019-Apr]:[2025-July]],COUNTIF(Table1[[#This Row],[2019-Apr]:[2025-July]],0)+1),0)</f>
        <v>0.1</v>
      </c>
      <c r="I736" s="55">
        <f>IFERROR(MAX(Table1[[#This Row],[2019-Apr]:[2025-July]]),0)</f>
        <v>2.0760000000000001</v>
      </c>
      <c r="J736" s="4" cm="1">
        <f t="array" ref="J73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0.16333333333333333</v>
      </c>
      <c r="K736" s="4">
        <v>4.5</v>
      </c>
      <c r="L736" s="4">
        <f>IF(Table1[[#This Row],[Standard as per ISO]]&gt;=Table1[[#This Row],[Avg of best 6]],Table1[[#This Row],[Standard as per ISO]],Table1[[#This Row],[Avg of best 6]])</f>
        <v>4.5</v>
      </c>
      <c r="M736" s="4" cm="1">
        <f t="array" ref="M736">IFERROR(LOOKUP(2,1/(Table1[[#This Row],[2019-May]:[2025-July]]&lt;&gt;0),Table1[[#This Row],[2019-May]:[2025-July]]),0)</f>
        <v>0.4</v>
      </c>
      <c r="N736" s="4">
        <f>COUNTIF(Table1[[#This Row],[2019-Apr]:[2025-July]],"&gt;="&amp;Table1[[#This Row],[Target]])</f>
        <v>0</v>
      </c>
      <c r="O736" s="4">
        <f>IF(Table1[[#This Row],[Outliers 2Y]]=0,1,0)</f>
        <v>1</v>
      </c>
      <c r="P736" s="4">
        <f>IF(Table1[[#This Row],[Last value]]&gt;1.5*Table1[[#This Row],[Target]],1,0)</f>
        <v>0</v>
      </c>
      <c r="Q736" s="4">
        <f>IF(AND(1.5*Table1[[#This Row],[Target]]&gt;=Table1[[#This Row],[Last value]],Table1[[#This Row],[Last value]]&gt;Table1[[#This Row],[Target]]),1,0)</f>
        <v>0</v>
      </c>
      <c r="R736" s="4">
        <f>IF(Table1[[#This Row],[Target]]&gt;=Table1[[#This Row],[Last value]],1,0)</f>
        <v>1</v>
      </c>
      <c r="S736" s="4" t="str">
        <f t="shared" si="20"/>
        <v>Green</v>
      </c>
      <c r="T736" s="55">
        <v>0</v>
      </c>
      <c r="U736" s="55">
        <v>0</v>
      </c>
      <c r="V736" s="55">
        <v>0</v>
      </c>
      <c r="W736" s="55">
        <v>0</v>
      </c>
      <c r="X736" s="55">
        <v>0</v>
      </c>
      <c r="Y736" s="55">
        <v>0</v>
      </c>
      <c r="Z736" s="55">
        <v>0</v>
      </c>
      <c r="AA736" s="55">
        <v>0</v>
      </c>
      <c r="AB736" s="55">
        <v>0</v>
      </c>
      <c r="AC736" s="55">
        <v>0</v>
      </c>
      <c r="AD736" s="55">
        <v>0</v>
      </c>
      <c r="AE736" s="55">
        <v>0</v>
      </c>
      <c r="AF736" s="55">
        <v>0</v>
      </c>
      <c r="AG736" s="55">
        <v>0</v>
      </c>
      <c r="AH736" s="55">
        <v>0</v>
      </c>
      <c r="AI736" s="55">
        <v>0</v>
      </c>
      <c r="AJ736" s="55">
        <v>0</v>
      </c>
      <c r="AK736" s="55">
        <v>0</v>
      </c>
      <c r="AL736" s="55">
        <v>0.31</v>
      </c>
      <c r="AM736" s="55">
        <v>0.18</v>
      </c>
      <c r="AN736" s="55">
        <v>0</v>
      </c>
      <c r="AO736" s="55">
        <v>0.43</v>
      </c>
      <c r="AP736" s="55">
        <v>0.32</v>
      </c>
      <c r="AQ736" s="55">
        <v>0.14000000000000001</v>
      </c>
      <c r="AR736" s="8">
        <v>0.16</v>
      </c>
      <c r="AS736" s="8">
        <v>0.2</v>
      </c>
      <c r="AT736" s="8">
        <v>0.34</v>
      </c>
      <c r="AU736" s="50">
        <v>0.27</v>
      </c>
      <c r="AV736" s="50">
        <v>0.42</v>
      </c>
      <c r="AW736" s="50">
        <v>1.34</v>
      </c>
      <c r="AX736" s="50">
        <v>1.06</v>
      </c>
      <c r="AY736" s="50">
        <v>1.03</v>
      </c>
      <c r="AZ736" s="50">
        <v>0.4</v>
      </c>
      <c r="BA736" s="50">
        <v>0.4</v>
      </c>
      <c r="BB736" s="50">
        <v>0.4</v>
      </c>
      <c r="BC736" s="55">
        <v>1.5</v>
      </c>
      <c r="BD736" s="55">
        <v>0</v>
      </c>
      <c r="BE736" s="11">
        <v>1.0780000000000001</v>
      </c>
      <c r="BF736" s="4">
        <v>2.0760000000000001</v>
      </c>
      <c r="BG736" s="4">
        <v>0.29199999999999998</v>
      </c>
      <c r="BH736" s="4">
        <v>0.29199999999999998</v>
      </c>
      <c r="BI736" s="4">
        <v>1.17</v>
      </c>
      <c r="BJ736" s="14">
        <v>1.17</v>
      </c>
      <c r="BK736" s="14">
        <v>1.17</v>
      </c>
      <c r="BL736" s="4">
        <v>1.17</v>
      </c>
      <c r="BM736" s="17">
        <v>1.17</v>
      </c>
      <c r="BN736" s="4">
        <v>1.17</v>
      </c>
      <c r="BO736" s="4">
        <v>0.68700000000000006</v>
      </c>
      <c r="BP736" s="4">
        <v>0.33800000000000002</v>
      </c>
      <c r="BQ736" s="4">
        <v>0.27600000000000002</v>
      </c>
      <c r="BR736" s="4">
        <v>0.49199999999999999</v>
      </c>
      <c r="BS736" s="4">
        <v>0.497</v>
      </c>
      <c r="BT736" s="4">
        <v>0.65400000000000003</v>
      </c>
      <c r="BU736" s="4">
        <v>0.317</v>
      </c>
      <c r="BV736" s="4">
        <v>0.70899999999999996</v>
      </c>
      <c r="BW736" s="4">
        <v>0.26400000000000001</v>
      </c>
      <c r="BX736" s="4">
        <v>0.68100000000000005</v>
      </c>
      <c r="BY736" s="4">
        <v>0.2</v>
      </c>
      <c r="BZ736" s="55">
        <v>0.3</v>
      </c>
      <c r="CA736" s="55">
        <v>0.44</v>
      </c>
      <c r="CB736" s="55">
        <v>0.74</v>
      </c>
      <c r="CC736" s="55">
        <v>0.77</v>
      </c>
      <c r="CD736" s="55">
        <v>0.4</v>
      </c>
      <c r="CE736" s="19">
        <v>0.3</v>
      </c>
      <c r="CF736" s="19">
        <v>0.1</v>
      </c>
      <c r="CG736" s="4">
        <v>0.25</v>
      </c>
      <c r="CH736" s="4">
        <v>0.26</v>
      </c>
      <c r="CI736" s="4">
        <v>0.26</v>
      </c>
      <c r="CJ736" s="34">
        <v>0.5</v>
      </c>
      <c r="CK736" s="34">
        <v>0.4</v>
      </c>
      <c r="CL736" s="43">
        <v>0.2</v>
      </c>
      <c r="CM736" s="4">
        <v>0.2</v>
      </c>
      <c r="CN736" s="48">
        <v>0.3</v>
      </c>
      <c r="CO736" s="54">
        <v>0.4</v>
      </c>
      <c r="CP736" s="54">
        <v>0.2</v>
      </c>
      <c r="CQ736" s="4">
        <v>0.4</v>
      </c>
    </row>
    <row r="737" spans="1:95" s="55" customFormat="1" x14ac:dyDescent="0.35">
      <c r="A737" s="55">
        <v>736</v>
      </c>
      <c r="B737" s="55" t="s">
        <v>105</v>
      </c>
      <c r="C737" s="27" t="s">
        <v>485</v>
      </c>
      <c r="D737" s="50" t="s">
        <v>106</v>
      </c>
      <c r="E737" s="33" t="s">
        <v>90</v>
      </c>
      <c r="F737" s="4">
        <f>IFERROR(AVERAGEIF(Table1[[#This Row],[2019-Apr]:[2025-July]],"&lt;&gt;0"),0)</f>
        <v>0.64560714285714271</v>
      </c>
      <c r="G737" s="4">
        <f ca="1">IFERROR(AVERAGEIF(OFFSET(Table1[[#This Row],[Status]],0,COUNT(Table1[[#This Row],[2019-May]:[2025-July]]),1,-12),"&lt;&gt;0"),0)</f>
        <v>0.48749999999999999</v>
      </c>
      <c r="H737" s="55">
        <f>IFERROR(SMALL(Table1[[#This Row],[2019-Apr]:[2025-July]],COUNTIF(Table1[[#This Row],[2019-Apr]:[2025-July]],0)+1),0)</f>
        <v>0.22</v>
      </c>
      <c r="I737" s="55">
        <f>IFERROR(MAX(Table1[[#This Row],[2019-Apr]:[2025-July]]),0)</f>
        <v>3.63</v>
      </c>
      <c r="J737" s="4" cm="1">
        <f t="array" ref="J73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0.27750000000000002</v>
      </c>
      <c r="K737" s="4">
        <v>4.5</v>
      </c>
      <c r="L737" s="4">
        <f>IF(Table1[[#This Row],[Standard as per ISO]]&gt;=Table1[[#This Row],[Avg of best 6]],Table1[[#This Row],[Standard as per ISO]],Table1[[#This Row],[Avg of best 6]])</f>
        <v>4.5</v>
      </c>
      <c r="M737" s="4" cm="1">
        <f t="array" ref="M737">IFERROR(LOOKUP(2,1/(Table1[[#This Row],[2019-May]:[2025-July]]&lt;&gt;0),Table1[[#This Row],[2019-May]:[2025-July]]),0)</f>
        <v>0.9</v>
      </c>
      <c r="N737" s="4">
        <f>COUNTIF(Table1[[#This Row],[2019-Apr]:[2025-July]],"&gt;="&amp;Table1[[#This Row],[Target]])</f>
        <v>0</v>
      </c>
      <c r="O737" s="4">
        <f>IF(Table1[[#This Row],[Outliers 2Y]]=0,1,0)</f>
        <v>1</v>
      </c>
      <c r="P737" s="4">
        <f>IF(Table1[[#This Row],[Last value]]&gt;1.5*Table1[[#This Row],[Target]],1,0)</f>
        <v>0</v>
      </c>
      <c r="Q737" s="4">
        <f>IF(AND(1.5*Table1[[#This Row],[Target]]&gt;=Table1[[#This Row],[Last value]],Table1[[#This Row],[Last value]]&gt;Table1[[#This Row],[Target]]),1,0)</f>
        <v>0</v>
      </c>
      <c r="R737" s="4">
        <f>IF(Table1[[#This Row],[Target]]&gt;=Table1[[#This Row],[Last value]],1,0)</f>
        <v>1</v>
      </c>
      <c r="S737" s="4" t="str">
        <f t="shared" si="20"/>
        <v>Green</v>
      </c>
      <c r="T737" s="55">
        <v>0</v>
      </c>
      <c r="U737" s="55">
        <v>0</v>
      </c>
      <c r="V737" s="55">
        <v>0</v>
      </c>
      <c r="W737" s="55">
        <v>0</v>
      </c>
      <c r="X737" s="55">
        <v>0</v>
      </c>
      <c r="Y737" s="55">
        <v>0</v>
      </c>
      <c r="Z737" s="55">
        <v>0</v>
      </c>
      <c r="AA737" s="55">
        <v>0</v>
      </c>
      <c r="AB737" s="55">
        <v>0</v>
      </c>
      <c r="AC737" s="55">
        <v>0</v>
      </c>
      <c r="AD737" s="55">
        <v>0</v>
      </c>
      <c r="AE737" s="55">
        <v>0</v>
      </c>
      <c r="AF737" s="55">
        <v>0</v>
      </c>
      <c r="AG737" s="55">
        <v>0</v>
      </c>
      <c r="AH737" s="55">
        <v>0</v>
      </c>
      <c r="AI737" s="55">
        <v>0</v>
      </c>
      <c r="AJ737" s="55">
        <v>0</v>
      </c>
      <c r="AK737" s="55">
        <v>0</v>
      </c>
      <c r="AL737" s="55">
        <v>0.54</v>
      </c>
      <c r="AM737" s="55">
        <v>0.54</v>
      </c>
      <c r="AN737" s="55">
        <v>0</v>
      </c>
      <c r="AO737" s="55">
        <v>0.22</v>
      </c>
      <c r="AP737" s="55">
        <v>0.57999999999999996</v>
      </c>
      <c r="AQ737" s="55">
        <v>0.73</v>
      </c>
      <c r="AR737" s="8">
        <v>0.28000000000000003</v>
      </c>
      <c r="AS737" s="8">
        <v>0.5</v>
      </c>
      <c r="AT737" s="8">
        <v>3.63</v>
      </c>
      <c r="AU737" s="50">
        <v>1.19</v>
      </c>
      <c r="AV737" s="50">
        <v>0.8</v>
      </c>
      <c r="AW737" s="50">
        <v>0.31</v>
      </c>
      <c r="AX737" s="50">
        <v>0.69</v>
      </c>
      <c r="AY737" s="50">
        <v>0.85</v>
      </c>
      <c r="AZ737" s="50">
        <v>0.69</v>
      </c>
      <c r="BA737" s="50">
        <v>0.7</v>
      </c>
      <c r="BB737" s="50">
        <v>0.5</v>
      </c>
      <c r="BC737" s="55">
        <v>0.5</v>
      </c>
      <c r="BD737" s="55">
        <v>0</v>
      </c>
      <c r="BE737" s="11">
        <v>0.76900000000000002</v>
      </c>
      <c r="BF737" s="4">
        <v>0.878</v>
      </c>
      <c r="BG737" s="4">
        <v>0.66200000000000003</v>
      </c>
      <c r="BH737" s="4">
        <v>0.66200000000000003</v>
      </c>
      <c r="BI737" s="4">
        <v>0.73899999999999999</v>
      </c>
      <c r="BJ737" s="13">
        <v>0.63600000000000001</v>
      </c>
      <c r="BK737" s="13">
        <v>0.83</v>
      </c>
      <c r="BL737" s="4">
        <v>0.77800000000000002</v>
      </c>
      <c r="BM737" s="16">
        <v>0.63700000000000001</v>
      </c>
      <c r="BN737" s="4">
        <v>0.43</v>
      </c>
      <c r="BO737" s="4">
        <v>0.80200000000000005</v>
      </c>
      <c r="BP737" s="4">
        <v>0.39300000000000002</v>
      </c>
      <c r="BQ737" s="4">
        <v>0.26500000000000001</v>
      </c>
      <c r="BR737" s="4">
        <v>0.33300000000000002</v>
      </c>
      <c r="BS737" s="4">
        <v>0.58399999999999996</v>
      </c>
      <c r="BT737" s="4">
        <v>0.49199999999999999</v>
      </c>
      <c r="BU737" s="4">
        <v>0.52500000000000002</v>
      </c>
      <c r="BV737" s="4">
        <v>0.58099999999999996</v>
      </c>
      <c r="BW737" s="4">
        <v>0.44900000000000001</v>
      </c>
      <c r="BX737" s="4">
        <v>0.51900000000000002</v>
      </c>
      <c r="BY737" s="4">
        <v>0.69</v>
      </c>
      <c r="BZ737" s="55">
        <v>0.69</v>
      </c>
      <c r="CA737" s="55">
        <v>0.38</v>
      </c>
      <c r="CB737" s="55">
        <v>0.83</v>
      </c>
      <c r="CC737" s="55">
        <v>0.73</v>
      </c>
      <c r="CD737" s="55">
        <v>0.87</v>
      </c>
      <c r="CE737" s="19">
        <v>0.4</v>
      </c>
      <c r="CF737" s="19">
        <v>0.8</v>
      </c>
      <c r="CG737" s="4">
        <v>0.81</v>
      </c>
      <c r="CH737" s="4">
        <v>0.41</v>
      </c>
      <c r="CI737" s="4">
        <v>0.33</v>
      </c>
      <c r="CJ737" s="34">
        <v>0.3</v>
      </c>
      <c r="CK737" s="34">
        <v>0.6</v>
      </c>
      <c r="CL737" s="43">
        <v>0.3</v>
      </c>
      <c r="CM737" s="4">
        <v>0.3</v>
      </c>
      <c r="CN737" s="48">
        <v>0.3</v>
      </c>
      <c r="CO737" s="54">
        <v>0.7</v>
      </c>
      <c r="CP737" s="54">
        <v>0.6</v>
      </c>
      <c r="CQ737" s="4">
        <v>0.9</v>
      </c>
    </row>
    <row r="738" spans="1:95" s="55" customFormat="1" x14ac:dyDescent="0.35">
      <c r="A738" s="55">
        <v>737</v>
      </c>
      <c r="B738" s="55" t="s">
        <v>105</v>
      </c>
      <c r="C738" s="27" t="s">
        <v>486</v>
      </c>
      <c r="D738" s="50" t="s">
        <v>106</v>
      </c>
      <c r="E738" s="33" t="s">
        <v>90</v>
      </c>
      <c r="F738" s="4">
        <f>IFERROR(AVERAGEIF(Table1[[#This Row],[2019-Apr]:[2025-July]],"&lt;&gt;0"),0)</f>
        <v>0.67182142857142801</v>
      </c>
      <c r="G738" s="4">
        <f ca="1">IFERROR(AVERAGEIF(OFFSET(Table1[[#This Row],[Status]],0,COUNT(Table1[[#This Row],[2019-May]:[2025-July]]),1,-12),"&lt;&gt;0"),0)</f>
        <v>0.37833333333333335</v>
      </c>
      <c r="H738" s="55">
        <f>IFERROR(SMALL(Table1[[#This Row],[2019-Apr]:[2025-July]],COUNTIF(Table1[[#This Row],[2019-Apr]:[2025-July]],0)+1),0)</f>
        <v>0.19</v>
      </c>
      <c r="I738" s="55">
        <f>IFERROR(MAX(Table1[[#This Row],[2019-Apr]:[2025-July]]),0)</f>
        <v>3.28</v>
      </c>
      <c r="J738" s="4" cm="1">
        <f t="array" ref="J73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0.24100000000000002</v>
      </c>
      <c r="K738" s="4">
        <v>4.5</v>
      </c>
      <c r="L738" s="4">
        <f>IF(Table1[[#This Row],[Standard as per ISO]]&gt;=Table1[[#This Row],[Avg of best 6]],Table1[[#This Row],[Standard as per ISO]],Table1[[#This Row],[Avg of best 6]])</f>
        <v>4.5</v>
      </c>
      <c r="M738" s="4" cm="1">
        <f t="array" ref="M738">IFERROR(LOOKUP(2,1/(Table1[[#This Row],[2019-May]:[2025-July]]&lt;&gt;0),Table1[[#This Row],[2019-May]:[2025-July]]),0)</f>
        <v>0.5</v>
      </c>
      <c r="N738" s="4">
        <f>COUNTIF(Table1[[#This Row],[2019-Apr]:[2025-July]],"&gt;="&amp;Table1[[#This Row],[Target]])</f>
        <v>0</v>
      </c>
      <c r="O738" s="4">
        <f>IF(Table1[[#This Row],[Outliers 2Y]]=0,1,0)</f>
        <v>1</v>
      </c>
      <c r="P738" s="4">
        <f>IF(Table1[[#This Row],[Last value]]&gt;1.5*Table1[[#This Row],[Target]],1,0)</f>
        <v>0</v>
      </c>
      <c r="Q738" s="4">
        <f>IF(AND(1.5*Table1[[#This Row],[Target]]&gt;=Table1[[#This Row],[Last value]],Table1[[#This Row],[Last value]]&gt;Table1[[#This Row],[Target]]),1,0)</f>
        <v>0</v>
      </c>
      <c r="R738" s="4">
        <f>IF(Table1[[#This Row],[Target]]&gt;=Table1[[#This Row],[Last value]],1,0)</f>
        <v>1</v>
      </c>
      <c r="S738" s="4" t="str">
        <f t="shared" si="20"/>
        <v>Green</v>
      </c>
      <c r="T738" s="55">
        <v>0</v>
      </c>
      <c r="U738" s="55">
        <v>0</v>
      </c>
      <c r="V738" s="55">
        <v>0</v>
      </c>
      <c r="W738" s="55">
        <v>0</v>
      </c>
      <c r="X738" s="55">
        <v>0</v>
      </c>
      <c r="Y738" s="55">
        <v>0</v>
      </c>
      <c r="Z738" s="55">
        <v>0</v>
      </c>
      <c r="AA738" s="55">
        <v>0</v>
      </c>
      <c r="AB738" s="55">
        <v>0</v>
      </c>
      <c r="AC738" s="55">
        <v>0</v>
      </c>
      <c r="AD738" s="55">
        <v>0</v>
      </c>
      <c r="AE738" s="55">
        <v>0</v>
      </c>
      <c r="AF738" s="55">
        <v>0</v>
      </c>
      <c r="AG738" s="55">
        <v>0</v>
      </c>
      <c r="AH738" s="55">
        <v>0</v>
      </c>
      <c r="AI738" s="55">
        <v>0</v>
      </c>
      <c r="AJ738" s="55">
        <v>0</v>
      </c>
      <c r="AK738" s="55">
        <v>0</v>
      </c>
      <c r="AL738" s="55">
        <v>1.4</v>
      </c>
      <c r="AM738" s="55">
        <v>0.9</v>
      </c>
      <c r="AN738" s="55">
        <v>0</v>
      </c>
      <c r="AO738" s="55">
        <v>0.97</v>
      </c>
      <c r="AP738" s="55">
        <v>0.7</v>
      </c>
      <c r="AQ738" s="55">
        <v>0.47</v>
      </c>
      <c r="AR738" s="8">
        <v>0.47</v>
      </c>
      <c r="AS738" s="8">
        <v>0.93</v>
      </c>
      <c r="AT738" s="8">
        <v>0.46</v>
      </c>
      <c r="AU738" s="50">
        <v>3.28</v>
      </c>
      <c r="AV738" s="50">
        <v>3.28</v>
      </c>
      <c r="AW738" s="50">
        <v>1.78</v>
      </c>
      <c r="AX738" s="50">
        <v>0.21</v>
      </c>
      <c r="AY738" s="50">
        <v>0.71</v>
      </c>
      <c r="AZ738" s="50">
        <v>1.3</v>
      </c>
      <c r="BA738" s="50">
        <v>0.6</v>
      </c>
      <c r="BB738" s="50">
        <v>0.6</v>
      </c>
      <c r="BC738" s="55">
        <v>0.5</v>
      </c>
      <c r="BD738" s="55">
        <v>0</v>
      </c>
      <c r="BE738" s="11">
        <v>1.901</v>
      </c>
      <c r="BF738" s="4">
        <v>0.82899999999999996</v>
      </c>
      <c r="BG738" s="4">
        <v>0.44800000000000001</v>
      </c>
      <c r="BH738" s="4">
        <v>0.44800000000000001</v>
      </c>
      <c r="BI738" s="4">
        <v>0.27800000000000002</v>
      </c>
      <c r="BJ738" s="14">
        <v>0.27800000000000002</v>
      </c>
      <c r="BK738" s="14">
        <v>0.27800000000000002</v>
      </c>
      <c r="BL738" s="4">
        <v>0.27800000000000002</v>
      </c>
      <c r="BM738" s="17">
        <v>0.27800000000000002</v>
      </c>
      <c r="BN738" s="4">
        <v>0.27800000000000002</v>
      </c>
      <c r="BO738" s="4">
        <v>0.35399999999999998</v>
      </c>
      <c r="BP738" s="4">
        <v>0.79100000000000004</v>
      </c>
      <c r="BQ738" s="4">
        <v>0.39800000000000002</v>
      </c>
      <c r="BR738" s="4">
        <v>0.78</v>
      </c>
      <c r="BS738" s="4">
        <v>0.621</v>
      </c>
      <c r="BT738" s="4">
        <v>0.95399999999999996</v>
      </c>
      <c r="BU738" s="4">
        <v>0.56000000000000005</v>
      </c>
      <c r="BV738" s="4">
        <v>0.51</v>
      </c>
      <c r="BW738" s="4">
        <v>1.4319999999999999</v>
      </c>
      <c r="BX738" s="4">
        <v>0.38800000000000001</v>
      </c>
      <c r="BY738" s="4">
        <v>0.26</v>
      </c>
      <c r="BZ738" s="55">
        <v>0.36</v>
      </c>
      <c r="CA738" s="55">
        <v>0.34</v>
      </c>
      <c r="CB738" s="55">
        <v>0.23</v>
      </c>
      <c r="CC738" s="55">
        <v>0.38</v>
      </c>
      <c r="CD738" s="55">
        <v>0.37</v>
      </c>
      <c r="CE738" s="19">
        <v>0.3</v>
      </c>
      <c r="CF738" s="19">
        <v>0.3</v>
      </c>
      <c r="CG738" s="4">
        <v>0.44</v>
      </c>
      <c r="CH738" s="4">
        <v>0.19</v>
      </c>
      <c r="CI738" s="4">
        <v>0.51</v>
      </c>
      <c r="CJ738" s="34">
        <v>0.3</v>
      </c>
      <c r="CK738" s="34">
        <v>0.4</v>
      </c>
      <c r="CL738" s="43">
        <v>0.3</v>
      </c>
      <c r="CM738" s="4">
        <v>0.6</v>
      </c>
      <c r="CN738" s="48">
        <v>0.3</v>
      </c>
      <c r="CO738" s="54">
        <v>0.5</v>
      </c>
      <c r="CP738" s="54">
        <v>0.4</v>
      </c>
      <c r="CQ738" s="4">
        <v>0.5</v>
      </c>
    </row>
    <row r="739" spans="1:95" s="55" customFormat="1" x14ac:dyDescent="0.35">
      <c r="A739" s="55">
        <v>738</v>
      </c>
      <c r="B739" s="55" t="s">
        <v>105</v>
      </c>
      <c r="C739" s="27" t="s">
        <v>487</v>
      </c>
      <c r="D739" s="50" t="s">
        <v>106</v>
      </c>
      <c r="E739" s="33" t="s">
        <v>89</v>
      </c>
      <c r="F739" s="4">
        <f>IFERROR(AVERAGEIF(Table1[[#This Row],[2019-Apr]:[2025-July]],"&lt;&gt;0"),0)</f>
        <v>0.71514492753623171</v>
      </c>
      <c r="G739" s="4">
        <f ca="1">IFERROR(AVERAGEIF(OFFSET(Table1[[#This Row],[Status]],0,COUNT(Table1[[#This Row],[2019-May]:[2025-July]]),1,-12),"&lt;&gt;0"),0)</f>
        <v>0.89</v>
      </c>
      <c r="H739" s="55">
        <f>IFERROR(SMALL(Table1[[#This Row],[2019-Apr]:[2025-July]],COUNTIF(Table1[[#This Row],[2019-Apr]:[2025-July]],0)+1),0)</f>
        <v>0.23</v>
      </c>
      <c r="I739" s="55">
        <f>IFERROR(MAX(Table1[[#This Row],[2019-Apr]:[2025-July]]),0)</f>
        <v>1.62</v>
      </c>
      <c r="J739" s="4" cm="1">
        <f t="array" ref="J73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0.27833333333333338</v>
      </c>
      <c r="K739" s="4">
        <v>4.5</v>
      </c>
      <c r="L739" s="4">
        <f>IF(Table1[[#This Row],[Standard as per ISO]]&gt;=Table1[[#This Row],[Avg of best 6]],Table1[[#This Row],[Standard as per ISO]],Table1[[#This Row],[Avg of best 6]])</f>
        <v>4.5</v>
      </c>
      <c r="M739" s="4" cm="1">
        <f t="array" ref="M739">IFERROR(LOOKUP(2,1/(Table1[[#This Row],[2019-May]:[2025-July]]&lt;&gt;0),Table1[[#This Row],[2019-May]:[2025-July]]),0)</f>
        <v>0.8</v>
      </c>
      <c r="N739" s="4">
        <f>COUNTIF(Table1[[#This Row],[2019-Apr]:[2025-July]],"&gt;="&amp;Table1[[#This Row],[Target]])</f>
        <v>0</v>
      </c>
      <c r="O739" s="4">
        <f>IF(Table1[[#This Row],[Outliers 2Y]]=0,1,0)</f>
        <v>1</v>
      </c>
      <c r="P739" s="4">
        <f>IF(Table1[[#This Row],[Last value]]&gt;1.5*Table1[[#This Row],[Target]],1,0)</f>
        <v>0</v>
      </c>
      <c r="Q739" s="4">
        <f>IF(AND(1.5*Table1[[#This Row],[Target]]&gt;=Table1[[#This Row],[Last value]],Table1[[#This Row],[Last value]]&gt;Table1[[#This Row],[Target]]),1,0)</f>
        <v>0</v>
      </c>
      <c r="R739" s="4">
        <f>IF(Table1[[#This Row],[Target]]&gt;=Table1[[#This Row],[Last value]],1,0)</f>
        <v>1</v>
      </c>
      <c r="S739" s="4" t="str">
        <f t="shared" si="20"/>
        <v>Green</v>
      </c>
      <c r="T739" s="55">
        <v>0</v>
      </c>
      <c r="U739" s="55">
        <v>0.93700000000000006</v>
      </c>
      <c r="V739" s="55">
        <v>0.23</v>
      </c>
      <c r="W739" s="55">
        <v>0.44</v>
      </c>
      <c r="X739" s="55">
        <v>1.62</v>
      </c>
      <c r="Y739" s="55">
        <v>0.73</v>
      </c>
      <c r="Z739" s="55">
        <v>0.62</v>
      </c>
      <c r="AA739" s="55">
        <v>0</v>
      </c>
      <c r="AB739" s="55">
        <v>0.6</v>
      </c>
      <c r="AC739" s="55">
        <v>0.3</v>
      </c>
      <c r="AD739" s="55">
        <v>0.37</v>
      </c>
      <c r="AE739" s="55">
        <v>0.7</v>
      </c>
      <c r="AF739" s="55">
        <v>0.38</v>
      </c>
      <c r="AG739" s="55">
        <v>0.38</v>
      </c>
      <c r="AH739" s="55">
        <v>0.3</v>
      </c>
      <c r="AI739" s="55">
        <v>0.71</v>
      </c>
      <c r="AJ739" s="55">
        <v>0</v>
      </c>
      <c r="AK739" s="55">
        <v>0.34</v>
      </c>
      <c r="AL739" s="55">
        <v>0.33</v>
      </c>
      <c r="AM739" s="55">
        <v>0.39</v>
      </c>
      <c r="AN739" s="55">
        <v>0.32</v>
      </c>
      <c r="AO739" s="55">
        <v>0.24</v>
      </c>
      <c r="AP739" s="55">
        <v>0.45</v>
      </c>
      <c r="AQ739" s="55">
        <v>0.51</v>
      </c>
      <c r="AR739" s="8">
        <v>0.43</v>
      </c>
      <c r="AS739" s="8">
        <v>0.71</v>
      </c>
      <c r="AT739" s="8">
        <v>0.49</v>
      </c>
      <c r="AU739" s="50">
        <v>0.47</v>
      </c>
      <c r="AV739" s="50">
        <v>1.21</v>
      </c>
      <c r="AW739" s="50">
        <v>0.72</v>
      </c>
      <c r="AX739" s="50">
        <v>0.28000000000000003</v>
      </c>
      <c r="AY739" s="50">
        <v>0.6</v>
      </c>
      <c r="AZ739" s="50">
        <v>0.5</v>
      </c>
      <c r="BA739" s="50">
        <v>1.3</v>
      </c>
      <c r="BB739" s="50">
        <v>0.8</v>
      </c>
      <c r="BC739" s="55">
        <v>0.8</v>
      </c>
      <c r="BD739" s="55">
        <v>0</v>
      </c>
      <c r="BE739" s="11">
        <v>0.78200000000000003</v>
      </c>
      <c r="BF739" s="4">
        <v>1.331</v>
      </c>
      <c r="BG739" s="4">
        <v>1.331</v>
      </c>
      <c r="BH739" s="4">
        <v>0.86</v>
      </c>
      <c r="BI739" s="4">
        <v>0.75900000000000001</v>
      </c>
      <c r="BJ739" s="14">
        <v>0.54300000000000004</v>
      </c>
      <c r="BK739" s="14">
        <v>1.034</v>
      </c>
      <c r="BL739" s="4">
        <v>0.41399999999999998</v>
      </c>
      <c r="BM739" s="17">
        <v>1.177</v>
      </c>
      <c r="BN739" s="4">
        <v>0.629</v>
      </c>
      <c r="BO739" s="4">
        <v>1.109</v>
      </c>
      <c r="BP739" s="4">
        <v>1.034</v>
      </c>
      <c r="BQ739" s="4">
        <v>0.56499999999999995</v>
      </c>
      <c r="BR739" s="4">
        <v>0.73699999999999999</v>
      </c>
      <c r="BS739" s="4">
        <v>0.46400000000000002</v>
      </c>
      <c r="BT739" s="4">
        <v>1.046</v>
      </c>
      <c r="BU739" s="4">
        <v>0.65</v>
      </c>
      <c r="BV739" s="4">
        <v>0.65</v>
      </c>
      <c r="BW739" s="4">
        <v>0.79200000000000004</v>
      </c>
      <c r="BX739" s="4">
        <v>0.82099999999999995</v>
      </c>
      <c r="BY739" s="4">
        <v>0.63</v>
      </c>
      <c r="BZ739" s="55">
        <v>0.51</v>
      </c>
      <c r="CA739" s="55">
        <v>0.97</v>
      </c>
      <c r="CB739" s="55">
        <v>0.86</v>
      </c>
      <c r="CC739" s="55">
        <v>0.95</v>
      </c>
      <c r="CD739" s="55">
        <v>0.68</v>
      </c>
      <c r="CE739" s="19">
        <v>0</v>
      </c>
      <c r="CF739" s="19">
        <v>0.8</v>
      </c>
      <c r="CG739" s="4">
        <v>0</v>
      </c>
      <c r="CH739" s="4">
        <v>1.31</v>
      </c>
      <c r="CI739" s="4">
        <v>0</v>
      </c>
      <c r="CJ739" s="34">
        <v>0.6</v>
      </c>
      <c r="CK739" s="34">
        <v>0.7</v>
      </c>
      <c r="CL739" s="43">
        <v>0.9</v>
      </c>
      <c r="CM739" s="4">
        <v>0.8</v>
      </c>
      <c r="CN739" s="53">
        <v>1</v>
      </c>
      <c r="CO739" s="54">
        <v>0.8</v>
      </c>
      <c r="CP739" s="54">
        <v>1.1000000000000001</v>
      </c>
      <c r="CQ739" s="4">
        <v>0.8</v>
      </c>
    </row>
    <row r="740" spans="1:95" s="55" customFormat="1" x14ac:dyDescent="0.35">
      <c r="A740" s="55">
        <v>739</v>
      </c>
      <c r="B740" s="55" t="s">
        <v>105</v>
      </c>
      <c r="C740" s="27" t="s">
        <v>488</v>
      </c>
      <c r="D740" s="50" t="s">
        <v>106</v>
      </c>
      <c r="E740" s="33" t="s">
        <v>89</v>
      </c>
      <c r="F740" s="4">
        <f>IFERROR(AVERAGEIF(Table1[[#This Row],[2019-Apr]:[2025-July]],"&lt;&gt;0"),0)</f>
        <v>0.73381159420289865</v>
      </c>
      <c r="G740" s="4">
        <f ca="1">IFERROR(AVERAGEIF(OFFSET(Table1[[#This Row],[Status]],0,COUNT(Table1[[#This Row],[2019-May]:[2025-July]]),1,-12),"&lt;&gt;0"),0)</f>
        <v>0.76555555555555543</v>
      </c>
      <c r="H740" s="55">
        <f>IFERROR(SMALL(Table1[[#This Row],[2019-Apr]:[2025-July]],COUNTIF(Table1[[#This Row],[2019-Apr]:[2025-July]],0)+1),0)</f>
        <v>0.31</v>
      </c>
      <c r="I740" s="55">
        <f>IFERROR(MAX(Table1[[#This Row],[2019-Apr]:[2025-July]]),0)</f>
        <v>2</v>
      </c>
      <c r="J740" s="4" cm="1">
        <f t="array" ref="J74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0.34383333333333338</v>
      </c>
      <c r="K740" s="4">
        <v>4.5</v>
      </c>
      <c r="L740" s="4">
        <f>IF(Table1[[#This Row],[Standard as per ISO]]&gt;=Table1[[#This Row],[Avg of best 6]],Table1[[#This Row],[Standard as per ISO]],Table1[[#This Row],[Avg of best 6]])</f>
        <v>4.5</v>
      </c>
      <c r="M740" s="4" cm="1">
        <f t="array" ref="M740">IFERROR(LOOKUP(2,1/(Table1[[#This Row],[2019-May]:[2025-July]]&lt;&gt;0),Table1[[#This Row],[2019-May]:[2025-July]]),0)</f>
        <v>0.6</v>
      </c>
      <c r="N740" s="4">
        <f>COUNTIF(Table1[[#This Row],[2019-Apr]:[2025-July]],"&gt;="&amp;Table1[[#This Row],[Target]])</f>
        <v>0</v>
      </c>
      <c r="O740" s="4">
        <f>IF(Table1[[#This Row],[Outliers 2Y]]=0,1,0)</f>
        <v>1</v>
      </c>
      <c r="P740" s="4">
        <f>IF(Table1[[#This Row],[Last value]]&gt;1.5*Table1[[#This Row],[Target]],1,0)</f>
        <v>0</v>
      </c>
      <c r="Q740" s="4">
        <f>IF(AND(1.5*Table1[[#This Row],[Target]]&gt;=Table1[[#This Row],[Last value]],Table1[[#This Row],[Last value]]&gt;Table1[[#This Row],[Target]]),1,0)</f>
        <v>0</v>
      </c>
      <c r="R740" s="4">
        <f>IF(Table1[[#This Row],[Target]]&gt;=Table1[[#This Row],[Last value]],1,0)</f>
        <v>1</v>
      </c>
      <c r="S740" s="4" t="str">
        <f t="shared" si="20"/>
        <v>Green</v>
      </c>
      <c r="T740" s="55">
        <v>0</v>
      </c>
      <c r="U740" s="55">
        <v>0.38</v>
      </c>
      <c r="V740" s="55">
        <v>0.94</v>
      </c>
      <c r="W740" s="55">
        <v>0.39</v>
      </c>
      <c r="X740" s="55">
        <v>0.52</v>
      </c>
      <c r="Y740" s="55">
        <v>0.6</v>
      </c>
      <c r="Z740" s="55">
        <v>0.31</v>
      </c>
      <c r="AA740" s="55">
        <v>0</v>
      </c>
      <c r="AB740" s="55">
        <v>0.68</v>
      </c>
      <c r="AC740" s="55">
        <v>0.6</v>
      </c>
      <c r="AD740" s="55">
        <v>0.42</v>
      </c>
      <c r="AE740" s="55">
        <v>0.65</v>
      </c>
      <c r="AF740" s="55">
        <v>0.8</v>
      </c>
      <c r="AG740" s="55">
        <v>0.37</v>
      </c>
      <c r="AH740" s="55">
        <v>0.6</v>
      </c>
      <c r="AI740" s="55">
        <v>0.94</v>
      </c>
      <c r="AJ740" s="55">
        <v>0.73</v>
      </c>
      <c r="AK740" s="55">
        <v>0.37</v>
      </c>
      <c r="AL740" s="55">
        <v>0.48</v>
      </c>
      <c r="AM740" s="55">
        <v>0.69</v>
      </c>
      <c r="AN740" s="55">
        <v>0.31</v>
      </c>
      <c r="AO740" s="55">
        <v>0.8</v>
      </c>
      <c r="AP740" s="55">
        <v>0.72</v>
      </c>
      <c r="AQ740" s="55">
        <v>0.67</v>
      </c>
      <c r="AR740" s="8">
        <v>0.82</v>
      </c>
      <c r="AS740" s="8">
        <v>0.66</v>
      </c>
      <c r="AT740" s="8">
        <v>0</v>
      </c>
      <c r="AU740" s="50">
        <v>0.8</v>
      </c>
      <c r="AV740" s="50">
        <v>0.56000000000000005</v>
      </c>
      <c r="AW740" s="50">
        <v>0.67</v>
      </c>
      <c r="AX740" s="50">
        <v>0.46</v>
      </c>
      <c r="AY740" s="50">
        <v>0.88</v>
      </c>
      <c r="AZ740" s="50">
        <v>1</v>
      </c>
      <c r="BA740" s="50">
        <v>1.4</v>
      </c>
      <c r="BB740" s="50">
        <v>1.1000000000000001</v>
      </c>
      <c r="BC740" s="55">
        <v>0.5</v>
      </c>
      <c r="BD740" s="55">
        <v>0</v>
      </c>
      <c r="BE740" s="11">
        <v>0.32300000000000001</v>
      </c>
      <c r="BF740" s="4">
        <v>2</v>
      </c>
      <c r="BG740" s="4">
        <v>2</v>
      </c>
      <c r="BH740" s="4">
        <v>0.80400000000000005</v>
      </c>
      <c r="BI740" s="4">
        <v>0.50900000000000001</v>
      </c>
      <c r="BJ740" s="13">
        <v>0.50900000000000001</v>
      </c>
      <c r="BK740" s="13">
        <v>0.50900000000000001</v>
      </c>
      <c r="BL740" s="4">
        <v>0.7</v>
      </c>
      <c r="BM740" s="16">
        <v>1.9930000000000001</v>
      </c>
      <c r="BN740" s="4">
        <v>0.502</v>
      </c>
      <c r="BO740" s="4">
        <v>0.48799999999999999</v>
      </c>
      <c r="BP740" s="4">
        <v>0.753</v>
      </c>
      <c r="BQ740" s="4">
        <v>0.871</v>
      </c>
      <c r="BR740" s="4">
        <v>0.65</v>
      </c>
      <c r="BS740" s="4">
        <v>0.73799999999999999</v>
      </c>
      <c r="BT740" s="4">
        <v>1.238</v>
      </c>
      <c r="BU740" s="4">
        <v>0.66400000000000003</v>
      </c>
      <c r="BV740" s="4">
        <v>0.66400000000000003</v>
      </c>
      <c r="BW740" s="4">
        <v>0.75900000000000001</v>
      </c>
      <c r="BX740" s="4">
        <v>0.77900000000000003</v>
      </c>
      <c r="BY740" s="4">
        <v>0.56000000000000005</v>
      </c>
      <c r="BZ740" s="55">
        <v>0.56000000000000005</v>
      </c>
      <c r="CA740" s="55">
        <v>0.6</v>
      </c>
      <c r="CB740" s="55">
        <v>0.66</v>
      </c>
      <c r="CC740" s="55">
        <v>0.62</v>
      </c>
      <c r="CD740" s="55">
        <v>0.87</v>
      </c>
      <c r="CE740" s="19">
        <v>0</v>
      </c>
      <c r="CF740" s="19">
        <v>0.6</v>
      </c>
      <c r="CG740" s="4">
        <v>0</v>
      </c>
      <c r="CH740" s="4">
        <v>0.89</v>
      </c>
      <c r="CI740" s="4">
        <v>0</v>
      </c>
      <c r="CJ740" s="34">
        <v>0.6</v>
      </c>
      <c r="CK740" s="34">
        <v>0.8</v>
      </c>
      <c r="CL740" s="43">
        <v>0.8</v>
      </c>
      <c r="CM740" s="4">
        <v>0.6</v>
      </c>
      <c r="CN740" s="53">
        <v>0.9</v>
      </c>
      <c r="CO740" s="54">
        <v>0.6</v>
      </c>
      <c r="CP740" s="54">
        <v>1.1000000000000001</v>
      </c>
      <c r="CQ740" s="4">
        <v>0.6</v>
      </c>
    </row>
    <row r="741" spans="1:95" s="55" customFormat="1" x14ac:dyDescent="0.35">
      <c r="A741" s="55">
        <v>740</v>
      </c>
      <c r="B741" s="55" t="s">
        <v>105</v>
      </c>
      <c r="C741" s="27" t="s">
        <v>489</v>
      </c>
      <c r="D741" s="50" t="s">
        <v>107</v>
      </c>
      <c r="E741" s="33" t="s">
        <v>89</v>
      </c>
      <c r="F741" s="4">
        <f>IFERROR(AVERAGEIF(Table1[[#This Row],[2019-Apr]:[2025-July]],"&lt;&gt;0"),0)</f>
        <v>0.71098529411764755</v>
      </c>
      <c r="G741" s="4">
        <f ca="1">IFERROR(AVERAGEIF(OFFSET(Table1[[#This Row],[Status]],0,COUNT(Table1[[#This Row],[2019-May]:[2025-July]]),1,-12),"&lt;&gt;0"),0)</f>
        <v>0.59444444444444444</v>
      </c>
      <c r="H741" s="55">
        <f>IFERROR(SMALL(Table1[[#This Row],[2019-Apr]:[2025-July]],COUNTIF(Table1[[#This Row],[2019-Apr]:[2025-July]],0)+1),0)</f>
        <v>0.32600000000000001</v>
      </c>
      <c r="I741" s="55">
        <f>IFERROR(MAX(Table1[[#This Row],[2019-Apr]:[2025-July]]),0)</f>
        <v>1.99</v>
      </c>
      <c r="J741" s="4" cm="1">
        <f t="array" ref="J74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0.35766666666666663</v>
      </c>
      <c r="K741" s="4">
        <v>4.5</v>
      </c>
      <c r="L741" s="4">
        <f>IF(Table1[[#This Row],[Standard as per ISO]]&gt;=Table1[[#This Row],[Avg of best 6]],Table1[[#This Row],[Standard as per ISO]],Table1[[#This Row],[Avg of best 6]])</f>
        <v>4.5</v>
      </c>
      <c r="M741" s="4" cm="1">
        <f t="array" ref="M741">IFERROR(LOOKUP(2,1/(Table1[[#This Row],[2019-May]:[2025-July]]&lt;&gt;0),Table1[[#This Row],[2019-May]:[2025-July]]),0)</f>
        <v>0.5</v>
      </c>
      <c r="N741" s="4">
        <f>COUNTIF(Table1[[#This Row],[2019-Apr]:[2025-July]],"&gt;="&amp;Table1[[#This Row],[Target]])</f>
        <v>0</v>
      </c>
      <c r="O741" s="4">
        <f>IF(Table1[[#This Row],[Outliers 2Y]]=0,1,0)</f>
        <v>1</v>
      </c>
      <c r="P741" s="4">
        <f>IF(Table1[[#This Row],[Last value]]&gt;1.5*Table1[[#This Row],[Target]],1,0)</f>
        <v>0</v>
      </c>
      <c r="Q741" s="4">
        <f>IF(AND(1.5*Table1[[#This Row],[Target]]&gt;=Table1[[#This Row],[Last value]],Table1[[#This Row],[Last value]]&gt;Table1[[#This Row],[Target]]),1,0)</f>
        <v>0</v>
      </c>
      <c r="R741" s="4">
        <f>IF(Table1[[#This Row],[Target]]&gt;=Table1[[#This Row],[Last value]],1,0)</f>
        <v>1</v>
      </c>
      <c r="S741" s="4" t="str">
        <f t="shared" si="20"/>
        <v>Green</v>
      </c>
      <c r="T741" s="55">
        <v>0</v>
      </c>
      <c r="U741" s="55">
        <v>0.32600000000000001</v>
      </c>
      <c r="V741" s="55">
        <v>0.62</v>
      </c>
      <c r="W741" s="55">
        <v>0.53</v>
      </c>
      <c r="X741" s="55">
        <v>0.7</v>
      </c>
      <c r="Y741" s="55">
        <v>0.56000000000000005</v>
      </c>
      <c r="Z741" s="55">
        <v>0.4</v>
      </c>
      <c r="AA741" s="55">
        <v>0</v>
      </c>
      <c r="AB741" s="55">
        <v>0.95</v>
      </c>
      <c r="AC741" s="55">
        <v>0.69</v>
      </c>
      <c r="AD741" s="55">
        <v>0.92</v>
      </c>
      <c r="AE741" s="55">
        <v>0.48</v>
      </c>
      <c r="AF741" s="55">
        <v>0</v>
      </c>
      <c r="AG741" s="55">
        <v>0.33</v>
      </c>
      <c r="AH741" s="55">
        <v>0</v>
      </c>
      <c r="AI741" s="55">
        <v>0.46</v>
      </c>
      <c r="AJ741" s="55">
        <v>1.08</v>
      </c>
      <c r="AK741" s="55">
        <v>0.5</v>
      </c>
      <c r="AL741" s="55">
        <v>0.38</v>
      </c>
      <c r="AM741" s="55">
        <v>0.38</v>
      </c>
      <c r="AN741" s="55">
        <v>0.41</v>
      </c>
      <c r="AO741" s="55">
        <v>0.35</v>
      </c>
      <c r="AP741" s="55">
        <v>0.9</v>
      </c>
      <c r="AQ741" s="55">
        <v>0.9</v>
      </c>
      <c r="AR741" s="8">
        <v>0.57999999999999996</v>
      </c>
      <c r="AS741" s="8">
        <v>0.38</v>
      </c>
      <c r="AT741" s="8">
        <v>0.38</v>
      </c>
      <c r="AU741" s="50">
        <v>0.77</v>
      </c>
      <c r="AV741" s="50">
        <v>1.83</v>
      </c>
      <c r="AW741" s="50">
        <v>0.68</v>
      </c>
      <c r="AX741" s="50">
        <v>0.85</v>
      </c>
      <c r="AY741" s="50">
        <v>0.82</v>
      </c>
      <c r="AZ741" s="50">
        <v>0.5</v>
      </c>
      <c r="BA741" s="50">
        <v>1.3</v>
      </c>
      <c r="BB741" s="50">
        <v>0.7</v>
      </c>
      <c r="BC741" s="55">
        <v>0.6</v>
      </c>
      <c r="BD741" s="55">
        <v>0</v>
      </c>
      <c r="BE741" s="11">
        <v>1.23</v>
      </c>
      <c r="BF741" s="4">
        <v>1.23</v>
      </c>
      <c r="BG741" s="4">
        <v>1.1639999999999999</v>
      </c>
      <c r="BH741" s="4">
        <v>1.99</v>
      </c>
      <c r="BI741" s="4">
        <v>0.56899999999999995</v>
      </c>
      <c r="BJ741" s="14">
        <v>0.91</v>
      </c>
      <c r="BK741" s="14">
        <v>0.61699999999999999</v>
      </c>
      <c r="BL741" s="4">
        <v>0.56899999999999995</v>
      </c>
      <c r="BM741" s="17">
        <v>1.1399999999999999</v>
      </c>
      <c r="BN741" s="4">
        <v>0.73199999999999998</v>
      </c>
      <c r="BO741" s="4">
        <v>0.79900000000000004</v>
      </c>
      <c r="BP741" s="4">
        <v>0.86599999999999999</v>
      </c>
      <c r="BQ741" s="4">
        <v>0.502</v>
      </c>
      <c r="BR741" s="4">
        <v>0.95499999999999996</v>
      </c>
      <c r="BS741" s="4">
        <v>0.499</v>
      </c>
      <c r="BT741" s="4">
        <v>0.91700000000000004</v>
      </c>
      <c r="BU741" s="4">
        <v>0.48099999999999998</v>
      </c>
      <c r="BV741" s="4">
        <v>0.48099999999999998</v>
      </c>
      <c r="BW741" s="4">
        <v>0.48099999999999998</v>
      </c>
      <c r="BX741" s="4">
        <v>0.57899999999999996</v>
      </c>
      <c r="BY741" s="4">
        <v>0.87</v>
      </c>
      <c r="BZ741" s="55">
        <v>0.68</v>
      </c>
      <c r="CA741" s="55">
        <v>0.99</v>
      </c>
      <c r="CB741" s="55">
        <v>0.47</v>
      </c>
      <c r="CC741" s="55">
        <v>0.81</v>
      </c>
      <c r="CD741" s="55">
        <v>0.71</v>
      </c>
      <c r="CE741" s="19">
        <v>0</v>
      </c>
      <c r="CF741" s="19">
        <v>0.7</v>
      </c>
      <c r="CG741" s="4">
        <v>0</v>
      </c>
      <c r="CH741" s="4">
        <v>0.55000000000000004</v>
      </c>
      <c r="CI741" s="4">
        <v>0</v>
      </c>
      <c r="CJ741" s="34">
        <v>0.5</v>
      </c>
      <c r="CK741" s="34">
        <v>0.7</v>
      </c>
      <c r="CL741" s="43">
        <v>0.6</v>
      </c>
      <c r="CM741" s="4">
        <v>0.4</v>
      </c>
      <c r="CN741" s="53">
        <v>0.6</v>
      </c>
      <c r="CO741" s="54">
        <v>0.7</v>
      </c>
      <c r="CP741" s="54">
        <v>0.6</v>
      </c>
      <c r="CQ741" s="4">
        <v>0.5</v>
      </c>
    </row>
    <row r="742" spans="1:95" s="55" customFormat="1" x14ac:dyDescent="0.35">
      <c r="A742" s="55">
        <v>741</v>
      </c>
      <c r="B742" s="55" t="s">
        <v>105</v>
      </c>
      <c r="C742" s="27" t="s">
        <v>490</v>
      </c>
      <c r="D742" s="50" t="s">
        <v>93</v>
      </c>
      <c r="E742" s="33" t="s">
        <v>89</v>
      </c>
      <c r="F742" s="4">
        <f>IFERROR(AVERAGEIF(Table1[[#This Row],[2019-Apr]:[2025-July]],"&lt;&gt;0"),0)</f>
        <v>6.0246226415094366</v>
      </c>
      <c r="G742" s="4">
        <f ca="1">IFERROR(AVERAGEIF(OFFSET(Table1[[#This Row],[Status]],0,COUNT(Table1[[#This Row],[2019-May]:[2025-July]]),1,-12),"&lt;&gt;0"),0)</f>
        <v>7.2330000000000014</v>
      </c>
      <c r="H742" s="55">
        <f>IFERROR(SMALL(Table1[[#This Row],[2019-Apr]:[2025-July]],COUNTIF(Table1[[#This Row],[2019-Apr]:[2025-July]],0)+1),0)</f>
        <v>2.972</v>
      </c>
      <c r="I742" s="55">
        <f>IFERROR(MAX(Table1[[#This Row],[2019-Apr]:[2025-July]]),0)</f>
        <v>9.2940000000000005</v>
      </c>
      <c r="J742" s="4" cm="1">
        <f t="array" ref="J74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3.6903333333333328</v>
      </c>
      <c r="K742" s="4">
        <v>4.5</v>
      </c>
      <c r="L742" s="4">
        <f>IF(Table1[[#This Row],[Standard as per ISO]]&gt;=Table1[[#This Row],[Avg of best 6]],Table1[[#This Row],[Standard as per ISO]],Table1[[#This Row],[Avg of best 6]])</f>
        <v>4.5</v>
      </c>
      <c r="M742" s="4" cm="1">
        <f t="array" ref="M742">IFERROR(LOOKUP(2,1/(Table1[[#This Row],[2019-May]:[2025-July]]&lt;&gt;0),Table1[[#This Row],[2019-May]:[2025-July]]),0)</f>
        <v>7.4</v>
      </c>
      <c r="N742" s="4">
        <f>COUNTIF(Table1[[#This Row],[2019-Apr]:[2025-July]],"&gt;="&amp;Table1[[#This Row],[Target]])</f>
        <v>47</v>
      </c>
      <c r="O742" s="4">
        <f>IF(Table1[[#This Row],[Outliers 2Y]]=0,1,0)</f>
        <v>0</v>
      </c>
      <c r="P742" s="4">
        <f>IF(Table1[[#This Row],[Last value]]&gt;1.5*Table1[[#This Row],[Target]],1,0)</f>
        <v>1</v>
      </c>
      <c r="Q742" s="4">
        <f>IF(AND(1.5*Table1[[#This Row],[Target]]&gt;=Table1[[#This Row],[Last value]],Table1[[#This Row],[Last value]]&gt;Table1[[#This Row],[Target]]),1,0)</f>
        <v>0</v>
      </c>
      <c r="R742" s="4">
        <f>IF(Table1[[#This Row],[Target]]&gt;=Table1[[#This Row],[Last value]],1,0)</f>
        <v>0</v>
      </c>
      <c r="S742" s="4" t="str">
        <f t="shared" si="20"/>
        <v>Red</v>
      </c>
      <c r="T742" s="55">
        <v>5.782</v>
      </c>
      <c r="U742" s="55">
        <v>0</v>
      </c>
      <c r="V742" s="55">
        <v>0</v>
      </c>
      <c r="W742" s="55">
        <v>0</v>
      </c>
      <c r="X742" s="55">
        <v>0</v>
      </c>
      <c r="Y742" s="55">
        <v>0</v>
      </c>
      <c r="Z742" s="55">
        <v>0</v>
      </c>
      <c r="AA742" s="55">
        <v>0</v>
      </c>
      <c r="AB742" s="55">
        <v>4.5999999999999996</v>
      </c>
      <c r="AC742" s="55">
        <v>0</v>
      </c>
      <c r="AD742" s="55">
        <v>3.53</v>
      </c>
      <c r="AE742" s="55">
        <v>5.03</v>
      </c>
      <c r="AF742" s="55">
        <v>4.0999999999999996</v>
      </c>
      <c r="AG742" s="55">
        <v>5.0999999999999996</v>
      </c>
      <c r="AH742" s="55">
        <v>5.99</v>
      </c>
      <c r="AI742" s="55">
        <v>0</v>
      </c>
      <c r="AJ742" s="55">
        <v>6.95</v>
      </c>
      <c r="AK742" s="55">
        <v>0</v>
      </c>
      <c r="AL742" s="55">
        <v>8.15</v>
      </c>
      <c r="AM742" s="55">
        <v>3.69</v>
      </c>
      <c r="AN742" s="55">
        <v>0</v>
      </c>
      <c r="AO742" s="55">
        <v>8.39</v>
      </c>
      <c r="AP742" s="55">
        <v>4.71</v>
      </c>
      <c r="AQ742" s="55">
        <v>4.79</v>
      </c>
      <c r="AR742" s="8">
        <v>5.36</v>
      </c>
      <c r="AS742" s="8">
        <v>0</v>
      </c>
      <c r="AT742" s="8">
        <v>0</v>
      </c>
      <c r="AU742" s="50">
        <v>0</v>
      </c>
      <c r="AV742" s="50">
        <v>4.95</v>
      </c>
      <c r="AW742" s="50">
        <v>6.16</v>
      </c>
      <c r="AX742" s="50">
        <v>0</v>
      </c>
      <c r="AY742" s="50">
        <v>4.95</v>
      </c>
      <c r="AZ742" s="50">
        <v>0</v>
      </c>
      <c r="BA742" s="50">
        <v>4.4000000000000004</v>
      </c>
      <c r="BB742" s="50">
        <v>0</v>
      </c>
      <c r="BC742" s="55">
        <v>4.5999999999999996</v>
      </c>
      <c r="BD742" s="55">
        <v>0</v>
      </c>
      <c r="BE742" s="11">
        <v>6.2850000000000001</v>
      </c>
      <c r="BF742" s="4">
        <v>6.72</v>
      </c>
      <c r="BG742" s="4">
        <v>5.7030000000000003</v>
      </c>
      <c r="BH742" s="4">
        <v>0</v>
      </c>
      <c r="BI742" s="4">
        <v>5.5620000000000003</v>
      </c>
      <c r="BJ742" s="13">
        <v>4.8</v>
      </c>
      <c r="BK742" s="13">
        <v>3.45</v>
      </c>
      <c r="BL742" s="4">
        <v>2.972</v>
      </c>
      <c r="BM742" s="16">
        <v>6.0720000000000001</v>
      </c>
      <c r="BN742" s="4">
        <v>6.99</v>
      </c>
      <c r="BO742" s="4">
        <v>7.1390000000000002</v>
      </c>
      <c r="BP742" s="4">
        <v>5.9779999999999998</v>
      </c>
      <c r="BQ742" s="4">
        <v>7.28</v>
      </c>
      <c r="BR742" s="4">
        <v>5.16</v>
      </c>
      <c r="BS742" s="4">
        <v>7.5279999999999996</v>
      </c>
      <c r="BT742" s="4">
        <v>6.7590000000000003</v>
      </c>
      <c r="BU742" s="4">
        <v>0</v>
      </c>
      <c r="BV742" s="4">
        <v>7.7450000000000001</v>
      </c>
      <c r="BW742" s="4">
        <v>7.8419999999999996</v>
      </c>
      <c r="BX742" s="4">
        <v>9.2940000000000005</v>
      </c>
      <c r="BY742" s="4">
        <v>5.1040000000000001</v>
      </c>
      <c r="BZ742" s="55">
        <v>4.62</v>
      </c>
      <c r="CA742" s="55">
        <v>5.68</v>
      </c>
      <c r="CB742" s="55">
        <v>4.83</v>
      </c>
      <c r="CC742" s="55">
        <v>5.88</v>
      </c>
      <c r="CD742" s="55">
        <v>6.35</v>
      </c>
      <c r="CE742" s="19">
        <v>5.9</v>
      </c>
      <c r="CF742" s="19">
        <v>8.4</v>
      </c>
      <c r="CG742" s="4">
        <v>7.67</v>
      </c>
      <c r="CH742" s="4">
        <v>7.78</v>
      </c>
      <c r="CI742" s="4">
        <v>7.98</v>
      </c>
      <c r="CJ742" s="34">
        <v>6.6</v>
      </c>
      <c r="CK742" s="34">
        <v>7.6</v>
      </c>
      <c r="CL742" s="43">
        <v>0</v>
      </c>
      <c r="CM742" s="4">
        <v>0</v>
      </c>
      <c r="CN742" s="53">
        <v>6.3</v>
      </c>
      <c r="CO742" s="54">
        <v>6.7</v>
      </c>
      <c r="CP742" s="54">
        <v>7.4</v>
      </c>
      <c r="CQ742" s="4">
        <v>0</v>
      </c>
    </row>
    <row r="743" spans="1:95" s="55" customFormat="1" x14ac:dyDescent="0.35">
      <c r="A743" s="55">
        <v>742</v>
      </c>
      <c r="B743" s="55" t="s">
        <v>105</v>
      </c>
      <c r="C743" s="27" t="s">
        <v>491</v>
      </c>
      <c r="D743" s="50" t="s">
        <v>93</v>
      </c>
      <c r="E743" s="33" t="s">
        <v>89</v>
      </c>
      <c r="F743" s="4">
        <f>IFERROR(AVERAGEIF(Table1[[#This Row],[2019-Apr]:[2025-July]],"&lt;&gt;0"),0)</f>
        <v>3.3529347826086955</v>
      </c>
      <c r="G743" s="4">
        <f ca="1">IFERROR(AVERAGEIF(OFFSET(Table1[[#This Row],[Status]],0,COUNT(Table1[[#This Row],[2019-May]:[2025-July]]),1,-12),"&lt;&gt;0"),0)</f>
        <v>5.083333333333333</v>
      </c>
      <c r="H743" s="55">
        <f>IFERROR(SMALL(Table1[[#This Row],[2019-Apr]:[2025-July]],COUNTIF(Table1[[#This Row],[2019-Apr]:[2025-July]],0)+1),0)</f>
        <v>1.7909999999999999</v>
      </c>
      <c r="I743" s="55">
        <f>IFERROR(MAX(Table1[[#This Row],[2019-Apr]:[2025-July]]),0)</f>
        <v>5.8</v>
      </c>
      <c r="J743" s="4" cm="1">
        <f t="array" ref="J74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1.9901666666666664</v>
      </c>
      <c r="K743" s="4">
        <v>4.5</v>
      </c>
      <c r="L743" s="4">
        <f>IF(Table1[[#This Row],[Standard as per ISO]]&gt;=Table1[[#This Row],[Avg of best 6]],Table1[[#This Row],[Standard as per ISO]],Table1[[#This Row],[Avg of best 6]])</f>
        <v>4.5</v>
      </c>
      <c r="M743" s="4" cm="1">
        <f t="array" ref="M743">IFERROR(LOOKUP(2,1/(Table1[[#This Row],[2019-May]:[2025-July]]&lt;&gt;0),Table1[[#This Row],[2019-May]:[2025-July]]),0)</f>
        <v>3.3</v>
      </c>
      <c r="N743" s="4">
        <f>COUNTIF(Table1[[#This Row],[2019-Apr]:[2025-July]],"&gt;="&amp;Table1[[#This Row],[Target]])</f>
        <v>7</v>
      </c>
      <c r="O743" s="4">
        <f>IF(Table1[[#This Row],[Outliers 2Y]]=0,1,0)</f>
        <v>0</v>
      </c>
      <c r="P743" s="4">
        <f>IF(Table1[[#This Row],[Last value]]&gt;1.5*Table1[[#This Row],[Target]],1,0)</f>
        <v>0</v>
      </c>
      <c r="Q743" s="4">
        <f>IF(AND(1.5*Table1[[#This Row],[Target]]&gt;=Table1[[#This Row],[Last value]],Table1[[#This Row],[Last value]]&gt;Table1[[#This Row],[Target]]),1,0)</f>
        <v>0</v>
      </c>
      <c r="R743" s="4">
        <f>IF(Table1[[#This Row],[Target]]&gt;=Table1[[#This Row],[Last value]],1,0)</f>
        <v>1</v>
      </c>
      <c r="S743" s="4" t="str">
        <f t="shared" si="20"/>
        <v>Green</v>
      </c>
      <c r="T743" s="55">
        <v>4.34</v>
      </c>
      <c r="U743" s="55">
        <v>0</v>
      </c>
      <c r="V743" s="55">
        <v>4.68</v>
      </c>
      <c r="W743" s="55">
        <v>4.41</v>
      </c>
      <c r="X743" s="55">
        <v>4.79</v>
      </c>
      <c r="Y743" s="55">
        <v>3.8</v>
      </c>
      <c r="Z743" s="55">
        <v>4</v>
      </c>
      <c r="AA743" s="55">
        <v>0</v>
      </c>
      <c r="AB743" s="55">
        <v>3.8</v>
      </c>
      <c r="AC743" s="55">
        <v>3.54</v>
      </c>
      <c r="AD743" s="55">
        <v>3.23</v>
      </c>
      <c r="AE743" s="55">
        <v>0</v>
      </c>
      <c r="AF743" s="55">
        <v>3.59</v>
      </c>
      <c r="AG743" s="55">
        <v>4.7</v>
      </c>
      <c r="AH743" s="55">
        <v>3.29</v>
      </c>
      <c r="AI743" s="55">
        <v>0</v>
      </c>
      <c r="AJ743" s="55">
        <v>3.5</v>
      </c>
      <c r="AK743" s="55">
        <v>2.4</v>
      </c>
      <c r="AL743" s="55">
        <v>2.2999999999999998</v>
      </c>
      <c r="AM743" s="55">
        <v>4.5999999999999996</v>
      </c>
      <c r="AN743" s="55">
        <v>0</v>
      </c>
      <c r="AO743" s="55">
        <v>2.0099999999999998</v>
      </c>
      <c r="AP743" s="55">
        <v>3.36</v>
      </c>
      <c r="AQ743" s="55">
        <v>3.31</v>
      </c>
      <c r="AR743" s="8">
        <v>0</v>
      </c>
      <c r="AS743" s="8">
        <v>3.31</v>
      </c>
      <c r="AT743" s="8">
        <v>3.31</v>
      </c>
      <c r="AU743" s="50">
        <v>2.5</v>
      </c>
      <c r="AV743" s="50">
        <v>0</v>
      </c>
      <c r="AW743" s="50">
        <v>0</v>
      </c>
      <c r="AX743" s="50">
        <v>3.36</v>
      </c>
      <c r="AY743" s="50">
        <v>0</v>
      </c>
      <c r="AZ743" s="50">
        <v>0</v>
      </c>
      <c r="BA743" s="50">
        <v>4.4000000000000004</v>
      </c>
      <c r="BB743" s="50">
        <v>2</v>
      </c>
      <c r="BC743" s="50">
        <v>0</v>
      </c>
      <c r="BD743" s="55">
        <v>0</v>
      </c>
      <c r="BE743" s="11">
        <v>3.9540000000000002</v>
      </c>
      <c r="BF743" s="4">
        <v>2.3460000000000001</v>
      </c>
      <c r="BG743" s="4">
        <v>0</v>
      </c>
      <c r="BH743" s="4">
        <v>1.7909999999999999</v>
      </c>
      <c r="BI743" s="4">
        <v>3.4780000000000002</v>
      </c>
      <c r="BJ743" s="14">
        <v>1.972</v>
      </c>
      <c r="BK743" s="14">
        <v>2.5099999999999998</v>
      </c>
      <c r="BL743" s="4">
        <v>0</v>
      </c>
      <c r="BM743" s="17">
        <v>1.9930000000000001</v>
      </c>
      <c r="BN743" s="4">
        <v>2.1749999999999998</v>
      </c>
      <c r="BO743" s="4">
        <v>2.5659999999999998</v>
      </c>
      <c r="BP743" s="4">
        <v>0</v>
      </c>
      <c r="BQ743" s="4">
        <v>2.8719999999999999</v>
      </c>
      <c r="BR743" s="4">
        <v>0</v>
      </c>
      <c r="BS743" s="4">
        <v>3.0819999999999999</v>
      </c>
      <c r="BT743" s="4">
        <v>3.589</v>
      </c>
      <c r="BU743" s="4">
        <v>0</v>
      </c>
      <c r="BV743" s="4">
        <v>0</v>
      </c>
      <c r="BW743" s="4">
        <v>2.3279999999999998</v>
      </c>
      <c r="BX743" s="4">
        <v>2.6389999999999998</v>
      </c>
      <c r="BY743" s="4">
        <v>0</v>
      </c>
      <c r="BZ743" s="55">
        <v>0</v>
      </c>
      <c r="CA743" s="55">
        <v>0</v>
      </c>
      <c r="CB743" s="55">
        <v>3.33</v>
      </c>
      <c r="CC743" s="55">
        <v>3.28</v>
      </c>
      <c r="CD743" s="55">
        <v>3.25</v>
      </c>
      <c r="CE743" s="19">
        <v>0</v>
      </c>
      <c r="CF743" s="19">
        <v>0</v>
      </c>
      <c r="CG743" s="4">
        <v>0</v>
      </c>
      <c r="CH743" s="4">
        <v>0</v>
      </c>
      <c r="CI743" s="4">
        <v>4.75</v>
      </c>
      <c r="CJ743" s="34">
        <v>0</v>
      </c>
      <c r="CK743" s="34">
        <v>0</v>
      </c>
      <c r="CL743" s="43">
        <v>4.7</v>
      </c>
      <c r="CM743" s="4">
        <v>5.8</v>
      </c>
      <c r="CN743" s="53">
        <v>0</v>
      </c>
      <c r="CO743" s="54">
        <v>0</v>
      </c>
      <c r="CP743" s="54">
        <v>0</v>
      </c>
      <c r="CQ743" s="4">
        <v>3.3</v>
      </c>
    </row>
    <row r="744" spans="1:95" s="55" customFormat="1" x14ac:dyDescent="0.35">
      <c r="A744" s="55">
        <v>743</v>
      </c>
      <c r="B744" s="55" t="s">
        <v>105</v>
      </c>
      <c r="C744" s="27" t="s">
        <v>492</v>
      </c>
      <c r="D744" s="50" t="s">
        <v>93</v>
      </c>
      <c r="E744" s="33" t="s">
        <v>89</v>
      </c>
      <c r="F744" s="4">
        <f>IFERROR(AVERAGEIF(Table1[[#This Row],[2019-Apr]:[2025-July]],"&lt;&gt;0"),0)</f>
        <v>3.4798636363636373</v>
      </c>
      <c r="G744" s="4">
        <f ca="1">IFERROR(AVERAGEIF(OFFSET(Table1[[#This Row],[Status]],0,COUNT(Table1[[#This Row],[2019-May]:[2025-July]]),1,-12),"&lt;&gt;0"),0)</f>
        <v>4.2063636363636361</v>
      </c>
      <c r="H744" s="55">
        <f>IFERROR(SMALL(Table1[[#This Row],[2019-Apr]:[2025-July]],COUNTIF(Table1[[#This Row],[2019-Apr]:[2025-July]],0)+1),0)</f>
        <v>2.09</v>
      </c>
      <c r="I744" s="55">
        <f>IFERROR(MAX(Table1[[#This Row],[2019-Apr]:[2025-July]]),0)</f>
        <v>5.8</v>
      </c>
      <c r="J744" s="4" cm="1">
        <f t="array" ref="J74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2.2049999999999996</v>
      </c>
      <c r="K744" s="4">
        <v>4.5</v>
      </c>
      <c r="L744" s="4">
        <f>IF(Table1[[#This Row],[Standard as per ISO]]&gt;=Table1[[#This Row],[Avg of best 6]],Table1[[#This Row],[Standard as per ISO]],Table1[[#This Row],[Avg of best 6]])</f>
        <v>4.5</v>
      </c>
      <c r="M744" s="4" cm="1">
        <f t="array" ref="M744">IFERROR(LOOKUP(2,1/(Table1[[#This Row],[2019-May]:[2025-July]]&lt;&gt;0),Table1[[#This Row],[2019-May]:[2025-July]]),0)</f>
        <v>5.2</v>
      </c>
      <c r="N744" s="4">
        <f>COUNTIF(Table1[[#This Row],[2019-Apr]:[2025-July]],"&gt;="&amp;Table1[[#This Row],[Target]])</f>
        <v>7</v>
      </c>
      <c r="O744" s="4">
        <f>IF(Table1[[#This Row],[Outliers 2Y]]=0,1,0)</f>
        <v>0</v>
      </c>
      <c r="P744" s="4">
        <f>IF(Table1[[#This Row],[Last value]]&gt;1.5*Table1[[#This Row],[Target]],1,0)</f>
        <v>0</v>
      </c>
      <c r="Q744" s="4">
        <f>IF(AND(1.5*Table1[[#This Row],[Target]]&gt;=Table1[[#This Row],[Last value]],Table1[[#This Row],[Last value]]&gt;Table1[[#This Row],[Target]]),1,0)</f>
        <v>1</v>
      </c>
      <c r="R744" s="4">
        <f>IF(Table1[[#This Row],[Target]]&gt;=Table1[[#This Row],[Last value]],1,0)</f>
        <v>0</v>
      </c>
      <c r="S744" s="4" t="str">
        <f t="shared" si="20"/>
        <v>Yellow</v>
      </c>
      <c r="T744" s="55">
        <v>4.26</v>
      </c>
      <c r="U744" s="55">
        <v>0</v>
      </c>
      <c r="V744" s="55">
        <v>2.09</v>
      </c>
      <c r="W744" s="55">
        <v>2.33</v>
      </c>
      <c r="X744" s="55">
        <v>2.35</v>
      </c>
      <c r="Y744" s="55">
        <v>2.4</v>
      </c>
      <c r="Z744" s="55">
        <v>2.5499999999999998</v>
      </c>
      <c r="AA744" s="55">
        <v>0</v>
      </c>
      <c r="AB744" s="55">
        <v>2.2999999999999998</v>
      </c>
      <c r="AC744" s="55">
        <v>2.44</v>
      </c>
      <c r="AD744" s="55">
        <v>0</v>
      </c>
      <c r="AE744" s="55">
        <v>2.21</v>
      </c>
      <c r="AF744" s="55">
        <v>0</v>
      </c>
      <c r="AG744" s="55">
        <v>0</v>
      </c>
      <c r="AH744" s="55">
        <v>0</v>
      </c>
      <c r="AI744" s="55">
        <v>0</v>
      </c>
      <c r="AJ744" s="55">
        <v>0</v>
      </c>
      <c r="AK744" s="55">
        <v>4.01</v>
      </c>
      <c r="AL744" s="55">
        <v>0</v>
      </c>
      <c r="AM744" s="55">
        <v>3.19</v>
      </c>
      <c r="AN744" s="55">
        <v>0</v>
      </c>
      <c r="AO744" s="55">
        <v>0</v>
      </c>
      <c r="AP744" s="55">
        <v>0</v>
      </c>
      <c r="AQ744" s="55">
        <v>0</v>
      </c>
      <c r="AR744" s="8">
        <v>2.74</v>
      </c>
      <c r="AS744" s="8">
        <v>3.95</v>
      </c>
      <c r="AT744" s="8">
        <v>2.88</v>
      </c>
      <c r="AU744" s="50">
        <v>3.24</v>
      </c>
      <c r="AV744" s="50">
        <v>2.41</v>
      </c>
      <c r="AW744" s="50">
        <v>2.1</v>
      </c>
      <c r="AX744" s="50">
        <v>3.31</v>
      </c>
      <c r="AY744" s="50">
        <v>3.85</v>
      </c>
      <c r="AZ744" s="50">
        <v>0</v>
      </c>
      <c r="BA744" s="50">
        <v>3.7</v>
      </c>
      <c r="BB744" s="50">
        <v>2.2000000000000002</v>
      </c>
      <c r="BC744" s="55">
        <v>2.5</v>
      </c>
      <c r="BD744" s="55">
        <v>0</v>
      </c>
      <c r="BE744" s="11">
        <v>0</v>
      </c>
      <c r="BF744" s="4">
        <v>2.52</v>
      </c>
      <c r="BG744" s="4">
        <v>5.6559999999999997</v>
      </c>
      <c r="BH744" s="4">
        <v>3.823</v>
      </c>
      <c r="BI744" s="4">
        <v>4.0119999999999996</v>
      </c>
      <c r="BJ744" s="13">
        <v>0</v>
      </c>
      <c r="BK744" s="13">
        <v>0</v>
      </c>
      <c r="BL744" s="4">
        <v>0</v>
      </c>
      <c r="BM744" s="16">
        <v>0</v>
      </c>
      <c r="BN744" s="4">
        <v>0</v>
      </c>
      <c r="BO744" s="4">
        <v>0</v>
      </c>
      <c r="BP744" s="4">
        <v>3.38</v>
      </c>
      <c r="BQ744" s="4">
        <v>0</v>
      </c>
      <c r="BR744" s="4">
        <v>3.0920000000000001</v>
      </c>
      <c r="BS744" s="4">
        <v>0</v>
      </c>
      <c r="BT744" s="4">
        <v>0</v>
      </c>
      <c r="BU744" s="4">
        <v>0</v>
      </c>
      <c r="BV744" s="4">
        <v>2.7759999999999998</v>
      </c>
      <c r="BW744" s="4">
        <v>0</v>
      </c>
      <c r="BX744" s="4">
        <v>0</v>
      </c>
      <c r="BY744" s="4">
        <v>3.9649999999999999</v>
      </c>
      <c r="BZ744" s="55">
        <v>4.8099999999999996</v>
      </c>
      <c r="CA744" s="55">
        <v>4.5999999999999996</v>
      </c>
      <c r="CB744" s="55">
        <v>0</v>
      </c>
      <c r="CC744" s="55">
        <v>0</v>
      </c>
      <c r="CD744" s="55">
        <v>0</v>
      </c>
      <c r="CE744" s="19">
        <v>3.1</v>
      </c>
      <c r="CF744" s="19">
        <v>4.4000000000000004</v>
      </c>
      <c r="CG744" s="4">
        <v>4.08</v>
      </c>
      <c r="CH744" s="4">
        <v>3.59</v>
      </c>
      <c r="CI744" s="4">
        <v>0</v>
      </c>
      <c r="CJ744" s="34">
        <v>3.3</v>
      </c>
      <c r="CK744" s="34">
        <v>4.5</v>
      </c>
      <c r="CL744" s="43">
        <v>4.3</v>
      </c>
      <c r="CM744" s="4">
        <v>3.3</v>
      </c>
      <c r="CN744" s="53">
        <v>5.8</v>
      </c>
      <c r="CO744" s="54">
        <v>4.0999999999999996</v>
      </c>
      <c r="CP744" s="54">
        <v>5.8</v>
      </c>
      <c r="CQ744" s="4">
        <v>5.2</v>
      </c>
    </row>
    <row r="745" spans="1:95" s="55" customFormat="1" x14ac:dyDescent="0.35">
      <c r="A745" s="55">
        <v>744</v>
      </c>
      <c r="B745" s="55" t="s">
        <v>105</v>
      </c>
      <c r="C745" s="27" t="s">
        <v>493</v>
      </c>
      <c r="D745" s="50" t="s">
        <v>93</v>
      </c>
      <c r="E745" s="33" t="s">
        <v>89</v>
      </c>
      <c r="F745" s="4">
        <f>IFERROR(AVERAGEIF(Table1[[#This Row],[2019-Apr]:[2025-July]],"&lt;&gt;0"),0)</f>
        <v>3.7314807692307705</v>
      </c>
      <c r="G745" s="4">
        <f ca="1">IFERROR(AVERAGEIF(OFFSET(Table1[[#This Row],[Status]],0,COUNT(Table1[[#This Row],[2019-May]:[2025-July]]),1,-12),"&lt;&gt;0"),0)</f>
        <v>4.3191666666666668</v>
      </c>
      <c r="H745" s="55">
        <f>IFERROR(SMALL(Table1[[#This Row],[2019-Apr]:[2025-July]],COUNTIF(Table1[[#This Row],[2019-Apr]:[2025-July]],0)+1),0)</f>
        <v>1.1499999999999999</v>
      </c>
      <c r="I745" s="55">
        <f>IFERROR(MAX(Table1[[#This Row],[2019-Apr]:[2025-July]]),0)</f>
        <v>7.63</v>
      </c>
      <c r="J745" s="4" cm="1">
        <f t="array" ref="J74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2.0486666666666666</v>
      </c>
      <c r="K745" s="4">
        <v>4.5</v>
      </c>
      <c r="L745" s="4">
        <f>IF(Table1[[#This Row],[Standard as per ISO]]&gt;=Table1[[#This Row],[Avg of best 6]],Table1[[#This Row],[Standard as per ISO]],Table1[[#This Row],[Avg of best 6]])</f>
        <v>4.5</v>
      </c>
      <c r="M745" s="4" cm="1">
        <f t="array" ref="M745">IFERROR(LOOKUP(2,1/(Table1[[#This Row],[2019-May]:[2025-July]]&lt;&gt;0),Table1[[#This Row],[2019-May]:[2025-July]]),0)</f>
        <v>5.6</v>
      </c>
      <c r="N745" s="4">
        <f>COUNTIF(Table1[[#This Row],[2019-Apr]:[2025-July]],"&gt;="&amp;Table1[[#This Row],[Target]])</f>
        <v>11</v>
      </c>
      <c r="O745" s="4">
        <f>IF(Table1[[#This Row],[Outliers 2Y]]=0,1,0)</f>
        <v>0</v>
      </c>
      <c r="P745" s="4">
        <f>IF(Table1[[#This Row],[Last value]]&gt;1.5*Table1[[#This Row],[Target]],1,0)</f>
        <v>0</v>
      </c>
      <c r="Q745" s="4">
        <f>IF(AND(1.5*Table1[[#This Row],[Target]]&gt;=Table1[[#This Row],[Last value]],Table1[[#This Row],[Last value]]&gt;Table1[[#This Row],[Target]]),1,0)</f>
        <v>1</v>
      </c>
      <c r="R745" s="4">
        <f>IF(Table1[[#This Row],[Target]]&gt;=Table1[[#This Row],[Last value]],1,0)</f>
        <v>0</v>
      </c>
      <c r="S745" s="4" t="str">
        <f t="shared" si="20"/>
        <v>Yellow</v>
      </c>
      <c r="T745" s="55">
        <v>0</v>
      </c>
      <c r="U745" s="55">
        <v>0</v>
      </c>
      <c r="V745" s="55">
        <v>0</v>
      </c>
      <c r="W745" s="55">
        <v>7.43</v>
      </c>
      <c r="X745" s="55">
        <v>0</v>
      </c>
      <c r="Y745" s="55">
        <v>0</v>
      </c>
      <c r="Z745" s="55">
        <v>0</v>
      </c>
      <c r="AA745" s="55">
        <v>0</v>
      </c>
      <c r="AB745" s="55">
        <v>3.4</v>
      </c>
      <c r="AC745" s="55">
        <v>0</v>
      </c>
      <c r="AD745" s="55">
        <v>1.1499999999999999</v>
      </c>
      <c r="AE745" s="55">
        <v>4.9000000000000004</v>
      </c>
      <c r="AF745" s="55">
        <v>4.2</v>
      </c>
      <c r="AG745" s="55">
        <v>6.5</v>
      </c>
      <c r="AH745" s="55">
        <v>4.4000000000000004</v>
      </c>
      <c r="AI745" s="55">
        <v>0</v>
      </c>
      <c r="AJ745" s="55">
        <v>5.03</v>
      </c>
      <c r="AK745" s="55">
        <v>4.53</v>
      </c>
      <c r="AL745" s="55">
        <v>3.15</v>
      </c>
      <c r="AM745" s="55">
        <v>4.96</v>
      </c>
      <c r="AN745" s="55">
        <v>0</v>
      </c>
      <c r="AO745" s="55">
        <v>7.63</v>
      </c>
      <c r="AP745" s="55">
        <v>0</v>
      </c>
      <c r="AQ745" s="55">
        <v>2.67</v>
      </c>
      <c r="AR745" s="8">
        <v>0</v>
      </c>
      <c r="AS745" s="8">
        <v>3.5</v>
      </c>
      <c r="AT745" s="8">
        <v>2.93</v>
      </c>
      <c r="AU745" s="50">
        <v>3.2</v>
      </c>
      <c r="AV745" s="50">
        <v>3.59</v>
      </c>
      <c r="AW745" s="50">
        <v>3.7</v>
      </c>
      <c r="AX745" s="50">
        <v>0</v>
      </c>
      <c r="AY745" s="50">
        <v>2.61</v>
      </c>
      <c r="AZ745" s="50">
        <v>0</v>
      </c>
      <c r="BA745" s="50">
        <v>3.2</v>
      </c>
      <c r="BB745" s="50">
        <v>2.9</v>
      </c>
      <c r="BC745" s="50">
        <v>0</v>
      </c>
      <c r="BD745" s="55">
        <v>0</v>
      </c>
      <c r="BE745" s="11">
        <v>0</v>
      </c>
      <c r="BF745" s="4">
        <v>2.9750000000000001</v>
      </c>
      <c r="BG745" s="4">
        <v>2.2229999999999999</v>
      </c>
      <c r="BH745" s="4">
        <v>2.968</v>
      </c>
      <c r="BI745" s="4">
        <v>2.9980000000000002</v>
      </c>
      <c r="BJ745" s="14">
        <v>2.3719999999999999</v>
      </c>
      <c r="BK745" s="14">
        <v>2.093</v>
      </c>
      <c r="BL745" s="4">
        <v>0</v>
      </c>
      <c r="BM745" s="17">
        <v>2.3839999999999999</v>
      </c>
      <c r="BN745" s="4">
        <v>0</v>
      </c>
      <c r="BO745" s="4">
        <v>2.7090000000000001</v>
      </c>
      <c r="BP745" s="4">
        <v>0</v>
      </c>
      <c r="BQ745" s="4">
        <v>3.2839999999999998</v>
      </c>
      <c r="BR745" s="4">
        <v>2.77</v>
      </c>
      <c r="BS745" s="4">
        <v>2.802</v>
      </c>
      <c r="BT745" s="4">
        <v>2.99</v>
      </c>
      <c r="BU745" s="4">
        <v>0</v>
      </c>
      <c r="BV745" s="4">
        <v>3.754</v>
      </c>
      <c r="BW745" s="4">
        <v>0</v>
      </c>
      <c r="BX745" s="4">
        <v>0</v>
      </c>
      <c r="BY745" s="4">
        <v>2.7349999999999999</v>
      </c>
      <c r="BZ745" s="55">
        <v>2.83</v>
      </c>
      <c r="CA745" s="55">
        <v>0</v>
      </c>
      <c r="CB745" s="55">
        <v>2.0699999999999998</v>
      </c>
      <c r="CC745" s="55">
        <v>3.85</v>
      </c>
      <c r="CD745" s="55">
        <v>3.22</v>
      </c>
      <c r="CE745" s="19">
        <v>4</v>
      </c>
      <c r="CF745" s="19">
        <v>3.8</v>
      </c>
      <c r="CG745" s="4">
        <v>5.08</v>
      </c>
      <c r="CH745" s="4">
        <v>4.34</v>
      </c>
      <c r="CI745" s="4">
        <v>3.11</v>
      </c>
      <c r="CJ745" s="34">
        <v>3.4</v>
      </c>
      <c r="CK745" s="34">
        <v>4</v>
      </c>
      <c r="CL745" s="43">
        <v>4.0999999999999996</v>
      </c>
      <c r="CM745" s="4">
        <v>3.9</v>
      </c>
      <c r="CN745" s="53">
        <v>3.5</v>
      </c>
      <c r="CO745" s="54">
        <v>6.6</v>
      </c>
      <c r="CP745" s="54">
        <v>6</v>
      </c>
      <c r="CQ745" s="4">
        <v>5.6</v>
      </c>
    </row>
    <row r="746" spans="1:95" s="55" customFormat="1" x14ac:dyDescent="0.35">
      <c r="A746" s="55">
        <v>745</v>
      </c>
      <c r="B746" s="55" t="s">
        <v>105</v>
      </c>
      <c r="C746" s="27" t="s">
        <v>494</v>
      </c>
      <c r="D746" s="50" t="s">
        <v>93</v>
      </c>
      <c r="E746" s="33" t="s">
        <v>89</v>
      </c>
      <c r="F746" s="4">
        <f>IFERROR(AVERAGEIF(Table1[[#This Row],[2019-Apr]:[2025-July]],"&lt;&gt;0"),0)</f>
        <v>4.044135135135134</v>
      </c>
      <c r="G746" s="4">
        <f ca="1">IFERROR(AVERAGEIF(OFFSET(Table1[[#This Row],[Status]],0,COUNT(Table1[[#This Row],[2019-May]:[2025-July]]),1,-12),"&lt;&gt;0"),0)</f>
        <v>0</v>
      </c>
      <c r="H746" s="55">
        <f>IFERROR(SMALL(Table1[[#This Row],[2019-Apr]:[2025-July]],COUNTIF(Table1[[#This Row],[2019-Apr]:[2025-July]],0)+1),0)</f>
        <v>1.7649999999999999</v>
      </c>
      <c r="I746" s="55">
        <f>IFERROR(MAX(Table1[[#This Row],[2019-Apr]:[2025-July]]),0)</f>
        <v>10.9</v>
      </c>
      <c r="J746" s="4" cm="1">
        <f t="array" ref="J74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2.168333333333333</v>
      </c>
      <c r="K746" s="4">
        <v>4.5</v>
      </c>
      <c r="L746" s="4">
        <f>IF(Table1[[#This Row],[Standard as per ISO]]&gt;=Table1[[#This Row],[Avg of best 6]],Table1[[#This Row],[Standard as per ISO]],Table1[[#This Row],[Avg of best 6]])</f>
        <v>4.5</v>
      </c>
      <c r="M746" s="4" cm="1">
        <f t="array" ref="M746">IFERROR(LOOKUP(2,1/(Table1[[#This Row],[2019-May]:[2025-July]]&lt;&gt;0),Table1[[#This Row],[2019-May]:[2025-July]]),0)</f>
        <v>5.14</v>
      </c>
      <c r="N746" s="4">
        <f>COUNTIF(Table1[[#This Row],[2019-Apr]:[2025-July]],"&gt;="&amp;Table1[[#This Row],[Target]])</f>
        <v>10</v>
      </c>
      <c r="O746" s="4">
        <f>IF(Table1[[#This Row],[Outliers 2Y]]=0,1,0)</f>
        <v>0</v>
      </c>
      <c r="P746" s="4">
        <f>IF(Table1[[#This Row],[Last value]]&gt;1.5*Table1[[#This Row],[Target]],1,0)</f>
        <v>0</v>
      </c>
      <c r="Q746" s="4">
        <f>IF(AND(1.5*Table1[[#This Row],[Target]]&gt;=Table1[[#This Row],[Last value]],Table1[[#This Row],[Last value]]&gt;Table1[[#This Row],[Target]]),1,0)</f>
        <v>1</v>
      </c>
      <c r="R746" s="4">
        <f>IF(Table1[[#This Row],[Target]]&gt;=Table1[[#This Row],[Last value]],1,0)</f>
        <v>0</v>
      </c>
      <c r="S746" s="4" t="str">
        <f t="shared" si="20"/>
        <v>Yellow</v>
      </c>
      <c r="T746" s="55">
        <v>0</v>
      </c>
      <c r="U746" s="55">
        <v>0</v>
      </c>
      <c r="V746" s="55">
        <v>5.89</v>
      </c>
      <c r="W746" s="55">
        <v>7.71</v>
      </c>
      <c r="X746" s="55">
        <v>10.9</v>
      </c>
      <c r="Y746" s="55">
        <v>6.3</v>
      </c>
      <c r="Z746" s="55">
        <v>7.94</v>
      </c>
      <c r="AA746" s="55">
        <v>0</v>
      </c>
      <c r="AB746" s="55">
        <v>6.1</v>
      </c>
      <c r="AC746" s="55">
        <v>0</v>
      </c>
      <c r="AD746" s="55">
        <v>7.39</v>
      </c>
      <c r="AE746" s="55">
        <v>5.15</v>
      </c>
      <c r="AF746" s="55">
        <v>0</v>
      </c>
      <c r="AG746" s="55">
        <v>0</v>
      </c>
      <c r="AH746" s="55">
        <v>0</v>
      </c>
      <c r="AI746" s="55">
        <v>0</v>
      </c>
      <c r="AJ746" s="55">
        <v>0</v>
      </c>
      <c r="AK746" s="55">
        <v>0</v>
      </c>
      <c r="AL746" s="55">
        <v>3.75</v>
      </c>
      <c r="AM746" s="55">
        <v>3.13</v>
      </c>
      <c r="AN746" s="55">
        <v>0</v>
      </c>
      <c r="AO746" s="55">
        <v>0</v>
      </c>
      <c r="AP746" s="55">
        <v>3.53</v>
      </c>
      <c r="AQ746" s="55">
        <v>0</v>
      </c>
      <c r="AR746" s="8">
        <v>3.93</v>
      </c>
      <c r="AS746" s="8">
        <v>3.52</v>
      </c>
      <c r="AT746" s="8">
        <v>3.6</v>
      </c>
      <c r="AU746" s="50">
        <v>4.12</v>
      </c>
      <c r="AV746" s="50">
        <v>0</v>
      </c>
      <c r="AW746" s="50">
        <v>0</v>
      </c>
      <c r="AX746" s="50">
        <v>3.19</v>
      </c>
      <c r="AY746" s="50">
        <v>2.38</v>
      </c>
      <c r="AZ746" s="50">
        <v>0</v>
      </c>
      <c r="BA746" s="50">
        <v>3.6</v>
      </c>
      <c r="BB746" s="50">
        <v>2.2999999999999998</v>
      </c>
      <c r="BC746" s="55">
        <v>2.2999999999999998</v>
      </c>
      <c r="BD746" s="55">
        <v>0</v>
      </c>
      <c r="BE746" s="11">
        <v>3.544</v>
      </c>
      <c r="BF746" s="4">
        <v>8</v>
      </c>
      <c r="BG746" s="4">
        <v>3.4729999999999999</v>
      </c>
      <c r="BH746" s="4">
        <v>0</v>
      </c>
      <c r="BI746" s="4">
        <v>0</v>
      </c>
      <c r="BJ746" s="13">
        <v>0</v>
      </c>
      <c r="BK746" s="13">
        <v>1.7649999999999999</v>
      </c>
      <c r="BL746" s="4">
        <v>2.8159999999999998</v>
      </c>
      <c r="BM746" s="16">
        <v>0</v>
      </c>
      <c r="BN746" s="4">
        <v>2.6150000000000002</v>
      </c>
      <c r="BO746" s="4">
        <v>0</v>
      </c>
      <c r="BP746" s="4">
        <v>2.95</v>
      </c>
      <c r="BQ746" s="4">
        <v>0</v>
      </c>
      <c r="BR746" s="4">
        <v>0</v>
      </c>
      <c r="BS746" s="4">
        <v>2.69</v>
      </c>
      <c r="BT746" s="4">
        <v>2.6850000000000001</v>
      </c>
      <c r="BU746" s="4">
        <v>0</v>
      </c>
      <c r="BV746" s="4">
        <v>2.2959999999999998</v>
      </c>
      <c r="BW746" s="4">
        <v>2.0819999999999999</v>
      </c>
      <c r="BX746" s="4">
        <v>2.2669999999999999</v>
      </c>
      <c r="BY746" s="4">
        <v>2.42</v>
      </c>
      <c r="BZ746" s="55">
        <v>2.79</v>
      </c>
      <c r="CA746" s="55">
        <v>2.6</v>
      </c>
      <c r="CB746" s="55">
        <v>2.77</v>
      </c>
      <c r="CC746" s="55">
        <v>5.14</v>
      </c>
      <c r="CD746" s="55">
        <v>0</v>
      </c>
      <c r="CE746" s="19">
        <v>0</v>
      </c>
      <c r="CF746" s="19">
        <v>0</v>
      </c>
      <c r="CG746" s="4">
        <v>0</v>
      </c>
      <c r="CH746" s="4">
        <v>0</v>
      </c>
      <c r="CI746" s="4">
        <v>0</v>
      </c>
      <c r="CJ746" s="34">
        <v>0</v>
      </c>
      <c r="CK746" s="34">
        <v>0</v>
      </c>
      <c r="CL746" s="43">
        <v>0</v>
      </c>
      <c r="CM746" s="4">
        <v>0</v>
      </c>
      <c r="CN746" s="53">
        <v>0</v>
      </c>
      <c r="CO746" s="54">
        <v>0</v>
      </c>
      <c r="CP746" s="54">
        <v>0</v>
      </c>
      <c r="CQ746" s="4">
        <v>0</v>
      </c>
    </row>
    <row r="747" spans="1:95" s="55" customFormat="1" x14ac:dyDescent="0.35">
      <c r="A747" s="55">
        <v>746</v>
      </c>
      <c r="B747" s="55" t="s">
        <v>105</v>
      </c>
      <c r="C747" s="27" t="s">
        <v>495</v>
      </c>
      <c r="D747" s="50" t="s">
        <v>93</v>
      </c>
      <c r="E747" s="33" t="s">
        <v>89</v>
      </c>
      <c r="F747" s="4">
        <f>IFERROR(AVERAGEIF(Table1[[#This Row],[2019-Apr]:[2025-July]],"&lt;&gt;0"),0)</f>
        <v>5.1690799999999992</v>
      </c>
      <c r="G747" s="4">
        <f ca="1">IFERROR(AVERAGEIF(OFFSET(Table1[[#This Row],[Status]],0,COUNT(Table1[[#This Row],[2019-May]:[2025-July]]),1,-12),"&lt;&gt;0"),0)</f>
        <v>6.3241666666666667</v>
      </c>
      <c r="H747" s="55">
        <f>IFERROR(SMALL(Table1[[#This Row],[2019-Apr]:[2025-July]],COUNTIF(Table1[[#This Row],[2019-Apr]:[2025-July]],0)+1),0)</f>
        <v>2.74</v>
      </c>
      <c r="I747" s="55">
        <f>IFERROR(MAX(Table1[[#This Row],[2019-Apr]:[2025-July]]),0)</f>
        <v>7.1820000000000004</v>
      </c>
      <c r="J747" s="4" cm="1">
        <f t="array" ref="J74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3.1483333333333334</v>
      </c>
      <c r="K747" s="4">
        <v>4.5</v>
      </c>
      <c r="L747" s="4">
        <f>IF(Table1[[#This Row],[Standard as per ISO]]&gt;=Table1[[#This Row],[Avg of best 6]],Table1[[#This Row],[Standard as per ISO]],Table1[[#This Row],[Avg of best 6]])</f>
        <v>4.5</v>
      </c>
      <c r="M747" s="4" cm="1">
        <f t="array" ref="M747">IFERROR(LOOKUP(2,1/(Table1[[#This Row],[2019-May]:[2025-July]]&lt;&gt;0),Table1[[#This Row],[2019-May]:[2025-July]]),0)</f>
        <v>4.4000000000000004</v>
      </c>
      <c r="N747" s="4">
        <f>COUNTIF(Table1[[#This Row],[2019-Apr]:[2025-July]],"&gt;="&amp;Table1[[#This Row],[Target]])</f>
        <v>32</v>
      </c>
      <c r="O747" s="4">
        <f>IF(Table1[[#This Row],[Outliers 2Y]]=0,1,0)</f>
        <v>0</v>
      </c>
      <c r="P747" s="4">
        <f>IF(Table1[[#This Row],[Last value]]&gt;1.5*Table1[[#This Row],[Target]],1,0)</f>
        <v>0</v>
      </c>
      <c r="Q747" s="4">
        <f>IF(AND(1.5*Table1[[#This Row],[Target]]&gt;=Table1[[#This Row],[Last value]],Table1[[#This Row],[Last value]]&gt;Table1[[#This Row],[Target]]),1,0)</f>
        <v>0</v>
      </c>
      <c r="R747" s="4">
        <f>IF(Table1[[#This Row],[Target]]&gt;=Table1[[#This Row],[Last value]],1,0)</f>
        <v>1</v>
      </c>
      <c r="S747" s="4" t="str">
        <f t="shared" si="20"/>
        <v>Green</v>
      </c>
      <c r="T747" s="55">
        <v>2.74</v>
      </c>
      <c r="U747" s="55">
        <v>0</v>
      </c>
      <c r="V747" s="55">
        <v>3.3</v>
      </c>
      <c r="W747" s="55">
        <v>0</v>
      </c>
      <c r="X747" s="55">
        <v>3.24</v>
      </c>
      <c r="Y747" s="55">
        <v>4.2</v>
      </c>
      <c r="Z747" s="55">
        <v>4.3</v>
      </c>
      <c r="AA747" s="55">
        <v>0</v>
      </c>
      <c r="AB747" s="55">
        <v>0</v>
      </c>
      <c r="AC747" s="55">
        <v>3.92</v>
      </c>
      <c r="AD747" s="55">
        <v>0</v>
      </c>
      <c r="AE747" s="55">
        <v>4.13</v>
      </c>
      <c r="AF747" s="55">
        <v>4</v>
      </c>
      <c r="AG747" s="55">
        <v>4.5999999999999996</v>
      </c>
      <c r="AH747" s="55">
        <v>3.2</v>
      </c>
      <c r="AI747" s="55">
        <v>0</v>
      </c>
      <c r="AJ747" s="55">
        <v>4.62</v>
      </c>
      <c r="AK747" s="55">
        <v>4.4000000000000004</v>
      </c>
      <c r="AL747" s="55">
        <v>0</v>
      </c>
      <c r="AM747" s="55">
        <v>0</v>
      </c>
      <c r="AN747" s="55">
        <v>0</v>
      </c>
      <c r="AO747" s="55">
        <v>3.13</v>
      </c>
      <c r="AP747" s="55">
        <v>3.12</v>
      </c>
      <c r="AQ747" s="55">
        <v>3.87</v>
      </c>
      <c r="AR747" s="8">
        <v>3.22</v>
      </c>
      <c r="AS747" s="8">
        <v>0</v>
      </c>
      <c r="AT747" s="8">
        <v>0</v>
      </c>
      <c r="AU747" s="50">
        <v>0</v>
      </c>
      <c r="AV747" s="50">
        <v>4.07</v>
      </c>
      <c r="AW747" s="50">
        <v>5.2</v>
      </c>
      <c r="AX747" s="50">
        <v>5.47</v>
      </c>
      <c r="AY747" s="50">
        <v>6.66</v>
      </c>
      <c r="AZ747" s="50">
        <v>0</v>
      </c>
      <c r="BA747" s="50">
        <v>0</v>
      </c>
      <c r="BB747" s="50">
        <v>0</v>
      </c>
      <c r="BC747" s="55">
        <v>4.2</v>
      </c>
      <c r="BD747" s="55">
        <v>0</v>
      </c>
      <c r="BE747" s="11">
        <v>6.2</v>
      </c>
      <c r="BF747" s="4">
        <v>6.3529999999999998</v>
      </c>
      <c r="BG747" s="4">
        <v>0</v>
      </c>
      <c r="BH747" s="4">
        <v>6.3529999999999998</v>
      </c>
      <c r="BI747" s="4">
        <v>6.0019999999999998</v>
      </c>
      <c r="BJ747" s="14">
        <v>6.47</v>
      </c>
      <c r="BK747" s="14">
        <v>0</v>
      </c>
      <c r="BL747" s="4">
        <v>7.0220000000000002</v>
      </c>
      <c r="BM747" s="17">
        <v>5.6689999999999996</v>
      </c>
      <c r="BN747" s="4">
        <v>6.9649999999999999</v>
      </c>
      <c r="BO747" s="4">
        <v>7.1820000000000004</v>
      </c>
      <c r="BP747" s="4">
        <v>5.835</v>
      </c>
      <c r="BQ747" s="4">
        <v>5.39</v>
      </c>
      <c r="BR747" s="4">
        <v>2.98</v>
      </c>
      <c r="BS747" s="4">
        <v>0</v>
      </c>
      <c r="BT747" s="4">
        <v>0</v>
      </c>
      <c r="BU747" s="4">
        <v>0</v>
      </c>
      <c r="BV747" s="4">
        <v>0</v>
      </c>
      <c r="BW747" s="4">
        <v>4.8360000000000003</v>
      </c>
      <c r="BX747" s="4">
        <v>4.8769999999999998</v>
      </c>
      <c r="BY747" s="4">
        <v>0</v>
      </c>
      <c r="BZ747" s="55">
        <v>0</v>
      </c>
      <c r="CA747" s="55">
        <v>5.0599999999999996</v>
      </c>
      <c r="CB747" s="55">
        <v>0</v>
      </c>
      <c r="CC747" s="55">
        <v>0</v>
      </c>
      <c r="CD747" s="55">
        <v>5.38</v>
      </c>
      <c r="CE747" s="19">
        <v>6.2</v>
      </c>
      <c r="CF747" s="19">
        <v>6.4</v>
      </c>
      <c r="CG747" s="4">
        <v>6.3</v>
      </c>
      <c r="CH747" s="4">
        <v>6.66</v>
      </c>
      <c r="CI747" s="4">
        <v>6.73</v>
      </c>
      <c r="CJ747" s="34">
        <v>6.6</v>
      </c>
      <c r="CK747" s="34">
        <v>6.6</v>
      </c>
      <c r="CL747" s="43">
        <v>6.4</v>
      </c>
      <c r="CM747" s="4">
        <v>6</v>
      </c>
      <c r="CN747" s="53">
        <v>6.3</v>
      </c>
      <c r="CO747" s="54">
        <v>5.6</v>
      </c>
      <c r="CP747" s="54">
        <v>6.1</v>
      </c>
      <c r="CQ747" s="4">
        <v>4.4000000000000004</v>
      </c>
    </row>
    <row r="748" spans="1:95" s="55" customFormat="1" x14ac:dyDescent="0.35">
      <c r="A748" s="55">
        <v>747</v>
      </c>
      <c r="B748" s="55" t="s">
        <v>105</v>
      </c>
      <c r="C748" s="27" t="s">
        <v>496</v>
      </c>
      <c r="D748" s="50" t="s">
        <v>93</v>
      </c>
      <c r="E748" s="33" t="s">
        <v>89</v>
      </c>
      <c r="F748" s="4">
        <f>IFERROR(AVERAGEIF(Table1[[#This Row],[2019-Apr]:[2025-July]],"&lt;&gt;0"),0)</f>
        <v>1.2227681159420292</v>
      </c>
      <c r="G748" s="4">
        <f ca="1">IFERROR(AVERAGEIF(OFFSET(Table1[[#This Row],[Status]],0,COUNT(Table1[[#This Row],[2019-May]:[2025-July]]),1,-12),"&lt;&gt;0"),0)</f>
        <v>1.5874999999999997</v>
      </c>
      <c r="H748" s="55">
        <f>IFERROR(SMALL(Table1[[#This Row],[2019-Apr]:[2025-July]],COUNTIF(Table1[[#This Row],[2019-Apr]:[2025-July]],0)+1),0)</f>
        <v>0.77800000000000002</v>
      </c>
      <c r="I748" s="55">
        <f>IFERROR(MAX(Table1[[#This Row],[2019-Apr]:[2025-July]]),0)</f>
        <v>2.59</v>
      </c>
      <c r="J748" s="4" cm="1">
        <f t="array" ref="J74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0.83633333333333348</v>
      </c>
      <c r="K748" s="4">
        <v>4.5</v>
      </c>
      <c r="L748" s="4">
        <f>IF(Table1[[#This Row],[Standard as per ISO]]&gt;=Table1[[#This Row],[Avg of best 6]],Table1[[#This Row],[Standard as per ISO]],Table1[[#This Row],[Avg of best 6]])</f>
        <v>4.5</v>
      </c>
      <c r="M748" s="4" cm="1">
        <f t="array" ref="M748">IFERROR(LOOKUP(2,1/(Table1[[#This Row],[2019-May]:[2025-July]]&lt;&gt;0),Table1[[#This Row],[2019-May]:[2025-July]]),0)</f>
        <v>0.8</v>
      </c>
      <c r="N748" s="4">
        <f>COUNTIF(Table1[[#This Row],[2019-Apr]:[2025-July]],"&gt;="&amp;Table1[[#This Row],[Target]])</f>
        <v>0</v>
      </c>
      <c r="O748" s="4">
        <f>IF(Table1[[#This Row],[Outliers 2Y]]=0,1,0)</f>
        <v>1</v>
      </c>
      <c r="P748" s="4">
        <f>IF(Table1[[#This Row],[Last value]]&gt;1.5*Table1[[#This Row],[Target]],1,0)</f>
        <v>0</v>
      </c>
      <c r="Q748" s="4">
        <f>IF(AND(1.5*Table1[[#This Row],[Target]]&gt;=Table1[[#This Row],[Last value]],Table1[[#This Row],[Last value]]&gt;Table1[[#This Row],[Target]]),1,0)</f>
        <v>0</v>
      </c>
      <c r="R748" s="4">
        <f>IF(Table1[[#This Row],[Target]]&gt;=Table1[[#This Row],[Last value]],1,0)</f>
        <v>1</v>
      </c>
      <c r="S748" s="4" t="str">
        <f t="shared" si="20"/>
        <v>Green</v>
      </c>
      <c r="T748" s="55">
        <v>1.3</v>
      </c>
      <c r="U748" s="55">
        <v>0</v>
      </c>
      <c r="V748" s="55">
        <v>0.93</v>
      </c>
      <c r="W748" s="55">
        <v>1.0900000000000001</v>
      </c>
      <c r="X748" s="55">
        <v>1.59</v>
      </c>
      <c r="Y748" s="55">
        <v>1.8</v>
      </c>
      <c r="Z748" s="55">
        <v>1.17</v>
      </c>
      <c r="AA748" s="55">
        <v>0</v>
      </c>
      <c r="AB748" s="55">
        <v>1</v>
      </c>
      <c r="AC748" s="55">
        <v>1.01</v>
      </c>
      <c r="AD748" s="55">
        <v>1.1000000000000001</v>
      </c>
      <c r="AE748" s="55">
        <v>1</v>
      </c>
      <c r="AF748" s="55">
        <v>1</v>
      </c>
      <c r="AG748" s="55">
        <v>0.8</v>
      </c>
      <c r="AH748" s="55">
        <v>1.08</v>
      </c>
      <c r="AI748" s="55">
        <v>0</v>
      </c>
      <c r="AJ748" s="55">
        <v>1.0900000000000001</v>
      </c>
      <c r="AK748" s="55">
        <v>0.92</v>
      </c>
      <c r="AL748" s="55">
        <v>0.99</v>
      </c>
      <c r="AM748" s="55">
        <v>0.93</v>
      </c>
      <c r="AN748" s="55">
        <v>0</v>
      </c>
      <c r="AO748" s="55">
        <v>0.93</v>
      </c>
      <c r="AP748" s="55">
        <v>1.02</v>
      </c>
      <c r="AQ748" s="55">
        <v>1</v>
      </c>
      <c r="AR748" s="8">
        <v>1.1200000000000001</v>
      </c>
      <c r="AS748" s="8">
        <v>0.9</v>
      </c>
      <c r="AT748" s="8">
        <v>0.93</v>
      </c>
      <c r="AU748" s="50">
        <v>0.84</v>
      </c>
      <c r="AV748" s="50">
        <v>0.95</v>
      </c>
      <c r="AW748" s="50">
        <v>1</v>
      </c>
      <c r="AX748" s="50">
        <v>0.92</v>
      </c>
      <c r="AY748" s="50">
        <v>1.24</v>
      </c>
      <c r="AZ748" s="50">
        <v>0</v>
      </c>
      <c r="BA748" s="50">
        <v>1.1000000000000001</v>
      </c>
      <c r="BB748" s="50">
        <v>1.2</v>
      </c>
      <c r="BC748" s="55">
        <v>0.9</v>
      </c>
      <c r="BD748" s="55">
        <v>0</v>
      </c>
      <c r="BE748" s="11">
        <v>1.0169999999999999</v>
      </c>
      <c r="BF748" s="4">
        <v>1.034</v>
      </c>
      <c r="BG748" s="4">
        <v>1.2450000000000001</v>
      </c>
      <c r="BH748" s="4">
        <v>1.2450000000000001</v>
      </c>
      <c r="BI748" s="4">
        <v>0.98</v>
      </c>
      <c r="BJ748" s="13">
        <v>1.081</v>
      </c>
      <c r="BK748" s="13">
        <v>1.4830000000000001</v>
      </c>
      <c r="BL748" s="4">
        <v>1.1990000000000001</v>
      </c>
      <c r="BM748" s="16">
        <v>1.026</v>
      </c>
      <c r="BN748" s="4">
        <v>1.093</v>
      </c>
      <c r="BO748" s="4">
        <v>1.0429999999999999</v>
      </c>
      <c r="BP748" s="4">
        <v>1.0569999999999999</v>
      </c>
      <c r="BQ748" s="4">
        <v>1.0029999999999999</v>
      </c>
      <c r="BR748" s="4">
        <v>0.77800000000000002</v>
      </c>
      <c r="BS748" s="4">
        <v>0.91900000000000004</v>
      </c>
      <c r="BT748" s="4">
        <v>0.98799999999999999</v>
      </c>
      <c r="BU748" s="4">
        <v>0</v>
      </c>
      <c r="BV748" s="4">
        <v>2.1059999999999999</v>
      </c>
      <c r="BW748" s="4">
        <v>1.341</v>
      </c>
      <c r="BX748" s="4">
        <v>1.4019999999999999</v>
      </c>
      <c r="BY748" s="4">
        <v>1.591</v>
      </c>
      <c r="BZ748" s="55">
        <v>1.72</v>
      </c>
      <c r="CA748" s="55">
        <v>1.61</v>
      </c>
      <c r="CB748" s="55">
        <v>1.24</v>
      </c>
      <c r="CC748" s="55">
        <v>1.68</v>
      </c>
      <c r="CD748" s="55">
        <v>1.79</v>
      </c>
      <c r="CE748" s="19">
        <v>1.5</v>
      </c>
      <c r="CF748" s="19">
        <v>1.9</v>
      </c>
      <c r="CG748" s="4">
        <v>1.68</v>
      </c>
      <c r="CH748" s="4">
        <v>2.59</v>
      </c>
      <c r="CI748" s="4">
        <v>1.58</v>
      </c>
      <c r="CJ748" s="34">
        <v>1.4</v>
      </c>
      <c r="CK748" s="34">
        <v>1.6</v>
      </c>
      <c r="CL748" s="43">
        <v>1.3</v>
      </c>
      <c r="CM748" s="4">
        <v>1.5</v>
      </c>
      <c r="CN748" s="53">
        <v>1.4</v>
      </c>
      <c r="CO748" s="54">
        <v>1.2</v>
      </c>
      <c r="CP748" s="54">
        <v>1.4</v>
      </c>
      <c r="CQ748" s="4">
        <v>0.8</v>
      </c>
    </row>
    <row r="749" spans="1:95" s="55" customFormat="1" x14ac:dyDescent="0.35">
      <c r="A749" s="55">
        <v>748</v>
      </c>
      <c r="B749" s="55" t="s">
        <v>105</v>
      </c>
      <c r="C749" s="27" t="s">
        <v>497</v>
      </c>
      <c r="D749" s="50" t="s">
        <v>93</v>
      </c>
      <c r="E749" s="33" t="s">
        <v>89</v>
      </c>
      <c r="F749" s="4">
        <f>IFERROR(AVERAGEIF(Table1[[#This Row],[2019-Apr]:[2025-July]],"&lt;&gt;0"),0)</f>
        <v>3.9872388059701489</v>
      </c>
      <c r="G749" s="4">
        <f ca="1">IFERROR(AVERAGEIF(OFFSET(Table1[[#This Row],[Status]],0,COUNT(Table1[[#This Row],[2019-May]:[2025-July]]),1,-12),"&lt;&gt;0"),0)</f>
        <v>3.8290909090909087</v>
      </c>
      <c r="H749" s="55">
        <f>IFERROR(SMALL(Table1[[#This Row],[2019-Apr]:[2025-July]],COUNTIF(Table1[[#This Row],[2019-Apr]:[2025-July]],0)+1),0)</f>
        <v>1.5</v>
      </c>
      <c r="I749" s="55">
        <f>IFERROR(MAX(Table1[[#This Row],[2019-Apr]:[2025-July]]),0)</f>
        <v>6.38</v>
      </c>
      <c r="J749" s="4" cm="1">
        <f t="array" ref="J74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2.5521666666666669</v>
      </c>
      <c r="K749" s="4">
        <v>4.5</v>
      </c>
      <c r="L749" s="4">
        <f>IF(Table1[[#This Row],[Standard as per ISO]]&gt;=Table1[[#This Row],[Avg of best 6]],Table1[[#This Row],[Standard as per ISO]],Table1[[#This Row],[Avg of best 6]])</f>
        <v>4.5</v>
      </c>
      <c r="M749" s="4" cm="1">
        <f t="array" ref="M749">IFERROR(LOOKUP(2,1/(Table1[[#This Row],[2019-May]:[2025-July]]&lt;&gt;0),Table1[[#This Row],[2019-May]:[2025-July]]),0)</f>
        <v>4.2</v>
      </c>
      <c r="N749" s="4">
        <f>COUNTIF(Table1[[#This Row],[2019-Apr]:[2025-July]],"&gt;="&amp;Table1[[#This Row],[Target]])</f>
        <v>18</v>
      </c>
      <c r="O749" s="4">
        <f>IF(Table1[[#This Row],[Outliers 2Y]]=0,1,0)</f>
        <v>0</v>
      </c>
      <c r="P749" s="4">
        <f>IF(Table1[[#This Row],[Last value]]&gt;1.5*Table1[[#This Row],[Target]],1,0)</f>
        <v>0</v>
      </c>
      <c r="Q749" s="4">
        <f>IF(AND(1.5*Table1[[#This Row],[Target]]&gt;=Table1[[#This Row],[Last value]],Table1[[#This Row],[Last value]]&gt;Table1[[#This Row],[Target]]),1,0)</f>
        <v>0</v>
      </c>
      <c r="R749" s="4">
        <f>IF(Table1[[#This Row],[Target]]&gt;=Table1[[#This Row],[Last value]],1,0)</f>
        <v>1</v>
      </c>
      <c r="S749" s="4" t="str">
        <f t="shared" si="20"/>
        <v>Green</v>
      </c>
      <c r="T749" s="55">
        <v>4.21</v>
      </c>
      <c r="U749" s="55">
        <v>0</v>
      </c>
      <c r="V749" s="55">
        <v>3.9</v>
      </c>
      <c r="W749" s="55">
        <v>3.52</v>
      </c>
      <c r="X749" s="55">
        <v>2.14</v>
      </c>
      <c r="Y749" s="55">
        <v>4</v>
      </c>
      <c r="Z749" s="55">
        <v>4.7300000000000004</v>
      </c>
      <c r="AA749" s="55">
        <v>0</v>
      </c>
      <c r="AB749" s="55">
        <v>3.7</v>
      </c>
      <c r="AC749" s="55">
        <v>0</v>
      </c>
      <c r="AD749" s="55">
        <v>3.8</v>
      </c>
      <c r="AE749" s="55">
        <v>3.4</v>
      </c>
      <c r="AF749" s="55">
        <v>3.7</v>
      </c>
      <c r="AG749" s="55">
        <v>3.8</v>
      </c>
      <c r="AH749" s="55">
        <v>0</v>
      </c>
      <c r="AI749" s="55">
        <v>5.63</v>
      </c>
      <c r="AJ749" s="55">
        <v>4.55</v>
      </c>
      <c r="AK749" s="55">
        <v>6.3</v>
      </c>
      <c r="AL749" s="55">
        <v>6.38</v>
      </c>
      <c r="AM749" s="55">
        <v>6.31</v>
      </c>
      <c r="AN749" s="55">
        <v>0</v>
      </c>
      <c r="AO749" s="55">
        <v>4.43</v>
      </c>
      <c r="AP749" s="55">
        <v>4.66</v>
      </c>
      <c r="AQ749" s="55">
        <v>3.85</v>
      </c>
      <c r="AR749" s="8">
        <v>4.0199999999999996</v>
      </c>
      <c r="AS749" s="8">
        <v>4.17</v>
      </c>
      <c r="AT749" s="8">
        <v>4.45</v>
      </c>
      <c r="AU749" s="50">
        <v>3.9</v>
      </c>
      <c r="AV749" s="50">
        <v>4.57</v>
      </c>
      <c r="AW749" s="50">
        <v>4.74</v>
      </c>
      <c r="AX749" s="50">
        <v>4.08</v>
      </c>
      <c r="AY749" s="50">
        <v>2.92</v>
      </c>
      <c r="AZ749" s="50">
        <v>0</v>
      </c>
      <c r="BA749" s="50">
        <v>1.5</v>
      </c>
      <c r="BB749" s="50">
        <v>4.0999999999999996</v>
      </c>
      <c r="BC749" s="55">
        <v>3.8</v>
      </c>
      <c r="BD749" s="55">
        <v>0</v>
      </c>
      <c r="BE749" s="11">
        <v>4.6050000000000004</v>
      </c>
      <c r="BF749" s="4">
        <v>4.9269999999999996</v>
      </c>
      <c r="BG749" s="4">
        <v>4.6239999999999997</v>
      </c>
      <c r="BH749" s="4">
        <v>4.6239999999999997</v>
      </c>
      <c r="BI749" s="4">
        <v>3.2850000000000001</v>
      </c>
      <c r="BJ749" s="14">
        <v>3.94</v>
      </c>
      <c r="BK749" s="14">
        <v>4.7809999999999997</v>
      </c>
      <c r="BL749" s="4">
        <v>4.7859999999999996</v>
      </c>
      <c r="BM749" s="17">
        <v>4.9029999999999996</v>
      </c>
      <c r="BN749" s="4">
        <v>4.6079999999999997</v>
      </c>
      <c r="BO749" s="4">
        <v>4.1929999999999996</v>
      </c>
      <c r="BP749" s="4">
        <v>3.0550000000000002</v>
      </c>
      <c r="BQ749" s="4">
        <v>3.323</v>
      </c>
      <c r="BR749" s="4">
        <v>3.3969999999999998</v>
      </c>
      <c r="BS749" s="4">
        <v>2.9729999999999999</v>
      </c>
      <c r="BT749" s="4">
        <v>3.1709999999999998</v>
      </c>
      <c r="BU749" s="4">
        <v>0</v>
      </c>
      <c r="BV749" s="4">
        <v>2.97</v>
      </c>
      <c r="BW749" s="4">
        <v>3.7120000000000002</v>
      </c>
      <c r="BX749" s="4">
        <v>3.2989999999999999</v>
      </c>
      <c r="BY749" s="4">
        <v>3.9489999999999998</v>
      </c>
      <c r="BZ749" s="55">
        <v>3.66</v>
      </c>
      <c r="CA749" s="55">
        <v>3.64</v>
      </c>
      <c r="CB749" s="55">
        <v>2.81</v>
      </c>
      <c r="CC749" s="55">
        <v>3.18</v>
      </c>
      <c r="CD749" s="55">
        <v>3.15</v>
      </c>
      <c r="CE749" s="19">
        <v>3.2</v>
      </c>
      <c r="CF749" s="19">
        <v>4</v>
      </c>
      <c r="CG749" s="4">
        <v>4.28</v>
      </c>
      <c r="CH749" s="4">
        <v>3.58</v>
      </c>
      <c r="CI749" s="4">
        <v>3.76</v>
      </c>
      <c r="CJ749" s="34">
        <v>3.7</v>
      </c>
      <c r="CK749" s="34">
        <v>4</v>
      </c>
      <c r="CL749" s="43">
        <v>0</v>
      </c>
      <c r="CM749" s="4">
        <v>3.6</v>
      </c>
      <c r="CN749" s="53">
        <v>4.0999999999999996</v>
      </c>
      <c r="CO749" s="54">
        <v>3.3</v>
      </c>
      <c r="CP749" s="54">
        <v>4.5999999999999996</v>
      </c>
      <c r="CQ749" s="4">
        <v>4.2</v>
      </c>
    </row>
    <row r="750" spans="1:95" s="55" customFormat="1" x14ac:dyDescent="0.35">
      <c r="A750" s="55">
        <v>749</v>
      </c>
      <c r="B750" s="55" t="s">
        <v>105</v>
      </c>
      <c r="C750" s="27" t="s">
        <v>498</v>
      </c>
      <c r="D750" s="50" t="s">
        <v>93</v>
      </c>
      <c r="E750" s="33" t="s">
        <v>89</v>
      </c>
      <c r="F750" s="4">
        <f>IFERROR(AVERAGEIF(Table1[[#This Row],[2019-Apr]:[2025-July]],"&lt;&gt;0"),0)</f>
        <v>2.4241940298507463</v>
      </c>
      <c r="G750" s="4">
        <f ca="1">IFERROR(AVERAGEIF(OFFSET(Table1[[#This Row],[Status]],0,COUNT(Table1[[#This Row],[2019-May]:[2025-July]]),1,-12),"&lt;&gt;0"),0)</f>
        <v>2.2610000000000001</v>
      </c>
      <c r="H750" s="55">
        <f>IFERROR(SMALL(Table1[[#This Row],[2019-Apr]:[2025-July]],COUNTIF(Table1[[#This Row],[2019-Apr]:[2025-July]],0)+1),0)</f>
        <v>0.7</v>
      </c>
      <c r="I750" s="55">
        <f>IFERROR(MAX(Table1[[#This Row],[2019-Apr]:[2025-July]]),0)</f>
        <v>6.8</v>
      </c>
      <c r="J750" s="4" cm="1">
        <f t="array" ref="J75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0.85033333333333339</v>
      </c>
      <c r="K750" s="4">
        <v>4.5</v>
      </c>
      <c r="L750" s="4">
        <f>IF(Table1[[#This Row],[Standard as per ISO]]&gt;=Table1[[#This Row],[Avg of best 6]],Table1[[#This Row],[Standard as per ISO]],Table1[[#This Row],[Avg of best 6]])</f>
        <v>4.5</v>
      </c>
      <c r="M750" s="4" cm="1">
        <f t="array" ref="M750">IFERROR(LOOKUP(2,1/(Table1[[#This Row],[2019-May]:[2025-July]]&lt;&gt;0),Table1[[#This Row],[2019-May]:[2025-July]]),0)</f>
        <v>1.5</v>
      </c>
      <c r="N750" s="4">
        <f>COUNTIF(Table1[[#This Row],[2019-Apr]:[2025-July]],"&gt;="&amp;Table1[[#This Row],[Target]])</f>
        <v>5</v>
      </c>
      <c r="O750" s="4">
        <f>IF(Table1[[#This Row],[Outliers 2Y]]=0,1,0)</f>
        <v>0</v>
      </c>
      <c r="P750" s="4">
        <f>IF(Table1[[#This Row],[Last value]]&gt;1.5*Table1[[#This Row],[Target]],1,0)</f>
        <v>0</v>
      </c>
      <c r="Q750" s="4">
        <f>IF(AND(1.5*Table1[[#This Row],[Target]]&gt;=Table1[[#This Row],[Last value]],Table1[[#This Row],[Last value]]&gt;Table1[[#This Row],[Target]]),1,0)</f>
        <v>0</v>
      </c>
      <c r="R750" s="4">
        <f>IF(Table1[[#This Row],[Target]]&gt;=Table1[[#This Row],[Last value]],1,0)</f>
        <v>1</v>
      </c>
      <c r="S750" s="4" t="str">
        <f t="shared" si="20"/>
        <v>Green</v>
      </c>
      <c r="T750" s="55">
        <v>0</v>
      </c>
      <c r="U750" s="55">
        <v>0</v>
      </c>
      <c r="V750" s="55">
        <v>2.2400000000000002</v>
      </c>
      <c r="W750" s="55">
        <v>3.03</v>
      </c>
      <c r="X750" s="55">
        <v>2.68</v>
      </c>
      <c r="Y750" s="55">
        <v>2.2999999999999998</v>
      </c>
      <c r="Z750" s="55">
        <v>2.4</v>
      </c>
      <c r="AA750" s="55">
        <v>0</v>
      </c>
      <c r="AB750" s="55">
        <v>2.9</v>
      </c>
      <c r="AC750" s="55">
        <v>2.39</v>
      </c>
      <c r="AD750" s="55">
        <v>3.34</v>
      </c>
      <c r="AE750" s="55">
        <v>6.8</v>
      </c>
      <c r="AF750" s="55">
        <v>4.0999999999999996</v>
      </c>
      <c r="AG750" s="55">
        <v>5</v>
      </c>
      <c r="AH750" s="55">
        <v>4.2</v>
      </c>
      <c r="AI750" s="55">
        <v>0</v>
      </c>
      <c r="AJ750" s="55">
        <v>3.73</v>
      </c>
      <c r="AK750" s="55">
        <v>3.23</v>
      </c>
      <c r="AL750" s="55">
        <v>4.12</v>
      </c>
      <c r="AM750" s="55">
        <v>0</v>
      </c>
      <c r="AN750" s="55">
        <v>0</v>
      </c>
      <c r="AO750" s="55">
        <v>0.79</v>
      </c>
      <c r="AP750" s="55">
        <v>1.3</v>
      </c>
      <c r="AQ750" s="55">
        <v>1.34</v>
      </c>
      <c r="AR750" s="8">
        <v>2.17</v>
      </c>
      <c r="AS750" s="8">
        <v>1.27</v>
      </c>
      <c r="AT750" s="8">
        <v>0.97</v>
      </c>
      <c r="AU750" s="50">
        <v>0.79</v>
      </c>
      <c r="AV750" s="50">
        <v>0.87</v>
      </c>
      <c r="AW750" s="50">
        <v>1.35</v>
      </c>
      <c r="AX750" s="50">
        <v>1.33</v>
      </c>
      <c r="AY750" s="50">
        <v>1.92</v>
      </c>
      <c r="AZ750" s="50">
        <v>0</v>
      </c>
      <c r="BA750" s="50">
        <v>1.8</v>
      </c>
      <c r="BB750" s="50">
        <v>0.7</v>
      </c>
      <c r="BC750" s="55">
        <v>1.4</v>
      </c>
      <c r="BD750" s="55">
        <v>3.9</v>
      </c>
      <c r="BE750" s="11">
        <v>2.9</v>
      </c>
      <c r="BF750" s="4">
        <v>3.0830000000000002</v>
      </c>
      <c r="BG750" s="4">
        <v>3.68</v>
      </c>
      <c r="BH750" s="4">
        <v>1.63</v>
      </c>
      <c r="BI750" s="4">
        <v>2.177</v>
      </c>
      <c r="BJ750" s="13">
        <v>2.2770000000000001</v>
      </c>
      <c r="BK750" s="13">
        <v>3.9289999999999998</v>
      </c>
      <c r="BL750" s="4">
        <v>1.284</v>
      </c>
      <c r="BM750" s="16">
        <v>1.1379999999999999</v>
      </c>
      <c r="BN750" s="4">
        <v>1.0609999999999999</v>
      </c>
      <c r="BO750" s="4">
        <v>0.98199999999999998</v>
      </c>
      <c r="BP750" s="4">
        <v>3.1360000000000001</v>
      </c>
      <c r="BQ750" s="4">
        <v>1.7849999999999999</v>
      </c>
      <c r="BR750" s="4">
        <v>2.5190000000000001</v>
      </c>
      <c r="BS750" s="4">
        <v>2.3239999999999998</v>
      </c>
      <c r="BT750" s="4">
        <v>1.482</v>
      </c>
      <c r="BU750" s="4">
        <v>1.6910000000000001</v>
      </c>
      <c r="BV750" s="4">
        <v>1.6910000000000001</v>
      </c>
      <c r="BW750" s="4">
        <v>1.1599999999999999</v>
      </c>
      <c r="BX750" s="4">
        <v>2.5019999999999998</v>
      </c>
      <c r="BY750" s="4">
        <v>2.0699999999999998</v>
      </c>
      <c r="BZ750" s="55">
        <v>5.58</v>
      </c>
      <c r="CA750" s="55">
        <v>2.37</v>
      </c>
      <c r="CB750" s="55">
        <v>4.75</v>
      </c>
      <c r="CC750" s="55">
        <v>1.95</v>
      </c>
      <c r="CD750" s="55">
        <v>4.8</v>
      </c>
      <c r="CE750" s="19">
        <v>0</v>
      </c>
      <c r="CF750" s="19">
        <v>1.6</v>
      </c>
      <c r="CG750" s="4">
        <v>0</v>
      </c>
      <c r="CH750" s="4">
        <v>1.17</v>
      </c>
      <c r="CI750" s="4">
        <v>2.04</v>
      </c>
      <c r="CJ750" s="34">
        <v>2</v>
      </c>
      <c r="CK750" s="34">
        <v>3.2</v>
      </c>
      <c r="CL750" s="43">
        <v>2.4</v>
      </c>
      <c r="CM750" s="4">
        <v>2.7</v>
      </c>
      <c r="CN750" s="53">
        <v>3.7</v>
      </c>
      <c r="CO750" s="54">
        <v>1.8</v>
      </c>
      <c r="CP750" s="54">
        <v>2</v>
      </c>
      <c r="CQ750" s="4">
        <v>1.5</v>
      </c>
    </row>
    <row r="751" spans="1:95" s="55" customFormat="1" x14ac:dyDescent="0.35">
      <c r="A751" s="55">
        <v>750</v>
      </c>
      <c r="B751" s="55" t="s">
        <v>105</v>
      </c>
      <c r="C751" s="27" t="s">
        <v>499</v>
      </c>
      <c r="D751" s="50" t="s">
        <v>94</v>
      </c>
      <c r="E751" s="33" t="s">
        <v>89</v>
      </c>
      <c r="F751" s="4">
        <f>IFERROR(AVERAGEIF(Table1[[#This Row],[2019-Apr]:[2025-July]],"&lt;&gt;0"),0)</f>
        <v>3.0385957446808516</v>
      </c>
      <c r="G751" s="4">
        <f ca="1">IFERROR(AVERAGEIF(OFFSET(Table1[[#This Row],[Status]],0,COUNT(Table1[[#This Row],[2019-May]:[2025-July]]),1,-12),"&lt;&gt;0"),0)</f>
        <v>3.0214285714285718</v>
      </c>
      <c r="H751" s="55">
        <f>IFERROR(SMALL(Table1[[#This Row],[2019-Apr]:[2025-July]],COUNTIF(Table1[[#This Row],[2019-Apr]:[2025-July]],0)+1),0)</f>
        <v>1.26</v>
      </c>
      <c r="I751" s="55">
        <f>IFERROR(MAX(Table1[[#This Row],[2019-Apr]:[2025-July]]),0)</f>
        <v>6.59</v>
      </c>
      <c r="J751" s="4" cm="1">
        <f t="array" ref="J75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1.7763333333333333</v>
      </c>
      <c r="K751" s="4">
        <v>4.5</v>
      </c>
      <c r="L751" s="4">
        <f>IF(Table1[[#This Row],[Standard as per ISO]]&gt;=Table1[[#This Row],[Avg of best 6]],Table1[[#This Row],[Standard as per ISO]],Table1[[#This Row],[Avg of best 6]])</f>
        <v>4.5</v>
      </c>
      <c r="M751" s="4" cm="1">
        <f t="array" ref="M751">IFERROR(LOOKUP(2,1/(Table1[[#This Row],[2019-May]:[2025-July]]&lt;&gt;0),Table1[[#This Row],[2019-May]:[2025-July]]),0)</f>
        <v>3.9</v>
      </c>
      <c r="N751" s="4">
        <f>COUNTIF(Table1[[#This Row],[2019-Apr]:[2025-July]],"&gt;="&amp;Table1[[#This Row],[Target]])</f>
        <v>2</v>
      </c>
      <c r="O751" s="4">
        <f>IF(Table1[[#This Row],[Outliers 2Y]]=0,1,0)</f>
        <v>0</v>
      </c>
      <c r="P751" s="4">
        <f>IF(Table1[[#This Row],[Last value]]&gt;1.5*Table1[[#This Row],[Target]],1,0)</f>
        <v>0</v>
      </c>
      <c r="Q751" s="4">
        <f>IF(AND(1.5*Table1[[#This Row],[Target]]&gt;=Table1[[#This Row],[Last value]],Table1[[#This Row],[Last value]]&gt;Table1[[#This Row],[Target]]),1,0)</f>
        <v>0</v>
      </c>
      <c r="R751" s="4">
        <f>IF(Table1[[#This Row],[Target]]&gt;=Table1[[#This Row],[Last value]],1,0)</f>
        <v>1</v>
      </c>
      <c r="S751" s="4" t="str">
        <f t="shared" si="20"/>
        <v>Green</v>
      </c>
      <c r="T751" s="55">
        <v>3.92</v>
      </c>
      <c r="U751" s="55">
        <v>3.53</v>
      </c>
      <c r="V751" s="55">
        <v>3.16</v>
      </c>
      <c r="W751" s="55">
        <v>2.54</v>
      </c>
      <c r="X751" s="55">
        <v>3.29</v>
      </c>
      <c r="Y751" s="55">
        <v>2.5</v>
      </c>
      <c r="Z751" s="55">
        <v>3.7</v>
      </c>
      <c r="AA751" s="55">
        <v>0</v>
      </c>
      <c r="AB751" s="55">
        <v>3</v>
      </c>
      <c r="AC751" s="55">
        <v>0</v>
      </c>
      <c r="AD751" s="55">
        <v>2.38</v>
      </c>
      <c r="AE751" s="55">
        <v>3.05</v>
      </c>
      <c r="AF751" s="55">
        <v>0</v>
      </c>
      <c r="AG751" s="55">
        <v>2.7</v>
      </c>
      <c r="AH751" s="55">
        <v>2.9</v>
      </c>
      <c r="AI751" s="55">
        <v>0</v>
      </c>
      <c r="AJ751" s="55">
        <v>2.87</v>
      </c>
      <c r="AK751" s="55">
        <v>0</v>
      </c>
      <c r="AL751" s="55">
        <v>2.41</v>
      </c>
      <c r="AM751" s="55">
        <v>0</v>
      </c>
      <c r="AN751" s="55">
        <v>2.57</v>
      </c>
      <c r="AO751" s="55">
        <v>0</v>
      </c>
      <c r="AP751" s="55">
        <v>0</v>
      </c>
      <c r="AQ751" s="55">
        <v>0</v>
      </c>
      <c r="AR751" s="8">
        <v>0</v>
      </c>
      <c r="AS751" s="8">
        <v>4.63</v>
      </c>
      <c r="AT751" s="8">
        <v>3.2</v>
      </c>
      <c r="AU751" s="50">
        <v>2.38</v>
      </c>
      <c r="AV751" s="50">
        <v>0</v>
      </c>
      <c r="AW751" s="50">
        <v>0</v>
      </c>
      <c r="AX751" s="50">
        <v>0</v>
      </c>
      <c r="AY751" s="50">
        <v>2.8</v>
      </c>
      <c r="AZ751" s="50">
        <v>0</v>
      </c>
      <c r="BA751" s="50">
        <v>0</v>
      </c>
      <c r="BB751" s="50">
        <v>3.4</v>
      </c>
      <c r="BC751" s="55">
        <v>3.8</v>
      </c>
      <c r="BD751" s="55">
        <v>0</v>
      </c>
      <c r="BE751" s="11">
        <v>2.621</v>
      </c>
      <c r="BF751" s="4">
        <v>2.621</v>
      </c>
      <c r="BG751" s="4">
        <v>0</v>
      </c>
      <c r="BH751" s="4">
        <v>0</v>
      </c>
      <c r="BI751" s="4">
        <v>0</v>
      </c>
      <c r="BJ751" s="14">
        <v>0</v>
      </c>
      <c r="BK751" s="14">
        <v>4.141</v>
      </c>
      <c r="BL751" s="4">
        <v>3.8439999999999999</v>
      </c>
      <c r="BM751" s="17">
        <v>3.6989999999999998</v>
      </c>
      <c r="BN751" s="4">
        <v>0</v>
      </c>
      <c r="BO751" s="4">
        <v>2.968</v>
      </c>
      <c r="BP751" s="4">
        <v>2.3250000000000002</v>
      </c>
      <c r="BQ751" s="4">
        <v>3.141</v>
      </c>
      <c r="BR751" s="4">
        <v>0</v>
      </c>
      <c r="BS751" s="4">
        <v>2.4279999999999999</v>
      </c>
      <c r="BT751" s="4">
        <v>2.19</v>
      </c>
      <c r="BU751" s="4">
        <v>0</v>
      </c>
      <c r="BV751" s="4">
        <v>1.988</v>
      </c>
      <c r="BW751" s="4">
        <v>1.92</v>
      </c>
      <c r="BX751" s="4">
        <v>2.7480000000000002</v>
      </c>
      <c r="BY751" s="4">
        <v>4</v>
      </c>
      <c r="BZ751" s="55">
        <v>3.8</v>
      </c>
      <c r="CA751" s="55">
        <v>0</v>
      </c>
      <c r="CB751" s="55">
        <v>3.4</v>
      </c>
      <c r="CC751" s="55">
        <v>3</v>
      </c>
      <c r="CD751" s="55">
        <v>2.2000000000000002</v>
      </c>
      <c r="CE751" s="19">
        <v>0</v>
      </c>
      <c r="CF751" s="19">
        <v>3.4</v>
      </c>
      <c r="CG751" s="4">
        <v>0</v>
      </c>
      <c r="CH751" s="4">
        <v>6.59</v>
      </c>
      <c r="CI751" s="4">
        <v>1.26</v>
      </c>
      <c r="CJ751" s="34">
        <v>0</v>
      </c>
      <c r="CK751" s="34">
        <v>0</v>
      </c>
      <c r="CL751" s="43">
        <v>0</v>
      </c>
      <c r="CM751" s="4">
        <v>3.1</v>
      </c>
      <c r="CN751" s="53">
        <v>3.5</v>
      </c>
      <c r="CO751" s="54">
        <v>1.8</v>
      </c>
      <c r="CP751" s="54">
        <v>1.5</v>
      </c>
      <c r="CQ751" s="4">
        <v>3.9</v>
      </c>
    </row>
    <row r="752" spans="1:95" s="55" customFormat="1" x14ac:dyDescent="0.35">
      <c r="A752" s="55">
        <v>751</v>
      </c>
      <c r="B752" s="55" t="s">
        <v>105</v>
      </c>
      <c r="C752" s="27" t="s">
        <v>500</v>
      </c>
      <c r="D752" s="50" t="s">
        <v>94</v>
      </c>
      <c r="E752" s="33" t="s">
        <v>89</v>
      </c>
      <c r="F752" s="4">
        <f>IFERROR(AVERAGEIF(Table1[[#This Row],[2019-Apr]:[2025-July]],"&lt;&gt;0"),0)</f>
        <v>3.5889534883720939</v>
      </c>
      <c r="G752" s="4">
        <f ca="1">IFERROR(AVERAGEIF(OFFSET(Table1[[#This Row],[Status]],0,COUNT(Table1[[#This Row],[2019-May]:[2025-July]]),1,-12),"&lt;&gt;0"),0)</f>
        <v>2.8024999999999998</v>
      </c>
      <c r="H752" s="55">
        <f>IFERROR(SMALL(Table1[[#This Row],[2019-Apr]:[2025-July]],COUNTIF(Table1[[#This Row],[2019-Apr]:[2025-July]],0)+1),0)</f>
        <v>1.9</v>
      </c>
      <c r="I752" s="55">
        <f>IFERROR(MAX(Table1[[#This Row],[2019-Apr]:[2025-July]]),0)</f>
        <v>8.6999999999999993</v>
      </c>
      <c r="J752" s="4" cm="1">
        <f t="array" ref="J75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2.2231666666666667</v>
      </c>
      <c r="K752" s="4">
        <v>4.5</v>
      </c>
      <c r="L752" s="4">
        <f>IF(Table1[[#This Row],[Standard as per ISO]]&gt;=Table1[[#This Row],[Avg of best 6]],Table1[[#This Row],[Standard as per ISO]],Table1[[#This Row],[Avg of best 6]])</f>
        <v>4.5</v>
      </c>
      <c r="M752" s="4" cm="1">
        <f t="array" ref="M752">IFERROR(LOOKUP(2,1/(Table1[[#This Row],[2019-May]:[2025-July]]&lt;&gt;0),Table1[[#This Row],[2019-May]:[2025-July]]),0)</f>
        <v>2.6</v>
      </c>
      <c r="N752" s="4">
        <f>COUNTIF(Table1[[#This Row],[2019-Apr]:[2025-July]],"&gt;="&amp;Table1[[#This Row],[Target]])</f>
        <v>10</v>
      </c>
      <c r="O752" s="4">
        <f>IF(Table1[[#This Row],[Outliers 2Y]]=0,1,0)</f>
        <v>0</v>
      </c>
      <c r="P752" s="4">
        <f>IF(Table1[[#This Row],[Last value]]&gt;1.5*Table1[[#This Row],[Target]],1,0)</f>
        <v>0</v>
      </c>
      <c r="Q752" s="4">
        <f>IF(AND(1.5*Table1[[#This Row],[Target]]&gt;=Table1[[#This Row],[Last value]],Table1[[#This Row],[Last value]]&gt;Table1[[#This Row],[Target]]),1,0)</f>
        <v>0</v>
      </c>
      <c r="R752" s="4">
        <f>IF(Table1[[#This Row],[Target]]&gt;=Table1[[#This Row],[Last value]],1,0)</f>
        <v>1</v>
      </c>
      <c r="S752" s="4" t="str">
        <f t="shared" si="20"/>
        <v>Green</v>
      </c>
      <c r="T752" s="55">
        <v>4.08</v>
      </c>
      <c r="U752" s="55">
        <v>0</v>
      </c>
      <c r="V752" s="55">
        <v>4.6900000000000004</v>
      </c>
      <c r="W752" s="55">
        <v>4.67</v>
      </c>
      <c r="X752" s="55">
        <v>2.81</v>
      </c>
      <c r="Y752" s="55">
        <v>0</v>
      </c>
      <c r="Z752" s="55">
        <v>8.6999999999999993</v>
      </c>
      <c r="AA752" s="55">
        <v>0</v>
      </c>
      <c r="AB752" s="55">
        <v>5</v>
      </c>
      <c r="AC752" s="55">
        <v>5.19</v>
      </c>
      <c r="AD752" s="55">
        <v>2.31</v>
      </c>
      <c r="AE752" s="55">
        <v>2.5</v>
      </c>
      <c r="AF752" s="55">
        <v>2.4</v>
      </c>
      <c r="AG752" s="55">
        <v>0</v>
      </c>
      <c r="AH752" s="55">
        <v>3.3</v>
      </c>
      <c r="AI752" s="55">
        <v>2.82</v>
      </c>
      <c r="AJ752" s="55">
        <v>0</v>
      </c>
      <c r="AK752" s="55">
        <v>3.78</v>
      </c>
      <c r="AL752" s="55">
        <v>3.86</v>
      </c>
      <c r="AM752" s="55">
        <v>4.4800000000000004</v>
      </c>
      <c r="AN752" s="55">
        <v>0</v>
      </c>
      <c r="AO752" s="55">
        <v>5.0999999999999996</v>
      </c>
      <c r="AP752" s="55">
        <v>0</v>
      </c>
      <c r="AQ752" s="55">
        <v>0</v>
      </c>
      <c r="AR752" s="8">
        <v>5.23</v>
      </c>
      <c r="AS752" s="8">
        <v>0</v>
      </c>
      <c r="AT752" s="8">
        <v>4.8099999999999996</v>
      </c>
      <c r="AU752" s="50">
        <v>0</v>
      </c>
      <c r="AV752" s="50">
        <v>0</v>
      </c>
      <c r="AW752" s="50">
        <v>2.14</v>
      </c>
      <c r="AX752" s="50">
        <v>0</v>
      </c>
      <c r="AY752" s="50">
        <v>3.11</v>
      </c>
      <c r="AZ752" s="50">
        <v>0</v>
      </c>
      <c r="BA752" s="50">
        <v>2.6</v>
      </c>
      <c r="BB752" s="50">
        <v>4.5</v>
      </c>
      <c r="BC752" s="50">
        <v>0</v>
      </c>
      <c r="BD752" s="55">
        <v>0</v>
      </c>
      <c r="BE752" s="11">
        <v>0</v>
      </c>
      <c r="BF752" s="4">
        <v>3.637</v>
      </c>
      <c r="BG752" s="4">
        <v>0</v>
      </c>
      <c r="BH752" s="4">
        <v>3.4540000000000002</v>
      </c>
      <c r="BI752" s="4">
        <v>2.8069999999999999</v>
      </c>
      <c r="BJ752" s="13">
        <v>2.7360000000000002</v>
      </c>
      <c r="BK752" s="13">
        <v>3.3010000000000002</v>
      </c>
      <c r="BL752" s="4">
        <v>3.4289999999999998</v>
      </c>
      <c r="BM752" s="16">
        <v>3.4089999999999998</v>
      </c>
      <c r="BN752" s="4">
        <v>2.1459999999999999</v>
      </c>
      <c r="BO752" s="4">
        <v>0</v>
      </c>
      <c r="BP752" s="4">
        <v>0</v>
      </c>
      <c r="BQ752" s="4">
        <v>2.4430000000000001</v>
      </c>
      <c r="BR752" s="4">
        <v>2.536</v>
      </c>
      <c r="BS752" s="4">
        <v>0</v>
      </c>
      <c r="BT752" s="4">
        <v>3.6469999999999998</v>
      </c>
      <c r="BU752" s="4">
        <v>0</v>
      </c>
      <c r="BV752" s="4">
        <v>0</v>
      </c>
      <c r="BW752" s="4">
        <v>0</v>
      </c>
      <c r="BX752" s="4">
        <v>2.6</v>
      </c>
      <c r="BY752" s="4">
        <v>4.05</v>
      </c>
      <c r="BZ752" s="55">
        <v>3.51</v>
      </c>
      <c r="CA752" s="55">
        <v>3.93</v>
      </c>
      <c r="CB752" s="55">
        <v>0</v>
      </c>
      <c r="CC752" s="55">
        <v>4.8</v>
      </c>
      <c r="CD752" s="55">
        <v>0</v>
      </c>
      <c r="CE752" s="19">
        <v>0</v>
      </c>
      <c r="CF752" s="19">
        <v>0</v>
      </c>
      <c r="CG752" s="4">
        <v>0</v>
      </c>
      <c r="CH752" s="4">
        <v>2.4900000000000002</v>
      </c>
      <c r="CI752" s="4">
        <v>0</v>
      </c>
      <c r="CJ752" s="34">
        <v>0</v>
      </c>
      <c r="CK752" s="34">
        <v>3.3</v>
      </c>
      <c r="CL752" s="43">
        <v>1.9</v>
      </c>
      <c r="CM752" s="4">
        <v>0</v>
      </c>
      <c r="CN752" s="53">
        <v>0</v>
      </c>
      <c r="CO752" s="54">
        <v>3.52</v>
      </c>
      <c r="CP752" s="54">
        <v>0</v>
      </c>
      <c r="CQ752" s="4">
        <v>2.6</v>
      </c>
    </row>
    <row r="753" spans="1:95" s="55" customFormat="1" x14ac:dyDescent="0.35">
      <c r="A753" s="55">
        <v>752</v>
      </c>
      <c r="B753" s="55" t="s">
        <v>105</v>
      </c>
      <c r="C753" s="27" t="s">
        <v>501</v>
      </c>
      <c r="D753" s="50" t="s">
        <v>94</v>
      </c>
      <c r="E753" s="33" t="s">
        <v>89</v>
      </c>
      <c r="F753" s="4">
        <f>IFERROR(AVERAGEIF(Table1[[#This Row],[2019-Apr]:[2025-July]],"&lt;&gt;0"),0)</f>
        <v>3.0042244897959183</v>
      </c>
      <c r="G753" s="4">
        <f ca="1">IFERROR(AVERAGEIF(OFFSET(Table1[[#This Row],[Status]],0,COUNT(Table1[[#This Row],[2019-May]:[2025-July]]),1,-12),"&lt;&gt;0"),0)</f>
        <v>2.7600000000000002</v>
      </c>
      <c r="H753" s="55">
        <f>IFERROR(SMALL(Table1[[#This Row],[2019-Apr]:[2025-July]],COUNTIF(Table1[[#This Row],[2019-Apr]:[2025-July]],0)+1),0)</f>
        <v>1.55</v>
      </c>
      <c r="I753" s="55">
        <f>IFERROR(MAX(Table1[[#This Row],[2019-Apr]:[2025-July]]),0)</f>
        <v>5.84</v>
      </c>
      <c r="J753" s="4" cm="1">
        <f t="array" ref="J75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1.875</v>
      </c>
      <c r="K753" s="4">
        <v>4.5</v>
      </c>
      <c r="L753" s="4">
        <f>IF(Table1[[#This Row],[Standard as per ISO]]&gt;=Table1[[#This Row],[Avg of best 6]],Table1[[#This Row],[Standard as per ISO]],Table1[[#This Row],[Avg of best 6]])</f>
        <v>4.5</v>
      </c>
      <c r="M753" s="4" cm="1">
        <f t="array" ref="M753">IFERROR(LOOKUP(2,1/(Table1[[#This Row],[2019-May]:[2025-July]]&lt;&gt;0),Table1[[#This Row],[2019-May]:[2025-July]]),0)</f>
        <v>2.9</v>
      </c>
      <c r="N753" s="4">
        <f>COUNTIF(Table1[[#This Row],[2019-Apr]:[2025-July]],"&gt;="&amp;Table1[[#This Row],[Target]])</f>
        <v>5</v>
      </c>
      <c r="O753" s="4">
        <f>IF(Table1[[#This Row],[Outliers 2Y]]=0,1,0)</f>
        <v>0</v>
      </c>
      <c r="P753" s="4">
        <f>IF(Table1[[#This Row],[Last value]]&gt;1.5*Table1[[#This Row],[Target]],1,0)</f>
        <v>0</v>
      </c>
      <c r="Q753" s="4">
        <f>IF(AND(1.5*Table1[[#This Row],[Target]]&gt;=Table1[[#This Row],[Last value]],Table1[[#This Row],[Last value]]&gt;Table1[[#This Row],[Target]]),1,0)</f>
        <v>0</v>
      </c>
      <c r="R753" s="4">
        <f>IF(Table1[[#This Row],[Target]]&gt;=Table1[[#This Row],[Last value]],1,0)</f>
        <v>1</v>
      </c>
      <c r="S753" s="4" t="str">
        <f t="shared" si="20"/>
        <v>Green</v>
      </c>
      <c r="T753" s="55">
        <v>1.55</v>
      </c>
      <c r="U753" s="55">
        <v>2.65</v>
      </c>
      <c r="V753" s="55">
        <v>2.29</v>
      </c>
      <c r="W753" s="55">
        <v>2.82</v>
      </c>
      <c r="X753" s="55">
        <v>1.7</v>
      </c>
      <c r="Y753" s="55">
        <v>0</v>
      </c>
      <c r="Z753" s="55">
        <v>0</v>
      </c>
      <c r="AA753" s="55">
        <v>0</v>
      </c>
      <c r="AB753" s="55">
        <v>4.8</v>
      </c>
      <c r="AC753" s="55">
        <v>0</v>
      </c>
      <c r="AD753" s="55">
        <v>0</v>
      </c>
      <c r="AE753" s="55">
        <v>0</v>
      </c>
      <c r="AF753" s="55">
        <v>2.4</v>
      </c>
      <c r="AG753" s="55">
        <v>2.7</v>
      </c>
      <c r="AH753" s="55">
        <v>0</v>
      </c>
      <c r="AI753" s="55">
        <v>4.82</v>
      </c>
      <c r="AJ753" s="55">
        <v>2.56</v>
      </c>
      <c r="AK753" s="55">
        <v>3.86</v>
      </c>
      <c r="AL753" s="55">
        <v>3.14</v>
      </c>
      <c r="AM753" s="55">
        <v>2.85</v>
      </c>
      <c r="AN753" s="55">
        <v>0</v>
      </c>
      <c r="AO753" s="55">
        <v>5.2</v>
      </c>
      <c r="AP753" s="55">
        <v>2.93</v>
      </c>
      <c r="AQ753" s="55">
        <v>1.97</v>
      </c>
      <c r="AR753" s="8">
        <v>4.9000000000000004</v>
      </c>
      <c r="AS753" s="8">
        <v>0</v>
      </c>
      <c r="AT753" s="8">
        <v>2.4300000000000002</v>
      </c>
      <c r="AU753" s="50">
        <v>3.62</v>
      </c>
      <c r="AV753" s="50">
        <v>5.84</v>
      </c>
      <c r="AW753" s="50">
        <v>3.27</v>
      </c>
      <c r="AX753" s="50">
        <v>3.76</v>
      </c>
      <c r="AY753" s="50">
        <v>2.4900000000000002</v>
      </c>
      <c r="AZ753" s="50">
        <v>0</v>
      </c>
      <c r="BA753" s="50">
        <v>0</v>
      </c>
      <c r="BB753" s="50">
        <v>3.1</v>
      </c>
      <c r="BC753" s="55">
        <v>4.4000000000000004</v>
      </c>
      <c r="BD753" s="55">
        <v>0</v>
      </c>
      <c r="BE753" s="11">
        <v>0</v>
      </c>
      <c r="BF753" s="4">
        <v>3.0630000000000002</v>
      </c>
      <c r="BG753" s="4">
        <v>2.8149999999999999</v>
      </c>
      <c r="BH753" s="4">
        <v>2.8109999999999999</v>
      </c>
      <c r="BI753" s="4">
        <v>2.88</v>
      </c>
      <c r="BJ753" s="14">
        <v>2.9009999999999998</v>
      </c>
      <c r="BK753" s="14">
        <v>3.4180000000000001</v>
      </c>
      <c r="BL753" s="4">
        <v>3.1360000000000001</v>
      </c>
      <c r="BM753" s="17">
        <v>2.0169999999999999</v>
      </c>
      <c r="BN753" s="4">
        <v>0</v>
      </c>
      <c r="BO753" s="4">
        <v>0</v>
      </c>
      <c r="BP753" s="4">
        <v>2.2189999999999999</v>
      </c>
      <c r="BQ753" s="4">
        <v>1.881</v>
      </c>
      <c r="BR753" s="4">
        <v>1.6719999999999999</v>
      </c>
      <c r="BS753" s="4">
        <v>3.0859999999999999</v>
      </c>
      <c r="BT753" s="4">
        <v>0</v>
      </c>
      <c r="BU753" s="4">
        <v>0</v>
      </c>
      <c r="BV753" s="4">
        <v>2.7589999999999999</v>
      </c>
      <c r="BW753" s="4">
        <v>2.7589999999999999</v>
      </c>
      <c r="BX753" s="4">
        <v>0</v>
      </c>
      <c r="BY753" s="4">
        <v>0</v>
      </c>
      <c r="BZ753" s="55">
        <v>0</v>
      </c>
      <c r="CA753" s="55">
        <v>0</v>
      </c>
      <c r="CB753" s="55">
        <v>2.42</v>
      </c>
      <c r="CC753" s="55">
        <v>3.85</v>
      </c>
      <c r="CD753" s="55">
        <v>2.0099999999999998</v>
      </c>
      <c r="CE753" s="19">
        <v>0</v>
      </c>
      <c r="CF753" s="19">
        <v>2.9</v>
      </c>
      <c r="CG753" s="4">
        <v>0</v>
      </c>
      <c r="CH753" s="4">
        <v>2.96</v>
      </c>
      <c r="CI753" s="4">
        <v>0</v>
      </c>
      <c r="CJ753" s="34">
        <v>0</v>
      </c>
      <c r="CK753" s="34">
        <v>2.9</v>
      </c>
      <c r="CL753" s="43">
        <v>2.2000000000000002</v>
      </c>
      <c r="CM753" s="4">
        <v>3</v>
      </c>
      <c r="CN753" s="53">
        <v>0</v>
      </c>
      <c r="CO753" s="54">
        <v>0</v>
      </c>
      <c r="CP753" s="54">
        <v>2.6</v>
      </c>
      <c r="CQ753" s="4">
        <v>2.9</v>
      </c>
    </row>
    <row r="754" spans="1:95" s="55" customFormat="1" x14ac:dyDescent="0.35">
      <c r="A754" s="55">
        <v>753</v>
      </c>
      <c r="B754" s="55" t="s">
        <v>105</v>
      </c>
      <c r="C754" s="27" t="s">
        <v>502</v>
      </c>
      <c r="D754" s="50" t="s">
        <v>94</v>
      </c>
      <c r="E754" s="33" t="s">
        <v>89</v>
      </c>
      <c r="F754" s="4">
        <f>IFERROR(AVERAGEIF(Table1[[#This Row],[2019-Apr]:[2025-July]],"&lt;&gt;0"),0)</f>
        <v>3.2731000000000008</v>
      </c>
      <c r="G754" s="4">
        <f ca="1">IFERROR(AVERAGEIF(OFFSET(Table1[[#This Row],[Status]],0,COUNT(Table1[[#This Row],[2019-May]:[2025-July]]),1,-12),"&lt;&gt;0"),0)</f>
        <v>3.1442857142857146</v>
      </c>
      <c r="H754" s="55">
        <f>IFERROR(SMALL(Table1[[#This Row],[2019-Apr]:[2025-July]],COUNTIF(Table1[[#This Row],[2019-Apr]:[2025-July]],0)+1),0)</f>
        <v>0.54</v>
      </c>
      <c r="I754" s="55">
        <f>IFERROR(MAX(Table1[[#This Row],[2019-Apr]:[2025-July]]),0)</f>
        <v>6.71</v>
      </c>
      <c r="J754" s="4" cm="1">
        <f t="array" ref="J75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1.4964999999999999</v>
      </c>
      <c r="K754" s="4">
        <v>4.5</v>
      </c>
      <c r="L754" s="4">
        <f>IF(Table1[[#This Row],[Standard as per ISO]]&gt;=Table1[[#This Row],[Avg of best 6]],Table1[[#This Row],[Standard as per ISO]],Table1[[#This Row],[Avg of best 6]])</f>
        <v>4.5</v>
      </c>
      <c r="M754" s="4" cm="1">
        <f t="array" ref="M754">IFERROR(LOOKUP(2,1/(Table1[[#This Row],[2019-May]:[2025-July]]&lt;&gt;0),Table1[[#This Row],[2019-May]:[2025-July]]),0)</f>
        <v>3.4</v>
      </c>
      <c r="N754" s="4">
        <f>COUNTIF(Table1[[#This Row],[2019-Apr]:[2025-July]],"&gt;="&amp;Table1[[#This Row],[Target]])</f>
        <v>5</v>
      </c>
      <c r="O754" s="4">
        <f>IF(Table1[[#This Row],[Outliers 2Y]]=0,1,0)</f>
        <v>0</v>
      </c>
      <c r="P754" s="4">
        <f>IF(Table1[[#This Row],[Last value]]&gt;1.5*Table1[[#This Row],[Target]],1,0)</f>
        <v>0</v>
      </c>
      <c r="Q754" s="4">
        <f>IF(AND(1.5*Table1[[#This Row],[Target]]&gt;=Table1[[#This Row],[Last value]],Table1[[#This Row],[Last value]]&gt;Table1[[#This Row],[Target]]),1,0)</f>
        <v>0</v>
      </c>
      <c r="R754" s="4">
        <f>IF(Table1[[#This Row],[Target]]&gt;=Table1[[#This Row],[Last value]],1,0)</f>
        <v>1</v>
      </c>
      <c r="S754" s="4" t="str">
        <f t="shared" si="20"/>
        <v>Green</v>
      </c>
      <c r="T754" s="55">
        <v>6.71</v>
      </c>
      <c r="U754" s="55">
        <v>5.53</v>
      </c>
      <c r="V754" s="55">
        <v>4.91</v>
      </c>
      <c r="W754" s="55">
        <v>0</v>
      </c>
      <c r="X754" s="55">
        <v>0</v>
      </c>
      <c r="Y754" s="55">
        <v>3.4</v>
      </c>
      <c r="Z754" s="55">
        <v>3.4</v>
      </c>
      <c r="AA754" s="55">
        <v>0</v>
      </c>
      <c r="AB754" s="55">
        <v>0</v>
      </c>
      <c r="AC754" s="55">
        <v>3.69</v>
      </c>
      <c r="AD754" s="55">
        <v>0</v>
      </c>
      <c r="AE754" s="55">
        <v>3</v>
      </c>
      <c r="AF754" s="55">
        <v>2.8</v>
      </c>
      <c r="AG754" s="55">
        <v>2.8</v>
      </c>
      <c r="AH754" s="55">
        <v>0</v>
      </c>
      <c r="AI754" s="55">
        <v>3.41</v>
      </c>
      <c r="AJ754" s="55">
        <v>3.18</v>
      </c>
      <c r="AK754" s="55">
        <v>3.02</v>
      </c>
      <c r="AL754" s="55">
        <v>0</v>
      </c>
      <c r="AM754" s="55">
        <v>4.03</v>
      </c>
      <c r="AN754" s="55">
        <v>2.13</v>
      </c>
      <c r="AO754" s="55">
        <v>0</v>
      </c>
      <c r="AP754" s="55">
        <v>4.87</v>
      </c>
      <c r="AQ754" s="55">
        <v>3.94</v>
      </c>
      <c r="AR754" s="8">
        <v>3.6</v>
      </c>
      <c r="AS754" s="8">
        <v>3.31</v>
      </c>
      <c r="AT754" s="8">
        <v>0</v>
      </c>
      <c r="AU754" s="50">
        <v>4.72</v>
      </c>
      <c r="AV754" s="50">
        <v>3.54</v>
      </c>
      <c r="AW754" s="50">
        <v>0</v>
      </c>
      <c r="AX754" s="50">
        <v>3.66</v>
      </c>
      <c r="AY754" s="50">
        <v>2.94</v>
      </c>
      <c r="AZ754" s="50">
        <v>0</v>
      </c>
      <c r="BA754" s="50">
        <v>2.8</v>
      </c>
      <c r="BB754" s="50">
        <v>0</v>
      </c>
      <c r="BC754" s="50">
        <v>0</v>
      </c>
      <c r="BD754" s="55">
        <v>0</v>
      </c>
      <c r="BE754" s="11">
        <v>2.5019999999999998</v>
      </c>
      <c r="BF754" s="4">
        <v>0.9</v>
      </c>
      <c r="BG754" s="4">
        <v>0.99399999999999999</v>
      </c>
      <c r="BH754" s="4">
        <v>0.54</v>
      </c>
      <c r="BI754" s="4">
        <v>2.806</v>
      </c>
      <c r="BJ754" s="13">
        <v>4.0519999999999996</v>
      </c>
      <c r="BK754" s="13">
        <v>0</v>
      </c>
      <c r="BL754" s="4">
        <v>0</v>
      </c>
      <c r="BM754" s="16">
        <v>0</v>
      </c>
      <c r="BN754" s="4">
        <v>2.7709999999999999</v>
      </c>
      <c r="BO754" s="4">
        <v>3.5089999999999999</v>
      </c>
      <c r="BP754" s="4">
        <v>3.2589999999999999</v>
      </c>
      <c r="BQ754" s="4">
        <v>2.1179999999999999</v>
      </c>
      <c r="BR754" s="4">
        <v>3.0369999999999999</v>
      </c>
      <c r="BS754" s="4">
        <v>3.621</v>
      </c>
      <c r="BT754" s="4">
        <v>3.55</v>
      </c>
      <c r="BU754" s="4">
        <v>0</v>
      </c>
      <c r="BV754" s="4">
        <v>2.2970000000000002</v>
      </c>
      <c r="BW754" s="4">
        <v>0</v>
      </c>
      <c r="BX754" s="4">
        <v>2.7989999999999999</v>
      </c>
      <c r="BY754" s="4">
        <v>3.76</v>
      </c>
      <c r="BZ754" s="55">
        <v>0</v>
      </c>
      <c r="CA754" s="55">
        <v>3.42</v>
      </c>
      <c r="CB754" s="55">
        <v>3.34</v>
      </c>
      <c r="CC754" s="55">
        <v>0</v>
      </c>
      <c r="CD754" s="55">
        <v>3.58</v>
      </c>
      <c r="CE754" s="19">
        <v>0</v>
      </c>
      <c r="CF754" s="19">
        <v>2.9</v>
      </c>
      <c r="CG754" s="4">
        <v>0</v>
      </c>
      <c r="CH754" s="4">
        <v>2.4700000000000002</v>
      </c>
      <c r="CI754" s="4">
        <v>0</v>
      </c>
      <c r="CJ754" s="34">
        <v>0</v>
      </c>
      <c r="CK754" s="34">
        <v>3</v>
      </c>
      <c r="CL754" s="43">
        <v>2.9</v>
      </c>
      <c r="CM754" s="4">
        <v>3.5</v>
      </c>
      <c r="CN754" s="53">
        <v>4.3</v>
      </c>
      <c r="CO754" s="54">
        <v>2.94</v>
      </c>
      <c r="CP754" s="54">
        <v>0</v>
      </c>
      <c r="CQ754" s="4">
        <v>3.4</v>
      </c>
    </row>
    <row r="755" spans="1:95" s="55" customFormat="1" x14ac:dyDescent="0.35">
      <c r="A755" s="55">
        <v>754</v>
      </c>
      <c r="B755" s="55" t="s">
        <v>105</v>
      </c>
      <c r="C755" s="27" t="s">
        <v>503</v>
      </c>
      <c r="D755" s="50" t="s">
        <v>94</v>
      </c>
      <c r="E755" s="33" t="s">
        <v>89</v>
      </c>
      <c r="F755" s="4">
        <f>IFERROR(AVERAGEIF(Table1[[#This Row],[2019-Apr]:[2025-July]],"&lt;&gt;0"),0)</f>
        <v>3.3076896551724144</v>
      </c>
      <c r="G755" s="4">
        <f ca="1">IFERROR(AVERAGEIF(OFFSET(Table1[[#This Row],[Status]],0,COUNT(Table1[[#This Row],[2019-May]:[2025-July]]),1,-12),"&lt;&gt;0"),0)</f>
        <v>2.7</v>
      </c>
      <c r="H755" s="55">
        <f>IFERROR(SMALL(Table1[[#This Row],[2019-Apr]:[2025-July]],COUNTIF(Table1[[#This Row],[2019-Apr]:[2025-July]],0)+1),0)</f>
        <v>1.65</v>
      </c>
      <c r="I755" s="55">
        <f>IFERROR(MAX(Table1[[#This Row],[2019-Apr]:[2025-July]]),0)</f>
        <v>5.18</v>
      </c>
      <c r="J755" s="4" cm="1">
        <f t="array" ref="J75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2.0303333333333335</v>
      </c>
      <c r="K755" s="4">
        <v>4.5</v>
      </c>
      <c r="L755" s="4">
        <f>IF(Table1[[#This Row],[Standard as per ISO]]&gt;=Table1[[#This Row],[Avg of best 6]],Table1[[#This Row],[Standard as per ISO]],Table1[[#This Row],[Avg of best 6]])</f>
        <v>4.5</v>
      </c>
      <c r="M755" s="4" cm="1">
        <f t="array" ref="M755">IFERROR(LOOKUP(2,1/(Table1[[#This Row],[2019-May]:[2025-July]]&lt;&gt;0),Table1[[#This Row],[2019-May]:[2025-July]]),0)</f>
        <v>2.9</v>
      </c>
      <c r="N755" s="4">
        <f>COUNTIF(Table1[[#This Row],[2019-Apr]:[2025-July]],"&gt;="&amp;Table1[[#This Row],[Target]])</f>
        <v>4</v>
      </c>
      <c r="O755" s="4">
        <f>IF(Table1[[#This Row],[Outliers 2Y]]=0,1,0)</f>
        <v>0</v>
      </c>
      <c r="P755" s="4">
        <f>IF(Table1[[#This Row],[Last value]]&gt;1.5*Table1[[#This Row],[Target]],1,0)</f>
        <v>0</v>
      </c>
      <c r="Q755" s="4">
        <f>IF(AND(1.5*Table1[[#This Row],[Target]]&gt;=Table1[[#This Row],[Last value]],Table1[[#This Row],[Last value]]&gt;Table1[[#This Row],[Target]]),1,0)</f>
        <v>0</v>
      </c>
      <c r="R755" s="4">
        <f>IF(Table1[[#This Row],[Target]]&gt;=Table1[[#This Row],[Last value]],1,0)</f>
        <v>1</v>
      </c>
      <c r="S755" s="4" t="str">
        <f t="shared" si="20"/>
        <v>Green</v>
      </c>
      <c r="T755" s="55">
        <v>3.56</v>
      </c>
      <c r="U755" s="55">
        <v>0</v>
      </c>
      <c r="V755" s="55">
        <v>0</v>
      </c>
      <c r="W755" s="55">
        <v>0</v>
      </c>
      <c r="X755" s="55">
        <v>0</v>
      </c>
      <c r="Y755" s="55">
        <v>3.3</v>
      </c>
      <c r="Z755" s="55">
        <v>0</v>
      </c>
      <c r="AA755" s="55">
        <v>0</v>
      </c>
      <c r="AB755" s="55">
        <v>0</v>
      </c>
      <c r="AC755" s="55">
        <v>4.97</v>
      </c>
      <c r="AD755" s="55">
        <v>5.12</v>
      </c>
      <c r="AE755" s="55">
        <v>0</v>
      </c>
      <c r="AF755" s="55">
        <v>4.8</v>
      </c>
      <c r="AG755" s="55">
        <v>0</v>
      </c>
      <c r="AH755" s="55">
        <v>0</v>
      </c>
      <c r="AI755" s="55">
        <v>0</v>
      </c>
      <c r="AJ755" s="55">
        <v>0</v>
      </c>
      <c r="AK755" s="55">
        <v>0</v>
      </c>
      <c r="AL755" s="55">
        <v>0</v>
      </c>
      <c r="AM755" s="55">
        <v>0</v>
      </c>
      <c r="AN755" s="55">
        <v>2.16</v>
      </c>
      <c r="AO755" s="55">
        <v>2.1</v>
      </c>
      <c r="AP755" s="55">
        <v>2.7</v>
      </c>
      <c r="AQ755" s="55">
        <v>5.18</v>
      </c>
      <c r="AR755" s="8">
        <v>0</v>
      </c>
      <c r="AS755" s="8">
        <v>3.5</v>
      </c>
      <c r="AT755" s="8">
        <v>0</v>
      </c>
      <c r="AU755" s="50">
        <v>0</v>
      </c>
      <c r="AV755" s="50">
        <v>4.45</v>
      </c>
      <c r="AW755" s="50">
        <v>3.47</v>
      </c>
      <c r="AX755" s="50">
        <v>3.92</v>
      </c>
      <c r="AY755" s="50">
        <v>4.3</v>
      </c>
      <c r="AZ755" s="50">
        <v>0</v>
      </c>
      <c r="BA755" s="50">
        <v>3.1</v>
      </c>
      <c r="BB755" s="50">
        <v>0</v>
      </c>
      <c r="BC755" s="55">
        <v>2.9</v>
      </c>
      <c r="BD755" s="55">
        <v>0</v>
      </c>
      <c r="BE755" s="11">
        <v>2.8380000000000001</v>
      </c>
      <c r="BF755" s="4">
        <v>4.1210000000000004</v>
      </c>
      <c r="BG755" s="4">
        <v>2.9849999999999999</v>
      </c>
      <c r="BH755" s="4">
        <v>0</v>
      </c>
      <c r="BI755" s="4">
        <v>0</v>
      </c>
      <c r="BJ755" s="14">
        <v>0</v>
      </c>
      <c r="BK755" s="14">
        <v>0</v>
      </c>
      <c r="BL755" s="4">
        <v>0</v>
      </c>
      <c r="BM755" s="17">
        <v>0</v>
      </c>
      <c r="BN755" s="4">
        <v>3.0630000000000002</v>
      </c>
      <c r="BO755" s="4">
        <v>2.681</v>
      </c>
      <c r="BP755" s="4">
        <v>0</v>
      </c>
      <c r="BQ755" s="4">
        <v>0</v>
      </c>
      <c r="BR755" s="4">
        <v>1.982</v>
      </c>
      <c r="BS755" s="4">
        <v>0</v>
      </c>
      <c r="BT755" s="4">
        <v>1.79</v>
      </c>
      <c r="BU755" s="4">
        <v>0</v>
      </c>
      <c r="BV755" s="4">
        <v>0</v>
      </c>
      <c r="BW755" s="4">
        <v>2.6230000000000002</v>
      </c>
      <c r="BX755" s="4">
        <v>0</v>
      </c>
      <c r="BY755" s="4">
        <v>0</v>
      </c>
      <c r="BZ755" s="55">
        <v>3.69</v>
      </c>
      <c r="CA755" s="55">
        <v>3.57</v>
      </c>
      <c r="CB755" s="55">
        <v>0</v>
      </c>
      <c r="CC755" s="55">
        <v>0</v>
      </c>
      <c r="CD755" s="55">
        <v>1.65</v>
      </c>
      <c r="CE755" s="19">
        <v>0</v>
      </c>
      <c r="CF755" s="19">
        <v>0</v>
      </c>
      <c r="CG755" s="4">
        <v>0</v>
      </c>
      <c r="CH755" s="4">
        <v>0</v>
      </c>
      <c r="CI755" s="4">
        <v>0</v>
      </c>
      <c r="CJ755" s="34">
        <v>0</v>
      </c>
      <c r="CK755" s="34">
        <v>0</v>
      </c>
      <c r="CL755" s="43">
        <v>0</v>
      </c>
      <c r="CM755" s="4">
        <v>0</v>
      </c>
      <c r="CN755" s="53">
        <v>2.5</v>
      </c>
      <c r="CO755" s="54">
        <v>0</v>
      </c>
      <c r="CP755" s="54">
        <v>2.9</v>
      </c>
      <c r="CQ755" s="4">
        <v>0</v>
      </c>
    </row>
    <row r="756" spans="1:95" s="55" customFormat="1" x14ac:dyDescent="0.35">
      <c r="A756" s="55">
        <v>755</v>
      </c>
      <c r="B756" s="55" t="s">
        <v>105</v>
      </c>
      <c r="C756" s="27" t="s">
        <v>504</v>
      </c>
      <c r="D756" s="50" t="s">
        <v>94</v>
      </c>
      <c r="E756" s="33" t="s">
        <v>91</v>
      </c>
      <c r="F756" s="4">
        <f>IFERROR(AVERAGEIF(Table1[[#This Row],[2019-Apr]:[2025-July]],"&lt;&gt;0"),0)</f>
        <v>3.7468214285714274</v>
      </c>
      <c r="G756" s="4">
        <f ca="1">IFERROR(AVERAGEIF(OFFSET(Table1[[#This Row],[Status]],0,COUNT(Table1[[#This Row],[2019-May]:[2025-July]]),1,-12),"&lt;&gt;0"),0)</f>
        <v>4.0449999999999999</v>
      </c>
      <c r="H756" s="55">
        <f>IFERROR(SMALL(Table1[[#This Row],[2019-Apr]:[2025-July]],COUNTIF(Table1[[#This Row],[2019-Apr]:[2025-July]],0)+1),0)</f>
        <v>2.6</v>
      </c>
      <c r="I756" s="55">
        <f>IFERROR(MAX(Table1[[#This Row],[2019-Apr]:[2025-July]]),0)</f>
        <v>5.6</v>
      </c>
      <c r="J756" s="4" cm="1">
        <f t="array" ref="J75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2.8889999999999998</v>
      </c>
      <c r="K756" s="4">
        <v>4.5</v>
      </c>
      <c r="L756" s="4">
        <f>IF(Table1[[#This Row],[Standard as per ISO]]&gt;=Table1[[#This Row],[Avg of best 6]],Table1[[#This Row],[Standard as per ISO]],Table1[[#This Row],[Avg of best 6]])</f>
        <v>4.5</v>
      </c>
      <c r="M756" s="4" cm="1">
        <f t="array" ref="M756">IFERROR(LOOKUP(2,1/(Table1[[#This Row],[2019-May]:[2025-July]]&lt;&gt;0),Table1[[#This Row],[2019-May]:[2025-July]]),0)</f>
        <v>3.99</v>
      </c>
      <c r="N756" s="4">
        <f>COUNTIF(Table1[[#This Row],[2019-Apr]:[2025-July]],"&gt;="&amp;Table1[[#This Row],[Target]])</f>
        <v>5</v>
      </c>
      <c r="O756" s="4">
        <f>IF(Table1[[#This Row],[Outliers 2Y]]=0,1,0)</f>
        <v>0</v>
      </c>
      <c r="P756" s="4">
        <f>IF(Table1[[#This Row],[Last value]]&gt;1.5*Table1[[#This Row],[Target]],1,0)</f>
        <v>0</v>
      </c>
      <c r="Q756" s="4">
        <f>IF(AND(1.5*Table1[[#This Row],[Target]]&gt;=Table1[[#This Row],[Last value]],Table1[[#This Row],[Last value]]&gt;Table1[[#This Row],[Target]]),1,0)</f>
        <v>0</v>
      </c>
      <c r="R756" s="4">
        <f>IF(Table1[[#This Row],[Target]]&gt;=Table1[[#This Row],[Last value]],1,0)</f>
        <v>1</v>
      </c>
      <c r="S756" s="4" t="str">
        <f t="shared" si="20"/>
        <v>Green</v>
      </c>
      <c r="T756" s="55">
        <v>3.48</v>
      </c>
      <c r="U756" s="55">
        <v>3.72</v>
      </c>
      <c r="V756" s="55">
        <v>3.88</v>
      </c>
      <c r="W756" s="55">
        <v>3.73</v>
      </c>
      <c r="X756" s="55">
        <v>3.29</v>
      </c>
      <c r="Y756" s="55">
        <v>0</v>
      </c>
      <c r="Z756" s="55">
        <v>3.4</v>
      </c>
      <c r="AA756" s="55">
        <v>2.9</v>
      </c>
      <c r="AB756" s="55">
        <v>0</v>
      </c>
      <c r="AC756" s="55">
        <v>3.85</v>
      </c>
      <c r="AD756" s="55">
        <v>3.82</v>
      </c>
      <c r="AE756" s="55">
        <v>0</v>
      </c>
      <c r="AF756" s="55">
        <v>3.43</v>
      </c>
      <c r="AG756" s="55">
        <v>0</v>
      </c>
      <c r="AH756" s="55">
        <v>0</v>
      </c>
      <c r="AI756" s="55">
        <v>3.03</v>
      </c>
      <c r="AJ756" s="55">
        <v>0</v>
      </c>
      <c r="AK756" s="55">
        <v>3.84</v>
      </c>
      <c r="AL756" s="55">
        <v>4.59</v>
      </c>
      <c r="AM756" s="55">
        <v>0</v>
      </c>
      <c r="AN756" s="55">
        <v>3.91</v>
      </c>
      <c r="AO756" s="55">
        <v>4.22</v>
      </c>
      <c r="AP756" s="55">
        <v>3.24</v>
      </c>
      <c r="AQ756" s="55">
        <v>0</v>
      </c>
      <c r="AR756" s="8">
        <v>0</v>
      </c>
      <c r="AS756" s="8">
        <v>0</v>
      </c>
      <c r="AT756" s="8">
        <v>4.51</v>
      </c>
      <c r="AU756" s="50">
        <v>4.51</v>
      </c>
      <c r="AV756" s="50">
        <v>2.71</v>
      </c>
      <c r="AW756" s="50">
        <v>0</v>
      </c>
      <c r="AX756" s="50">
        <v>0</v>
      </c>
      <c r="AY756" s="50">
        <v>0</v>
      </c>
      <c r="AZ756" s="50">
        <v>0</v>
      </c>
      <c r="BA756" s="50">
        <v>2.6</v>
      </c>
      <c r="BB756" s="50">
        <v>5.6</v>
      </c>
      <c r="BC756" s="55">
        <v>3.4</v>
      </c>
      <c r="BD756" s="55">
        <v>0</v>
      </c>
      <c r="BE756" s="11">
        <v>4.0890000000000004</v>
      </c>
      <c r="BF756" s="4">
        <v>4.9779999999999998</v>
      </c>
      <c r="BG756" s="4">
        <v>0</v>
      </c>
      <c r="BH756" s="4">
        <v>0</v>
      </c>
      <c r="BI756" s="4">
        <v>3.024</v>
      </c>
      <c r="BJ756" s="13">
        <v>0</v>
      </c>
      <c r="BK756" s="13">
        <v>0</v>
      </c>
      <c r="BL756" s="4">
        <v>0</v>
      </c>
      <c r="BM756" s="16">
        <v>0</v>
      </c>
      <c r="BN756" s="4">
        <v>0</v>
      </c>
      <c r="BO756" s="4">
        <v>0</v>
      </c>
      <c r="BP756" s="4">
        <v>3.07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55">
        <v>0</v>
      </c>
      <c r="CA756" s="55">
        <v>0</v>
      </c>
      <c r="CB756" s="55">
        <v>0</v>
      </c>
      <c r="CC756" s="55">
        <v>0</v>
      </c>
      <c r="CD756" s="55">
        <v>0</v>
      </c>
      <c r="CE756" s="19">
        <v>0</v>
      </c>
      <c r="CF756" s="19">
        <v>4.0999999999999996</v>
      </c>
      <c r="CG756" s="4">
        <v>0</v>
      </c>
      <c r="CH756" s="4">
        <v>3.99</v>
      </c>
      <c r="CI756" s="4">
        <v>0</v>
      </c>
      <c r="CJ756" s="34">
        <v>0</v>
      </c>
      <c r="CK756" s="34">
        <v>0</v>
      </c>
      <c r="CL756" s="34">
        <v>0</v>
      </c>
      <c r="CM756" s="4">
        <v>0</v>
      </c>
      <c r="CN756" s="53">
        <v>0</v>
      </c>
      <c r="CO756" s="54">
        <v>0</v>
      </c>
      <c r="CP756" s="54">
        <v>0</v>
      </c>
      <c r="CQ756" s="4">
        <v>0</v>
      </c>
    </row>
    <row r="757" spans="1:95" s="55" customFormat="1" x14ac:dyDescent="0.35">
      <c r="A757" s="55">
        <v>756</v>
      </c>
      <c r="B757" s="55" t="s">
        <v>105</v>
      </c>
      <c r="C757" s="27" t="s">
        <v>505</v>
      </c>
      <c r="D757" s="50" t="s">
        <v>94</v>
      </c>
      <c r="E757" s="33" t="s">
        <v>91</v>
      </c>
      <c r="F757" s="4">
        <f>IFERROR(AVERAGEIF(Table1[[#This Row],[2019-Apr]:[2025-July]],"&lt;&gt;0"),0)</f>
        <v>3.0473888888888894</v>
      </c>
      <c r="G757" s="4">
        <f ca="1">IFERROR(AVERAGEIF(OFFSET(Table1[[#This Row],[Status]],0,COUNT(Table1[[#This Row],[2019-May]:[2025-July]]),1,-12),"&lt;&gt;0"),0)</f>
        <v>3.5150000000000001</v>
      </c>
      <c r="H757" s="55">
        <f>IFERROR(SMALL(Table1[[#This Row],[2019-Apr]:[2025-July]],COUNTIF(Table1[[#This Row],[2019-Apr]:[2025-July]],0)+1),0)</f>
        <v>2.2599999999999998</v>
      </c>
      <c r="I757" s="55">
        <f>IFERROR(MAX(Table1[[#This Row],[2019-Apr]:[2025-July]]),0)</f>
        <v>4.18</v>
      </c>
      <c r="J757" s="4" cm="1">
        <f t="array" ref="J75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2.395</v>
      </c>
      <c r="K757" s="4">
        <v>4.5</v>
      </c>
      <c r="L757" s="4">
        <f>IF(Table1[[#This Row],[Standard as per ISO]]&gt;=Table1[[#This Row],[Avg of best 6]],Table1[[#This Row],[Standard as per ISO]],Table1[[#This Row],[Avg of best 6]])</f>
        <v>4.5</v>
      </c>
      <c r="M757" s="4" cm="1">
        <f t="array" ref="M757">IFERROR(LOOKUP(2,1/(Table1[[#This Row],[2019-May]:[2025-July]]&lt;&gt;0),Table1[[#This Row],[2019-May]:[2025-July]]),0)</f>
        <v>3.33</v>
      </c>
      <c r="N757" s="4">
        <f>COUNTIF(Table1[[#This Row],[2019-Apr]:[2025-July]],"&gt;="&amp;Table1[[#This Row],[Target]])</f>
        <v>0</v>
      </c>
      <c r="O757" s="4">
        <f>IF(Table1[[#This Row],[Outliers 2Y]]=0,1,0)</f>
        <v>1</v>
      </c>
      <c r="P757" s="4">
        <f>IF(Table1[[#This Row],[Last value]]&gt;1.5*Table1[[#This Row],[Target]],1,0)</f>
        <v>0</v>
      </c>
      <c r="Q757" s="4">
        <f>IF(AND(1.5*Table1[[#This Row],[Target]]&gt;=Table1[[#This Row],[Last value]],Table1[[#This Row],[Last value]]&gt;Table1[[#This Row],[Target]]),1,0)</f>
        <v>0</v>
      </c>
      <c r="R757" s="4">
        <f>IF(Table1[[#This Row],[Target]]&gt;=Table1[[#This Row],[Last value]],1,0)</f>
        <v>1</v>
      </c>
      <c r="S757" s="4" t="str">
        <f t="shared" si="20"/>
        <v>Green</v>
      </c>
      <c r="T757" s="55">
        <v>2.76</v>
      </c>
      <c r="U757" s="55">
        <v>2.84</v>
      </c>
      <c r="V757" s="55">
        <v>2.57</v>
      </c>
      <c r="W757" s="55">
        <v>2.58</v>
      </c>
      <c r="X757" s="55">
        <v>2.41</v>
      </c>
      <c r="Y757" s="55">
        <v>0</v>
      </c>
      <c r="Z757" s="55">
        <v>2.2599999999999998</v>
      </c>
      <c r="AA757" s="55">
        <v>0</v>
      </c>
      <c r="AB757" s="55">
        <v>2.66</v>
      </c>
      <c r="AC757" s="55">
        <v>0</v>
      </c>
      <c r="AD757" s="55">
        <v>0</v>
      </c>
      <c r="AE757" s="55">
        <v>2.5</v>
      </c>
      <c r="AF757" s="55">
        <v>2.4</v>
      </c>
      <c r="AG757" s="55">
        <v>3.3</v>
      </c>
      <c r="AH757" s="55">
        <v>2.4</v>
      </c>
      <c r="AI757" s="55">
        <v>0</v>
      </c>
      <c r="AJ757" s="55">
        <v>0</v>
      </c>
      <c r="AK757" s="55">
        <v>3.52</v>
      </c>
      <c r="AL757" s="55">
        <v>0</v>
      </c>
      <c r="AM757" s="55">
        <v>3.94</v>
      </c>
      <c r="AN757" s="55">
        <v>4.18</v>
      </c>
      <c r="AO757" s="55">
        <v>4.05</v>
      </c>
      <c r="AP757" s="55">
        <v>3.37</v>
      </c>
      <c r="AQ757" s="55">
        <v>3.08</v>
      </c>
      <c r="AR757" s="8">
        <v>3.44</v>
      </c>
      <c r="AS757" s="8">
        <v>2.91</v>
      </c>
      <c r="AT757" s="8">
        <v>3.37</v>
      </c>
      <c r="AU757" s="50">
        <v>2.6</v>
      </c>
      <c r="AV757" s="50">
        <v>2.7</v>
      </c>
      <c r="AW757" s="50">
        <v>3.43</v>
      </c>
      <c r="AX757" s="50">
        <v>2.68</v>
      </c>
      <c r="AY757" s="50">
        <v>0</v>
      </c>
      <c r="AZ757" s="50">
        <v>2.4</v>
      </c>
      <c r="BA757" s="50">
        <v>2.5</v>
      </c>
      <c r="BB757" s="50">
        <v>3.5</v>
      </c>
      <c r="BC757" s="50">
        <v>0</v>
      </c>
      <c r="BD757" s="55">
        <v>0</v>
      </c>
      <c r="BE757" s="11">
        <v>2.823</v>
      </c>
      <c r="BF757" s="4">
        <v>3.8159999999999998</v>
      </c>
      <c r="BG757" s="4">
        <v>2.7</v>
      </c>
      <c r="BH757" s="4">
        <v>0</v>
      </c>
      <c r="BI757" s="4">
        <v>3.0489999999999999</v>
      </c>
      <c r="BJ757" s="14">
        <v>0</v>
      </c>
      <c r="BK757" s="14">
        <v>0</v>
      </c>
      <c r="BL757" s="4">
        <v>0</v>
      </c>
      <c r="BM757" s="17">
        <v>0</v>
      </c>
      <c r="BN757" s="4">
        <v>0</v>
      </c>
      <c r="BO757" s="4">
        <v>0</v>
      </c>
      <c r="BP757" s="4">
        <v>2.6709999999999998</v>
      </c>
      <c r="BQ757" s="4">
        <v>0</v>
      </c>
      <c r="BR757" s="4">
        <v>0</v>
      </c>
      <c r="BS757" s="4">
        <v>3.3439999999999999</v>
      </c>
      <c r="BT757" s="4">
        <v>0</v>
      </c>
      <c r="BU757" s="4">
        <v>0</v>
      </c>
      <c r="BV757" s="4">
        <v>0</v>
      </c>
      <c r="BW757" s="4">
        <v>3.923</v>
      </c>
      <c r="BX757" s="4">
        <v>0</v>
      </c>
      <c r="BY757" s="4">
        <v>0</v>
      </c>
      <c r="BZ757" s="55">
        <v>0</v>
      </c>
      <c r="CA757" s="55">
        <v>0</v>
      </c>
      <c r="CB757" s="55">
        <v>0</v>
      </c>
      <c r="CC757" s="55">
        <v>0</v>
      </c>
      <c r="CD757" s="55">
        <v>0</v>
      </c>
      <c r="CE757" s="19">
        <v>3.7</v>
      </c>
      <c r="CF757" s="19">
        <v>0</v>
      </c>
      <c r="CG757" s="4">
        <v>0</v>
      </c>
      <c r="CH757" s="4">
        <v>3.33</v>
      </c>
      <c r="CI757" s="4">
        <v>0</v>
      </c>
      <c r="CJ757" s="34">
        <v>0</v>
      </c>
      <c r="CK757" s="34">
        <v>0</v>
      </c>
      <c r="CL757" s="34">
        <v>0</v>
      </c>
      <c r="CM757" s="4">
        <v>0</v>
      </c>
      <c r="CN757" s="53">
        <v>0</v>
      </c>
      <c r="CO757" s="54">
        <v>0</v>
      </c>
      <c r="CP757" s="54">
        <v>0</v>
      </c>
      <c r="CQ757" s="4">
        <v>0</v>
      </c>
    </row>
    <row r="758" spans="1:95" s="55" customFormat="1" x14ac:dyDescent="0.35">
      <c r="A758" s="55">
        <v>757</v>
      </c>
      <c r="B758" s="55" t="s">
        <v>105</v>
      </c>
      <c r="C758" s="27" t="s">
        <v>506</v>
      </c>
      <c r="D758" s="50" t="s">
        <v>94</v>
      </c>
      <c r="E758" s="33" t="s">
        <v>91</v>
      </c>
      <c r="F758" s="4">
        <f>IFERROR(AVERAGEIF(Table1[[#This Row],[2019-Apr]:[2025-July]],"&lt;&gt;0"),0)</f>
        <v>3.7891034482758617</v>
      </c>
      <c r="G758" s="4">
        <f ca="1">IFERROR(AVERAGEIF(OFFSET(Table1[[#This Row],[Status]],0,COUNT(Table1[[#This Row],[2019-May]:[2025-July]]),1,-12),"&lt;&gt;0"),0)</f>
        <v>4.03</v>
      </c>
      <c r="H758" s="55">
        <f>IFERROR(SMALL(Table1[[#This Row],[2019-Apr]:[2025-July]],COUNTIF(Table1[[#This Row],[2019-Apr]:[2025-July]],0)+1),0)</f>
        <v>2.64</v>
      </c>
      <c r="I758" s="55">
        <f>IFERROR(MAX(Table1[[#This Row],[2019-Apr]:[2025-July]]),0)</f>
        <v>5</v>
      </c>
      <c r="J758" s="4" cm="1">
        <f t="array" ref="J75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3.0933333333333337</v>
      </c>
      <c r="K758" s="4">
        <v>4.5</v>
      </c>
      <c r="L758" s="4">
        <f>IF(Table1[[#This Row],[Standard as per ISO]]&gt;=Table1[[#This Row],[Avg of best 6]],Table1[[#This Row],[Standard as per ISO]],Table1[[#This Row],[Avg of best 6]])</f>
        <v>4.5</v>
      </c>
      <c r="M758" s="4" cm="1">
        <f t="array" ref="M758">IFERROR(LOOKUP(2,1/(Table1[[#This Row],[2019-May]:[2025-July]]&lt;&gt;0),Table1[[#This Row],[2019-May]:[2025-July]]),0)</f>
        <v>4.03</v>
      </c>
      <c r="N758" s="4">
        <f>COUNTIF(Table1[[#This Row],[2019-Apr]:[2025-July]],"&gt;="&amp;Table1[[#This Row],[Target]])</f>
        <v>6</v>
      </c>
      <c r="O758" s="4">
        <f>IF(Table1[[#This Row],[Outliers 2Y]]=0,1,0)</f>
        <v>0</v>
      </c>
      <c r="P758" s="4">
        <f>IF(Table1[[#This Row],[Last value]]&gt;1.5*Table1[[#This Row],[Target]],1,0)</f>
        <v>0</v>
      </c>
      <c r="Q758" s="4">
        <f>IF(AND(1.5*Table1[[#This Row],[Target]]&gt;=Table1[[#This Row],[Last value]],Table1[[#This Row],[Last value]]&gt;Table1[[#This Row],[Target]]),1,0)</f>
        <v>0</v>
      </c>
      <c r="R758" s="4">
        <f>IF(Table1[[#This Row],[Target]]&gt;=Table1[[#This Row],[Last value]],1,0)</f>
        <v>1</v>
      </c>
      <c r="S758" s="4" t="str">
        <f t="shared" si="20"/>
        <v>Green</v>
      </c>
      <c r="T758" s="55">
        <v>3.69</v>
      </c>
      <c r="U758" s="55">
        <v>0</v>
      </c>
      <c r="V758" s="55">
        <v>0</v>
      </c>
      <c r="W758" s="55">
        <v>3.5</v>
      </c>
      <c r="X758" s="55">
        <v>0</v>
      </c>
      <c r="Y758" s="55">
        <v>3.5</v>
      </c>
      <c r="Z758" s="55">
        <v>0</v>
      </c>
      <c r="AA758" s="55">
        <v>3.2</v>
      </c>
      <c r="AB758" s="55">
        <v>3.36</v>
      </c>
      <c r="AC758" s="55">
        <v>3.33</v>
      </c>
      <c r="AD758" s="55">
        <v>0</v>
      </c>
      <c r="AE758" s="55">
        <v>3.7</v>
      </c>
      <c r="AF758" s="55">
        <v>0</v>
      </c>
      <c r="AG758" s="55">
        <v>3.5</v>
      </c>
      <c r="AH758" s="55">
        <v>0</v>
      </c>
      <c r="AI758" s="55">
        <v>3.23</v>
      </c>
      <c r="AJ758" s="55">
        <v>3.66</v>
      </c>
      <c r="AK758" s="55">
        <v>0</v>
      </c>
      <c r="AL758" s="55">
        <v>3.91</v>
      </c>
      <c r="AM758" s="55">
        <v>3.61</v>
      </c>
      <c r="AN758" s="55">
        <v>0</v>
      </c>
      <c r="AO758" s="55">
        <v>0</v>
      </c>
      <c r="AP758" s="55">
        <v>0</v>
      </c>
      <c r="AQ758" s="55">
        <v>3.4</v>
      </c>
      <c r="AR758" s="8">
        <v>3.81</v>
      </c>
      <c r="AS758" s="8">
        <v>3.8</v>
      </c>
      <c r="AT758" s="8">
        <v>0</v>
      </c>
      <c r="AU758" s="50">
        <v>3.27</v>
      </c>
      <c r="AV758" s="50">
        <v>0</v>
      </c>
      <c r="AW758" s="50">
        <v>4.1100000000000003</v>
      </c>
      <c r="AX758" s="50">
        <v>4.5599999999999996</v>
      </c>
      <c r="AY758" s="50">
        <v>3.71</v>
      </c>
      <c r="AZ758" s="50">
        <v>5</v>
      </c>
      <c r="BA758" s="50">
        <v>0</v>
      </c>
      <c r="BB758" s="50">
        <v>0</v>
      </c>
      <c r="BC758" s="55">
        <v>4.5999999999999996</v>
      </c>
      <c r="BD758" s="55">
        <v>0</v>
      </c>
      <c r="BE758" s="11">
        <v>4.8840000000000003</v>
      </c>
      <c r="BF758" s="4">
        <v>4.8840000000000003</v>
      </c>
      <c r="BG758" s="4">
        <v>3.85</v>
      </c>
      <c r="BH758" s="4">
        <v>3.597</v>
      </c>
      <c r="BI758" s="4">
        <v>0</v>
      </c>
      <c r="BJ758" s="13">
        <v>0</v>
      </c>
      <c r="BK758" s="13">
        <v>0</v>
      </c>
      <c r="BL758" s="4">
        <v>4.6589999999999998</v>
      </c>
      <c r="BM758" s="16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2.64</v>
      </c>
      <c r="BT758" s="4">
        <v>0</v>
      </c>
      <c r="BU758" s="4">
        <v>0</v>
      </c>
      <c r="BV758" s="4">
        <v>0</v>
      </c>
      <c r="BW758" s="4">
        <v>2.89</v>
      </c>
      <c r="BX758" s="4">
        <v>0</v>
      </c>
      <c r="BY758" s="4">
        <v>0</v>
      </c>
      <c r="BZ758" s="55">
        <v>0</v>
      </c>
      <c r="CA758" s="55">
        <v>0</v>
      </c>
      <c r="CB758" s="55">
        <v>0</v>
      </c>
      <c r="CC758" s="55">
        <v>0</v>
      </c>
      <c r="CD758" s="55">
        <v>0</v>
      </c>
      <c r="CE758" s="19">
        <v>0</v>
      </c>
      <c r="CF758" s="19">
        <v>0</v>
      </c>
      <c r="CG758" s="4">
        <v>4.03</v>
      </c>
      <c r="CH758" s="4">
        <v>0</v>
      </c>
      <c r="CI758" s="4">
        <v>0</v>
      </c>
      <c r="CJ758" s="34">
        <v>0</v>
      </c>
      <c r="CK758" s="34">
        <v>0</v>
      </c>
      <c r="CL758" s="34">
        <v>0</v>
      </c>
      <c r="CM758" s="4">
        <v>0</v>
      </c>
      <c r="CN758" s="53">
        <v>0</v>
      </c>
      <c r="CO758" s="54">
        <v>0</v>
      </c>
      <c r="CP758" s="54">
        <v>0</v>
      </c>
      <c r="CQ758" s="4">
        <v>0</v>
      </c>
    </row>
    <row r="759" spans="1:95" s="55" customFormat="1" x14ac:dyDescent="0.35">
      <c r="A759" s="55">
        <v>758</v>
      </c>
      <c r="B759" s="55" t="s">
        <v>105</v>
      </c>
      <c r="C759" s="27" t="s">
        <v>507</v>
      </c>
      <c r="D759" s="50" t="s">
        <v>94</v>
      </c>
      <c r="E759" s="33" t="s">
        <v>91</v>
      </c>
      <c r="F759" s="4">
        <f>IFERROR(AVERAGEIF(Table1[[#This Row],[2019-Apr]:[2025-July]],"&lt;&gt;0"),0)</f>
        <v>3.6191111111111107</v>
      </c>
      <c r="G759" s="4">
        <f ca="1">IFERROR(AVERAGEIF(OFFSET(Table1[[#This Row],[Status]],0,COUNT(Table1[[#This Row],[2019-May]:[2025-July]]),1,-12),"&lt;&gt;0"),0)</f>
        <v>2.6549999999999998</v>
      </c>
      <c r="H759" s="55">
        <f>IFERROR(SMALL(Table1[[#This Row],[2019-Apr]:[2025-July]],COUNTIF(Table1[[#This Row],[2019-Apr]:[2025-July]],0)+1),0)</f>
        <v>1.41</v>
      </c>
      <c r="I759" s="55">
        <f>IFERROR(MAX(Table1[[#This Row],[2019-Apr]:[2025-July]]),0)</f>
        <v>4.97</v>
      </c>
      <c r="J759" s="4" cm="1">
        <f t="array" ref="J75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3.2419999999999995</v>
      </c>
      <c r="K759" s="4">
        <v>4.5</v>
      </c>
      <c r="L759" s="4">
        <f>IF(Table1[[#This Row],[Standard as per ISO]]&gt;=Table1[[#This Row],[Avg of best 6]],Table1[[#This Row],[Standard as per ISO]],Table1[[#This Row],[Avg of best 6]])</f>
        <v>4.5</v>
      </c>
      <c r="M759" s="4" cm="1">
        <f t="array" ref="M759">IFERROR(LOOKUP(2,1/(Table1[[#This Row],[2019-May]:[2025-July]]&lt;&gt;0),Table1[[#This Row],[2019-May]:[2025-July]]),0)</f>
        <v>1.41</v>
      </c>
      <c r="N759" s="4">
        <f>COUNTIF(Table1[[#This Row],[2019-Apr]:[2025-July]],"&gt;="&amp;Table1[[#This Row],[Target]])</f>
        <v>1</v>
      </c>
      <c r="O759" s="4">
        <f>IF(Table1[[#This Row],[Outliers 2Y]]=0,1,0)</f>
        <v>0</v>
      </c>
      <c r="P759" s="4">
        <f>IF(Table1[[#This Row],[Last value]]&gt;1.5*Table1[[#This Row],[Target]],1,0)</f>
        <v>0</v>
      </c>
      <c r="Q759" s="4">
        <f>IF(AND(1.5*Table1[[#This Row],[Target]]&gt;=Table1[[#This Row],[Last value]],Table1[[#This Row],[Last value]]&gt;Table1[[#This Row],[Target]]),1,0)</f>
        <v>0</v>
      </c>
      <c r="R759" s="4">
        <f>IF(Table1[[#This Row],[Target]]&gt;=Table1[[#This Row],[Last value]],1,0)</f>
        <v>1</v>
      </c>
      <c r="S759" s="4" t="str">
        <f t="shared" si="20"/>
        <v>Green</v>
      </c>
      <c r="T759" s="55">
        <v>0</v>
      </c>
      <c r="U759" s="55">
        <v>0</v>
      </c>
      <c r="V759" s="55">
        <v>0</v>
      </c>
      <c r="W759" s="55">
        <v>4.1500000000000004</v>
      </c>
      <c r="X759" s="55">
        <v>0</v>
      </c>
      <c r="Y759" s="55">
        <v>4</v>
      </c>
      <c r="Z759" s="55">
        <v>0</v>
      </c>
      <c r="AA759" s="55">
        <v>0</v>
      </c>
      <c r="AB759" s="55">
        <v>0</v>
      </c>
      <c r="AC759" s="55">
        <v>0</v>
      </c>
      <c r="AD759" s="55">
        <v>0</v>
      </c>
      <c r="AE759" s="55">
        <v>0</v>
      </c>
      <c r="AF759" s="55">
        <v>0</v>
      </c>
      <c r="AG759" s="55">
        <v>0</v>
      </c>
      <c r="AH759" s="55">
        <v>3.3</v>
      </c>
      <c r="AI759" s="55">
        <v>0</v>
      </c>
      <c r="AJ759" s="55">
        <v>3.6</v>
      </c>
      <c r="AK759" s="55">
        <v>0</v>
      </c>
      <c r="AL759" s="55">
        <v>0</v>
      </c>
      <c r="AM759" s="55">
        <v>0</v>
      </c>
      <c r="AN759" s="55">
        <v>0</v>
      </c>
      <c r="AO759" s="55">
        <v>0</v>
      </c>
      <c r="AP759" s="55">
        <v>0</v>
      </c>
      <c r="AQ759" s="55">
        <v>0</v>
      </c>
      <c r="AR759" s="8">
        <v>0</v>
      </c>
      <c r="AS759" s="8">
        <v>0</v>
      </c>
      <c r="AT759" s="8">
        <v>0</v>
      </c>
      <c r="AU759" s="50">
        <v>0</v>
      </c>
      <c r="AV759" s="50">
        <v>0</v>
      </c>
      <c r="AW759" s="50">
        <v>0</v>
      </c>
      <c r="AX759" s="50">
        <v>0</v>
      </c>
      <c r="AY759" s="50">
        <v>4.97</v>
      </c>
      <c r="AZ759" s="50">
        <v>0</v>
      </c>
      <c r="BA759" s="50">
        <v>0</v>
      </c>
      <c r="BB759" s="50">
        <v>0</v>
      </c>
      <c r="BC759" s="50">
        <v>0</v>
      </c>
      <c r="BD759" s="55">
        <v>0</v>
      </c>
      <c r="BE759" s="11">
        <v>0</v>
      </c>
      <c r="BF759" s="4">
        <v>0</v>
      </c>
      <c r="BG759" s="4">
        <v>0</v>
      </c>
      <c r="BH759" s="4">
        <v>3.6469999999999998</v>
      </c>
      <c r="BI759" s="4">
        <v>0</v>
      </c>
      <c r="BJ759" s="14">
        <v>0</v>
      </c>
      <c r="BK759" s="14">
        <v>0</v>
      </c>
      <c r="BL759" s="4">
        <v>3.5950000000000002</v>
      </c>
      <c r="BM759" s="17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55">
        <v>0</v>
      </c>
      <c r="CA759" s="55">
        <v>0</v>
      </c>
      <c r="CB759" s="55">
        <v>0</v>
      </c>
      <c r="CC759" s="55">
        <v>0</v>
      </c>
      <c r="CD759" s="55">
        <v>0</v>
      </c>
      <c r="CE759" s="19">
        <v>3.9</v>
      </c>
      <c r="CF759" s="19">
        <v>0</v>
      </c>
      <c r="CG759" s="4">
        <v>0</v>
      </c>
      <c r="CH759" s="4">
        <v>1.41</v>
      </c>
      <c r="CI759" s="4">
        <v>0</v>
      </c>
      <c r="CJ759" s="34">
        <v>0</v>
      </c>
      <c r="CK759" s="34">
        <v>0</v>
      </c>
      <c r="CL759" s="34">
        <v>0</v>
      </c>
      <c r="CM759" s="4">
        <v>0</v>
      </c>
      <c r="CN759" s="53">
        <v>0</v>
      </c>
      <c r="CO759" s="54">
        <v>0</v>
      </c>
      <c r="CP759" s="54">
        <v>0</v>
      </c>
      <c r="CQ759" s="4">
        <v>0</v>
      </c>
    </row>
    <row r="760" spans="1:95" s="55" customFormat="1" x14ac:dyDescent="0.35">
      <c r="A760" s="55">
        <v>759</v>
      </c>
      <c r="B760" s="55" t="s">
        <v>105</v>
      </c>
      <c r="C760" s="27" t="s">
        <v>508</v>
      </c>
      <c r="D760" s="50" t="s">
        <v>94</v>
      </c>
      <c r="E760" s="33" t="s">
        <v>91</v>
      </c>
      <c r="F760" s="4">
        <f>IFERROR(AVERAGEIF(Table1[[#This Row],[2019-Apr]:[2025-July]],"&lt;&gt;0"),0)</f>
        <v>3.0409677419354839</v>
      </c>
      <c r="G760" s="4">
        <f ca="1">IFERROR(AVERAGEIF(OFFSET(Table1[[#This Row],[Status]],0,COUNT(Table1[[#This Row],[2019-May]:[2025-July]]),1,-12),"&lt;&gt;0"),0)</f>
        <v>1.41</v>
      </c>
      <c r="H760" s="55">
        <f>IFERROR(SMALL(Table1[[#This Row],[2019-Apr]:[2025-July]],COUNTIF(Table1[[#This Row],[2019-Apr]:[2025-July]],0)+1),0)</f>
        <v>1.23</v>
      </c>
      <c r="I760" s="55">
        <f>IFERROR(MAX(Table1[[#This Row],[2019-Apr]:[2025-July]]),0)</f>
        <v>4.1040000000000001</v>
      </c>
      <c r="J760" s="4" cm="1">
        <f t="array" ref="J76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1.9481666666666664</v>
      </c>
      <c r="K760" s="4">
        <v>4.5</v>
      </c>
      <c r="L760" s="4">
        <f>IF(Table1[[#This Row],[Standard as per ISO]]&gt;=Table1[[#This Row],[Avg of best 6]],Table1[[#This Row],[Standard as per ISO]],Table1[[#This Row],[Avg of best 6]])</f>
        <v>4.5</v>
      </c>
      <c r="M760" s="4" cm="1">
        <f t="array" ref="M760">IFERROR(LOOKUP(2,1/(Table1[[#This Row],[2019-May]:[2025-July]]&lt;&gt;0),Table1[[#This Row],[2019-May]:[2025-July]]),0)</f>
        <v>1.41</v>
      </c>
      <c r="N760" s="4">
        <f>COUNTIF(Table1[[#This Row],[2019-Apr]:[2025-July]],"&gt;="&amp;Table1[[#This Row],[Target]])</f>
        <v>0</v>
      </c>
      <c r="O760" s="4">
        <f>IF(Table1[[#This Row],[Outliers 2Y]]=0,1,0)</f>
        <v>1</v>
      </c>
      <c r="P760" s="4">
        <f>IF(Table1[[#This Row],[Last value]]&gt;1.5*Table1[[#This Row],[Target]],1,0)</f>
        <v>0</v>
      </c>
      <c r="Q760" s="4">
        <f>IF(AND(1.5*Table1[[#This Row],[Target]]&gt;=Table1[[#This Row],[Last value]],Table1[[#This Row],[Last value]]&gt;Table1[[#This Row],[Target]]),1,0)</f>
        <v>0</v>
      </c>
      <c r="R760" s="4">
        <f>IF(Table1[[#This Row],[Target]]&gt;=Table1[[#This Row],[Last value]],1,0)</f>
        <v>1</v>
      </c>
      <c r="S760" s="4" t="str">
        <f t="shared" si="20"/>
        <v>Green</v>
      </c>
      <c r="T760" s="55">
        <v>4.07</v>
      </c>
      <c r="U760" s="55">
        <v>2.79</v>
      </c>
      <c r="V760" s="55">
        <v>3.32</v>
      </c>
      <c r="W760" s="55">
        <v>2.9</v>
      </c>
      <c r="X760" s="55">
        <v>3.64</v>
      </c>
      <c r="Y760" s="55">
        <v>2.7</v>
      </c>
      <c r="Z760" s="55">
        <v>3.35</v>
      </c>
      <c r="AA760" s="55">
        <v>0</v>
      </c>
      <c r="AB760" s="55">
        <v>0</v>
      </c>
      <c r="AC760" s="55">
        <v>0</v>
      </c>
      <c r="AD760" s="55">
        <v>4.01</v>
      </c>
      <c r="AE760" s="55">
        <v>0</v>
      </c>
      <c r="AF760" s="55">
        <v>0</v>
      </c>
      <c r="AG760" s="55">
        <v>0</v>
      </c>
      <c r="AH760" s="55">
        <v>2.2999999999999998</v>
      </c>
      <c r="AI760" s="55">
        <v>2.29</v>
      </c>
      <c r="AJ760" s="55">
        <v>2.0699999999999998</v>
      </c>
      <c r="AK760" s="55">
        <v>3.47</v>
      </c>
      <c r="AL760" s="55">
        <v>3.16</v>
      </c>
      <c r="AM760" s="55">
        <v>0</v>
      </c>
      <c r="AN760" s="55">
        <v>0</v>
      </c>
      <c r="AO760" s="55">
        <v>2.59</v>
      </c>
      <c r="AP760" s="55">
        <v>3.32</v>
      </c>
      <c r="AQ760" s="55">
        <v>2.5499999999999998</v>
      </c>
      <c r="AR760" s="8">
        <v>3.6</v>
      </c>
      <c r="AS760" s="8">
        <v>3.34</v>
      </c>
      <c r="AT760" s="8">
        <v>2.78</v>
      </c>
      <c r="AU760" s="50">
        <v>0</v>
      </c>
      <c r="AV760" s="50">
        <v>3.63</v>
      </c>
      <c r="AW760" s="50">
        <v>3.22</v>
      </c>
      <c r="AX760" s="50">
        <v>0</v>
      </c>
      <c r="AY760" s="50">
        <v>0</v>
      </c>
      <c r="AZ760" s="50">
        <v>0</v>
      </c>
      <c r="BA760" s="50">
        <v>0</v>
      </c>
      <c r="BB760" s="50">
        <v>3.6</v>
      </c>
      <c r="BC760" s="50">
        <v>0</v>
      </c>
      <c r="BD760" s="55">
        <v>0</v>
      </c>
      <c r="BE760" s="11">
        <v>2.3889999999999998</v>
      </c>
      <c r="BF760" s="4">
        <v>3.202</v>
      </c>
      <c r="BG760" s="4">
        <v>3.29</v>
      </c>
      <c r="BH760" s="4">
        <v>3.9529999999999998</v>
      </c>
      <c r="BI760" s="4">
        <v>3.3260000000000001</v>
      </c>
      <c r="BJ760" s="13">
        <v>0</v>
      </c>
      <c r="BK760" s="13">
        <v>0</v>
      </c>
      <c r="BL760" s="4">
        <v>4.1040000000000001</v>
      </c>
      <c r="BM760" s="16">
        <v>0</v>
      </c>
      <c r="BN760" s="4">
        <v>0</v>
      </c>
      <c r="BO760" s="4">
        <v>0</v>
      </c>
      <c r="BP760" s="4">
        <v>2.6659999999999999</v>
      </c>
      <c r="BQ760" s="4">
        <v>0</v>
      </c>
      <c r="BR760" s="4">
        <v>0</v>
      </c>
      <c r="BS760" s="4">
        <v>1.23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55">
        <v>0</v>
      </c>
      <c r="CA760" s="55">
        <v>0</v>
      </c>
      <c r="CB760" s="55">
        <v>0</v>
      </c>
      <c r="CC760" s="55">
        <v>0</v>
      </c>
      <c r="CD760" s="55">
        <v>0</v>
      </c>
      <c r="CE760" s="19">
        <v>0</v>
      </c>
      <c r="CF760" s="19">
        <v>0</v>
      </c>
      <c r="CG760" s="4">
        <v>0</v>
      </c>
      <c r="CH760" s="4">
        <v>1.41</v>
      </c>
      <c r="CI760" s="4">
        <v>0</v>
      </c>
      <c r="CJ760" s="34">
        <v>0</v>
      </c>
      <c r="CK760" s="34">
        <v>0</v>
      </c>
      <c r="CL760" s="34">
        <v>0</v>
      </c>
      <c r="CM760" s="4">
        <v>0</v>
      </c>
      <c r="CN760" s="53">
        <v>0</v>
      </c>
      <c r="CO760" s="54">
        <v>0</v>
      </c>
      <c r="CP760" s="54">
        <v>0</v>
      </c>
      <c r="CQ760" s="4">
        <v>0</v>
      </c>
    </row>
    <row r="761" spans="1:95" s="55" customFormat="1" x14ac:dyDescent="0.35">
      <c r="A761" s="55">
        <v>760</v>
      </c>
      <c r="B761" s="55" t="s">
        <v>105</v>
      </c>
      <c r="C761" s="27" t="s">
        <v>509</v>
      </c>
      <c r="D761" s="50" t="s">
        <v>94</v>
      </c>
      <c r="E761" s="33" t="s">
        <v>91</v>
      </c>
      <c r="F761" s="4">
        <f>IFERROR(AVERAGEIF(Table1[[#This Row],[2019-Apr]:[2025-July]],"&lt;&gt;0"),0)</f>
        <v>1.7875714285714286</v>
      </c>
      <c r="G761" s="4">
        <f ca="1">IFERROR(AVERAGEIF(OFFSET(Table1[[#This Row],[Status]],0,COUNT(Table1[[#This Row],[2019-May]:[2025-July]]),1,-12),"&lt;&gt;0"),0)</f>
        <v>2.2000000000000002</v>
      </c>
      <c r="H761" s="55">
        <f>IFERROR(SMALL(Table1[[#This Row],[2019-Apr]:[2025-July]],COUNTIF(Table1[[#This Row],[2019-Apr]:[2025-July]],0)+1),0)</f>
        <v>1.1890000000000001</v>
      </c>
      <c r="I761" s="55">
        <f>IFERROR(MAX(Table1[[#This Row],[2019-Apr]:[2025-July]]),0)</f>
        <v>3.41</v>
      </c>
      <c r="J761" s="4" cm="1">
        <f t="array" ref="J76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1.2996666666666667</v>
      </c>
      <c r="K761" s="4">
        <v>4.5</v>
      </c>
      <c r="L761" s="4">
        <f>IF(Table1[[#This Row],[Standard as per ISO]]&gt;=Table1[[#This Row],[Avg of best 6]],Table1[[#This Row],[Standard as per ISO]],Table1[[#This Row],[Avg of best 6]])</f>
        <v>4.5</v>
      </c>
      <c r="M761" s="4" cm="1">
        <f t="array" ref="M761">IFERROR(LOOKUP(2,1/(Table1[[#This Row],[2019-May]:[2025-July]]&lt;&gt;0),Table1[[#This Row],[2019-May]:[2025-July]]),0)</f>
        <v>2.2000000000000002</v>
      </c>
      <c r="N761" s="4">
        <f>COUNTIF(Table1[[#This Row],[2019-Apr]:[2025-July]],"&gt;="&amp;Table1[[#This Row],[Target]])</f>
        <v>0</v>
      </c>
      <c r="O761" s="4">
        <f>IF(Table1[[#This Row],[Outliers 2Y]]=0,1,0)</f>
        <v>1</v>
      </c>
      <c r="P761" s="4">
        <f>IF(Table1[[#This Row],[Last value]]&gt;1.5*Table1[[#This Row],[Target]],1,0)</f>
        <v>0</v>
      </c>
      <c r="Q761" s="4">
        <f>IF(AND(1.5*Table1[[#This Row],[Target]]&gt;=Table1[[#This Row],[Last value]],Table1[[#This Row],[Last value]]&gt;Table1[[#This Row],[Target]]),1,0)</f>
        <v>0</v>
      </c>
      <c r="R761" s="4">
        <f>IF(Table1[[#This Row],[Target]]&gt;=Table1[[#This Row],[Last value]],1,0)</f>
        <v>1</v>
      </c>
      <c r="S761" s="4" t="str">
        <f t="shared" si="20"/>
        <v>Green</v>
      </c>
      <c r="T761" s="55">
        <v>1.69</v>
      </c>
      <c r="U761" s="55">
        <v>0</v>
      </c>
      <c r="V761" s="55">
        <v>0</v>
      </c>
      <c r="W761" s="55">
        <v>0</v>
      </c>
      <c r="X761" s="55">
        <v>0</v>
      </c>
      <c r="Y761" s="55">
        <v>0</v>
      </c>
      <c r="Z761" s="55">
        <v>0</v>
      </c>
      <c r="AA761" s="55">
        <v>1.2</v>
      </c>
      <c r="AB761" s="55">
        <v>1.51</v>
      </c>
      <c r="AC761" s="55">
        <v>1.98</v>
      </c>
      <c r="AD761" s="55">
        <v>0</v>
      </c>
      <c r="AE761" s="55">
        <v>1.4</v>
      </c>
      <c r="AF761" s="55">
        <v>1.3</v>
      </c>
      <c r="AG761" s="55">
        <v>1.6</v>
      </c>
      <c r="AH761" s="55">
        <v>0</v>
      </c>
      <c r="AI761" s="55">
        <v>0</v>
      </c>
      <c r="AJ761" s="55">
        <v>0</v>
      </c>
      <c r="AK761" s="55">
        <v>0</v>
      </c>
      <c r="AL761" s="55">
        <v>0</v>
      </c>
      <c r="AM761" s="55">
        <v>1.58</v>
      </c>
      <c r="AN761" s="55">
        <v>3.41</v>
      </c>
      <c r="AO761" s="55">
        <v>0</v>
      </c>
      <c r="AP761" s="55">
        <v>0</v>
      </c>
      <c r="AQ761" s="55">
        <v>0</v>
      </c>
      <c r="AR761" s="8">
        <v>0</v>
      </c>
      <c r="AS761" s="8">
        <v>0</v>
      </c>
      <c r="AT761" s="8">
        <v>0</v>
      </c>
      <c r="AU761" s="50">
        <v>1.61</v>
      </c>
      <c r="AV761" s="50">
        <v>0</v>
      </c>
      <c r="AW761" s="50">
        <v>0</v>
      </c>
      <c r="AX761" s="50">
        <v>1.57</v>
      </c>
      <c r="AY761" s="50">
        <v>1.48</v>
      </c>
      <c r="AZ761" s="50">
        <v>2.2000000000000002</v>
      </c>
      <c r="BA761" s="50">
        <v>1.7</v>
      </c>
      <c r="BB761" s="50">
        <v>0</v>
      </c>
      <c r="BC761" s="55">
        <v>2</v>
      </c>
      <c r="BD761" s="55">
        <v>0</v>
      </c>
      <c r="BE761" s="11">
        <v>1.752</v>
      </c>
      <c r="BF761" s="4">
        <v>1.752</v>
      </c>
      <c r="BG761" s="4">
        <v>0</v>
      </c>
      <c r="BH761" s="4">
        <v>0</v>
      </c>
      <c r="BI761" s="4">
        <v>1.2290000000000001</v>
      </c>
      <c r="BJ761" s="14">
        <v>0</v>
      </c>
      <c r="BK761" s="14">
        <v>0</v>
      </c>
      <c r="BL761" s="4">
        <v>0</v>
      </c>
      <c r="BM761" s="17">
        <v>0</v>
      </c>
      <c r="BN761" s="4">
        <v>0</v>
      </c>
      <c r="BO761" s="4">
        <v>0</v>
      </c>
      <c r="BP761" s="4">
        <v>1.1890000000000001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3.1869999999999998</v>
      </c>
      <c r="BX761" s="4">
        <v>0</v>
      </c>
      <c r="BY761" s="4">
        <v>0</v>
      </c>
      <c r="BZ761" s="55">
        <v>0</v>
      </c>
      <c r="CA761" s="55">
        <v>0</v>
      </c>
      <c r="CB761" s="55">
        <v>0</v>
      </c>
      <c r="CC761" s="55">
        <v>0</v>
      </c>
      <c r="CD761" s="55">
        <v>0</v>
      </c>
      <c r="CE761" s="19">
        <v>2.2000000000000002</v>
      </c>
      <c r="CF761" s="19">
        <v>0</v>
      </c>
      <c r="CG761" s="4">
        <v>0</v>
      </c>
      <c r="CH761" s="4">
        <v>0</v>
      </c>
      <c r="CI761" s="4">
        <v>0</v>
      </c>
      <c r="CJ761" s="34">
        <v>0</v>
      </c>
      <c r="CK761" s="34">
        <v>0</v>
      </c>
      <c r="CL761" s="34">
        <v>0</v>
      </c>
      <c r="CM761" s="4">
        <v>0</v>
      </c>
      <c r="CN761" s="53">
        <v>0</v>
      </c>
      <c r="CO761" s="54">
        <v>0</v>
      </c>
      <c r="CP761" s="54">
        <v>0</v>
      </c>
      <c r="CQ761" s="4">
        <v>0</v>
      </c>
    </row>
    <row r="762" spans="1:95" s="55" customFormat="1" x14ac:dyDescent="0.35">
      <c r="A762" s="55">
        <v>761</v>
      </c>
      <c r="B762" s="55" t="s">
        <v>105</v>
      </c>
      <c r="C762" s="27" t="s">
        <v>510</v>
      </c>
      <c r="D762" s="50" t="s">
        <v>94</v>
      </c>
      <c r="E762" s="33" t="s">
        <v>91</v>
      </c>
      <c r="F762" s="4">
        <f>IFERROR(AVERAGEIF(Table1[[#This Row],[2019-Apr]:[2025-July]],"&lt;&gt;0"),0)</f>
        <v>4.7216060606060601</v>
      </c>
      <c r="G762" s="4">
        <f ca="1">IFERROR(AVERAGEIF(OFFSET(Table1[[#This Row],[Status]],0,COUNT(Table1[[#This Row],[2019-May]:[2025-July]]),1,-12),"&lt;&gt;0"),0)</f>
        <v>5.0233333333333334</v>
      </c>
      <c r="H762" s="55">
        <f>IFERROR(SMALL(Table1[[#This Row],[2019-Apr]:[2025-July]],COUNTIF(Table1[[#This Row],[2019-Apr]:[2025-July]],0)+1),0)</f>
        <v>1.5</v>
      </c>
      <c r="I762" s="55">
        <f>IFERROR(MAX(Table1[[#This Row],[2019-Apr]:[2025-July]]),0)</f>
        <v>6.5510000000000002</v>
      </c>
      <c r="J762" s="4" cm="1">
        <f t="array" ref="J76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3.4608333333333334</v>
      </c>
      <c r="K762" s="4">
        <v>4.5</v>
      </c>
      <c r="L762" s="4">
        <f>IF(Table1[[#This Row],[Standard as per ISO]]&gt;=Table1[[#This Row],[Avg of best 6]],Table1[[#This Row],[Standard as per ISO]],Table1[[#This Row],[Avg of best 6]])</f>
        <v>4.5</v>
      </c>
      <c r="M762" s="4" cm="1">
        <f t="array" ref="M762">IFERROR(LOOKUP(2,1/(Table1[[#This Row],[2019-May]:[2025-July]]&lt;&gt;0),Table1[[#This Row],[2019-May]:[2025-July]]),0)</f>
        <v>5.17</v>
      </c>
      <c r="N762" s="4">
        <f>COUNTIF(Table1[[#This Row],[2019-Apr]:[2025-July]],"&gt;="&amp;Table1[[#This Row],[Target]])</f>
        <v>19</v>
      </c>
      <c r="O762" s="4">
        <f>IF(Table1[[#This Row],[Outliers 2Y]]=0,1,0)</f>
        <v>0</v>
      </c>
      <c r="P762" s="4">
        <f>IF(Table1[[#This Row],[Last value]]&gt;1.5*Table1[[#This Row],[Target]],1,0)</f>
        <v>0</v>
      </c>
      <c r="Q762" s="4">
        <f>IF(AND(1.5*Table1[[#This Row],[Target]]&gt;=Table1[[#This Row],[Last value]],Table1[[#This Row],[Last value]]&gt;Table1[[#This Row],[Target]]),1,0)</f>
        <v>1</v>
      </c>
      <c r="R762" s="4">
        <f>IF(Table1[[#This Row],[Target]]&gt;=Table1[[#This Row],[Last value]],1,0)</f>
        <v>0</v>
      </c>
      <c r="S762" s="4" t="str">
        <f t="shared" si="20"/>
        <v>Yellow</v>
      </c>
      <c r="T762" s="55">
        <v>4.7699999999999996</v>
      </c>
      <c r="U762" s="55">
        <v>4.2699999999999996</v>
      </c>
      <c r="V762" s="55">
        <v>3.71</v>
      </c>
      <c r="W762" s="55">
        <v>5.0199999999999996</v>
      </c>
      <c r="X762" s="55">
        <v>6.5</v>
      </c>
      <c r="Y762" s="55">
        <v>0</v>
      </c>
      <c r="Z762" s="55">
        <v>5.07</v>
      </c>
      <c r="AA762" s="55">
        <v>4.3</v>
      </c>
      <c r="AB762" s="55">
        <v>0</v>
      </c>
      <c r="AC762" s="55">
        <v>5.29</v>
      </c>
      <c r="AD762" s="55">
        <v>4.53</v>
      </c>
      <c r="AE762" s="55">
        <v>3.9</v>
      </c>
      <c r="AF762" s="55">
        <v>0</v>
      </c>
      <c r="AG762" s="55">
        <v>0</v>
      </c>
      <c r="AH762" s="55">
        <v>4.4000000000000004</v>
      </c>
      <c r="AI762" s="55">
        <v>4.04</v>
      </c>
      <c r="AJ762" s="55">
        <v>0</v>
      </c>
      <c r="AK762" s="55">
        <v>5.39</v>
      </c>
      <c r="AL762" s="55">
        <v>4.5999999999999996</v>
      </c>
      <c r="AM762" s="55">
        <v>5.32</v>
      </c>
      <c r="AN762" s="55">
        <v>5.17</v>
      </c>
      <c r="AO762" s="55">
        <v>4.84</v>
      </c>
      <c r="AP762" s="55">
        <v>5.72</v>
      </c>
      <c r="AQ762" s="55">
        <v>0</v>
      </c>
      <c r="AR762" s="8">
        <v>0</v>
      </c>
      <c r="AS762" s="8">
        <v>4.03</v>
      </c>
      <c r="AT762" s="8">
        <v>0</v>
      </c>
      <c r="AU762" s="50">
        <v>0</v>
      </c>
      <c r="AV762" s="50">
        <v>4.6399999999999997</v>
      </c>
      <c r="AW762" s="50">
        <v>0</v>
      </c>
      <c r="AX762" s="50">
        <v>4.67</v>
      </c>
      <c r="AY762" s="50">
        <v>0</v>
      </c>
      <c r="AZ762" s="50">
        <v>4.2</v>
      </c>
      <c r="BA762" s="50">
        <v>4.4000000000000004</v>
      </c>
      <c r="BB762" s="50">
        <v>1.5</v>
      </c>
      <c r="BC762" s="50">
        <v>0</v>
      </c>
      <c r="BD762" s="55">
        <v>0</v>
      </c>
      <c r="BE762" s="11">
        <v>0</v>
      </c>
      <c r="BF762" s="4">
        <v>5.8129999999999997</v>
      </c>
      <c r="BG762" s="4">
        <v>5.7519999999999998</v>
      </c>
      <c r="BH762" s="4">
        <v>4.3310000000000004</v>
      </c>
      <c r="BI762" s="4">
        <v>4.391</v>
      </c>
      <c r="BJ762" s="13">
        <v>0</v>
      </c>
      <c r="BK762" s="13">
        <v>0</v>
      </c>
      <c r="BL762" s="4">
        <v>6.5510000000000002</v>
      </c>
      <c r="BM762" s="16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3.625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55">
        <v>0</v>
      </c>
      <c r="CA762" s="55">
        <v>0</v>
      </c>
      <c r="CB762" s="55">
        <v>0</v>
      </c>
      <c r="CC762" s="55">
        <v>0</v>
      </c>
      <c r="CD762" s="55">
        <v>0</v>
      </c>
      <c r="CE762" s="19">
        <v>5.9</v>
      </c>
      <c r="CF762" s="19">
        <v>0</v>
      </c>
      <c r="CG762" s="4">
        <v>4</v>
      </c>
      <c r="CH762" s="4">
        <v>5.17</v>
      </c>
      <c r="CI762" s="4">
        <v>0</v>
      </c>
      <c r="CJ762" s="34">
        <v>0</v>
      </c>
      <c r="CK762" s="34">
        <v>0</v>
      </c>
      <c r="CL762" s="34">
        <v>0</v>
      </c>
      <c r="CM762" s="4">
        <v>0</v>
      </c>
      <c r="CN762" s="53">
        <v>0</v>
      </c>
      <c r="CO762" s="54">
        <v>0</v>
      </c>
      <c r="CP762" s="54">
        <v>0</v>
      </c>
      <c r="CQ762" s="4">
        <v>0</v>
      </c>
    </row>
    <row r="763" spans="1:95" s="55" customFormat="1" x14ac:dyDescent="0.35">
      <c r="A763" s="55">
        <v>762</v>
      </c>
      <c r="B763" s="55" t="s">
        <v>105</v>
      </c>
      <c r="C763" s="27" t="s">
        <v>511</v>
      </c>
      <c r="D763" s="50" t="s">
        <v>94</v>
      </c>
      <c r="E763" s="33" t="s">
        <v>91</v>
      </c>
      <c r="F763" s="4">
        <f>IFERROR(AVERAGEIF(Table1[[#This Row],[2019-Apr]:[2025-July]],"&lt;&gt;0"),0)</f>
        <v>4.5616399999999997</v>
      </c>
      <c r="G763" s="4">
        <f ca="1">IFERROR(AVERAGEIF(OFFSET(Table1[[#This Row],[Status]],0,COUNT(Table1[[#This Row],[2019-May]:[2025-July]]),1,-12),"&lt;&gt;0"),0)</f>
        <v>4.4000000000000004</v>
      </c>
      <c r="H763" s="55">
        <f>IFERROR(SMALL(Table1[[#This Row],[2019-Apr]:[2025-July]],COUNTIF(Table1[[#This Row],[2019-Apr]:[2025-July]],0)+1),0)</f>
        <v>3.4</v>
      </c>
      <c r="I763" s="55">
        <f>IFERROR(MAX(Table1[[#This Row],[2019-Apr]:[2025-July]]),0)</f>
        <v>5.89</v>
      </c>
      <c r="J763" s="4" cm="1">
        <f t="array" ref="J76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3.6793333333333336</v>
      </c>
      <c r="K763" s="4">
        <v>4.5</v>
      </c>
      <c r="L763" s="4">
        <f>IF(Table1[[#This Row],[Standard as per ISO]]&gt;=Table1[[#This Row],[Avg of best 6]],Table1[[#This Row],[Standard as per ISO]],Table1[[#This Row],[Avg of best 6]])</f>
        <v>4.5</v>
      </c>
      <c r="M763" s="4" cm="1">
        <f t="array" ref="M763">IFERROR(LOOKUP(2,1/(Table1[[#This Row],[2019-May]:[2025-July]]&lt;&gt;0),Table1[[#This Row],[2019-May]:[2025-July]]),0)</f>
        <v>4.4000000000000004</v>
      </c>
      <c r="N763" s="4">
        <f>COUNTIF(Table1[[#This Row],[2019-Apr]:[2025-July]],"&gt;="&amp;Table1[[#This Row],[Target]])</f>
        <v>13</v>
      </c>
      <c r="O763" s="4">
        <f>IF(Table1[[#This Row],[Outliers 2Y]]=0,1,0)</f>
        <v>0</v>
      </c>
      <c r="P763" s="4">
        <f>IF(Table1[[#This Row],[Last value]]&gt;1.5*Table1[[#This Row],[Target]],1,0)</f>
        <v>0</v>
      </c>
      <c r="Q763" s="4">
        <f>IF(AND(1.5*Table1[[#This Row],[Target]]&gt;=Table1[[#This Row],[Last value]],Table1[[#This Row],[Last value]]&gt;Table1[[#This Row],[Target]]),1,0)</f>
        <v>0</v>
      </c>
      <c r="R763" s="4">
        <f>IF(Table1[[#This Row],[Target]]&gt;=Table1[[#This Row],[Last value]],1,0)</f>
        <v>1</v>
      </c>
      <c r="S763" s="4" t="str">
        <f t="shared" si="20"/>
        <v>Green</v>
      </c>
      <c r="T763" s="55">
        <v>5.62</v>
      </c>
      <c r="U763" s="55">
        <v>0</v>
      </c>
      <c r="V763" s="55">
        <v>5.2</v>
      </c>
      <c r="W763" s="55">
        <v>4.5999999999999996</v>
      </c>
      <c r="X763" s="55">
        <v>5.42</v>
      </c>
      <c r="Y763" s="55">
        <v>4.7</v>
      </c>
      <c r="Z763" s="55">
        <v>0</v>
      </c>
      <c r="AA763" s="55">
        <v>0</v>
      </c>
      <c r="AB763" s="55">
        <v>4.4000000000000004</v>
      </c>
      <c r="AC763" s="55">
        <v>4.95</v>
      </c>
      <c r="AD763" s="55">
        <v>4.8</v>
      </c>
      <c r="AE763" s="55">
        <v>0</v>
      </c>
      <c r="AF763" s="55">
        <v>3.8</v>
      </c>
      <c r="AG763" s="55">
        <v>3.4</v>
      </c>
      <c r="AH763" s="55">
        <v>0</v>
      </c>
      <c r="AI763" s="55">
        <v>4</v>
      </c>
      <c r="AJ763" s="55">
        <v>0</v>
      </c>
      <c r="AK763" s="55">
        <v>4.1500000000000004</v>
      </c>
      <c r="AL763" s="55">
        <v>5.41</v>
      </c>
      <c r="AM763" s="55">
        <v>5.89</v>
      </c>
      <c r="AN763" s="55">
        <v>0</v>
      </c>
      <c r="AO763" s="55">
        <v>5.63</v>
      </c>
      <c r="AP763" s="55">
        <v>0</v>
      </c>
      <c r="AQ763" s="55">
        <v>0</v>
      </c>
      <c r="AR763" s="8">
        <v>0</v>
      </c>
      <c r="AS763" s="8">
        <v>0</v>
      </c>
      <c r="AT763" s="8">
        <v>0</v>
      </c>
      <c r="AU763" s="50">
        <v>4.3600000000000003</v>
      </c>
      <c r="AV763" s="50">
        <v>4.6100000000000003</v>
      </c>
      <c r="AW763" s="50">
        <v>4.54</v>
      </c>
      <c r="AX763" s="50">
        <v>4.2699999999999996</v>
      </c>
      <c r="AY763" s="50">
        <v>0</v>
      </c>
      <c r="AZ763" s="50">
        <v>0</v>
      </c>
      <c r="BA763" s="50">
        <v>3.8</v>
      </c>
      <c r="BB763" s="50">
        <v>0</v>
      </c>
      <c r="BC763" s="50">
        <v>0</v>
      </c>
      <c r="BD763" s="55">
        <v>0</v>
      </c>
      <c r="BE763" s="11">
        <v>0</v>
      </c>
      <c r="BF763" s="4">
        <v>5.0149999999999997</v>
      </c>
      <c r="BG763" s="4">
        <v>0</v>
      </c>
      <c r="BH763" s="4">
        <v>0</v>
      </c>
      <c r="BI763" s="4">
        <v>3.4670000000000001</v>
      </c>
      <c r="BJ763" s="14">
        <v>0</v>
      </c>
      <c r="BK763" s="14">
        <v>0</v>
      </c>
      <c r="BL763" s="4">
        <v>3.843</v>
      </c>
      <c r="BM763" s="17">
        <v>0</v>
      </c>
      <c r="BN763" s="4">
        <v>0</v>
      </c>
      <c r="BO763" s="4">
        <v>0</v>
      </c>
      <c r="BP763" s="4">
        <v>3.766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55">
        <v>0</v>
      </c>
      <c r="CA763" s="55">
        <v>0</v>
      </c>
      <c r="CB763" s="55">
        <v>0</v>
      </c>
      <c r="CC763" s="55">
        <v>0</v>
      </c>
      <c r="CD763" s="55">
        <v>0</v>
      </c>
      <c r="CE763" s="19">
        <v>4.4000000000000004</v>
      </c>
      <c r="CF763" s="19">
        <v>0</v>
      </c>
      <c r="CG763" s="4">
        <v>0</v>
      </c>
      <c r="CH763" s="4">
        <v>0</v>
      </c>
      <c r="CI763" s="4">
        <v>0</v>
      </c>
      <c r="CJ763" s="34">
        <v>0</v>
      </c>
      <c r="CK763" s="34">
        <v>0</v>
      </c>
      <c r="CL763" s="34">
        <v>0</v>
      </c>
      <c r="CM763" s="4">
        <v>0</v>
      </c>
      <c r="CN763" s="53">
        <v>0</v>
      </c>
      <c r="CO763" s="54">
        <v>0</v>
      </c>
      <c r="CP763" s="54">
        <v>0</v>
      </c>
      <c r="CQ763" s="4">
        <v>0</v>
      </c>
    </row>
    <row r="764" spans="1:95" s="55" customFormat="1" x14ac:dyDescent="0.35">
      <c r="A764" s="55">
        <v>763</v>
      </c>
      <c r="B764" s="55" t="s">
        <v>105</v>
      </c>
      <c r="C764" s="27" t="s">
        <v>512</v>
      </c>
      <c r="D764" s="50" t="s">
        <v>94</v>
      </c>
      <c r="E764" s="33" t="s">
        <v>91</v>
      </c>
      <c r="F764" s="4">
        <f>IFERROR(AVERAGEIF(Table1[[#This Row],[2019-Apr]:[2025-July]],"&lt;&gt;0"),0)</f>
        <v>4.1674838709677422</v>
      </c>
      <c r="G764" s="4">
        <f ca="1">IFERROR(AVERAGEIF(OFFSET(Table1[[#This Row],[Status]],0,COUNT(Table1[[#This Row],[2019-May]:[2025-July]]),1,-12),"&lt;&gt;0"),0)</f>
        <v>1</v>
      </c>
      <c r="H764" s="55">
        <f>IFERROR(SMALL(Table1[[#This Row],[2019-Apr]:[2025-July]],COUNTIF(Table1[[#This Row],[2019-Apr]:[2025-July]],0)+1),0)</f>
        <v>1</v>
      </c>
      <c r="I764" s="55">
        <f>IFERROR(MAX(Table1[[#This Row],[2019-Apr]:[2025-July]]),0)</f>
        <v>5.34</v>
      </c>
      <c r="J764" s="4" cm="1">
        <f t="array" ref="J76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2.8806666666666665</v>
      </c>
      <c r="K764" s="4">
        <v>4.5</v>
      </c>
      <c r="L764" s="4">
        <f>IF(Table1[[#This Row],[Standard as per ISO]]&gt;=Table1[[#This Row],[Avg of best 6]],Table1[[#This Row],[Standard as per ISO]],Table1[[#This Row],[Avg of best 6]])</f>
        <v>4.5</v>
      </c>
      <c r="M764" s="4" cm="1">
        <f t="array" ref="M764">IFERROR(LOOKUP(2,1/(Table1[[#This Row],[2019-May]:[2025-July]]&lt;&gt;0),Table1[[#This Row],[2019-May]:[2025-July]]),0)</f>
        <v>1</v>
      </c>
      <c r="N764" s="4">
        <f>COUNTIF(Table1[[#This Row],[2019-Apr]:[2025-July]],"&gt;="&amp;Table1[[#This Row],[Target]])</f>
        <v>12</v>
      </c>
      <c r="O764" s="4">
        <f>IF(Table1[[#This Row],[Outliers 2Y]]=0,1,0)</f>
        <v>0</v>
      </c>
      <c r="P764" s="4">
        <f>IF(Table1[[#This Row],[Last value]]&gt;1.5*Table1[[#This Row],[Target]],1,0)</f>
        <v>0</v>
      </c>
      <c r="Q764" s="4">
        <f>IF(AND(1.5*Table1[[#This Row],[Target]]&gt;=Table1[[#This Row],[Last value]],Table1[[#This Row],[Last value]]&gt;Table1[[#This Row],[Target]]),1,0)</f>
        <v>0</v>
      </c>
      <c r="R764" s="4">
        <f>IF(Table1[[#This Row],[Target]]&gt;=Table1[[#This Row],[Last value]],1,0)</f>
        <v>1</v>
      </c>
      <c r="S764" s="4" t="str">
        <f t="shared" si="20"/>
        <v>Green</v>
      </c>
      <c r="T764" s="55">
        <v>4.62</v>
      </c>
      <c r="U764" s="55">
        <v>0</v>
      </c>
      <c r="V764" s="55">
        <v>4.5</v>
      </c>
      <c r="W764" s="55">
        <v>4.5</v>
      </c>
      <c r="X764" s="55">
        <v>0</v>
      </c>
      <c r="Y764" s="55">
        <v>0</v>
      </c>
      <c r="Z764" s="55">
        <v>4.5999999999999996</v>
      </c>
      <c r="AA764" s="55">
        <v>4.5999999999999996</v>
      </c>
      <c r="AB764" s="55">
        <v>4.3600000000000003</v>
      </c>
      <c r="AC764" s="55">
        <v>4.49</v>
      </c>
      <c r="AD764" s="55">
        <v>5.2</v>
      </c>
      <c r="AE764" s="55">
        <v>4.0999999999999996</v>
      </c>
      <c r="AF764" s="55">
        <v>0</v>
      </c>
      <c r="AG764" s="55">
        <v>3.4</v>
      </c>
      <c r="AH764" s="55">
        <v>0</v>
      </c>
      <c r="AI764" s="55">
        <v>4.8499999999999996</v>
      </c>
      <c r="AJ764" s="55">
        <v>4.2</v>
      </c>
      <c r="AK764" s="55">
        <v>3.83</v>
      </c>
      <c r="AL764" s="55">
        <v>0</v>
      </c>
      <c r="AM764" s="55">
        <v>4.1100000000000003</v>
      </c>
      <c r="AN764" s="55">
        <v>5.19</v>
      </c>
      <c r="AO764" s="55">
        <v>0</v>
      </c>
      <c r="AP764" s="55">
        <v>5.34</v>
      </c>
      <c r="AQ764" s="55">
        <v>5.08</v>
      </c>
      <c r="AR764" s="8">
        <v>5.0199999999999996</v>
      </c>
      <c r="AS764" s="8">
        <v>0</v>
      </c>
      <c r="AT764" s="8">
        <v>0</v>
      </c>
      <c r="AU764" s="50">
        <v>0</v>
      </c>
      <c r="AV764" s="50">
        <v>4.04</v>
      </c>
      <c r="AW764" s="50">
        <v>3.78</v>
      </c>
      <c r="AX764" s="50">
        <v>3.85</v>
      </c>
      <c r="AY764" s="50">
        <v>4.33</v>
      </c>
      <c r="AZ764" s="50">
        <v>0</v>
      </c>
      <c r="BA764" s="50">
        <v>3</v>
      </c>
      <c r="BB764" s="50">
        <v>5.2</v>
      </c>
      <c r="BC764" s="55">
        <v>3.5</v>
      </c>
      <c r="BD764" s="55">
        <v>0</v>
      </c>
      <c r="BE764" s="11">
        <v>3.9340000000000002</v>
      </c>
      <c r="BF764" s="4">
        <v>3.9340000000000002</v>
      </c>
      <c r="BG764" s="4">
        <v>0</v>
      </c>
      <c r="BH764" s="4">
        <v>3.1669999999999998</v>
      </c>
      <c r="BI764" s="4">
        <v>3.2170000000000001</v>
      </c>
      <c r="BJ764" s="13">
        <v>0</v>
      </c>
      <c r="BK764" s="13">
        <v>0</v>
      </c>
      <c r="BL764" s="4">
        <v>0</v>
      </c>
      <c r="BM764" s="16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4.25</v>
      </c>
      <c r="BX764" s="4">
        <v>0</v>
      </c>
      <c r="BY764" s="4">
        <v>0</v>
      </c>
      <c r="BZ764" s="55">
        <v>0</v>
      </c>
      <c r="CA764" s="55">
        <v>0</v>
      </c>
      <c r="CB764" s="55">
        <v>0</v>
      </c>
      <c r="CC764" s="55">
        <v>0</v>
      </c>
      <c r="CD764" s="55">
        <v>0</v>
      </c>
      <c r="CE764" s="19">
        <v>1</v>
      </c>
      <c r="CF764" s="19">
        <v>0</v>
      </c>
      <c r="CG764" s="4">
        <v>0</v>
      </c>
      <c r="CH764" s="4">
        <v>0</v>
      </c>
      <c r="CI764" s="4">
        <v>0</v>
      </c>
      <c r="CJ764" s="34">
        <v>0</v>
      </c>
      <c r="CK764" s="34">
        <v>0</v>
      </c>
      <c r="CL764" s="34">
        <v>0</v>
      </c>
      <c r="CM764" s="4">
        <v>0</v>
      </c>
      <c r="CN764" s="53">
        <v>0</v>
      </c>
      <c r="CO764" s="54">
        <v>0</v>
      </c>
      <c r="CP764" s="54">
        <v>0</v>
      </c>
      <c r="CQ764" s="4">
        <v>0</v>
      </c>
    </row>
    <row r="765" spans="1:95" s="55" customFormat="1" x14ac:dyDescent="0.35">
      <c r="A765" s="55">
        <v>764</v>
      </c>
      <c r="B765" s="55" t="s">
        <v>105</v>
      </c>
      <c r="C765" s="27" t="s">
        <v>513</v>
      </c>
      <c r="D765" s="50" t="s">
        <v>94</v>
      </c>
      <c r="E765" s="33" t="s">
        <v>91</v>
      </c>
      <c r="F765" s="4">
        <f>IFERROR(AVERAGEIF(Table1[[#This Row],[2019-Apr]:[2025-July]],"&lt;&gt;0"),0)</f>
        <v>4.7861538461538462</v>
      </c>
      <c r="G765" s="4">
        <f ca="1">IFERROR(AVERAGEIF(OFFSET(Table1[[#This Row],[Status]],0,COUNT(Table1[[#This Row],[2019-May]:[2025-July]]),1,-12),"&lt;&gt;0"),0)</f>
        <v>4.4850000000000003</v>
      </c>
      <c r="H765" s="55">
        <f>IFERROR(SMALL(Table1[[#This Row],[2019-Apr]:[2025-July]],COUNTIF(Table1[[#This Row],[2019-Apr]:[2025-July]],0)+1),0)</f>
        <v>2.863</v>
      </c>
      <c r="I765" s="55">
        <f>IFERROR(MAX(Table1[[#This Row],[2019-Apr]:[2025-July]]),0)</f>
        <v>8.5</v>
      </c>
      <c r="J765" s="4" cm="1">
        <f t="array" ref="J76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3.6638333333333333</v>
      </c>
      <c r="K765" s="4">
        <v>4.5</v>
      </c>
      <c r="L765" s="4">
        <f>IF(Table1[[#This Row],[Standard as per ISO]]&gt;=Table1[[#This Row],[Avg of best 6]],Table1[[#This Row],[Standard as per ISO]],Table1[[#This Row],[Avg of best 6]])</f>
        <v>4.5</v>
      </c>
      <c r="M765" s="4" cm="1">
        <f t="array" ref="M765">IFERROR(LOOKUP(2,1/(Table1[[#This Row],[2019-May]:[2025-July]]&lt;&gt;0),Table1[[#This Row],[2019-May]:[2025-July]]),0)</f>
        <v>4.57</v>
      </c>
      <c r="N765" s="4">
        <f>COUNTIF(Table1[[#This Row],[2019-Apr]:[2025-July]],"&gt;="&amp;Table1[[#This Row],[Target]])</f>
        <v>13</v>
      </c>
      <c r="O765" s="4">
        <f>IF(Table1[[#This Row],[Outliers 2Y]]=0,1,0)</f>
        <v>0</v>
      </c>
      <c r="P765" s="4">
        <f>IF(Table1[[#This Row],[Last value]]&gt;1.5*Table1[[#This Row],[Target]],1,0)</f>
        <v>0</v>
      </c>
      <c r="Q765" s="4">
        <f>IF(AND(1.5*Table1[[#This Row],[Target]]&gt;=Table1[[#This Row],[Last value]],Table1[[#This Row],[Last value]]&gt;Table1[[#This Row],[Target]]),1,0)</f>
        <v>1</v>
      </c>
      <c r="R765" s="4">
        <f>IF(Table1[[#This Row],[Target]]&gt;=Table1[[#This Row],[Last value]],1,0)</f>
        <v>0</v>
      </c>
      <c r="S765" s="4" t="str">
        <f t="shared" si="20"/>
        <v>Yellow</v>
      </c>
      <c r="T765" s="55">
        <v>6.24</v>
      </c>
      <c r="U765" s="55">
        <v>5.47</v>
      </c>
      <c r="V765" s="55">
        <v>0</v>
      </c>
      <c r="W765" s="55">
        <v>5.6</v>
      </c>
      <c r="X765" s="55">
        <v>0</v>
      </c>
      <c r="Y765" s="55">
        <v>4.3</v>
      </c>
      <c r="Z765" s="55">
        <v>4.4000000000000004</v>
      </c>
      <c r="AA765" s="55">
        <v>0</v>
      </c>
      <c r="AB765" s="55">
        <v>4.0199999999999996</v>
      </c>
      <c r="AC765" s="55">
        <v>0</v>
      </c>
      <c r="AD765" s="55">
        <v>0</v>
      </c>
      <c r="AE765" s="55">
        <v>4.66</v>
      </c>
      <c r="AF765" s="55">
        <v>4.3</v>
      </c>
      <c r="AG765" s="55">
        <v>0</v>
      </c>
      <c r="AH765" s="55">
        <v>8.5</v>
      </c>
      <c r="AI765" s="55">
        <v>0</v>
      </c>
      <c r="AJ765" s="55">
        <v>0</v>
      </c>
      <c r="AK765" s="55">
        <v>4.07</v>
      </c>
      <c r="AL765" s="55">
        <v>4.75</v>
      </c>
      <c r="AM765" s="55">
        <v>0</v>
      </c>
      <c r="AN765" s="55">
        <v>3.45</v>
      </c>
      <c r="AO765" s="55">
        <v>4.3499999999999996</v>
      </c>
      <c r="AP765" s="55">
        <v>0</v>
      </c>
      <c r="AQ765" s="55">
        <v>4.0599999999999996</v>
      </c>
      <c r="AR765" s="8">
        <v>5.63</v>
      </c>
      <c r="AS765" s="8">
        <v>0</v>
      </c>
      <c r="AT765" s="8">
        <v>0</v>
      </c>
      <c r="AU765" s="50">
        <v>5</v>
      </c>
      <c r="AV765" s="50">
        <v>0</v>
      </c>
      <c r="AW765" s="50"/>
      <c r="AX765" s="50">
        <v>0</v>
      </c>
      <c r="AY765" s="50">
        <v>5.66</v>
      </c>
      <c r="AZ765" s="50">
        <v>0</v>
      </c>
      <c r="BA765" s="50">
        <v>4</v>
      </c>
      <c r="BB765" s="50">
        <v>0</v>
      </c>
      <c r="BC765" s="50">
        <v>0</v>
      </c>
      <c r="BD765" s="55">
        <v>0</v>
      </c>
      <c r="BE765" s="11">
        <v>6.3170000000000002</v>
      </c>
      <c r="BF765" s="4">
        <v>4.9189999999999996</v>
      </c>
      <c r="BG765" s="4">
        <v>4.45</v>
      </c>
      <c r="BH765" s="4">
        <v>0</v>
      </c>
      <c r="BI765" s="4">
        <v>0</v>
      </c>
      <c r="BJ765" s="14">
        <v>0</v>
      </c>
      <c r="BK765" s="14">
        <v>0</v>
      </c>
      <c r="BL765" s="4">
        <v>0</v>
      </c>
      <c r="BM765" s="17">
        <v>0</v>
      </c>
      <c r="BN765" s="4">
        <v>0</v>
      </c>
      <c r="BO765" s="4">
        <v>0</v>
      </c>
      <c r="BP765" s="4">
        <v>2.863</v>
      </c>
      <c r="BQ765" s="4">
        <v>0</v>
      </c>
      <c r="BR765" s="4">
        <v>0</v>
      </c>
      <c r="BS765" s="4">
        <v>4.8710000000000004</v>
      </c>
      <c r="BT765" s="4">
        <v>0</v>
      </c>
      <c r="BU765" s="4">
        <v>0</v>
      </c>
      <c r="BV765" s="4">
        <v>0</v>
      </c>
      <c r="BW765" s="4">
        <v>3.59</v>
      </c>
      <c r="BX765" s="4">
        <v>0</v>
      </c>
      <c r="BY765" s="4">
        <v>0</v>
      </c>
      <c r="BZ765" s="55">
        <v>0</v>
      </c>
      <c r="CA765" s="55">
        <v>0</v>
      </c>
      <c r="CB765" s="55">
        <v>0</v>
      </c>
      <c r="CC765" s="55">
        <v>0</v>
      </c>
      <c r="CD765" s="55">
        <v>0</v>
      </c>
      <c r="CE765" s="19">
        <v>4.4000000000000004</v>
      </c>
      <c r="CF765" s="19">
        <v>0</v>
      </c>
      <c r="CG765" s="4">
        <v>0</v>
      </c>
      <c r="CH765" s="4">
        <v>4.57</v>
      </c>
      <c r="CI765" s="4">
        <v>0</v>
      </c>
      <c r="CJ765" s="34">
        <v>0</v>
      </c>
      <c r="CK765" s="34">
        <v>0</v>
      </c>
      <c r="CL765" s="34">
        <v>0</v>
      </c>
      <c r="CM765" s="4">
        <v>0</v>
      </c>
      <c r="CN765" s="53">
        <v>0</v>
      </c>
      <c r="CO765" s="54">
        <v>0</v>
      </c>
      <c r="CP765" s="54">
        <v>0</v>
      </c>
      <c r="CQ765" s="4">
        <v>0</v>
      </c>
    </row>
    <row r="766" spans="1:95" s="55" customFormat="1" x14ac:dyDescent="0.35">
      <c r="A766" s="55">
        <v>765</v>
      </c>
      <c r="B766" s="55" t="s">
        <v>105</v>
      </c>
      <c r="C766" s="27" t="s">
        <v>514</v>
      </c>
      <c r="D766" s="50" t="s">
        <v>94</v>
      </c>
      <c r="E766" s="33" t="s">
        <v>91</v>
      </c>
      <c r="F766" s="4">
        <f>IFERROR(AVERAGEIF(Table1[[#This Row],[2019-Apr]:[2025-July]],"&lt;&gt;0"),0)</f>
        <v>5.9913846153846135</v>
      </c>
      <c r="G766" s="4">
        <f ca="1">IFERROR(AVERAGEIF(OFFSET(Table1[[#This Row],[Status]],0,COUNT(Table1[[#This Row],[2019-May]:[2025-July]]),1,-12),"&lt;&gt;0"),0)</f>
        <v>4.4350000000000005</v>
      </c>
      <c r="H766" s="55">
        <f>IFERROR(SMALL(Table1[[#This Row],[2019-Apr]:[2025-July]],COUNTIF(Table1[[#This Row],[2019-Apr]:[2025-July]],0)+1),0)</f>
        <v>3.8</v>
      </c>
      <c r="I766" s="55">
        <f>IFERROR(MAX(Table1[[#This Row],[2019-Apr]:[2025-July]]),0)</f>
        <v>8.43</v>
      </c>
      <c r="J766" s="4" cm="1">
        <f t="array" ref="J76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4.3680000000000003</v>
      </c>
      <c r="K766" s="4">
        <v>4.5</v>
      </c>
      <c r="L766" s="4">
        <f>IF(Table1[[#This Row],[Standard as per ISO]]&gt;=Table1[[#This Row],[Avg of best 6]],Table1[[#This Row],[Standard as per ISO]],Table1[[#This Row],[Avg of best 6]])</f>
        <v>4.5</v>
      </c>
      <c r="M766" s="4" cm="1">
        <f t="array" ref="M766">IFERROR(LOOKUP(2,1/(Table1[[#This Row],[2019-May]:[2025-July]]&lt;&gt;0),Table1[[#This Row],[2019-May]:[2025-July]]),0)</f>
        <v>4.17</v>
      </c>
      <c r="N766" s="4">
        <f>COUNTIF(Table1[[#This Row],[2019-Apr]:[2025-July]],"&gt;="&amp;Table1[[#This Row],[Target]])</f>
        <v>23</v>
      </c>
      <c r="O766" s="4">
        <f>IF(Table1[[#This Row],[Outliers 2Y]]=0,1,0)</f>
        <v>0</v>
      </c>
      <c r="P766" s="4">
        <f>IF(Table1[[#This Row],[Last value]]&gt;1.5*Table1[[#This Row],[Target]],1,0)</f>
        <v>0</v>
      </c>
      <c r="Q766" s="4">
        <f>IF(AND(1.5*Table1[[#This Row],[Target]]&gt;=Table1[[#This Row],[Last value]],Table1[[#This Row],[Last value]]&gt;Table1[[#This Row],[Target]]),1,0)</f>
        <v>0</v>
      </c>
      <c r="R766" s="4">
        <f>IF(Table1[[#This Row],[Target]]&gt;=Table1[[#This Row],[Last value]],1,0)</f>
        <v>1</v>
      </c>
      <c r="S766" s="4" t="str">
        <f t="shared" si="20"/>
        <v>Green</v>
      </c>
      <c r="T766" s="55">
        <v>5.73</v>
      </c>
      <c r="U766" s="55">
        <v>5.3</v>
      </c>
      <c r="V766" s="55">
        <v>0</v>
      </c>
      <c r="W766" s="55">
        <v>0</v>
      </c>
      <c r="X766" s="55">
        <v>0</v>
      </c>
      <c r="Y766" s="55">
        <v>7.5</v>
      </c>
      <c r="Z766" s="55">
        <v>0</v>
      </c>
      <c r="AA766" s="55">
        <v>0</v>
      </c>
      <c r="AB766" s="55">
        <v>7.06</v>
      </c>
      <c r="AC766" s="55">
        <v>0</v>
      </c>
      <c r="AD766" s="55">
        <v>0</v>
      </c>
      <c r="AE766" s="55">
        <v>0</v>
      </c>
      <c r="AF766" s="55">
        <v>7.11</v>
      </c>
      <c r="AG766" s="55">
        <v>0</v>
      </c>
      <c r="AH766" s="55">
        <v>0</v>
      </c>
      <c r="AI766" s="55">
        <v>0</v>
      </c>
      <c r="AJ766" s="55">
        <v>6.55</v>
      </c>
      <c r="AK766" s="55">
        <v>0</v>
      </c>
      <c r="AL766" s="55">
        <v>0</v>
      </c>
      <c r="AM766" s="55">
        <v>0</v>
      </c>
      <c r="AN766" s="55">
        <v>0</v>
      </c>
      <c r="AO766" s="55">
        <v>0</v>
      </c>
      <c r="AP766" s="55">
        <v>7.03</v>
      </c>
      <c r="AQ766" s="55">
        <v>7.58</v>
      </c>
      <c r="AR766" s="9">
        <v>8.43</v>
      </c>
      <c r="AS766" s="9">
        <v>7.22</v>
      </c>
      <c r="AT766" s="9">
        <v>7.72</v>
      </c>
      <c r="AU766" s="50">
        <v>7.72</v>
      </c>
      <c r="AV766" s="50">
        <v>0</v>
      </c>
      <c r="AW766" s="50">
        <v>0</v>
      </c>
      <c r="AX766" s="50">
        <v>6.73</v>
      </c>
      <c r="AY766" s="50">
        <v>6.68</v>
      </c>
      <c r="AZ766" s="50">
        <v>0</v>
      </c>
      <c r="BA766" s="50">
        <v>0</v>
      </c>
      <c r="BB766" s="50">
        <v>3.8</v>
      </c>
      <c r="BC766" s="55">
        <v>5.2</v>
      </c>
      <c r="BD766" s="55">
        <v>0</v>
      </c>
      <c r="BE766" s="11">
        <v>6.1580000000000004</v>
      </c>
      <c r="BF766" s="4">
        <v>4.68</v>
      </c>
      <c r="BG766" s="4">
        <v>4.6840000000000002</v>
      </c>
      <c r="BH766" s="4">
        <v>4.3040000000000003</v>
      </c>
      <c r="BI766" s="4">
        <v>0</v>
      </c>
      <c r="BJ766" s="13">
        <v>0</v>
      </c>
      <c r="BK766" s="13">
        <v>0</v>
      </c>
      <c r="BL766" s="4">
        <v>4.57</v>
      </c>
      <c r="BM766" s="16">
        <v>0</v>
      </c>
      <c r="BN766" s="4">
        <v>0</v>
      </c>
      <c r="BO766" s="4">
        <v>0</v>
      </c>
      <c r="BP766" s="4">
        <v>5.1890000000000001</v>
      </c>
      <c r="BQ766" s="4">
        <v>0</v>
      </c>
      <c r="BR766" s="4">
        <v>0</v>
      </c>
      <c r="BS766" s="4">
        <v>4.9809999999999999</v>
      </c>
      <c r="BT766" s="4">
        <v>0</v>
      </c>
      <c r="BU766" s="4">
        <v>0</v>
      </c>
      <c r="BV766" s="4">
        <v>0</v>
      </c>
      <c r="BW766" s="4">
        <v>4.9800000000000004</v>
      </c>
      <c r="BX766" s="4">
        <v>0</v>
      </c>
      <c r="BY766" s="4">
        <v>0</v>
      </c>
      <c r="BZ766" s="55">
        <v>0</v>
      </c>
      <c r="CA766" s="55">
        <v>0</v>
      </c>
      <c r="CB766" s="55">
        <v>0</v>
      </c>
      <c r="CC766" s="55">
        <v>0</v>
      </c>
      <c r="CD766" s="55">
        <v>0</v>
      </c>
      <c r="CE766" s="19">
        <v>4.7</v>
      </c>
      <c r="CF766" s="19">
        <v>0</v>
      </c>
      <c r="CG766" s="4">
        <v>0</v>
      </c>
      <c r="CH766" s="4">
        <v>4.17</v>
      </c>
      <c r="CI766" s="4">
        <v>0</v>
      </c>
      <c r="CJ766" s="34">
        <v>0</v>
      </c>
      <c r="CK766" s="34">
        <v>0</v>
      </c>
      <c r="CL766" s="34">
        <v>0</v>
      </c>
      <c r="CM766" s="4">
        <v>0</v>
      </c>
      <c r="CN766" s="53">
        <v>0</v>
      </c>
      <c r="CO766" s="54">
        <v>0</v>
      </c>
      <c r="CP766" s="54">
        <v>0</v>
      </c>
      <c r="CQ766" s="4">
        <v>0</v>
      </c>
    </row>
    <row r="767" spans="1:95" s="55" customFormat="1" x14ac:dyDescent="0.35">
      <c r="A767" s="55">
        <v>766</v>
      </c>
      <c r="B767" s="55" t="s">
        <v>105</v>
      </c>
      <c r="C767" s="27" t="s">
        <v>515</v>
      </c>
      <c r="D767" s="50" t="s">
        <v>94</v>
      </c>
      <c r="E767" s="33" t="s">
        <v>91</v>
      </c>
      <c r="F767" s="4">
        <f>IFERROR(AVERAGEIF(Table1[[#This Row],[2019-Apr]:[2025-July]],"&lt;&gt;0"),0)</f>
        <v>5.0013333333333314</v>
      </c>
      <c r="G767" s="4">
        <f ca="1">IFERROR(AVERAGEIF(OFFSET(Table1[[#This Row],[Status]],0,COUNT(Table1[[#This Row],[2019-May]:[2025-July]]),1,-12),"&lt;&gt;0"),0)</f>
        <v>4.3</v>
      </c>
      <c r="H767" s="55">
        <f>IFERROR(SMALL(Table1[[#This Row],[2019-Apr]:[2025-July]],COUNTIF(Table1[[#This Row],[2019-Apr]:[2025-July]],0)+1),0)</f>
        <v>3.2</v>
      </c>
      <c r="I767" s="55">
        <f>IFERROR(MAX(Table1[[#This Row],[2019-Apr]:[2025-July]]),0)</f>
        <v>9.6</v>
      </c>
      <c r="J767" s="4" cm="1">
        <f t="array" ref="J76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3.66</v>
      </c>
      <c r="K767" s="4">
        <v>4.5</v>
      </c>
      <c r="L767" s="4">
        <f>IF(Table1[[#This Row],[Standard as per ISO]]&gt;=Table1[[#This Row],[Avg of best 6]],Table1[[#This Row],[Standard as per ISO]],Table1[[#This Row],[Avg of best 6]])</f>
        <v>4.5</v>
      </c>
      <c r="M767" s="4" cm="1">
        <f t="array" ref="M767">IFERROR(LOOKUP(2,1/(Table1[[#This Row],[2019-May]:[2025-July]]&lt;&gt;0),Table1[[#This Row],[2019-May]:[2025-July]]),0)</f>
        <v>4.3</v>
      </c>
      <c r="N767" s="4">
        <f>COUNTIF(Table1[[#This Row],[2019-Apr]:[2025-July]],"&gt;="&amp;Table1[[#This Row],[Target]])</f>
        <v>23</v>
      </c>
      <c r="O767" s="4">
        <f>IF(Table1[[#This Row],[Outliers 2Y]]=0,1,0)</f>
        <v>0</v>
      </c>
      <c r="P767" s="4">
        <f>IF(Table1[[#This Row],[Last value]]&gt;1.5*Table1[[#This Row],[Target]],1,0)</f>
        <v>0</v>
      </c>
      <c r="Q767" s="4">
        <f>IF(AND(1.5*Table1[[#This Row],[Target]]&gt;=Table1[[#This Row],[Last value]],Table1[[#This Row],[Last value]]&gt;Table1[[#This Row],[Target]]),1,0)</f>
        <v>0</v>
      </c>
      <c r="R767" s="4">
        <f>IF(Table1[[#This Row],[Target]]&gt;=Table1[[#This Row],[Last value]],1,0)</f>
        <v>1</v>
      </c>
      <c r="S767" s="4" t="str">
        <f t="shared" si="20"/>
        <v>Green</v>
      </c>
      <c r="T767" s="55">
        <v>3.48</v>
      </c>
      <c r="U767" s="55">
        <v>3.91</v>
      </c>
      <c r="V767" s="55">
        <v>3.73</v>
      </c>
      <c r="W767" s="55">
        <v>4.45</v>
      </c>
      <c r="X767" s="55">
        <v>4.91</v>
      </c>
      <c r="Y767" s="55">
        <v>4.9000000000000004</v>
      </c>
      <c r="Z767" s="55">
        <v>6.54</v>
      </c>
      <c r="AA767" s="55">
        <v>5.6</v>
      </c>
      <c r="AB767" s="55">
        <v>0</v>
      </c>
      <c r="AC767" s="55">
        <v>4.49</v>
      </c>
      <c r="AD767" s="55">
        <v>4.24</v>
      </c>
      <c r="AE767" s="55">
        <v>0</v>
      </c>
      <c r="AF767" s="55">
        <v>0</v>
      </c>
      <c r="AG767" s="55">
        <v>4.25</v>
      </c>
      <c r="AH767" s="55">
        <v>0</v>
      </c>
      <c r="AI767" s="55">
        <v>0</v>
      </c>
      <c r="AJ767" s="55">
        <v>3.6</v>
      </c>
      <c r="AK767" s="55">
        <v>4.54</v>
      </c>
      <c r="AL767" s="55">
        <v>5.45</v>
      </c>
      <c r="AM767" s="55">
        <v>5.37</v>
      </c>
      <c r="AN767" s="55">
        <v>0</v>
      </c>
      <c r="AO767" s="55">
        <v>5.4</v>
      </c>
      <c r="AP767" s="55">
        <v>5.69</v>
      </c>
      <c r="AQ767" s="55">
        <v>4.0999999999999996</v>
      </c>
      <c r="AR767" s="8">
        <v>4.6100000000000003</v>
      </c>
      <c r="AS767" s="8">
        <v>0</v>
      </c>
      <c r="AT767" s="8">
        <v>4.0599999999999996</v>
      </c>
      <c r="AU767" s="50">
        <v>7.55</v>
      </c>
      <c r="AV767" s="50">
        <v>3.82</v>
      </c>
      <c r="AW767" s="50">
        <v>4.66</v>
      </c>
      <c r="AX767" s="50">
        <v>3.83</v>
      </c>
      <c r="AY767" s="50">
        <v>3.78</v>
      </c>
      <c r="AZ767" s="50">
        <v>0</v>
      </c>
      <c r="BA767" s="50">
        <v>4.5</v>
      </c>
      <c r="BB767" s="50">
        <v>5</v>
      </c>
      <c r="BC767" s="55">
        <v>5</v>
      </c>
      <c r="BD767" s="55">
        <v>0</v>
      </c>
      <c r="BE767" s="11">
        <v>6.0209999999999999</v>
      </c>
      <c r="BF767" s="4">
        <v>6.0209999999999999</v>
      </c>
      <c r="BG767" s="4">
        <v>0</v>
      </c>
      <c r="BH767" s="4">
        <v>5.39</v>
      </c>
      <c r="BI767" s="4">
        <v>5.39</v>
      </c>
      <c r="BJ767" s="14">
        <v>0</v>
      </c>
      <c r="BK767" s="14">
        <v>0</v>
      </c>
      <c r="BL767" s="4">
        <v>5.2869999999999999</v>
      </c>
      <c r="BM767" s="17">
        <v>0</v>
      </c>
      <c r="BN767" s="4">
        <v>0</v>
      </c>
      <c r="BO767" s="4">
        <v>0</v>
      </c>
      <c r="BP767" s="4">
        <v>5.1449999999999996</v>
      </c>
      <c r="BQ767" s="4">
        <v>0</v>
      </c>
      <c r="BR767" s="4">
        <v>0</v>
      </c>
      <c r="BS767" s="4">
        <v>8.9380000000000006</v>
      </c>
      <c r="BT767" s="4">
        <v>0</v>
      </c>
      <c r="BU767" s="4">
        <v>0</v>
      </c>
      <c r="BV767" s="4">
        <v>0</v>
      </c>
      <c r="BW767" s="4">
        <v>9.6</v>
      </c>
      <c r="BX767" s="4">
        <v>0</v>
      </c>
      <c r="BY767" s="4">
        <v>0</v>
      </c>
      <c r="BZ767" s="55">
        <v>0</v>
      </c>
      <c r="CA767" s="55">
        <v>0</v>
      </c>
      <c r="CB767" s="55">
        <v>3.2</v>
      </c>
      <c r="CC767" s="55">
        <v>0</v>
      </c>
      <c r="CD767" s="55">
        <v>0</v>
      </c>
      <c r="CE767" s="19">
        <v>0</v>
      </c>
      <c r="CF767" s="19">
        <v>0</v>
      </c>
      <c r="CG767" s="4">
        <v>4.3</v>
      </c>
      <c r="CH767" s="4">
        <v>4.3</v>
      </c>
      <c r="CI767" s="4">
        <v>0</v>
      </c>
      <c r="CJ767" s="34">
        <v>0</v>
      </c>
      <c r="CK767" s="34">
        <v>0</v>
      </c>
      <c r="CL767" s="34">
        <v>0</v>
      </c>
      <c r="CM767" s="4">
        <v>0</v>
      </c>
      <c r="CN767" s="53">
        <v>0</v>
      </c>
      <c r="CO767" s="54">
        <v>0</v>
      </c>
      <c r="CP767" s="54">
        <v>0</v>
      </c>
      <c r="CQ767" s="4">
        <v>0</v>
      </c>
    </row>
    <row r="768" spans="1:95" s="55" customFormat="1" x14ac:dyDescent="0.35">
      <c r="A768" s="55">
        <v>767</v>
      </c>
      <c r="B768" s="55" t="s">
        <v>105</v>
      </c>
      <c r="C768" s="27" t="s">
        <v>516</v>
      </c>
      <c r="D768" s="50" t="s">
        <v>94</v>
      </c>
      <c r="E768" s="33" t="s">
        <v>91</v>
      </c>
      <c r="F768" s="4">
        <f>IFERROR(AVERAGEIF(Table1[[#This Row],[2019-Apr]:[2025-July]],"&lt;&gt;0"),0)</f>
        <v>4.4685312500000016</v>
      </c>
      <c r="G768" s="4">
        <f ca="1">IFERROR(AVERAGEIF(OFFSET(Table1[[#This Row],[Status]],0,COUNT(Table1[[#This Row],[2019-May]:[2025-July]]),1,-12),"&lt;&gt;0"),0)</f>
        <v>4.54</v>
      </c>
      <c r="H768" s="55">
        <f>IFERROR(SMALL(Table1[[#This Row],[2019-Apr]:[2025-July]],COUNTIF(Table1[[#This Row],[2019-Apr]:[2025-July]],0)+1),0)</f>
        <v>2.8</v>
      </c>
      <c r="I768" s="55">
        <f>IFERROR(MAX(Table1[[#This Row],[2019-Apr]:[2025-July]]),0)</f>
        <v>7.4580000000000002</v>
      </c>
      <c r="J768" s="4" cm="1">
        <f t="array" ref="J76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3.2906666666666666</v>
      </c>
      <c r="K768" s="4">
        <v>4.5</v>
      </c>
      <c r="L768" s="4">
        <f>IF(Table1[[#This Row],[Standard as per ISO]]&gt;=Table1[[#This Row],[Avg of best 6]],Table1[[#This Row],[Standard as per ISO]],Table1[[#This Row],[Avg of best 6]])</f>
        <v>4.5</v>
      </c>
      <c r="M768" s="4" cm="1">
        <f t="array" ref="M768">IFERROR(LOOKUP(2,1/(Table1[[#This Row],[2019-May]:[2025-July]]&lt;&gt;0),Table1[[#This Row],[2019-May]:[2025-July]]),0)</f>
        <v>4.78</v>
      </c>
      <c r="N768" s="4">
        <f>COUNTIF(Table1[[#This Row],[2019-Apr]:[2025-July]],"&gt;="&amp;Table1[[#This Row],[Target]])</f>
        <v>13</v>
      </c>
      <c r="O768" s="4">
        <f>IF(Table1[[#This Row],[Outliers 2Y]]=0,1,0)</f>
        <v>0</v>
      </c>
      <c r="P768" s="4">
        <f>IF(Table1[[#This Row],[Last value]]&gt;1.5*Table1[[#This Row],[Target]],1,0)</f>
        <v>0</v>
      </c>
      <c r="Q768" s="4">
        <f>IF(AND(1.5*Table1[[#This Row],[Target]]&gt;=Table1[[#This Row],[Last value]],Table1[[#This Row],[Last value]]&gt;Table1[[#This Row],[Target]]),1,0)</f>
        <v>1</v>
      </c>
      <c r="R768" s="4">
        <f>IF(Table1[[#This Row],[Target]]&gt;=Table1[[#This Row],[Last value]],1,0)</f>
        <v>0</v>
      </c>
      <c r="S768" s="4" t="str">
        <f t="shared" si="20"/>
        <v>Yellow</v>
      </c>
      <c r="T768" s="55">
        <v>3.51</v>
      </c>
      <c r="U768" s="55">
        <v>4.3600000000000003</v>
      </c>
      <c r="V768" s="55">
        <v>3.24</v>
      </c>
      <c r="W768" s="55">
        <v>4.01</v>
      </c>
      <c r="X768" s="55">
        <v>3.47</v>
      </c>
      <c r="Y768" s="55">
        <v>3.8</v>
      </c>
      <c r="Z768" s="55">
        <v>6.11</v>
      </c>
      <c r="AA768" s="55">
        <v>3.6</v>
      </c>
      <c r="AB768" s="55">
        <v>4.42</v>
      </c>
      <c r="AC768" s="55">
        <v>0</v>
      </c>
      <c r="AD768" s="55">
        <v>3.66</v>
      </c>
      <c r="AE768" s="55">
        <v>4.5</v>
      </c>
      <c r="AF768" s="55">
        <v>4.0999999999999996</v>
      </c>
      <c r="AG768" s="55">
        <v>0</v>
      </c>
      <c r="AH768" s="55">
        <v>4.7</v>
      </c>
      <c r="AI768" s="55">
        <v>5.18</v>
      </c>
      <c r="AJ768" s="55">
        <v>3.4</v>
      </c>
      <c r="AK768" s="55">
        <v>4.3</v>
      </c>
      <c r="AL768" s="55">
        <v>0</v>
      </c>
      <c r="AM768" s="55">
        <v>4.66</v>
      </c>
      <c r="AN768" s="55">
        <v>4.3899999999999997</v>
      </c>
      <c r="AO768" s="55">
        <v>0</v>
      </c>
      <c r="AP768" s="55">
        <v>0</v>
      </c>
      <c r="AQ768" s="55">
        <v>0</v>
      </c>
      <c r="AR768" s="8">
        <v>0</v>
      </c>
      <c r="AS768" s="8">
        <v>4.63</v>
      </c>
      <c r="AT768" s="8">
        <v>0</v>
      </c>
      <c r="AU768" s="50">
        <v>0</v>
      </c>
      <c r="AV768" s="50">
        <v>3.48</v>
      </c>
      <c r="AW768" s="50">
        <v>0</v>
      </c>
      <c r="AX768" s="50">
        <v>5.34</v>
      </c>
      <c r="AY768" s="50">
        <v>4.51</v>
      </c>
      <c r="AZ768" s="50">
        <v>0</v>
      </c>
      <c r="BA768" s="50">
        <v>0</v>
      </c>
      <c r="BB768" s="50">
        <v>0</v>
      </c>
      <c r="BC768" s="55">
        <v>6.3</v>
      </c>
      <c r="BD768" s="55">
        <v>0</v>
      </c>
      <c r="BE768" s="11">
        <v>6.7030000000000003</v>
      </c>
      <c r="BF768" s="4">
        <v>5.492</v>
      </c>
      <c r="BG768" s="4">
        <v>7.4580000000000002</v>
      </c>
      <c r="BH768" s="4">
        <v>0</v>
      </c>
      <c r="BI768" s="4">
        <v>3.3540000000000001</v>
      </c>
      <c r="BJ768" s="13">
        <v>0</v>
      </c>
      <c r="BK768" s="13">
        <v>0</v>
      </c>
      <c r="BL768" s="4">
        <v>4.3360000000000003</v>
      </c>
      <c r="BM768" s="16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4.0999999999999996</v>
      </c>
      <c r="BX768" s="4">
        <v>0</v>
      </c>
      <c r="BY768" s="4">
        <v>0</v>
      </c>
      <c r="BZ768" s="55">
        <v>0</v>
      </c>
      <c r="CA768" s="55">
        <v>0</v>
      </c>
      <c r="CB768" s="55">
        <v>2.8</v>
      </c>
      <c r="CC768" s="55">
        <v>0</v>
      </c>
      <c r="CD768" s="55">
        <v>0</v>
      </c>
      <c r="CE768" s="19">
        <v>4.3</v>
      </c>
      <c r="CF768" s="19">
        <v>0</v>
      </c>
      <c r="CG768" s="4">
        <v>0</v>
      </c>
      <c r="CH768" s="4">
        <v>4.78</v>
      </c>
      <c r="CI768" s="4">
        <v>0</v>
      </c>
      <c r="CJ768" s="34">
        <v>0</v>
      </c>
      <c r="CK768" s="34">
        <v>0</v>
      </c>
      <c r="CL768" s="34">
        <v>0</v>
      </c>
      <c r="CM768" s="4">
        <v>0</v>
      </c>
      <c r="CN768" s="53">
        <v>0</v>
      </c>
      <c r="CO768" s="54">
        <v>0</v>
      </c>
      <c r="CP768" s="54">
        <v>0</v>
      </c>
      <c r="CQ768" s="4">
        <v>0</v>
      </c>
    </row>
    <row r="769" spans="1:95" s="55" customFormat="1" x14ac:dyDescent="0.35">
      <c r="A769" s="55">
        <v>768</v>
      </c>
      <c r="B769" s="55" t="s">
        <v>105</v>
      </c>
      <c r="C769" s="27" t="s">
        <v>517</v>
      </c>
      <c r="D769" s="50" t="s">
        <v>94</v>
      </c>
      <c r="E769" s="33" t="s">
        <v>91</v>
      </c>
      <c r="F769" s="4">
        <f>IFERROR(AVERAGEIF(Table1[[#This Row],[2019-Apr]:[2025-July]],"&lt;&gt;0"),0)</f>
        <v>4.8995483870967744</v>
      </c>
      <c r="G769" s="4">
        <f ca="1">IFERROR(AVERAGEIF(OFFSET(Table1[[#This Row],[Status]],0,COUNT(Table1[[#This Row],[2019-May]:[2025-July]]),1,-12),"&lt;&gt;0"),0)</f>
        <v>6.3249999999999993</v>
      </c>
      <c r="H769" s="55">
        <f>IFERROR(SMALL(Table1[[#This Row],[2019-Apr]:[2025-July]],COUNTIF(Table1[[#This Row],[2019-Apr]:[2025-July]],0)+1),0)</f>
        <v>3.5059999999999998</v>
      </c>
      <c r="I769" s="55">
        <f>IFERROR(MAX(Table1[[#This Row],[2019-Apr]:[2025-July]]),0)</f>
        <v>8.39</v>
      </c>
      <c r="J769" s="4" cm="1">
        <f t="array" ref="J76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3.7946666666666666</v>
      </c>
      <c r="K769" s="4">
        <v>4.5</v>
      </c>
      <c r="L769" s="4">
        <f>IF(Table1[[#This Row],[Standard as per ISO]]&gt;=Table1[[#This Row],[Avg of best 6]],Table1[[#This Row],[Standard as per ISO]],Table1[[#This Row],[Avg of best 6]])</f>
        <v>4.5</v>
      </c>
      <c r="M769" s="4" cm="1">
        <f t="array" ref="M769">IFERROR(LOOKUP(2,1/(Table1[[#This Row],[2019-May]:[2025-July]]&lt;&gt;0),Table1[[#This Row],[2019-May]:[2025-July]]),0)</f>
        <v>6.05</v>
      </c>
      <c r="N769" s="4">
        <f>COUNTIF(Table1[[#This Row],[2019-Apr]:[2025-July]],"&gt;="&amp;Table1[[#This Row],[Target]])</f>
        <v>20</v>
      </c>
      <c r="O769" s="4">
        <f>IF(Table1[[#This Row],[Outliers 2Y]]=0,1,0)</f>
        <v>0</v>
      </c>
      <c r="P769" s="4">
        <f>IF(Table1[[#This Row],[Last value]]&gt;1.5*Table1[[#This Row],[Target]],1,0)</f>
        <v>0</v>
      </c>
      <c r="Q769" s="4">
        <f>IF(AND(1.5*Table1[[#This Row],[Target]]&gt;=Table1[[#This Row],[Last value]],Table1[[#This Row],[Last value]]&gt;Table1[[#This Row],[Target]]),1,0)</f>
        <v>1</v>
      </c>
      <c r="R769" s="4">
        <f>IF(Table1[[#This Row],[Target]]&gt;=Table1[[#This Row],[Last value]],1,0)</f>
        <v>0</v>
      </c>
      <c r="S769" s="4" t="str">
        <f t="shared" si="20"/>
        <v>Yellow</v>
      </c>
      <c r="T769" s="55">
        <v>3.92</v>
      </c>
      <c r="U769" s="55">
        <v>0</v>
      </c>
      <c r="V769" s="55">
        <v>0</v>
      </c>
      <c r="W769" s="55">
        <v>0</v>
      </c>
      <c r="X769" s="55">
        <v>0</v>
      </c>
      <c r="Y769" s="55">
        <v>0</v>
      </c>
      <c r="Z769" s="55">
        <v>0</v>
      </c>
      <c r="AA769" s="55">
        <v>0</v>
      </c>
      <c r="AB769" s="55">
        <v>4.59</v>
      </c>
      <c r="AC769" s="55">
        <v>4.7300000000000004</v>
      </c>
      <c r="AD769" s="55">
        <v>0</v>
      </c>
      <c r="AE769" s="55">
        <v>5</v>
      </c>
      <c r="AF769" s="55">
        <v>3.7</v>
      </c>
      <c r="AG769" s="55">
        <v>3.8</v>
      </c>
      <c r="AH769" s="55">
        <v>4</v>
      </c>
      <c r="AI769" s="55">
        <v>4.3499999999999996</v>
      </c>
      <c r="AJ769" s="55">
        <v>0</v>
      </c>
      <c r="AK769" s="55">
        <v>0</v>
      </c>
      <c r="AL769" s="55">
        <v>5.07</v>
      </c>
      <c r="AM769" s="55">
        <v>0</v>
      </c>
      <c r="AN769" s="55">
        <v>4.59</v>
      </c>
      <c r="AO769" s="55">
        <v>5.0999999999999996</v>
      </c>
      <c r="AP769" s="55">
        <v>7.08</v>
      </c>
      <c r="AQ769" s="55">
        <v>8.39</v>
      </c>
      <c r="AR769" s="8">
        <v>4.5</v>
      </c>
      <c r="AS769" s="8">
        <v>5.26</v>
      </c>
      <c r="AT769" s="8">
        <v>5.72</v>
      </c>
      <c r="AU769" s="50">
        <v>5.52</v>
      </c>
      <c r="AV769" s="50">
        <v>5.32</v>
      </c>
      <c r="AW769" s="50">
        <v>5.47</v>
      </c>
      <c r="AX769" s="50">
        <v>0</v>
      </c>
      <c r="AY769" s="50">
        <v>0</v>
      </c>
      <c r="AZ769" s="50">
        <v>0</v>
      </c>
      <c r="BA769" s="50">
        <v>4.5</v>
      </c>
      <c r="BB769" s="50">
        <v>4.5999999999999996</v>
      </c>
      <c r="BC769" s="50">
        <v>0</v>
      </c>
      <c r="BD769" s="55">
        <v>0</v>
      </c>
      <c r="BE769" s="11">
        <v>3.8519999999999999</v>
      </c>
      <c r="BF769" s="4">
        <v>3.91</v>
      </c>
      <c r="BG769" s="4">
        <v>4.367</v>
      </c>
      <c r="BH769" s="4">
        <v>4.0350000000000001</v>
      </c>
      <c r="BI769" s="4">
        <v>4.1529999999999996</v>
      </c>
      <c r="BJ769" s="14">
        <v>0</v>
      </c>
      <c r="BK769" s="14">
        <v>0</v>
      </c>
      <c r="BL769" s="4">
        <v>0</v>
      </c>
      <c r="BM769" s="17">
        <v>0</v>
      </c>
      <c r="BN769" s="4">
        <v>0</v>
      </c>
      <c r="BO769" s="4">
        <v>0</v>
      </c>
      <c r="BP769" s="4">
        <v>3.5059999999999998</v>
      </c>
      <c r="BQ769" s="4">
        <v>0</v>
      </c>
      <c r="BR769" s="4">
        <v>0</v>
      </c>
      <c r="BS769" s="4">
        <v>4.7729999999999997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55">
        <v>0</v>
      </c>
      <c r="CA769" s="55">
        <v>0</v>
      </c>
      <c r="CB769" s="55">
        <v>5.43</v>
      </c>
      <c r="CC769" s="55">
        <v>0</v>
      </c>
      <c r="CD769" s="55">
        <v>0</v>
      </c>
      <c r="CE769" s="19">
        <v>6.6</v>
      </c>
      <c r="CF769" s="19">
        <v>0</v>
      </c>
      <c r="CG769" s="4">
        <v>6.05</v>
      </c>
      <c r="CH769" s="4">
        <v>0</v>
      </c>
      <c r="CI769" s="4">
        <v>0</v>
      </c>
      <c r="CJ769" s="34">
        <v>0</v>
      </c>
      <c r="CK769" s="34">
        <v>0</v>
      </c>
      <c r="CL769" s="34">
        <v>0</v>
      </c>
      <c r="CM769" s="4">
        <v>0</v>
      </c>
      <c r="CN769" s="53">
        <v>0</v>
      </c>
      <c r="CO769" s="54">
        <v>0</v>
      </c>
      <c r="CP769" s="54">
        <v>0</v>
      </c>
      <c r="CQ769" s="4">
        <v>0</v>
      </c>
    </row>
    <row r="770" spans="1:95" s="55" customFormat="1" x14ac:dyDescent="0.35">
      <c r="A770" s="55">
        <v>769</v>
      </c>
      <c r="B770" s="55" t="s">
        <v>105</v>
      </c>
      <c r="C770" s="27" t="s">
        <v>518</v>
      </c>
      <c r="D770" s="50" t="s">
        <v>94</v>
      </c>
      <c r="E770" s="33" t="s">
        <v>91</v>
      </c>
      <c r="F770" s="4">
        <f>IFERROR(AVERAGEIF(Table1[[#This Row],[2019-Apr]:[2025-July]],"&lt;&gt;0"),0)</f>
        <v>4.5603571428571437</v>
      </c>
      <c r="G770" s="4">
        <f ca="1">IFERROR(AVERAGEIF(OFFSET(Table1[[#This Row],[Status]],0,COUNT(Table1[[#This Row],[2019-May]:[2025-July]]),1,-12),"&lt;&gt;0"),0)</f>
        <v>4.9800000000000004</v>
      </c>
      <c r="H770" s="55">
        <f>IFERROR(SMALL(Table1[[#This Row],[2019-Apr]:[2025-July]],COUNTIF(Table1[[#This Row],[2019-Apr]:[2025-July]],0)+1),0)</f>
        <v>1.5</v>
      </c>
      <c r="I770" s="55">
        <f>IFERROR(MAX(Table1[[#This Row],[2019-Apr]:[2025-July]]),0)</f>
        <v>11.4</v>
      </c>
      <c r="J770" s="4" cm="1">
        <f t="array" ref="J77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2.8650000000000002</v>
      </c>
      <c r="K770" s="4">
        <v>4.5</v>
      </c>
      <c r="L770" s="4">
        <f>IF(Table1[[#This Row],[Standard as per ISO]]&gt;=Table1[[#This Row],[Avg of best 6]],Table1[[#This Row],[Standard as per ISO]],Table1[[#This Row],[Avg of best 6]])</f>
        <v>4.5</v>
      </c>
      <c r="M770" s="4" cm="1">
        <f t="array" ref="M770">IFERROR(LOOKUP(2,1/(Table1[[#This Row],[2019-May]:[2025-July]]&lt;&gt;0),Table1[[#This Row],[2019-May]:[2025-July]]),0)</f>
        <v>4.5599999999999996</v>
      </c>
      <c r="N770" s="4">
        <f>COUNTIF(Table1[[#This Row],[2019-Apr]:[2025-July]],"&gt;="&amp;Table1[[#This Row],[Target]])</f>
        <v>18</v>
      </c>
      <c r="O770" s="4">
        <f>IF(Table1[[#This Row],[Outliers 2Y]]=0,1,0)</f>
        <v>0</v>
      </c>
      <c r="P770" s="4">
        <f>IF(Table1[[#This Row],[Last value]]&gt;1.5*Table1[[#This Row],[Target]],1,0)</f>
        <v>0</v>
      </c>
      <c r="Q770" s="4">
        <f>IF(AND(1.5*Table1[[#This Row],[Target]]&gt;=Table1[[#This Row],[Last value]],Table1[[#This Row],[Last value]]&gt;Table1[[#This Row],[Target]]),1,0)</f>
        <v>1</v>
      </c>
      <c r="R770" s="4">
        <f>IF(Table1[[#This Row],[Target]]&gt;=Table1[[#This Row],[Last value]],1,0)</f>
        <v>0</v>
      </c>
      <c r="S770" s="4" t="str">
        <f t="shared" si="20"/>
        <v>Yellow</v>
      </c>
      <c r="T770" s="55">
        <v>5.84</v>
      </c>
      <c r="U770" s="55">
        <v>5.23</v>
      </c>
      <c r="V770" s="55">
        <v>4.5599999999999996</v>
      </c>
      <c r="W770" s="55">
        <v>4.12</v>
      </c>
      <c r="X770" s="55">
        <v>4.3</v>
      </c>
      <c r="Y770" s="55">
        <v>5.3</v>
      </c>
      <c r="Z770" s="55">
        <v>0</v>
      </c>
      <c r="AA770" s="55">
        <v>8.5</v>
      </c>
      <c r="AB770" s="55">
        <v>4.6399999999999997</v>
      </c>
      <c r="AC770" s="55">
        <v>7.33</v>
      </c>
      <c r="AD770" s="55">
        <v>3.28</v>
      </c>
      <c r="AE770" s="55">
        <v>3.4</v>
      </c>
      <c r="AF770" s="55">
        <v>5.22</v>
      </c>
      <c r="AG770" s="55">
        <v>4.5</v>
      </c>
      <c r="AH770" s="55">
        <v>0</v>
      </c>
      <c r="AI770" s="55">
        <v>4.83</v>
      </c>
      <c r="AJ770" s="55">
        <v>4.5999999999999996</v>
      </c>
      <c r="AK770" s="55">
        <v>3.28</v>
      </c>
      <c r="AL770" s="55">
        <v>3.99</v>
      </c>
      <c r="AM770" s="55">
        <v>4.01</v>
      </c>
      <c r="AN770" s="55">
        <v>11.4</v>
      </c>
      <c r="AO770" s="55">
        <v>3</v>
      </c>
      <c r="AP770" s="55">
        <v>4.01</v>
      </c>
      <c r="AQ770" s="55">
        <v>4.32</v>
      </c>
      <c r="AR770" s="8">
        <v>3.78</v>
      </c>
      <c r="AS770" s="8">
        <v>3.2</v>
      </c>
      <c r="AT770" s="8">
        <v>3.19</v>
      </c>
      <c r="AU770" s="50">
        <v>3.07</v>
      </c>
      <c r="AV770" s="50">
        <v>3.23</v>
      </c>
      <c r="AW770" s="50">
        <v>3.9</v>
      </c>
      <c r="AX770" s="50">
        <v>4.34</v>
      </c>
      <c r="AY770" s="50">
        <v>4.03</v>
      </c>
      <c r="AZ770" s="50">
        <v>0</v>
      </c>
      <c r="BA770" s="50">
        <v>0</v>
      </c>
      <c r="BB770" s="50">
        <v>0</v>
      </c>
      <c r="BC770" s="55">
        <v>1.5</v>
      </c>
      <c r="BD770" s="55">
        <v>0</v>
      </c>
      <c r="BE770" s="11">
        <v>4.7699999999999996</v>
      </c>
      <c r="BF770" s="4">
        <v>4.7699999999999996</v>
      </c>
      <c r="BG770" s="4">
        <v>6.9219999999999997</v>
      </c>
      <c r="BH770" s="4">
        <v>0</v>
      </c>
      <c r="BI770" s="4">
        <v>3.6269999999999998</v>
      </c>
      <c r="BJ770" s="13">
        <v>0</v>
      </c>
      <c r="BK770" s="13">
        <v>0</v>
      </c>
      <c r="BL770" s="4">
        <v>5.4029999999999996</v>
      </c>
      <c r="BM770" s="16">
        <v>0</v>
      </c>
      <c r="BN770" s="4">
        <v>0</v>
      </c>
      <c r="BO770" s="4">
        <v>0</v>
      </c>
      <c r="BP770" s="4">
        <v>3.782</v>
      </c>
      <c r="BQ770" s="4">
        <v>0</v>
      </c>
      <c r="BR770" s="4">
        <v>0</v>
      </c>
      <c r="BS770" s="4">
        <v>3.6070000000000002</v>
      </c>
      <c r="BT770" s="4">
        <v>0</v>
      </c>
      <c r="BU770" s="4">
        <v>0</v>
      </c>
      <c r="BV770" s="4">
        <v>0</v>
      </c>
      <c r="BW770" s="4">
        <v>3.8140000000000001</v>
      </c>
      <c r="BX770" s="4">
        <v>0</v>
      </c>
      <c r="BY770" s="4">
        <v>0</v>
      </c>
      <c r="BZ770" s="55">
        <v>0</v>
      </c>
      <c r="CA770" s="55">
        <v>0</v>
      </c>
      <c r="CB770" s="55">
        <v>0</v>
      </c>
      <c r="CC770" s="55">
        <v>0</v>
      </c>
      <c r="CD770" s="55">
        <v>0</v>
      </c>
      <c r="CE770" s="19">
        <v>5.9</v>
      </c>
      <c r="CF770" s="19">
        <v>0</v>
      </c>
      <c r="CG770" s="4">
        <v>4.4800000000000004</v>
      </c>
      <c r="CH770" s="4">
        <v>4.5599999999999996</v>
      </c>
      <c r="CI770" s="4">
        <v>0</v>
      </c>
      <c r="CJ770" s="34">
        <v>0</v>
      </c>
      <c r="CK770" s="34">
        <v>0</v>
      </c>
      <c r="CL770" s="34">
        <v>0</v>
      </c>
      <c r="CM770" s="4">
        <v>0</v>
      </c>
      <c r="CN770" s="53">
        <v>0</v>
      </c>
      <c r="CO770" s="54">
        <v>0</v>
      </c>
      <c r="CP770" s="54">
        <v>0</v>
      </c>
      <c r="CQ770" s="4">
        <v>0</v>
      </c>
    </row>
    <row r="771" spans="1:95" s="55" customFormat="1" x14ac:dyDescent="0.35">
      <c r="A771" s="55">
        <v>770</v>
      </c>
      <c r="B771" s="55" t="s">
        <v>105</v>
      </c>
      <c r="C771" s="27" t="s">
        <v>519</v>
      </c>
      <c r="D771" s="50" t="s">
        <v>94</v>
      </c>
      <c r="E771" s="33" t="s">
        <v>91</v>
      </c>
      <c r="F771" s="4">
        <f>IFERROR(AVERAGEIF(Table1[[#This Row],[2019-Apr]:[2025-July]],"&lt;&gt;0"),0)</f>
        <v>5.1388421052631577</v>
      </c>
      <c r="G771" s="4">
        <f ca="1">IFERROR(AVERAGEIF(OFFSET(Table1[[#This Row],[Status]],0,COUNT(Table1[[#This Row],[2019-May]:[2025-July]]),1,-12),"&lt;&gt;0"),0)</f>
        <v>5.46</v>
      </c>
      <c r="H771" s="55">
        <f>IFERROR(SMALL(Table1[[#This Row],[2019-Apr]:[2025-July]],COUNTIF(Table1[[#This Row],[2019-Apr]:[2025-July]],0)+1),0)</f>
        <v>2.669</v>
      </c>
      <c r="I771" s="55">
        <f>IFERROR(MAX(Table1[[#This Row],[2019-Apr]:[2025-July]]),0)</f>
        <v>9.26</v>
      </c>
      <c r="J771" s="4" cm="1">
        <f t="array" ref="J77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3.2509999999999999</v>
      </c>
      <c r="K771" s="4">
        <v>4.5</v>
      </c>
      <c r="L771" s="4">
        <f>IF(Table1[[#This Row],[Standard as per ISO]]&gt;=Table1[[#This Row],[Avg of best 6]],Table1[[#This Row],[Standard as per ISO]],Table1[[#This Row],[Avg of best 6]])</f>
        <v>4.5</v>
      </c>
      <c r="M771" s="4" cm="1">
        <f t="array" ref="M771">IFERROR(LOOKUP(2,1/(Table1[[#This Row],[2019-May]:[2025-July]]&lt;&gt;0),Table1[[#This Row],[2019-May]:[2025-July]]),0)</f>
        <v>6.02</v>
      </c>
      <c r="N771" s="4">
        <f>COUNTIF(Table1[[#This Row],[2019-Apr]:[2025-July]],"&gt;="&amp;Table1[[#This Row],[Target]])</f>
        <v>11</v>
      </c>
      <c r="O771" s="4">
        <f>IF(Table1[[#This Row],[Outliers 2Y]]=0,1,0)</f>
        <v>0</v>
      </c>
      <c r="P771" s="4">
        <f>IF(Table1[[#This Row],[Last value]]&gt;1.5*Table1[[#This Row],[Target]],1,0)</f>
        <v>0</v>
      </c>
      <c r="Q771" s="4">
        <f>IF(AND(1.5*Table1[[#This Row],[Target]]&gt;=Table1[[#This Row],[Last value]],Table1[[#This Row],[Last value]]&gt;Table1[[#This Row],[Target]]),1,0)</f>
        <v>1</v>
      </c>
      <c r="R771" s="4">
        <f>IF(Table1[[#This Row],[Target]]&gt;=Table1[[#This Row],[Last value]],1,0)</f>
        <v>0</v>
      </c>
      <c r="S771" s="4" t="str">
        <f t="shared" si="20"/>
        <v>Yellow</v>
      </c>
      <c r="T771" s="55">
        <v>0</v>
      </c>
      <c r="U771" s="55">
        <v>4.63</v>
      </c>
      <c r="V771" s="55">
        <v>0</v>
      </c>
      <c r="W771" s="55">
        <v>3.3</v>
      </c>
      <c r="X771" s="55">
        <v>3.4</v>
      </c>
      <c r="Y771" s="55">
        <v>0</v>
      </c>
      <c r="Z771" s="55">
        <v>0</v>
      </c>
      <c r="AA771" s="55">
        <v>0</v>
      </c>
      <c r="AB771" s="55">
        <v>0</v>
      </c>
      <c r="AC771" s="55">
        <v>0</v>
      </c>
      <c r="AD771" s="55">
        <v>0</v>
      </c>
      <c r="AE771" s="55">
        <v>0</v>
      </c>
      <c r="AF771" s="55">
        <v>0</v>
      </c>
      <c r="AG771" s="55">
        <v>0</v>
      </c>
      <c r="AH771" s="55">
        <v>5.3</v>
      </c>
      <c r="AI771" s="55">
        <v>0</v>
      </c>
      <c r="AJ771" s="55">
        <v>0</v>
      </c>
      <c r="AK771" s="55">
        <v>0</v>
      </c>
      <c r="AL771" s="55">
        <v>0</v>
      </c>
      <c r="AM771" s="55">
        <v>6.97</v>
      </c>
      <c r="AN771" s="55">
        <v>6.3</v>
      </c>
      <c r="AO771" s="55">
        <v>0</v>
      </c>
      <c r="AP771" s="55">
        <v>0</v>
      </c>
      <c r="AQ771" s="55">
        <v>0</v>
      </c>
      <c r="AR771" s="8">
        <v>7.27</v>
      </c>
      <c r="AS771" s="8">
        <v>9.26</v>
      </c>
      <c r="AT771" s="8">
        <v>0</v>
      </c>
      <c r="AU771" s="50">
        <v>0</v>
      </c>
      <c r="AV771" s="50">
        <v>0</v>
      </c>
      <c r="AW771" s="50">
        <v>0</v>
      </c>
      <c r="AX771" s="50">
        <v>0</v>
      </c>
      <c r="AY771" s="50">
        <v>0</v>
      </c>
      <c r="AZ771" s="50">
        <v>0</v>
      </c>
      <c r="BA771" s="50">
        <v>0</v>
      </c>
      <c r="BB771" s="50">
        <v>6.5</v>
      </c>
      <c r="BC771" s="50">
        <v>0</v>
      </c>
      <c r="BD771" s="55">
        <v>0</v>
      </c>
      <c r="BE771" s="11">
        <v>7.7969999999999997</v>
      </c>
      <c r="BF771" s="4">
        <v>3.774</v>
      </c>
      <c r="BG771" s="4">
        <v>3.2410000000000001</v>
      </c>
      <c r="BH771" s="4">
        <v>2.669</v>
      </c>
      <c r="BI771" s="4">
        <v>3.1219999999999999</v>
      </c>
      <c r="BJ771" s="14">
        <v>0</v>
      </c>
      <c r="BK771" s="14">
        <v>0</v>
      </c>
      <c r="BL771" s="4">
        <v>0</v>
      </c>
      <c r="BM771" s="17">
        <v>0</v>
      </c>
      <c r="BN771" s="4">
        <v>0</v>
      </c>
      <c r="BO771" s="4">
        <v>0</v>
      </c>
      <c r="BP771" s="4">
        <v>3.8490000000000002</v>
      </c>
      <c r="BQ771" s="4">
        <v>0</v>
      </c>
      <c r="BR771" s="4">
        <v>0</v>
      </c>
      <c r="BS771" s="4">
        <v>3.8759999999999999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55">
        <v>0</v>
      </c>
      <c r="CA771" s="55">
        <v>0</v>
      </c>
      <c r="CB771" s="55">
        <v>0</v>
      </c>
      <c r="CC771" s="55">
        <v>0</v>
      </c>
      <c r="CD771" s="55">
        <v>0</v>
      </c>
      <c r="CE771" s="19">
        <v>5.7</v>
      </c>
      <c r="CF771" s="19">
        <v>0</v>
      </c>
      <c r="CG771" s="4">
        <v>4.66</v>
      </c>
      <c r="CH771" s="4">
        <v>6.02</v>
      </c>
      <c r="CI771" s="4">
        <v>0</v>
      </c>
      <c r="CJ771" s="34">
        <v>0</v>
      </c>
      <c r="CK771" s="34">
        <v>0</v>
      </c>
      <c r="CL771" s="34">
        <v>0</v>
      </c>
      <c r="CM771" s="4">
        <v>0</v>
      </c>
      <c r="CN771" s="53">
        <v>0</v>
      </c>
      <c r="CO771" s="54">
        <v>0</v>
      </c>
      <c r="CP771" s="54">
        <v>0</v>
      </c>
      <c r="CQ771" s="4">
        <v>0</v>
      </c>
    </row>
    <row r="772" spans="1:95" s="55" customFormat="1" x14ac:dyDescent="0.35">
      <c r="A772" s="55">
        <v>771</v>
      </c>
      <c r="B772" s="55" t="s">
        <v>105</v>
      </c>
      <c r="C772" s="27" t="s">
        <v>520</v>
      </c>
      <c r="D772" s="50" t="s">
        <v>94</v>
      </c>
      <c r="E772" s="33" t="s">
        <v>91</v>
      </c>
      <c r="F772" s="4">
        <f>IFERROR(AVERAGEIF(Table1[[#This Row],[2019-Apr]:[2025-July]],"&lt;&gt;0"),0)</f>
        <v>4.1171333333333333</v>
      </c>
      <c r="G772" s="4">
        <f ca="1">IFERROR(AVERAGEIF(OFFSET(Table1[[#This Row],[Status]],0,COUNT(Table1[[#This Row],[2019-May]:[2025-July]]),1,-12),"&lt;&gt;0"),0)</f>
        <v>3.1399999999999997</v>
      </c>
      <c r="H772" s="55">
        <f>IFERROR(SMALL(Table1[[#This Row],[2019-Apr]:[2025-July]],COUNTIF(Table1[[#This Row],[2019-Apr]:[2025-July]],0)+1),0)</f>
        <v>2.35</v>
      </c>
      <c r="I772" s="55">
        <f>IFERROR(MAX(Table1[[#This Row],[2019-Apr]:[2025-July]]),0)</f>
        <v>6.7</v>
      </c>
      <c r="J772" s="4" cm="1">
        <f t="array" ref="J77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2.8475000000000001</v>
      </c>
      <c r="K772" s="4">
        <v>4.5</v>
      </c>
      <c r="L772" s="4">
        <f>IF(Table1[[#This Row],[Standard as per ISO]]&gt;=Table1[[#This Row],[Avg of best 6]],Table1[[#This Row],[Standard as per ISO]],Table1[[#This Row],[Avg of best 6]])</f>
        <v>4.5</v>
      </c>
      <c r="M772" s="4" cm="1">
        <f t="array" ref="M772">IFERROR(LOOKUP(2,1/(Table1[[#This Row],[2019-May]:[2025-July]]&lt;&gt;0),Table1[[#This Row],[2019-May]:[2025-July]]),0)</f>
        <v>2.98</v>
      </c>
      <c r="N772" s="4">
        <f>COUNTIF(Table1[[#This Row],[2019-Apr]:[2025-July]],"&gt;="&amp;Table1[[#This Row],[Target]])</f>
        <v>10</v>
      </c>
      <c r="O772" s="4">
        <f>IF(Table1[[#This Row],[Outliers 2Y]]=0,1,0)</f>
        <v>0</v>
      </c>
      <c r="P772" s="4">
        <f>IF(Table1[[#This Row],[Last value]]&gt;1.5*Table1[[#This Row],[Target]],1,0)</f>
        <v>0</v>
      </c>
      <c r="Q772" s="4">
        <f>IF(AND(1.5*Table1[[#This Row],[Target]]&gt;=Table1[[#This Row],[Last value]],Table1[[#This Row],[Last value]]&gt;Table1[[#This Row],[Target]]),1,0)</f>
        <v>0</v>
      </c>
      <c r="R772" s="4">
        <f>IF(Table1[[#This Row],[Target]]&gt;=Table1[[#This Row],[Last value]],1,0)</f>
        <v>1</v>
      </c>
      <c r="S772" s="4" t="str">
        <f t="shared" si="20"/>
        <v>Green</v>
      </c>
      <c r="T772" s="55">
        <v>2.94</v>
      </c>
      <c r="U772" s="55">
        <v>4.13</v>
      </c>
      <c r="V772" s="55">
        <v>4.3499999999999996</v>
      </c>
      <c r="W772" s="55">
        <v>3.95</v>
      </c>
      <c r="X772" s="55">
        <v>0</v>
      </c>
      <c r="Y772" s="55">
        <v>6.7</v>
      </c>
      <c r="Z772" s="55">
        <v>5.05</v>
      </c>
      <c r="AA772" s="55">
        <v>4.9000000000000004</v>
      </c>
      <c r="AB772" s="55">
        <v>5.7</v>
      </c>
      <c r="AC772" s="55">
        <v>0</v>
      </c>
      <c r="AD772" s="55">
        <v>4.74</v>
      </c>
      <c r="AE772" s="55">
        <v>5.0999999999999996</v>
      </c>
      <c r="AF772" s="55">
        <v>0</v>
      </c>
      <c r="AG772" s="55">
        <v>0</v>
      </c>
      <c r="AH772" s="55">
        <v>0</v>
      </c>
      <c r="AI772" s="55">
        <v>4.43</v>
      </c>
      <c r="AJ772" s="55">
        <v>0</v>
      </c>
      <c r="AK772" s="55">
        <v>4.9800000000000004</v>
      </c>
      <c r="AL772" s="55">
        <v>5.27</v>
      </c>
      <c r="AM772" s="55">
        <v>0</v>
      </c>
      <c r="AN772" s="55">
        <v>5.88</v>
      </c>
      <c r="AO772" s="55">
        <v>0</v>
      </c>
      <c r="AP772" s="55">
        <v>0</v>
      </c>
      <c r="AQ772" s="55">
        <v>0</v>
      </c>
      <c r="AR772" s="8">
        <v>0</v>
      </c>
      <c r="AS772" s="8">
        <v>0</v>
      </c>
      <c r="AT772" s="8">
        <v>0</v>
      </c>
      <c r="AU772" s="50">
        <v>4.2699999999999996</v>
      </c>
      <c r="AV772" s="50">
        <v>0</v>
      </c>
      <c r="AW772" s="50">
        <v>3.12</v>
      </c>
      <c r="AX772" s="50">
        <v>3.1</v>
      </c>
      <c r="AY772" s="50">
        <v>2.35</v>
      </c>
      <c r="AZ772" s="50">
        <v>0</v>
      </c>
      <c r="BA772" s="50">
        <v>2.7</v>
      </c>
      <c r="BB772" s="50">
        <v>4.0999999999999996</v>
      </c>
      <c r="BC772" s="55">
        <v>3.9</v>
      </c>
      <c r="BD772" s="55">
        <v>0</v>
      </c>
      <c r="BE772" s="11">
        <v>4.9219999999999997</v>
      </c>
      <c r="BF772" s="4">
        <v>3.6139999999999999</v>
      </c>
      <c r="BG772" s="4">
        <v>4.3979999999999997</v>
      </c>
      <c r="BH772" s="4">
        <v>0</v>
      </c>
      <c r="BI772" s="4">
        <v>3.4089999999999998</v>
      </c>
      <c r="BJ772" s="13">
        <v>0</v>
      </c>
      <c r="BK772" s="13">
        <v>0</v>
      </c>
      <c r="BL772" s="4">
        <v>3.2149999999999999</v>
      </c>
      <c r="BM772" s="16">
        <v>0</v>
      </c>
      <c r="BN772" s="4">
        <v>0</v>
      </c>
      <c r="BO772" s="4">
        <v>0</v>
      </c>
      <c r="BP772" s="4">
        <v>2.835</v>
      </c>
      <c r="BQ772" s="4">
        <v>0</v>
      </c>
      <c r="BR772" s="4">
        <v>0</v>
      </c>
      <c r="BS772" s="4">
        <v>3.181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55">
        <v>0</v>
      </c>
      <c r="CA772" s="55">
        <v>0</v>
      </c>
      <c r="CB772" s="55">
        <v>0</v>
      </c>
      <c r="CC772" s="55">
        <v>0</v>
      </c>
      <c r="CD772" s="55">
        <v>0</v>
      </c>
      <c r="CE772" s="19">
        <v>3.3</v>
      </c>
      <c r="CF772" s="19">
        <v>0</v>
      </c>
      <c r="CG772" s="4">
        <v>0</v>
      </c>
      <c r="CH772" s="4">
        <v>2.98</v>
      </c>
      <c r="CI772" s="4">
        <v>0</v>
      </c>
      <c r="CJ772" s="34">
        <v>0</v>
      </c>
      <c r="CK772" s="34">
        <v>0</v>
      </c>
      <c r="CL772" s="34">
        <v>0</v>
      </c>
      <c r="CM772" s="4">
        <v>0</v>
      </c>
      <c r="CN772" s="53">
        <v>0</v>
      </c>
      <c r="CO772" s="54">
        <v>0</v>
      </c>
      <c r="CP772" s="54">
        <v>0</v>
      </c>
      <c r="CQ772" s="4">
        <v>0</v>
      </c>
    </row>
    <row r="773" spans="1:95" s="55" customFormat="1" x14ac:dyDescent="0.35">
      <c r="A773" s="55">
        <v>772</v>
      </c>
      <c r="B773" s="55" t="s">
        <v>105</v>
      </c>
      <c r="C773" s="27" t="s">
        <v>521</v>
      </c>
      <c r="D773" s="50" t="s">
        <v>94</v>
      </c>
      <c r="E773" s="33" t="s">
        <v>91</v>
      </c>
      <c r="F773" s="4">
        <f>IFERROR(AVERAGEIF(Table1[[#This Row],[2019-Apr]:[2025-July]],"&lt;&gt;0"),0)</f>
        <v>4.505374999999999</v>
      </c>
      <c r="G773" s="4">
        <f ca="1">IFERROR(AVERAGEIF(OFFSET(Table1[[#This Row],[Status]],0,COUNT(Table1[[#This Row],[2019-May]:[2025-July]]),1,-12),"&lt;&gt;0"),0)</f>
        <v>5.5999999999999988</v>
      </c>
      <c r="H773" s="55">
        <f>IFERROR(SMALL(Table1[[#This Row],[2019-Apr]:[2025-July]],COUNTIF(Table1[[#This Row],[2019-Apr]:[2025-July]],0)+1),0)</f>
        <v>2.9</v>
      </c>
      <c r="I773" s="55">
        <f>IFERROR(MAX(Table1[[#This Row],[2019-Apr]:[2025-July]]),0)</f>
        <v>6.99</v>
      </c>
      <c r="J773" s="4" cm="1">
        <f t="array" ref="J77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3.2968333333333333</v>
      </c>
      <c r="K773" s="4">
        <v>4.5</v>
      </c>
      <c r="L773" s="4">
        <f>IF(Table1[[#This Row],[Standard as per ISO]]&gt;=Table1[[#This Row],[Avg of best 6]],Table1[[#This Row],[Standard as per ISO]],Table1[[#This Row],[Avg of best 6]])</f>
        <v>4.5</v>
      </c>
      <c r="M773" s="4" cm="1">
        <f t="array" ref="M773">IFERROR(LOOKUP(2,1/(Table1[[#This Row],[2019-May]:[2025-July]]&lt;&gt;0),Table1[[#This Row],[2019-May]:[2025-July]]),0)</f>
        <v>5.77</v>
      </c>
      <c r="N773" s="4">
        <f>COUNTIF(Table1[[#This Row],[2019-Apr]:[2025-July]],"&gt;="&amp;Table1[[#This Row],[Target]])</f>
        <v>11</v>
      </c>
      <c r="O773" s="4">
        <f>IF(Table1[[#This Row],[Outliers 2Y]]=0,1,0)</f>
        <v>0</v>
      </c>
      <c r="P773" s="4">
        <f>IF(Table1[[#This Row],[Last value]]&gt;1.5*Table1[[#This Row],[Target]],1,0)</f>
        <v>0</v>
      </c>
      <c r="Q773" s="4">
        <f>IF(AND(1.5*Table1[[#This Row],[Target]]&gt;=Table1[[#This Row],[Last value]],Table1[[#This Row],[Last value]]&gt;Table1[[#This Row],[Target]]),1,0)</f>
        <v>1</v>
      </c>
      <c r="R773" s="4">
        <f>IF(Table1[[#This Row],[Target]]&gt;=Table1[[#This Row],[Last value]],1,0)</f>
        <v>0</v>
      </c>
      <c r="S773" s="4" t="str">
        <f t="shared" si="20"/>
        <v>Yellow</v>
      </c>
      <c r="T773" s="55">
        <v>3.23</v>
      </c>
      <c r="U773" s="55">
        <v>0</v>
      </c>
      <c r="V773" s="55">
        <v>2.97</v>
      </c>
      <c r="W773" s="55">
        <v>3.87</v>
      </c>
      <c r="X773" s="55">
        <v>4.1500000000000004</v>
      </c>
      <c r="Y773" s="55">
        <v>0</v>
      </c>
      <c r="Z773" s="55">
        <v>4.8099999999999996</v>
      </c>
      <c r="AA773" s="55">
        <v>0</v>
      </c>
      <c r="AB773" s="55">
        <v>4.1500000000000004</v>
      </c>
      <c r="AC773" s="55">
        <v>6.99</v>
      </c>
      <c r="AD773" s="55">
        <v>0</v>
      </c>
      <c r="AE773" s="55">
        <v>0</v>
      </c>
      <c r="AF773" s="55">
        <v>0</v>
      </c>
      <c r="AG773" s="55">
        <v>5.5</v>
      </c>
      <c r="AH773" s="55">
        <v>5.5</v>
      </c>
      <c r="AI773" s="55">
        <v>5.63</v>
      </c>
      <c r="AJ773" s="55">
        <v>5.3</v>
      </c>
      <c r="AK773" s="55">
        <v>0</v>
      </c>
      <c r="AL773" s="55">
        <v>0</v>
      </c>
      <c r="AM773" s="55">
        <v>4.09</v>
      </c>
      <c r="AN773" s="55">
        <v>0</v>
      </c>
      <c r="AO773" s="55">
        <v>3.5</v>
      </c>
      <c r="AP773" s="55">
        <v>3.66</v>
      </c>
      <c r="AQ773" s="55">
        <v>2.9</v>
      </c>
      <c r="AR773" s="8">
        <v>0</v>
      </c>
      <c r="AS773" s="8">
        <v>0</v>
      </c>
      <c r="AT773" s="8">
        <v>0</v>
      </c>
      <c r="AU773" s="50">
        <v>0</v>
      </c>
      <c r="AV773" s="50">
        <v>3.63</v>
      </c>
      <c r="AW773" s="50">
        <v>0</v>
      </c>
      <c r="AX773" s="50">
        <v>3.57</v>
      </c>
      <c r="AY773" s="50">
        <v>5.92</v>
      </c>
      <c r="AZ773" s="50">
        <v>0</v>
      </c>
      <c r="BA773" s="50">
        <v>0</v>
      </c>
      <c r="BB773" s="50">
        <v>0</v>
      </c>
      <c r="BC773" s="50">
        <v>0</v>
      </c>
      <c r="BD773" s="55">
        <v>0</v>
      </c>
      <c r="BE773" s="11">
        <v>0</v>
      </c>
      <c r="BF773" s="4">
        <v>0</v>
      </c>
      <c r="BG773" s="4">
        <v>0</v>
      </c>
      <c r="BH773" s="4">
        <v>3.2109999999999999</v>
      </c>
      <c r="BI773" s="4">
        <v>0</v>
      </c>
      <c r="BJ773" s="14">
        <v>0</v>
      </c>
      <c r="BK773" s="14">
        <v>0</v>
      </c>
      <c r="BL773" s="4">
        <v>0</v>
      </c>
      <c r="BM773" s="17">
        <v>0</v>
      </c>
      <c r="BN773" s="4">
        <v>0</v>
      </c>
      <c r="BO773" s="4">
        <v>0</v>
      </c>
      <c r="BP773" s="4">
        <v>3.948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4.8</v>
      </c>
      <c r="BX773" s="4">
        <v>0</v>
      </c>
      <c r="BY773" s="4">
        <v>0</v>
      </c>
      <c r="BZ773" s="55">
        <v>0</v>
      </c>
      <c r="CA773" s="55">
        <v>0</v>
      </c>
      <c r="CB773" s="55">
        <v>0</v>
      </c>
      <c r="CC773" s="55">
        <v>0</v>
      </c>
      <c r="CD773" s="55">
        <v>0</v>
      </c>
      <c r="CE773" s="19">
        <v>4.5999999999999996</v>
      </c>
      <c r="CF773" s="19">
        <v>0</v>
      </c>
      <c r="CG773" s="4">
        <v>6.43</v>
      </c>
      <c r="CH773" s="4">
        <v>5.77</v>
      </c>
      <c r="CI773" s="4">
        <v>0</v>
      </c>
      <c r="CJ773" s="34">
        <v>0</v>
      </c>
      <c r="CK773" s="34">
        <v>0</v>
      </c>
      <c r="CL773" s="34">
        <v>0</v>
      </c>
      <c r="CM773" s="4">
        <v>0</v>
      </c>
      <c r="CN773" s="53">
        <v>0</v>
      </c>
      <c r="CO773" s="54">
        <v>0</v>
      </c>
      <c r="CP773" s="54">
        <v>0</v>
      </c>
      <c r="CQ773" s="4">
        <v>0</v>
      </c>
    </row>
    <row r="774" spans="1:95" s="55" customFormat="1" x14ac:dyDescent="0.35">
      <c r="A774" s="55">
        <v>773</v>
      </c>
      <c r="B774" s="55" t="s">
        <v>105</v>
      </c>
      <c r="C774" s="27" t="s">
        <v>522</v>
      </c>
      <c r="D774" s="50" t="s">
        <v>94</v>
      </c>
      <c r="E774" s="33" t="s">
        <v>91</v>
      </c>
      <c r="F774" s="4">
        <f>IFERROR(AVERAGEIF(Table1[[#This Row],[2019-Apr]:[2025-July]],"&lt;&gt;0"),0)</f>
        <v>4.4091935483870968</v>
      </c>
      <c r="G774" s="4">
        <f ca="1">IFERROR(AVERAGEIF(OFFSET(Table1[[#This Row],[Status]],0,COUNT(Table1[[#This Row],[2019-May]:[2025-July]]),1,-12),"&lt;&gt;0"),0)</f>
        <v>0</v>
      </c>
      <c r="H774" s="55">
        <f>IFERROR(SMALL(Table1[[#This Row],[2019-Apr]:[2025-July]],COUNTIF(Table1[[#This Row],[2019-Apr]:[2025-July]],0)+1),0)</f>
        <v>2.4</v>
      </c>
      <c r="I774" s="55">
        <f>IFERROR(MAX(Table1[[#This Row],[2019-Apr]:[2025-July]]),0)</f>
        <v>6.99</v>
      </c>
      <c r="J774" s="4" cm="1">
        <f t="array" ref="J77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3.2866666666666666</v>
      </c>
      <c r="K774" s="4">
        <v>4.5</v>
      </c>
      <c r="L774" s="4">
        <f>IF(Table1[[#This Row],[Standard as per ISO]]&gt;=Table1[[#This Row],[Avg of best 6]],Table1[[#This Row],[Standard as per ISO]],Table1[[#This Row],[Avg of best 6]])</f>
        <v>4.5</v>
      </c>
      <c r="M774" s="4" cm="1">
        <f t="array" ref="M774">IFERROR(LOOKUP(2,1/(Table1[[#This Row],[2019-May]:[2025-July]]&lt;&gt;0),Table1[[#This Row],[2019-May]:[2025-July]]),0)</f>
        <v>3.56</v>
      </c>
      <c r="N774" s="4">
        <f>COUNTIF(Table1[[#This Row],[2019-Apr]:[2025-July]],"&gt;="&amp;Table1[[#This Row],[Target]])</f>
        <v>12</v>
      </c>
      <c r="O774" s="4">
        <f>IF(Table1[[#This Row],[Outliers 2Y]]=0,1,0)</f>
        <v>0</v>
      </c>
      <c r="P774" s="4">
        <f>IF(Table1[[#This Row],[Last value]]&gt;1.5*Table1[[#This Row],[Target]],1,0)</f>
        <v>0</v>
      </c>
      <c r="Q774" s="4">
        <f>IF(AND(1.5*Table1[[#This Row],[Target]]&gt;=Table1[[#This Row],[Last value]],Table1[[#This Row],[Last value]]&gt;Table1[[#This Row],[Target]]),1,0)</f>
        <v>0</v>
      </c>
      <c r="R774" s="4">
        <f>IF(Table1[[#This Row],[Target]]&gt;=Table1[[#This Row],[Last value]],1,0)</f>
        <v>1</v>
      </c>
      <c r="S774" s="4" t="str">
        <f t="shared" si="20"/>
        <v>Green</v>
      </c>
      <c r="T774" s="55">
        <v>4.1500000000000004</v>
      </c>
      <c r="U774" s="55">
        <v>4.75</v>
      </c>
      <c r="V774" s="55">
        <v>3.4</v>
      </c>
      <c r="W774" s="55">
        <v>0</v>
      </c>
      <c r="X774" s="55">
        <v>3.72</v>
      </c>
      <c r="Y774" s="55">
        <v>4.8</v>
      </c>
      <c r="Z774" s="55">
        <v>4.42</v>
      </c>
      <c r="AA774" s="55">
        <v>4.9000000000000004</v>
      </c>
      <c r="AB774" s="55">
        <v>0</v>
      </c>
      <c r="AC774" s="55">
        <v>6.99</v>
      </c>
      <c r="AD774" s="55">
        <v>4.6900000000000004</v>
      </c>
      <c r="AE774" s="55">
        <v>5.9</v>
      </c>
      <c r="AF774" s="55">
        <v>4.4000000000000004</v>
      </c>
      <c r="AG774" s="55">
        <v>3.8</v>
      </c>
      <c r="AH774" s="55">
        <v>0</v>
      </c>
      <c r="AI774" s="55">
        <v>5.63</v>
      </c>
      <c r="AJ774" s="55">
        <v>3.8</v>
      </c>
      <c r="AK774" s="55">
        <v>0</v>
      </c>
      <c r="AL774" s="55">
        <v>3.22</v>
      </c>
      <c r="AM774" s="55">
        <v>0</v>
      </c>
      <c r="AN774" s="55">
        <v>0</v>
      </c>
      <c r="AO774" s="55">
        <v>4.33</v>
      </c>
      <c r="AP774" s="55">
        <v>4.7699999999999996</v>
      </c>
      <c r="AQ774" s="55">
        <v>0</v>
      </c>
      <c r="AR774" s="8">
        <v>4.49</v>
      </c>
      <c r="AS774" s="8">
        <v>5.0999999999999996</v>
      </c>
      <c r="AT774" s="8">
        <v>4.2699999999999996</v>
      </c>
      <c r="AU774" s="50">
        <v>4.7699999999999996</v>
      </c>
      <c r="AV774" s="50">
        <v>4.59</v>
      </c>
      <c r="AW774" s="50">
        <v>6.25</v>
      </c>
      <c r="AX774" s="50">
        <v>3.76</v>
      </c>
      <c r="AY774" s="50">
        <v>3.42</v>
      </c>
      <c r="AZ774" s="50">
        <v>0</v>
      </c>
      <c r="BA774" s="50">
        <v>2.4</v>
      </c>
      <c r="BB774" s="50">
        <v>3.9</v>
      </c>
      <c r="BC774" s="50">
        <v>0</v>
      </c>
      <c r="BD774" s="55">
        <v>0</v>
      </c>
      <c r="BE774" s="11">
        <v>0</v>
      </c>
      <c r="BF774" s="4">
        <v>3.8180000000000001</v>
      </c>
      <c r="BG774" s="4">
        <v>4.327</v>
      </c>
      <c r="BH774" s="4">
        <v>4.3600000000000003</v>
      </c>
      <c r="BI774" s="4">
        <v>0</v>
      </c>
      <c r="BJ774" s="13">
        <v>0</v>
      </c>
      <c r="BK774" s="13">
        <v>0</v>
      </c>
      <c r="BL774" s="4">
        <v>3.56</v>
      </c>
      <c r="BM774" s="16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55">
        <v>0</v>
      </c>
      <c r="CA774" s="55">
        <v>0</v>
      </c>
      <c r="CB774" s="55">
        <v>0</v>
      </c>
      <c r="CC774" s="55">
        <v>0</v>
      </c>
      <c r="CD774" s="55">
        <v>0</v>
      </c>
      <c r="CE774" s="19">
        <v>0</v>
      </c>
      <c r="CF774" s="19">
        <v>0</v>
      </c>
      <c r="CG774" s="4">
        <v>0</v>
      </c>
      <c r="CH774" s="4">
        <v>0</v>
      </c>
      <c r="CI774" s="4">
        <v>0</v>
      </c>
      <c r="CJ774" s="34">
        <v>0</v>
      </c>
      <c r="CK774" s="34">
        <v>0</v>
      </c>
      <c r="CL774" s="34">
        <v>0</v>
      </c>
      <c r="CM774" s="4">
        <v>0</v>
      </c>
      <c r="CN774" s="53">
        <v>0</v>
      </c>
      <c r="CO774" s="54">
        <v>0</v>
      </c>
      <c r="CP774" s="54">
        <v>0</v>
      </c>
      <c r="CQ774" s="4">
        <v>0</v>
      </c>
    </row>
    <row r="775" spans="1:95" s="55" customFormat="1" x14ac:dyDescent="0.35">
      <c r="A775" s="55">
        <v>774</v>
      </c>
      <c r="B775" s="55" t="s">
        <v>105</v>
      </c>
      <c r="C775" s="27" t="s">
        <v>523</v>
      </c>
      <c r="D775" s="50" t="s">
        <v>94</v>
      </c>
      <c r="E775" s="33" t="s">
        <v>91</v>
      </c>
      <c r="F775" s="4">
        <f>IFERROR(AVERAGEIF(Table1[[#This Row],[2019-Apr]:[2025-July]],"&lt;&gt;0"),0)</f>
        <v>4.6643548387096772</v>
      </c>
      <c r="G775" s="4">
        <f ca="1">IFERROR(AVERAGEIF(OFFSET(Table1[[#This Row],[Status]],0,COUNT(Table1[[#This Row],[2019-May]:[2025-July]]),1,-12),"&lt;&gt;0"),0)</f>
        <v>3.5149999999999997</v>
      </c>
      <c r="H775" s="55">
        <f>IFERROR(SMALL(Table1[[#This Row],[2019-Apr]:[2025-July]],COUNTIF(Table1[[#This Row],[2019-Apr]:[2025-July]],0)+1),0)</f>
        <v>2.4</v>
      </c>
      <c r="I775" s="55">
        <f>IFERROR(MAX(Table1[[#This Row],[2019-Apr]:[2025-July]]),0)</f>
        <v>8.67</v>
      </c>
      <c r="J775" s="4" cm="1">
        <f t="array" ref="J77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3.2989999999999999</v>
      </c>
      <c r="K775" s="4">
        <v>4.5</v>
      </c>
      <c r="L775" s="4">
        <f>IF(Table1[[#This Row],[Standard as per ISO]]&gt;=Table1[[#This Row],[Avg of best 6]],Table1[[#This Row],[Standard as per ISO]],Table1[[#This Row],[Avg of best 6]])</f>
        <v>4.5</v>
      </c>
      <c r="M775" s="4" cm="1">
        <f t="array" ref="M775">IFERROR(LOOKUP(2,1/(Table1[[#This Row],[2019-May]:[2025-July]]&lt;&gt;0),Table1[[#This Row],[2019-May]:[2025-July]]),0)</f>
        <v>2.93</v>
      </c>
      <c r="N775" s="4">
        <f>COUNTIF(Table1[[#This Row],[2019-Apr]:[2025-July]],"&gt;="&amp;Table1[[#This Row],[Target]])</f>
        <v>16</v>
      </c>
      <c r="O775" s="4">
        <f>IF(Table1[[#This Row],[Outliers 2Y]]=0,1,0)</f>
        <v>0</v>
      </c>
      <c r="P775" s="4">
        <f>IF(Table1[[#This Row],[Last value]]&gt;1.5*Table1[[#This Row],[Target]],1,0)</f>
        <v>0</v>
      </c>
      <c r="Q775" s="4">
        <f>IF(AND(1.5*Table1[[#This Row],[Target]]&gt;=Table1[[#This Row],[Last value]],Table1[[#This Row],[Last value]]&gt;Table1[[#This Row],[Target]]),1,0)</f>
        <v>0</v>
      </c>
      <c r="R775" s="4">
        <f>IF(Table1[[#This Row],[Target]]&gt;=Table1[[#This Row],[Last value]],1,0)</f>
        <v>1</v>
      </c>
      <c r="S775" s="4" t="str">
        <f t="shared" si="20"/>
        <v>Green</v>
      </c>
      <c r="T775" s="55">
        <v>4.09</v>
      </c>
      <c r="U775" s="55">
        <v>3.72</v>
      </c>
      <c r="V775" s="55">
        <v>3.89</v>
      </c>
      <c r="W775" s="55">
        <v>3.88</v>
      </c>
      <c r="X775" s="55">
        <v>0</v>
      </c>
      <c r="Y775" s="55">
        <v>0</v>
      </c>
      <c r="Z775" s="55">
        <v>0</v>
      </c>
      <c r="AA775" s="55">
        <v>5.0999999999999996</v>
      </c>
      <c r="AB775" s="55">
        <v>4.82</v>
      </c>
      <c r="AC775" s="55">
        <v>6.33</v>
      </c>
      <c r="AD775" s="55">
        <v>5.24</v>
      </c>
      <c r="AE775" s="55">
        <v>0</v>
      </c>
      <c r="AF775" s="55">
        <v>5.3</v>
      </c>
      <c r="AG775" s="55">
        <v>0</v>
      </c>
      <c r="AH775" s="55">
        <v>0</v>
      </c>
      <c r="AI775" s="55">
        <v>0</v>
      </c>
      <c r="AJ775" s="55">
        <v>0</v>
      </c>
      <c r="AK775" s="55">
        <v>0</v>
      </c>
      <c r="AL775" s="55">
        <v>8.67</v>
      </c>
      <c r="AM775" s="55">
        <v>5.79</v>
      </c>
      <c r="AN775" s="55">
        <v>4.9800000000000004</v>
      </c>
      <c r="AO775" s="55">
        <v>4.96</v>
      </c>
      <c r="AP775" s="55">
        <v>5.05</v>
      </c>
      <c r="AQ775" s="55">
        <v>4.6900000000000004</v>
      </c>
      <c r="AR775" s="8">
        <v>6.22</v>
      </c>
      <c r="AS775" s="8">
        <v>0</v>
      </c>
      <c r="AT775" s="8">
        <v>5.58</v>
      </c>
      <c r="AU775" s="50">
        <v>5.58</v>
      </c>
      <c r="AV775" s="50">
        <v>5.96</v>
      </c>
      <c r="AW775" s="50">
        <v>0</v>
      </c>
      <c r="AX775" s="50">
        <v>0</v>
      </c>
      <c r="AY775" s="50">
        <v>0</v>
      </c>
      <c r="AZ775" s="50">
        <v>0</v>
      </c>
      <c r="BA775" s="50">
        <v>2.4</v>
      </c>
      <c r="BB775" s="50">
        <v>3.5</v>
      </c>
      <c r="BC775" s="55">
        <v>4.8</v>
      </c>
      <c r="BD775" s="55">
        <v>0</v>
      </c>
      <c r="BE775" s="11">
        <v>3.718</v>
      </c>
      <c r="BF775" s="4">
        <v>4.0199999999999996</v>
      </c>
      <c r="BG775" s="4">
        <v>0</v>
      </c>
      <c r="BH775" s="4">
        <v>0</v>
      </c>
      <c r="BI775" s="4">
        <v>4.3209999999999997</v>
      </c>
      <c r="BJ775" s="14">
        <v>0</v>
      </c>
      <c r="BK775" s="14">
        <v>0</v>
      </c>
      <c r="BL775" s="4">
        <v>3.56</v>
      </c>
      <c r="BM775" s="17">
        <v>0</v>
      </c>
      <c r="BN775" s="4">
        <v>0</v>
      </c>
      <c r="BO775" s="4">
        <v>0</v>
      </c>
      <c r="BP775" s="4">
        <v>3.746</v>
      </c>
      <c r="BQ775" s="4">
        <v>0</v>
      </c>
      <c r="BR775" s="4">
        <v>0</v>
      </c>
      <c r="BS775" s="4">
        <v>3.964</v>
      </c>
      <c r="BT775" s="4">
        <v>0</v>
      </c>
      <c r="BU775" s="4">
        <v>0</v>
      </c>
      <c r="BV775" s="4">
        <v>0</v>
      </c>
      <c r="BW775" s="4">
        <v>3.6859999999999999</v>
      </c>
      <c r="BX775" s="4">
        <v>0</v>
      </c>
      <c r="BY775" s="4">
        <v>0</v>
      </c>
      <c r="BZ775" s="55">
        <v>0</v>
      </c>
      <c r="CA775" s="55">
        <v>0</v>
      </c>
      <c r="CB775" s="55">
        <v>0</v>
      </c>
      <c r="CC775" s="55">
        <v>0</v>
      </c>
      <c r="CD775" s="55">
        <v>0</v>
      </c>
      <c r="CE775" s="19">
        <v>0</v>
      </c>
      <c r="CF775" s="19">
        <v>0</v>
      </c>
      <c r="CG775" s="4">
        <v>4.0999999999999996</v>
      </c>
      <c r="CH775" s="4">
        <v>2.93</v>
      </c>
      <c r="CI775" s="4">
        <v>0</v>
      </c>
      <c r="CJ775" s="34">
        <v>0</v>
      </c>
      <c r="CK775" s="34">
        <v>0</v>
      </c>
      <c r="CL775" s="34">
        <v>0</v>
      </c>
      <c r="CM775" s="4">
        <v>0</v>
      </c>
      <c r="CN775" s="53">
        <v>0</v>
      </c>
      <c r="CO775" s="54">
        <v>0</v>
      </c>
      <c r="CP775" s="54">
        <v>0</v>
      </c>
      <c r="CQ775" s="4">
        <v>0</v>
      </c>
    </row>
    <row r="776" spans="1:95" s="55" customFormat="1" x14ac:dyDescent="0.35">
      <c r="A776" s="55">
        <v>775</v>
      </c>
      <c r="B776" s="55" t="s">
        <v>105</v>
      </c>
      <c r="C776" s="27" t="s">
        <v>524</v>
      </c>
      <c r="D776" s="50" t="s">
        <v>94</v>
      </c>
      <c r="E776" s="33" t="s">
        <v>91</v>
      </c>
      <c r="F776" s="4">
        <f>IFERROR(AVERAGEIF(Table1[[#This Row],[2019-Apr]:[2025-July]],"&lt;&gt;0"),0)</f>
        <v>4.3979999999999997</v>
      </c>
      <c r="G776" s="4">
        <f ca="1">IFERROR(AVERAGEIF(OFFSET(Table1[[#This Row],[Status]],0,COUNT(Table1[[#This Row],[2019-May]:[2025-July]]),1,-12),"&lt;&gt;0"),0)</f>
        <v>0</v>
      </c>
      <c r="H776" s="55">
        <f>IFERROR(SMALL(Table1[[#This Row],[2019-Apr]:[2025-July]],COUNTIF(Table1[[#This Row],[2019-Apr]:[2025-July]],0)+1),0)</f>
        <v>2</v>
      </c>
      <c r="I776" s="55">
        <f>IFERROR(MAX(Table1[[#This Row],[2019-Apr]:[2025-July]]),0)</f>
        <v>6.89</v>
      </c>
      <c r="J776" s="4" cm="1">
        <f t="array" ref="J77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2.5698333333333334</v>
      </c>
      <c r="K776" s="4">
        <v>4.5</v>
      </c>
      <c r="L776" s="4">
        <f>IF(Table1[[#This Row],[Standard as per ISO]]&gt;=Table1[[#This Row],[Avg of best 6]],Table1[[#This Row],[Standard as per ISO]],Table1[[#This Row],[Avg of best 6]])</f>
        <v>4.5</v>
      </c>
      <c r="M776" s="4" cm="1">
        <f t="array" ref="M776">IFERROR(LOOKUP(2,1/(Table1[[#This Row],[2019-May]:[2025-July]]&lt;&gt;0),Table1[[#This Row],[2019-May]:[2025-July]]),0)</f>
        <v>2.1389999999999998</v>
      </c>
      <c r="N776" s="4">
        <f>COUNTIF(Table1[[#This Row],[2019-Apr]:[2025-July]],"&gt;="&amp;Table1[[#This Row],[Target]])</f>
        <v>10</v>
      </c>
      <c r="O776" s="4">
        <f>IF(Table1[[#This Row],[Outliers 2Y]]=0,1,0)</f>
        <v>0</v>
      </c>
      <c r="P776" s="4">
        <f>IF(Table1[[#This Row],[Last value]]&gt;1.5*Table1[[#This Row],[Target]],1,0)</f>
        <v>0</v>
      </c>
      <c r="Q776" s="4">
        <f>IF(AND(1.5*Table1[[#This Row],[Target]]&gt;=Table1[[#This Row],[Last value]],Table1[[#This Row],[Last value]]&gt;Table1[[#This Row],[Target]]),1,0)</f>
        <v>0</v>
      </c>
      <c r="R776" s="4">
        <f>IF(Table1[[#This Row],[Target]]&gt;=Table1[[#This Row],[Last value]],1,0)</f>
        <v>1</v>
      </c>
      <c r="S776" s="4" t="str">
        <f t="shared" si="20"/>
        <v>Green</v>
      </c>
      <c r="T776" s="55">
        <v>0</v>
      </c>
      <c r="U776" s="55">
        <v>0</v>
      </c>
      <c r="V776" s="55">
        <v>3.91</v>
      </c>
      <c r="W776" s="55">
        <v>0</v>
      </c>
      <c r="X776" s="55">
        <v>0</v>
      </c>
      <c r="Y776" s="55">
        <v>6.4</v>
      </c>
      <c r="Z776" s="55">
        <v>6.89</v>
      </c>
      <c r="AA776" s="55">
        <v>0</v>
      </c>
      <c r="AB776" s="55">
        <v>0</v>
      </c>
      <c r="AC776" s="55">
        <v>0</v>
      </c>
      <c r="AD776" s="55">
        <v>0</v>
      </c>
      <c r="AE776" s="55">
        <v>4.0999999999999996</v>
      </c>
      <c r="AF776" s="55">
        <v>4.4000000000000004</v>
      </c>
      <c r="AG776" s="55">
        <v>0</v>
      </c>
      <c r="AH776" s="55">
        <v>5.5</v>
      </c>
      <c r="AI776" s="55">
        <v>0</v>
      </c>
      <c r="AJ776" s="55">
        <v>0</v>
      </c>
      <c r="AK776" s="55">
        <v>5.69</v>
      </c>
      <c r="AL776" s="55">
        <v>4.91</v>
      </c>
      <c r="AM776" s="55">
        <v>0</v>
      </c>
      <c r="AN776" s="55">
        <v>0</v>
      </c>
      <c r="AO776" s="55">
        <v>0</v>
      </c>
      <c r="AP776" s="55">
        <v>0</v>
      </c>
      <c r="AQ776" s="55">
        <v>4.5</v>
      </c>
      <c r="AR776" s="8">
        <v>0</v>
      </c>
      <c r="AS776" s="8">
        <v>6.57</v>
      </c>
      <c r="AT776" s="8">
        <v>4.3499999999999996</v>
      </c>
      <c r="AU776" s="50">
        <v>5.88</v>
      </c>
      <c r="AV776" s="50">
        <v>0</v>
      </c>
      <c r="AW776" s="50">
        <v>5.4</v>
      </c>
      <c r="AX776" s="50">
        <v>0</v>
      </c>
      <c r="AY776" s="50">
        <v>0</v>
      </c>
      <c r="AZ776" s="50">
        <v>0</v>
      </c>
      <c r="BA776" s="50">
        <v>2</v>
      </c>
      <c r="BB776" s="50">
        <v>0</v>
      </c>
      <c r="BC776" s="55">
        <v>3.3</v>
      </c>
      <c r="BD776" s="55">
        <v>0</v>
      </c>
      <c r="BE776" s="11">
        <v>4.194</v>
      </c>
      <c r="BF776" s="4">
        <v>4.0579999999999998</v>
      </c>
      <c r="BG776" s="4">
        <v>0</v>
      </c>
      <c r="BH776" s="4">
        <v>2.3090000000000002</v>
      </c>
      <c r="BI776" s="4">
        <v>2.649</v>
      </c>
      <c r="BJ776" s="13">
        <v>0</v>
      </c>
      <c r="BK776" s="13">
        <v>0</v>
      </c>
      <c r="BL776" s="4">
        <v>4.8330000000000002</v>
      </c>
      <c r="BM776" s="16">
        <v>0</v>
      </c>
      <c r="BN776" s="4">
        <v>0</v>
      </c>
      <c r="BO776" s="4">
        <v>0</v>
      </c>
      <c r="BP776" s="4">
        <v>4.1500000000000004</v>
      </c>
      <c r="BQ776" s="4">
        <v>0</v>
      </c>
      <c r="BR776" s="4">
        <v>0</v>
      </c>
      <c r="BS776" s="4">
        <v>3.0219999999999998</v>
      </c>
      <c r="BT776" s="4">
        <v>0</v>
      </c>
      <c r="BU776" s="4">
        <v>0</v>
      </c>
      <c r="BV776" s="4">
        <v>0</v>
      </c>
      <c r="BW776" s="4">
        <v>2.1389999999999998</v>
      </c>
      <c r="BX776" s="4">
        <v>0</v>
      </c>
      <c r="BY776" s="4">
        <v>0</v>
      </c>
      <c r="BZ776" s="55">
        <v>0</v>
      </c>
      <c r="CA776" s="55">
        <v>0</v>
      </c>
      <c r="CB776" s="55">
        <v>0</v>
      </c>
      <c r="CC776" s="55">
        <v>0</v>
      </c>
      <c r="CD776" s="55">
        <v>0</v>
      </c>
      <c r="CE776" s="19">
        <v>0</v>
      </c>
      <c r="CF776" s="19">
        <v>0</v>
      </c>
      <c r="CG776" s="4">
        <v>0</v>
      </c>
      <c r="CH776" s="4">
        <v>0</v>
      </c>
      <c r="CI776" s="4">
        <v>0</v>
      </c>
      <c r="CJ776" s="34">
        <v>0</v>
      </c>
      <c r="CK776" s="34">
        <v>0</v>
      </c>
      <c r="CL776" s="34">
        <v>0</v>
      </c>
      <c r="CM776" s="4">
        <v>0</v>
      </c>
      <c r="CN776" s="53">
        <v>0</v>
      </c>
      <c r="CO776" s="54">
        <v>0</v>
      </c>
      <c r="CP776" s="54">
        <v>0</v>
      </c>
      <c r="CQ776" s="4">
        <v>0</v>
      </c>
    </row>
    <row r="777" spans="1:95" s="55" customFormat="1" x14ac:dyDescent="0.35">
      <c r="A777" s="55">
        <v>776</v>
      </c>
      <c r="B777" s="55" t="s">
        <v>105</v>
      </c>
      <c r="C777" s="27" t="s">
        <v>525</v>
      </c>
      <c r="D777" s="50" t="s">
        <v>94</v>
      </c>
      <c r="E777" s="33" t="s">
        <v>91</v>
      </c>
      <c r="F777" s="4">
        <f>IFERROR(AVERAGEIF(Table1[[#This Row],[2019-Apr]:[2025-July]],"&lt;&gt;0"),0)</f>
        <v>4.5403684210526309</v>
      </c>
      <c r="G777" s="4">
        <f ca="1">IFERROR(AVERAGEIF(OFFSET(Table1[[#This Row],[Status]],0,COUNT(Table1[[#This Row],[2019-May]:[2025-July]]),1,-12),"&lt;&gt;0"),0)</f>
        <v>5.0533333333333337</v>
      </c>
      <c r="H777" s="55">
        <f>IFERROR(SMALL(Table1[[#This Row],[2019-Apr]:[2025-July]],COUNTIF(Table1[[#This Row],[2019-Apr]:[2025-July]],0)+1),0)</f>
        <v>1.7</v>
      </c>
      <c r="I777" s="55">
        <f>IFERROR(MAX(Table1[[#This Row],[2019-Apr]:[2025-July]]),0)</f>
        <v>6.17</v>
      </c>
      <c r="J777" s="4" cm="1">
        <f t="array" ref="J77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3.2183333333333333</v>
      </c>
      <c r="K777" s="4">
        <v>4.5</v>
      </c>
      <c r="L777" s="4">
        <f>IF(Table1[[#This Row],[Standard as per ISO]]&gt;=Table1[[#This Row],[Avg of best 6]],Table1[[#This Row],[Standard as per ISO]],Table1[[#This Row],[Avg of best 6]])</f>
        <v>4.5</v>
      </c>
      <c r="M777" s="4" cm="1">
        <f t="array" ref="M777">IFERROR(LOOKUP(2,1/(Table1[[#This Row],[2019-May]:[2025-July]]&lt;&gt;0),Table1[[#This Row],[2019-May]:[2025-July]]),0)</f>
        <v>5.42</v>
      </c>
      <c r="N777" s="4">
        <f>COUNTIF(Table1[[#This Row],[2019-Apr]:[2025-July]],"&gt;="&amp;Table1[[#This Row],[Target]])</f>
        <v>23</v>
      </c>
      <c r="O777" s="4">
        <f>IF(Table1[[#This Row],[Outliers 2Y]]=0,1,0)</f>
        <v>0</v>
      </c>
      <c r="P777" s="4">
        <f>IF(Table1[[#This Row],[Last value]]&gt;1.5*Table1[[#This Row],[Target]],1,0)</f>
        <v>0</v>
      </c>
      <c r="Q777" s="4">
        <f>IF(AND(1.5*Table1[[#This Row],[Target]]&gt;=Table1[[#This Row],[Last value]],Table1[[#This Row],[Last value]]&gt;Table1[[#This Row],[Target]]),1,0)</f>
        <v>1</v>
      </c>
      <c r="R777" s="4">
        <f>IF(Table1[[#This Row],[Target]]&gt;=Table1[[#This Row],[Last value]],1,0)</f>
        <v>0</v>
      </c>
      <c r="S777" s="4" t="str">
        <f t="shared" si="20"/>
        <v>Yellow</v>
      </c>
      <c r="T777" s="55">
        <v>4.5599999999999996</v>
      </c>
      <c r="U777" s="55">
        <v>4.63</v>
      </c>
      <c r="V777" s="55">
        <v>4.09</v>
      </c>
      <c r="W777" s="55">
        <v>3.48</v>
      </c>
      <c r="X777" s="55">
        <v>4.0599999999999996</v>
      </c>
      <c r="Y777" s="55">
        <v>0</v>
      </c>
      <c r="Z777" s="55">
        <v>4.12</v>
      </c>
      <c r="AA777" s="55">
        <v>0</v>
      </c>
      <c r="AB777" s="55">
        <v>3.04</v>
      </c>
      <c r="AC777" s="55">
        <v>3.97</v>
      </c>
      <c r="AD777" s="55">
        <v>4.46</v>
      </c>
      <c r="AE777" s="55">
        <v>0</v>
      </c>
      <c r="AF777" s="55">
        <v>0</v>
      </c>
      <c r="AG777" s="55">
        <v>0</v>
      </c>
      <c r="AH777" s="55">
        <v>4.3</v>
      </c>
      <c r="AI777" s="55">
        <v>3.53</v>
      </c>
      <c r="AJ777" s="55">
        <v>5.2</v>
      </c>
      <c r="AK777" s="55">
        <v>3.97</v>
      </c>
      <c r="AL777" s="55">
        <v>4.84</v>
      </c>
      <c r="AM777" s="55">
        <v>4.84</v>
      </c>
      <c r="AN777" s="55">
        <v>4.9000000000000004</v>
      </c>
      <c r="AO777" s="55">
        <v>4.78</v>
      </c>
      <c r="AP777" s="55">
        <v>4.5</v>
      </c>
      <c r="AQ777" s="55">
        <v>5.41</v>
      </c>
      <c r="AR777" s="8">
        <v>5.34</v>
      </c>
      <c r="AS777" s="8">
        <v>6.17</v>
      </c>
      <c r="AT777" s="8">
        <v>0</v>
      </c>
      <c r="AU777" s="50">
        <v>5</v>
      </c>
      <c r="AV777" s="50">
        <v>3.66</v>
      </c>
      <c r="AW777" s="50">
        <v>4.9000000000000004</v>
      </c>
      <c r="AX777" s="50">
        <v>5.4</v>
      </c>
      <c r="AY777" s="50">
        <v>4.1500000000000004</v>
      </c>
      <c r="AZ777" s="50">
        <v>4.8</v>
      </c>
      <c r="BA777" s="50">
        <v>3.9</v>
      </c>
      <c r="BB777" s="50">
        <v>1.7</v>
      </c>
      <c r="BC777" s="55">
        <v>5.8</v>
      </c>
      <c r="BD777" s="55">
        <v>0</v>
      </c>
      <c r="BE777" s="11">
        <v>6.0289999999999999</v>
      </c>
      <c r="BF777" s="4">
        <v>4.5659999999999998</v>
      </c>
      <c r="BG777" s="4">
        <v>0</v>
      </c>
      <c r="BH777" s="4">
        <v>3.9940000000000002</v>
      </c>
      <c r="BI777" s="4">
        <v>4.5940000000000003</v>
      </c>
      <c r="BJ777" s="14">
        <v>0</v>
      </c>
      <c r="BK777" s="14">
        <v>0</v>
      </c>
      <c r="BL777" s="4">
        <v>0</v>
      </c>
      <c r="BM777" s="17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4.6909999999999998</v>
      </c>
      <c r="BX777" s="4">
        <v>0</v>
      </c>
      <c r="BY777" s="4">
        <v>0</v>
      </c>
      <c r="BZ777" s="55">
        <v>0</v>
      </c>
      <c r="CA777" s="55">
        <v>0</v>
      </c>
      <c r="CB777" s="55">
        <v>0</v>
      </c>
      <c r="CC777" s="55">
        <v>0</v>
      </c>
      <c r="CD777" s="55">
        <v>0</v>
      </c>
      <c r="CE777" s="19">
        <v>4.7</v>
      </c>
      <c r="CF777" s="19">
        <v>0</v>
      </c>
      <c r="CG777" s="4">
        <v>5.04</v>
      </c>
      <c r="CH777" s="4">
        <v>5.42</v>
      </c>
      <c r="CI777" s="4">
        <v>0</v>
      </c>
      <c r="CJ777" s="34">
        <v>0</v>
      </c>
      <c r="CK777" s="34">
        <v>0</v>
      </c>
      <c r="CL777" s="34">
        <v>0</v>
      </c>
      <c r="CM777" s="4">
        <v>0</v>
      </c>
      <c r="CN777" s="53">
        <v>0</v>
      </c>
      <c r="CO777" s="54">
        <v>0</v>
      </c>
      <c r="CP777" s="54">
        <v>0</v>
      </c>
      <c r="CQ777" s="4">
        <v>0</v>
      </c>
    </row>
    <row r="778" spans="1:95" s="55" customFormat="1" x14ac:dyDescent="0.35">
      <c r="A778" s="55">
        <v>777</v>
      </c>
      <c r="B778" s="55" t="s">
        <v>105</v>
      </c>
      <c r="C778" s="27" t="s">
        <v>526</v>
      </c>
      <c r="D778" s="50" t="s">
        <v>94</v>
      </c>
      <c r="E778" s="33" t="s">
        <v>91</v>
      </c>
      <c r="F778" s="4">
        <f>IFERROR(AVERAGEIF(Table1[[#This Row],[2019-Apr]:[2025-July]],"&lt;&gt;0"),0)</f>
        <v>4.839999999999999</v>
      </c>
      <c r="G778" s="4">
        <f ca="1">IFERROR(AVERAGEIF(OFFSET(Table1[[#This Row],[Status]],0,COUNT(Table1[[#This Row],[2019-May]:[2025-July]]),1,-12),"&lt;&gt;0"),0)</f>
        <v>5.99</v>
      </c>
      <c r="H778" s="55">
        <f>IFERROR(SMALL(Table1[[#This Row],[2019-Apr]:[2025-July]],COUNTIF(Table1[[#This Row],[2019-Apr]:[2025-July]],0)+1),0)</f>
        <v>3.53</v>
      </c>
      <c r="I778" s="55">
        <f>IFERROR(MAX(Table1[[#This Row],[2019-Apr]:[2025-July]]),0)</f>
        <v>6.9</v>
      </c>
      <c r="J778" s="4" cm="1">
        <f t="array" ref="J77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3.7616666666666663</v>
      </c>
      <c r="K778" s="4">
        <v>4.5</v>
      </c>
      <c r="L778" s="4">
        <f>IF(Table1[[#This Row],[Standard as per ISO]]&gt;=Table1[[#This Row],[Avg of best 6]],Table1[[#This Row],[Standard as per ISO]],Table1[[#This Row],[Avg of best 6]])</f>
        <v>4.5</v>
      </c>
      <c r="M778" s="4" cm="1">
        <f t="array" ref="M778">IFERROR(LOOKUP(2,1/(Table1[[#This Row],[2019-May]:[2025-July]]&lt;&gt;0),Table1[[#This Row],[2019-May]:[2025-July]]),0)</f>
        <v>6.18</v>
      </c>
      <c r="N778" s="4">
        <f>COUNTIF(Table1[[#This Row],[2019-Apr]:[2025-July]],"&gt;="&amp;Table1[[#This Row],[Target]])</f>
        <v>14</v>
      </c>
      <c r="O778" s="4">
        <f>IF(Table1[[#This Row],[Outliers 2Y]]=0,1,0)</f>
        <v>0</v>
      </c>
      <c r="P778" s="4">
        <f>IF(Table1[[#This Row],[Last value]]&gt;1.5*Table1[[#This Row],[Target]],1,0)</f>
        <v>0</v>
      </c>
      <c r="Q778" s="4">
        <f>IF(AND(1.5*Table1[[#This Row],[Target]]&gt;=Table1[[#This Row],[Last value]],Table1[[#This Row],[Last value]]&gt;Table1[[#This Row],[Target]]),1,0)</f>
        <v>1</v>
      </c>
      <c r="R778" s="4">
        <f>IF(Table1[[#This Row],[Target]]&gt;=Table1[[#This Row],[Last value]],1,0)</f>
        <v>0</v>
      </c>
      <c r="S778" s="4" t="str">
        <f t="shared" si="20"/>
        <v>Yellow</v>
      </c>
      <c r="T778" s="55">
        <v>3.56</v>
      </c>
      <c r="U778" s="55">
        <v>6.8</v>
      </c>
      <c r="V778" s="55">
        <v>0</v>
      </c>
      <c r="W778" s="55">
        <v>6.9</v>
      </c>
      <c r="X778" s="55">
        <v>0</v>
      </c>
      <c r="Y778" s="55">
        <v>0</v>
      </c>
      <c r="Z778" s="55">
        <v>0</v>
      </c>
      <c r="AA778" s="55">
        <v>3.8</v>
      </c>
      <c r="AB778" s="55">
        <v>4.5</v>
      </c>
      <c r="AC778" s="55">
        <v>3.76</v>
      </c>
      <c r="AD778" s="55">
        <v>3.76</v>
      </c>
      <c r="AE778" s="55">
        <v>4.2</v>
      </c>
      <c r="AF778" s="55">
        <v>3.95</v>
      </c>
      <c r="AG778" s="55">
        <v>3.9</v>
      </c>
      <c r="AH778" s="55">
        <v>0</v>
      </c>
      <c r="AI778" s="55">
        <v>4.55</v>
      </c>
      <c r="AJ778" s="55">
        <v>0</v>
      </c>
      <c r="AK778" s="55">
        <v>3.53</v>
      </c>
      <c r="AL778" s="55">
        <v>0</v>
      </c>
      <c r="AM778" s="55">
        <v>5.24</v>
      </c>
      <c r="AN778" s="55">
        <v>3.96</v>
      </c>
      <c r="AO778" s="55">
        <v>4.13</v>
      </c>
      <c r="AP778" s="55">
        <v>5.39</v>
      </c>
      <c r="AQ778" s="55">
        <v>0</v>
      </c>
      <c r="AR778" s="8">
        <v>0</v>
      </c>
      <c r="AS778" s="8">
        <v>0</v>
      </c>
      <c r="AT778" s="8">
        <v>0</v>
      </c>
      <c r="AU778" s="50">
        <v>0</v>
      </c>
      <c r="AV778" s="50">
        <v>3.82</v>
      </c>
      <c r="AW778" s="50">
        <v>0</v>
      </c>
      <c r="AX778" s="50">
        <v>0</v>
      </c>
      <c r="AY778" s="50">
        <v>0</v>
      </c>
      <c r="AZ778" s="50">
        <v>0</v>
      </c>
      <c r="BA778" s="50">
        <v>0</v>
      </c>
      <c r="BB778" s="50">
        <v>0</v>
      </c>
      <c r="BC778" s="55">
        <v>5.6</v>
      </c>
      <c r="BD778" s="55">
        <v>0</v>
      </c>
      <c r="BE778" s="11">
        <v>0</v>
      </c>
      <c r="BF778" s="4">
        <v>5.6130000000000004</v>
      </c>
      <c r="BG778" s="4">
        <v>6.8440000000000003</v>
      </c>
      <c r="BH778" s="4">
        <v>4.9489999999999998</v>
      </c>
      <c r="BI778" s="4">
        <v>4.8650000000000002</v>
      </c>
      <c r="BJ778" s="13">
        <v>0</v>
      </c>
      <c r="BK778" s="13">
        <v>0</v>
      </c>
      <c r="BL778" s="4">
        <v>5.399</v>
      </c>
      <c r="BM778" s="16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55">
        <v>0</v>
      </c>
      <c r="CA778" s="55">
        <v>0</v>
      </c>
      <c r="CB778" s="55">
        <v>0</v>
      </c>
      <c r="CC778" s="55">
        <v>0</v>
      </c>
      <c r="CD778" s="55">
        <v>0</v>
      </c>
      <c r="CE778" s="19">
        <v>5.8</v>
      </c>
      <c r="CF778" s="19">
        <v>0</v>
      </c>
      <c r="CG778" s="4">
        <v>0</v>
      </c>
      <c r="CH778" s="4">
        <v>6.18</v>
      </c>
      <c r="CI778" s="4">
        <v>0</v>
      </c>
      <c r="CJ778" s="34">
        <v>0</v>
      </c>
      <c r="CK778" s="34">
        <v>0</v>
      </c>
      <c r="CL778" s="34">
        <v>0</v>
      </c>
      <c r="CM778" s="4">
        <v>0</v>
      </c>
      <c r="CN778" s="53">
        <v>0</v>
      </c>
      <c r="CO778" s="54">
        <v>0</v>
      </c>
      <c r="CP778" s="54">
        <v>0</v>
      </c>
      <c r="CQ778" s="4">
        <v>0</v>
      </c>
    </row>
    <row r="779" spans="1:95" s="55" customFormat="1" x14ac:dyDescent="0.35">
      <c r="A779" s="55">
        <v>778</v>
      </c>
      <c r="B779" s="55" t="s">
        <v>105</v>
      </c>
      <c r="C779" s="27" t="s">
        <v>527</v>
      </c>
      <c r="D779" s="50" t="s">
        <v>94</v>
      </c>
      <c r="E779" s="33" t="s">
        <v>91</v>
      </c>
      <c r="F779" s="4">
        <f>IFERROR(AVERAGEIF(Table1[[#This Row],[2019-Apr]:[2025-July]],"&lt;&gt;0"),0)</f>
        <v>5.6013000000000002</v>
      </c>
      <c r="G779" s="4">
        <f ca="1">IFERROR(AVERAGEIF(OFFSET(Table1[[#This Row],[Status]],0,COUNT(Table1[[#This Row],[2019-May]:[2025-July]]),1,-12),"&lt;&gt;0"),0)</f>
        <v>5.9450000000000003</v>
      </c>
      <c r="H779" s="55">
        <f>IFERROR(SMALL(Table1[[#This Row],[2019-Apr]:[2025-July]],COUNTIF(Table1[[#This Row],[2019-Apr]:[2025-July]],0)+1),0)</f>
        <v>4.16</v>
      </c>
      <c r="I779" s="55">
        <f>IFERROR(MAX(Table1[[#This Row],[2019-Apr]:[2025-July]]),0)</f>
        <v>7.4</v>
      </c>
      <c r="J779" s="4" cm="1">
        <f t="array" ref="J77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4.6399999999999997</v>
      </c>
      <c r="K779" s="4">
        <v>4.5</v>
      </c>
      <c r="L779" s="4">
        <f>IF(Table1[[#This Row],[Standard as per ISO]]&gt;=Table1[[#This Row],[Avg of best 6]],Table1[[#This Row],[Standard as per ISO]],Table1[[#This Row],[Avg of best 6]])</f>
        <v>4.6399999999999997</v>
      </c>
      <c r="M779" s="4" cm="1">
        <f t="array" ref="M779">IFERROR(LOOKUP(2,1/(Table1[[#This Row],[2019-May]:[2025-July]]&lt;&gt;0),Table1[[#This Row],[2019-May]:[2025-July]]),0)</f>
        <v>7.39</v>
      </c>
      <c r="N779" s="4">
        <f>COUNTIF(Table1[[#This Row],[2019-Apr]:[2025-July]],"&gt;="&amp;Table1[[#This Row],[Target]])</f>
        <v>16</v>
      </c>
      <c r="O779" s="4">
        <f>IF(Table1[[#This Row],[Outliers 2Y]]=0,1,0)</f>
        <v>0</v>
      </c>
      <c r="P779" s="4">
        <f>IF(Table1[[#This Row],[Last value]]&gt;1.5*Table1[[#This Row],[Target]],1,0)</f>
        <v>1</v>
      </c>
      <c r="Q779" s="4">
        <f>IF(AND(1.5*Table1[[#This Row],[Target]]&gt;=Table1[[#This Row],[Last value]],Table1[[#This Row],[Last value]]&gt;Table1[[#This Row],[Target]]),1,0)</f>
        <v>0</v>
      </c>
      <c r="R779" s="4">
        <f>IF(Table1[[#This Row],[Target]]&gt;=Table1[[#This Row],[Last value]],1,0)</f>
        <v>0</v>
      </c>
      <c r="S779" s="4" t="str">
        <f t="shared" si="20"/>
        <v>Red</v>
      </c>
      <c r="T779" s="55">
        <v>4.9400000000000004</v>
      </c>
      <c r="U779" s="55">
        <v>0</v>
      </c>
      <c r="V779" s="55">
        <v>4.49</v>
      </c>
      <c r="W779" s="55">
        <v>6.1429999999999998</v>
      </c>
      <c r="X779" s="55">
        <v>0</v>
      </c>
      <c r="Y779" s="55">
        <v>5.6</v>
      </c>
      <c r="Z779" s="55">
        <v>0</v>
      </c>
      <c r="AA779" s="55">
        <v>0</v>
      </c>
      <c r="AB779" s="55">
        <v>0</v>
      </c>
      <c r="AC779" s="55">
        <v>0</v>
      </c>
      <c r="AD779" s="55">
        <v>0</v>
      </c>
      <c r="AE779" s="55">
        <v>0</v>
      </c>
      <c r="AF779" s="55">
        <v>7.4</v>
      </c>
      <c r="AG779" s="55">
        <v>0</v>
      </c>
      <c r="AH779" s="55">
        <v>0</v>
      </c>
      <c r="AI779" s="55">
        <v>5.33</v>
      </c>
      <c r="AJ779" s="55">
        <v>0</v>
      </c>
      <c r="AK779" s="55">
        <v>0</v>
      </c>
      <c r="AL779" s="55">
        <v>4.16</v>
      </c>
      <c r="AM779" s="55">
        <v>0</v>
      </c>
      <c r="AN779" s="55">
        <v>0</v>
      </c>
      <c r="AO779" s="55">
        <v>0</v>
      </c>
      <c r="AP779" s="55">
        <v>0</v>
      </c>
      <c r="AQ779" s="55">
        <v>0</v>
      </c>
      <c r="AR779" s="8">
        <v>5.21</v>
      </c>
      <c r="AS779" s="8">
        <v>6.2</v>
      </c>
      <c r="AT779" s="8">
        <v>6.65</v>
      </c>
      <c r="AU779" s="50">
        <v>6.65</v>
      </c>
      <c r="AV779" s="50">
        <v>0</v>
      </c>
      <c r="AW779" s="50">
        <v>0</v>
      </c>
      <c r="AX779" s="50">
        <v>0</v>
      </c>
      <c r="AY779" s="50">
        <v>0</v>
      </c>
      <c r="AZ779" s="50">
        <v>0</v>
      </c>
      <c r="BA779" s="50">
        <v>0</v>
      </c>
      <c r="BB779" s="50">
        <v>4.5999999999999996</v>
      </c>
      <c r="BC779" s="55">
        <v>5.4</v>
      </c>
      <c r="BD779" s="55">
        <v>0</v>
      </c>
      <c r="BE779" s="11">
        <v>0</v>
      </c>
      <c r="BF779" s="4">
        <v>5.4880000000000004</v>
      </c>
      <c r="BG779" s="4">
        <v>5.3659999999999997</v>
      </c>
      <c r="BH779" s="4">
        <v>0</v>
      </c>
      <c r="BI779" s="4">
        <v>4.88</v>
      </c>
      <c r="BJ779" s="14">
        <v>0</v>
      </c>
      <c r="BK779" s="14">
        <v>0</v>
      </c>
      <c r="BL779" s="4">
        <v>0</v>
      </c>
      <c r="BM779" s="17">
        <v>0</v>
      </c>
      <c r="BN779" s="4">
        <v>0</v>
      </c>
      <c r="BO779" s="4">
        <v>0</v>
      </c>
      <c r="BP779" s="4">
        <v>6.0279999999999996</v>
      </c>
      <c r="BQ779" s="4">
        <v>0</v>
      </c>
      <c r="BR779" s="4">
        <v>0</v>
      </c>
      <c r="BS779" s="4">
        <v>5.601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55">
        <v>0</v>
      </c>
      <c r="CA779" s="55">
        <v>0</v>
      </c>
      <c r="CB779" s="55">
        <v>0</v>
      </c>
      <c r="CC779" s="55">
        <v>0</v>
      </c>
      <c r="CD779" s="55">
        <v>0</v>
      </c>
      <c r="CE779" s="19">
        <v>4.5</v>
      </c>
      <c r="CF779" s="19">
        <v>0</v>
      </c>
      <c r="CG779" s="4">
        <v>0</v>
      </c>
      <c r="CH779" s="4">
        <v>7.39</v>
      </c>
      <c r="CI779" s="4">
        <v>0</v>
      </c>
      <c r="CJ779" s="34">
        <v>0</v>
      </c>
      <c r="CK779" s="34">
        <v>0</v>
      </c>
      <c r="CL779" s="34">
        <v>0</v>
      </c>
      <c r="CM779" s="4">
        <v>0</v>
      </c>
      <c r="CN779" s="53">
        <v>0</v>
      </c>
      <c r="CO779" s="54">
        <v>0</v>
      </c>
      <c r="CP779" s="54">
        <v>0</v>
      </c>
      <c r="CQ779" s="4">
        <v>0</v>
      </c>
    </row>
    <row r="780" spans="1:95" s="55" customFormat="1" x14ac:dyDescent="0.35">
      <c r="A780" s="55">
        <v>779</v>
      </c>
      <c r="B780" s="55" t="s">
        <v>105</v>
      </c>
      <c r="C780" s="27" t="s">
        <v>528</v>
      </c>
      <c r="D780" s="50" t="s">
        <v>94</v>
      </c>
      <c r="E780" s="33" t="s">
        <v>91</v>
      </c>
      <c r="F780" s="4">
        <f>IFERROR(AVERAGEIF(Table1[[#This Row],[2019-Apr]:[2025-July]],"&lt;&gt;0"),0)</f>
        <v>4.319233333333333</v>
      </c>
      <c r="G780" s="4">
        <f ca="1">IFERROR(AVERAGEIF(OFFSET(Table1[[#This Row],[Status]],0,COUNT(Table1[[#This Row],[2019-May]:[2025-July]]),1,-12),"&lt;&gt;0"),0)</f>
        <v>4.8149999999999995</v>
      </c>
      <c r="H780" s="55">
        <f>IFERROR(SMALL(Table1[[#This Row],[2019-Apr]:[2025-July]],COUNTIF(Table1[[#This Row],[2019-Apr]:[2025-July]],0)+1),0)</f>
        <v>3.28</v>
      </c>
      <c r="I780" s="55">
        <f>IFERROR(MAX(Table1[[#This Row],[2019-Apr]:[2025-July]]),0)</f>
        <v>5.72</v>
      </c>
      <c r="J780" s="4" cm="1">
        <f t="array" ref="J78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3.6283333333333339</v>
      </c>
      <c r="K780" s="4">
        <v>4.5</v>
      </c>
      <c r="L780" s="4">
        <f>IF(Table1[[#This Row],[Standard as per ISO]]&gt;=Table1[[#This Row],[Avg of best 6]],Table1[[#This Row],[Standard as per ISO]],Table1[[#This Row],[Avg of best 6]])</f>
        <v>4.5</v>
      </c>
      <c r="M780" s="4" cm="1">
        <f t="array" ref="M780">IFERROR(LOOKUP(2,1/(Table1[[#This Row],[2019-May]:[2025-July]]&lt;&gt;0),Table1[[#This Row],[2019-May]:[2025-July]]),0)</f>
        <v>5.72</v>
      </c>
      <c r="N780" s="4">
        <f>COUNTIF(Table1[[#This Row],[2019-Apr]:[2025-July]],"&gt;="&amp;Table1[[#This Row],[Target]])</f>
        <v>12</v>
      </c>
      <c r="O780" s="4">
        <f>IF(Table1[[#This Row],[Outliers 2Y]]=0,1,0)</f>
        <v>0</v>
      </c>
      <c r="P780" s="4">
        <f>IF(Table1[[#This Row],[Last value]]&gt;1.5*Table1[[#This Row],[Target]],1,0)</f>
        <v>0</v>
      </c>
      <c r="Q780" s="4">
        <f>IF(AND(1.5*Table1[[#This Row],[Target]]&gt;=Table1[[#This Row],[Last value]],Table1[[#This Row],[Last value]]&gt;Table1[[#This Row],[Target]]),1,0)</f>
        <v>1</v>
      </c>
      <c r="R780" s="4">
        <f>IF(Table1[[#This Row],[Target]]&gt;=Table1[[#This Row],[Last value]],1,0)</f>
        <v>0</v>
      </c>
      <c r="S780" s="4" t="str">
        <f t="shared" si="20"/>
        <v>Yellow</v>
      </c>
      <c r="T780" s="55">
        <v>3.59</v>
      </c>
      <c r="U780" s="55">
        <v>0</v>
      </c>
      <c r="V780" s="55">
        <v>0</v>
      </c>
      <c r="W780" s="55">
        <v>0</v>
      </c>
      <c r="X780" s="55">
        <v>0</v>
      </c>
      <c r="Y780" s="55">
        <v>0</v>
      </c>
      <c r="Z780" s="55">
        <v>3.8</v>
      </c>
      <c r="AA780" s="55">
        <v>0</v>
      </c>
      <c r="AB780" s="55">
        <v>3.28</v>
      </c>
      <c r="AC780" s="55">
        <v>4.6100000000000003</v>
      </c>
      <c r="AD780" s="55">
        <v>0</v>
      </c>
      <c r="AE780" s="55">
        <v>3.7</v>
      </c>
      <c r="AF780" s="55">
        <v>3.75</v>
      </c>
      <c r="AG780" s="55">
        <v>0</v>
      </c>
      <c r="AH780" s="55">
        <v>3.8</v>
      </c>
      <c r="AI780" s="55">
        <v>0</v>
      </c>
      <c r="AJ780" s="55">
        <v>4.0599999999999996</v>
      </c>
      <c r="AK780" s="55">
        <v>4.97</v>
      </c>
      <c r="AL780" s="55">
        <v>0</v>
      </c>
      <c r="AM780" s="55">
        <v>4.34</v>
      </c>
      <c r="AN780" s="55">
        <v>3.62</v>
      </c>
      <c r="AO780" s="55">
        <v>3.71</v>
      </c>
      <c r="AP780" s="55">
        <v>4.01</v>
      </c>
      <c r="AQ780" s="55">
        <v>4.7</v>
      </c>
      <c r="AR780" s="8">
        <v>4.3600000000000003</v>
      </c>
      <c r="AS780" s="8">
        <v>0</v>
      </c>
      <c r="AT780" s="8">
        <v>4.26</v>
      </c>
      <c r="AU780" s="50">
        <v>3.71</v>
      </c>
      <c r="AV780" s="50">
        <v>4.84</v>
      </c>
      <c r="AW780" s="50">
        <v>5.24</v>
      </c>
      <c r="AX780" s="50">
        <v>0</v>
      </c>
      <c r="AY780" s="50">
        <v>4.0599999999999996</v>
      </c>
      <c r="AZ780" s="50">
        <v>4.5</v>
      </c>
      <c r="BA780" s="50">
        <v>4</v>
      </c>
      <c r="BB780" s="50">
        <v>4.4000000000000004</v>
      </c>
      <c r="BC780" s="50">
        <v>0</v>
      </c>
      <c r="BD780" s="55">
        <v>0</v>
      </c>
      <c r="BE780" s="11">
        <v>4.5339999999999998</v>
      </c>
      <c r="BF780" s="4">
        <v>4.8499999999999996</v>
      </c>
      <c r="BG780" s="4">
        <v>0</v>
      </c>
      <c r="BH780" s="4">
        <v>0</v>
      </c>
      <c r="BI780" s="4">
        <v>0</v>
      </c>
      <c r="BJ780" s="13">
        <v>0</v>
      </c>
      <c r="BK780" s="13">
        <v>0</v>
      </c>
      <c r="BL780" s="4">
        <v>5.5380000000000003</v>
      </c>
      <c r="BM780" s="16">
        <v>0</v>
      </c>
      <c r="BN780" s="4">
        <v>0</v>
      </c>
      <c r="BO780" s="4">
        <v>0</v>
      </c>
      <c r="BP780" s="4">
        <v>4.8380000000000001</v>
      </c>
      <c r="BQ780" s="4">
        <v>0</v>
      </c>
      <c r="BR780" s="4">
        <v>0</v>
      </c>
      <c r="BS780" s="4">
        <v>4.8769999999999998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55">
        <v>0</v>
      </c>
      <c r="CA780" s="55">
        <v>0</v>
      </c>
      <c r="CB780" s="55">
        <v>0</v>
      </c>
      <c r="CC780" s="55">
        <v>0</v>
      </c>
      <c r="CD780" s="55">
        <v>0</v>
      </c>
      <c r="CE780" s="19">
        <v>0</v>
      </c>
      <c r="CF780" s="19">
        <v>0</v>
      </c>
      <c r="CG780" s="4">
        <v>3.91</v>
      </c>
      <c r="CH780" s="4">
        <v>5.72</v>
      </c>
      <c r="CI780" s="4">
        <v>0</v>
      </c>
      <c r="CJ780" s="34">
        <v>0</v>
      </c>
      <c r="CK780" s="34">
        <v>0</v>
      </c>
      <c r="CL780" s="34">
        <v>0</v>
      </c>
      <c r="CM780" s="4">
        <v>0</v>
      </c>
      <c r="CN780" s="53">
        <v>0</v>
      </c>
      <c r="CO780" s="54">
        <v>0</v>
      </c>
      <c r="CP780" s="54">
        <v>0</v>
      </c>
      <c r="CQ780" s="4">
        <v>0</v>
      </c>
    </row>
    <row r="781" spans="1:95" s="55" customFormat="1" x14ac:dyDescent="0.35">
      <c r="A781" s="55">
        <v>780</v>
      </c>
      <c r="B781" s="55" t="s">
        <v>105</v>
      </c>
      <c r="C781" s="27" t="s">
        <v>529</v>
      </c>
      <c r="D781" s="50" t="s">
        <v>94</v>
      </c>
      <c r="E781" s="33" t="s">
        <v>91</v>
      </c>
      <c r="F781" s="4">
        <f>IFERROR(AVERAGEIF(Table1[[#This Row],[2019-Apr]:[2025-July]],"&lt;&gt;0"),0)</f>
        <v>5.2912812499999982</v>
      </c>
      <c r="G781" s="4">
        <f ca="1">IFERROR(AVERAGEIF(OFFSET(Table1[[#This Row],[Status]],0,COUNT(Table1[[#This Row],[2019-May]:[2025-July]]),1,-12),"&lt;&gt;0"),0)</f>
        <v>4.2</v>
      </c>
      <c r="H781" s="55">
        <f>IFERROR(SMALL(Table1[[#This Row],[2019-Apr]:[2025-July]],COUNTIF(Table1[[#This Row],[2019-Apr]:[2025-July]],0)+1),0)</f>
        <v>3.55</v>
      </c>
      <c r="I781" s="55">
        <f>IFERROR(MAX(Table1[[#This Row],[2019-Apr]:[2025-July]]),0)</f>
        <v>8.81</v>
      </c>
      <c r="J781" s="4" cm="1">
        <f t="array" ref="J78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3.8439999999999994</v>
      </c>
      <c r="K781" s="4">
        <v>4.5</v>
      </c>
      <c r="L781" s="4">
        <f>IF(Table1[[#This Row],[Standard as per ISO]]&gt;=Table1[[#This Row],[Avg of best 6]],Table1[[#This Row],[Standard as per ISO]],Table1[[#This Row],[Avg of best 6]])</f>
        <v>4.5</v>
      </c>
      <c r="M781" s="4" cm="1">
        <f t="array" ref="M781">IFERROR(LOOKUP(2,1/(Table1[[#This Row],[2019-May]:[2025-July]]&lt;&gt;0),Table1[[#This Row],[2019-May]:[2025-July]]),0)</f>
        <v>4.2</v>
      </c>
      <c r="N781" s="4">
        <f>COUNTIF(Table1[[#This Row],[2019-Apr]:[2025-July]],"&gt;="&amp;Table1[[#This Row],[Target]])</f>
        <v>20</v>
      </c>
      <c r="O781" s="4">
        <f>IF(Table1[[#This Row],[Outliers 2Y]]=0,1,0)</f>
        <v>0</v>
      </c>
      <c r="P781" s="4">
        <f>IF(Table1[[#This Row],[Last value]]&gt;1.5*Table1[[#This Row],[Target]],1,0)</f>
        <v>0</v>
      </c>
      <c r="Q781" s="4">
        <f>IF(AND(1.5*Table1[[#This Row],[Target]]&gt;=Table1[[#This Row],[Last value]],Table1[[#This Row],[Last value]]&gt;Table1[[#This Row],[Target]]),1,0)</f>
        <v>0</v>
      </c>
      <c r="R781" s="4">
        <f>IF(Table1[[#This Row],[Target]]&gt;=Table1[[#This Row],[Last value]],1,0)</f>
        <v>1</v>
      </c>
      <c r="S781" s="4" t="str">
        <f t="shared" si="20"/>
        <v>Green</v>
      </c>
      <c r="T781" s="55">
        <v>3.55</v>
      </c>
      <c r="U781" s="55">
        <v>0</v>
      </c>
      <c r="V781" s="55">
        <v>3.72</v>
      </c>
      <c r="W781" s="55">
        <v>0</v>
      </c>
      <c r="X781" s="55">
        <v>5.55</v>
      </c>
      <c r="Y781" s="55">
        <v>5.0599999999999996</v>
      </c>
      <c r="Z781" s="55">
        <v>5.0999999999999996</v>
      </c>
      <c r="AA781" s="55">
        <v>0</v>
      </c>
      <c r="AB781" s="55">
        <v>4.21</v>
      </c>
      <c r="AC781" s="55">
        <v>5.79</v>
      </c>
      <c r="AD781" s="55">
        <v>4.5999999999999996</v>
      </c>
      <c r="AE781" s="55">
        <v>7.4</v>
      </c>
      <c r="AF781" s="55">
        <v>0</v>
      </c>
      <c r="AG781" s="55">
        <v>4.4000000000000004</v>
      </c>
      <c r="AH781" s="55">
        <v>0</v>
      </c>
      <c r="AI781" s="55">
        <v>0</v>
      </c>
      <c r="AJ781" s="55">
        <v>0</v>
      </c>
      <c r="AK781" s="55">
        <v>0</v>
      </c>
      <c r="AL781" s="55">
        <v>8.81</v>
      </c>
      <c r="AM781" s="55">
        <v>0</v>
      </c>
      <c r="AN781" s="55">
        <v>0</v>
      </c>
      <c r="AO781" s="55">
        <v>0</v>
      </c>
      <c r="AP781" s="55">
        <v>0</v>
      </c>
      <c r="AQ781" s="55">
        <v>7.18</v>
      </c>
      <c r="AR781" s="8">
        <v>0</v>
      </c>
      <c r="AS781" s="8">
        <v>6.94</v>
      </c>
      <c r="AT781" s="8">
        <v>7.57</v>
      </c>
      <c r="AU781" s="50">
        <v>6.67</v>
      </c>
      <c r="AV781" s="50">
        <v>6.61</v>
      </c>
      <c r="AW781" s="50">
        <v>4.5</v>
      </c>
      <c r="AX781" s="50">
        <v>4.47</v>
      </c>
      <c r="AY781" s="50">
        <v>4.22</v>
      </c>
      <c r="AZ781" s="50">
        <v>0</v>
      </c>
      <c r="BA781" s="50">
        <v>5.4</v>
      </c>
      <c r="BB781" s="50">
        <v>5.0999999999999996</v>
      </c>
      <c r="BC781" s="55">
        <v>5.0999999999999996</v>
      </c>
      <c r="BD781" s="55">
        <v>0</v>
      </c>
      <c r="BE781" s="11">
        <v>5.9429999999999996</v>
      </c>
      <c r="BF781" s="4">
        <v>5.9189999999999996</v>
      </c>
      <c r="BG781" s="4">
        <v>6.06</v>
      </c>
      <c r="BH781" s="4">
        <v>5.7949999999999999</v>
      </c>
      <c r="BI781" s="4">
        <v>4.3099999999999996</v>
      </c>
      <c r="BJ781" s="14">
        <v>0</v>
      </c>
      <c r="BK781" s="14">
        <v>0</v>
      </c>
      <c r="BL781" s="4">
        <v>3.8140000000000001</v>
      </c>
      <c r="BM781" s="17">
        <v>0</v>
      </c>
      <c r="BN781" s="4">
        <v>0</v>
      </c>
      <c r="BO781" s="4">
        <v>0</v>
      </c>
      <c r="BP781" s="4">
        <v>3.8159999999999998</v>
      </c>
      <c r="BQ781" s="4">
        <v>0</v>
      </c>
      <c r="BR781" s="4">
        <v>0</v>
      </c>
      <c r="BS781" s="4">
        <v>3.5939999999999999</v>
      </c>
      <c r="BT781" s="4">
        <v>0</v>
      </c>
      <c r="BU781" s="4">
        <v>0</v>
      </c>
      <c r="BV781" s="4">
        <v>0</v>
      </c>
      <c r="BW781" s="4">
        <v>3.92</v>
      </c>
      <c r="BX781" s="4">
        <v>0</v>
      </c>
      <c r="BY781" s="4">
        <v>0</v>
      </c>
      <c r="BZ781" s="55">
        <v>0</v>
      </c>
      <c r="CA781" s="55">
        <v>0</v>
      </c>
      <c r="CB781" s="55">
        <v>0</v>
      </c>
      <c r="CC781" s="55">
        <v>0</v>
      </c>
      <c r="CD781" s="55">
        <v>0</v>
      </c>
      <c r="CE781" s="19">
        <v>4.2</v>
      </c>
      <c r="CF781" s="19">
        <v>0</v>
      </c>
      <c r="CG781" s="4">
        <v>0</v>
      </c>
      <c r="CH781" s="4">
        <v>0</v>
      </c>
      <c r="CI781" s="4">
        <v>0</v>
      </c>
      <c r="CJ781" s="34">
        <v>0</v>
      </c>
      <c r="CK781" s="34">
        <v>0</v>
      </c>
      <c r="CL781" s="34">
        <v>0</v>
      </c>
      <c r="CM781" s="4">
        <v>0</v>
      </c>
      <c r="CN781" s="53">
        <v>0</v>
      </c>
      <c r="CO781" s="54">
        <v>0</v>
      </c>
      <c r="CP781" s="54">
        <v>0</v>
      </c>
      <c r="CQ781" s="4">
        <v>0</v>
      </c>
    </row>
    <row r="782" spans="1:95" s="55" customFormat="1" x14ac:dyDescent="0.35">
      <c r="A782" s="55">
        <v>781</v>
      </c>
      <c r="B782" s="55" t="s">
        <v>105</v>
      </c>
      <c r="C782" s="27" t="s">
        <v>530</v>
      </c>
      <c r="D782" s="50" t="s">
        <v>94</v>
      </c>
      <c r="E782" s="33" t="s">
        <v>91</v>
      </c>
      <c r="F782" s="4">
        <f>IFERROR(AVERAGEIF(Table1[[#This Row],[2019-Apr]:[2025-July]],"&lt;&gt;0"),0)</f>
        <v>4.1138857142857139</v>
      </c>
      <c r="G782" s="4">
        <f ca="1">IFERROR(AVERAGEIF(OFFSET(Table1[[#This Row],[Status]],0,COUNT(Table1[[#This Row],[2019-May]:[2025-July]]),1,-12),"&lt;&gt;0"),0)</f>
        <v>5.8</v>
      </c>
      <c r="H782" s="55">
        <f>IFERROR(SMALL(Table1[[#This Row],[2019-Apr]:[2025-July]],COUNTIF(Table1[[#This Row],[2019-Apr]:[2025-July]],0)+1),0)</f>
        <v>3.11</v>
      </c>
      <c r="I782" s="55">
        <f>IFERROR(MAX(Table1[[#This Row],[2019-Apr]:[2025-July]]),0)</f>
        <v>5.8</v>
      </c>
      <c r="J782" s="4" cm="1">
        <f t="array" ref="J78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3.3583333333333329</v>
      </c>
      <c r="K782" s="4">
        <v>4.5</v>
      </c>
      <c r="L782" s="4">
        <f>IF(Table1[[#This Row],[Standard as per ISO]]&gt;=Table1[[#This Row],[Avg of best 6]],Table1[[#This Row],[Standard as per ISO]],Table1[[#This Row],[Avg of best 6]])</f>
        <v>4.5</v>
      </c>
      <c r="M782" s="4" cm="1">
        <f t="array" ref="M782">IFERROR(LOOKUP(2,1/(Table1[[#This Row],[2019-May]:[2025-July]]&lt;&gt;0),Table1[[#This Row],[2019-May]:[2025-July]]),0)</f>
        <v>5.8</v>
      </c>
      <c r="N782" s="4">
        <f>COUNTIF(Table1[[#This Row],[2019-Apr]:[2025-July]],"&gt;="&amp;Table1[[#This Row],[Target]])</f>
        <v>10</v>
      </c>
      <c r="O782" s="4">
        <f>IF(Table1[[#This Row],[Outliers 2Y]]=0,1,0)</f>
        <v>0</v>
      </c>
      <c r="P782" s="4">
        <f>IF(Table1[[#This Row],[Last value]]&gt;1.5*Table1[[#This Row],[Target]],1,0)</f>
        <v>0</v>
      </c>
      <c r="Q782" s="4">
        <f>IF(AND(1.5*Table1[[#This Row],[Target]]&gt;=Table1[[#This Row],[Last value]],Table1[[#This Row],[Last value]]&gt;Table1[[#This Row],[Target]]),1,0)</f>
        <v>1</v>
      </c>
      <c r="R782" s="4">
        <f>IF(Table1[[#This Row],[Target]]&gt;=Table1[[#This Row],[Last value]],1,0)</f>
        <v>0</v>
      </c>
      <c r="S782" s="4" t="str">
        <f t="shared" si="20"/>
        <v>Yellow</v>
      </c>
      <c r="T782" s="55">
        <v>0</v>
      </c>
      <c r="U782" s="55">
        <v>4.42</v>
      </c>
      <c r="V782" s="55">
        <v>4.4000000000000004</v>
      </c>
      <c r="W782" s="55">
        <v>4.28</v>
      </c>
      <c r="X782" s="55">
        <v>0</v>
      </c>
      <c r="Y782" s="55">
        <v>4.59</v>
      </c>
      <c r="Z782" s="55">
        <v>3.47</v>
      </c>
      <c r="AA782" s="55">
        <v>4.9000000000000004</v>
      </c>
      <c r="AB782" s="55">
        <v>0</v>
      </c>
      <c r="AC782" s="55">
        <v>3.3</v>
      </c>
      <c r="AD782" s="55">
        <v>4.63</v>
      </c>
      <c r="AE782" s="55">
        <v>4.5</v>
      </c>
      <c r="AF782" s="55">
        <v>3.97</v>
      </c>
      <c r="AG782" s="55">
        <v>4.3</v>
      </c>
      <c r="AH782" s="55">
        <v>0</v>
      </c>
      <c r="AI782" s="55">
        <v>0</v>
      </c>
      <c r="AJ782" s="55">
        <v>0</v>
      </c>
      <c r="AK782" s="55">
        <v>3.93</v>
      </c>
      <c r="AL782" s="55">
        <v>3.94</v>
      </c>
      <c r="AM782" s="55">
        <v>3.49</v>
      </c>
      <c r="AN782" s="55">
        <v>3.72</v>
      </c>
      <c r="AO782" s="55">
        <v>3.51</v>
      </c>
      <c r="AP782" s="55">
        <v>3.91</v>
      </c>
      <c r="AQ782" s="55">
        <v>3.66</v>
      </c>
      <c r="AR782" s="8">
        <v>3.27</v>
      </c>
      <c r="AS782" s="8">
        <v>3.83</v>
      </c>
      <c r="AT782" s="8">
        <v>3.7</v>
      </c>
      <c r="AU782" s="50">
        <v>3.11</v>
      </c>
      <c r="AV782" s="50">
        <v>0</v>
      </c>
      <c r="AW782" s="50">
        <v>3.6</v>
      </c>
      <c r="AX782" s="50">
        <v>3.89</v>
      </c>
      <c r="AY782" s="50">
        <v>3.64</v>
      </c>
      <c r="AZ782" s="50">
        <v>0</v>
      </c>
      <c r="BA782" s="50">
        <v>3.6</v>
      </c>
      <c r="BB782" s="50">
        <v>3.6</v>
      </c>
      <c r="BC782" s="55">
        <v>4.8</v>
      </c>
      <c r="BD782" s="55">
        <v>0</v>
      </c>
      <c r="BE782" s="11">
        <v>4.76</v>
      </c>
      <c r="BF782" s="4">
        <v>4.4000000000000004</v>
      </c>
      <c r="BG782" s="4">
        <v>0</v>
      </c>
      <c r="BH782" s="4">
        <v>0</v>
      </c>
      <c r="BI782" s="4">
        <v>3.7370000000000001</v>
      </c>
      <c r="BJ782" s="13">
        <v>0</v>
      </c>
      <c r="BK782" s="13">
        <v>0</v>
      </c>
      <c r="BL782" s="4">
        <v>0</v>
      </c>
      <c r="BM782" s="16">
        <v>0</v>
      </c>
      <c r="BN782" s="4">
        <v>0</v>
      </c>
      <c r="BO782" s="4">
        <v>0</v>
      </c>
      <c r="BP782" s="4">
        <v>5.2469999999999999</v>
      </c>
      <c r="BQ782" s="4">
        <v>0</v>
      </c>
      <c r="BR782" s="4">
        <v>0</v>
      </c>
      <c r="BS782" s="4">
        <v>5.0419999999999998</v>
      </c>
      <c r="BT782" s="4">
        <v>0</v>
      </c>
      <c r="BU782" s="4">
        <v>0</v>
      </c>
      <c r="BV782" s="4">
        <v>0</v>
      </c>
      <c r="BW782" s="4">
        <v>5.04</v>
      </c>
      <c r="BX782" s="4">
        <v>0</v>
      </c>
      <c r="BY782" s="4">
        <v>0</v>
      </c>
      <c r="BZ782" s="55">
        <v>0</v>
      </c>
      <c r="CA782" s="55">
        <v>0</v>
      </c>
      <c r="CB782" s="55">
        <v>0</v>
      </c>
      <c r="CC782" s="55">
        <v>0</v>
      </c>
      <c r="CD782" s="55">
        <v>0</v>
      </c>
      <c r="CE782" s="19">
        <v>5.8</v>
      </c>
      <c r="CF782" s="19">
        <v>0</v>
      </c>
      <c r="CG782" s="4">
        <v>0</v>
      </c>
      <c r="CH782" s="4">
        <v>0</v>
      </c>
      <c r="CI782" s="4">
        <v>0</v>
      </c>
      <c r="CJ782" s="34">
        <v>0</v>
      </c>
      <c r="CK782" s="34">
        <v>0</v>
      </c>
      <c r="CL782" s="34">
        <v>0</v>
      </c>
      <c r="CM782" s="4">
        <v>0</v>
      </c>
      <c r="CN782" s="53">
        <v>0</v>
      </c>
      <c r="CO782" s="54">
        <v>0</v>
      </c>
      <c r="CP782" s="54">
        <v>0</v>
      </c>
      <c r="CQ782" s="4">
        <v>0</v>
      </c>
    </row>
    <row r="783" spans="1:95" s="55" customFormat="1" x14ac:dyDescent="0.35">
      <c r="A783" s="55">
        <v>782</v>
      </c>
      <c r="B783" s="55" t="s">
        <v>105</v>
      </c>
      <c r="C783" s="27" t="s">
        <v>531</v>
      </c>
      <c r="D783" s="50" t="s">
        <v>94</v>
      </c>
      <c r="E783" s="33" t="s">
        <v>91</v>
      </c>
      <c r="F783" s="4">
        <f>IFERROR(AVERAGEIF(Table1[[#This Row],[2019-Apr]:[2025-July]],"&lt;&gt;0"),0)</f>
        <v>5.1994999999999996</v>
      </c>
      <c r="G783" s="4">
        <f ca="1">IFERROR(AVERAGEIF(OFFSET(Table1[[#This Row],[Status]],0,COUNT(Table1[[#This Row],[2019-May]:[2025-July]]),1,-12),"&lt;&gt;0"),0)</f>
        <v>5.4</v>
      </c>
      <c r="H783" s="55">
        <f>IFERROR(SMALL(Table1[[#This Row],[2019-Apr]:[2025-July]],COUNTIF(Table1[[#This Row],[2019-Apr]:[2025-July]],0)+1),0)</f>
        <v>3.605</v>
      </c>
      <c r="I783" s="55">
        <f>IFERROR(MAX(Table1[[#This Row],[2019-Apr]:[2025-July]]),0)</f>
        <v>9.82</v>
      </c>
      <c r="J783" s="4" cm="1">
        <f t="array" ref="J78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4.0728333333333335</v>
      </c>
      <c r="K783" s="4">
        <v>4.5</v>
      </c>
      <c r="L783" s="4">
        <f>IF(Table1[[#This Row],[Standard as per ISO]]&gt;=Table1[[#This Row],[Avg of best 6]],Table1[[#This Row],[Standard as per ISO]],Table1[[#This Row],[Avg of best 6]])</f>
        <v>4.5</v>
      </c>
      <c r="M783" s="4" cm="1">
        <f t="array" ref="M783">IFERROR(LOOKUP(2,1/(Table1[[#This Row],[2019-May]:[2025-July]]&lt;&gt;0),Table1[[#This Row],[2019-May]:[2025-July]]),0)</f>
        <v>5.4</v>
      </c>
      <c r="N783" s="4">
        <f>COUNTIF(Table1[[#This Row],[2019-Apr]:[2025-July]],"&gt;="&amp;Table1[[#This Row],[Target]])</f>
        <v>14</v>
      </c>
      <c r="O783" s="4">
        <f>IF(Table1[[#This Row],[Outliers 2Y]]=0,1,0)</f>
        <v>0</v>
      </c>
      <c r="P783" s="4">
        <f>IF(Table1[[#This Row],[Last value]]&gt;1.5*Table1[[#This Row],[Target]],1,0)</f>
        <v>0</v>
      </c>
      <c r="Q783" s="4">
        <f>IF(AND(1.5*Table1[[#This Row],[Target]]&gt;=Table1[[#This Row],[Last value]],Table1[[#This Row],[Last value]]&gt;Table1[[#This Row],[Target]]),1,0)</f>
        <v>1</v>
      </c>
      <c r="R783" s="4">
        <f>IF(Table1[[#This Row],[Target]]&gt;=Table1[[#This Row],[Last value]],1,0)</f>
        <v>0</v>
      </c>
      <c r="S783" s="4" t="str">
        <f t="shared" si="20"/>
        <v>Yellow</v>
      </c>
      <c r="T783" s="55">
        <v>4.7699999999999996</v>
      </c>
      <c r="U783" s="55">
        <v>4.3899999999999997</v>
      </c>
      <c r="V783" s="55">
        <v>5.0199999999999996</v>
      </c>
      <c r="W783" s="55">
        <v>4.5</v>
      </c>
      <c r="X783" s="55">
        <v>0</v>
      </c>
      <c r="Y783" s="55">
        <v>4.9000000000000004</v>
      </c>
      <c r="Z783" s="55">
        <v>0</v>
      </c>
      <c r="AA783" s="55">
        <v>6.4</v>
      </c>
      <c r="AB783" s="55">
        <v>8.8000000000000007</v>
      </c>
      <c r="AC783" s="55">
        <v>9.82</v>
      </c>
      <c r="AD783" s="55">
        <v>0</v>
      </c>
      <c r="AE783" s="55">
        <v>0</v>
      </c>
      <c r="AF783" s="55">
        <v>0</v>
      </c>
      <c r="AG783" s="55">
        <v>0</v>
      </c>
      <c r="AH783" s="55">
        <v>0</v>
      </c>
      <c r="AI783" s="55">
        <v>0</v>
      </c>
      <c r="AJ783" s="55">
        <v>0</v>
      </c>
      <c r="AK783" s="55">
        <v>0</v>
      </c>
      <c r="AL783" s="55">
        <v>0</v>
      </c>
      <c r="AM783" s="55">
        <v>0</v>
      </c>
      <c r="AN783" s="55">
        <v>0</v>
      </c>
      <c r="AO783" s="55">
        <v>0</v>
      </c>
      <c r="AP783" s="55">
        <v>0</v>
      </c>
      <c r="AQ783" s="55">
        <v>0</v>
      </c>
      <c r="AR783" s="8">
        <v>0</v>
      </c>
      <c r="AS783" s="8">
        <v>0</v>
      </c>
      <c r="AT783" s="8">
        <v>0</v>
      </c>
      <c r="AU783" s="50">
        <v>0</v>
      </c>
      <c r="AV783" s="50">
        <v>4.18</v>
      </c>
      <c r="AW783" s="50">
        <v>0</v>
      </c>
      <c r="AX783" s="50">
        <v>4.22</v>
      </c>
      <c r="AY783" s="50">
        <v>0</v>
      </c>
      <c r="AZ783" s="50">
        <v>0</v>
      </c>
      <c r="BA783" s="50">
        <v>0</v>
      </c>
      <c r="BB783" s="50">
        <v>5.0999999999999996</v>
      </c>
      <c r="BC783" s="55">
        <v>4.5</v>
      </c>
      <c r="BD783" s="55">
        <v>0</v>
      </c>
      <c r="BE783" s="11">
        <v>5.2370000000000001</v>
      </c>
      <c r="BF783" s="4">
        <v>5.2370000000000001</v>
      </c>
      <c r="BG783" s="4">
        <v>4.6340000000000003</v>
      </c>
      <c r="BH783" s="4">
        <v>4.0780000000000003</v>
      </c>
      <c r="BI783" s="4">
        <v>0</v>
      </c>
      <c r="BJ783" s="14">
        <v>0</v>
      </c>
      <c r="BK783" s="14">
        <v>0</v>
      </c>
      <c r="BL783" s="4">
        <v>5.2350000000000003</v>
      </c>
      <c r="BM783" s="17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3.964</v>
      </c>
      <c r="BT783" s="4">
        <v>0</v>
      </c>
      <c r="BU783" s="4">
        <v>0</v>
      </c>
      <c r="BV783" s="4">
        <v>0</v>
      </c>
      <c r="BW783" s="4">
        <v>3.605</v>
      </c>
      <c r="BX783" s="4">
        <v>0</v>
      </c>
      <c r="BY783" s="4">
        <v>0</v>
      </c>
      <c r="BZ783" s="55">
        <v>0</v>
      </c>
      <c r="CA783" s="55">
        <v>0</v>
      </c>
      <c r="CB783" s="55">
        <v>0</v>
      </c>
      <c r="CC783" s="55">
        <v>0</v>
      </c>
      <c r="CD783" s="55">
        <v>0</v>
      </c>
      <c r="CE783" s="19">
        <v>5.4</v>
      </c>
      <c r="CF783" s="19">
        <v>0</v>
      </c>
      <c r="CG783" s="4">
        <v>0</v>
      </c>
      <c r="CH783" s="4">
        <v>0</v>
      </c>
      <c r="CI783" s="4">
        <v>0</v>
      </c>
      <c r="CJ783" s="34">
        <v>0</v>
      </c>
      <c r="CK783" s="34">
        <v>0</v>
      </c>
      <c r="CL783" s="34">
        <v>0</v>
      </c>
      <c r="CM783" s="4">
        <v>0</v>
      </c>
      <c r="CN783" s="53">
        <v>0</v>
      </c>
      <c r="CO783" s="54">
        <v>0</v>
      </c>
      <c r="CP783" s="54">
        <v>0</v>
      </c>
      <c r="CQ783" s="4">
        <v>0</v>
      </c>
    </row>
    <row r="784" spans="1:95" s="55" customFormat="1" x14ac:dyDescent="0.35">
      <c r="A784" s="55">
        <v>783</v>
      </c>
      <c r="B784" s="55" t="s">
        <v>105</v>
      </c>
      <c r="C784" s="27" t="s">
        <v>532</v>
      </c>
      <c r="D784" s="50" t="s">
        <v>94</v>
      </c>
      <c r="E784" s="33" t="s">
        <v>91</v>
      </c>
      <c r="F784" s="4">
        <f>IFERROR(AVERAGEIF(Table1[[#This Row],[2019-Apr]:[2025-July]],"&lt;&gt;0"),0)</f>
        <v>3.8124333333333329</v>
      </c>
      <c r="G784" s="4">
        <f ca="1">IFERROR(AVERAGEIF(OFFSET(Table1[[#This Row],[Status]],0,COUNT(Table1[[#This Row],[2019-May]:[2025-July]]),1,-12),"&lt;&gt;0"),0)</f>
        <v>6.1899999999999995</v>
      </c>
      <c r="H784" s="55">
        <f>IFERROR(SMALL(Table1[[#This Row],[2019-Apr]:[2025-July]],COUNTIF(Table1[[#This Row],[2019-Apr]:[2025-July]],0)+1),0)</f>
        <v>1.92</v>
      </c>
      <c r="I784" s="55">
        <f>IFERROR(MAX(Table1[[#This Row],[2019-Apr]:[2025-July]]),0)</f>
        <v>9.6</v>
      </c>
      <c r="J784" s="4" cm="1">
        <f t="array" ref="J78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2.3743333333333334</v>
      </c>
      <c r="K784" s="4">
        <v>4.5</v>
      </c>
      <c r="L784" s="4">
        <f>IF(Table1[[#This Row],[Standard as per ISO]]&gt;=Table1[[#This Row],[Avg of best 6]],Table1[[#This Row],[Standard as per ISO]],Table1[[#This Row],[Avg of best 6]])</f>
        <v>4.5</v>
      </c>
      <c r="M784" s="4" cm="1">
        <f t="array" ref="M784">IFERROR(LOOKUP(2,1/(Table1[[#This Row],[2019-May]:[2025-July]]&lt;&gt;0),Table1[[#This Row],[2019-May]:[2025-July]]),0)</f>
        <v>2.78</v>
      </c>
      <c r="N784" s="4">
        <f>COUNTIF(Table1[[#This Row],[2019-Apr]:[2025-July]],"&gt;="&amp;Table1[[#This Row],[Target]])</f>
        <v>6</v>
      </c>
      <c r="O784" s="4">
        <f>IF(Table1[[#This Row],[Outliers 2Y]]=0,1,0)</f>
        <v>0</v>
      </c>
      <c r="P784" s="4">
        <f>IF(Table1[[#This Row],[Last value]]&gt;1.5*Table1[[#This Row],[Target]],1,0)</f>
        <v>0</v>
      </c>
      <c r="Q784" s="4">
        <f>IF(AND(1.5*Table1[[#This Row],[Target]]&gt;=Table1[[#This Row],[Last value]],Table1[[#This Row],[Last value]]&gt;Table1[[#This Row],[Target]]),1,0)</f>
        <v>0</v>
      </c>
      <c r="R784" s="4">
        <f>IF(Table1[[#This Row],[Target]]&gt;=Table1[[#This Row],[Last value]],1,0)</f>
        <v>1</v>
      </c>
      <c r="S784" s="4" t="str">
        <f t="shared" si="20"/>
        <v>Green</v>
      </c>
      <c r="T784" s="55">
        <v>3.76</v>
      </c>
      <c r="U784" s="55">
        <v>4.71</v>
      </c>
      <c r="V784" s="55">
        <v>4.08</v>
      </c>
      <c r="W784" s="55">
        <v>4.22</v>
      </c>
      <c r="X784" s="55">
        <v>4.45</v>
      </c>
      <c r="Y784" s="55">
        <v>3.59</v>
      </c>
      <c r="Z784" s="55">
        <v>5.13</v>
      </c>
      <c r="AA784" s="55">
        <v>0</v>
      </c>
      <c r="AB784" s="55">
        <v>5.36</v>
      </c>
      <c r="AC784" s="55">
        <v>4.32</v>
      </c>
      <c r="AD784" s="55">
        <v>3.87</v>
      </c>
      <c r="AE784" s="55">
        <v>3.3</v>
      </c>
      <c r="AF784" s="55">
        <v>0</v>
      </c>
      <c r="AG784" s="55">
        <v>0</v>
      </c>
      <c r="AH784" s="55">
        <v>0</v>
      </c>
      <c r="AI784" s="55">
        <v>0</v>
      </c>
      <c r="AJ784" s="55">
        <v>0</v>
      </c>
      <c r="AK784" s="55">
        <v>0</v>
      </c>
      <c r="AL784" s="55">
        <v>0</v>
      </c>
      <c r="AM784" s="55">
        <v>3.87</v>
      </c>
      <c r="AN784" s="55">
        <v>4.3899999999999997</v>
      </c>
      <c r="AO784" s="55">
        <v>3.47</v>
      </c>
      <c r="AP784" s="55">
        <v>0</v>
      </c>
      <c r="AQ784" s="55">
        <v>2.54</v>
      </c>
      <c r="AR784" s="8">
        <v>0</v>
      </c>
      <c r="AS784" s="8">
        <v>0</v>
      </c>
      <c r="AT784" s="8">
        <v>2.69</v>
      </c>
      <c r="AU784" s="50">
        <v>1.92</v>
      </c>
      <c r="AV784" s="50">
        <v>2.44</v>
      </c>
      <c r="AW784" s="50">
        <v>2.9</v>
      </c>
      <c r="AX784" s="50">
        <v>0</v>
      </c>
      <c r="AY784" s="50">
        <v>0</v>
      </c>
      <c r="AZ784" s="50">
        <v>2.2000000000000002</v>
      </c>
      <c r="BA784" s="50">
        <v>0</v>
      </c>
      <c r="BB784" s="50">
        <v>4.7</v>
      </c>
      <c r="BC784" s="55">
        <v>6.1</v>
      </c>
      <c r="BD784" s="55">
        <v>0</v>
      </c>
      <c r="BE784" s="11">
        <v>0</v>
      </c>
      <c r="BF784" s="4">
        <v>3.1110000000000002</v>
      </c>
      <c r="BG784" s="4">
        <v>2.827</v>
      </c>
      <c r="BH784" s="4">
        <v>0</v>
      </c>
      <c r="BI784" s="4">
        <v>2.9329999999999998</v>
      </c>
      <c r="BJ784" s="13">
        <v>0</v>
      </c>
      <c r="BK784" s="13">
        <v>0</v>
      </c>
      <c r="BL784" s="4">
        <v>0</v>
      </c>
      <c r="BM784" s="16">
        <v>0</v>
      </c>
      <c r="BN784" s="4">
        <v>0</v>
      </c>
      <c r="BO784" s="4">
        <v>0</v>
      </c>
      <c r="BP784" s="4">
        <v>2.456</v>
      </c>
      <c r="BQ784" s="4">
        <v>0</v>
      </c>
      <c r="BR784" s="4">
        <v>0</v>
      </c>
      <c r="BS784" s="4">
        <v>3.3420000000000001</v>
      </c>
      <c r="BT784" s="4">
        <v>0</v>
      </c>
      <c r="BU784" s="4">
        <v>0</v>
      </c>
      <c r="BV784" s="4">
        <v>0</v>
      </c>
      <c r="BW784" s="4">
        <v>3.3140000000000001</v>
      </c>
      <c r="BX784" s="4">
        <v>0</v>
      </c>
      <c r="BY784" s="4">
        <v>0</v>
      </c>
      <c r="BZ784" s="55">
        <v>0</v>
      </c>
      <c r="CA784" s="55">
        <v>0</v>
      </c>
      <c r="CB784" s="55">
        <v>0</v>
      </c>
      <c r="CC784" s="55">
        <v>0</v>
      </c>
      <c r="CD784" s="55">
        <v>0</v>
      </c>
      <c r="CE784" s="19">
        <v>9.6</v>
      </c>
      <c r="CF784" s="19">
        <v>0</v>
      </c>
      <c r="CG784" s="4">
        <v>2.78</v>
      </c>
      <c r="CH784" s="4">
        <v>0</v>
      </c>
      <c r="CI784" s="4">
        <v>0</v>
      </c>
      <c r="CJ784" s="34">
        <v>0</v>
      </c>
      <c r="CK784" s="34">
        <v>0</v>
      </c>
      <c r="CL784" s="34">
        <v>0</v>
      </c>
      <c r="CM784" s="4">
        <v>0</v>
      </c>
      <c r="CN784" s="53">
        <v>0</v>
      </c>
      <c r="CO784" s="54">
        <v>0</v>
      </c>
      <c r="CP784" s="54">
        <v>0</v>
      </c>
      <c r="CQ784" s="4">
        <v>0</v>
      </c>
    </row>
    <row r="785" spans="1:95" s="55" customFormat="1" x14ac:dyDescent="0.35">
      <c r="A785" s="55">
        <v>784</v>
      </c>
      <c r="B785" s="55" t="s">
        <v>105</v>
      </c>
      <c r="C785" s="27" t="s">
        <v>533</v>
      </c>
      <c r="D785" s="50" t="s">
        <v>94</v>
      </c>
      <c r="E785" s="33" t="s">
        <v>91</v>
      </c>
      <c r="F785" s="4">
        <f>IFERROR(AVERAGEIF(Table1[[#This Row],[2019-Apr]:[2025-July]],"&lt;&gt;0"),0)</f>
        <v>3.1815263157894735</v>
      </c>
      <c r="G785" s="4">
        <f ca="1">IFERROR(AVERAGEIF(OFFSET(Table1[[#This Row],[Status]],0,COUNT(Table1[[#This Row],[2019-May]:[2025-July]]),1,-12),"&lt;&gt;0"),0)</f>
        <v>2.11</v>
      </c>
      <c r="H785" s="55">
        <f>IFERROR(SMALL(Table1[[#This Row],[2019-Apr]:[2025-July]],COUNTIF(Table1[[#This Row],[2019-Apr]:[2025-July]],0)+1),0)</f>
        <v>2.11</v>
      </c>
      <c r="I785" s="55">
        <f>IFERROR(MAX(Table1[[#This Row],[2019-Apr]:[2025-July]]),0)</f>
        <v>4.5259999999999998</v>
      </c>
      <c r="J785" s="4" cm="1">
        <f t="array" ref="J78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2.5213333333333332</v>
      </c>
      <c r="K785" s="4">
        <v>4.5</v>
      </c>
      <c r="L785" s="4">
        <f>IF(Table1[[#This Row],[Standard as per ISO]]&gt;=Table1[[#This Row],[Avg of best 6]],Table1[[#This Row],[Standard as per ISO]],Table1[[#This Row],[Avg of best 6]])</f>
        <v>4.5</v>
      </c>
      <c r="M785" s="4" cm="1">
        <f t="array" ref="M785">IFERROR(LOOKUP(2,1/(Table1[[#This Row],[2019-May]:[2025-July]]&lt;&gt;0),Table1[[#This Row],[2019-May]:[2025-July]]),0)</f>
        <v>2.11</v>
      </c>
      <c r="N785" s="4">
        <f>COUNTIF(Table1[[#This Row],[2019-Apr]:[2025-July]],"&gt;="&amp;Table1[[#This Row],[Target]])</f>
        <v>2</v>
      </c>
      <c r="O785" s="4">
        <f>IF(Table1[[#This Row],[Outliers 2Y]]=0,1,0)</f>
        <v>0</v>
      </c>
      <c r="P785" s="4">
        <f>IF(Table1[[#This Row],[Last value]]&gt;1.5*Table1[[#This Row],[Target]],1,0)</f>
        <v>0</v>
      </c>
      <c r="Q785" s="4">
        <f>IF(AND(1.5*Table1[[#This Row],[Target]]&gt;=Table1[[#This Row],[Last value]],Table1[[#This Row],[Last value]]&gt;Table1[[#This Row],[Target]]),1,0)</f>
        <v>0</v>
      </c>
      <c r="R785" s="4">
        <f>IF(Table1[[#This Row],[Target]]&gt;=Table1[[#This Row],[Last value]],1,0)</f>
        <v>1</v>
      </c>
      <c r="S785" s="4" t="str">
        <f t="shared" si="20"/>
        <v>Green</v>
      </c>
      <c r="T785" s="55">
        <v>0</v>
      </c>
      <c r="U785" s="55">
        <v>0</v>
      </c>
      <c r="V785" s="55">
        <v>0</v>
      </c>
      <c r="W785" s="55">
        <v>0</v>
      </c>
      <c r="X785" s="55">
        <v>0</v>
      </c>
      <c r="Y785" s="55">
        <v>0</v>
      </c>
      <c r="Z785" s="55">
        <v>0</v>
      </c>
      <c r="AA785" s="55">
        <v>0</v>
      </c>
      <c r="AB785" s="55">
        <v>0</v>
      </c>
      <c r="AC785" s="55">
        <v>0</v>
      </c>
      <c r="AD785" s="55">
        <v>0</v>
      </c>
      <c r="AE785" s="55">
        <v>0</v>
      </c>
      <c r="AF785" s="55">
        <v>0</v>
      </c>
      <c r="AG785" s="55">
        <v>2.7</v>
      </c>
      <c r="AH785" s="55">
        <v>2.9</v>
      </c>
      <c r="AI785" s="55">
        <v>3.12</v>
      </c>
      <c r="AJ785" s="55">
        <v>2.9</v>
      </c>
      <c r="AK785" s="55">
        <v>2.85</v>
      </c>
      <c r="AL785" s="55">
        <v>3.29</v>
      </c>
      <c r="AM785" s="55">
        <v>0</v>
      </c>
      <c r="AN785" s="55">
        <v>0</v>
      </c>
      <c r="AO785" s="55">
        <v>0</v>
      </c>
      <c r="AP785" s="55">
        <v>3.63</v>
      </c>
      <c r="AQ785" s="55">
        <v>0</v>
      </c>
      <c r="AR785" s="8">
        <v>3.36</v>
      </c>
      <c r="AS785" s="8">
        <v>0</v>
      </c>
      <c r="AT785" s="8">
        <v>2.93</v>
      </c>
      <c r="AU785" s="50">
        <v>2.93</v>
      </c>
      <c r="AV785" s="50">
        <v>0</v>
      </c>
      <c r="AW785" s="50">
        <v>0</v>
      </c>
      <c r="AX785" s="50">
        <v>4.08</v>
      </c>
      <c r="AY785" s="50">
        <v>3.82</v>
      </c>
      <c r="AZ785" s="50">
        <v>2.2000000000000002</v>
      </c>
      <c r="BA785" s="50">
        <v>0</v>
      </c>
      <c r="BB785" s="50">
        <v>0</v>
      </c>
      <c r="BC785" s="50">
        <v>0</v>
      </c>
      <c r="BD785" s="55">
        <v>0</v>
      </c>
      <c r="BE785" s="11">
        <v>4.5259999999999998</v>
      </c>
      <c r="BF785" s="4">
        <v>4.5259999999999998</v>
      </c>
      <c r="BG785" s="4">
        <v>0</v>
      </c>
      <c r="BH785" s="4">
        <v>2.3679999999999999</v>
      </c>
      <c r="BI785" s="4">
        <v>0</v>
      </c>
      <c r="BJ785" s="14">
        <v>0</v>
      </c>
      <c r="BK785" s="14">
        <v>0</v>
      </c>
      <c r="BL785" s="4">
        <v>3.141</v>
      </c>
      <c r="BM785" s="17">
        <v>0</v>
      </c>
      <c r="BN785" s="4">
        <v>0</v>
      </c>
      <c r="BO785" s="4">
        <v>0</v>
      </c>
      <c r="BP785" s="4">
        <v>3.0680000000000001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55">
        <v>0</v>
      </c>
      <c r="CA785" s="55">
        <v>0</v>
      </c>
      <c r="CB785" s="55">
        <v>0</v>
      </c>
      <c r="CC785" s="55">
        <v>0</v>
      </c>
      <c r="CD785" s="55">
        <v>0</v>
      </c>
      <c r="CE785" s="19">
        <v>0</v>
      </c>
      <c r="CF785" s="19">
        <v>0</v>
      </c>
      <c r="CG785" s="4">
        <v>0</v>
      </c>
      <c r="CH785" s="4">
        <v>2.11</v>
      </c>
      <c r="CI785" s="4">
        <v>0</v>
      </c>
      <c r="CJ785" s="34">
        <v>0</v>
      </c>
      <c r="CK785" s="34">
        <v>0</v>
      </c>
      <c r="CL785" s="34">
        <v>0</v>
      </c>
      <c r="CM785" s="4">
        <v>0</v>
      </c>
      <c r="CN785" s="53">
        <v>0</v>
      </c>
      <c r="CO785" s="54">
        <v>0</v>
      </c>
      <c r="CP785" s="54">
        <v>0</v>
      </c>
      <c r="CQ785" s="4">
        <v>0</v>
      </c>
    </row>
    <row r="786" spans="1:95" s="55" customFormat="1" x14ac:dyDescent="0.35">
      <c r="A786" s="55">
        <v>785</v>
      </c>
      <c r="B786" s="55" t="s">
        <v>105</v>
      </c>
      <c r="C786" s="27" t="s">
        <v>534</v>
      </c>
      <c r="D786" s="50" t="s">
        <v>94</v>
      </c>
      <c r="E786" s="33" t="s">
        <v>91</v>
      </c>
      <c r="F786" s="4">
        <f>IFERROR(AVERAGEIF(Table1[[#This Row],[2019-Apr]:[2025-July]],"&lt;&gt;0"),0)</f>
        <v>2.3380000000000001</v>
      </c>
      <c r="G786" s="4">
        <f ca="1">IFERROR(AVERAGEIF(OFFSET(Table1[[#This Row],[Status]],0,COUNT(Table1[[#This Row],[2019-May]:[2025-July]]),1,-12),"&lt;&gt;0"),0)</f>
        <v>3.69</v>
      </c>
      <c r="H786" s="55">
        <f>IFERROR(SMALL(Table1[[#This Row],[2019-Apr]:[2025-July]],COUNTIF(Table1[[#This Row],[2019-Apr]:[2025-July]],0)+1),0)</f>
        <v>1.7</v>
      </c>
      <c r="I786" s="55">
        <f>IFERROR(MAX(Table1[[#This Row],[2019-Apr]:[2025-July]]),0)</f>
        <v>5.4</v>
      </c>
      <c r="J786" s="4" cm="1">
        <f t="array" ref="J78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1.8509999999999998</v>
      </c>
      <c r="K786" s="4">
        <v>4.5</v>
      </c>
      <c r="L786" s="4">
        <f>IF(Table1[[#This Row],[Standard as per ISO]]&gt;=Table1[[#This Row],[Avg of best 6]],Table1[[#This Row],[Standard as per ISO]],Table1[[#This Row],[Avg of best 6]])</f>
        <v>4.5</v>
      </c>
      <c r="M786" s="4" cm="1">
        <f t="array" ref="M786">IFERROR(LOOKUP(2,1/(Table1[[#This Row],[2019-May]:[2025-July]]&lt;&gt;0),Table1[[#This Row],[2019-May]:[2025-July]]),0)</f>
        <v>2.89</v>
      </c>
      <c r="N786" s="4">
        <f>COUNTIF(Table1[[#This Row],[2019-Apr]:[2025-July]],"&gt;="&amp;Table1[[#This Row],[Target]])</f>
        <v>1</v>
      </c>
      <c r="O786" s="4">
        <f>IF(Table1[[#This Row],[Outliers 2Y]]=0,1,0)</f>
        <v>0</v>
      </c>
      <c r="P786" s="4">
        <f>IF(Table1[[#This Row],[Last value]]&gt;1.5*Table1[[#This Row],[Target]],1,0)</f>
        <v>0</v>
      </c>
      <c r="Q786" s="4">
        <f>IF(AND(1.5*Table1[[#This Row],[Target]]&gt;=Table1[[#This Row],[Last value]],Table1[[#This Row],[Last value]]&gt;Table1[[#This Row],[Target]]),1,0)</f>
        <v>0</v>
      </c>
      <c r="R786" s="4">
        <f>IF(Table1[[#This Row],[Target]]&gt;=Table1[[#This Row],[Last value]],1,0)</f>
        <v>1</v>
      </c>
      <c r="S786" s="4" t="str">
        <f t="shared" si="20"/>
        <v>Green</v>
      </c>
      <c r="T786" s="55">
        <v>2.59</v>
      </c>
      <c r="U786" s="55">
        <v>0</v>
      </c>
      <c r="V786" s="55">
        <v>2.08</v>
      </c>
      <c r="W786" s="55">
        <v>2.19</v>
      </c>
      <c r="X786" s="55">
        <v>0</v>
      </c>
      <c r="Y786" s="55">
        <v>0</v>
      </c>
      <c r="Z786" s="55">
        <v>0</v>
      </c>
      <c r="AA786" s="55">
        <v>0</v>
      </c>
      <c r="AB786" s="55">
        <v>0</v>
      </c>
      <c r="AC786" s="55">
        <v>0</v>
      </c>
      <c r="AD786" s="55">
        <v>2.14</v>
      </c>
      <c r="AE786" s="55">
        <v>2.2999999999999998</v>
      </c>
      <c r="AF786" s="55">
        <v>2.2400000000000002</v>
      </c>
      <c r="AG786" s="55">
        <v>0</v>
      </c>
      <c r="AH786" s="55">
        <v>0</v>
      </c>
      <c r="AI786" s="55">
        <v>2.2599999999999998</v>
      </c>
      <c r="AJ786" s="55">
        <v>0</v>
      </c>
      <c r="AK786" s="55">
        <v>0</v>
      </c>
      <c r="AL786" s="55">
        <v>0</v>
      </c>
      <c r="AM786" s="55">
        <v>0</v>
      </c>
      <c r="AN786" s="55">
        <v>2.21</v>
      </c>
      <c r="AO786" s="55">
        <v>1.7</v>
      </c>
      <c r="AP786" s="55">
        <v>0</v>
      </c>
      <c r="AQ786" s="55">
        <v>0</v>
      </c>
      <c r="AR786" s="8">
        <v>1.74</v>
      </c>
      <c r="AS786" s="8">
        <v>0</v>
      </c>
      <c r="AT786" s="8">
        <v>0</v>
      </c>
      <c r="AU786" s="50">
        <v>2.2200000000000002</v>
      </c>
      <c r="AV786" s="50">
        <v>2.61</v>
      </c>
      <c r="AW786" s="50">
        <v>2.1</v>
      </c>
      <c r="AX786" s="50">
        <v>2.12</v>
      </c>
      <c r="AY786" s="50">
        <v>2.0499999999999998</v>
      </c>
      <c r="AZ786" s="50">
        <v>0</v>
      </c>
      <c r="BA786" s="50">
        <v>2.2000000000000002</v>
      </c>
      <c r="BB786" s="50">
        <v>0</v>
      </c>
      <c r="BC786" s="50">
        <v>0</v>
      </c>
      <c r="BD786" s="55">
        <v>0</v>
      </c>
      <c r="BE786" s="11">
        <v>0</v>
      </c>
      <c r="BF786" s="4">
        <v>0</v>
      </c>
      <c r="BG786" s="4">
        <v>1.83</v>
      </c>
      <c r="BH786" s="4">
        <v>0</v>
      </c>
      <c r="BI786" s="4">
        <v>0</v>
      </c>
      <c r="BJ786" s="13">
        <v>0</v>
      </c>
      <c r="BK786" s="13">
        <v>0</v>
      </c>
      <c r="BL786" s="4">
        <v>0</v>
      </c>
      <c r="BM786" s="16">
        <v>0</v>
      </c>
      <c r="BN786" s="4">
        <v>0</v>
      </c>
      <c r="BO786" s="4">
        <v>0</v>
      </c>
      <c r="BP786" s="4">
        <v>1.903</v>
      </c>
      <c r="BQ786" s="4">
        <v>0</v>
      </c>
      <c r="BR786" s="4">
        <v>0</v>
      </c>
      <c r="BS786" s="4">
        <v>1.883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55">
        <v>0</v>
      </c>
      <c r="CA786" s="55">
        <v>0</v>
      </c>
      <c r="CB786" s="55">
        <v>0</v>
      </c>
      <c r="CC786" s="55">
        <v>0</v>
      </c>
      <c r="CD786" s="55">
        <v>0</v>
      </c>
      <c r="CE786" s="19">
        <v>5.4</v>
      </c>
      <c r="CF786" s="19">
        <v>0</v>
      </c>
      <c r="CG786" s="4">
        <v>2.78</v>
      </c>
      <c r="CH786" s="4">
        <v>2.89</v>
      </c>
      <c r="CI786" s="4">
        <v>0</v>
      </c>
      <c r="CJ786" s="34">
        <v>0</v>
      </c>
      <c r="CK786" s="34">
        <v>0</v>
      </c>
      <c r="CL786" s="34">
        <v>0</v>
      </c>
      <c r="CM786" s="4">
        <v>0</v>
      </c>
      <c r="CN786" s="53">
        <v>0</v>
      </c>
      <c r="CO786" s="54">
        <v>0</v>
      </c>
      <c r="CP786" s="54">
        <v>0</v>
      </c>
      <c r="CQ786" s="4">
        <v>0</v>
      </c>
    </row>
    <row r="787" spans="1:95" s="55" customFormat="1" x14ac:dyDescent="0.35">
      <c r="A787" s="55">
        <v>786</v>
      </c>
      <c r="B787" s="55" t="s">
        <v>105</v>
      </c>
      <c r="C787" s="27" t="s">
        <v>535</v>
      </c>
      <c r="D787" s="50" t="s">
        <v>94</v>
      </c>
      <c r="E787" s="33" t="s">
        <v>91</v>
      </c>
      <c r="F787" s="4">
        <f>IFERROR(AVERAGEIF(Table1[[#This Row],[2019-Apr]:[2025-July]],"&lt;&gt;0"),0)</f>
        <v>3.2536538461538456</v>
      </c>
      <c r="G787" s="4">
        <f ca="1">IFERROR(AVERAGEIF(OFFSET(Table1[[#This Row],[Status]],0,COUNT(Table1[[#This Row],[2019-May]:[2025-July]]),1,-12),"&lt;&gt;0"),0)</f>
        <v>0</v>
      </c>
      <c r="H787" s="55">
        <f>IFERROR(SMALL(Table1[[#This Row],[2019-Apr]:[2025-July]],COUNTIF(Table1[[#This Row],[2019-Apr]:[2025-July]],0)+1),0)</f>
        <v>2.2400000000000002</v>
      </c>
      <c r="I787" s="55">
        <f>IFERROR(MAX(Table1[[#This Row],[2019-Apr]:[2025-July]]),0)</f>
        <v>5.9</v>
      </c>
      <c r="J787" s="4" cm="1">
        <f t="array" ref="J78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2.4516666666666667</v>
      </c>
      <c r="K787" s="4">
        <v>4.5</v>
      </c>
      <c r="L787" s="4">
        <f>IF(Table1[[#This Row],[Standard as per ISO]]&gt;=Table1[[#This Row],[Avg of best 6]],Table1[[#This Row],[Standard as per ISO]],Table1[[#This Row],[Avg of best 6]])</f>
        <v>4.5</v>
      </c>
      <c r="M787" s="4" cm="1">
        <f t="array" ref="M787">IFERROR(LOOKUP(2,1/(Table1[[#This Row],[2019-May]:[2025-July]]&lt;&gt;0),Table1[[#This Row],[2019-May]:[2025-July]]),0)</f>
        <v>2.2400000000000002</v>
      </c>
      <c r="N787" s="4">
        <f>COUNTIF(Table1[[#This Row],[2019-Apr]:[2025-July]],"&gt;="&amp;Table1[[#This Row],[Target]])</f>
        <v>2</v>
      </c>
      <c r="O787" s="4">
        <f>IF(Table1[[#This Row],[Outliers 2Y]]=0,1,0)</f>
        <v>0</v>
      </c>
      <c r="P787" s="4">
        <f>IF(Table1[[#This Row],[Last value]]&gt;1.5*Table1[[#This Row],[Target]],1,0)</f>
        <v>0</v>
      </c>
      <c r="Q787" s="4">
        <f>IF(AND(1.5*Table1[[#This Row],[Target]]&gt;=Table1[[#This Row],[Last value]],Table1[[#This Row],[Last value]]&gt;Table1[[#This Row],[Target]]),1,0)</f>
        <v>0</v>
      </c>
      <c r="R787" s="4">
        <f>IF(Table1[[#This Row],[Target]]&gt;=Table1[[#This Row],[Last value]],1,0)</f>
        <v>1</v>
      </c>
      <c r="S787" s="4" t="str">
        <f t="shared" si="20"/>
        <v>Green</v>
      </c>
      <c r="T787" s="55">
        <v>0</v>
      </c>
      <c r="U787" s="55">
        <v>2.35</v>
      </c>
      <c r="V787" s="55">
        <v>0</v>
      </c>
      <c r="W787" s="55">
        <v>2.4500000000000002</v>
      </c>
      <c r="X787" s="55">
        <v>0</v>
      </c>
      <c r="Y787" s="55">
        <v>2.87</v>
      </c>
      <c r="Z787" s="55">
        <v>3.47</v>
      </c>
      <c r="AA787" s="55">
        <v>2.5</v>
      </c>
      <c r="AB787" s="55">
        <v>2.6</v>
      </c>
      <c r="AC787" s="55">
        <v>2.57</v>
      </c>
      <c r="AD787" s="55">
        <v>0</v>
      </c>
      <c r="AE787" s="55">
        <v>0</v>
      </c>
      <c r="AF787" s="55">
        <v>0</v>
      </c>
      <c r="AG787" s="55">
        <v>0</v>
      </c>
      <c r="AH787" s="55">
        <v>3</v>
      </c>
      <c r="AI787" s="55">
        <v>0</v>
      </c>
      <c r="AJ787" s="55">
        <v>3.3</v>
      </c>
      <c r="AK787" s="55">
        <v>2.82</v>
      </c>
      <c r="AL787" s="55">
        <v>3.73</v>
      </c>
      <c r="AM787" s="55">
        <v>4.62</v>
      </c>
      <c r="AN787" s="55">
        <v>0</v>
      </c>
      <c r="AO787" s="55">
        <v>0</v>
      </c>
      <c r="AP787" s="55">
        <v>3.36</v>
      </c>
      <c r="AQ787" s="55">
        <v>3.13</v>
      </c>
      <c r="AR787" s="8">
        <v>0</v>
      </c>
      <c r="AS787" s="9">
        <v>3.43</v>
      </c>
      <c r="AT787" s="9">
        <v>2.98</v>
      </c>
      <c r="AU787" s="50">
        <v>2.98</v>
      </c>
      <c r="AV787" s="50">
        <v>0</v>
      </c>
      <c r="AW787" s="50">
        <v>0</v>
      </c>
      <c r="AX787" s="50">
        <v>0</v>
      </c>
      <c r="AY787" s="50">
        <v>0</v>
      </c>
      <c r="AZ787" s="50">
        <v>0</v>
      </c>
      <c r="BA787" s="50">
        <v>0</v>
      </c>
      <c r="BB787" s="50">
        <v>5.9</v>
      </c>
      <c r="BC787" s="55">
        <v>3.6</v>
      </c>
      <c r="BD787" s="55">
        <v>0</v>
      </c>
      <c r="BE787" s="11">
        <v>3.63</v>
      </c>
      <c r="BF787" s="4">
        <v>4.3769999999999998</v>
      </c>
      <c r="BG787" s="4">
        <v>0</v>
      </c>
      <c r="BH787" s="4">
        <v>3.0259999999999998</v>
      </c>
      <c r="BI787" s="4">
        <v>3.5670000000000002</v>
      </c>
      <c r="BJ787" s="14">
        <v>0</v>
      </c>
      <c r="BK787" s="14">
        <v>0</v>
      </c>
      <c r="BL787" s="4">
        <v>3.0369999999999999</v>
      </c>
      <c r="BM787" s="17">
        <v>0</v>
      </c>
      <c r="BN787" s="4">
        <v>0</v>
      </c>
      <c r="BO787" s="4">
        <v>0</v>
      </c>
      <c r="BP787" s="4">
        <v>3.0579999999999998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2.2400000000000002</v>
      </c>
      <c r="BX787" s="4">
        <v>0</v>
      </c>
      <c r="BY787" s="4">
        <v>0</v>
      </c>
      <c r="BZ787" s="55">
        <v>0</v>
      </c>
      <c r="CA787" s="55">
        <v>0</v>
      </c>
      <c r="CB787" s="55">
        <v>0</v>
      </c>
      <c r="CC787" s="55">
        <v>0</v>
      </c>
      <c r="CD787" s="55">
        <v>0</v>
      </c>
      <c r="CE787" s="19">
        <v>0</v>
      </c>
      <c r="CF787" s="19">
        <v>0</v>
      </c>
      <c r="CG787" s="4">
        <v>0</v>
      </c>
      <c r="CH787" s="4">
        <v>0</v>
      </c>
      <c r="CI787" s="4">
        <v>0</v>
      </c>
      <c r="CJ787" s="34">
        <v>0</v>
      </c>
      <c r="CK787" s="34">
        <v>0</v>
      </c>
      <c r="CL787" s="34">
        <v>0</v>
      </c>
      <c r="CM787" s="4">
        <v>0</v>
      </c>
      <c r="CN787" s="53">
        <v>0</v>
      </c>
      <c r="CO787" s="54">
        <v>0</v>
      </c>
      <c r="CP787" s="54">
        <v>0</v>
      </c>
      <c r="CQ787" s="4">
        <v>0</v>
      </c>
    </row>
    <row r="788" spans="1:95" s="55" customFormat="1" x14ac:dyDescent="0.35">
      <c r="A788" s="55">
        <v>787</v>
      </c>
      <c r="B788" s="55" t="s">
        <v>105</v>
      </c>
      <c r="C788" s="27" t="s">
        <v>536</v>
      </c>
      <c r="D788" s="50" t="s">
        <v>94</v>
      </c>
      <c r="E788" s="33" t="s">
        <v>91</v>
      </c>
      <c r="F788" s="4">
        <f>IFERROR(AVERAGEIF(Table1[[#This Row],[2019-Apr]:[2025-July]],"&lt;&gt;0"),0)</f>
        <v>2.0979999999999994</v>
      </c>
      <c r="G788" s="4">
        <f ca="1">IFERROR(AVERAGEIF(OFFSET(Table1[[#This Row],[Status]],0,COUNT(Table1[[#This Row],[2019-May]:[2025-July]]),1,-12),"&lt;&gt;0"),0)</f>
        <v>0.7</v>
      </c>
      <c r="H788" s="55">
        <f>IFERROR(SMALL(Table1[[#This Row],[2019-Apr]:[2025-July]],COUNTIF(Table1[[#This Row],[2019-Apr]:[2025-July]],0)+1),0)</f>
        <v>0.7</v>
      </c>
      <c r="I788" s="55">
        <f>IFERROR(MAX(Table1[[#This Row],[2019-Apr]:[2025-July]]),0)</f>
        <v>4.6100000000000003</v>
      </c>
      <c r="J788" s="4" cm="1">
        <f t="array" ref="J78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1.3088333333333333</v>
      </c>
      <c r="K788" s="4">
        <v>4.5</v>
      </c>
      <c r="L788" s="4">
        <f>IF(Table1[[#This Row],[Standard as per ISO]]&gt;=Table1[[#This Row],[Avg of best 6]],Table1[[#This Row],[Standard as per ISO]],Table1[[#This Row],[Avg of best 6]])</f>
        <v>4.5</v>
      </c>
      <c r="M788" s="4" cm="1">
        <f t="array" ref="M788">IFERROR(LOOKUP(2,1/(Table1[[#This Row],[2019-May]:[2025-July]]&lt;&gt;0),Table1[[#This Row],[2019-May]:[2025-July]]),0)</f>
        <v>0.7</v>
      </c>
      <c r="N788" s="4">
        <f>COUNTIF(Table1[[#This Row],[2019-Apr]:[2025-July]],"&gt;="&amp;Table1[[#This Row],[Target]])</f>
        <v>1</v>
      </c>
      <c r="O788" s="4">
        <f>IF(Table1[[#This Row],[Outliers 2Y]]=0,1,0)</f>
        <v>0</v>
      </c>
      <c r="P788" s="4">
        <f>IF(Table1[[#This Row],[Last value]]&gt;1.5*Table1[[#This Row],[Target]],1,0)</f>
        <v>0</v>
      </c>
      <c r="Q788" s="4">
        <f>IF(AND(1.5*Table1[[#This Row],[Target]]&gt;=Table1[[#This Row],[Last value]],Table1[[#This Row],[Last value]]&gt;Table1[[#This Row],[Target]]),1,0)</f>
        <v>0</v>
      </c>
      <c r="R788" s="4">
        <f>IF(Table1[[#This Row],[Target]]&gt;=Table1[[#This Row],[Last value]],1,0)</f>
        <v>1</v>
      </c>
      <c r="S788" s="4" t="str">
        <f t="shared" si="20"/>
        <v>Green</v>
      </c>
      <c r="T788" s="55">
        <v>0</v>
      </c>
      <c r="U788" s="55">
        <v>0</v>
      </c>
      <c r="V788" s="55">
        <v>2.4300000000000002</v>
      </c>
      <c r="W788" s="55">
        <v>1.75</v>
      </c>
      <c r="X788" s="55">
        <v>0</v>
      </c>
      <c r="Y788" s="55">
        <v>0</v>
      </c>
      <c r="Z788" s="55">
        <v>0</v>
      </c>
      <c r="AA788" s="55">
        <v>0</v>
      </c>
      <c r="AB788" s="55">
        <v>1.84</v>
      </c>
      <c r="AC788" s="55">
        <v>0</v>
      </c>
      <c r="AD788" s="55">
        <v>2.39</v>
      </c>
      <c r="AE788" s="55">
        <v>1.3</v>
      </c>
      <c r="AF788" s="55">
        <v>0</v>
      </c>
      <c r="AG788" s="55">
        <v>0</v>
      </c>
      <c r="AH788" s="55">
        <v>2</v>
      </c>
      <c r="AI788" s="55">
        <v>1.92</v>
      </c>
      <c r="AJ788" s="55">
        <v>2.7</v>
      </c>
      <c r="AK788" s="55">
        <v>0</v>
      </c>
      <c r="AL788" s="55">
        <v>0</v>
      </c>
      <c r="AM788" s="55">
        <v>0</v>
      </c>
      <c r="AN788" s="55">
        <v>1.77</v>
      </c>
      <c r="AO788" s="55">
        <v>0</v>
      </c>
      <c r="AP788" s="55">
        <v>0</v>
      </c>
      <c r="AQ788" s="55">
        <v>0</v>
      </c>
      <c r="AR788" s="8">
        <v>0</v>
      </c>
      <c r="AS788" s="8">
        <v>0</v>
      </c>
      <c r="AT788" s="8">
        <v>1.65</v>
      </c>
      <c r="AU788" s="50">
        <v>1.91</v>
      </c>
      <c r="AV788" s="50">
        <v>2.74</v>
      </c>
      <c r="AW788" s="50">
        <v>3.86</v>
      </c>
      <c r="AX788" s="50">
        <v>4.6100000000000003</v>
      </c>
      <c r="AY788" s="50">
        <v>0</v>
      </c>
      <c r="AZ788" s="50">
        <v>0</v>
      </c>
      <c r="BA788" s="50">
        <v>0</v>
      </c>
      <c r="BB788" s="50">
        <v>0</v>
      </c>
      <c r="BC788" s="55">
        <v>1.4</v>
      </c>
      <c r="BD788" s="55">
        <v>0</v>
      </c>
      <c r="BE788" s="11">
        <v>1.623</v>
      </c>
      <c r="BF788" s="4">
        <v>2.0070000000000001</v>
      </c>
      <c r="BG788" s="4">
        <v>0</v>
      </c>
      <c r="BH788" s="4">
        <v>0</v>
      </c>
      <c r="BI788" s="4">
        <v>2.0070000000000001</v>
      </c>
      <c r="BJ788" s="13">
        <v>0</v>
      </c>
      <c r="BK788" s="13">
        <v>0</v>
      </c>
      <c r="BL788" s="4">
        <v>2.1379999999999999</v>
      </c>
      <c r="BM788" s="16">
        <v>0</v>
      </c>
      <c r="BN788" s="4">
        <v>0</v>
      </c>
      <c r="BO788" s="4">
        <v>0</v>
      </c>
      <c r="BP788" s="4">
        <v>2.1949999999999998</v>
      </c>
      <c r="BQ788" s="4">
        <v>0</v>
      </c>
      <c r="BR788" s="4">
        <v>0</v>
      </c>
      <c r="BS788" s="4">
        <v>2.1339999999999999</v>
      </c>
      <c r="BT788" s="4">
        <v>0</v>
      </c>
      <c r="BU788" s="4">
        <v>0</v>
      </c>
      <c r="BV788" s="4">
        <v>0</v>
      </c>
      <c r="BW788" s="4">
        <v>1.18</v>
      </c>
      <c r="BX788" s="4">
        <v>0</v>
      </c>
      <c r="BY788" s="4">
        <v>0</v>
      </c>
      <c r="BZ788" s="55">
        <v>0</v>
      </c>
      <c r="CA788" s="55">
        <v>0</v>
      </c>
      <c r="CB788" s="55">
        <v>0</v>
      </c>
      <c r="CC788" s="55">
        <v>0</v>
      </c>
      <c r="CD788" s="55">
        <v>0</v>
      </c>
      <c r="CE788" s="19">
        <v>0.7</v>
      </c>
      <c r="CF788" s="19">
        <v>0</v>
      </c>
      <c r="CG788" s="4">
        <v>0</v>
      </c>
      <c r="CH788" s="4">
        <v>0</v>
      </c>
      <c r="CI788" s="4">
        <v>0</v>
      </c>
      <c r="CJ788" s="34">
        <v>0</v>
      </c>
      <c r="CK788" s="34">
        <v>0</v>
      </c>
      <c r="CL788" s="34">
        <v>0</v>
      </c>
      <c r="CM788" s="4">
        <v>0</v>
      </c>
      <c r="CN788" s="53">
        <v>0</v>
      </c>
      <c r="CO788" s="54">
        <v>0</v>
      </c>
      <c r="CP788" s="54">
        <v>0</v>
      </c>
      <c r="CQ788" s="4">
        <v>0</v>
      </c>
    </row>
    <row r="789" spans="1:95" s="55" customFormat="1" x14ac:dyDescent="0.35">
      <c r="A789" s="55">
        <v>788</v>
      </c>
      <c r="B789" s="55" t="s">
        <v>105</v>
      </c>
      <c r="C789" s="27" t="s">
        <v>537</v>
      </c>
      <c r="D789" s="50" t="s">
        <v>94</v>
      </c>
      <c r="E789" s="33" t="s">
        <v>91</v>
      </c>
      <c r="F789" s="4">
        <f>IFERROR(AVERAGEIF(Table1[[#This Row],[2019-Apr]:[2025-July]],"&lt;&gt;0"),0)</f>
        <v>2.5950000000000002</v>
      </c>
      <c r="G789" s="4">
        <f ca="1">IFERROR(AVERAGEIF(OFFSET(Table1[[#This Row],[Status]],0,COUNT(Table1[[#This Row],[2019-May]:[2025-July]]),1,-12),"&lt;&gt;0"),0)</f>
        <v>1.99</v>
      </c>
      <c r="H789" s="55">
        <f>IFERROR(SMALL(Table1[[#This Row],[2019-Apr]:[2025-July]],COUNTIF(Table1[[#This Row],[2019-Apr]:[2025-July]],0)+1),0)</f>
        <v>1.33</v>
      </c>
      <c r="I789" s="55">
        <f>IFERROR(MAX(Table1[[#This Row],[2019-Apr]:[2025-July]]),0)</f>
        <v>5.9539999999999997</v>
      </c>
      <c r="J789" s="4" cm="1">
        <f t="array" ref="J78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1.4086666666666667</v>
      </c>
      <c r="K789" s="4">
        <v>4.5</v>
      </c>
      <c r="L789" s="4">
        <f>IF(Table1[[#This Row],[Standard as per ISO]]&gt;=Table1[[#This Row],[Avg of best 6]],Table1[[#This Row],[Standard as per ISO]],Table1[[#This Row],[Avg of best 6]])</f>
        <v>4.5</v>
      </c>
      <c r="M789" s="4" cm="1">
        <f t="array" ref="M789">IFERROR(LOOKUP(2,1/(Table1[[#This Row],[2019-May]:[2025-July]]&lt;&gt;0),Table1[[#This Row],[2019-May]:[2025-July]]),0)</f>
        <v>1.98</v>
      </c>
      <c r="N789" s="4">
        <f>COUNTIF(Table1[[#This Row],[2019-Apr]:[2025-July]],"&gt;="&amp;Table1[[#This Row],[Target]])</f>
        <v>5</v>
      </c>
      <c r="O789" s="4">
        <f>IF(Table1[[#This Row],[Outliers 2Y]]=0,1,0)</f>
        <v>0</v>
      </c>
      <c r="P789" s="4">
        <f>IF(Table1[[#This Row],[Last value]]&gt;1.5*Table1[[#This Row],[Target]],1,0)</f>
        <v>0</v>
      </c>
      <c r="Q789" s="4">
        <f>IF(AND(1.5*Table1[[#This Row],[Target]]&gt;=Table1[[#This Row],[Last value]],Table1[[#This Row],[Last value]]&gt;Table1[[#This Row],[Target]]),1,0)</f>
        <v>0</v>
      </c>
      <c r="R789" s="4">
        <f>IF(Table1[[#This Row],[Target]]&gt;=Table1[[#This Row],[Last value]],1,0)</f>
        <v>1</v>
      </c>
      <c r="S789" s="4" t="str">
        <f t="shared" si="20"/>
        <v>Green</v>
      </c>
      <c r="T789" s="55">
        <v>2.71</v>
      </c>
      <c r="U789" s="55">
        <v>0</v>
      </c>
      <c r="V789" s="55">
        <v>1.58</v>
      </c>
      <c r="W789" s="55">
        <v>2.6</v>
      </c>
      <c r="X789" s="55">
        <v>1.34</v>
      </c>
      <c r="Y789" s="55">
        <v>1.75</v>
      </c>
      <c r="Z789" s="55">
        <v>1.42</v>
      </c>
      <c r="AA789" s="55">
        <v>0</v>
      </c>
      <c r="AB789" s="55">
        <v>1.81</v>
      </c>
      <c r="AC789" s="55">
        <v>2.5</v>
      </c>
      <c r="AD789" s="55">
        <v>1.9</v>
      </c>
      <c r="AE789" s="55">
        <v>2.8</v>
      </c>
      <c r="AF789" s="55">
        <v>3.85</v>
      </c>
      <c r="AG789" s="55">
        <v>2.75</v>
      </c>
      <c r="AH789" s="55">
        <v>2.4</v>
      </c>
      <c r="AI789" s="55">
        <v>1.6</v>
      </c>
      <c r="AJ789" s="55">
        <v>0</v>
      </c>
      <c r="AK789" s="55">
        <v>0</v>
      </c>
      <c r="AL789" s="55">
        <v>5.17</v>
      </c>
      <c r="AM789" s="55">
        <v>0</v>
      </c>
      <c r="AN789" s="55">
        <v>4.9000000000000004</v>
      </c>
      <c r="AO789" s="55">
        <v>4.8</v>
      </c>
      <c r="AP789" s="55">
        <v>1.54</v>
      </c>
      <c r="AQ789" s="55">
        <v>2.96</v>
      </c>
      <c r="AR789" s="8">
        <v>3.77</v>
      </c>
      <c r="AS789" s="8">
        <v>4.0599999999999996</v>
      </c>
      <c r="AT789" s="8">
        <v>1.89</v>
      </c>
      <c r="AU789" s="50">
        <v>1.89</v>
      </c>
      <c r="AV789" s="50">
        <v>2.5</v>
      </c>
      <c r="AW789" s="50">
        <v>3.2</v>
      </c>
      <c r="AX789" s="50">
        <v>1.92</v>
      </c>
      <c r="AY789" s="50">
        <v>2.4900000000000002</v>
      </c>
      <c r="AZ789" s="50">
        <v>0</v>
      </c>
      <c r="BA789" s="50">
        <v>1.7</v>
      </c>
      <c r="BB789" s="50">
        <v>1.4</v>
      </c>
      <c r="BC789" s="55">
        <v>2</v>
      </c>
      <c r="BD789" s="55">
        <v>0</v>
      </c>
      <c r="BE789" s="11">
        <v>1.8340000000000001</v>
      </c>
      <c r="BF789" s="4">
        <v>1.8280000000000001</v>
      </c>
      <c r="BG789" s="4">
        <v>4.6479999999999997</v>
      </c>
      <c r="BH789" s="4">
        <v>1.738</v>
      </c>
      <c r="BI789" s="4">
        <v>0</v>
      </c>
      <c r="BJ789" s="14">
        <v>0</v>
      </c>
      <c r="BK789" s="14">
        <v>0</v>
      </c>
      <c r="BL789" s="4">
        <v>1.4219999999999999</v>
      </c>
      <c r="BM789" s="17">
        <v>0</v>
      </c>
      <c r="BN789" s="4">
        <v>0</v>
      </c>
      <c r="BO789" s="4">
        <v>0</v>
      </c>
      <c r="BP789" s="4">
        <v>5.9539999999999997</v>
      </c>
      <c r="BQ789" s="4">
        <v>0</v>
      </c>
      <c r="BR789" s="4">
        <v>0</v>
      </c>
      <c r="BS789" s="4">
        <v>3.8660000000000001</v>
      </c>
      <c r="BT789" s="4">
        <v>0</v>
      </c>
      <c r="BU789" s="4">
        <v>0</v>
      </c>
      <c r="BV789" s="4">
        <v>0</v>
      </c>
      <c r="BW789" s="4">
        <v>1.33</v>
      </c>
      <c r="BX789" s="4">
        <v>0</v>
      </c>
      <c r="BY789" s="4">
        <v>0</v>
      </c>
      <c r="BZ789" s="55">
        <v>0</v>
      </c>
      <c r="CA789" s="55">
        <v>0</v>
      </c>
      <c r="CB789" s="55">
        <v>0</v>
      </c>
      <c r="CC789" s="55">
        <v>0</v>
      </c>
      <c r="CD789" s="55">
        <v>0</v>
      </c>
      <c r="CE789" s="19">
        <v>2</v>
      </c>
      <c r="CF789" s="19">
        <v>0</v>
      </c>
      <c r="CG789" s="4">
        <v>0</v>
      </c>
      <c r="CH789" s="4">
        <v>1.98</v>
      </c>
      <c r="CI789" s="4">
        <v>0</v>
      </c>
      <c r="CJ789" s="34">
        <v>0</v>
      </c>
      <c r="CK789" s="34">
        <v>0</v>
      </c>
      <c r="CL789" s="34">
        <v>0</v>
      </c>
      <c r="CM789" s="4">
        <v>0</v>
      </c>
      <c r="CN789" s="53">
        <v>0</v>
      </c>
      <c r="CO789" s="54">
        <v>0</v>
      </c>
      <c r="CP789" s="54">
        <v>0</v>
      </c>
      <c r="CQ789" s="4">
        <v>0</v>
      </c>
    </row>
    <row r="790" spans="1:95" s="55" customFormat="1" x14ac:dyDescent="0.35">
      <c r="A790" s="55">
        <v>789</v>
      </c>
      <c r="B790" s="55" t="s">
        <v>105</v>
      </c>
      <c r="C790" s="27" t="s">
        <v>538</v>
      </c>
      <c r="D790" s="50" t="s">
        <v>94</v>
      </c>
      <c r="E790" s="33" t="s">
        <v>91</v>
      </c>
      <c r="F790" s="4">
        <f>IFERROR(AVERAGEIF(Table1[[#This Row],[2019-Apr]:[2025-July]],"&lt;&gt;0"),0)</f>
        <v>2.4961764705882352</v>
      </c>
      <c r="G790" s="4">
        <f ca="1">IFERROR(AVERAGEIF(OFFSET(Table1[[#This Row],[Status]],0,COUNT(Table1[[#This Row],[2019-May]:[2025-July]]),1,-12),"&lt;&gt;0"),0)</f>
        <v>0.5</v>
      </c>
      <c r="H790" s="55">
        <f>IFERROR(SMALL(Table1[[#This Row],[2019-Apr]:[2025-July]],COUNTIF(Table1[[#This Row],[2019-Apr]:[2025-July]],0)+1),0)</f>
        <v>0.5</v>
      </c>
      <c r="I790" s="55">
        <f>IFERROR(MAX(Table1[[#This Row],[2019-Apr]:[2025-July]]),0)</f>
        <v>5.91</v>
      </c>
      <c r="J790" s="4" cm="1">
        <f t="array" ref="J79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1.2340000000000002</v>
      </c>
      <c r="K790" s="4">
        <v>4.5</v>
      </c>
      <c r="L790" s="4">
        <f>IF(Table1[[#This Row],[Standard as per ISO]]&gt;=Table1[[#This Row],[Avg of best 6]],Table1[[#This Row],[Standard as per ISO]],Table1[[#This Row],[Avg of best 6]])</f>
        <v>4.5</v>
      </c>
      <c r="M790" s="4" cm="1">
        <f t="array" ref="M790">IFERROR(LOOKUP(2,1/(Table1[[#This Row],[2019-May]:[2025-July]]&lt;&gt;0),Table1[[#This Row],[2019-May]:[2025-July]]),0)</f>
        <v>0.5</v>
      </c>
      <c r="N790" s="4">
        <f>COUNTIF(Table1[[#This Row],[2019-Apr]:[2025-July]],"&gt;="&amp;Table1[[#This Row],[Target]])</f>
        <v>2</v>
      </c>
      <c r="O790" s="4">
        <f>IF(Table1[[#This Row],[Outliers 2Y]]=0,1,0)</f>
        <v>0</v>
      </c>
      <c r="P790" s="4">
        <f>IF(Table1[[#This Row],[Last value]]&gt;1.5*Table1[[#This Row],[Target]],1,0)</f>
        <v>0</v>
      </c>
      <c r="Q790" s="4">
        <f>IF(AND(1.5*Table1[[#This Row],[Target]]&gt;=Table1[[#This Row],[Last value]],Table1[[#This Row],[Last value]]&gt;Table1[[#This Row],[Target]]),1,0)</f>
        <v>0</v>
      </c>
      <c r="R790" s="4">
        <f>IF(Table1[[#This Row],[Target]]&gt;=Table1[[#This Row],[Last value]],1,0)</f>
        <v>1</v>
      </c>
      <c r="S790" s="4" t="str">
        <f t="shared" si="20"/>
        <v>Green</v>
      </c>
      <c r="T790" s="55">
        <v>0</v>
      </c>
      <c r="U790" s="55">
        <v>0</v>
      </c>
      <c r="V790" s="55">
        <v>0</v>
      </c>
      <c r="W790" s="55">
        <v>0</v>
      </c>
      <c r="X790" s="55">
        <v>0</v>
      </c>
      <c r="Y790" s="55">
        <v>0</v>
      </c>
      <c r="Z790" s="55">
        <v>0</v>
      </c>
      <c r="AA790" s="55">
        <v>0</v>
      </c>
      <c r="AB790" s="55">
        <v>0</v>
      </c>
      <c r="AC790" s="55">
        <v>0</v>
      </c>
      <c r="AD790" s="55">
        <v>0</v>
      </c>
      <c r="AE790" s="55">
        <v>0</v>
      </c>
      <c r="AF790" s="55">
        <v>0</v>
      </c>
      <c r="AG790" s="55">
        <v>0</v>
      </c>
      <c r="AH790" s="55">
        <v>0</v>
      </c>
      <c r="AI790" s="55">
        <v>0</v>
      </c>
      <c r="AJ790" s="55">
        <v>2.6</v>
      </c>
      <c r="AK790" s="55">
        <v>1.45</v>
      </c>
      <c r="AL790" s="55">
        <v>1.79</v>
      </c>
      <c r="AM790" s="55">
        <v>0</v>
      </c>
      <c r="AN790" s="55">
        <v>5.91</v>
      </c>
      <c r="AO790" s="55">
        <v>2.4</v>
      </c>
      <c r="AP790" s="55">
        <v>1.3</v>
      </c>
      <c r="AQ790" s="55">
        <v>3.46</v>
      </c>
      <c r="AR790" s="8">
        <v>3.23</v>
      </c>
      <c r="AS790" s="8">
        <v>0</v>
      </c>
      <c r="AT790" s="8">
        <v>0</v>
      </c>
      <c r="AU790" s="50">
        <v>3.48</v>
      </c>
      <c r="AV790" s="50">
        <v>5.19</v>
      </c>
      <c r="AW790" s="50">
        <v>0</v>
      </c>
      <c r="AX790" s="50">
        <v>0</v>
      </c>
      <c r="AY790" s="50">
        <v>1.48</v>
      </c>
      <c r="AZ790" s="50">
        <v>0</v>
      </c>
      <c r="BA790" s="50">
        <v>0</v>
      </c>
      <c r="BB790" s="50">
        <v>0</v>
      </c>
      <c r="BC790" s="50">
        <v>0</v>
      </c>
      <c r="BD790" s="55">
        <v>0</v>
      </c>
      <c r="BE790" s="11">
        <v>0</v>
      </c>
      <c r="BF790" s="4">
        <v>0</v>
      </c>
      <c r="BG790" s="4">
        <v>0</v>
      </c>
      <c r="BH790" s="4">
        <v>1.6619999999999999</v>
      </c>
      <c r="BI790" s="4">
        <v>1.524</v>
      </c>
      <c r="BJ790" s="13">
        <v>0</v>
      </c>
      <c r="BK790" s="13">
        <v>0</v>
      </c>
      <c r="BL790" s="4">
        <v>0</v>
      </c>
      <c r="BM790" s="16">
        <v>0</v>
      </c>
      <c r="BN790" s="4">
        <v>0</v>
      </c>
      <c r="BO790" s="4">
        <v>0</v>
      </c>
      <c r="BP790" s="4">
        <v>3.2210000000000001</v>
      </c>
      <c r="BQ790" s="4">
        <v>0</v>
      </c>
      <c r="BR790" s="4">
        <v>0</v>
      </c>
      <c r="BS790" s="4">
        <v>2.0880000000000001</v>
      </c>
      <c r="BT790" s="4">
        <v>0</v>
      </c>
      <c r="BU790" s="4">
        <v>0</v>
      </c>
      <c r="BV790" s="4">
        <v>0</v>
      </c>
      <c r="BW790" s="4">
        <v>1.1499999999999999</v>
      </c>
      <c r="BX790" s="4">
        <v>0</v>
      </c>
      <c r="BY790" s="4">
        <v>0</v>
      </c>
      <c r="BZ790" s="55">
        <v>0</v>
      </c>
      <c r="CA790" s="55">
        <v>0</v>
      </c>
      <c r="CB790" s="55">
        <v>0</v>
      </c>
      <c r="CC790" s="55">
        <v>0</v>
      </c>
      <c r="CD790" s="55">
        <v>0</v>
      </c>
      <c r="CE790" s="19">
        <v>0.5</v>
      </c>
      <c r="CF790" s="19">
        <v>0</v>
      </c>
      <c r="CG790" s="4">
        <v>0</v>
      </c>
      <c r="CH790" s="4">
        <v>0</v>
      </c>
      <c r="CI790" s="4">
        <v>0</v>
      </c>
      <c r="CJ790" s="34">
        <v>0</v>
      </c>
      <c r="CK790" s="34">
        <v>0</v>
      </c>
      <c r="CL790" s="34">
        <v>0</v>
      </c>
      <c r="CM790" s="4">
        <v>0</v>
      </c>
      <c r="CN790" s="53">
        <v>0</v>
      </c>
      <c r="CO790" s="54">
        <v>0</v>
      </c>
      <c r="CP790" s="54">
        <v>0</v>
      </c>
      <c r="CQ790" s="4">
        <v>0</v>
      </c>
    </row>
    <row r="791" spans="1:95" s="55" customFormat="1" x14ac:dyDescent="0.35">
      <c r="A791" s="55">
        <v>790</v>
      </c>
      <c r="B791" s="55" t="s">
        <v>105</v>
      </c>
      <c r="C791" s="27" t="s">
        <v>539</v>
      </c>
      <c r="D791" s="50" t="s">
        <v>94</v>
      </c>
      <c r="E791" s="33" t="s">
        <v>91</v>
      </c>
      <c r="F791" s="4">
        <f>IFERROR(AVERAGEIF(Table1[[#This Row],[2019-Apr]:[2025-July]],"&lt;&gt;0"),0)</f>
        <v>2.6500303030303032</v>
      </c>
      <c r="G791" s="4">
        <f ca="1">IFERROR(AVERAGEIF(OFFSET(Table1[[#This Row],[Status]],0,COUNT(Table1[[#This Row],[2019-May]:[2025-July]]),1,-12),"&lt;&gt;0"),0)</f>
        <v>1.31</v>
      </c>
      <c r="H791" s="55">
        <f>IFERROR(SMALL(Table1[[#This Row],[2019-Apr]:[2025-July]],COUNTIF(Table1[[#This Row],[2019-Apr]:[2025-July]],0)+1),0)</f>
        <v>0.33</v>
      </c>
      <c r="I791" s="55">
        <f>IFERROR(MAX(Table1[[#This Row],[2019-Apr]:[2025-July]]),0)</f>
        <v>7.74</v>
      </c>
      <c r="J791" s="4" cm="1">
        <f t="array" ref="J79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1.1861666666666666</v>
      </c>
      <c r="K791" s="4">
        <v>4.5</v>
      </c>
      <c r="L791" s="4">
        <f>IF(Table1[[#This Row],[Standard as per ISO]]&gt;=Table1[[#This Row],[Avg of best 6]],Table1[[#This Row],[Standard as per ISO]],Table1[[#This Row],[Avg of best 6]])</f>
        <v>4.5</v>
      </c>
      <c r="M791" s="4" cm="1">
        <f t="array" ref="M791">IFERROR(LOOKUP(2,1/(Table1[[#This Row],[2019-May]:[2025-July]]&lt;&gt;0),Table1[[#This Row],[2019-May]:[2025-July]]),0)</f>
        <v>1.49</v>
      </c>
      <c r="N791" s="4">
        <f>COUNTIF(Table1[[#This Row],[2019-Apr]:[2025-July]],"&gt;="&amp;Table1[[#This Row],[Target]])</f>
        <v>2</v>
      </c>
      <c r="O791" s="4">
        <f>IF(Table1[[#This Row],[Outliers 2Y]]=0,1,0)</f>
        <v>0</v>
      </c>
      <c r="P791" s="4">
        <f>IF(Table1[[#This Row],[Last value]]&gt;1.5*Table1[[#This Row],[Target]],1,0)</f>
        <v>0</v>
      </c>
      <c r="Q791" s="4">
        <f>IF(AND(1.5*Table1[[#This Row],[Target]]&gt;=Table1[[#This Row],[Last value]],Table1[[#This Row],[Last value]]&gt;Table1[[#This Row],[Target]]),1,0)</f>
        <v>0</v>
      </c>
      <c r="R791" s="4">
        <f>IF(Table1[[#This Row],[Target]]&gt;=Table1[[#This Row],[Last value]],1,0)</f>
        <v>1</v>
      </c>
      <c r="S791" s="4" t="str">
        <f t="shared" si="20"/>
        <v>Green</v>
      </c>
      <c r="T791" s="55">
        <v>2.19</v>
      </c>
      <c r="U791" s="55">
        <v>0</v>
      </c>
      <c r="V791" s="55">
        <v>2.7</v>
      </c>
      <c r="W791" s="55">
        <v>3.28</v>
      </c>
      <c r="X791" s="55">
        <v>1.85</v>
      </c>
      <c r="Y791" s="55">
        <v>2.33</v>
      </c>
      <c r="Z791" s="55">
        <v>1.8</v>
      </c>
      <c r="AA791" s="55">
        <v>3</v>
      </c>
      <c r="AB791" s="55">
        <v>0</v>
      </c>
      <c r="AC791" s="55">
        <v>2.74</v>
      </c>
      <c r="AD791" s="55">
        <v>2.8</v>
      </c>
      <c r="AE791" s="55">
        <v>2.83</v>
      </c>
      <c r="AF791" s="55">
        <v>2.6</v>
      </c>
      <c r="AG791" s="55">
        <v>2.2000000000000002</v>
      </c>
      <c r="AH791" s="55">
        <v>3</v>
      </c>
      <c r="AI791" s="55">
        <v>2.52</v>
      </c>
      <c r="AJ791" s="55">
        <v>2.7</v>
      </c>
      <c r="AK791" s="55">
        <v>0.33</v>
      </c>
      <c r="AL791" s="55">
        <v>0</v>
      </c>
      <c r="AM791" s="55">
        <v>3.81</v>
      </c>
      <c r="AN791" s="55">
        <v>0</v>
      </c>
      <c r="AO791" s="55">
        <v>2</v>
      </c>
      <c r="AP791" s="55">
        <v>0</v>
      </c>
      <c r="AQ791" s="55">
        <v>2.52</v>
      </c>
      <c r="AR791" s="8">
        <v>2.67</v>
      </c>
      <c r="AS791" s="8">
        <v>3.45</v>
      </c>
      <c r="AT791" s="9">
        <v>7.74</v>
      </c>
      <c r="AU791" s="50">
        <v>2.86</v>
      </c>
      <c r="AV791" s="50">
        <v>0</v>
      </c>
      <c r="AW791" s="50">
        <v>0</v>
      </c>
      <c r="AX791" s="50">
        <v>0</v>
      </c>
      <c r="AY791" s="50">
        <v>0</v>
      </c>
      <c r="AZ791" s="50">
        <v>0</v>
      </c>
      <c r="BA791" s="50">
        <v>0</v>
      </c>
      <c r="BB791" s="50">
        <v>0</v>
      </c>
      <c r="BC791" s="55">
        <v>2.4</v>
      </c>
      <c r="BD791" s="55">
        <v>0</v>
      </c>
      <c r="BE791" s="11">
        <v>1.6830000000000001</v>
      </c>
      <c r="BF791" s="4">
        <v>1.319</v>
      </c>
      <c r="BG791" s="4">
        <v>4.3890000000000002</v>
      </c>
      <c r="BH791" s="4">
        <v>0</v>
      </c>
      <c r="BI791" s="4">
        <v>1.722</v>
      </c>
      <c r="BJ791" s="14">
        <v>0</v>
      </c>
      <c r="BK791" s="14">
        <v>0</v>
      </c>
      <c r="BL791" s="4">
        <v>1.165</v>
      </c>
      <c r="BM791" s="17">
        <v>0</v>
      </c>
      <c r="BN791" s="4">
        <v>0</v>
      </c>
      <c r="BO791" s="4">
        <v>0</v>
      </c>
      <c r="BP791" s="4">
        <v>3.1629999999999998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55">
        <v>0</v>
      </c>
      <c r="CA791" s="55">
        <v>0</v>
      </c>
      <c r="CB791" s="55">
        <v>0</v>
      </c>
      <c r="CC791" s="55">
        <v>0</v>
      </c>
      <c r="CD791" s="55">
        <v>5.07</v>
      </c>
      <c r="CE791" s="19">
        <v>0</v>
      </c>
      <c r="CF791" s="19">
        <v>0</v>
      </c>
      <c r="CG791" s="4">
        <v>1.1299999999999999</v>
      </c>
      <c r="CH791" s="4">
        <v>1.49</v>
      </c>
      <c r="CI791" s="4">
        <v>0</v>
      </c>
      <c r="CJ791" s="34">
        <v>0</v>
      </c>
      <c r="CK791" s="34">
        <v>0</v>
      </c>
      <c r="CL791" s="34">
        <v>0</v>
      </c>
      <c r="CM791" s="4">
        <v>0</v>
      </c>
      <c r="CN791" s="53">
        <v>0</v>
      </c>
      <c r="CO791" s="54">
        <v>0</v>
      </c>
      <c r="CP791" s="54">
        <v>0</v>
      </c>
      <c r="CQ791" s="4">
        <v>0</v>
      </c>
    </row>
    <row r="792" spans="1:95" s="55" customFormat="1" x14ac:dyDescent="0.35">
      <c r="A792" s="55">
        <v>791</v>
      </c>
      <c r="B792" s="55" t="s">
        <v>105</v>
      </c>
      <c r="C792" s="27" t="s">
        <v>540</v>
      </c>
      <c r="D792" s="50" t="s">
        <v>94</v>
      </c>
      <c r="E792" s="33" t="s">
        <v>91</v>
      </c>
      <c r="F792" s="4">
        <f>IFERROR(AVERAGEIF(Table1[[#This Row],[2019-Apr]:[2025-July]],"&lt;&gt;0"),0)</f>
        <v>1.7613939393939393</v>
      </c>
      <c r="G792" s="4">
        <f ca="1">IFERROR(AVERAGEIF(OFFSET(Table1[[#This Row],[Status]],0,COUNT(Table1[[#This Row],[2019-May]:[2025-July]]),1,-12),"&lt;&gt;0"),0)</f>
        <v>1.6800000000000002</v>
      </c>
      <c r="H792" s="55">
        <f>IFERROR(SMALL(Table1[[#This Row],[2019-Apr]:[2025-July]],COUNTIF(Table1[[#This Row],[2019-Apr]:[2025-July]],0)+1),0)</f>
        <v>1.163</v>
      </c>
      <c r="I792" s="55">
        <f>IFERROR(MAX(Table1[[#This Row],[2019-Apr]:[2025-July]]),0)</f>
        <v>5.8170000000000002</v>
      </c>
      <c r="J792" s="4" cm="1">
        <f t="array" ref="J79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1.2028333333333332</v>
      </c>
      <c r="K792" s="4">
        <v>4.5</v>
      </c>
      <c r="L792" s="4">
        <f>IF(Table1[[#This Row],[Standard as per ISO]]&gt;=Table1[[#This Row],[Avg of best 6]],Table1[[#This Row],[Standard as per ISO]],Table1[[#This Row],[Avg of best 6]])</f>
        <v>4.5</v>
      </c>
      <c r="M792" s="4" cm="1">
        <f t="array" ref="M792">IFERROR(LOOKUP(2,1/(Table1[[#This Row],[2019-May]:[2025-July]]&lt;&gt;0),Table1[[#This Row],[2019-May]:[2025-July]]),0)</f>
        <v>1.86</v>
      </c>
      <c r="N792" s="4">
        <f>COUNTIF(Table1[[#This Row],[2019-Apr]:[2025-July]],"&gt;="&amp;Table1[[#This Row],[Target]])</f>
        <v>1</v>
      </c>
      <c r="O792" s="4">
        <f>IF(Table1[[#This Row],[Outliers 2Y]]=0,1,0)</f>
        <v>0</v>
      </c>
      <c r="P792" s="4">
        <f>IF(Table1[[#This Row],[Last value]]&gt;1.5*Table1[[#This Row],[Target]],1,0)</f>
        <v>0</v>
      </c>
      <c r="Q792" s="4">
        <f>IF(AND(1.5*Table1[[#This Row],[Target]]&gt;=Table1[[#This Row],[Last value]],Table1[[#This Row],[Last value]]&gt;Table1[[#This Row],[Target]]),1,0)</f>
        <v>0</v>
      </c>
      <c r="R792" s="4">
        <f>IF(Table1[[#This Row],[Target]]&gt;=Table1[[#This Row],[Last value]],1,0)</f>
        <v>1</v>
      </c>
      <c r="S792" s="4" t="str">
        <f t="shared" si="20"/>
        <v>Green</v>
      </c>
      <c r="T792" s="55">
        <v>0</v>
      </c>
      <c r="U792" s="55">
        <v>0</v>
      </c>
      <c r="V792" s="55">
        <v>0</v>
      </c>
      <c r="W792" s="55">
        <v>1.5</v>
      </c>
      <c r="X792" s="55">
        <v>1.51</v>
      </c>
      <c r="Y792" s="55">
        <v>1.87</v>
      </c>
      <c r="Z792" s="55">
        <v>1.9</v>
      </c>
      <c r="AA792" s="55">
        <v>1.6</v>
      </c>
      <c r="AB792" s="55">
        <v>1.7</v>
      </c>
      <c r="AC792" s="55">
        <v>1.65</v>
      </c>
      <c r="AD792" s="55">
        <v>2.2000000000000002</v>
      </c>
      <c r="AE792" s="55">
        <v>1.77</v>
      </c>
      <c r="AF792" s="55">
        <v>2.35</v>
      </c>
      <c r="AG792" s="55">
        <v>2.6</v>
      </c>
      <c r="AH792" s="55">
        <v>0</v>
      </c>
      <c r="AI792" s="55">
        <v>1.59</v>
      </c>
      <c r="AJ792" s="55">
        <v>1.6</v>
      </c>
      <c r="AK792" s="55">
        <v>1.86</v>
      </c>
      <c r="AL792" s="55">
        <v>1.73</v>
      </c>
      <c r="AM792" s="55">
        <v>1.91</v>
      </c>
      <c r="AN792" s="55">
        <v>0</v>
      </c>
      <c r="AO792" s="55">
        <v>1.5</v>
      </c>
      <c r="AP792" s="55">
        <v>1.24</v>
      </c>
      <c r="AQ792" s="55">
        <v>1.37</v>
      </c>
      <c r="AR792" s="8">
        <v>1.46</v>
      </c>
      <c r="AS792" s="8">
        <v>0</v>
      </c>
      <c r="AT792" s="8">
        <v>0</v>
      </c>
      <c r="AU792" s="50">
        <v>0</v>
      </c>
      <c r="AV792" s="50">
        <v>0</v>
      </c>
      <c r="AW792" s="50">
        <v>1.36</v>
      </c>
      <c r="AX792" s="50">
        <v>1.38</v>
      </c>
      <c r="AY792" s="50">
        <v>1.25</v>
      </c>
      <c r="AZ792" s="50">
        <v>0</v>
      </c>
      <c r="BA792" s="50">
        <v>2.4</v>
      </c>
      <c r="BB792" s="50">
        <v>1.5</v>
      </c>
      <c r="BC792" s="50">
        <v>0</v>
      </c>
      <c r="BD792" s="55">
        <v>0</v>
      </c>
      <c r="BE792" s="11">
        <v>1.1639999999999999</v>
      </c>
      <c r="BF792" s="4">
        <v>1.1639999999999999</v>
      </c>
      <c r="BG792" s="4">
        <v>1.4219999999999999</v>
      </c>
      <c r="BH792" s="4">
        <v>1.236</v>
      </c>
      <c r="BI792" s="4">
        <v>1.163</v>
      </c>
      <c r="BJ792" s="13">
        <v>0</v>
      </c>
      <c r="BK792" s="13">
        <v>0</v>
      </c>
      <c r="BL792" s="4">
        <v>0</v>
      </c>
      <c r="BM792" s="16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5.8170000000000002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55">
        <v>0</v>
      </c>
      <c r="CA792" s="55">
        <v>0</v>
      </c>
      <c r="CB792" s="55">
        <v>0</v>
      </c>
      <c r="CC792" s="55">
        <v>0</v>
      </c>
      <c r="CD792" s="55">
        <v>0</v>
      </c>
      <c r="CE792" s="19">
        <v>1.5</v>
      </c>
      <c r="CF792" s="19">
        <v>0</v>
      </c>
      <c r="CG792" s="4">
        <v>0</v>
      </c>
      <c r="CH792" s="4">
        <v>1.86</v>
      </c>
      <c r="CI792" s="4">
        <v>0</v>
      </c>
      <c r="CJ792" s="34">
        <v>0</v>
      </c>
      <c r="CK792" s="34">
        <v>0</v>
      </c>
      <c r="CL792" s="34">
        <v>0</v>
      </c>
      <c r="CM792" s="4">
        <v>0</v>
      </c>
      <c r="CN792" s="53">
        <v>0</v>
      </c>
      <c r="CO792" s="54">
        <v>0</v>
      </c>
      <c r="CP792" s="54">
        <v>0</v>
      </c>
      <c r="CQ792" s="4">
        <v>0</v>
      </c>
    </row>
    <row r="793" spans="1:95" s="55" customFormat="1" x14ac:dyDescent="0.35">
      <c r="A793" s="55">
        <v>792</v>
      </c>
      <c r="B793" s="55" t="s">
        <v>105</v>
      </c>
      <c r="C793" s="27" t="s">
        <v>541</v>
      </c>
      <c r="D793" s="50" t="s">
        <v>94</v>
      </c>
      <c r="E793" s="33" t="s">
        <v>91</v>
      </c>
      <c r="F793" s="4">
        <f>IFERROR(AVERAGEIF(Table1[[#This Row],[2019-Apr]:[2025-July]],"&lt;&gt;0"),0)</f>
        <v>2.9018636363636365</v>
      </c>
      <c r="G793" s="4">
        <f ca="1">IFERROR(AVERAGEIF(OFFSET(Table1[[#This Row],[Status]],0,COUNT(Table1[[#This Row],[2019-May]:[2025-July]]),1,-12),"&lt;&gt;0"),0)</f>
        <v>2.7366666666666668</v>
      </c>
      <c r="H793" s="55">
        <f>IFERROR(SMALL(Table1[[#This Row],[2019-Apr]:[2025-July]],COUNTIF(Table1[[#This Row],[2019-Apr]:[2025-July]],0)+1),0)</f>
        <v>1.77</v>
      </c>
      <c r="I793" s="55">
        <f>IFERROR(MAX(Table1[[#This Row],[2019-Apr]:[2025-July]]),0)</f>
        <v>4.5999999999999996</v>
      </c>
      <c r="J793" s="4" cm="1">
        <f t="array" ref="J79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1.946666666666667</v>
      </c>
      <c r="K793" s="4">
        <v>4.5</v>
      </c>
      <c r="L793" s="4">
        <f>IF(Table1[[#This Row],[Standard as per ISO]]&gt;=Table1[[#This Row],[Avg of best 6]],Table1[[#This Row],[Standard as per ISO]],Table1[[#This Row],[Avg of best 6]])</f>
        <v>4.5</v>
      </c>
      <c r="M793" s="4" cm="1">
        <f t="array" ref="M793">IFERROR(LOOKUP(2,1/(Table1[[#This Row],[2019-May]:[2025-July]]&lt;&gt;0),Table1[[#This Row],[2019-May]:[2025-July]]),0)</f>
        <v>4.5999999999999996</v>
      </c>
      <c r="N793" s="4">
        <f>COUNTIF(Table1[[#This Row],[2019-Apr]:[2025-July]],"&gt;="&amp;Table1[[#This Row],[Target]])</f>
        <v>1</v>
      </c>
      <c r="O793" s="4">
        <f>IF(Table1[[#This Row],[Outliers 2Y]]=0,1,0)</f>
        <v>0</v>
      </c>
      <c r="P793" s="4">
        <f>IF(Table1[[#This Row],[Last value]]&gt;1.5*Table1[[#This Row],[Target]],1,0)</f>
        <v>0</v>
      </c>
      <c r="Q793" s="4">
        <f>IF(AND(1.5*Table1[[#This Row],[Target]]&gt;=Table1[[#This Row],[Last value]],Table1[[#This Row],[Last value]]&gt;Table1[[#This Row],[Target]]),1,0)</f>
        <v>1</v>
      </c>
      <c r="R793" s="4">
        <f>IF(Table1[[#This Row],[Target]]&gt;=Table1[[#This Row],[Last value]],1,0)</f>
        <v>0</v>
      </c>
      <c r="S793" s="4" t="str">
        <f t="shared" si="20"/>
        <v>Yellow</v>
      </c>
      <c r="T793" s="55">
        <v>1.86</v>
      </c>
      <c r="U793" s="55">
        <v>0</v>
      </c>
      <c r="V793" s="55">
        <v>2.25</v>
      </c>
      <c r="W793" s="55">
        <v>2.5099999999999998</v>
      </c>
      <c r="X793" s="55">
        <v>2.23</v>
      </c>
      <c r="Y793" s="55">
        <v>2.41</v>
      </c>
      <c r="Z793" s="55">
        <v>3.14</v>
      </c>
      <c r="AA793" s="55">
        <v>3.5</v>
      </c>
      <c r="AB793" s="55">
        <v>0</v>
      </c>
      <c r="AC793" s="55">
        <v>0</v>
      </c>
      <c r="AD793" s="55">
        <v>0</v>
      </c>
      <c r="AE793" s="55">
        <v>0</v>
      </c>
      <c r="AF793" s="55">
        <v>0</v>
      </c>
      <c r="AG793" s="55">
        <v>0</v>
      </c>
      <c r="AH793" s="55">
        <v>0</v>
      </c>
      <c r="AI793" s="55">
        <v>0</v>
      </c>
      <c r="AJ793" s="55">
        <v>0</v>
      </c>
      <c r="AK793" s="55">
        <v>1.77</v>
      </c>
      <c r="AL793" s="55">
        <v>0</v>
      </c>
      <c r="AM793" s="55">
        <v>2.42</v>
      </c>
      <c r="AN793" s="55">
        <v>1.82</v>
      </c>
      <c r="AO793" s="55">
        <v>0</v>
      </c>
      <c r="AP793" s="55">
        <v>2.99</v>
      </c>
      <c r="AQ793" s="55">
        <v>0</v>
      </c>
      <c r="AR793" s="8">
        <v>0</v>
      </c>
      <c r="AS793" s="8">
        <v>2.82</v>
      </c>
      <c r="AT793" s="8">
        <v>3.81</v>
      </c>
      <c r="AU793" s="50">
        <v>3.37</v>
      </c>
      <c r="AV793" s="50">
        <v>0</v>
      </c>
      <c r="AW793" s="50">
        <v>0</v>
      </c>
      <c r="AX793" s="50">
        <v>3.18</v>
      </c>
      <c r="AY793" s="50">
        <v>0</v>
      </c>
      <c r="AZ793" s="50">
        <v>0</v>
      </c>
      <c r="BA793" s="50">
        <v>3.6</v>
      </c>
      <c r="BB793" s="50">
        <v>3.5</v>
      </c>
      <c r="BC793" s="55">
        <v>4.2</v>
      </c>
      <c r="BD793" s="55">
        <v>0</v>
      </c>
      <c r="BE793" s="11">
        <v>0</v>
      </c>
      <c r="BF793" s="4">
        <v>4.2510000000000003</v>
      </c>
      <c r="BG793" s="4">
        <v>0</v>
      </c>
      <c r="BH793" s="4">
        <v>0</v>
      </c>
      <c r="BI793" s="4">
        <v>0</v>
      </c>
      <c r="BJ793" s="14">
        <v>0</v>
      </c>
      <c r="BK793" s="14">
        <v>0</v>
      </c>
      <c r="BL793" s="4">
        <v>0</v>
      </c>
      <c r="BM793" s="17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55">
        <v>0</v>
      </c>
      <c r="CA793" s="55">
        <v>0</v>
      </c>
      <c r="CB793" s="55">
        <v>0</v>
      </c>
      <c r="CC793" s="55">
        <v>0</v>
      </c>
      <c r="CD793" s="55">
        <v>0</v>
      </c>
      <c r="CE793" s="19">
        <v>1.8</v>
      </c>
      <c r="CF793" s="19">
        <v>0</v>
      </c>
      <c r="CG793" s="4">
        <v>0</v>
      </c>
      <c r="CH793" s="4">
        <v>1.81</v>
      </c>
      <c r="CI793" s="4">
        <v>0</v>
      </c>
      <c r="CJ793" s="34">
        <v>4.5999999999999996</v>
      </c>
      <c r="CK793" s="34">
        <v>0</v>
      </c>
      <c r="CL793" s="34">
        <v>0</v>
      </c>
      <c r="CM793" s="4">
        <v>0</v>
      </c>
      <c r="CN793" s="53">
        <v>0</v>
      </c>
      <c r="CO793" s="54">
        <v>0</v>
      </c>
      <c r="CP793" s="54">
        <v>0</v>
      </c>
      <c r="CQ793" s="4">
        <v>0</v>
      </c>
    </row>
    <row r="794" spans="1:95" s="55" customFormat="1" x14ac:dyDescent="0.35">
      <c r="A794" s="55">
        <v>793</v>
      </c>
      <c r="B794" s="55" t="s">
        <v>105</v>
      </c>
      <c r="C794" s="27" t="s">
        <v>542</v>
      </c>
      <c r="D794" s="50" t="s">
        <v>94</v>
      </c>
      <c r="E794" s="33" t="s">
        <v>91</v>
      </c>
      <c r="F794" s="4">
        <f>IFERROR(AVERAGEIF(Table1[[#This Row],[2019-Apr]:[2025-July]],"&lt;&gt;0"),0)</f>
        <v>3.1180000000000003</v>
      </c>
      <c r="G794" s="4">
        <f ca="1">IFERROR(AVERAGEIF(OFFSET(Table1[[#This Row],[Status]],0,COUNT(Table1[[#This Row],[2019-May]:[2025-July]]),1,-12),"&lt;&gt;0"),0)</f>
        <v>1.79</v>
      </c>
      <c r="H794" s="55">
        <f>IFERROR(SMALL(Table1[[#This Row],[2019-Apr]:[2025-July]],COUNTIF(Table1[[#This Row],[2019-Apr]:[2025-July]],0)+1),0)</f>
        <v>1.1399999999999999</v>
      </c>
      <c r="I794" s="55">
        <f>IFERROR(MAX(Table1[[#This Row],[2019-Apr]:[2025-July]]),0)</f>
        <v>6.3159999999999998</v>
      </c>
      <c r="J794" s="4" cm="1">
        <f t="array" ref="J79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1.7488333333333335</v>
      </c>
      <c r="K794" s="4">
        <v>4.5</v>
      </c>
      <c r="L794" s="4">
        <f>IF(Table1[[#This Row],[Standard as per ISO]]&gt;=Table1[[#This Row],[Avg of best 6]],Table1[[#This Row],[Standard as per ISO]],Table1[[#This Row],[Avg of best 6]])</f>
        <v>4.5</v>
      </c>
      <c r="M794" s="4" cm="1">
        <f t="array" ref="M794">IFERROR(LOOKUP(2,1/(Table1[[#This Row],[2019-May]:[2025-July]]&lt;&gt;0),Table1[[#This Row],[2019-May]:[2025-July]]),0)</f>
        <v>1.78</v>
      </c>
      <c r="N794" s="4">
        <f>COUNTIF(Table1[[#This Row],[2019-Apr]:[2025-July]],"&gt;="&amp;Table1[[#This Row],[Target]])</f>
        <v>1</v>
      </c>
      <c r="O794" s="4">
        <f>IF(Table1[[#This Row],[Outliers 2Y]]=0,1,0)</f>
        <v>0</v>
      </c>
      <c r="P794" s="4">
        <f>IF(Table1[[#This Row],[Last value]]&gt;1.5*Table1[[#This Row],[Target]],1,0)</f>
        <v>0</v>
      </c>
      <c r="Q794" s="4">
        <f>IF(AND(1.5*Table1[[#This Row],[Target]]&gt;=Table1[[#This Row],[Last value]],Table1[[#This Row],[Last value]]&gt;Table1[[#This Row],[Target]]),1,0)</f>
        <v>0</v>
      </c>
      <c r="R794" s="4">
        <f>IF(Table1[[#This Row],[Target]]&gt;=Table1[[#This Row],[Last value]],1,0)</f>
        <v>1</v>
      </c>
      <c r="S794" s="4" t="str">
        <f t="shared" si="20"/>
        <v>Green</v>
      </c>
      <c r="T794" s="55">
        <v>2.0699999999999998</v>
      </c>
      <c r="U794" s="55">
        <v>0</v>
      </c>
      <c r="V794" s="55">
        <v>2.99</v>
      </c>
      <c r="W794" s="55">
        <v>3.67</v>
      </c>
      <c r="X794" s="55">
        <v>0</v>
      </c>
      <c r="Y794" s="55">
        <v>0</v>
      </c>
      <c r="Z794" s="55">
        <v>0</v>
      </c>
      <c r="AA794" s="55">
        <v>3.2</v>
      </c>
      <c r="AB794" s="55">
        <v>0</v>
      </c>
      <c r="AC794" s="55">
        <v>3.44</v>
      </c>
      <c r="AD794" s="55">
        <v>3.38</v>
      </c>
      <c r="AE794" s="55">
        <v>0</v>
      </c>
      <c r="AF794" s="55">
        <v>3.34</v>
      </c>
      <c r="AG794" s="55">
        <v>4.4000000000000004</v>
      </c>
      <c r="AH794" s="55">
        <v>4.16</v>
      </c>
      <c r="AI794" s="55">
        <v>0</v>
      </c>
      <c r="AJ794" s="55">
        <v>0</v>
      </c>
      <c r="AK794" s="55">
        <v>0</v>
      </c>
      <c r="AL794" s="55">
        <v>3.92</v>
      </c>
      <c r="AM794" s="55">
        <v>4.0199999999999996</v>
      </c>
      <c r="AN794" s="55">
        <v>3.45</v>
      </c>
      <c r="AO794" s="55">
        <v>3.8</v>
      </c>
      <c r="AP794" s="55">
        <v>2.95</v>
      </c>
      <c r="AQ794" s="55">
        <v>3.71</v>
      </c>
      <c r="AR794" s="8">
        <v>3.16</v>
      </c>
      <c r="AS794" s="8">
        <v>3.14</v>
      </c>
      <c r="AT794" s="8">
        <v>4.01</v>
      </c>
      <c r="AU794" s="50">
        <v>2.66</v>
      </c>
      <c r="AV794" s="50">
        <v>3.59</v>
      </c>
      <c r="AW794" s="50">
        <v>3.5</v>
      </c>
      <c r="AX794" s="50">
        <v>2.2400000000000002</v>
      </c>
      <c r="AY794" s="50">
        <v>3.64</v>
      </c>
      <c r="AZ794" s="50">
        <v>0</v>
      </c>
      <c r="BA794" s="50">
        <v>2.5</v>
      </c>
      <c r="BB794" s="50">
        <v>3.1</v>
      </c>
      <c r="BC794" s="50">
        <v>0</v>
      </c>
      <c r="BD794" s="55">
        <v>0</v>
      </c>
      <c r="BE794" s="11">
        <v>1.909</v>
      </c>
      <c r="BF794" s="4">
        <v>2.395</v>
      </c>
      <c r="BG794" s="4">
        <v>2.1190000000000002</v>
      </c>
      <c r="BH794" s="4">
        <v>2.08</v>
      </c>
      <c r="BI794" s="4">
        <v>0</v>
      </c>
      <c r="BJ794" s="13">
        <v>0</v>
      </c>
      <c r="BK794" s="13">
        <v>0</v>
      </c>
      <c r="BL794" s="4">
        <v>1.784</v>
      </c>
      <c r="BM794" s="16">
        <v>0</v>
      </c>
      <c r="BN794" s="4">
        <v>0</v>
      </c>
      <c r="BO794" s="4">
        <v>0</v>
      </c>
      <c r="BP794" s="4">
        <v>3.7669999999999999</v>
      </c>
      <c r="BQ794" s="4">
        <v>0</v>
      </c>
      <c r="BR794" s="4">
        <v>0</v>
      </c>
      <c r="BS794" s="4">
        <v>6.3159999999999998</v>
      </c>
      <c r="BT794" s="4">
        <v>0</v>
      </c>
      <c r="BU794" s="4">
        <v>0</v>
      </c>
      <c r="BV794" s="4">
        <v>0</v>
      </c>
      <c r="BW794" s="4">
        <v>1.1399999999999999</v>
      </c>
      <c r="BX794" s="4">
        <v>0</v>
      </c>
      <c r="BY794" s="4">
        <v>0</v>
      </c>
      <c r="BZ794" s="55">
        <v>0</v>
      </c>
      <c r="CA794" s="55">
        <v>0</v>
      </c>
      <c r="CB794" s="55">
        <v>0</v>
      </c>
      <c r="CC794" s="55">
        <v>0</v>
      </c>
      <c r="CD794" s="55">
        <v>0</v>
      </c>
      <c r="CE794" s="19">
        <v>1.8</v>
      </c>
      <c r="CF794" s="19">
        <v>0</v>
      </c>
      <c r="CG794" s="4">
        <v>0</v>
      </c>
      <c r="CH794" s="4">
        <v>1.78</v>
      </c>
      <c r="CI794" s="4">
        <v>0</v>
      </c>
      <c r="CJ794" s="34">
        <v>0</v>
      </c>
      <c r="CK794" s="34">
        <v>0</v>
      </c>
      <c r="CL794" s="34">
        <v>0</v>
      </c>
      <c r="CM794" s="4">
        <v>0</v>
      </c>
      <c r="CN794" s="53">
        <v>0</v>
      </c>
      <c r="CO794" s="54">
        <v>0</v>
      </c>
      <c r="CP794" s="54">
        <v>0</v>
      </c>
      <c r="CQ794" s="4">
        <v>0</v>
      </c>
    </row>
    <row r="795" spans="1:95" s="55" customFormat="1" x14ac:dyDescent="0.35">
      <c r="A795" s="55">
        <v>794</v>
      </c>
      <c r="B795" s="55" t="s">
        <v>105</v>
      </c>
      <c r="C795" s="27" t="s">
        <v>543</v>
      </c>
      <c r="D795" s="50" t="s">
        <v>94</v>
      </c>
      <c r="E795" s="33" t="s">
        <v>91</v>
      </c>
      <c r="F795" s="4">
        <f>IFERROR(AVERAGEIF(Table1[[#This Row],[2019-Apr]:[2025-July]],"&lt;&gt;0"),0)</f>
        <v>1</v>
      </c>
      <c r="G795" s="4">
        <f ca="1">IFERROR(AVERAGEIF(OFFSET(Table1[[#This Row],[Status]],0,COUNT(Table1[[#This Row],[2019-May]:[2025-July]]),1,-12),"&lt;&gt;0"),0)</f>
        <v>1</v>
      </c>
      <c r="H795" s="55">
        <f>IFERROR(SMALL(Table1[[#This Row],[2019-Apr]:[2025-July]],COUNTIF(Table1[[#This Row],[2019-Apr]:[2025-July]],0)+1),0)</f>
        <v>1</v>
      </c>
      <c r="I795" s="55">
        <f>IFERROR(MAX(Table1[[#This Row],[2019-Apr]:[2025-July]]),0)</f>
        <v>1</v>
      </c>
      <c r="J795" s="4" cm="1">
        <f t="array" ref="J79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</v>
      </c>
      <c r="K795" s="4">
        <v>4.5</v>
      </c>
      <c r="L795" s="4">
        <f>IF(Table1[[#This Row],[Standard as per ISO]]&gt;=Table1[[#This Row],[Avg of best 6]],Table1[[#This Row],[Standard as per ISO]],Table1[[#This Row],[Avg of best 6]])</f>
        <v>4.5</v>
      </c>
      <c r="M795" s="4" cm="1">
        <f t="array" ref="M795">IFERROR(LOOKUP(2,1/(Table1[[#This Row],[2019-May]:[2025-July]]&lt;&gt;0),Table1[[#This Row],[2019-May]:[2025-July]]),0)</f>
        <v>1</v>
      </c>
      <c r="N795" s="4">
        <f>COUNTIF(Table1[[#This Row],[2019-Apr]:[2025-July]],"&gt;="&amp;Table1[[#This Row],[Target]])</f>
        <v>0</v>
      </c>
      <c r="O795" s="4">
        <f>IF(Table1[[#This Row],[Outliers 2Y]]=0,1,0)</f>
        <v>1</v>
      </c>
      <c r="P795" s="4">
        <f>IF(Table1[[#This Row],[Last value]]&gt;1.5*Table1[[#This Row],[Target]],1,0)</f>
        <v>0</v>
      </c>
      <c r="Q795" s="4">
        <f>IF(AND(1.5*Table1[[#This Row],[Target]]&gt;=Table1[[#This Row],[Last value]],Table1[[#This Row],[Last value]]&gt;Table1[[#This Row],[Target]]),1,0)</f>
        <v>0</v>
      </c>
      <c r="R795" s="4">
        <f>IF(Table1[[#This Row],[Target]]&gt;=Table1[[#This Row],[Last value]],1,0)</f>
        <v>1</v>
      </c>
      <c r="S795" s="4" t="str">
        <f t="shared" si="20"/>
        <v>Green</v>
      </c>
      <c r="T795" s="55">
        <v>0</v>
      </c>
      <c r="U795" s="55">
        <v>0</v>
      </c>
      <c r="V795" s="55">
        <v>0</v>
      </c>
      <c r="W795" s="55">
        <v>0</v>
      </c>
      <c r="X795" s="55">
        <v>0</v>
      </c>
      <c r="Y795" s="55">
        <v>0</v>
      </c>
      <c r="Z795" s="55">
        <v>0</v>
      </c>
      <c r="AA795" s="55">
        <v>0</v>
      </c>
      <c r="AB795" s="55">
        <v>0</v>
      </c>
      <c r="AC795" s="55">
        <v>0</v>
      </c>
      <c r="AD795" s="55">
        <v>0</v>
      </c>
      <c r="AE795" s="55">
        <v>0</v>
      </c>
      <c r="AF795" s="55">
        <v>0</v>
      </c>
      <c r="AG795" s="55">
        <v>0</v>
      </c>
      <c r="AH795" s="55">
        <v>0</v>
      </c>
      <c r="AI795" s="55">
        <v>0</v>
      </c>
      <c r="AJ795" s="55">
        <v>0</v>
      </c>
      <c r="AK795" s="55">
        <v>0</v>
      </c>
      <c r="AL795" s="55">
        <v>0</v>
      </c>
      <c r="AM795" s="55">
        <v>0</v>
      </c>
      <c r="AN795" s="55">
        <v>0</v>
      </c>
      <c r="AO795" s="55">
        <v>0</v>
      </c>
      <c r="AP795" s="55">
        <v>0</v>
      </c>
      <c r="AQ795" s="55">
        <v>0</v>
      </c>
      <c r="AR795" s="8">
        <v>0</v>
      </c>
      <c r="AS795" s="8">
        <v>0</v>
      </c>
      <c r="AT795" s="8">
        <v>0</v>
      </c>
      <c r="AU795" s="50">
        <v>0</v>
      </c>
      <c r="AV795" s="50">
        <v>0</v>
      </c>
      <c r="AW795" s="50">
        <v>0</v>
      </c>
      <c r="AX795" s="50">
        <v>0</v>
      </c>
      <c r="AY795" s="50">
        <v>0</v>
      </c>
      <c r="AZ795" s="50">
        <v>0</v>
      </c>
      <c r="BA795" s="50">
        <v>0</v>
      </c>
      <c r="BB795" s="50">
        <v>0</v>
      </c>
      <c r="BC795" s="50">
        <v>0</v>
      </c>
      <c r="BD795" s="55">
        <v>0</v>
      </c>
      <c r="BE795" s="11">
        <v>0</v>
      </c>
      <c r="BF795" s="4">
        <v>0</v>
      </c>
      <c r="BG795" s="4">
        <v>0</v>
      </c>
      <c r="BH795" s="4">
        <v>0</v>
      </c>
      <c r="BI795" s="4">
        <v>0</v>
      </c>
      <c r="BJ795" s="14">
        <v>0</v>
      </c>
      <c r="BK795" s="14">
        <v>0</v>
      </c>
      <c r="BL795" s="4">
        <v>0</v>
      </c>
      <c r="BM795" s="17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55">
        <v>0</v>
      </c>
      <c r="CA795" s="55">
        <v>0</v>
      </c>
      <c r="CB795" s="55">
        <v>0</v>
      </c>
      <c r="CC795" s="55">
        <v>0</v>
      </c>
      <c r="CD795" s="55">
        <v>0</v>
      </c>
      <c r="CE795" s="19">
        <v>0</v>
      </c>
      <c r="CF795" s="19">
        <v>0</v>
      </c>
      <c r="CG795" s="4">
        <v>1</v>
      </c>
      <c r="CH795" s="4">
        <v>0</v>
      </c>
      <c r="CI795" s="4">
        <v>0</v>
      </c>
      <c r="CJ795" s="34">
        <v>0</v>
      </c>
      <c r="CK795" s="34">
        <v>0</v>
      </c>
      <c r="CL795" s="34">
        <v>0</v>
      </c>
      <c r="CM795" s="4">
        <v>0</v>
      </c>
      <c r="CN795" s="53">
        <v>0</v>
      </c>
      <c r="CO795" s="54">
        <v>0</v>
      </c>
      <c r="CP795" s="54">
        <v>0</v>
      </c>
      <c r="CQ795" s="4">
        <v>0</v>
      </c>
    </row>
    <row r="796" spans="1:95" s="55" customFormat="1" x14ac:dyDescent="0.35">
      <c r="A796" s="55">
        <v>795</v>
      </c>
      <c r="B796" s="55" t="s">
        <v>105</v>
      </c>
      <c r="C796" s="27" t="s">
        <v>544</v>
      </c>
      <c r="D796" s="50" t="s">
        <v>94</v>
      </c>
      <c r="E796" s="33" t="s">
        <v>91</v>
      </c>
      <c r="F796" s="4">
        <f>IFERROR(AVERAGEIF(Table1[[#This Row],[2019-Apr]:[2025-July]],"&lt;&gt;0"),0)</f>
        <v>4.1022666666666687</v>
      </c>
      <c r="G796" s="4">
        <f ca="1">IFERROR(AVERAGEIF(OFFSET(Table1[[#This Row],[Status]],0,COUNT(Table1[[#This Row],[2019-May]:[2025-July]]),1,-12),"&lt;&gt;0"),0)</f>
        <v>3.7350000000000003</v>
      </c>
      <c r="H796" s="55">
        <f>IFERROR(SMALL(Table1[[#This Row],[2019-Apr]:[2025-July]],COUNTIF(Table1[[#This Row],[2019-Apr]:[2025-July]],0)+1),0)</f>
        <v>3.19</v>
      </c>
      <c r="I796" s="55">
        <f>IFERROR(MAX(Table1[[#This Row],[2019-Apr]:[2025-July]]),0)</f>
        <v>5.74</v>
      </c>
      <c r="J796" s="4" cm="1">
        <f t="array" ref="J79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3.3981666666666666</v>
      </c>
      <c r="K796" s="4">
        <v>4.5</v>
      </c>
      <c r="L796" s="4">
        <f>IF(Table1[[#This Row],[Standard as per ISO]]&gt;=Table1[[#This Row],[Avg of best 6]],Table1[[#This Row],[Standard as per ISO]],Table1[[#This Row],[Avg of best 6]])</f>
        <v>4.5</v>
      </c>
      <c r="M796" s="4" cm="1">
        <f t="array" ref="M796">IFERROR(LOOKUP(2,1/(Table1[[#This Row],[2019-May]:[2025-July]]&lt;&gt;0),Table1[[#This Row],[2019-May]:[2025-July]]),0)</f>
        <v>3.68</v>
      </c>
      <c r="N796" s="4">
        <f>COUNTIF(Table1[[#This Row],[2019-Apr]:[2025-July]],"&gt;="&amp;Table1[[#This Row],[Target]])</f>
        <v>6</v>
      </c>
      <c r="O796" s="4">
        <f>IF(Table1[[#This Row],[Outliers 2Y]]=0,1,0)</f>
        <v>0</v>
      </c>
      <c r="P796" s="4">
        <f>IF(Table1[[#This Row],[Last value]]&gt;1.5*Table1[[#This Row],[Target]],1,0)</f>
        <v>0</v>
      </c>
      <c r="Q796" s="4">
        <f>IF(AND(1.5*Table1[[#This Row],[Target]]&gt;=Table1[[#This Row],[Last value]],Table1[[#This Row],[Last value]]&gt;Table1[[#This Row],[Target]]),1,0)</f>
        <v>0</v>
      </c>
      <c r="R796" s="4">
        <f>IF(Table1[[#This Row],[Target]]&gt;=Table1[[#This Row],[Last value]],1,0)</f>
        <v>1</v>
      </c>
      <c r="S796" s="4" t="str">
        <f t="shared" si="20"/>
        <v>Green</v>
      </c>
      <c r="T796" s="55">
        <v>4.58</v>
      </c>
      <c r="U796" s="55">
        <v>3.47</v>
      </c>
      <c r="V796" s="55">
        <v>0</v>
      </c>
      <c r="W796" s="55">
        <v>4.4000000000000004</v>
      </c>
      <c r="X796" s="55">
        <v>3.82</v>
      </c>
      <c r="Y796" s="55">
        <v>3.36</v>
      </c>
      <c r="Z796" s="55">
        <v>0</v>
      </c>
      <c r="AA796" s="55">
        <v>0</v>
      </c>
      <c r="AB796" s="55">
        <v>0</v>
      </c>
      <c r="AC796" s="55">
        <v>5.74</v>
      </c>
      <c r="AD796" s="55">
        <v>4.38</v>
      </c>
      <c r="AE796" s="55">
        <v>0</v>
      </c>
      <c r="AF796" s="55">
        <v>4.3810000000000002</v>
      </c>
      <c r="AG796" s="55">
        <v>0</v>
      </c>
      <c r="AH796" s="55">
        <v>0</v>
      </c>
      <c r="AI796" s="55">
        <v>0</v>
      </c>
      <c r="AJ796" s="55">
        <v>3.46</v>
      </c>
      <c r="AK796" s="55">
        <v>3.46</v>
      </c>
      <c r="AL796" s="55">
        <v>0</v>
      </c>
      <c r="AM796" s="55">
        <v>3.19</v>
      </c>
      <c r="AN796" s="55">
        <v>3.73</v>
      </c>
      <c r="AO796" s="55">
        <v>0</v>
      </c>
      <c r="AP796" s="55">
        <v>4.13</v>
      </c>
      <c r="AQ796" s="55">
        <v>4.7</v>
      </c>
      <c r="AR796" s="8">
        <v>0</v>
      </c>
      <c r="AS796" s="8">
        <v>0</v>
      </c>
      <c r="AT796" s="8">
        <v>0</v>
      </c>
      <c r="AU796" s="50">
        <v>0</v>
      </c>
      <c r="AV796" s="50">
        <v>4.07</v>
      </c>
      <c r="AW796" s="50">
        <v>4</v>
      </c>
      <c r="AX796" s="50">
        <v>3.67</v>
      </c>
      <c r="AY796" s="50">
        <v>3.84</v>
      </c>
      <c r="AZ796" s="50">
        <v>0</v>
      </c>
      <c r="BA796" s="50">
        <v>4</v>
      </c>
      <c r="BB796" s="50">
        <v>4.5</v>
      </c>
      <c r="BC796" s="55">
        <v>4.4000000000000004</v>
      </c>
      <c r="BD796" s="55">
        <v>0</v>
      </c>
      <c r="BE796" s="11">
        <v>4.93</v>
      </c>
      <c r="BF796" s="4">
        <v>4.93</v>
      </c>
      <c r="BG796" s="4">
        <v>0</v>
      </c>
      <c r="BH796" s="4">
        <v>4.4420000000000002</v>
      </c>
      <c r="BI796" s="4">
        <v>4.4420000000000002</v>
      </c>
      <c r="BJ796" s="13">
        <v>0</v>
      </c>
      <c r="BK796" s="13">
        <v>0</v>
      </c>
      <c r="BL796" s="4">
        <v>0</v>
      </c>
      <c r="BM796" s="16">
        <v>0</v>
      </c>
      <c r="BN796" s="4">
        <v>0</v>
      </c>
      <c r="BO796" s="4">
        <v>0</v>
      </c>
      <c r="BP796" s="4">
        <v>3.4489999999999998</v>
      </c>
      <c r="BQ796" s="4">
        <v>0</v>
      </c>
      <c r="BR796" s="4">
        <v>0</v>
      </c>
      <c r="BS796" s="4">
        <v>4.4240000000000004</v>
      </c>
      <c r="BT796" s="4">
        <v>0</v>
      </c>
      <c r="BU796" s="4">
        <v>0</v>
      </c>
      <c r="BV796" s="4">
        <v>0</v>
      </c>
      <c r="BW796" s="4">
        <v>3.7</v>
      </c>
      <c r="BX796" s="4">
        <v>0</v>
      </c>
      <c r="BY796" s="4">
        <v>0</v>
      </c>
      <c r="BZ796" s="55">
        <v>0</v>
      </c>
      <c r="CA796" s="55">
        <v>0</v>
      </c>
      <c r="CB796" s="55">
        <v>0</v>
      </c>
      <c r="CC796" s="55">
        <v>0</v>
      </c>
      <c r="CD796" s="55">
        <v>0</v>
      </c>
      <c r="CE796" s="19">
        <v>0</v>
      </c>
      <c r="CF796" s="19">
        <v>0</v>
      </c>
      <c r="CG796" s="4">
        <v>3.79</v>
      </c>
      <c r="CH796" s="4">
        <v>3.68</v>
      </c>
      <c r="CI796" s="4">
        <v>0</v>
      </c>
      <c r="CJ796" s="34">
        <v>0</v>
      </c>
      <c r="CK796" s="34">
        <v>0</v>
      </c>
      <c r="CL796" s="34">
        <v>0</v>
      </c>
      <c r="CM796" s="4">
        <v>0</v>
      </c>
      <c r="CN796" s="53">
        <v>0</v>
      </c>
      <c r="CO796" s="54">
        <v>0</v>
      </c>
      <c r="CP796" s="54">
        <v>0</v>
      </c>
      <c r="CQ796" s="4">
        <v>0</v>
      </c>
    </row>
    <row r="797" spans="1:95" s="55" customFormat="1" x14ac:dyDescent="0.35">
      <c r="A797" s="55">
        <v>796</v>
      </c>
      <c r="B797" s="55" t="s">
        <v>105</v>
      </c>
      <c r="C797" s="27" t="s">
        <v>545</v>
      </c>
      <c r="D797" s="50" t="s">
        <v>94</v>
      </c>
      <c r="E797" s="33" t="s">
        <v>91</v>
      </c>
      <c r="F797" s="4">
        <f>IFERROR(AVERAGEIF(Table1[[#This Row],[2019-Apr]:[2025-July]],"&lt;&gt;0"),0)</f>
        <v>4.1152800000000003</v>
      </c>
      <c r="G797" s="4">
        <f ca="1">IFERROR(AVERAGEIF(OFFSET(Table1[[#This Row],[Status]],0,COUNT(Table1[[#This Row],[2019-May]:[2025-July]]),1,-12),"&lt;&gt;0"),0)</f>
        <v>3.5</v>
      </c>
      <c r="H797" s="55">
        <f>IFERROR(SMALL(Table1[[#This Row],[2019-Apr]:[2025-July]],COUNTIF(Table1[[#This Row],[2019-Apr]:[2025-July]],0)+1),0)</f>
        <v>2.1389999999999998</v>
      </c>
      <c r="I797" s="55">
        <f>IFERROR(MAX(Table1[[#This Row],[2019-Apr]:[2025-July]]),0)</f>
        <v>6.7149999999999999</v>
      </c>
      <c r="J797" s="4" cm="1">
        <f t="array" ref="J79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2.7050000000000001</v>
      </c>
      <c r="K797" s="4">
        <v>4.5</v>
      </c>
      <c r="L797" s="4">
        <f>IF(Table1[[#This Row],[Standard as per ISO]]&gt;=Table1[[#This Row],[Avg of best 6]],Table1[[#This Row],[Standard as per ISO]],Table1[[#This Row],[Avg of best 6]])</f>
        <v>4.5</v>
      </c>
      <c r="M797" s="4" cm="1">
        <f t="array" ref="M797">IFERROR(LOOKUP(2,1/(Table1[[#This Row],[2019-May]:[2025-July]]&lt;&gt;0),Table1[[#This Row],[2019-May]:[2025-July]]),0)</f>
        <v>3.5</v>
      </c>
      <c r="N797" s="4">
        <f>COUNTIF(Table1[[#This Row],[2019-Apr]:[2025-July]],"&gt;="&amp;Table1[[#This Row],[Target]])</f>
        <v>10</v>
      </c>
      <c r="O797" s="4">
        <f>IF(Table1[[#This Row],[Outliers 2Y]]=0,1,0)</f>
        <v>0</v>
      </c>
      <c r="P797" s="4">
        <f>IF(Table1[[#This Row],[Last value]]&gt;1.5*Table1[[#This Row],[Target]],1,0)</f>
        <v>0</v>
      </c>
      <c r="Q797" s="4">
        <f>IF(AND(1.5*Table1[[#This Row],[Target]]&gt;=Table1[[#This Row],[Last value]],Table1[[#This Row],[Last value]]&gt;Table1[[#This Row],[Target]]),1,0)</f>
        <v>0</v>
      </c>
      <c r="R797" s="4">
        <f>IF(Table1[[#This Row],[Target]]&gt;=Table1[[#This Row],[Last value]],1,0)</f>
        <v>1</v>
      </c>
      <c r="S797" s="4" t="str">
        <f t="shared" si="20"/>
        <v>Green</v>
      </c>
      <c r="T797" s="55">
        <v>3.52</v>
      </c>
      <c r="U797" s="55">
        <v>0</v>
      </c>
      <c r="V797" s="55">
        <v>3.27</v>
      </c>
      <c r="W797" s="55">
        <v>4.09</v>
      </c>
      <c r="X797" s="55">
        <v>3</v>
      </c>
      <c r="Y797" s="55">
        <v>0</v>
      </c>
      <c r="Z797" s="55">
        <v>2.62</v>
      </c>
      <c r="AA797" s="55">
        <v>0</v>
      </c>
      <c r="AB797" s="55">
        <v>0</v>
      </c>
      <c r="AC797" s="55">
        <v>0</v>
      </c>
      <c r="AD797" s="55">
        <v>0</v>
      </c>
      <c r="AE797" s="55">
        <v>3.7</v>
      </c>
      <c r="AF797" s="55">
        <v>0</v>
      </c>
      <c r="AG797" s="55">
        <v>4.3</v>
      </c>
      <c r="AH797" s="55">
        <v>4.8</v>
      </c>
      <c r="AI797" s="55">
        <v>2.71</v>
      </c>
      <c r="AJ797" s="55">
        <v>0</v>
      </c>
      <c r="AK797" s="55">
        <v>2.95</v>
      </c>
      <c r="AL797" s="55">
        <v>4.79</v>
      </c>
      <c r="AM797" s="55">
        <v>0</v>
      </c>
      <c r="AN797" s="55">
        <v>6.05</v>
      </c>
      <c r="AO797" s="55">
        <v>3.6</v>
      </c>
      <c r="AP797" s="55">
        <v>0</v>
      </c>
      <c r="AQ797" s="55">
        <v>0</v>
      </c>
      <c r="AR797" s="8">
        <v>4.3499999999999996</v>
      </c>
      <c r="AS797" s="8">
        <v>4.6900000000000004</v>
      </c>
      <c r="AT797" s="8">
        <v>0</v>
      </c>
      <c r="AU797" s="50">
        <v>0</v>
      </c>
      <c r="AV797" s="50">
        <v>0</v>
      </c>
      <c r="AW797" s="50">
        <v>0</v>
      </c>
      <c r="AX797" s="50">
        <v>0</v>
      </c>
      <c r="AY797" s="50">
        <v>0</v>
      </c>
      <c r="AZ797" s="50">
        <v>0</v>
      </c>
      <c r="BA797" s="50">
        <v>0</v>
      </c>
      <c r="BB797" s="50">
        <v>0</v>
      </c>
      <c r="BC797" s="55">
        <v>5</v>
      </c>
      <c r="BD797" s="55">
        <v>0</v>
      </c>
      <c r="BE797" s="11">
        <v>5.1139999999999999</v>
      </c>
      <c r="BF797" s="4">
        <v>6.0430000000000001</v>
      </c>
      <c r="BG797" s="4">
        <v>5.0599999999999996</v>
      </c>
      <c r="BH797" s="4">
        <v>0</v>
      </c>
      <c r="BI797" s="4">
        <v>5.0599999999999996</v>
      </c>
      <c r="BJ797" s="14">
        <v>0</v>
      </c>
      <c r="BK797" s="14">
        <v>0</v>
      </c>
      <c r="BL797" s="4">
        <v>6.7149999999999999</v>
      </c>
      <c r="BM797" s="17">
        <v>0</v>
      </c>
      <c r="BN797" s="4">
        <v>0</v>
      </c>
      <c r="BO797" s="4">
        <v>0</v>
      </c>
      <c r="BP797" s="4">
        <v>2.972</v>
      </c>
      <c r="BQ797" s="4">
        <v>0</v>
      </c>
      <c r="BR797" s="4">
        <v>0</v>
      </c>
      <c r="BS797" s="4">
        <v>2.839</v>
      </c>
      <c r="BT797" s="4">
        <v>0</v>
      </c>
      <c r="BU797" s="4">
        <v>0</v>
      </c>
      <c r="BV797" s="4">
        <v>0</v>
      </c>
      <c r="BW797" s="4">
        <v>2.1389999999999998</v>
      </c>
      <c r="BX797" s="4">
        <v>0</v>
      </c>
      <c r="BY797" s="4">
        <v>0</v>
      </c>
      <c r="BZ797" s="55">
        <v>0</v>
      </c>
      <c r="CA797" s="55">
        <v>0</v>
      </c>
      <c r="CB797" s="55">
        <v>0</v>
      </c>
      <c r="CC797" s="55">
        <v>0</v>
      </c>
      <c r="CD797" s="55">
        <v>0</v>
      </c>
      <c r="CE797" s="19">
        <v>3.5</v>
      </c>
      <c r="CF797" s="19">
        <v>0</v>
      </c>
      <c r="CG797" s="4">
        <v>0</v>
      </c>
      <c r="CH797" s="4">
        <v>0</v>
      </c>
      <c r="CI797" s="4">
        <v>0</v>
      </c>
      <c r="CJ797" s="34">
        <v>0</v>
      </c>
      <c r="CK797" s="34">
        <v>0</v>
      </c>
      <c r="CL797" s="34">
        <v>0</v>
      </c>
      <c r="CM797" s="4">
        <v>0</v>
      </c>
      <c r="CN797" s="53">
        <v>0</v>
      </c>
      <c r="CO797" s="54">
        <v>0</v>
      </c>
      <c r="CP797" s="54">
        <v>0</v>
      </c>
      <c r="CQ797" s="4">
        <v>0</v>
      </c>
    </row>
    <row r="798" spans="1:95" s="55" customFormat="1" x14ac:dyDescent="0.35">
      <c r="A798" s="55">
        <v>797</v>
      </c>
      <c r="B798" s="55" t="s">
        <v>105</v>
      </c>
      <c r="C798" s="27" t="s">
        <v>546</v>
      </c>
      <c r="D798" s="50" t="s">
        <v>94</v>
      </c>
      <c r="E798" s="33" t="s">
        <v>91</v>
      </c>
      <c r="F798" s="4">
        <f>IFERROR(AVERAGEIF(Table1[[#This Row],[2019-Apr]:[2025-July]],"&lt;&gt;0"),0)</f>
        <v>3.856818181818181</v>
      </c>
      <c r="G798" s="4">
        <f ca="1">IFERROR(AVERAGEIF(OFFSET(Table1[[#This Row],[Status]],0,COUNT(Table1[[#This Row],[2019-May]:[2025-July]]),1,-12),"&lt;&gt;0"),0)</f>
        <v>3.48</v>
      </c>
      <c r="H798" s="55">
        <f>IFERROR(SMALL(Table1[[#This Row],[2019-Apr]:[2025-July]],COUNTIF(Table1[[#This Row],[2019-Apr]:[2025-July]],0)+1),0)</f>
        <v>2.9</v>
      </c>
      <c r="I798" s="55">
        <f>IFERROR(MAX(Table1[[#This Row],[2019-Apr]:[2025-July]]),0)</f>
        <v>5.4</v>
      </c>
      <c r="J798" s="4" cm="1">
        <f t="array" ref="J79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3.257166666666667</v>
      </c>
      <c r="K798" s="4">
        <v>4.5</v>
      </c>
      <c r="L798" s="4">
        <f>IF(Table1[[#This Row],[Standard as per ISO]]&gt;=Table1[[#This Row],[Avg of best 6]],Table1[[#This Row],[Standard as per ISO]],Table1[[#This Row],[Avg of best 6]])</f>
        <v>4.5</v>
      </c>
      <c r="M798" s="4" cm="1">
        <f t="array" ref="M798">IFERROR(LOOKUP(2,1/(Table1[[#This Row],[2019-May]:[2025-July]]&lt;&gt;0),Table1[[#This Row],[2019-May]:[2025-July]]),0)</f>
        <v>3.75</v>
      </c>
      <c r="N798" s="4">
        <f>COUNTIF(Table1[[#This Row],[2019-Apr]:[2025-July]],"&gt;="&amp;Table1[[#This Row],[Target]])</f>
        <v>4</v>
      </c>
      <c r="O798" s="4">
        <f>IF(Table1[[#This Row],[Outliers 2Y]]=0,1,0)</f>
        <v>0</v>
      </c>
      <c r="P798" s="4">
        <f>IF(Table1[[#This Row],[Last value]]&gt;1.5*Table1[[#This Row],[Target]],1,0)</f>
        <v>0</v>
      </c>
      <c r="Q798" s="4">
        <f>IF(AND(1.5*Table1[[#This Row],[Target]]&gt;=Table1[[#This Row],[Last value]],Table1[[#This Row],[Last value]]&gt;Table1[[#This Row],[Target]]),1,0)</f>
        <v>0</v>
      </c>
      <c r="R798" s="4">
        <f>IF(Table1[[#This Row],[Target]]&gt;=Table1[[#This Row],[Last value]],1,0)</f>
        <v>1</v>
      </c>
      <c r="S798" s="4" t="str">
        <f t="shared" si="20"/>
        <v>Green</v>
      </c>
      <c r="T798" s="55">
        <v>3.17</v>
      </c>
      <c r="U798" s="55">
        <v>3.59</v>
      </c>
      <c r="V798" s="55">
        <v>3.2</v>
      </c>
      <c r="W798" s="55">
        <v>3.58</v>
      </c>
      <c r="X798" s="55">
        <v>0</v>
      </c>
      <c r="Y798" s="55">
        <v>0</v>
      </c>
      <c r="Z798" s="55">
        <v>0</v>
      </c>
      <c r="AA798" s="55">
        <v>3.2</v>
      </c>
      <c r="AB798" s="55">
        <v>2.9</v>
      </c>
      <c r="AC798" s="55">
        <v>0</v>
      </c>
      <c r="AD798" s="55">
        <v>0</v>
      </c>
      <c r="AE798" s="55">
        <v>0</v>
      </c>
      <c r="AF798" s="55">
        <v>0</v>
      </c>
      <c r="AG798" s="55">
        <v>0</v>
      </c>
      <c r="AH798" s="55">
        <v>0</v>
      </c>
      <c r="AI798" s="55">
        <v>0</v>
      </c>
      <c r="AJ798" s="55">
        <v>3.7</v>
      </c>
      <c r="AK798" s="55">
        <v>0</v>
      </c>
      <c r="AL798" s="55">
        <v>0</v>
      </c>
      <c r="AM798" s="55">
        <v>0</v>
      </c>
      <c r="AN798" s="55">
        <v>0</v>
      </c>
      <c r="AO798" s="55">
        <v>0</v>
      </c>
      <c r="AP798" s="55">
        <v>5.0599999999999996</v>
      </c>
      <c r="AQ798" s="55">
        <v>0</v>
      </c>
      <c r="AR798" s="8">
        <v>0</v>
      </c>
      <c r="AS798" s="8">
        <v>0</v>
      </c>
      <c r="AT798" s="8">
        <v>4.41</v>
      </c>
      <c r="AU798" s="50">
        <v>3.66</v>
      </c>
      <c r="AV798" s="50">
        <v>3.65</v>
      </c>
      <c r="AW798" s="50">
        <v>3.5</v>
      </c>
      <c r="AX798" s="50">
        <v>0</v>
      </c>
      <c r="AY798" s="50">
        <v>3.73</v>
      </c>
      <c r="AZ798" s="50">
        <v>0</v>
      </c>
      <c r="BA798" s="50">
        <v>0</v>
      </c>
      <c r="BB798" s="50">
        <v>4.9000000000000004</v>
      </c>
      <c r="BC798" s="55">
        <v>5.4</v>
      </c>
      <c r="BD798" s="55">
        <v>0</v>
      </c>
      <c r="BE798" s="11">
        <v>3.5750000000000002</v>
      </c>
      <c r="BF798" s="4">
        <v>3.8860000000000001</v>
      </c>
      <c r="BG798" s="4">
        <v>0</v>
      </c>
      <c r="BH798" s="4">
        <v>3.5329999999999999</v>
      </c>
      <c r="BI798" s="4">
        <v>0</v>
      </c>
      <c r="BJ798" s="13">
        <v>0</v>
      </c>
      <c r="BK798" s="13">
        <v>0</v>
      </c>
      <c r="BL798" s="4">
        <v>0</v>
      </c>
      <c r="BM798" s="16">
        <v>0</v>
      </c>
      <c r="BN798" s="4">
        <v>0</v>
      </c>
      <c r="BO798" s="4">
        <v>0</v>
      </c>
      <c r="BP798" s="4">
        <v>5.0979999999999999</v>
      </c>
      <c r="BQ798" s="4">
        <v>0</v>
      </c>
      <c r="BR798" s="4">
        <v>0</v>
      </c>
      <c r="BS798" s="4">
        <v>4.1479999999999997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55">
        <v>0</v>
      </c>
      <c r="CA798" s="55">
        <v>0</v>
      </c>
      <c r="CB798" s="55">
        <v>0</v>
      </c>
      <c r="CC798" s="55">
        <v>0</v>
      </c>
      <c r="CD798" s="55">
        <v>0</v>
      </c>
      <c r="CE798" s="19">
        <v>0</v>
      </c>
      <c r="CF798" s="19">
        <v>0</v>
      </c>
      <c r="CG798" s="4">
        <v>3.21</v>
      </c>
      <c r="CH798" s="4">
        <v>3.75</v>
      </c>
      <c r="CI798" s="4">
        <v>0</v>
      </c>
      <c r="CJ798" s="34">
        <v>0</v>
      </c>
      <c r="CK798" s="34">
        <v>0</v>
      </c>
      <c r="CL798" s="34">
        <v>0</v>
      </c>
      <c r="CM798" s="4">
        <v>0</v>
      </c>
      <c r="CN798" s="53">
        <v>0</v>
      </c>
      <c r="CO798" s="54">
        <v>0</v>
      </c>
      <c r="CP798" s="54">
        <v>0</v>
      </c>
      <c r="CQ798" s="4">
        <v>0</v>
      </c>
    </row>
    <row r="799" spans="1:95" s="55" customFormat="1" x14ac:dyDescent="0.35">
      <c r="A799" s="55">
        <v>798</v>
      </c>
      <c r="B799" s="55" t="s">
        <v>105</v>
      </c>
      <c r="C799" s="27" t="s">
        <v>547</v>
      </c>
      <c r="D799" s="50" t="s">
        <v>94</v>
      </c>
      <c r="E799" s="33" t="s">
        <v>91</v>
      </c>
      <c r="F799" s="4">
        <f>IFERROR(AVERAGEIF(Table1[[#This Row],[2019-Apr]:[2025-July]],"&lt;&gt;0"),0)</f>
        <v>4.6798928571428577</v>
      </c>
      <c r="G799" s="4">
        <f ca="1">IFERROR(AVERAGEIF(OFFSET(Table1[[#This Row],[Status]],0,COUNT(Table1[[#This Row],[2019-May]:[2025-July]]),1,-12),"&lt;&gt;0"),0)</f>
        <v>0</v>
      </c>
      <c r="H799" s="55">
        <f>IFERROR(SMALL(Table1[[#This Row],[2019-Apr]:[2025-July]],COUNTIF(Table1[[#This Row],[2019-Apr]:[2025-July]],0)+1),0)</f>
        <v>2.8420000000000001</v>
      </c>
      <c r="I799" s="55">
        <f>IFERROR(MAX(Table1[[#This Row],[2019-Apr]:[2025-July]]),0)</f>
        <v>6.58</v>
      </c>
      <c r="J799" s="4" cm="1">
        <f t="array" ref="J79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3.4521666666666668</v>
      </c>
      <c r="K799" s="4">
        <v>4.5</v>
      </c>
      <c r="L799" s="4">
        <f>IF(Table1[[#This Row],[Standard as per ISO]]&gt;=Table1[[#This Row],[Avg of best 6]],Table1[[#This Row],[Standard as per ISO]],Table1[[#This Row],[Avg of best 6]])</f>
        <v>4.5</v>
      </c>
      <c r="M799" s="4" cm="1">
        <f t="array" ref="M799">IFERROR(LOOKUP(2,1/(Table1[[#This Row],[2019-May]:[2025-July]]&lt;&gt;0),Table1[[#This Row],[2019-May]:[2025-July]]),0)</f>
        <v>2.8420000000000001</v>
      </c>
      <c r="N799" s="4">
        <f>COUNTIF(Table1[[#This Row],[2019-Apr]:[2025-July]],"&gt;="&amp;Table1[[#This Row],[Target]])</f>
        <v>18</v>
      </c>
      <c r="O799" s="4">
        <f>IF(Table1[[#This Row],[Outliers 2Y]]=0,1,0)</f>
        <v>0</v>
      </c>
      <c r="P799" s="4">
        <f>IF(Table1[[#This Row],[Last value]]&gt;1.5*Table1[[#This Row],[Target]],1,0)</f>
        <v>0</v>
      </c>
      <c r="Q799" s="4">
        <f>IF(AND(1.5*Table1[[#This Row],[Target]]&gt;=Table1[[#This Row],[Last value]],Table1[[#This Row],[Last value]]&gt;Table1[[#This Row],[Target]]),1,0)</f>
        <v>0</v>
      </c>
      <c r="R799" s="4">
        <f>IF(Table1[[#This Row],[Target]]&gt;=Table1[[#This Row],[Last value]],1,0)</f>
        <v>1</v>
      </c>
      <c r="S799" s="4" t="str">
        <f t="shared" si="20"/>
        <v>Green</v>
      </c>
      <c r="T799" s="55">
        <v>3.94</v>
      </c>
      <c r="U799" s="55">
        <v>0</v>
      </c>
      <c r="V799" s="55">
        <v>0</v>
      </c>
      <c r="W799" s="55">
        <v>4.0999999999999996</v>
      </c>
      <c r="X799" s="55">
        <v>0</v>
      </c>
      <c r="Y799" s="55">
        <v>4.8099999999999996</v>
      </c>
      <c r="Z799" s="55">
        <v>3.64</v>
      </c>
      <c r="AA799" s="55">
        <v>5.43</v>
      </c>
      <c r="AB799" s="55">
        <v>0</v>
      </c>
      <c r="AC799" s="55">
        <v>5.08</v>
      </c>
      <c r="AD799" s="55">
        <v>5.2</v>
      </c>
      <c r="AE799" s="55">
        <v>4.91</v>
      </c>
      <c r="AF799" s="55">
        <v>4.9000000000000004</v>
      </c>
      <c r="AG799" s="55">
        <v>4.9000000000000004</v>
      </c>
      <c r="AH799" s="55">
        <v>5.2</v>
      </c>
      <c r="AI799" s="55">
        <v>5.29</v>
      </c>
      <c r="AJ799" s="55">
        <v>0</v>
      </c>
      <c r="AK799" s="55">
        <v>4.8499999999999996</v>
      </c>
      <c r="AL799" s="55">
        <v>4.67</v>
      </c>
      <c r="AM799" s="55">
        <v>0</v>
      </c>
      <c r="AN799" s="55">
        <v>0</v>
      </c>
      <c r="AO799" s="55">
        <v>5.8</v>
      </c>
      <c r="AP799" s="55">
        <v>0</v>
      </c>
      <c r="AQ799" s="55">
        <v>5.45</v>
      </c>
      <c r="AR799" s="8">
        <v>5</v>
      </c>
      <c r="AS799" s="8">
        <v>5.25</v>
      </c>
      <c r="AT799" s="8">
        <v>5.71</v>
      </c>
      <c r="AU799" s="50">
        <v>6.58</v>
      </c>
      <c r="AV799" s="50">
        <v>0</v>
      </c>
      <c r="AW799" s="50">
        <v>5.47</v>
      </c>
      <c r="AX799" s="50">
        <v>3.83</v>
      </c>
      <c r="AY799" s="50">
        <v>0</v>
      </c>
      <c r="AZ799" s="50">
        <v>0</v>
      </c>
      <c r="BA799" s="50">
        <v>3.3</v>
      </c>
      <c r="BB799" s="50">
        <v>0</v>
      </c>
      <c r="BC799" s="50">
        <v>0</v>
      </c>
      <c r="BD799" s="55">
        <v>0</v>
      </c>
      <c r="BE799" s="11">
        <v>3.581</v>
      </c>
      <c r="BF799" s="4">
        <v>3.581</v>
      </c>
      <c r="BG799" s="4">
        <v>3.9540000000000002</v>
      </c>
      <c r="BH799" s="4">
        <v>3.7690000000000001</v>
      </c>
      <c r="BI799" s="4">
        <v>0</v>
      </c>
      <c r="BJ799" s="14">
        <v>0</v>
      </c>
      <c r="BK799" s="14">
        <v>0</v>
      </c>
      <c r="BL799" s="4">
        <v>0</v>
      </c>
      <c r="BM799" s="17">
        <v>0</v>
      </c>
      <c r="BN799" s="4">
        <v>0</v>
      </c>
      <c r="BO799" s="4">
        <v>0</v>
      </c>
      <c r="BP799" s="4">
        <v>2.8420000000000001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55">
        <v>0</v>
      </c>
      <c r="CA799" s="55">
        <v>0</v>
      </c>
      <c r="CB799" s="55">
        <v>0</v>
      </c>
      <c r="CC799" s="55">
        <v>0</v>
      </c>
      <c r="CD799" s="55">
        <v>0</v>
      </c>
      <c r="CE799" s="19">
        <v>0</v>
      </c>
      <c r="CF799" s="19">
        <v>0</v>
      </c>
      <c r="CG799" s="4">
        <v>0</v>
      </c>
      <c r="CH799" s="4">
        <v>0</v>
      </c>
      <c r="CI799" s="4">
        <v>0</v>
      </c>
      <c r="CJ799" s="34">
        <v>0</v>
      </c>
      <c r="CK799" s="34">
        <v>0</v>
      </c>
      <c r="CL799" s="34">
        <v>0</v>
      </c>
      <c r="CM799" s="4">
        <v>0</v>
      </c>
      <c r="CN799" s="53">
        <v>0</v>
      </c>
      <c r="CO799" s="54">
        <v>0</v>
      </c>
      <c r="CP799" s="54">
        <v>0</v>
      </c>
      <c r="CQ799" s="4">
        <v>0</v>
      </c>
    </row>
    <row r="800" spans="1:95" s="55" customFormat="1" x14ac:dyDescent="0.35">
      <c r="A800" s="55">
        <v>799</v>
      </c>
      <c r="B800" s="55" t="s">
        <v>105</v>
      </c>
      <c r="C800" s="27" t="s">
        <v>548</v>
      </c>
      <c r="D800" s="50" t="s">
        <v>94</v>
      </c>
      <c r="E800" s="33" t="s">
        <v>91</v>
      </c>
      <c r="F800" s="4">
        <f>IFERROR(AVERAGEIF(Table1[[#This Row],[2019-Apr]:[2025-July]],"&lt;&gt;0"),0)</f>
        <v>4.19475</v>
      </c>
      <c r="G800" s="4">
        <f ca="1">IFERROR(AVERAGEIF(OFFSET(Table1[[#This Row],[Status]],0,COUNT(Table1[[#This Row],[2019-May]:[2025-July]]),1,-12),"&lt;&gt;0"),0)</f>
        <v>4.0599999999999996</v>
      </c>
      <c r="H800" s="55">
        <f>IFERROR(SMALL(Table1[[#This Row],[2019-Apr]:[2025-July]],COUNTIF(Table1[[#This Row],[2019-Apr]:[2025-July]],0)+1),0)</f>
        <v>2.2559999999999998</v>
      </c>
      <c r="I800" s="55">
        <f>IFERROR(MAX(Table1[[#This Row],[2019-Apr]:[2025-July]]),0)</f>
        <v>6.4119999999999999</v>
      </c>
      <c r="J800" s="4" cm="1">
        <f t="array" ref="J80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2.8526666666666665</v>
      </c>
      <c r="K800" s="4">
        <v>4.5</v>
      </c>
      <c r="L800" s="4">
        <f>IF(Table1[[#This Row],[Standard as per ISO]]&gt;=Table1[[#This Row],[Avg of best 6]],Table1[[#This Row],[Standard as per ISO]],Table1[[#This Row],[Avg of best 6]])</f>
        <v>4.5</v>
      </c>
      <c r="M800" s="4" cm="1">
        <f t="array" ref="M800">IFERROR(LOOKUP(2,1/(Table1[[#This Row],[2019-May]:[2025-July]]&lt;&gt;0),Table1[[#This Row],[2019-May]:[2025-July]]),0)</f>
        <v>4.22</v>
      </c>
      <c r="N800" s="4">
        <f>COUNTIF(Table1[[#This Row],[2019-Apr]:[2025-July]],"&gt;="&amp;Table1[[#This Row],[Target]])</f>
        <v>11</v>
      </c>
      <c r="O800" s="4">
        <f>IF(Table1[[#This Row],[Outliers 2Y]]=0,1,0)</f>
        <v>0</v>
      </c>
      <c r="P800" s="4">
        <f>IF(Table1[[#This Row],[Last value]]&gt;1.5*Table1[[#This Row],[Target]],1,0)</f>
        <v>0</v>
      </c>
      <c r="Q800" s="4">
        <f>IF(AND(1.5*Table1[[#This Row],[Target]]&gt;=Table1[[#This Row],[Last value]],Table1[[#This Row],[Last value]]&gt;Table1[[#This Row],[Target]]),1,0)</f>
        <v>0</v>
      </c>
      <c r="R800" s="4">
        <f>IF(Table1[[#This Row],[Target]]&gt;=Table1[[#This Row],[Last value]],1,0)</f>
        <v>1</v>
      </c>
      <c r="S800" s="4" t="str">
        <f t="shared" si="20"/>
        <v>Green</v>
      </c>
      <c r="T800" s="55">
        <v>4.55</v>
      </c>
      <c r="U800" s="55">
        <v>5.83</v>
      </c>
      <c r="V800" s="55">
        <v>3.7</v>
      </c>
      <c r="W800" s="55">
        <v>6.25</v>
      </c>
      <c r="X800" s="55">
        <v>3.66</v>
      </c>
      <c r="Y800" s="55">
        <v>3.16</v>
      </c>
      <c r="Z800" s="55">
        <v>3.1</v>
      </c>
      <c r="AA800" s="55">
        <v>2.9</v>
      </c>
      <c r="AB800" s="55">
        <v>3.5</v>
      </c>
      <c r="AC800" s="55">
        <v>0</v>
      </c>
      <c r="AD800" s="55">
        <v>3.9</v>
      </c>
      <c r="AE800" s="55">
        <v>3.8</v>
      </c>
      <c r="AF800" s="55">
        <v>2.9</v>
      </c>
      <c r="AG800" s="55">
        <v>0</v>
      </c>
      <c r="AH800" s="55">
        <v>0</v>
      </c>
      <c r="AI800" s="55">
        <v>3.18</v>
      </c>
      <c r="AJ800" s="55">
        <v>3.2</v>
      </c>
      <c r="AK800" s="55">
        <v>0</v>
      </c>
      <c r="AL800" s="55">
        <v>0</v>
      </c>
      <c r="AM800" s="55">
        <v>3.24</v>
      </c>
      <c r="AN800" s="55">
        <v>3.58</v>
      </c>
      <c r="AO800" s="55">
        <v>0</v>
      </c>
      <c r="AP800" s="55">
        <v>4.7300000000000004</v>
      </c>
      <c r="AQ800" s="55">
        <v>5.64</v>
      </c>
      <c r="AR800" s="8">
        <v>4.93</v>
      </c>
      <c r="AS800" s="8">
        <v>4.6900000000000004</v>
      </c>
      <c r="AT800" s="8">
        <v>0</v>
      </c>
      <c r="AU800" s="50">
        <v>0</v>
      </c>
      <c r="AV800" s="50">
        <v>6.17</v>
      </c>
      <c r="AW800" s="50">
        <v>0</v>
      </c>
      <c r="AX800" s="50">
        <v>3.72</v>
      </c>
      <c r="AY800" s="50">
        <v>3.66</v>
      </c>
      <c r="AZ800" s="50">
        <v>0</v>
      </c>
      <c r="BA800" s="50">
        <v>2.8</v>
      </c>
      <c r="BB800" s="50">
        <v>0</v>
      </c>
      <c r="BC800" s="50">
        <v>0</v>
      </c>
      <c r="BD800" s="55">
        <v>0</v>
      </c>
      <c r="BE800" s="11">
        <v>6.2309999999999999</v>
      </c>
      <c r="BF800" s="4">
        <v>6.4119999999999999</v>
      </c>
      <c r="BG800" s="4">
        <v>0</v>
      </c>
      <c r="BH800" s="4">
        <v>0</v>
      </c>
      <c r="BI800" s="4">
        <v>6.4119999999999999</v>
      </c>
      <c r="BJ800" s="13">
        <v>0</v>
      </c>
      <c r="BK800" s="13">
        <v>0</v>
      </c>
      <c r="BL800" s="4">
        <v>3.7280000000000002</v>
      </c>
      <c r="BM800" s="16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4.2830000000000004</v>
      </c>
      <c r="BT800" s="4">
        <v>0</v>
      </c>
      <c r="BU800" s="4">
        <v>0</v>
      </c>
      <c r="BV800" s="4">
        <v>0</v>
      </c>
      <c r="BW800" s="4">
        <v>2.2559999999999998</v>
      </c>
      <c r="BX800" s="4">
        <v>0</v>
      </c>
      <c r="BY800" s="4">
        <v>0</v>
      </c>
      <c r="BZ800" s="55">
        <v>0</v>
      </c>
      <c r="CA800" s="55">
        <v>0</v>
      </c>
      <c r="CB800" s="55">
        <v>0</v>
      </c>
      <c r="CC800" s="55">
        <v>0</v>
      </c>
      <c r="CD800" s="55">
        <v>0</v>
      </c>
      <c r="CE800" s="19">
        <v>3.9</v>
      </c>
      <c r="CF800" s="19">
        <v>0</v>
      </c>
      <c r="CG800" s="4">
        <v>0</v>
      </c>
      <c r="CH800" s="4">
        <v>4.22</v>
      </c>
      <c r="CI800" s="4">
        <v>0</v>
      </c>
      <c r="CJ800" s="34">
        <v>0</v>
      </c>
      <c r="CK800" s="34">
        <v>0</v>
      </c>
      <c r="CL800" s="34">
        <v>0</v>
      </c>
      <c r="CM800" s="4">
        <v>0</v>
      </c>
      <c r="CN800" s="53">
        <v>0</v>
      </c>
      <c r="CO800" s="54">
        <v>0</v>
      </c>
      <c r="CP800" s="54">
        <v>0</v>
      </c>
      <c r="CQ800" s="4">
        <v>0</v>
      </c>
    </row>
    <row r="801" spans="1:95" s="55" customFormat="1" x14ac:dyDescent="0.35">
      <c r="A801" s="55">
        <v>800</v>
      </c>
      <c r="B801" s="55" t="s">
        <v>105</v>
      </c>
      <c r="C801" s="27" t="s">
        <v>549</v>
      </c>
      <c r="D801" s="50" t="s">
        <v>94</v>
      </c>
      <c r="E801" s="33" t="s">
        <v>91</v>
      </c>
      <c r="F801" s="4">
        <f>IFERROR(AVERAGEIF(Table1[[#This Row],[2019-Apr]:[2025-July]],"&lt;&gt;0"),0)</f>
        <v>3.6137368421052631</v>
      </c>
      <c r="G801" s="4">
        <f ca="1">IFERROR(AVERAGEIF(OFFSET(Table1[[#This Row],[Status]],0,COUNT(Table1[[#This Row],[2019-May]:[2025-July]]),1,-12),"&lt;&gt;0"),0)</f>
        <v>3.2450000000000001</v>
      </c>
      <c r="H801" s="55">
        <f>IFERROR(SMALL(Table1[[#This Row],[2019-Apr]:[2025-July]],COUNTIF(Table1[[#This Row],[2019-Apr]:[2025-July]],0)+1),0)</f>
        <v>2.62</v>
      </c>
      <c r="I801" s="55">
        <f>IFERROR(MAX(Table1[[#This Row],[2019-Apr]:[2025-July]]),0)</f>
        <v>4.83</v>
      </c>
      <c r="J801" s="4" cm="1">
        <f t="array" ref="J80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2.7665000000000002</v>
      </c>
      <c r="K801" s="4">
        <v>4.5</v>
      </c>
      <c r="L801" s="4">
        <f>IF(Table1[[#This Row],[Standard as per ISO]]&gt;=Table1[[#This Row],[Avg of best 6]],Table1[[#This Row],[Standard as per ISO]],Table1[[#This Row],[Avg of best 6]])</f>
        <v>4.5</v>
      </c>
      <c r="M801" s="4" cm="1">
        <f t="array" ref="M801">IFERROR(LOOKUP(2,1/(Table1[[#This Row],[2019-May]:[2025-July]]&lt;&gt;0),Table1[[#This Row],[2019-May]:[2025-July]]),0)</f>
        <v>3.79</v>
      </c>
      <c r="N801" s="4">
        <f>COUNTIF(Table1[[#This Row],[2019-Apr]:[2025-July]],"&gt;="&amp;Table1[[#This Row],[Target]])</f>
        <v>2</v>
      </c>
      <c r="O801" s="4">
        <f>IF(Table1[[#This Row],[Outliers 2Y]]=0,1,0)</f>
        <v>0</v>
      </c>
      <c r="P801" s="4">
        <f>IF(Table1[[#This Row],[Last value]]&gt;1.5*Table1[[#This Row],[Target]],1,0)</f>
        <v>0</v>
      </c>
      <c r="Q801" s="4">
        <f>IF(AND(1.5*Table1[[#This Row],[Target]]&gt;=Table1[[#This Row],[Last value]],Table1[[#This Row],[Last value]]&gt;Table1[[#This Row],[Target]]),1,0)</f>
        <v>0</v>
      </c>
      <c r="R801" s="4">
        <f>IF(Table1[[#This Row],[Target]]&gt;=Table1[[#This Row],[Last value]],1,0)</f>
        <v>1</v>
      </c>
      <c r="S801" s="4" t="str">
        <f t="shared" si="20"/>
        <v>Green</v>
      </c>
      <c r="T801" s="55">
        <v>3.88</v>
      </c>
      <c r="U801" s="55">
        <v>0</v>
      </c>
      <c r="V801" s="55">
        <v>2.76</v>
      </c>
      <c r="W801" s="55">
        <v>3.26</v>
      </c>
      <c r="X801" s="55">
        <v>0</v>
      </c>
      <c r="Y801" s="55">
        <v>0</v>
      </c>
      <c r="Z801" s="55">
        <v>0</v>
      </c>
      <c r="AA801" s="55">
        <v>0</v>
      </c>
      <c r="AB801" s="55">
        <v>2.95</v>
      </c>
      <c r="AC801" s="55">
        <v>4.33</v>
      </c>
      <c r="AD801" s="55">
        <v>0</v>
      </c>
      <c r="AE801" s="55">
        <v>0</v>
      </c>
      <c r="AF801" s="55">
        <v>0</v>
      </c>
      <c r="AG801" s="55">
        <v>3.6</v>
      </c>
      <c r="AH801" s="55">
        <v>3.5</v>
      </c>
      <c r="AI801" s="55">
        <v>0</v>
      </c>
      <c r="AJ801" s="55">
        <v>0</v>
      </c>
      <c r="AK801" s="55">
        <v>0</v>
      </c>
      <c r="AL801" s="55">
        <v>3.98</v>
      </c>
      <c r="AM801" s="55">
        <v>2.89</v>
      </c>
      <c r="AN801" s="55">
        <v>0</v>
      </c>
      <c r="AO801" s="55">
        <v>4.8</v>
      </c>
      <c r="AP801" s="55">
        <v>0</v>
      </c>
      <c r="AQ801" s="55">
        <v>0</v>
      </c>
      <c r="AR801" s="8">
        <v>0</v>
      </c>
      <c r="AS801" s="8">
        <v>0</v>
      </c>
      <c r="AT801" s="8">
        <v>2.62</v>
      </c>
      <c r="AU801" s="50">
        <v>4.83</v>
      </c>
      <c r="AV801" s="50">
        <v>0</v>
      </c>
      <c r="AW801" s="50">
        <v>0</v>
      </c>
      <c r="AX801" s="50">
        <v>0</v>
      </c>
      <c r="AY801" s="50">
        <v>0</v>
      </c>
      <c r="AZ801" s="50">
        <v>0</v>
      </c>
      <c r="BA801" s="50">
        <v>0</v>
      </c>
      <c r="BB801" s="50">
        <v>4.3</v>
      </c>
      <c r="BC801" s="50">
        <v>0</v>
      </c>
      <c r="BD801" s="55">
        <v>0</v>
      </c>
      <c r="BE801" s="11">
        <v>0</v>
      </c>
      <c r="BF801" s="4">
        <v>4.3310000000000004</v>
      </c>
      <c r="BG801" s="4">
        <v>3.089</v>
      </c>
      <c r="BH801" s="4">
        <v>0</v>
      </c>
      <c r="BI801" s="4">
        <v>0</v>
      </c>
      <c r="BJ801" s="14">
        <v>0</v>
      </c>
      <c r="BK801" s="14">
        <v>0</v>
      </c>
      <c r="BL801" s="4">
        <v>4.3719999999999999</v>
      </c>
      <c r="BM801" s="17">
        <v>0</v>
      </c>
      <c r="BN801" s="4">
        <v>0</v>
      </c>
      <c r="BO801" s="4">
        <v>0</v>
      </c>
      <c r="BP801" s="4">
        <v>2.6789999999999998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55">
        <v>0</v>
      </c>
      <c r="CA801" s="55">
        <v>0</v>
      </c>
      <c r="CB801" s="55">
        <v>0</v>
      </c>
      <c r="CC801" s="55">
        <v>0</v>
      </c>
      <c r="CD801" s="55">
        <v>0</v>
      </c>
      <c r="CE801" s="19">
        <v>2.7</v>
      </c>
      <c r="CF801" s="19">
        <v>0</v>
      </c>
      <c r="CG801" s="4">
        <v>0</v>
      </c>
      <c r="CH801" s="4">
        <v>3.79</v>
      </c>
      <c r="CI801" s="4">
        <v>0</v>
      </c>
      <c r="CJ801" s="34">
        <v>0</v>
      </c>
      <c r="CK801" s="34">
        <v>0</v>
      </c>
      <c r="CL801" s="34">
        <v>0</v>
      </c>
      <c r="CM801" s="4">
        <v>0</v>
      </c>
      <c r="CN801" s="53">
        <v>0</v>
      </c>
      <c r="CO801" s="54">
        <v>0</v>
      </c>
      <c r="CP801" s="54">
        <v>0</v>
      </c>
      <c r="CQ801" s="4">
        <v>0</v>
      </c>
    </row>
    <row r="802" spans="1:95" s="55" customFormat="1" x14ac:dyDescent="0.35">
      <c r="A802" s="55">
        <v>801</v>
      </c>
      <c r="B802" s="55" t="s">
        <v>105</v>
      </c>
      <c r="C802" s="27" t="s">
        <v>550</v>
      </c>
      <c r="D802" s="50" t="s">
        <v>94</v>
      </c>
      <c r="E802" s="33" t="s">
        <v>91</v>
      </c>
      <c r="F802" s="4">
        <f>IFERROR(AVERAGEIF(Table1[[#This Row],[2019-Apr]:[2025-July]],"&lt;&gt;0"),0)</f>
        <v>2.4071428571428575</v>
      </c>
      <c r="G802" s="4">
        <f ca="1">IFERROR(AVERAGEIF(OFFSET(Table1[[#This Row],[Status]],0,COUNT(Table1[[#This Row],[2019-May]:[2025-July]]),1,-12),"&lt;&gt;0"),0)</f>
        <v>1.4550000000000001</v>
      </c>
      <c r="H802" s="55">
        <f>IFERROR(SMALL(Table1[[#This Row],[2019-Apr]:[2025-July]],COUNTIF(Table1[[#This Row],[2019-Apr]:[2025-July]],0)+1),0)</f>
        <v>1.31</v>
      </c>
      <c r="I802" s="55">
        <f>IFERROR(MAX(Table1[[#This Row],[2019-Apr]:[2025-July]]),0)</f>
        <v>4.3</v>
      </c>
      <c r="J802" s="4" cm="1">
        <f t="array" ref="J80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1.6106666666666667</v>
      </c>
      <c r="K802" s="4">
        <v>4.5</v>
      </c>
      <c r="L802" s="4">
        <f>IF(Table1[[#This Row],[Standard as per ISO]]&gt;=Table1[[#This Row],[Avg of best 6]],Table1[[#This Row],[Standard as per ISO]],Table1[[#This Row],[Avg of best 6]])</f>
        <v>4.5</v>
      </c>
      <c r="M802" s="4" cm="1">
        <f t="array" ref="M802">IFERROR(LOOKUP(2,1/(Table1[[#This Row],[2019-May]:[2025-July]]&lt;&gt;0),Table1[[#This Row],[2019-May]:[2025-July]]),0)</f>
        <v>1.31</v>
      </c>
      <c r="N802" s="4">
        <f>COUNTIF(Table1[[#This Row],[2019-Apr]:[2025-July]],"&gt;="&amp;Table1[[#This Row],[Target]])</f>
        <v>0</v>
      </c>
      <c r="O802" s="4">
        <f>IF(Table1[[#This Row],[Outliers 2Y]]=0,1,0)</f>
        <v>1</v>
      </c>
      <c r="P802" s="4">
        <f>IF(Table1[[#This Row],[Last value]]&gt;1.5*Table1[[#This Row],[Target]],1,0)</f>
        <v>0</v>
      </c>
      <c r="Q802" s="4">
        <f>IF(AND(1.5*Table1[[#This Row],[Target]]&gt;=Table1[[#This Row],[Last value]],Table1[[#This Row],[Last value]]&gt;Table1[[#This Row],[Target]]),1,0)</f>
        <v>0</v>
      </c>
      <c r="R802" s="4">
        <f>IF(Table1[[#This Row],[Target]]&gt;=Table1[[#This Row],[Last value]],1,0)</f>
        <v>1</v>
      </c>
      <c r="S802" s="4" t="str">
        <f t="shared" si="20"/>
        <v>Green</v>
      </c>
      <c r="T802" s="55">
        <v>2.39</v>
      </c>
      <c r="U802" s="55">
        <v>2.06</v>
      </c>
      <c r="V802" s="55">
        <v>0</v>
      </c>
      <c r="W802" s="55">
        <v>1.94</v>
      </c>
      <c r="X802" s="55">
        <v>0</v>
      </c>
      <c r="Y802" s="55">
        <v>2.4</v>
      </c>
      <c r="Z802" s="55">
        <v>4.3</v>
      </c>
      <c r="AA802" s="55">
        <v>2.7</v>
      </c>
      <c r="AB802" s="55">
        <v>0</v>
      </c>
      <c r="AC802" s="55">
        <v>2.73</v>
      </c>
      <c r="AD802" s="55">
        <v>3.55</v>
      </c>
      <c r="AE802" s="55">
        <v>0</v>
      </c>
      <c r="AF802" s="55">
        <v>0</v>
      </c>
      <c r="AG802" s="55">
        <v>0</v>
      </c>
      <c r="AH802" s="55">
        <v>0</v>
      </c>
      <c r="AI802" s="55">
        <v>2.08</v>
      </c>
      <c r="AJ802" s="55">
        <v>0</v>
      </c>
      <c r="AK802" s="55">
        <v>0</v>
      </c>
      <c r="AL802" s="55">
        <v>1.56</v>
      </c>
      <c r="AM802" s="55">
        <v>0</v>
      </c>
      <c r="AN802" s="55">
        <v>0</v>
      </c>
      <c r="AO802" s="55">
        <v>0</v>
      </c>
      <c r="AP802" s="55">
        <v>2.58</v>
      </c>
      <c r="AQ802" s="55">
        <v>3.34</v>
      </c>
      <c r="AR802" s="8">
        <v>2.1</v>
      </c>
      <c r="AS802" s="8">
        <v>1.77</v>
      </c>
      <c r="AT802" s="8">
        <v>0</v>
      </c>
      <c r="AU802" s="50">
        <v>1.77</v>
      </c>
      <c r="AV802" s="50">
        <v>3.44</v>
      </c>
      <c r="AW802" s="50">
        <v>0</v>
      </c>
      <c r="AX802" s="50">
        <v>2.21</v>
      </c>
      <c r="AY802" s="50">
        <v>0</v>
      </c>
      <c r="AZ802" s="50">
        <v>0</v>
      </c>
      <c r="BA802" s="50">
        <v>0</v>
      </c>
      <c r="BB802" s="50">
        <v>0</v>
      </c>
      <c r="BC802" s="55">
        <v>3</v>
      </c>
      <c r="BD802" s="55">
        <v>0</v>
      </c>
      <c r="BE802" s="11">
        <v>2.7690000000000001</v>
      </c>
      <c r="BF802" s="4">
        <v>2.903</v>
      </c>
      <c r="BG802" s="4">
        <v>2.38</v>
      </c>
      <c r="BH802" s="4">
        <v>2.0920000000000001</v>
      </c>
      <c r="BI802" s="4">
        <v>2.161</v>
      </c>
      <c r="BJ802" s="13">
        <v>0</v>
      </c>
      <c r="BK802" s="13">
        <v>0</v>
      </c>
      <c r="BL802" s="4">
        <v>0</v>
      </c>
      <c r="BM802" s="16">
        <v>0</v>
      </c>
      <c r="BN802" s="4">
        <v>0</v>
      </c>
      <c r="BO802" s="4">
        <v>0</v>
      </c>
      <c r="BP802" s="4">
        <v>1.6539999999999999</v>
      </c>
      <c r="BQ802" s="4">
        <v>0</v>
      </c>
      <c r="BR802" s="4">
        <v>0</v>
      </c>
      <c r="BS802" s="4">
        <v>2.33</v>
      </c>
      <c r="BT802" s="4">
        <v>0</v>
      </c>
      <c r="BU802" s="4">
        <v>0</v>
      </c>
      <c r="BV802" s="4">
        <v>0</v>
      </c>
      <c r="BW802" s="4">
        <v>2.2810000000000001</v>
      </c>
      <c r="BX802" s="4">
        <v>0</v>
      </c>
      <c r="BY802" s="4">
        <v>0</v>
      </c>
      <c r="BZ802" s="55">
        <v>0</v>
      </c>
      <c r="CA802" s="55">
        <v>0</v>
      </c>
      <c r="CB802" s="55">
        <v>0</v>
      </c>
      <c r="CC802" s="55">
        <v>0</v>
      </c>
      <c r="CD802" s="55">
        <v>0</v>
      </c>
      <c r="CE802" s="19">
        <v>0</v>
      </c>
      <c r="CF802" s="19">
        <v>0</v>
      </c>
      <c r="CG802" s="4">
        <v>1.6</v>
      </c>
      <c r="CH802" s="4">
        <v>0</v>
      </c>
      <c r="CI802" s="4">
        <v>1.31</v>
      </c>
      <c r="CJ802" s="34">
        <v>0</v>
      </c>
      <c r="CK802" s="34">
        <v>0</v>
      </c>
      <c r="CL802" s="34">
        <v>0</v>
      </c>
      <c r="CM802" s="4">
        <v>0</v>
      </c>
      <c r="CN802" s="53">
        <v>0</v>
      </c>
      <c r="CO802" s="54">
        <v>0</v>
      </c>
      <c r="CP802" s="54">
        <v>0</v>
      </c>
      <c r="CQ802" s="4">
        <v>0</v>
      </c>
    </row>
    <row r="803" spans="1:95" s="55" customFormat="1" x14ac:dyDescent="0.35">
      <c r="A803" s="55">
        <v>802</v>
      </c>
      <c r="B803" s="55" t="s">
        <v>105</v>
      </c>
      <c r="C803" s="27" t="s">
        <v>551</v>
      </c>
      <c r="D803" s="50" t="s">
        <v>94</v>
      </c>
      <c r="E803" s="33" t="s">
        <v>91</v>
      </c>
      <c r="F803" s="4">
        <f>IFERROR(AVERAGEIF(Table1[[#This Row],[2019-Apr]:[2025-July]],"&lt;&gt;0"),0)</f>
        <v>2.3025238095238096</v>
      </c>
      <c r="G803" s="4">
        <f ca="1">IFERROR(AVERAGEIF(OFFSET(Table1[[#This Row],[Status]],0,COUNT(Table1[[#This Row],[2019-May]:[2025-July]]),1,-12),"&lt;&gt;0"),0)</f>
        <v>3.5</v>
      </c>
      <c r="H803" s="55">
        <f>IFERROR(SMALL(Table1[[#This Row],[2019-Apr]:[2025-July]],COUNTIF(Table1[[#This Row],[2019-Apr]:[2025-July]],0)+1),0)</f>
        <v>1.2</v>
      </c>
      <c r="I803" s="55">
        <f>IFERROR(MAX(Table1[[#This Row],[2019-Apr]:[2025-July]]),0)</f>
        <v>4.66</v>
      </c>
      <c r="J803" s="4" cm="1">
        <f t="array" ref="J80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1.4988333333333335</v>
      </c>
      <c r="K803" s="4">
        <v>4.5</v>
      </c>
      <c r="L803" s="4">
        <f>IF(Table1[[#This Row],[Standard as per ISO]]&gt;=Table1[[#This Row],[Avg of best 6]],Table1[[#This Row],[Standard as per ISO]],Table1[[#This Row],[Avg of best 6]])</f>
        <v>4.5</v>
      </c>
      <c r="M803" s="4" cm="1">
        <f t="array" ref="M803">IFERROR(LOOKUP(2,1/(Table1[[#This Row],[2019-May]:[2025-July]]&lt;&gt;0),Table1[[#This Row],[2019-May]:[2025-July]]),0)</f>
        <v>3.5</v>
      </c>
      <c r="N803" s="4">
        <f>COUNTIF(Table1[[#This Row],[2019-Apr]:[2025-July]],"&gt;="&amp;Table1[[#This Row],[Target]])</f>
        <v>1</v>
      </c>
      <c r="O803" s="4">
        <f>IF(Table1[[#This Row],[Outliers 2Y]]=0,1,0)</f>
        <v>0</v>
      </c>
      <c r="P803" s="4">
        <f>IF(Table1[[#This Row],[Last value]]&gt;1.5*Table1[[#This Row],[Target]],1,0)</f>
        <v>0</v>
      </c>
      <c r="Q803" s="4">
        <f>IF(AND(1.5*Table1[[#This Row],[Target]]&gt;=Table1[[#This Row],[Last value]],Table1[[#This Row],[Last value]]&gt;Table1[[#This Row],[Target]]),1,0)</f>
        <v>0</v>
      </c>
      <c r="R803" s="4">
        <f>IF(Table1[[#This Row],[Target]]&gt;=Table1[[#This Row],[Last value]],1,0)</f>
        <v>1</v>
      </c>
      <c r="S803" s="4" t="str">
        <f t="shared" si="20"/>
        <v>Green</v>
      </c>
      <c r="T803" s="55">
        <v>2.5</v>
      </c>
      <c r="U803" s="55">
        <v>0</v>
      </c>
      <c r="V803" s="55">
        <v>1.9</v>
      </c>
      <c r="W803" s="55">
        <v>1.97</v>
      </c>
      <c r="X803" s="55">
        <v>0</v>
      </c>
      <c r="Y803" s="55">
        <v>0</v>
      </c>
      <c r="Z803" s="55">
        <v>0</v>
      </c>
      <c r="AA803" s="55">
        <v>0</v>
      </c>
      <c r="AB803" s="55">
        <v>2.66</v>
      </c>
      <c r="AC803" s="55">
        <v>0</v>
      </c>
      <c r="AD803" s="55">
        <v>0</v>
      </c>
      <c r="AE803" s="55">
        <v>1.2</v>
      </c>
      <c r="AF803" s="55">
        <v>2.4</v>
      </c>
      <c r="AG803" s="55">
        <v>0</v>
      </c>
      <c r="AH803" s="55">
        <v>0</v>
      </c>
      <c r="AI803" s="55">
        <v>0</v>
      </c>
      <c r="AJ803" s="55">
        <v>1.8</v>
      </c>
      <c r="AK803" s="55">
        <v>2.33</v>
      </c>
      <c r="AL803" s="55">
        <v>0</v>
      </c>
      <c r="AM803" s="55">
        <v>1.79</v>
      </c>
      <c r="AN803" s="55">
        <v>1.58</v>
      </c>
      <c r="AO803" s="55">
        <v>2</v>
      </c>
      <c r="AP803" s="55">
        <v>0</v>
      </c>
      <c r="AQ803" s="55">
        <v>0</v>
      </c>
      <c r="AR803" s="8">
        <v>0</v>
      </c>
      <c r="AS803" s="8">
        <v>0</v>
      </c>
      <c r="AT803" s="8">
        <v>1.3</v>
      </c>
      <c r="AU803" s="50">
        <v>1.59</v>
      </c>
      <c r="AV803" s="50">
        <v>0</v>
      </c>
      <c r="AW803" s="50">
        <v>1.87</v>
      </c>
      <c r="AX803" s="50">
        <v>0</v>
      </c>
      <c r="AY803" s="50">
        <v>3.18</v>
      </c>
      <c r="AZ803" s="50">
        <v>0</v>
      </c>
      <c r="BA803" s="50">
        <v>2.9</v>
      </c>
      <c r="BB803" s="50">
        <v>3.9</v>
      </c>
      <c r="BC803" s="50">
        <v>0</v>
      </c>
      <c r="BD803" s="55">
        <v>0</v>
      </c>
      <c r="BE803" s="11">
        <v>0</v>
      </c>
      <c r="BF803" s="4">
        <v>4.66</v>
      </c>
      <c r="BG803" s="4">
        <v>0</v>
      </c>
      <c r="BH803" s="4">
        <v>0</v>
      </c>
      <c r="BI803" s="4">
        <v>0</v>
      </c>
      <c r="BJ803" s="14">
        <v>0</v>
      </c>
      <c r="BK803" s="14">
        <v>0</v>
      </c>
      <c r="BL803" s="4">
        <v>0</v>
      </c>
      <c r="BM803" s="17">
        <v>0</v>
      </c>
      <c r="BN803" s="4">
        <v>0</v>
      </c>
      <c r="BO803" s="4">
        <v>0</v>
      </c>
      <c r="BP803" s="4">
        <v>1.6870000000000001</v>
      </c>
      <c r="BQ803" s="4">
        <v>0</v>
      </c>
      <c r="BR803" s="4">
        <v>0</v>
      </c>
      <c r="BS803" s="4">
        <v>1.6359999999999999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55">
        <v>0</v>
      </c>
      <c r="CA803" s="55">
        <v>0</v>
      </c>
      <c r="CB803" s="55">
        <v>0</v>
      </c>
      <c r="CC803" s="55">
        <v>0</v>
      </c>
      <c r="CD803" s="55">
        <v>0</v>
      </c>
      <c r="CE803" s="19">
        <v>3.5</v>
      </c>
      <c r="CF803" s="19">
        <v>0</v>
      </c>
      <c r="CG803" s="4">
        <v>0</v>
      </c>
      <c r="CH803" s="4">
        <v>0</v>
      </c>
      <c r="CI803" s="4">
        <v>0</v>
      </c>
      <c r="CJ803" s="34">
        <v>0</v>
      </c>
      <c r="CK803" s="34">
        <v>0</v>
      </c>
      <c r="CL803" s="34">
        <v>0</v>
      </c>
      <c r="CM803" s="4">
        <v>0</v>
      </c>
      <c r="CN803" s="53">
        <v>0</v>
      </c>
      <c r="CO803" s="54">
        <v>0</v>
      </c>
      <c r="CP803" s="54">
        <v>0</v>
      </c>
      <c r="CQ803" s="4">
        <v>0</v>
      </c>
    </row>
    <row r="804" spans="1:95" s="55" customFormat="1" x14ac:dyDescent="0.35">
      <c r="A804" s="55">
        <v>803</v>
      </c>
      <c r="B804" s="55" t="s">
        <v>105</v>
      </c>
      <c r="C804" s="27" t="s">
        <v>552</v>
      </c>
      <c r="D804" s="50" t="s">
        <v>94</v>
      </c>
      <c r="E804" s="33" t="s">
        <v>91</v>
      </c>
      <c r="F804" s="4">
        <f>IFERROR(AVERAGEIF(Table1[[#This Row],[2019-Apr]:[2025-July]],"&lt;&gt;0"),0)</f>
        <v>2.2586666666666662</v>
      </c>
      <c r="G804" s="4">
        <f ca="1">IFERROR(AVERAGEIF(OFFSET(Table1[[#This Row],[Status]],0,COUNT(Table1[[#This Row],[2019-May]:[2025-July]]),1,-12),"&lt;&gt;0"),0)</f>
        <v>1.26</v>
      </c>
      <c r="H804" s="55">
        <f>IFERROR(SMALL(Table1[[#This Row],[2019-Apr]:[2025-July]],COUNTIF(Table1[[#This Row],[2019-Apr]:[2025-July]],0)+1),0)</f>
        <v>0.92</v>
      </c>
      <c r="I804" s="55">
        <f>IFERROR(MAX(Table1[[#This Row],[2019-Apr]:[2025-July]]),0)</f>
        <v>4.83</v>
      </c>
      <c r="J804" s="4" cm="1">
        <f t="array" ref="J80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1.075</v>
      </c>
      <c r="K804" s="4">
        <v>4.5</v>
      </c>
      <c r="L804" s="4">
        <f>IF(Table1[[#This Row],[Standard as per ISO]]&gt;=Table1[[#This Row],[Avg of best 6]],Table1[[#This Row],[Standard as per ISO]],Table1[[#This Row],[Avg of best 6]])</f>
        <v>4.5</v>
      </c>
      <c r="M804" s="4" cm="1">
        <f t="array" ref="M804">IFERROR(LOOKUP(2,1/(Table1[[#This Row],[2019-May]:[2025-July]]&lt;&gt;0),Table1[[#This Row],[2019-May]:[2025-July]]),0)</f>
        <v>0.92</v>
      </c>
      <c r="N804" s="4">
        <f>COUNTIF(Table1[[#This Row],[2019-Apr]:[2025-July]],"&gt;="&amp;Table1[[#This Row],[Target]])</f>
        <v>1</v>
      </c>
      <c r="O804" s="4">
        <f>IF(Table1[[#This Row],[Outliers 2Y]]=0,1,0)</f>
        <v>0</v>
      </c>
      <c r="P804" s="4">
        <f>IF(Table1[[#This Row],[Last value]]&gt;1.5*Table1[[#This Row],[Target]],1,0)</f>
        <v>0</v>
      </c>
      <c r="Q804" s="4">
        <f>IF(AND(1.5*Table1[[#This Row],[Target]]&gt;=Table1[[#This Row],[Last value]],Table1[[#This Row],[Last value]]&gt;Table1[[#This Row],[Target]]),1,0)</f>
        <v>0</v>
      </c>
      <c r="R804" s="4">
        <f>IF(Table1[[#This Row],[Target]]&gt;=Table1[[#This Row],[Last value]],1,0)</f>
        <v>1</v>
      </c>
      <c r="S804" s="4" t="str">
        <f t="shared" si="20"/>
        <v>Green</v>
      </c>
      <c r="T804" s="55">
        <v>3.4</v>
      </c>
      <c r="U804" s="55">
        <v>2.85</v>
      </c>
      <c r="V804" s="55">
        <v>4.3</v>
      </c>
      <c r="W804" s="55">
        <v>2.92</v>
      </c>
      <c r="X804" s="55">
        <v>0</v>
      </c>
      <c r="Y804" s="55">
        <v>0</v>
      </c>
      <c r="Z804" s="55">
        <v>0</v>
      </c>
      <c r="AA804" s="55">
        <v>1.7</v>
      </c>
      <c r="AB804" s="55">
        <v>2.87</v>
      </c>
      <c r="AC804" s="55">
        <v>1.8</v>
      </c>
      <c r="AD804" s="55">
        <v>3.74</v>
      </c>
      <c r="AE804" s="55">
        <v>0</v>
      </c>
      <c r="AF804" s="55">
        <v>2.2200000000000002</v>
      </c>
      <c r="AG804" s="55">
        <v>0</v>
      </c>
      <c r="AH804" s="55">
        <v>0</v>
      </c>
      <c r="AI804" s="55">
        <v>0</v>
      </c>
      <c r="AJ804" s="55">
        <v>2.2799999999999998</v>
      </c>
      <c r="AK804" s="55">
        <v>4.83</v>
      </c>
      <c r="AL804" s="55">
        <v>2.44</v>
      </c>
      <c r="AM804" s="55">
        <v>1.4</v>
      </c>
      <c r="AN804" s="55">
        <v>0</v>
      </c>
      <c r="AO804" s="55">
        <v>2.4980000000000002</v>
      </c>
      <c r="AP804" s="55">
        <v>0</v>
      </c>
      <c r="AQ804" s="55">
        <v>0</v>
      </c>
      <c r="AR804" s="8">
        <v>0</v>
      </c>
      <c r="AS804" s="8">
        <v>0</v>
      </c>
      <c r="AT804" s="8">
        <v>0</v>
      </c>
      <c r="AU804" s="50">
        <v>0</v>
      </c>
      <c r="AV804" s="50">
        <v>0</v>
      </c>
      <c r="AW804" s="50">
        <v>0.98</v>
      </c>
      <c r="AX804" s="50">
        <v>0.99</v>
      </c>
      <c r="AY804" s="50">
        <v>1.06</v>
      </c>
      <c r="AZ804" s="50">
        <v>0</v>
      </c>
      <c r="BA804" s="50">
        <v>1.1000000000000001</v>
      </c>
      <c r="BB804" s="50">
        <v>0</v>
      </c>
      <c r="BC804" s="55">
        <v>2.2999999999999998</v>
      </c>
      <c r="BD804" s="55">
        <v>0</v>
      </c>
      <c r="BE804" s="11">
        <v>0</v>
      </c>
      <c r="BF804" s="4">
        <v>2.798</v>
      </c>
      <c r="BG804" s="4">
        <v>1.6739999999999999</v>
      </c>
      <c r="BH804" s="4">
        <v>2.589</v>
      </c>
      <c r="BI804" s="4">
        <v>2.3639999999999999</v>
      </c>
      <c r="BJ804" s="13">
        <v>0</v>
      </c>
      <c r="BK804" s="13">
        <v>0</v>
      </c>
      <c r="BL804" s="4">
        <v>0</v>
      </c>
      <c r="BM804" s="16">
        <v>0</v>
      </c>
      <c r="BN804" s="4">
        <v>0</v>
      </c>
      <c r="BO804" s="4">
        <v>0</v>
      </c>
      <c r="BP804" s="4">
        <v>1.748</v>
      </c>
      <c r="BQ804" s="4">
        <v>0</v>
      </c>
      <c r="BR804" s="4">
        <v>0</v>
      </c>
      <c r="BS804" s="4">
        <v>1.613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55">
        <v>0</v>
      </c>
      <c r="CA804" s="55">
        <v>0</v>
      </c>
      <c r="CB804" s="55">
        <v>0</v>
      </c>
      <c r="CC804" s="55">
        <v>0</v>
      </c>
      <c r="CD804" s="55">
        <v>0</v>
      </c>
      <c r="CE804" s="19">
        <v>1.6</v>
      </c>
      <c r="CF804" s="19">
        <v>0</v>
      </c>
      <c r="CG804" s="4">
        <v>0</v>
      </c>
      <c r="CH804" s="4">
        <v>0.92</v>
      </c>
      <c r="CI804" s="4">
        <v>0</v>
      </c>
      <c r="CJ804" s="34">
        <v>0</v>
      </c>
      <c r="CK804" s="34">
        <v>0</v>
      </c>
      <c r="CL804" s="34">
        <v>0</v>
      </c>
      <c r="CM804" s="4">
        <v>0</v>
      </c>
      <c r="CN804" s="53">
        <v>0</v>
      </c>
      <c r="CO804" s="54">
        <v>0</v>
      </c>
      <c r="CP804" s="54">
        <v>0</v>
      </c>
      <c r="CQ804" s="4">
        <v>0</v>
      </c>
    </row>
    <row r="805" spans="1:95" s="55" customFormat="1" x14ac:dyDescent="0.35">
      <c r="A805" s="55">
        <v>804</v>
      </c>
      <c r="B805" s="55" t="s">
        <v>105</v>
      </c>
      <c r="C805" s="27" t="s">
        <v>553</v>
      </c>
      <c r="D805" s="50" t="s">
        <v>94</v>
      </c>
      <c r="E805" s="33" t="s">
        <v>91</v>
      </c>
      <c r="F805" s="4">
        <f>IFERROR(AVERAGEIF(Table1[[#This Row],[2019-Apr]:[2025-July]],"&lt;&gt;0"),0)</f>
        <v>2.5061999999999993</v>
      </c>
      <c r="G805" s="4">
        <f ca="1">IFERROR(AVERAGEIF(OFFSET(Table1[[#This Row],[Status]],0,COUNT(Table1[[#This Row],[2019-May]:[2025-July]]),1,-12),"&lt;&gt;0"),0)</f>
        <v>0.98</v>
      </c>
      <c r="H805" s="55">
        <f>IFERROR(SMALL(Table1[[#This Row],[2019-Apr]:[2025-July]],COUNTIF(Table1[[#This Row],[2019-Apr]:[2025-July]],0)+1),0)</f>
        <v>0.83699999999999997</v>
      </c>
      <c r="I805" s="55">
        <f>IFERROR(MAX(Table1[[#This Row],[2019-Apr]:[2025-July]]),0)</f>
        <v>4.9000000000000004</v>
      </c>
      <c r="J805" s="4" cm="1">
        <f t="array" ref="J80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1.1421666666666666</v>
      </c>
      <c r="K805" s="4">
        <v>4.5</v>
      </c>
      <c r="L805" s="4">
        <f>IF(Table1[[#This Row],[Standard as per ISO]]&gt;=Table1[[#This Row],[Avg of best 6]],Table1[[#This Row],[Standard as per ISO]],Table1[[#This Row],[Avg of best 6]])</f>
        <v>4.5</v>
      </c>
      <c r="M805" s="4" cm="1">
        <f t="array" ref="M805">IFERROR(LOOKUP(2,1/(Table1[[#This Row],[2019-May]:[2025-July]]&lt;&gt;0),Table1[[#This Row],[2019-May]:[2025-July]]),0)</f>
        <v>0.98</v>
      </c>
      <c r="N805" s="4">
        <f>COUNTIF(Table1[[#This Row],[2019-Apr]:[2025-July]],"&gt;="&amp;Table1[[#This Row],[Target]])</f>
        <v>1</v>
      </c>
      <c r="O805" s="4">
        <f>IF(Table1[[#This Row],[Outliers 2Y]]=0,1,0)</f>
        <v>0</v>
      </c>
      <c r="P805" s="4">
        <f>IF(Table1[[#This Row],[Last value]]&gt;1.5*Table1[[#This Row],[Target]],1,0)</f>
        <v>0</v>
      </c>
      <c r="Q805" s="4">
        <f>IF(AND(1.5*Table1[[#This Row],[Target]]&gt;=Table1[[#This Row],[Last value]],Table1[[#This Row],[Last value]]&gt;Table1[[#This Row],[Target]]),1,0)</f>
        <v>0</v>
      </c>
      <c r="R805" s="4">
        <f>IF(Table1[[#This Row],[Target]]&gt;=Table1[[#This Row],[Last value]],1,0)</f>
        <v>1</v>
      </c>
      <c r="S805" s="4" t="str">
        <f t="shared" si="20"/>
        <v>Green</v>
      </c>
      <c r="T805" s="55">
        <v>3.62</v>
      </c>
      <c r="U805" s="55">
        <v>0</v>
      </c>
      <c r="V805" s="55">
        <v>0</v>
      </c>
      <c r="W805" s="55">
        <v>0</v>
      </c>
      <c r="X805" s="55">
        <v>0</v>
      </c>
      <c r="Y805" s="55">
        <v>3.5</v>
      </c>
      <c r="Z805" s="55">
        <v>4.05</v>
      </c>
      <c r="AA805" s="55">
        <v>0</v>
      </c>
      <c r="AB805" s="55">
        <v>0</v>
      </c>
      <c r="AC805" s="55">
        <v>3.1</v>
      </c>
      <c r="AD805" s="55">
        <v>0</v>
      </c>
      <c r="AE805" s="55">
        <v>4.2</v>
      </c>
      <c r="AF805" s="55">
        <v>0</v>
      </c>
      <c r="AG805" s="55">
        <v>0</v>
      </c>
      <c r="AH805" s="55">
        <v>0</v>
      </c>
      <c r="AI805" s="55">
        <v>4.04</v>
      </c>
      <c r="AJ805" s="55">
        <v>0</v>
      </c>
      <c r="AK805" s="55">
        <v>0</v>
      </c>
      <c r="AL805" s="55">
        <v>0</v>
      </c>
      <c r="AM805" s="55">
        <v>0</v>
      </c>
      <c r="AN805" s="55">
        <v>3.06</v>
      </c>
      <c r="AO805" s="55">
        <v>0</v>
      </c>
      <c r="AP805" s="55">
        <v>2.63</v>
      </c>
      <c r="AQ805" s="55">
        <v>1.94</v>
      </c>
      <c r="AR805" s="8">
        <v>2.59</v>
      </c>
      <c r="AS805" s="8">
        <v>2.1</v>
      </c>
      <c r="AT805" s="8">
        <v>0</v>
      </c>
      <c r="AU805" s="50">
        <v>1.1000000000000001</v>
      </c>
      <c r="AV805" s="50">
        <v>1.83</v>
      </c>
      <c r="AW805" s="50">
        <v>0</v>
      </c>
      <c r="AX805" s="50">
        <v>0</v>
      </c>
      <c r="AY805" s="50">
        <v>0</v>
      </c>
      <c r="AZ805" s="50">
        <v>0</v>
      </c>
      <c r="BA805" s="50">
        <v>0</v>
      </c>
      <c r="BB805" s="50">
        <v>4.9000000000000004</v>
      </c>
      <c r="BC805" s="50">
        <v>0</v>
      </c>
      <c r="BD805" s="55">
        <v>0</v>
      </c>
      <c r="BE805" s="11">
        <v>1.37</v>
      </c>
      <c r="BF805" s="4">
        <v>1.37</v>
      </c>
      <c r="BG805" s="4">
        <v>0</v>
      </c>
      <c r="BH805" s="4">
        <v>0</v>
      </c>
      <c r="BI805" s="4">
        <v>0</v>
      </c>
      <c r="BJ805" s="14">
        <v>0</v>
      </c>
      <c r="BK805" s="14">
        <v>0</v>
      </c>
      <c r="BL805" s="4">
        <v>0</v>
      </c>
      <c r="BM805" s="17">
        <v>0</v>
      </c>
      <c r="BN805" s="4">
        <v>0</v>
      </c>
      <c r="BO805" s="4">
        <v>0</v>
      </c>
      <c r="BP805" s="4">
        <v>1.196</v>
      </c>
      <c r="BQ805" s="4">
        <v>0</v>
      </c>
      <c r="BR805" s="4">
        <v>0</v>
      </c>
      <c r="BS805" s="4">
        <v>0.83699999999999997</v>
      </c>
      <c r="BT805" s="4">
        <v>0</v>
      </c>
      <c r="BU805" s="4">
        <v>0</v>
      </c>
      <c r="BV805" s="4">
        <v>0</v>
      </c>
      <c r="BW805" s="4">
        <v>1.7110000000000001</v>
      </c>
      <c r="BX805" s="4">
        <v>0</v>
      </c>
      <c r="BY805" s="4">
        <v>0</v>
      </c>
      <c r="BZ805" s="55">
        <v>0</v>
      </c>
      <c r="CA805" s="55">
        <v>0</v>
      </c>
      <c r="CB805" s="55">
        <v>0</v>
      </c>
      <c r="CC805" s="55">
        <v>0</v>
      </c>
      <c r="CD805" s="55">
        <v>0</v>
      </c>
      <c r="CE805" s="19">
        <v>0</v>
      </c>
      <c r="CF805" s="19">
        <v>0</v>
      </c>
      <c r="CG805" s="4">
        <v>0.98</v>
      </c>
      <c r="CH805" s="4">
        <v>0</v>
      </c>
      <c r="CI805" s="4">
        <v>0</v>
      </c>
      <c r="CJ805" s="34">
        <v>0</v>
      </c>
      <c r="CK805" s="34">
        <v>0</v>
      </c>
      <c r="CL805" s="34">
        <v>0</v>
      </c>
      <c r="CM805" s="4">
        <v>0</v>
      </c>
      <c r="CN805" s="53">
        <v>0</v>
      </c>
      <c r="CO805" s="54">
        <v>0</v>
      </c>
      <c r="CP805" s="54">
        <v>0</v>
      </c>
      <c r="CQ805" s="4">
        <v>0</v>
      </c>
    </row>
    <row r="806" spans="1:95" s="55" customFormat="1" x14ac:dyDescent="0.35">
      <c r="A806" s="55">
        <v>805</v>
      </c>
      <c r="B806" s="55" t="s">
        <v>105</v>
      </c>
      <c r="C806" s="27" t="s">
        <v>554</v>
      </c>
      <c r="D806" s="50" t="s">
        <v>94</v>
      </c>
      <c r="E806" s="33" t="s">
        <v>91</v>
      </c>
      <c r="F806" s="4">
        <f>IFERROR(AVERAGEIF(Table1[[#This Row],[2019-Apr]:[2025-July]],"&lt;&gt;0"),0)</f>
        <v>2.333764705882353</v>
      </c>
      <c r="G806" s="4">
        <f ca="1">IFERROR(AVERAGEIF(OFFSET(Table1[[#This Row],[Status]],0,COUNT(Table1[[#This Row],[2019-May]:[2025-July]]),1,-12),"&lt;&gt;0"),0)</f>
        <v>1.23</v>
      </c>
      <c r="H806" s="55">
        <f>IFERROR(SMALL(Table1[[#This Row],[2019-Apr]:[2025-July]],COUNTIF(Table1[[#This Row],[2019-Apr]:[2025-July]],0)+1),0)</f>
        <v>1.23</v>
      </c>
      <c r="I806" s="55">
        <f>IFERROR(MAX(Table1[[#This Row],[2019-Apr]:[2025-July]]),0)</f>
        <v>4.1639999999999997</v>
      </c>
      <c r="J806" s="4" cm="1">
        <f t="array" ref="J80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1.5341666666666667</v>
      </c>
      <c r="K806" s="4">
        <v>4.5</v>
      </c>
      <c r="L806" s="4">
        <f>IF(Table1[[#This Row],[Standard as per ISO]]&gt;=Table1[[#This Row],[Avg of best 6]],Table1[[#This Row],[Standard as per ISO]],Table1[[#This Row],[Avg of best 6]])</f>
        <v>4.5</v>
      </c>
      <c r="M806" s="4" cm="1">
        <f t="array" ref="M806">IFERROR(LOOKUP(2,1/(Table1[[#This Row],[2019-May]:[2025-July]]&lt;&gt;0),Table1[[#This Row],[2019-May]:[2025-July]]),0)</f>
        <v>1.23</v>
      </c>
      <c r="N806" s="4">
        <f>COUNTIF(Table1[[#This Row],[2019-Apr]:[2025-July]],"&gt;="&amp;Table1[[#This Row],[Target]])</f>
        <v>0</v>
      </c>
      <c r="O806" s="4">
        <f>IF(Table1[[#This Row],[Outliers 2Y]]=0,1,0)</f>
        <v>1</v>
      </c>
      <c r="P806" s="4">
        <f>IF(Table1[[#This Row],[Last value]]&gt;1.5*Table1[[#This Row],[Target]],1,0)</f>
        <v>0</v>
      </c>
      <c r="Q806" s="4">
        <f>IF(AND(1.5*Table1[[#This Row],[Target]]&gt;=Table1[[#This Row],[Last value]],Table1[[#This Row],[Last value]]&gt;Table1[[#This Row],[Target]]),1,0)</f>
        <v>0</v>
      </c>
      <c r="R806" s="4">
        <f>IF(Table1[[#This Row],[Target]]&gt;=Table1[[#This Row],[Last value]],1,0)</f>
        <v>1</v>
      </c>
      <c r="S806" s="4" t="str">
        <f t="shared" si="20"/>
        <v>Green</v>
      </c>
      <c r="T806" s="55">
        <v>0</v>
      </c>
      <c r="U806" s="55">
        <v>1.5</v>
      </c>
      <c r="V806" s="55">
        <v>0</v>
      </c>
      <c r="W806" s="55">
        <v>2.63</v>
      </c>
      <c r="X806" s="55">
        <v>0</v>
      </c>
      <c r="Y806" s="55">
        <v>2.2999999999999998</v>
      </c>
      <c r="Z806" s="55">
        <v>0</v>
      </c>
      <c r="AA806" s="55">
        <v>0</v>
      </c>
      <c r="AB806" s="55">
        <v>1.42</v>
      </c>
      <c r="AC806" s="55">
        <v>3.4</v>
      </c>
      <c r="AD806" s="55">
        <v>2.8</v>
      </c>
      <c r="AE806" s="55">
        <v>0</v>
      </c>
      <c r="AF806" s="55">
        <v>1.72</v>
      </c>
      <c r="AG806" s="55">
        <v>0</v>
      </c>
      <c r="AH806" s="55">
        <v>0</v>
      </c>
      <c r="AI806" s="55">
        <v>0</v>
      </c>
      <c r="AJ806" s="55">
        <v>0</v>
      </c>
      <c r="AK806" s="55">
        <v>0</v>
      </c>
      <c r="AL806" s="55">
        <v>0</v>
      </c>
      <c r="AM806" s="55">
        <v>0</v>
      </c>
      <c r="AN806" s="55">
        <v>0</v>
      </c>
      <c r="AO806" s="55">
        <v>0</v>
      </c>
      <c r="AP806" s="55">
        <v>0</v>
      </c>
      <c r="AQ806" s="55">
        <v>0</v>
      </c>
      <c r="AR806" s="8">
        <v>0</v>
      </c>
      <c r="AS806" s="8">
        <v>0</v>
      </c>
      <c r="AT806" s="8">
        <v>0</v>
      </c>
      <c r="AU806" s="50">
        <v>0</v>
      </c>
      <c r="AV806" s="50">
        <v>2.6</v>
      </c>
      <c r="AW806" s="50">
        <v>1.64</v>
      </c>
      <c r="AX806" s="50">
        <v>1.84</v>
      </c>
      <c r="AY806" s="50">
        <v>1.82</v>
      </c>
      <c r="AZ806" s="50">
        <v>0</v>
      </c>
      <c r="BA806" s="50">
        <v>0</v>
      </c>
      <c r="BB806" s="50">
        <v>3</v>
      </c>
      <c r="BC806" s="55">
        <v>4.0999999999999996</v>
      </c>
      <c r="BD806" s="55">
        <v>0</v>
      </c>
      <c r="BE806" s="11">
        <v>0</v>
      </c>
      <c r="BF806" s="4">
        <v>4.1639999999999997</v>
      </c>
      <c r="BG806" s="4">
        <v>0</v>
      </c>
      <c r="BH806" s="4">
        <v>0</v>
      </c>
      <c r="BI806" s="4">
        <v>0</v>
      </c>
      <c r="BJ806" s="13">
        <v>0</v>
      </c>
      <c r="BK806" s="13">
        <v>0</v>
      </c>
      <c r="BL806" s="4">
        <v>0</v>
      </c>
      <c r="BM806" s="16">
        <v>0</v>
      </c>
      <c r="BN806" s="4">
        <v>0</v>
      </c>
      <c r="BO806" s="4">
        <v>0</v>
      </c>
      <c r="BP806" s="4">
        <v>1.8149999999999999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1.6950000000000001</v>
      </c>
      <c r="BX806" s="4">
        <v>0</v>
      </c>
      <c r="BY806" s="4">
        <v>0</v>
      </c>
      <c r="BZ806" s="55">
        <v>0</v>
      </c>
      <c r="CA806" s="55">
        <v>0</v>
      </c>
      <c r="CB806" s="55">
        <v>0</v>
      </c>
      <c r="CC806" s="55">
        <v>0</v>
      </c>
      <c r="CD806" s="55">
        <v>0</v>
      </c>
      <c r="CE806" s="19">
        <v>0</v>
      </c>
      <c r="CF806" s="19">
        <v>0</v>
      </c>
      <c r="CG806" s="4">
        <v>0</v>
      </c>
      <c r="CH806" s="4">
        <v>1.23</v>
      </c>
      <c r="CI806" s="4">
        <v>0</v>
      </c>
      <c r="CJ806" s="34">
        <v>0</v>
      </c>
      <c r="CK806" s="34">
        <v>0</v>
      </c>
      <c r="CL806" s="34">
        <v>0</v>
      </c>
      <c r="CM806" s="4">
        <v>0</v>
      </c>
      <c r="CN806" s="53">
        <v>0</v>
      </c>
      <c r="CO806" s="54">
        <v>0</v>
      </c>
      <c r="CP806" s="54">
        <v>0</v>
      </c>
      <c r="CQ806" s="4">
        <v>0</v>
      </c>
    </row>
    <row r="807" spans="1:95" s="55" customFormat="1" x14ac:dyDescent="0.35">
      <c r="A807" s="55">
        <v>806</v>
      </c>
      <c r="B807" s="55" t="s">
        <v>105</v>
      </c>
      <c r="C807" s="27" t="s">
        <v>555</v>
      </c>
      <c r="D807" s="50" t="s">
        <v>94</v>
      </c>
      <c r="E807" s="33" t="s">
        <v>91</v>
      </c>
      <c r="F807" s="4">
        <f>IFERROR(AVERAGEIF(Table1[[#This Row],[2019-Apr]:[2025-July]],"&lt;&gt;0"),0)</f>
        <v>2.6597500000000003</v>
      </c>
      <c r="G807" s="4">
        <f ca="1">IFERROR(AVERAGEIF(OFFSET(Table1[[#This Row],[Status]],0,COUNT(Table1[[#This Row],[2019-May]:[2025-July]]),1,-12),"&lt;&gt;0"),0)</f>
        <v>2.9</v>
      </c>
      <c r="H807" s="55">
        <f>IFERROR(SMALL(Table1[[#This Row],[2019-Apr]:[2025-July]],COUNTIF(Table1[[#This Row],[2019-Apr]:[2025-July]],0)+1),0)</f>
        <v>1.58</v>
      </c>
      <c r="I807" s="55">
        <f>IFERROR(MAX(Table1[[#This Row],[2019-Apr]:[2025-July]]),0)</f>
        <v>4.53</v>
      </c>
      <c r="J807" s="4" cm="1">
        <f t="array" ref="J80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1.7985</v>
      </c>
      <c r="K807" s="4">
        <v>4.5</v>
      </c>
      <c r="L807" s="4">
        <f>IF(Table1[[#This Row],[Standard as per ISO]]&gt;=Table1[[#This Row],[Avg of best 6]],Table1[[#This Row],[Standard as per ISO]],Table1[[#This Row],[Avg of best 6]])</f>
        <v>4.5</v>
      </c>
      <c r="M807" s="4" cm="1">
        <f t="array" ref="M807">IFERROR(LOOKUP(2,1/(Table1[[#This Row],[2019-May]:[2025-July]]&lt;&gt;0),Table1[[#This Row],[2019-May]:[2025-July]]),0)</f>
        <v>2.9</v>
      </c>
      <c r="N807" s="4">
        <f>COUNTIF(Table1[[#This Row],[2019-Apr]:[2025-July]],"&gt;="&amp;Table1[[#This Row],[Target]])</f>
        <v>1</v>
      </c>
      <c r="O807" s="4">
        <f>IF(Table1[[#This Row],[Outliers 2Y]]=0,1,0)</f>
        <v>0</v>
      </c>
      <c r="P807" s="4">
        <f>IF(Table1[[#This Row],[Last value]]&gt;1.5*Table1[[#This Row],[Target]],1,0)</f>
        <v>0</v>
      </c>
      <c r="Q807" s="4">
        <f>IF(AND(1.5*Table1[[#This Row],[Target]]&gt;=Table1[[#This Row],[Last value]],Table1[[#This Row],[Last value]]&gt;Table1[[#This Row],[Target]]),1,0)</f>
        <v>0</v>
      </c>
      <c r="R807" s="4">
        <f>IF(Table1[[#This Row],[Target]]&gt;=Table1[[#This Row],[Last value]],1,0)</f>
        <v>1</v>
      </c>
      <c r="S807" s="4" t="str">
        <f t="shared" si="20"/>
        <v>Green</v>
      </c>
      <c r="T807" s="55">
        <v>4.53</v>
      </c>
      <c r="U807" s="55">
        <v>0</v>
      </c>
      <c r="V807" s="55">
        <v>2.5</v>
      </c>
      <c r="W807" s="55">
        <v>2.5499999999999998</v>
      </c>
      <c r="X807" s="55">
        <v>0</v>
      </c>
      <c r="Y807" s="55">
        <v>0</v>
      </c>
      <c r="Z807" s="55">
        <v>2.11</v>
      </c>
      <c r="AA807" s="55">
        <v>2.4</v>
      </c>
      <c r="AB807" s="55">
        <v>2.8</v>
      </c>
      <c r="AC807" s="55">
        <v>3.3</v>
      </c>
      <c r="AD807" s="55">
        <v>3.1</v>
      </c>
      <c r="AE807" s="55">
        <v>2.9</v>
      </c>
      <c r="AF807" s="55">
        <v>3.5</v>
      </c>
      <c r="AG807" s="55">
        <v>0</v>
      </c>
      <c r="AH807" s="55">
        <v>0</v>
      </c>
      <c r="AI807" s="55">
        <v>2.98</v>
      </c>
      <c r="AJ807" s="55">
        <v>3.09</v>
      </c>
      <c r="AK807" s="55">
        <v>2.86</v>
      </c>
      <c r="AL807" s="55">
        <v>2.1</v>
      </c>
      <c r="AM807" s="55">
        <v>2.82</v>
      </c>
      <c r="AN807" s="55">
        <v>2.86</v>
      </c>
      <c r="AO807" s="55">
        <v>2.27</v>
      </c>
      <c r="AP807" s="55">
        <v>3.24</v>
      </c>
      <c r="AQ807" s="55">
        <v>2.27</v>
      </c>
      <c r="AR807" s="8">
        <v>0</v>
      </c>
      <c r="AS807" s="8">
        <v>1.74</v>
      </c>
      <c r="AT807" s="8">
        <v>0</v>
      </c>
      <c r="AU807" s="50">
        <v>1.74</v>
      </c>
      <c r="AV807" s="50">
        <v>2.2400000000000002</v>
      </c>
      <c r="AW807" s="50">
        <v>0</v>
      </c>
      <c r="AX807" s="50">
        <v>0</v>
      </c>
      <c r="AY807" s="50">
        <v>0</v>
      </c>
      <c r="AZ807" s="50">
        <v>1.8</v>
      </c>
      <c r="BA807" s="50">
        <v>2</v>
      </c>
      <c r="BB807" s="50">
        <v>0</v>
      </c>
      <c r="BC807" s="55">
        <v>2.6</v>
      </c>
      <c r="BD807" s="55">
        <v>0</v>
      </c>
      <c r="BE807" s="11">
        <v>0</v>
      </c>
      <c r="BF807" s="4">
        <v>2.6930000000000001</v>
      </c>
      <c r="BG807" s="4">
        <v>1.58</v>
      </c>
      <c r="BH807" s="4">
        <v>3.3250000000000002</v>
      </c>
      <c r="BI807" s="4">
        <v>3.3559999999999999</v>
      </c>
      <c r="BJ807" s="14">
        <v>0</v>
      </c>
      <c r="BK807" s="14">
        <v>0</v>
      </c>
      <c r="BL807" s="4">
        <v>0</v>
      </c>
      <c r="BM807" s="17">
        <v>0</v>
      </c>
      <c r="BN807" s="4">
        <v>0</v>
      </c>
      <c r="BO807" s="4">
        <v>0</v>
      </c>
      <c r="BP807" s="4">
        <v>3.0270000000000001</v>
      </c>
      <c r="BQ807" s="4">
        <v>0</v>
      </c>
      <c r="BR807" s="4">
        <v>0</v>
      </c>
      <c r="BS807" s="4">
        <v>1.931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55">
        <v>0</v>
      </c>
      <c r="CA807" s="55">
        <v>0</v>
      </c>
      <c r="CB807" s="55">
        <v>0</v>
      </c>
      <c r="CC807" s="55">
        <v>0</v>
      </c>
      <c r="CD807" s="55">
        <v>0</v>
      </c>
      <c r="CE807" s="19">
        <v>2.9</v>
      </c>
      <c r="CF807" s="19">
        <v>0</v>
      </c>
      <c r="CG807" s="4">
        <v>0</v>
      </c>
      <c r="CH807" s="4">
        <v>0</v>
      </c>
      <c r="CI807" s="4">
        <v>0</v>
      </c>
      <c r="CJ807" s="34">
        <v>0</v>
      </c>
      <c r="CK807" s="34">
        <v>0</v>
      </c>
      <c r="CL807" s="34">
        <v>0</v>
      </c>
      <c r="CM807" s="4">
        <v>0</v>
      </c>
      <c r="CN807" s="53">
        <v>0</v>
      </c>
      <c r="CO807" s="54">
        <v>0</v>
      </c>
      <c r="CP807" s="54">
        <v>0</v>
      </c>
      <c r="CQ807" s="4">
        <v>0</v>
      </c>
    </row>
    <row r="808" spans="1:95" s="55" customFormat="1" x14ac:dyDescent="0.35">
      <c r="A808" s="55">
        <v>807</v>
      </c>
      <c r="B808" s="55" t="s">
        <v>105</v>
      </c>
      <c r="C808" s="27" t="s">
        <v>556</v>
      </c>
      <c r="D808" s="50" t="s">
        <v>94</v>
      </c>
      <c r="E808" s="33" t="s">
        <v>91</v>
      </c>
      <c r="F808" s="4">
        <f>IFERROR(AVERAGEIF(Table1[[#This Row],[2019-Apr]:[2025-July]],"&lt;&gt;0"),0)</f>
        <v>4.979111111111111</v>
      </c>
      <c r="G808" s="4">
        <f ca="1">IFERROR(AVERAGEIF(OFFSET(Table1[[#This Row],[Status]],0,COUNT(Table1[[#This Row],[2019-May]:[2025-July]]),1,-12),"&lt;&gt;0"),0)</f>
        <v>1.1499999999999999</v>
      </c>
      <c r="H808" s="55">
        <f>IFERROR(SMALL(Table1[[#This Row],[2019-Apr]:[2025-July]],COUNTIF(Table1[[#This Row],[2019-Apr]:[2025-July]],0)+1),0)</f>
        <v>0.96599999999999997</v>
      </c>
      <c r="I808" s="55">
        <f>IFERROR(MAX(Table1[[#This Row],[2019-Apr]:[2025-July]]),0)</f>
        <v>13.8</v>
      </c>
      <c r="J808" s="4" cm="1">
        <f t="array" ref="J80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2.3686666666666665</v>
      </c>
      <c r="K808" s="4">
        <v>4.5</v>
      </c>
      <c r="L808" s="4">
        <f>IF(Table1[[#This Row],[Standard as per ISO]]&gt;=Table1[[#This Row],[Avg of best 6]],Table1[[#This Row],[Standard as per ISO]],Table1[[#This Row],[Avg of best 6]])</f>
        <v>4.5</v>
      </c>
      <c r="M808" s="4" cm="1">
        <f t="array" ref="M808">IFERROR(LOOKUP(2,1/(Table1[[#This Row],[2019-May]:[2025-July]]&lt;&gt;0),Table1[[#This Row],[2019-May]:[2025-July]]),0)</f>
        <v>1.1499999999999999</v>
      </c>
      <c r="N808" s="4">
        <f>COUNTIF(Table1[[#This Row],[2019-Apr]:[2025-July]],"&gt;="&amp;Table1[[#This Row],[Target]])</f>
        <v>4</v>
      </c>
      <c r="O808" s="4">
        <f>IF(Table1[[#This Row],[Outliers 2Y]]=0,1,0)</f>
        <v>0</v>
      </c>
      <c r="P808" s="4">
        <f>IF(Table1[[#This Row],[Last value]]&gt;1.5*Table1[[#This Row],[Target]],1,0)</f>
        <v>0</v>
      </c>
      <c r="Q808" s="4">
        <f>IF(AND(1.5*Table1[[#This Row],[Target]]&gt;=Table1[[#This Row],[Last value]],Table1[[#This Row],[Last value]]&gt;Table1[[#This Row],[Target]]),1,0)</f>
        <v>0</v>
      </c>
      <c r="R808" s="4">
        <f>IF(Table1[[#This Row],[Target]]&gt;=Table1[[#This Row],[Last value]],1,0)</f>
        <v>1</v>
      </c>
      <c r="S808" s="4" t="str">
        <f t="shared" si="20"/>
        <v>Green</v>
      </c>
      <c r="T808" s="55">
        <v>5.3</v>
      </c>
      <c r="U808" s="55">
        <v>7.05</v>
      </c>
      <c r="V808" s="55">
        <v>2.75</v>
      </c>
      <c r="W808" s="55">
        <v>13.8</v>
      </c>
      <c r="X808" s="55">
        <v>0</v>
      </c>
      <c r="Y808" s="55">
        <v>0</v>
      </c>
      <c r="Z808" s="55">
        <v>0</v>
      </c>
      <c r="AA808" s="55">
        <v>0</v>
      </c>
      <c r="AB808" s="55">
        <v>11.5</v>
      </c>
      <c r="AC808" s="55">
        <v>0</v>
      </c>
      <c r="AD808" s="55">
        <v>0</v>
      </c>
      <c r="AE808" s="55">
        <v>0</v>
      </c>
      <c r="AF808" s="55">
        <v>0</v>
      </c>
      <c r="AG808" s="55">
        <v>0</v>
      </c>
      <c r="AH808" s="55">
        <v>0</v>
      </c>
      <c r="AI808" s="55">
        <v>0</v>
      </c>
      <c r="AJ808" s="55">
        <v>0</v>
      </c>
      <c r="AK808" s="55">
        <v>0</v>
      </c>
      <c r="AL808" s="55">
        <v>0</v>
      </c>
      <c r="AM808" s="55">
        <v>0</v>
      </c>
      <c r="AN808" s="55">
        <v>0</v>
      </c>
      <c r="AO808" s="55">
        <v>0</v>
      </c>
      <c r="AP808" s="55">
        <v>0</v>
      </c>
      <c r="AQ808" s="55">
        <v>0</v>
      </c>
      <c r="AR808" s="8">
        <v>0</v>
      </c>
      <c r="AS808" s="8">
        <v>0</v>
      </c>
      <c r="AT808" s="8">
        <v>0</v>
      </c>
      <c r="AU808" s="50">
        <v>0</v>
      </c>
      <c r="AV808" s="50">
        <v>0</v>
      </c>
      <c r="AW808" s="50">
        <v>0</v>
      </c>
      <c r="AX808" s="50">
        <v>0</v>
      </c>
      <c r="AY808" s="50">
        <v>0</v>
      </c>
      <c r="AZ808" s="50">
        <v>0</v>
      </c>
      <c r="BA808" s="50">
        <v>0</v>
      </c>
      <c r="BB808" s="50">
        <v>0</v>
      </c>
      <c r="BC808" s="50">
        <v>0</v>
      </c>
      <c r="BD808" s="55">
        <v>0</v>
      </c>
      <c r="BE808" s="11">
        <v>0.96599999999999997</v>
      </c>
      <c r="BF808" s="4">
        <v>0.96599999999999997</v>
      </c>
      <c r="BG808" s="4">
        <v>1.33</v>
      </c>
      <c r="BH808" s="4">
        <v>0</v>
      </c>
      <c r="BI808" s="4">
        <v>0</v>
      </c>
      <c r="BJ808" s="13">
        <v>0</v>
      </c>
      <c r="BK808" s="13">
        <v>0</v>
      </c>
      <c r="BL808" s="4">
        <v>0</v>
      </c>
      <c r="BM808" s="16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55">
        <v>0</v>
      </c>
      <c r="CA808" s="55">
        <v>0</v>
      </c>
      <c r="CB808" s="55">
        <v>0</v>
      </c>
      <c r="CC808" s="55">
        <v>0</v>
      </c>
      <c r="CD808" s="55">
        <v>0</v>
      </c>
      <c r="CE808" s="19">
        <v>0</v>
      </c>
      <c r="CF808" s="19">
        <v>0</v>
      </c>
      <c r="CG808" s="4">
        <v>1.1499999999999999</v>
      </c>
      <c r="CH808" s="4">
        <v>0</v>
      </c>
      <c r="CI808" s="4">
        <v>0</v>
      </c>
      <c r="CJ808" s="34">
        <v>0</v>
      </c>
      <c r="CK808" s="34">
        <v>0</v>
      </c>
      <c r="CL808" s="34">
        <v>0</v>
      </c>
      <c r="CM808" s="4">
        <v>0</v>
      </c>
      <c r="CN808" s="53">
        <v>0</v>
      </c>
      <c r="CO808" s="54">
        <v>0</v>
      </c>
      <c r="CP808" s="54">
        <v>0</v>
      </c>
      <c r="CQ808" s="4">
        <v>0</v>
      </c>
    </row>
    <row r="809" spans="1:95" s="55" customFormat="1" x14ac:dyDescent="0.35">
      <c r="A809" s="55">
        <v>808</v>
      </c>
      <c r="B809" s="55" t="s">
        <v>105</v>
      </c>
      <c r="C809" s="27" t="s">
        <v>557</v>
      </c>
      <c r="D809" s="50" t="s">
        <v>94</v>
      </c>
      <c r="E809" s="33" t="s">
        <v>91</v>
      </c>
      <c r="F809" s="4">
        <f>IFERROR(AVERAGEIF(Table1[[#This Row],[2019-Apr]:[2025-July]],"&lt;&gt;0"),0)</f>
        <v>2.9340000000000002</v>
      </c>
      <c r="G809" s="4">
        <f ca="1">IFERROR(AVERAGEIF(OFFSET(Table1[[#This Row],[Status]],0,COUNT(Table1[[#This Row],[2019-May]:[2025-July]]),1,-12),"&lt;&gt;0"),0)</f>
        <v>0</v>
      </c>
      <c r="H809" s="55">
        <f>IFERROR(SMALL(Table1[[#This Row],[2019-Apr]:[2025-July]],COUNTIF(Table1[[#This Row],[2019-Apr]:[2025-July]],0)+1),0)</f>
        <v>2.2599999999999998</v>
      </c>
      <c r="I809" s="55">
        <f>IFERROR(MAX(Table1[[#This Row],[2019-Apr]:[2025-July]]),0)</f>
        <v>3.6080000000000001</v>
      </c>
      <c r="J809" s="4" cm="1">
        <f t="array" ref="J80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3.6080000000000001</v>
      </c>
      <c r="K809" s="4">
        <v>4.5</v>
      </c>
      <c r="L809" s="4">
        <f>IF(Table1[[#This Row],[Standard as per ISO]]&gt;=Table1[[#This Row],[Avg of best 6]],Table1[[#This Row],[Standard as per ISO]],Table1[[#This Row],[Avg of best 6]])</f>
        <v>4.5</v>
      </c>
      <c r="M809" s="4" cm="1">
        <f t="array" ref="M809">IFERROR(LOOKUP(2,1/(Table1[[#This Row],[2019-May]:[2025-July]]&lt;&gt;0),Table1[[#This Row],[2019-May]:[2025-July]]),0)</f>
        <v>3.6080000000000001</v>
      </c>
      <c r="N809" s="4">
        <f>COUNTIF(Table1[[#This Row],[2019-Apr]:[2025-July]],"&gt;="&amp;Table1[[#This Row],[Target]])</f>
        <v>0</v>
      </c>
      <c r="O809" s="4">
        <f>IF(Table1[[#This Row],[Outliers 2Y]]=0,1,0)</f>
        <v>1</v>
      </c>
      <c r="P809" s="4">
        <f>IF(Table1[[#This Row],[Last value]]&gt;1.5*Table1[[#This Row],[Target]],1,0)</f>
        <v>0</v>
      </c>
      <c r="Q809" s="4">
        <f>IF(AND(1.5*Table1[[#This Row],[Target]]&gt;=Table1[[#This Row],[Last value]],Table1[[#This Row],[Last value]]&gt;Table1[[#This Row],[Target]]),1,0)</f>
        <v>0</v>
      </c>
      <c r="R809" s="4">
        <f>IF(Table1[[#This Row],[Target]]&gt;=Table1[[#This Row],[Last value]],1,0)</f>
        <v>1</v>
      </c>
      <c r="S809" s="4" t="str">
        <f t="shared" si="20"/>
        <v>Green</v>
      </c>
      <c r="T809" s="55">
        <v>2.2599999999999998</v>
      </c>
      <c r="U809" s="55">
        <v>0</v>
      </c>
      <c r="V809" s="55">
        <v>0</v>
      </c>
      <c r="W809" s="55">
        <v>0</v>
      </c>
      <c r="X809" s="55">
        <v>0</v>
      </c>
      <c r="Y809" s="55">
        <v>0</v>
      </c>
      <c r="Z809" s="55">
        <v>0</v>
      </c>
      <c r="AA809" s="55">
        <v>0</v>
      </c>
      <c r="AB809" s="55">
        <v>0</v>
      </c>
      <c r="AC809" s="55">
        <v>0</v>
      </c>
      <c r="AD809" s="55">
        <v>0</v>
      </c>
      <c r="AE809" s="55">
        <v>0</v>
      </c>
      <c r="AF809" s="55">
        <v>0</v>
      </c>
      <c r="AG809" s="55">
        <v>0</v>
      </c>
      <c r="AH809" s="55">
        <v>0</v>
      </c>
      <c r="AI809" s="55">
        <v>0</v>
      </c>
      <c r="AJ809" s="55">
        <v>0</v>
      </c>
      <c r="AK809" s="55">
        <v>0</v>
      </c>
      <c r="AL809" s="55">
        <v>0</v>
      </c>
      <c r="AM809" s="55">
        <v>0</v>
      </c>
      <c r="AN809" s="55">
        <v>0</v>
      </c>
      <c r="AO809" s="55">
        <v>0</v>
      </c>
      <c r="AP809" s="55">
        <v>0</v>
      </c>
      <c r="AQ809" s="55">
        <v>0</v>
      </c>
      <c r="AR809" s="8">
        <v>0</v>
      </c>
      <c r="AS809" s="8">
        <v>0</v>
      </c>
      <c r="AT809" s="8">
        <v>0</v>
      </c>
      <c r="AU809" s="50">
        <v>0</v>
      </c>
      <c r="AV809" s="50">
        <v>0</v>
      </c>
      <c r="AW809" s="50">
        <v>0</v>
      </c>
      <c r="AX809" s="50">
        <v>0</v>
      </c>
      <c r="AY809" s="50">
        <v>0</v>
      </c>
      <c r="AZ809" s="50">
        <v>0</v>
      </c>
      <c r="BA809" s="50">
        <v>0</v>
      </c>
      <c r="BB809" s="50">
        <v>0</v>
      </c>
      <c r="BC809" s="50">
        <v>0</v>
      </c>
      <c r="BD809" s="55">
        <v>0</v>
      </c>
      <c r="BE809" s="11">
        <v>0</v>
      </c>
      <c r="BF809" s="4">
        <v>0</v>
      </c>
      <c r="BG809" s="4">
        <v>0</v>
      </c>
      <c r="BH809" s="4">
        <v>0</v>
      </c>
      <c r="BI809" s="4">
        <v>3.6080000000000001</v>
      </c>
      <c r="BJ809" s="14">
        <v>0</v>
      </c>
      <c r="BK809" s="14">
        <v>0</v>
      </c>
      <c r="BL809" s="4">
        <v>0</v>
      </c>
      <c r="BM809" s="17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55">
        <v>0</v>
      </c>
      <c r="CA809" s="55">
        <v>0</v>
      </c>
      <c r="CB809" s="55">
        <v>0</v>
      </c>
      <c r="CC809" s="55">
        <v>0</v>
      </c>
      <c r="CD809" s="55">
        <v>0</v>
      </c>
      <c r="CE809" s="19">
        <v>0</v>
      </c>
      <c r="CF809" s="19">
        <v>0</v>
      </c>
      <c r="CG809" s="4">
        <v>0</v>
      </c>
      <c r="CH809" s="4">
        <v>0</v>
      </c>
      <c r="CI809" s="4">
        <v>0</v>
      </c>
      <c r="CJ809" s="34">
        <v>0</v>
      </c>
      <c r="CK809" s="34">
        <v>0</v>
      </c>
      <c r="CL809" s="34">
        <v>0</v>
      </c>
      <c r="CM809" s="4">
        <v>0</v>
      </c>
      <c r="CN809" s="53">
        <v>0</v>
      </c>
      <c r="CO809" s="54">
        <v>0</v>
      </c>
      <c r="CP809" s="54">
        <v>0</v>
      </c>
      <c r="CQ809" s="4">
        <v>0</v>
      </c>
    </row>
    <row r="810" spans="1:95" s="55" customFormat="1" x14ac:dyDescent="0.35">
      <c r="A810" s="55">
        <v>809</v>
      </c>
      <c r="B810" s="55" t="s">
        <v>105</v>
      </c>
      <c r="C810" s="27" t="s">
        <v>558</v>
      </c>
      <c r="D810" s="50" t="s">
        <v>94</v>
      </c>
      <c r="E810" s="33" t="s">
        <v>91</v>
      </c>
      <c r="F810" s="4">
        <f>IFERROR(AVERAGEIF(Table1[[#This Row],[2019-Apr]:[2025-July]],"&lt;&gt;0"),0)</f>
        <v>2.2696046511627901</v>
      </c>
      <c r="G810" s="4">
        <f ca="1">IFERROR(AVERAGEIF(OFFSET(Table1[[#This Row],[Status]],0,COUNT(Table1[[#This Row],[2019-May]:[2025-July]]),1,-12),"&lt;&gt;0"),0)</f>
        <v>1.5150000000000001</v>
      </c>
      <c r="H810" s="55">
        <f>IFERROR(SMALL(Table1[[#This Row],[2019-Apr]:[2025-July]],COUNTIF(Table1[[#This Row],[2019-Apr]:[2025-July]],0)+1),0)</f>
        <v>1.27</v>
      </c>
      <c r="I810" s="55">
        <f>IFERROR(MAX(Table1[[#This Row],[2019-Apr]:[2025-July]]),0)</f>
        <v>3.66</v>
      </c>
      <c r="J810" s="4" cm="1">
        <f t="array" ref="J81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1.4059999999999999</v>
      </c>
      <c r="K810" s="4">
        <v>4.5</v>
      </c>
      <c r="L810" s="4">
        <f>IF(Table1[[#This Row],[Standard as per ISO]]&gt;=Table1[[#This Row],[Avg of best 6]],Table1[[#This Row],[Standard as per ISO]],Table1[[#This Row],[Avg of best 6]])</f>
        <v>4.5</v>
      </c>
      <c r="M810" s="4" cm="1">
        <f t="array" ref="M810">IFERROR(LOOKUP(2,1/(Table1[[#This Row],[2019-May]:[2025-July]]&lt;&gt;0),Table1[[#This Row],[2019-May]:[2025-July]]),0)</f>
        <v>1.73</v>
      </c>
      <c r="N810" s="4">
        <f>COUNTIF(Table1[[#This Row],[2019-Apr]:[2025-July]],"&gt;="&amp;Table1[[#This Row],[Target]])</f>
        <v>0</v>
      </c>
      <c r="O810" s="4">
        <f>IF(Table1[[#This Row],[Outliers 2Y]]=0,1,0)</f>
        <v>1</v>
      </c>
      <c r="P810" s="4">
        <f>IF(Table1[[#This Row],[Last value]]&gt;1.5*Table1[[#This Row],[Target]],1,0)</f>
        <v>0</v>
      </c>
      <c r="Q810" s="4">
        <f>IF(AND(1.5*Table1[[#This Row],[Target]]&gt;=Table1[[#This Row],[Last value]],Table1[[#This Row],[Last value]]&gt;Table1[[#This Row],[Target]]),1,0)</f>
        <v>0</v>
      </c>
      <c r="R810" s="4">
        <f>IF(Table1[[#This Row],[Target]]&gt;=Table1[[#This Row],[Last value]],1,0)</f>
        <v>1</v>
      </c>
      <c r="S810" s="4" t="str">
        <f t="shared" si="20"/>
        <v>Green</v>
      </c>
      <c r="T810" s="55">
        <v>2.15</v>
      </c>
      <c r="U810" s="55">
        <v>0</v>
      </c>
      <c r="V810" s="55">
        <v>1.84</v>
      </c>
      <c r="W810" s="55">
        <v>1.66</v>
      </c>
      <c r="X810" s="55">
        <v>2.5</v>
      </c>
      <c r="Y810" s="55">
        <v>2.4700000000000002</v>
      </c>
      <c r="Z810" s="55">
        <v>2.36</v>
      </c>
      <c r="AA810" s="55">
        <v>2.2000000000000002</v>
      </c>
      <c r="AB810" s="55">
        <v>1.34</v>
      </c>
      <c r="AC810" s="55">
        <v>2.67</v>
      </c>
      <c r="AD810" s="55">
        <v>2.77</v>
      </c>
      <c r="AE810" s="55">
        <v>1.74</v>
      </c>
      <c r="AF810" s="55">
        <v>2.96</v>
      </c>
      <c r="AG810" s="55">
        <v>3.1</v>
      </c>
      <c r="AH810" s="55">
        <v>0</v>
      </c>
      <c r="AI810" s="55">
        <v>2.94</v>
      </c>
      <c r="AJ810" s="55">
        <v>2.73</v>
      </c>
      <c r="AK810" s="55">
        <v>2.2999999999999998</v>
      </c>
      <c r="AL810" s="55">
        <v>2.09</v>
      </c>
      <c r="AM810" s="55">
        <v>2.4</v>
      </c>
      <c r="AN810" s="55">
        <v>2.74</v>
      </c>
      <c r="AO810" s="55">
        <v>2.38</v>
      </c>
      <c r="AP810" s="55">
        <v>1.27</v>
      </c>
      <c r="AQ810" s="55">
        <v>3.66</v>
      </c>
      <c r="AR810" s="8">
        <v>2.73</v>
      </c>
      <c r="AS810" s="8">
        <v>2.79</v>
      </c>
      <c r="AT810" s="8">
        <v>2.5550000000000002</v>
      </c>
      <c r="AU810" s="50">
        <v>1.68</v>
      </c>
      <c r="AV810" s="50">
        <v>1.36</v>
      </c>
      <c r="AW810" s="50">
        <v>2.77</v>
      </c>
      <c r="AX810" s="50">
        <v>2.0299999999999998</v>
      </c>
      <c r="AY810" s="50">
        <v>2.08</v>
      </c>
      <c r="AZ810" s="50">
        <v>0</v>
      </c>
      <c r="BA810" s="50">
        <v>0</v>
      </c>
      <c r="BB810" s="50">
        <v>3.1</v>
      </c>
      <c r="BC810" s="55">
        <v>2.5</v>
      </c>
      <c r="BD810" s="55">
        <v>0</v>
      </c>
      <c r="BE810" s="11">
        <v>1.506</v>
      </c>
      <c r="BF810" s="4">
        <v>2.2000000000000002</v>
      </c>
      <c r="BG810" s="4">
        <v>2.3759999999999999</v>
      </c>
      <c r="BH810" s="4">
        <v>2.3410000000000002</v>
      </c>
      <c r="BI810" s="4">
        <v>2.073</v>
      </c>
      <c r="BJ810" s="13">
        <v>0</v>
      </c>
      <c r="BK810" s="13">
        <v>0</v>
      </c>
      <c r="BL810" s="4">
        <v>2.657</v>
      </c>
      <c r="BM810" s="16">
        <v>0</v>
      </c>
      <c r="BN810" s="4">
        <v>0</v>
      </c>
      <c r="BO810" s="4">
        <v>0</v>
      </c>
      <c r="BP810" s="4">
        <v>1.887</v>
      </c>
      <c r="BQ810" s="4">
        <v>0</v>
      </c>
      <c r="BR810" s="4">
        <v>0</v>
      </c>
      <c r="BS810" s="4">
        <v>1.8979999999999999</v>
      </c>
      <c r="BT810" s="4">
        <v>0</v>
      </c>
      <c r="BU810" s="4">
        <v>0</v>
      </c>
      <c r="BV810" s="4">
        <v>0</v>
      </c>
      <c r="BW810" s="4">
        <v>1.76</v>
      </c>
      <c r="BX810" s="4">
        <v>0</v>
      </c>
      <c r="BY810" s="4">
        <v>0</v>
      </c>
      <c r="BZ810" s="55">
        <v>0</v>
      </c>
      <c r="CA810" s="55">
        <v>0</v>
      </c>
      <c r="CB810" s="55">
        <v>0</v>
      </c>
      <c r="CC810" s="55">
        <v>0</v>
      </c>
      <c r="CD810" s="55">
        <v>0</v>
      </c>
      <c r="CE810" s="19">
        <v>1.3</v>
      </c>
      <c r="CF810" s="19">
        <v>0</v>
      </c>
      <c r="CG810" s="4">
        <v>0</v>
      </c>
      <c r="CH810" s="4">
        <v>1.73</v>
      </c>
      <c r="CI810" s="4">
        <v>0</v>
      </c>
      <c r="CJ810" s="34">
        <v>0</v>
      </c>
      <c r="CK810" s="34">
        <v>0</v>
      </c>
      <c r="CL810" s="34">
        <v>0</v>
      </c>
      <c r="CM810" s="4">
        <v>0</v>
      </c>
      <c r="CN810" s="53">
        <v>0</v>
      </c>
      <c r="CO810" s="54">
        <v>0</v>
      </c>
      <c r="CP810" s="54">
        <v>0</v>
      </c>
      <c r="CQ810" s="4">
        <v>0</v>
      </c>
    </row>
    <row r="811" spans="1:95" s="55" customFormat="1" x14ac:dyDescent="0.35">
      <c r="A811" s="55">
        <v>810</v>
      </c>
      <c r="B811" s="55" t="s">
        <v>105</v>
      </c>
      <c r="C811" s="27" t="s">
        <v>559</v>
      </c>
      <c r="D811" s="50" t="s">
        <v>94</v>
      </c>
      <c r="E811" s="33" t="s">
        <v>91</v>
      </c>
      <c r="F811" s="4">
        <f>IFERROR(AVERAGEIF(Table1[[#This Row],[2019-Apr]:[2025-July]],"&lt;&gt;0"),0)</f>
        <v>1.6199999999999999</v>
      </c>
      <c r="G811" s="4">
        <f ca="1">IFERROR(AVERAGEIF(OFFSET(Table1[[#This Row],[Status]],0,COUNT(Table1[[#This Row],[2019-May]:[2025-July]]),1,-12),"&lt;&gt;0"),0)</f>
        <v>1.1000000000000001</v>
      </c>
      <c r="H811" s="55">
        <f>IFERROR(SMALL(Table1[[#This Row],[2019-Apr]:[2025-July]],COUNTIF(Table1[[#This Row],[2019-Apr]:[2025-July]],0)+1),0)</f>
        <v>1.1000000000000001</v>
      </c>
      <c r="I811" s="55">
        <f>IFERROR(MAX(Table1[[#This Row],[2019-Apr]:[2025-July]]),0)</f>
        <v>2.06</v>
      </c>
      <c r="J811" s="4" cm="1">
        <f t="array" ref="J81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1.6199999999999999</v>
      </c>
      <c r="K811" s="4">
        <v>4.5</v>
      </c>
      <c r="L811" s="4">
        <f>IF(Table1[[#This Row],[Standard as per ISO]]&gt;=Table1[[#This Row],[Avg of best 6]],Table1[[#This Row],[Standard as per ISO]],Table1[[#This Row],[Avg of best 6]])</f>
        <v>4.5</v>
      </c>
      <c r="M811" s="4" cm="1">
        <f t="array" ref="M811">IFERROR(LOOKUP(2,1/(Table1[[#This Row],[2019-May]:[2025-July]]&lt;&gt;0),Table1[[#This Row],[2019-May]:[2025-July]]),0)</f>
        <v>1.1000000000000001</v>
      </c>
      <c r="N811" s="4">
        <f>COUNTIF(Table1[[#This Row],[2019-Apr]:[2025-July]],"&gt;="&amp;Table1[[#This Row],[Target]])</f>
        <v>0</v>
      </c>
      <c r="O811" s="4">
        <f>IF(Table1[[#This Row],[Outliers 2Y]]=0,1,0)</f>
        <v>1</v>
      </c>
      <c r="P811" s="4">
        <f>IF(Table1[[#This Row],[Last value]]&gt;1.5*Table1[[#This Row],[Target]],1,0)</f>
        <v>0</v>
      </c>
      <c r="Q811" s="4">
        <f>IF(AND(1.5*Table1[[#This Row],[Target]]&gt;=Table1[[#This Row],[Last value]],Table1[[#This Row],[Last value]]&gt;Table1[[#This Row],[Target]]),1,0)</f>
        <v>0</v>
      </c>
      <c r="R811" s="4">
        <f>IF(Table1[[#This Row],[Target]]&gt;=Table1[[#This Row],[Last value]],1,0)</f>
        <v>1</v>
      </c>
      <c r="S811" s="4" t="str">
        <f t="shared" si="20"/>
        <v>Green</v>
      </c>
      <c r="T811" s="55">
        <v>0</v>
      </c>
      <c r="U811" s="55">
        <v>0</v>
      </c>
      <c r="V811" s="55">
        <v>0</v>
      </c>
      <c r="W811" s="55">
        <v>0</v>
      </c>
      <c r="X811" s="55">
        <v>0</v>
      </c>
      <c r="Y811" s="55">
        <v>0</v>
      </c>
      <c r="Z811" s="55">
        <v>0</v>
      </c>
      <c r="AA811" s="55">
        <v>0</v>
      </c>
      <c r="AB811" s="55">
        <v>0</v>
      </c>
      <c r="AC811" s="55">
        <v>0</v>
      </c>
      <c r="AD811" s="55">
        <v>0</v>
      </c>
      <c r="AE811" s="55">
        <v>0</v>
      </c>
      <c r="AF811" s="55">
        <v>0</v>
      </c>
      <c r="AG811" s="55">
        <v>0</v>
      </c>
      <c r="AH811" s="55">
        <v>0</v>
      </c>
      <c r="AI811" s="55">
        <v>0</v>
      </c>
      <c r="AJ811" s="55">
        <v>0</v>
      </c>
      <c r="AK811" s="55">
        <v>0</v>
      </c>
      <c r="AL811" s="55">
        <v>0</v>
      </c>
      <c r="AM811" s="55">
        <v>2.06</v>
      </c>
      <c r="AN811" s="55">
        <v>0</v>
      </c>
      <c r="AO811" s="55">
        <v>0</v>
      </c>
      <c r="AP811" s="55">
        <v>0</v>
      </c>
      <c r="AQ811" s="55">
        <v>0</v>
      </c>
      <c r="AR811" s="8">
        <v>0</v>
      </c>
      <c r="AS811" s="8">
        <v>0</v>
      </c>
      <c r="AT811" s="8">
        <v>0</v>
      </c>
      <c r="AU811" s="50">
        <v>0</v>
      </c>
      <c r="AV811" s="50">
        <v>0</v>
      </c>
      <c r="AW811" s="50">
        <v>0</v>
      </c>
      <c r="AX811" s="50">
        <v>0</v>
      </c>
      <c r="AY811" s="50">
        <v>0</v>
      </c>
      <c r="AZ811" s="50">
        <v>0</v>
      </c>
      <c r="BA811" s="50">
        <v>1.7</v>
      </c>
      <c r="BB811" s="50">
        <v>0</v>
      </c>
      <c r="BC811" s="50">
        <v>0</v>
      </c>
      <c r="BD811" s="55">
        <v>0</v>
      </c>
      <c r="BE811" s="11">
        <v>0</v>
      </c>
      <c r="BF811" s="4">
        <v>0</v>
      </c>
      <c r="BG811" s="4">
        <v>0</v>
      </c>
      <c r="BH811" s="4">
        <v>0</v>
      </c>
      <c r="BI811" s="4">
        <v>0</v>
      </c>
      <c r="BJ811" s="14">
        <v>0</v>
      </c>
      <c r="BK811" s="14">
        <v>0</v>
      </c>
      <c r="BL811" s="4">
        <v>0</v>
      </c>
      <c r="BM811" s="17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55">
        <v>0</v>
      </c>
      <c r="CA811" s="55">
        <v>0</v>
      </c>
      <c r="CB811" s="55">
        <v>0</v>
      </c>
      <c r="CC811" s="55">
        <v>0</v>
      </c>
      <c r="CD811" s="55">
        <v>0</v>
      </c>
      <c r="CE811" s="19">
        <v>1.1000000000000001</v>
      </c>
      <c r="CF811" s="19">
        <v>0</v>
      </c>
      <c r="CG811" s="4">
        <v>0</v>
      </c>
      <c r="CH811" s="4">
        <v>0</v>
      </c>
      <c r="CI811" s="4">
        <v>0</v>
      </c>
      <c r="CJ811" s="34">
        <v>0</v>
      </c>
      <c r="CK811" s="34">
        <v>0</v>
      </c>
      <c r="CL811" s="34">
        <v>0</v>
      </c>
      <c r="CM811" s="4">
        <v>0</v>
      </c>
      <c r="CN811" s="53">
        <v>0</v>
      </c>
      <c r="CO811" s="54">
        <v>0</v>
      </c>
      <c r="CP811" s="54">
        <v>0</v>
      </c>
      <c r="CQ811" s="4">
        <v>0</v>
      </c>
    </row>
    <row r="812" spans="1:95" s="55" customFormat="1" x14ac:dyDescent="0.35">
      <c r="A812" s="55">
        <v>811</v>
      </c>
      <c r="B812" s="55" t="s">
        <v>105</v>
      </c>
      <c r="C812" s="27" t="s">
        <v>560</v>
      </c>
      <c r="D812" s="50" t="s">
        <v>94</v>
      </c>
      <c r="E812" s="33" t="s">
        <v>91</v>
      </c>
      <c r="F812" s="4">
        <f>IFERROR(AVERAGEIF(Table1[[#This Row],[2019-Apr]:[2025-July]],"&lt;&gt;0"),0)</f>
        <v>3.0289285714285707</v>
      </c>
      <c r="G812" s="4">
        <f ca="1">IFERROR(AVERAGEIF(OFFSET(Table1[[#This Row],[Status]],0,COUNT(Table1[[#This Row],[2019-May]:[2025-July]]),1,-12),"&lt;&gt;0"),0)</f>
        <v>1.4450000000000001</v>
      </c>
      <c r="H812" s="55">
        <f>IFERROR(SMALL(Table1[[#This Row],[2019-Apr]:[2025-July]],COUNTIF(Table1[[#This Row],[2019-Apr]:[2025-July]],0)+1),0)</f>
        <v>0.95399999999999996</v>
      </c>
      <c r="I812" s="55">
        <f>IFERROR(MAX(Table1[[#This Row],[2019-Apr]:[2025-July]]),0)</f>
        <v>18.5</v>
      </c>
      <c r="J812" s="4" cm="1">
        <f t="array" ref="J81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1.2515000000000001</v>
      </c>
      <c r="K812" s="4">
        <v>4.5</v>
      </c>
      <c r="L812" s="4">
        <f>IF(Table1[[#This Row],[Standard as per ISO]]&gt;=Table1[[#This Row],[Avg of best 6]],Table1[[#This Row],[Standard as per ISO]],Table1[[#This Row],[Avg of best 6]])</f>
        <v>4.5</v>
      </c>
      <c r="M812" s="4" cm="1">
        <f t="array" ref="M812">IFERROR(LOOKUP(2,1/(Table1[[#This Row],[2019-May]:[2025-July]]&lt;&gt;0),Table1[[#This Row],[2019-May]:[2025-July]]),0)</f>
        <v>1.07</v>
      </c>
      <c r="N812" s="4">
        <f>COUNTIF(Table1[[#This Row],[2019-Apr]:[2025-July]],"&gt;="&amp;Table1[[#This Row],[Target]])</f>
        <v>3</v>
      </c>
      <c r="O812" s="4">
        <f>IF(Table1[[#This Row],[Outliers 2Y]]=0,1,0)</f>
        <v>0</v>
      </c>
      <c r="P812" s="4">
        <f>IF(Table1[[#This Row],[Last value]]&gt;1.5*Table1[[#This Row],[Target]],1,0)</f>
        <v>0</v>
      </c>
      <c r="Q812" s="4">
        <f>IF(AND(1.5*Table1[[#This Row],[Target]]&gt;=Table1[[#This Row],[Last value]],Table1[[#This Row],[Last value]]&gt;Table1[[#This Row],[Target]]),1,0)</f>
        <v>0</v>
      </c>
      <c r="R812" s="4">
        <f>IF(Table1[[#This Row],[Target]]&gt;=Table1[[#This Row],[Last value]],1,0)</f>
        <v>1</v>
      </c>
      <c r="S812" s="4" t="str">
        <f t="shared" si="20"/>
        <v>Green</v>
      </c>
      <c r="T812" s="55">
        <v>2.67</v>
      </c>
      <c r="U812" s="55">
        <v>0</v>
      </c>
      <c r="V812" s="55">
        <v>3.11</v>
      </c>
      <c r="W812" s="55">
        <v>2.8</v>
      </c>
      <c r="X812" s="55">
        <v>4.2</v>
      </c>
      <c r="Y812" s="55">
        <v>1.7</v>
      </c>
      <c r="Z812" s="55">
        <v>2.75</v>
      </c>
      <c r="AA812" s="55">
        <v>0</v>
      </c>
      <c r="AB812" s="55">
        <v>1.3</v>
      </c>
      <c r="AC812" s="55">
        <v>1.58</v>
      </c>
      <c r="AD812" s="55">
        <v>3.2</v>
      </c>
      <c r="AE812" s="55">
        <v>4.9000000000000004</v>
      </c>
      <c r="AF812" s="55">
        <v>2.8</v>
      </c>
      <c r="AG812" s="55">
        <v>2.9</v>
      </c>
      <c r="AH812" s="55">
        <v>3.9</v>
      </c>
      <c r="AI812" s="55">
        <v>18.5</v>
      </c>
      <c r="AJ812" s="55">
        <v>7.6</v>
      </c>
      <c r="AK812" s="55">
        <v>3.33</v>
      </c>
      <c r="AL812" s="55">
        <v>1.57</v>
      </c>
      <c r="AM812" s="55">
        <v>0</v>
      </c>
      <c r="AN812" s="55">
        <v>3.1</v>
      </c>
      <c r="AO812" s="55">
        <v>3.31</v>
      </c>
      <c r="AP812" s="55">
        <v>2.76</v>
      </c>
      <c r="AQ812" s="55">
        <v>3.22</v>
      </c>
      <c r="AR812" s="8">
        <v>3.05</v>
      </c>
      <c r="AS812" s="8">
        <v>0</v>
      </c>
      <c r="AT812" s="8">
        <v>0</v>
      </c>
      <c r="AU812" s="50">
        <v>4.16</v>
      </c>
      <c r="AV812" s="50">
        <v>2.52</v>
      </c>
      <c r="AW812" s="50">
        <v>1.82</v>
      </c>
      <c r="AX812" s="50">
        <v>3.18</v>
      </c>
      <c r="AY812" s="50">
        <v>1.56</v>
      </c>
      <c r="AZ812" s="50">
        <v>2.6</v>
      </c>
      <c r="BA812" s="50">
        <v>1.9</v>
      </c>
      <c r="BB812" s="50">
        <v>4</v>
      </c>
      <c r="BC812" s="55">
        <v>3.9</v>
      </c>
      <c r="BD812" s="55">
        <v>0</v>
      </c>
      <c r="BE812" s="11">
        <v>2.1669999999999998</v>
      </c>
      <c r="BF812" s="4">
        <v>1.839</v>
      </c>
      <c r="BG812" s="4">
        <v>1.784</v>
      </c>
      <c r="BH812" s="4">
        <v>1.716</v>
      </c>
      <c r="BI812" s="4">
        <v>1.716</v>
      </c>
      <c r="BJ812" s="13">
        <v>0</v>
      </c>
      <c r="BK812" s="13">
        <v>0</v>
      </c>
      <c r="BL812" s="4">
        <v>1.6339999999999999</v>
      </c>
      <c r="BM812" s="16">
        <v>0</v>
      </c>
      <c r="BN812" s="4">
        <v>0</v>
      </c>
      <c r="BO812" s="4">
        <v>0</v>
      </c>
      <c r="BP812" s="4">
        <v>0.95399999999999996</v>
      </c>
      <c r="BQ812" s="4">
        <v>0</v>
      </c>
      <c r="BR812" s="4">
        <v>0</v>
      </c>
      <c r="BS812" s="4">
        <v>1.145</v>
      </c>
      <c r="BT812" s="4">
        <v>0</v>
      </c>
      <c r="BU812" s="4">
        <v>0</v>
      </c>
      <c r="BV812" s="4">
        <v>0</v>
      </c>
      <c r="BW812" s="4">
        <v>1.48</v>
      </c>
      <c r="BX812" s="4">
        <v>0</v>
      </c>
      <c r="BY812" s="4">
        <v>0</v>
      </c>
      <c r="BZ812" s="55">
        <v>0</v>
      </c>
      <c r="CA812" s="55">
        <v>0</v>
      </c>
      <c r="CB812" s="55">
        <v>0</v>
      </c>
      <c r="CC812" s="55">
        <v>0</v>
      </c>
      <c r="CD812" s="55">
        <v>0</v>
      </c>
      <c r="CE812" s="19">
        <v>0</v>
      </c>
      <c r="CF812" s="19">
        <v>0</v>
      </c>
      <c r="CG812" s="4">
        <v>1.82</v>
      </c>
      <c r="CH812" s="4">
        <v>1.07</v>
      </c>
      <c r="CI812" s="4">
        <v>0</v>
      </c>
      <c r="CJ812" s="34">
        <v>0</v>
      </c>
      <c r="CK812" s="34">
        <v>0</v>
      </c>
      <c r="CL812" s="34">
        <v>0</v>
      </c>
      <c r="CM812" s="4">
        <v>0</v>
      </c>
      <c r="CN812" s="53">
        <v>0</v>
      </c>
      <c r="CO812" s="54">
        <v>0</v>
      </c>
      <c r="CP812" s="54">
        <v>0</v>
      </c>
      <c r="CQ812" s="4">
        <v>0</v>
      </c>
    </row>
    <row r="813" spans="1:95" s="55" customFormat="1" x14ac:dyDescent="0.35">
      <c r="A813" s="55">
        <v>812</v>
      </c>
      <c r="B813" s="55" t="s">
        <v>105</v>
      </c>
      <c r="C813" s="27" t="s">
        <v>561</v>
      </c>
      <c r="D813" s="50" t="s">
        <v>94</v>
      </c>
      <c r="E813" s="33" t="s">
        <v>91</v>
      </c>
      <c r="F813" s="4">
        <f>IFERROR(AVERAGEIF(Table1[[#This Row],[2019-Apr]:[2025-July]],"&lt;&gt;0"),0)</f>
        <v>2.0299999999999998</v>
      </c>
      <c r="G813" s="4">
        <f ca="1">IFERROR(AVERAGEIF(OFFSET(Table1[[#This Row],[Status]],0,COUNT(Table1[[#This Row],[2019-May]:[2025-July]]),1,-12),"&lt;&gt;0"),0)</f>
        <v>0</v>
      </c>
      <c r="H813" s="55">
        <f>IFERROR(SMALL(Table1[[#This Row],[2019-Apr]:[2025-July]],COUNTIF(Table1[[#This Row],[2019-Apr]:[2025-July]],0)+1),0)</f>
        <v>2.0299999999999998</v>
      </c>
      <c r="I813" s="55">
        <f>IFERROR(MAX(Table1[[#This Row],[2019-Apr]:[2025-July]]),0)</f>
        <v>2.0299999999999998</v>
      </c>
      <c r="J813" s="4" cm="1">
        <f t="array" ref="J81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2.0299999999999998</v>
      </c>
      <c r="K813" s="4">
        <v>4.5</v>
      </c>
      <c r="L813" s="4">
        <f>IF(Table1[[#This Row],[Standard as per ISO]]&gt;=Table1[[#This Row],[Avg of best 6]],Table1[[#This Row],[Standard as per ISO]],Table1[[#This Row],[Avg of best 6]])</f>
        <v>4.5</v>
      </c>
      <c r="M813" s="4" cm="1">
        <f t="array" ref="M813">IFERROR(LOOKUP(2,1/(Table1[[#This Row],[2019-May]:[2025-July]]&lt;&gt;0),Table1[[#This Row],[2019-May]:[2025-July]]),0)</f>
        <v>2.0299999999999998</v>
      </c>
      <c r="N813" s="4">
        <f>COUNTIF(Table1[[#This Row],[2019-Apr]:[2025-July]],"&gt;="&amp;Table1[[#This Row],[Target]])</f>
        <v>0</v>
      </c>
      <c r="O813" s="4">
        <f>IF(Table1[[#This Row],[Outliers 2Y]]=0,1,0)</f>
        <v>1</v>
      </c>
      <c r="P813" s="4">
        <f>IF(Table1[[#This Row],[Last value]]&gt;1.5*Table1[[#This Row],[Target]],1,0)</f>
        <v>0</v>
      </c>
      <c r="Q813" s="4">
        <f>IF(AND(1.5*Table1[[#This Row],[Target]]&gt;=Table1[[#This Row],[Last value]],Table1[[#This Row],[Last value]]&gt;Table1[[#This Row],[Target]]),1,0)</f>
        <v>0</v>
      </c>
      <c r="R813" s="4">
        <f>IF(Table1[[#This Row],[Target]]&gt;=Table1[[#This Row],[Last value]],1,0)</f>
        <v>1</v>
      </c>
      <c r="S813" s="4" t="str">
        <f t="shared" si="20"/>
        <v>Green</v>
      </c>
      <c r="T813" s="55">
        <v>0</v>
      </c>
      <c r="U813" s="55">
        <v>0</v>
      </c>
      <c r="V813" s="55">
        <v>0</v>
      </c>
      <c r="W813" s="55">
        <v>0</v>
      </c>
      <c r="X813" s="55">
        <v>0</v>
      </c>
      <c r="Y813" s="55">
        <v>0</v>
      </c>
      <c r="Z813" s="55">
        <v>0</v>
      </c>
      <c r="AA813" s="55">
        <v>0</v>
      </c>
      <c r="AB813" s="55">
        <v>0</v>
      </c>
      <c r="AC813" s="55">
        <v>0</v>
      </c>
      <c r="AD813" s="55">
        <v>0</v>
      </c>
      <c r="AE813" s="55">
        <v>0</v>
      </c>
      <c r="AF813" s="55">
        <v>0</v>
      </c>
      <c r="AG813" s="55">
        <v>0</v>
      </c>
      <c r="AH813" s="55">
        <v>0</v>
      </c>
      <c r="AI813" s="55">
        <v>0</v>
      </c>
      <c r="AJ813" s="55">
        <v>0</v>
      </c>
      <c r="AK813" s="55">
        <v>0</v>
      </c>
      <c r="AL813" s="55">
        <v>0</v>
      </c>
      <c r="AM813" s="55">
        <v>0</v>
      </c>
      <c r="AN813" s="55">
        <v>0</v>
      </c>
      <c r="AO813" s="55">
        <v>0</v>
      </c>
      <c r="AP813" s="55">
        <v>0</v>
      </c>
      <c r="AQ813" s="55">
        <v>0</v>
      </c>
      <c r="AR813" s="8">
        <v>0</v>
      </c>
      <c r="AS813" s="8">
        <v>0</v>
      </c>
      <c r="AT813" s="8">
        <v>0</v>
      </c>
      <c r="AU813" s="50">
        <v>2.0299999999999998</v>
      </c>
      <c r="AV813" s="50">
        <v>0</v>
      </c>
      <c r="AW813" s="50">
        <v>0</v>
      </c>
      <c r="AX813" s="50">
        <v>0</v>
      </c>
      <c r="AY813" s="50">
        <v>0</v>
      </c>
      <c r="AZ813" s="50">
        <v>0</v>
      </c>
      <c r="BA813" s="50">
        <v>0</v>
      </c>
      <c r="BB813" s="50">
        <v>0</v>
      </c>
      <c r="BC813" s="50">
        <v>0</v>
      </c>
      <c r="BD813" s="55">
        <v>0</v>
      </c>
      <c r="BE813" s="11">
        <v>0</v>
      </c>
      <c r="BF813" s="4">
        <v>0</v>
      </c>
      <c r="BG813" s="4">
        <v>0</v>
      </c>
      <c r="BH813" s="4">
        <v>0</v>
      </c>
      <c r="BI813" s="4">
        <v>0</v>
      </c>
      <c r="BJ813" s="14">
        <v>0</v>
      </c>
      <c r="BK813" s="14">
        <v>0</v>
      </c>
      <c r="BL813" s="4">
        <v>0</v>
      </c>
      <c r="BM813" s="17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55">
        <v>0</v>
      </c>
      <c r="CA813" s="55">
        <v>0</v>
      </c>
      <c r="CB813" s="55">
        <v>0</v>
      </c>
      <c r="CC813" s="55">
        <v>0</v>
      </c>
      <c r="CD813" s="55">
        <v>0</v>
      </c>
      <c r="CE813" s="19">
        <v>0</v>
      </c>
      <c r="CF813" s="19">
        <v>0</v>
      </c>
      <c r="CG813" s="4">
        <v>0</v>
      </c>
      <c r="CH813" s="4">
        <v>0</v>
      </c>
      <c r="CI813" s="4">
        <v>0</v>
      </c>
      <c r="CJ813" s="34">
        <v>0</v>
      </c>
      <c r="CK813" s="34">
        <v>0</v>
      </c>
      <c r="CL813" s="34">
        <v>0</v>
      </c>
      <c r="CM813" s="4">
        <v>0</v>
      </c>
      <c r="CN813" s="53">
        <v>0</v>
      </c>
      <c r="CO813" s="54">
        <v>0</v>
      </c>
      <c r="CP813" s="54">
        <v>0</v>
      </c>
      <c r="CQ813" s="4">
        <v>0</v>
      </c>
    </row>
    <row r="814" spans="1:95" s="55" customFormat="1" x14ac:dyDescent="0.35">
      <c r="A814" s="55">
        <v>813</v>
      </c>
      <c r="B814" s="55" t="s">
        <v>105</v>
      </c>
      <c r="C814" s="27" t="s">
        <v>562</v>
      </c>
      <c r="D814" s="50" t="s">
        <v>94</v>
      </c>
      <c r="E814" s="33" t="s">
        <v>91</v>
      </c>
      <c r="F814" s="4">
        <f>IFERROR(AVERAGEIF(Table1[[#This Row],[2019-Apr]:[2025-July]],"&lt;&gt;0"),0)</f>
        <v>2.2683888888888899</v>
      </c>
      <c r="G814" s="4">
        <f ca="1">IFERROR(AVERAGEIF(OFFSET(Table1[[#This Row],[Status]],0,COUNT(Table1[[#This Row],[2019-May]:[2025-July]]),1,-12),"&lt;&gt;0"),0)</f>
        <v>1.175</v>
      </c>
      <c r="H814" s="55">
        <f>IFERROR(SMALL(Table1[[#This Row],[2019-Apr]:[2025-July]],COUNTIF(Table1[[#This Row],[2019-Apr]:[2025-July]],0)+1),0)</f>
        <v>0.73</v>
      </c>
      <c r="I814" s="55">
        <f>IFERROR(MAX(Table1[[#This Row],[2019-Apr]:[2025-July]]),0)</f>
        <v>12.5</v>
      </c>
      <c r="J814" s="4" cm="1">
        <f t="array" ref="J81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1.1835000000000002</v>
      </c>
      <c r="K814" s="4">
        <v>4.5</v>
      </c>
      <c r="L814" s="4">
        <f>IF(Table1[[#This Row],[Standard as per ISO]]&gt;=Table1[[#This Row],[Avg of best 6]],Table1[[#This Row],[Standard as per ISO]],Table1[[#This Row],[Avg of best 6]])</f>
        <v>4.5</v>
      </c>
      <c r="M814" s="4" cm="1">
        <f t="array" ref="M814">IFERROR(LOOKUP(2,1/(Table1[[#This Row],[2019-May]:[2025-July]]&lt;&gt;0),Table1[[#This Row],[2019-May]:[2025-July]]),0)</f>
        <v>1.45</v>
      </c>
      <c r="N814" s="4">
        <f>COUNTIF(Table1[[#This Row],[2019-Apr]:[2025-July]],"&gt;="&amp;Table1[[#This Row],[Target]])</f>
        <v>1</v>
      </c>
      <c r="O814" s="4">
        <f>IF(Table1[[#This Row],[Outliers 2Y]]=0,1,0)</f>
        <v>0</v>
      </c>
      <c r="P814" s="4">
        <f>IF(Table1[[#This Row],[Last value]]&gt;1.5*Table1[[#This Row],[Target]],1,0)</f>
        <v>0</v>
      </c>
      <c r="Q814" s="4">
        <f>IF(AND(1.5*Table1[[#This Row],[Target]]&gt;=Table1[[#This Row],[Last value]],Table1[[#This Row],[Last value]]&gt;Table1[[#This Row],[Target]]),1,0)</f>
        <v>0</v>
      </c>
      <c r="R814" s="4">
        <f>IF(Table1[[#This Row],[Target]]&gt;=Table1[[#This Row],[Last value]],1,0)</f>
        <v>1</v>
      </c>
      <c r="S814" s="4" t="str">
        <f t="shared" si="20"/>
        <v>Green</v>
      </c>
      <c r="T814" s="55">
        <v>1.73</v>
      </c>
      <c r="U814" s="55">
        <v>1.71</v>
      </c>
      <c r="V814" s="55">
        <v>1.83</v>
      </c>
      <c r="W814" s="55">
        <v>3.4</v>
      </c>
      <c r="X814" s="55">
        <v>0</v>
      </c>
      <c r="Y814" s="55">
        <v>2.5</v>
      </c>
      <c r="Z814" s="55">
        <v>3.3</v>
      </c>
      <c r="AA814" s="55">
        <v>1.4</v>
      </c>
      <c r="AB814" s="55">
        <v>1.57</v>
      </c>
      <c r="AC814" s="55">
        <v>2.52</v>
      </c>
      <c r="AD814" s="55">
        <v>1.47</v>
      </c>
      <c r="AE814" s="55">
        <v>1.7</v>
      </c>
      <c r="AF814" s="55">
        <v>1.8</v>
      </c>
      <c r="AG814" s="55">
        <v>0</v>
      </c>
      <c r="AH814" s="55">
        <v>0</v>
      </c>
      <c r="AI814" s="55">
        <v>0</v>
      </c>
      <c r="AJ814" s="55">
        <v>0</v>
      </c>
      <c r="AK814" s="55">
        <v>3.48</v>
      </c>
      <c r="AL814" s="55">
        <v>1.55</v>
      </c>
      <c r="AM814" s="55">
        <v>2.61</v>
      </c>
      <c r="AN814" s="55">
        <v>1.8</v>
      </c>
      <c r="AO814" s="55">
        <v>0</v>
      </c>
      <c r="AP814" s="55">
        <v>0</v>
      </c>
      <c r="AQ814" s="55">
        <v>2.78</v>
      </c>
      <c r="AR814" s="9">
        <v>3.57</v>
      </c>
      <c r="AS814" s="9">
        <v>2.27</v>
      </c>
      <c r="AT814" s="8">
        <v>0</v>
      </c>
      <c r="AU814" s="50">
        <v>0</v>
      </c>
      <c r="AV814" s="50">
        <v>1.41</v>
      </c>
      <c r="AW814" s="50">
        <v>0</v>
      </c>
      <c r="AX814" s="50">
        <v>3.29</v>
      </c>
      <c r="AY814" s="50">
        <v>1.83</v>
      </c>
      <c r="AZ814" s="50">
        <v>1.4</v>
      </c>
      <c r="BA814" s="50">
        <v>12.5</v>
      </c>
      <c r="BB814" s="50">
        <v>2.1</v>
      </c>
      <c r="BC814" s="55">
        <v>1.7</v>
      </c>
      <c r="BD814" s="55">
        <v>0</v>
      </c>
      <c r="BE814" s="11">
        <v>2.1920000000000002</v>
      </c>
      <c r="BF814" s="4">
        <v>1.9379999999999999</v>
      </c>
      <c r="BG814" s="4">
        <v>0.73</v>
      </c>
      <c r="BH814" s="4">
        <v>1.4710000000000001</v>
      </c>
      <c r="BI814" s="4">
        <v>1.4710000000000001</v>
      </c>
      <c r="BJ814" s="13">
        <v>0</v>
      </c>
      <c r="BK814" s="13">
        <v>0</v>
      </c>
      <c r="BL814" s="4">
        <v>0</v>
      </c>
      <c r="BM814" s="16">
        <v>0</v>
      </c>
      <c r="BN814" s="4">
        <v>0</v>
      </c>
      <c r="BO814" s="4">
        <v>0</v>
      </c>
      <c r="BP814" s="4">
        <v>1.2609999999999999</v>
      </c>
      <c r="BQ814" s="4">
        <v>0</v>
      </c>
      <c r="BR814" s="4">
        <v>0</v>
      </c>
      <c r="BS814" s="4">
        <v>1.4890000000000001</v>
      </c>
      <c r="BT814" s="4">
        <v>0</v>
      </c>
      <c r="BU814" s="4">
        <v>0</v>
      </c>
      <c r="BV814" s="4">
        <v>0</v>
      </c>
      <c r="BW814" s="4">
        <v>1.54</v>
      </c>
      <c r="BX814" s="4">
        <v>0</v>
      </c>
      <c r="BY814" s="4">
        <v>0</v>
      </c>
      <c r="BZ814" s="55">
        <v>0</v>
      </c>
      <c r="CA814" s="55">
        <v>0</v>
      </c>
      <c r="CB814" s="55">
        <v>0</v>
      </c>
      <c r="CC814" s="55">
        <v>0</v>
      </c>
      <c r="CD814" s="55">
        <v>0</v>
      </c>
      <c r="CE814" s="19">
        <v>0.9</v>
      </c>
      <c r="CF814" s="19">
        <v>0</v>
      </c>
      <c r="CG814" s="4">
        <v>0</v>
      </c>
      <c r="CH814" s="4">
        <v>1.45</v>
      </c>
      <c r="CI814" s="4">
        <v>0</v>
      </c>
      <c r="CJ814" s="34">
        <v>0</v>
      </c>
      <c r="CK814" s="34">
        <v>0</v>
      </c>
      <c r="CL814" s="34">
        <v>0</v>
      </c>
      <c r="CM814" s="4">
        <v>0</v>
      </c>
      <c r="CN814" s="53">
        <v>0</v>
      </c>
      <c r="CO814" s="54">
        <v>0</v>
      </c>
      <c r="CP814" s="54">
        <v>0</v>
      </c>
      <c r="CQ814" s="4">
        <v>0</v>
      </c>
    </row>
    <row r="815" spans="1:95" s="55" customFormat="1" x14ac:dyDescent="0.35">
      <c r="A815" s="55">
        <v>814</v>
      </c>
      <c r="B815" s="55" t="s">
        <v>105</v>
      </c>
      <c r="C815" s="27" t="s">
        <v>563</v>
      </c>
      <c r="D815" s="50" t="s">
        <v>94</v>
      </c>
      <c r="E815" s="33" t="s">
        <v>91</v>
      </c>
      <c r="F815" s="4">
        <f>IFERROR(AVERAGEIF(Table1[[#This Row],[2019-Apr]:[2025-July]],"&lt;&gt;0"),0)</f>
        <v>1.9140714285714284</v>
      </c>
      <c r="G815" s="4">
        <f ca="1">IFERROR(AVERAGEIF(OFFSET(Table1[[#This Row],[Status]],0,COUNT(Table1[[#This Row],[2019-May]:[2025-July]]),1,-12),"&lt;&gt;0"),0)</f>
        <v>1.145</v>
      </c>
      <c r="H815" s="55">
        <f>IFERROR(SMALL(Table1[[#This Row],[2019-Apr]:[2025-July]],COUNTIF(Table1[[#This Row],[2019-Apr]:[2025-July]],0)+1),0)</f>
        <v>0.99</v>
      </c>
      <c r="I815" s="55">
        <f>IFERROR(MAX(Table1[[#This Row],[2019-Apr]:[2025-July]]),0)</f>
        <v>3.36</v>
      </c>
      <c r="J815" s="4" cm="1">
        <f t="array" ref="J81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1.3466666666666667</v>
      </c>
      <c r="K815" s="4">
        <v>4.5</v>
      </c>
      <c r="L815" s="4">
        <f>IF(Table1[[#This Row],[Standard as per ISO]]&gt;=Table1[[#This Row],[Avg of best 6]],Table1[[#This Row],[Standard as per ISO]],Table1[[#This Row],[Avg of best 6]])</f>
        <v>4.5</v>
      </c>
      <c r="M815" s="4" cm="1">
        <f t="array" ref="M815">IFERROR(LOOKUP(2,1/(Table1[[#This Row],[2019-May]:[2025-July]]&lt;&gt;0),Table1[[#This Row],[2019-May]:[2025-July]]),0)</f>
        <v>0.99</v>
      </c>
      <c r="N815" s="4">
        <f>COUNTIF(Table1[[#This Row],[2019-Apr]:[2025-July]],"&gt;="&amp;Table1[[#This Row],[Target]])</f>
        <v>0</v>
      </c>
      <c r="O815" s="4">
        <f>IF(Table1[[#This Row],[Outliers 2Y]]=0,1,0)</f>
        <v>1</v>
      </c>
      <c r="P815" s="4">
        <f>IF(Table1[[#This Row],[Last value]]&gt;1.5*Table1[[#This Row],[Target]],1,0)</f>
        <v>0</v>
      </c>
      <c r="Q815" s="4">
        <f>IF(AND(1.5*Table1[[#This Row],[Target]]&gt;=Table1[[#This Row],[Last value]],Table1[[#This Row],[Last value]]&gt;Table1[[#This Row],[Target]]),1,0)</f>
        <v>0</v>
      </c>
      <c r="R815" s="4">
        <f>IF(Table1[[#This Row],[Target]]&gt;=Table1[[#This Row],[Last value]],1,0)</f>
        <v>1</v>
      </c>
      <c r="S815" s="4" t="str">
        <f t="shared" si="20"/>
        <v>Green</v>
      </c>
      <c r="T815" s="55">
        <v>1.79</v>
      </c>
      <c r="U815" s="55">
        <v>1.95</v>
      </c>
      <c r="V815" s="55">
        <v>1.76</v>
      </c>
      <c r="W815" s="55">
        <v>2.66</v>
      </c>
      <c r="X815" s="55">
        <v>0</v>
      </c>
      <c r="Y815" s="55">
        <v>1.67</v>
      </c>
      <c r="Z815" s="55">
        <v>1.72</v>
      </c>
      <c r="AA815" s="55">
        <v>0</v>
      </c>
      <c r="AB815" s="55">
        <v>0</v>
      </c>
      <c r="AC815" s="55">
        <v>2.37</v>
      </c>
      <c r="AD815" s="55">
        <v>1.85</v>
      </c>
      <c r="AE815" s="55">
        <v>1.8</v>
      </c>
      <c r="AF815" s="55">
        <v>1.58</v>
      </c>
      <c r="AG815" s="55">
        <v>2.1</v>
      </c>
      <c r="AH815" s="55">
        <v>1.6</v>
      </c>
      <c r="AI815" s="55">
        <v>2.44</v>
      </c>
      <c r="AJ815" s="55">
        <v>0</v>
      </c>
      <c r="AK815" s="55">
        <v>2.46</v>
      </c>
      <c r="AL815" s="55">
        <v>2.0299999999999998</v>
      </c>
      <c r="AM815" s="55">
        <v>1.46</v>
      </c>
      <c r="AN815" s="55">
        <v>1.62</v>
      </c>
      <c r="AO815" s="55">
        <v>1.645</v>
      </c>
      <c r="AP815" s="55">
        <v>2.6</v>
      </c>
      <c r="AQ815" s="55">
        <v>2.29</v>
      </c>
      <c r="AR815" s="8">
        <v>1.78</v>
      </c>
      <c r="AS815" s="8">
        <v>2.6</v>
      </c>
      <c r="AT815" s="8">
        <v>1.78</v>
      </c>
      <c r="AU815" s="50">
        <v>1.78</v>
      </c>
      <c r="AV815" s="50">
        <v>2.33</v>
      </c>
      <c r="AW815" s="50">
        <v>2.21</v>
      </c>
      <c r="AX815" s="50">
        <v>3.36</v>
      </c>
      <c r="AY815" s="50">
        <v>1.67</v>
      </c>
      <c r="AZ815" s="50">
        <v>0</v>
      </c>
      <c r="BA815" s="50">
        <v>2.1</v>
      </c>
      <c r="BB815" s="50">
        <v>1.8</v>
      </c>
      <c r="BC815" s="55">
        <v>2.1</v>
      </c>
      <c r="BD815" s="55">
        <v>0</v>
      </c>
      <c r="BE815" s="11">
        <v>1.8260000000000001</v>
      </c>
      <c r="BF815" s="4">
        <v>1.5</v>
      </c>
      <c r="BG815" s="4">
        <v>1.32</v>
      </c>
      <c r="BH815" s="4">
        <v>1.7250000000000001</v>
      </c>
      <c r="BI815" s="4">
        <v>1.629</v>
      </c>
      <c r="BJ815" s="14">
        <v>0</v>
      </c>
      <c r="BK815" s="14">
        <v>0</v>
      </c>
      <c r="BL815" s="4">
        <v>1.633</v>
      </c>
      <c r="BM815" s="17">
        <v>0</v>
      </c>
      <c r="BN815" s="4">
        <v>0</v>
      </c>
      <c r="BO815" s="4">
        <v>0</v>
      </c>
      <c r="BP815" s="4">
        <v>1.7769999999999999</v>
      </c>
      <c r="BQ815" s="4">
        <v>0</v>
      </c>
      <c r="BR815" s="4">
        <v>0</v>
      </c>
      <c r="BS815" s="4">
        <v>2.2759999999999998</v>
      </c>
      <c r="BT815" s="4">
        <v>0</v>
      </c>
      <c r="BU815" s="4">
        <v>0</v>
      </c>
      <c r="BV815" s="4">
        <v>0</v>
      </c>
      <c r="BW815" s="4">
        <v>1.51</v>
      </c>
      <c r="BX815" s="4">
        <v>0</v>
      </c>
      <c r="BY815" s="4">
        <v>0</v>
      </c>
      <c r="BZ815" s="55">
        <v>0</v>
      </c>
      <c r="CA815" s="55">
        <v>0</v>
      </c>
      <c r="CB815" s="55">
        <v>0</v>
      </c>
      <c r="CC815" s="55">
        <v>0</v>
      </c>
      <c r="CD815" s="55">
        <v>0</v>
      </c>
      <c r="CE815" s="19">
        <v>1.3</v>
      </c>
      <c r="CF815" s="19">
        <v>0</v>
      </c>
      <c r="CG815" s="4">
        <v>0</v>
      </c>
      <c r="CH815" s="4">
        <v>0.99</v>
      </c>
      <c r="CI815" s="4">
        <v>0</v>
      </c>
      <c r="CJ815" s="34">
        <v>0</v>
      </c>
      <c r="CK815" s="34">
        <v>0</v>
      </c>
      <c r="CL815" s="34">
        <v>0</v>
      </c>
      <c r="CM815" s="4">
        <v>0</v>
      </c>
      <c r="CN815" s="53">
        <v>0</v>
      </c>
      <c r="CO815" s="54">
        <v>0</v>
      </c>
      <c r="CP815" s="54">
        <v>0</v>
      </c>
      <c r="CQ815" s="4">
        <v>0</v>
      </c>
    </row>
    <row r="816" spans="1:95" s="55" customFormat="1" x14ac:dyDescent="0.35">
      <c r="A816" s="55">
        <v>815</v>
      </c>
      <c r="B816" s="55" t="s">
        <v>105</v>
      </c>
      <c r="C816" s="27" t="s">
        <v>564</v>
      </c>
      <c r="D816" s="50" t="s">
        <v>94</v>
      </c>
      <c r="E816" s="33" t="s">
        <v>91</v>
      </c>
      <c r="F816" s="4">
        <f>IFERROR(AVERAGEIF(Table1[[#This Row],[2019-Apr]:[2025-July]],"&lt;&gt;0"),0)</f>
        <v>1.0224117647058826</v>
      </c>
      <c r="G816" s="4">
        <f ca="1">IFERROR(AVERAGEIF(OFFSET(Table1[[#This Row],[Status]],0,COUNT(Table1[[#This Row],[2019-May]:[2025-July]]),1,-12),"&lt;&gt;0"),0)</f>
        <v>1.095</v>
      </c>
      <c r="H816" s="55">
        <f>IFERROR(SMALL(Table1[[#This Row],[2019-Apr]:[2025-July]],COUNTIF(Table1[[#This Row],[2019-Apr]:[2025-July]],0)+1),0)</f>
        <v>0.5</v>
      </c>
      <c r="I816" s="55">
        <f>IFERROR(MAX(Table1[[#This Row],[2019-Apr]:[2025-July]]),0)</f>
        <v>1.57</v>
      </c>
      <c r="J816" s="4" cm="1">
        <f t="array" ref="J81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0.76666666666666661</v>
      </c>
      <c r="K816" s="4">
        <v>4.5</v>
      </c>
      <c r="L816" s="4">
        <f>IF(Table1[[#This Row],[Standard as per ISO]]&gt;=Table1[[#This Row],[Avg of best 6]],Table1[[#This Row],[Standard as per ISO]],Table1[[#This Row],[Avg of best 6]])</f>
        <v>4.5</v>
      </c>
      <c r="M816" s="4" cm="1">
        <f t="array" ref="M816">IFERROR(LOOKUP(2,1/(Table1[[#This Row],[2019-May]:[2025-July]]&lt;&gt;0),Table1[[#This Row],[2019-May]:[2025-July]]),0)</f>
        <v>0.89</v>
      </c>
      <c r="N816" s="4">
        <f>COUNTIF(Table1[[#This Row],[2019-Apr]:[2025-July]],"&gt;="&amp;Table1[[#This Row],[Target]])</f>
        <v>0</v>
      </c>
      <c r="O816" s="4">
        <f>IF(Table1[[#This Row],[Outliers 2Y]]=0,1,0)</f>
        <v>1</v>
      </c>
      <c r="P816" s="4">
        <f>IF(Table1[[#This Row],[Last value]]&gt;1.5*Table1[[#This Row],[Target]],1,0)</f>
        <v>0</v>
      </c>
      <c r="Q816" s="4">
        <f>IF(AND(1.5*Table1[[#This Row],[Target]]&gt;=Table1[[#This Row],[Last value]],Table1[[#This Row],[Last value]]&gt;Table1[[#This Row],[Target]]),1,0)</f>
        <v>0</v>
      </c>
      <c r="R816" s="4">
        <f>IF(Table1[[#This Row],[Target]]&gt;=Table1[[#This Row],[Last value]],1,0)</f>
        <v>1</v>
      </c>
      <c r="S816" s="4" t="str">
        <f t="shared" si="20"/>
        <v>Green</v>
      </c>
      <c r="T816" s="55">
        <v>1.28</v>
      </c>
      <c r="U816" s="55">
        <v>0</v>
      </c>
      <c r="V816" s="55">
        <v>0.75</v>
      </c>
      <c r="W816" s="55">
        <v>0.5</v>
      </c>
      <c r="X816" s="55">
        <v>0.95</v>
      </c>
      <c r="Y816" s="55">
        <v>0.9</v>
      </c>
      <c r="Z816" s="55">
        <v>0.88</v>
      </c>
      <c r="AA816" s="55">
        <v>0.88</v>
      </c>
      <c r="AB816" s="55">
        <v>0</v>
      </c>
      <c r="AC816" s="55">
        <v>0.92</v>
      </c>
      <c r="AD816" s="55">
        <v>0</v>
      </c>
      <c r="AE816" s="55">
        <v>0.97</v>
      </c>
      <c r="AF816" s="55">
        <v>0</v>
      </c>
      <c r="AG816" s="55">
        <v>0</v>
      </c>
      <c r="AH816" s="55">
        <v>0</v>
      </c>
      <c r="AI816" s="55">
        <v>0</v>
      </c>
      <c r="AJ816" s="55">
        <v>0.7</v>
      </c>
      <c r="AK816" s="55">
        <v>0.96</v>
      </c>
      <c r="AL816" s="55">
        <v>0</v>
      </c>
      <c r="AM816" s="55">
        <v>1.57</v>
      </c>
      <c r="AN816" s="55">
        <v>0</v>
      </c>
      <c r="AO816" s="55">
        <v>0</v>
      </c>
      <c r="AP816" s="55">
        <v>0</v>
      </c>
      <c r="AQ816" s="55">
        <v>0</v>
      </c>
      <c r="AR816" s="8">
        <v>0</v>
      </c>
      <c r="AS816" s="8">
        <v>1.46</v>
      </c>
      <c r="AT816" s="8">
        <v>0</v>
      </c>
      <c r="AU816" s="50">
        <v>1.46</v>
      </c>
      <c r="AV816" s="50">
        <v>0</v>
      </c>
      <c r="AW816" s="50">
        <v>0</v>
      </c>
      <c r="AX816" s="50">
        <v>0</v>
      </c>
      <c r="AY816" s="50">
        <v>0</v>
      </c>
      <c r="AZ816" s="50">
        <v>0</v>
      </c>
      <c r="BA816" s="50">
        <v>0</v>
      </c>
      <c r="BB816" s="50">
        <v>0</v>
      </c>
      <c r="BC816" s="50">
        <v>0</v>
      </c>
      <c r="BD816" s="55">
        <v>0</v>
      </c>
      <c r="BE816" s="11">
        <v>0</v>
      </c>
      <c r="BF816" s="4">
        <v>0</v>
      </c>
      <c r="BG816" s="4">
        <v>0</v>
      </c>
      <c r="BH816" s="4">
        <v>0</v>
      </c>
      <c r="BI816" s="4">
        <v>0</v>
      </c>
      <c r="BJ816" s="13">
        <v>0</v>
      </c>
      <c r="BK816" s="13">
        <v>0</v>
      </c>
      <c r="BL816" s="4">
        <v>0</v>
      </c>
      <c r="BM816" s="16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1.0109999999999999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55">
        <v>0</v>
      </c>
      <c r="CA816" s="55">
        <v>0</v>
      </c>
      <c r="CB816" s="55">
        <v>0</v>
      </c>
      <c r="CC816" s="55">
        <v>0</v>
      </c>
      <c r="CD816" s="55">
        <v>0</v>
      </c>
      <c r="CE816" s="19">
        <v>0</v>
      </c>
      <c r="CF816" s="19">
        <v>0</v>
      </c>
      <c r="CG816" s="4">
        <v>1.3</v>
      </c>
      <c r="CH816" s="4">
        <v>0.89</v>
      </c>
      <c r="CI816" s="4">
        <v>0</v>
      </c>
      <c r="CJ816" s="34">
        <v>0</v>
      </c>
      <c r="CK816" s="34">
        <v>0</v>
      </c>
      <c r="CL816" s="34">
        <v>0</v>
      </c>
      <c r="CM816" s="4">
        <v>0</v>
      </c>
      <c r="CN816" s="53">
        <v>0</v>
      </c>
      <c r="CO816" s="54">
        <v>0</v>
      </c>
      <c r="CP816" s="54">
        <v>0</v>
      </c>
      <c r="CQ816" s="4">
        <v>0</v>
      </c>
    </row>
    <row r="817" spans="1:95" s="55" customFormat="1" x14ac:dyDescent="0.35">
      <c r="A817" s="55">
        <v>816</v>
      </c>
      <c r="B817" s="55" t="s">
        <v>105</v>
      </c>
      <c r="C817" s="27" t="s">
        <v>565</v>
      </c>
      <c r="D817" s="50" t="s">
        <v>94</v>
      </c>
      <c r="E817" s="33" t="s">
        <v>91</v>
      </c>
      <c r="F817" s="4">
        <f>IFERROR(AVERAGEIF(Table1[[#This Row],[2019-Apr]:[2025-July]],"&lt;&gt;0"),0)</f>
        <v>1.4682500000000001</v>
      </c>
      <c r="G817" s="4">
        <f ca="1">IFERROR(AVERAGEIF(OFFSET(Table1[[#This Row],[Status]],0,COUNT(Table1[[#This Row],[2019-May]:[2025-July]]),1,-12),"&lt;&gt;0"),0)</f>
        <v>1.8049999999999999</v>
      </c>
      <c r="H817" s="55">
        <f>IFERROR(SMALL(Table1[[#This Row],[2019-Apr]:[2025-July]],COUNTIF(Table1[[#This Row],[2019-Apr]:[2025-July]],0)+1),0)</f>
        <v>0.96</v>
      </c>
      <c r="I817" s="55">
        <f>IFERROR(MAX(Table1[[#This Row],[2019-Apr]:[2025-July]]),0)</f>
        <v>2.4</v>
      </c>
      <c r="J817" s="4" cm="1">
        <f t="array" ref="J81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1.0748333333333333</v>
      </c>
      <c r="K817" s="4">
        <v>4.5</v>
      </c>
      <c r="L817" s="4">
        <f>IF(Table1[[#This Row],[Standard as per ISO]]&gt;=Table1[[#This Row],[Avg of best 6]],Table1[[#This Row],[Standard as per ISO]],Table1[[#This Row],[Avg of best 6]])</f>
        <v>4.5</v>
      </c>
      <c r="M817" s="4" cm="1">
        <f t="array" ref="M817">IFERROR(LOOKUP(2,1/(Table1[[#This Row],[2019-May]:[2025-July]]&lt;&gt;0),Table1[[#This Row],[2019-May]:[2025-July]]),0)</f>
        <v>1.21</v>
      </c>
      <c r="N817" s="4">
        <f>COUNTIF(Table1[[#This Row],[2019-Apr]:[2025-July]],"&gt;="&amp;Table1[[#This Row],[Target]])</f>
        <v>0</v>
      </c>
      <c r="O817" s="4">
        <f>IF(Table1[[#This Row],[Outliers 2Y]]=0,1,0)</f>
        <v>1</v>
      </c>
      <c r="P817" s="4">
        <f>IF(Table1[[#This Row],[Last value]]&gt;1.5*Table1[[#This Row],[Target]],1,0)</f>
        <v>0</v>
      </c>
      <c r="Q817" s="4">
        <f>IF(AND(1.5*Table1[[#This Row],[Target]]&gt;=Table1[[#This Row],[Last value]],Table1[[#This Row],[Last value]]&gt;Table1[[#This Row],[Target]]),1,0)</f>
        <v>0</v>
      </c>
      <c r="R817" s="4">
        <f>IF(Table1[[#This Row],[Target]]&gt;=Table1[[#This Row],[Last value]],1,0)</f>
        <v>1</v>
      </c>
      <c r="S817" s="4" t="str">
        <f t="shared" si="20"/>
        <v>Green</v>
      </c>
      <c r="T817" s="55">
        <v>0</v>
      </c>
      <c r="U817" s="55">
        <v>0</v>
      </c>
      <c r="V817" s="55">
        <v>1.17</v>
      </c>
      <c r="W817" s="55">
        <v>0</v>
      </c>
      <c r="X817" s="55">
        <v>0</v>
      </c>
      <c r="Y817" s="55">
        <v>0</v>
      </c>
      <c r="Z817" s="55">
        <v>0</v>
      </c>
      <c r="AA817" s="55">
        <v>0</v>
      </c>
      <c r="AB817" s="55">
        <v>0</v>
      </c>
      <c r="AC817" s="55">
        <v>0</v>
      </c>
      <c r="AD817" s="55">
        <v>0</v>
      </c>
      <c r="AE817" s="55">
        <v>0</v>
      </c>
      <c r="AF817" s="55">
        <v>0</v>
      </c>
      <c r="AG817" s="55">
        <v>0</v>
      </c>
      <c r="AH817" s="55">
        <v>0</v>
      </c>
      <c r="AI817" s="55">
        <v>1.88</v>
      </c>
      <c r="AJ817" s="55">
        <v>1</v>
      </c>
      <c r="AK817" s="55">
        <v>0.96</v>
      </c>
      <c r="AL817" s="55">
        <v>1.74</v>
      </c>
      <c r="AM817" s="55">
        <v>0</v>
      </c>
      <c r="AN817" s="55">
        <v>1.18</v>
      </c>
      <c r="AO817" s="55">
        <v>1.58</v>
      </c>
      <c r="AP817" s="55">
        <v>1.81</v>
      </c>
      <c r="AQ817" s="55">
        <v>1.27</v>
      </c>
      <c r="AR817" s="8">
        <v>0</v>
      </c>
      <c r="AS817" s="8">
        <v>1.42</v>
      </c>
      <c r="AT817" s="8">
        <v>1.29</v>
      </c>
      <c r="AU817" s="50">
        <v>1.73</v>
      </c>
      <c r="AV817" s="50">
        <v>1.24</v>
      </c>
      <c r="AW817" s="50">
        <v>0</v>
      </c>
      <c r="AX817" s="50">
        <v>0</v>
      </c>
      <c r="AY817" s="50">
        <v>1.19</v>
      </c>
      <c r="AZ817" s="50">
        <v>1.1000000000000001</v>
      </c>
      <c r="BA817" s="50">
        <v>1.6</v>
      </c>
      <c r="BB817" s="50">
        <v>1.8</v>
      </c>
      <c r="BC817" s="55">
        <v>1.3</v>
      </c>
      <c r="BD817" s="55">
        <v>0</v>
      </c>
      <c r="BE817" s="11">
        <v>1.0389999999999999</v>
      </c>
      <c r="BF817" s="4">
        <v>2.1</v>
      </c>
      <c r="BG817" s="4">
        <v>1.4410000000000001</v>
      </c>
      <c r="BH817" s="4">
        <v>1.75</v>
      </c>
      <c r="BI817" s="4">
        <v>1.75</v>
      </c>
      <c r="BJ817" s="14">
        <v>0</v>
      </c>
      <c r="BK817" s="14">
        <v>0</v>
      </c>
      <c r="BL817" s="4">
        <v>1.536</v>
      </c>
      <c r="BM817" s="17">
        <v>0</v>
      </c>
      <c r="BN817" s="4">
        <v>0</v>
      </c>
      <c r="BO817" s="4">
        <v>0</v>
      </c>
      <c r="BP817" s="4">
        <v>1.375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1.25</v>
      </c>
      <c r="BX817" s="4">
        <v>0</v>
      </c>
      <c r="BY817" s="4">
        <v>0</v>
      </c>
      <c r="BZ817" s="55">
        <v>0</v>
      </c>
      <c r="CA817" s="55">
        <v>0</v>
      </c>
      <c r="CB817" s="55">
        <v>0</v>
      </c>
      <c r="CC817" s="55">
        <v>0</v>
      </c>
      <c r="CD817" s="55">
        <v>0</v>
      </c>
      <c r="CE817" s="19">
        <v>2.4</v>
      </c>
      <c r="CF817" s="19">
        <v>0</v>
      </c>
      <c r="CG817" s="4">
        <v>0</v>
      </c>
      <c r="CH817" s="4">
        <v>1.21</v>
      </c>
      <c r="CI817" s="4">
        <v>0</v>
      </c>
      <c r="CJ817" s="34">
        <v>0</v>
      </c>
      <c r="CK817" s="34">
        <v>0</v>
      </c>
      <c r="CL817" s="34">
        <v>0</v>
      </c>
      <c r="CM817" s="4">
        <v>0</v>
      </c>
      <c r="CN817" s="53">
        <v>0</v>
      </c>
      <c r="CO817" s="54">
        <v>0</v>
      </c>
      <c r="CP817" s="54">
        <v>0</v>
      </c>
      <c r="CQ817" s="4">
        <v>0</v>
      </c>
    </row>
    <row r="818" spans="1:95" s="55" customFormat="1" x14ac:dyDescent="0.35">
      <c r="A818" s="55">
        <v>817</v>
      </c>
      <c r="B818" s="55" t="s">
        <v>105</v>
      </c>
      <c r="C818" s="27" t="s">
        <v>566</v>
      </c>
      <c r="D818" s="50" t="s">
        <v>94</v>
      </c>
      <c r="E818" s="33" t="s">
        <v>91</v>
      </c>
      <c r="F818" s="4">
        <f>IFERROR(AVERAGEIF(Table1[[#This Row],[2019-Apr]:[2025-July]],"&lt;&gt;0"),0)</f>
        <v>1.6325000000000001</v>
      </c>
      <c r="G818" s="4">
        <f ca="1">IFERROR(AVERAGEIF(OFFSET(Table1[[#This Row],[Status]],0,COUNT(Table1[[#This Row],[2019-May]:[2025-July]]),1,-12),"&lt;&gt;0"),0)</f>
        <v>1.1000000000000001</v>
      </c>
      <c r="H818" s="55">
        <f>IFERROR(SMALL(Table1[[#This Row],[2019-Apr]:[2025-July]],COUNTIF(Table1[[#This Row],[2019-Apr]:[2025-July]],0)+1),0)</f>
        <v>0.84</v>
      </c>
      <c r="I818" s="55">
        <f>IFERROR(MAX(Table1[[#This Row],[2019-Apr]:[2025-July]]),0)</f>
        <v>2.89</v>
      </c>
      <c r="J818" s="4" cm="1">
        <f t="array" ref="J81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1.3283333333333334</v>
      </c>
      <c r="K818" s="4">
        <v>4.5</v>
      </c>
      <c r="L818" s="4">
        <f>IF(Table1[[#This Row],[Standard as per ISO]]&gt;=Table1[[#This Row],[Avg of best 6]],Table1[[#This Row],[Standard as per ISO]],Table1[[#This Row],[Avg of best 6]])</f>
        <v>4.5</v>
      </c>
      <c r="M818" s="4" cm="1">
        <f t="array" ref="M818">IFERROR(LOOKUP(2,1/(Table1[[#This Row],[2019-May]:[2025-July]]&lt;&gt;0),Table1[[#This Row],[2019-May]:[2025-July]]),0)</f>
        <v>1.1000000000000001</v>
      </c>
      <c r="N818" s="4">
        <f>COUNTIF(Table1[[#This Row],[2019-Apr]:[2025-July]],"&gt;="&amp;Table1[[#This Row],[Target]])</f>
        <v>0</v>
      </c>
      <c r="O818" s="4">
        <f>IF(Table1[[#This Row],[Outliers 2Y]]=0,1,0)</f>
        <v>1</v>
      </c>
      <c r="P818" s="4">
        <f>IF(Table1[[#This Row],[Last value]]&gt;1.5*Table1[[#This Row],[Target]],1,0)</f>
        <v>0</v>
      </c>
      <c r="Q818" s="4">
        <f>IF(AND(1.5*Table1[[#This Row],[Target]]&gt;=Table1[[#This Row],[Last value]],Table1[[#This Row],[Last value]]&gt;Table1[[#This Row],[Target]]),1,0)</f>
        <v>0</v>
      </c>
      <c r="R818" s="4">
        <f>IF(Table1[[#This Row],[Target]]&gt;=Table1[[#This Row],[Last value]],1,0)</f>
        <v>1</v>
      </c>
      <c r="S818" s="4" t="str">
        <f t="shared" si="20"/>
        <v>Green</v>
      </c>
      <c r="T818" s="55">
        <v>0</v>
      </c>
      <c r="U818" s="55">
        <v>0</v>
      </c>
      <c r="V818" s="55">
        <v>0</v>
      </c>
      <c r="W818" s="55">
        <v>2.11</v>
      </c>
      <c r="X818" s="55">
        <v>0</v>
      </c>
      <c r="Y818" s="55">
        <v>0</v>
      </c>
      <c r="Z818" s="55">
        <v>0</v>
      </c>
      <c r="AA818" s="55">
        <v>0</v>
      </c>
      <c r="AB818" s="55">
        <v>2.2000000000000002</v>
      </c>
      <c r="AC818" s="55">
        <v>0</v>
      </c>
      <c r="AD818" s="55">
        <v>0.9</v>
      </c>
      <c r="AE818" s="55">
        <v>0.84</v>
      </c>
      <c r="AF818" s="55">
        <v>2.89</v>
      </c>
      <c r="AG818" s="55">
        <v>0</v>
      </c>
      <c r="AH818" s="55">
        <v>0</v>
      </c>
      <c r="AI818" s="55">
        <v>0</v>
      </c>
      <c r="AJ818" s="55">
        <v>0</v>
      </c>
      <c r="AK818" s="55">
        <v>0</v>
      </c>
      <c r="AL818" s="55">
        <v>0</v>
      </c>
      <c r="AM818" s="55">
        <v>1.82</v>
      </c>
      <c r="AN818" s="55">
        <v>0</v>
      </c>
      <c r="AO818" s="55">
        <v>0</v>
      </c>
      <c r="AP818" s="55">
        <v>0</v>
      </c>
      <c r="AQ818" s="55">
        <v>0</v>
      </c>
      <c r="AR818" s="8">
        <v>0</v>
      </c>
      <c r="AS818" s="8">
        <v>0</v>
      </c>
      <c r="AT818" s="8">
        <v>0</v>
      </c>
      <c r="AU818" s="50">
        <v>1.2</v>
      </c>
      <c r="AV818" s="50">
        <v>0</v>
      </c>
      <c r="AW818" s="50">
        <v>0</v>
      </c>
      <c r="AX818" s="50">
        <v>0</v>
      </c>
      <c r="AY818" s="50">
        <v>0</v>
      </c>
      <c r="AZ818" s="50">
        <v>0</v>
      </c>
      <c r="BA818" s="50">
        <v>0</v>
      </c>
      <c r="BB818" s="50">
        <v>0</v>
      </c>
      <c r="BC818" s="50">
        <v>0</v>
      </c>
      <c r="BD818" s="55">
        <v>0</v>
      </c>
      <c r="BE818" s="11">
        <v>0</v>
      </c>
      <c r="BF818" s="4">
        <v>0</v>
      </c>
      <c r="BG818" s="4">
        <v>0</v>
      </c>
      <c r="BH818" s="4">
        <v>0</v>
      </c>
      <c r="BI818" s="4">
        <v>0</v>
      </c>
      <c r="BJ818" s="13">
        <v>0</v>
      </c>
      <c r="BK818" s="13">
        <v>0</v>
      </c>
      <c r="BL818" s="4">
        <v>0</v>
      </c>
      <c r="BM818" s="16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55">
        <v>0</v>
      </c>
      <c r="CA818" s="55">
        <v>0</v>
      </c>
      <c r="CB818" s="55">
        <v>0</v>
      </c>
      <c r="CC818" s="55">
        <v>0</v>
      </c>
      <c r="CD818" s="55">
        <v>0</v>
      </c>
      <c r="CE818" s="19">
        <v>1.1000000000000001</v>
      </c>
      <c r="CF818" s="19">
        <v>0</v>
      </c>
      <c r="CG818" s="4">
        <v>0</v>
      </c>
      <c r="CH818" s="4">
        <v>0</v>
      </c>
      <c r="CI818" s="4">
        <v>0</v>
      </c>
      <c r="CJ818" s="34">
        <v>0</v>
      </c>
      <c r="CK818" s="34">
        <v>0</v>
      </c>
      <c r="CL818" s="34">
        <v>0</v>
      </c>
      <c r="CM818" s="4">
        <v>0</v>
      </c>
      <c r="CN818" s="53">
        <v>0</v>
      </c>
      <c r="CO818" s="54">
        <v>0</v>
      </c>
      <c r="CP818" s="54">
        <v>0</v>
      </c>
      <c r="CQ818" s="4">
        <v>0</v>
      </c>
    </row>
    <row r="819" spans="1:95" s="55" customFormat="1" x14ac:dyDescent="0.35">
      <c r="A819" s="55">
        <v>818</v>
      </c>
      <c r="B819" s="55" t="s">
        <v>105</v>
      </c>
      <c r="C819" s="27" t="s">
        <v>567</v>
      </c>
      <c r="D819" s="50" t="s">
        <v>94</v>
      </c>
      <c r="E819" s="33" t="s">
        <v>91</v>
      </c>
      <c r="F819" s="4">
        <f>IFERROR(AVERAGEIF(Table1[[#This Row],[2019-Apr]:[2025-July]],"&lt;&gt;0"),0)</f>
        <v>1.1665185185185187</v>
      </c>
      <c r="G819" s="4">
        <f ca="1">IFERROR(AVERAGEIF(OFFSET(Table1[[#This Row],[Status]],0,COUNT(Table1[[#This Row],[2019-May]:[2025-July]]),1,-12),"&lt;&gt;0"),0)</f>
        <v>1.37</v>
      </c>
      <c r="H819" s="55">
        <f>IFERROR(SMALL(Table1[[#This Row],[2019-Apr]:[2025-July]],COUNTIF(Table1[[#This Row],[2019-Apr]:[2025-July]],0)+1),0)</f>
        <v>0.7</v>
      </c>
      <c r="I819" s="55">
        <f>IFERROR(MAX(Table1[[#This Row],[2019-Apr]:[2025-July]]),0)</f>
        <v>1.6</v>
      </c>
      <c r="J819" s="4" cm="1">
        <f t="array" ref="J81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0.91716666666666669</v>
      </c>
      <c r="K819" s="4">
        <v>4.5</v>
      </c>
      <c r="L819" s="4">
        <f>IF(Table1[[#This Row],[Standard as per ISO]]&gt;=Table1[[#This Row],[Avg of best 6]],Table1[[#This Row],[Standard as per ISO]],Table1[[#This Row],[Avg of best 6]])</f>
        <v>4.5</v>
      </c>
      <c r="M819" s="4" cm="1">
        <f t="array" ref="M819">IFERROR(LOOKUP(2,1/(Table1[[#This Row],[2019-May]:[2025-July]]&lt;&gt;0),Table1[[#This Row],[2019-May]:[2025-July]]),0)</f>
        <v>1.37</v>
      </c>
      <c r="N819" s="4">
        <f>COUNTIF(Table1[[#This Row],[2019-Apr]:[2025-July]],"&gt;="&amp;Table1[[#This Row],[Target]])</f>
        <v>0</v>
      </c>
      <c r="O819" s="4">
        <f>IF(Table1[[#This Row],[Outliers 2Y]]=0,1,0)</f>
        <v>1</v>
      </c>
      <c r="P819" s="4">
        <f>IF(Table1[[#This Row],[Last value]]&gt;1.5*Table1[[#This Row],[Target]],1,0)</f>
        <v>0</v>
      </c>
      <c r="Q819" s="4">
        <f>IF(AND(1.5*Table1[[#This Row],[Target]]&gt;=Table1[[#This Row],[Last value]],Table1[[#This Row],[Last value]]&gt;Table1[[#This Row],[Target]]),1,0)</f>
        <v>0</v>
      </c>
      <c r="R819" s="4">
        <f>IF(Table1[[#This Row],[Target]]&gt;=Table1[[#This Row],[Last value]],1,0)</f>
        <v>1</v>
      </c>
      <c r="S819" s="4" t="str">
        <f t="shared" si="20"/>
        <v>Green</v>
      </c>
      <c r="T819" s="55">
        <v>0</v>
      </c>
      <c r="U819" s="55">
        <v>0</v>
      </c>
      <c r="V819" s="55">
        <v>0</v>
      </c>
      <c r="W819" s="55">
        <v>0</v>
      </c>
      <c r="X819" s="55">
        <v>0</v>
      </c>
      <c r="Y819" s="55">
        <v>1</v>
      </c>
      <c r="Z819" s="55">
        <v>1.02</v>
      </c>
      <c r="AA819" s="55">
        <v>0</v>
      </c>
      <c r="AB819" s="55">
        <v>1.4</v>
      </c>
      <c r="AC819" s="55">
        <v>1.08</v>
      </c>
      <c r="AD819" s="55">
        <v>1.1000000000000001</v>
      </c>
      <c r="AE819" s="55">
        <v>0</v>
      </c>
      <c r="AF819" s="55">
        <v>0</v>
      </c>
      <c r="AG819" s="55">
        <v>0</v>
      </c>
      <c r="AH819" s="55">
        <v>0</v>
      </c>
      <c r="AI819" s="55">
        <v>0</v>
      </c>
      <c r="AJ819" s="55">
        <v>0</v>
      </c>
      <c r="AK819" s="55">
        <v>0</v>
      </c>
      <c r="AL819" s="55">
        <v>0</v>
      </c>
      <c r="AM819" s="55">
        <v>0</v>
      </c>
      <c r="AN819" s="55">
        <v>1.1499999999999999</v>
      </c>
      <c r="AO819" s="55">
        <v>1.1000000000000001</v>
      </c>
      <c r="AP819" s="55">
        <v>1.1599999999999999</v>
      </c>
      <c r="AQ819" s="55">
        <v>1.31</v>
      </c>
      <c r="AR819" s="8">
        <v>1.05</v>
      </c>
      <c r="AS819" s="8">
        <v>0</v>
      </c>
      <c r="AT819" s="8">
        <v>0</v>
      </c>
      <c r="AU819" s="50">
        <v>1.24</v>
      </c>
      <c r="AV819" s="50">
        <v>0.89</v>
      </c>
      <c r="AW819" s="50">
        <v>0.89</v>
      </c>
      <c r="AX819" s="50">
        <v>1.03</v>
      </c>
      <c r="AY819" s="50">
        <v>1.19</v>
      </c>
      <c r="AZ819" s="50">
        <v>1.4</v>
      </c>
      <c r="BA819" s="50">
        <v>1.1000000000000001</v>
      </c>
      <c r="BB819" s="50">
        <v>1.6</v>
      </c>
      <c r="BC819" s="55">
        <v>0.7</v>
      </c>
      <c r="BD819" s="55">
        <v>0</v>
      </c>
      <c r="BE819" s="11">
        <v>0</v>
      </c>
      <c r="BF819" s="4">
        <v>1.337</v>
      </c>
      <c r="BG819" s="4">
        <v>1.23</v>
      </c>
      <c r="BH819" s="4">
        <v>1.294</v>
      </c>
      <c r="BI819" s="4">
        <v>1.294</v>
      </c>
      <c r="BJ819" s="14">
        <v>0</v>
      </c>
      <c r="BK819" s="14">
        <v>0</v>
      </c>
      <c r="BL819" s="4">
        <v>0</v>
      </c>
      <c r="BM819" s="17">
        <v>0</v>
      </c>
      <c r="BN819" s="4">
        <v>0</v>
      </c>
      <c r="BO819" s="4">
        <v>0</v>
      </c>
      <c r="BP819" s="4">
        <v>1.4550000000000001</v>
      </c>
      <c r="BQ819" s="4">
        <v>0</v>
      </c>
      <c r="BR819" s="4">
        <v>0</v>
      </c>
      <c r="BS819" s="4">
        <v>1.0029999999999999</v>
      </c>
      <c r="BT819" s="4">
        <v>0</v>
      </c>
      <c r="BU819" s="4">
        <v>0</v>
      </c>
      <c r="BV819" s="4">
        <v>0</v>
      </c>
      <c r="BW819" s="4">
        <v>1.103</v>
      </c>
      <c r="BX819" s="4">
        <v>0</v>
      </c>
      <c r="BY819" s="4">
        <v>0</v>
      </c>
      <c r="BZ819" s="55">
        <v>0</v>
      </c>
      <c r="CA819" s="55">
        <v>0</v>
      </c>
      <c r="CB819" s="55">
        <v>0</v>
      </c>
      <c r="CC819" s="55">
        <v>0</v>
      </c>
      <c r="CD819" s="55">
        <v>0</v>
      </c>
      <c r="CE819" s="19">
        <v>0</v>
      </c>
      <c r="CF819" s="19">
        <v>0</v>
      </c>
      <c r="CG819" s="4">
        <v>1.37</v>
      </c>
      <c r="CH819" s="4">
        <v>0</v>
      </c>
      <c r="CI819" s="4">
        <v>0</v>
      </c>
      <c r="CJ819" s="34">
        <v>0</v>
      </c>
      <c r="CK819" s="34">
        <v>0</v>
      </c>
      <c r="CL819" s="34">
        <v>0</v>
      </c>
      <c r="CM819" s="4">
        <v>0</v>
      </c>
      <c r="CN819" s="53">
        <v>0</v>
      </c>
      <c r="CO819" s="54">
        <v>0</v>
      </c>
      <c r="CP819" s="54">
        <v>0</v>
      </c>
      <c r="CQ819" s="4">
        <v>0</v>
      </c>
    </row>
    <row r="820" spans="1:95" s="55" customFormat="1" x14ac:dyDescent="0.35">
      <c r="A820" s="55">
        <v>819</v>
      </c>
      <c r="B820" s="55" t="s">
        <v>105</v>
      </c>
      <c r="C820" s="27" t="s">
        <v>568</v>
      </c>
      <c r="D820" s="50" t="s">
        <v>94</v>
      </c>
      <c r="E820" s="33" t="s">
        <v>91</v>
      </c>
      <c r="F820" s="4">
        <f>IFERROR(AVERAGEIF(Table1[[#This Row],[2019-Apr]:[2025-July]],"&lt;&gt;0"),0)</f>
        <v>2.3619473684210521</v>
      </c>
      <c r="G820" s="4">
        <f ca="1">IFERROR(AVERAGEIF(OFFSET(Table1[[#This Row],[Status]],0,COUNT(Table1[[#This Row],[2019-May]:[2025-July]]),1,-12),"&lt;&gt;0"),0)</f>
        <v>1.2549999999999999</v>
      </c>
      <c r="H820" s="55">
        <f>IFERROR(SMALL(Table1[[#This Row],[2019-Apr]:[2025-July]],COUNTIF(Table1[[#This Row],[2019-Apr]:[2025-July]],0)+1),0)</f>
        <v>0.85699999999999998</v>
      </c>
      <c r="I820" s="55">
        <f>IFERROR(MAX(Table1[[#This Row],[2019-Apr]:[2025-July]]),0)</f>
        <v>4.8099999999999996</v>
      </c>
      <c r="J820" s="4" cm="1">
        <f t="array" ref="J82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1.1695</v>
      </c>
      <c r="K820" s="4">
        <v>4.5</v>
      </c>
      <c r="L820" s="4">
        <f>IF(Table1[[#This Row],[Standard as per ISO]]&gt;=Table1[[#This Row],[Avg of best 6]],Table1[[#This Row],[Standard as per ISO]],Table1[[#This Row],[Avg of best 6]])</f>
        <v>4.5</v>
      </c>
      <c r="M820" s="4" cm="1">
        <f t="array" ref="M820">IFERROR(LOOKUP(2,1/(Table1[[#This Row],[2019-May]:[2025-July]]&lt;&gt;0),Table1[[#This Row],[2019-May]:[2025-July]]),0)</f>
        <v>1.21</v>
      </c>
      <c r="N820" s="4">
        <f>COUNTIF(Table1[[#This Row],[2019-Apr]:[2025-July]],"&gt;="&amp;Table1[[#This Row],[Target]])</f>
        <v>1</v>
      </c>
      <c r="O820" s="4">
        <f>IF(Table1[[#This Row],[Outliers 2Y]]=0,1,0)</f>
        <v>0</v>
      </c>
      <c r="P820" s="4">
        <f>IF(Table1[[#This Row],[Last value]]&gt;1.5*Table1[[#This Row],[Target]],1,0)</f>
        <v>0</v>
      </c>
      <c r="Q820" s="4">
        <f>IF(AND(1.5*Table1[[#This Row],[Target]]&gt;=Table1[[#This Row],[Last value]],Table1[[#This Row],[Last value]]&gt;Table1[[#This Row],[Target]]),1,0)</f>
        <v>0</v>
      </c>
      <c r="R820" s="4">
        <f>IF(Table1[[#This Row],[Target]]&gt;=Table1[[#This Row],[Last value]],1,0)</f>
        <v>1</v>
      </c>
      <c r="S820" s="4" t="str">
        <f t="shared" si="20"/>
        <v>Green</v>
      </c>
      <c r="T820" s="55">
        <v>0</v>
      </c>
      <c r="U820" s="55">
        <v>0</v>
      </c>
      <c r="V820" s="55">
        <v>0</v>
      </c>
      <c r="W820" s="55">
        <v>0</v>
      </c>
      <c r="X820" s="55">
        <v>0</v>
      </c>
      <c r="Y820" s="55">
        <v>0</v>
      </c>
      <c r="Z820" s="55">
        <v>0</v>
      </c>
      <c r="AA820" s="55">
        <v>0</v>
      </c>
      <c r="AB820" s="55">
        <v>0</v>
      </c>
      <c r="AC820" s="55">
        <v>0</v>
      </c>
      <c r="AD820" s="55">
        <v>0</v>
      </c>
      <c r="AE820" s="55">
        <v>0</v>
      </c>
      <c r="AF820" s="55">
        <v>0</v>
      </c>
      <c r="AG820" s="55">
        <v>0</v>
      </c>
      <c r="AH820" s="55">
        <v>0</v>
      </c>
      <c r="AI820" s="55">
        <v>0</v>
      </c>
      <c r="AJ820" s="55">
        <v>0</v>
      </c>
      <c r="AK820" s="55">
        <v>0</v>
      </c>
      <c r="AL820" s="55">
        <v>1.65</v>
      </c>
      <c r="AM820" s="55">
        <v>0</v>
      </c>
      <c r="AN820" s="55">
        <v>0</v>
      </c>
      <c r="AO820" s="55">
        <v>4.1399999999999997</v>
      </c>
      <c r="AP820" s="55">
        <v>2.4300000000000002</v>
      </c>
      <c r="AQ820" s="55">
        <v>4.8099999999999996</v>
      </c>
      <c r="AR820" s="8">
        <v>0</v>
      </c>
      <c r="AS820" s="8">
        <v>0</v>
      </c>
      <c r="AT820" s="8">
        <v>0</v>
      </c>
      <c r="AU820" s="50">
        <v>0</v>
      </c>
      <c r="AV820" s="50">
        <v>3.8</v>
      </c>
      <c r="AW820" s="50">
        <v>3.9</v>
      </c>
      <c r="AX820" s="50">
        <v>3.93</v>
      </c>
      <c r="AY820" s="50">
        <v>4.1399999999999997</v>
      </c>
      <c r="AZ820" s="50">
        <v>0</v>
      </c>
      <c r="BA820" s="50">
        <v>3.2</v>
      </c>
      <c r="BB820" s="50">
        <v>0</v>
      </c>
      <c r="BC820" s="50">
        <v>0</v>
      </c>
      <c r="BD820" s="55">
        <v>0</v>
      </c>
      <c r="BE820" s="11">
        <v>0</v>
      </c>
      <c r="BF820" s="4">
        <v>1.417</v>
      </c>
      <c r="BG820" s="4">
        <v>1.36</v>
      </c>
      <c r="BH820" s="4">
        <v>1.0269999999999999</v>
      </c>
      <c r="BI820" s="4">
        <v>1.6439999999999999</v>
      </c>
      <c r="BJ820" s="13">
        <v>0</v>
      </c>
      <c r="BK820" s="13">
        <v>0</v>
      </c>
      <c r="BL820" s="4">
        <v>1.2629999999999999</v>
      </c>
      <c r="BM820" s="16">
        <v>0</v>
      </c>
      <c r="BN820" s="4">
        <v>0</v>
      </c>
      <c r="BO820" s="4">
        <v>0</v>
      </c>
      <c r="BP820" s="4">
        <v>1.397</v>
      </c>
      <c r="BQ820" s="4">
        <v>0</v>
      </c>
      <c r="BR820" s="4">
        <v>0</v>
      </c>
      <c r="BS820" s="4">
        <v>0.85699999999999998</v>
      </c>
      <c r="BT820" s="4">
        <v>0</v>
      </c>
      <c r="BU820" s="4">
        <v>0</v>
      </c>
      <c r="BV820" s="4">
        <v>0</v>
      </c>
      <c r="BW820" s="4">
        <v>1.4019999999999999</v>
      </c>
      <c r="BX820" s="4">
        <v>0</v>
      </c>
      <c r="BY820" s="4">
        <v>0</v>
      </c>
      <c r="BZ820" s="55">
        <v>0</v>
      </c>
      <c r="CA820" s="55">
        <v>0</v>
      </c>
      <c r="CB820" s="55">
        <v>0</v>
      </c>
      <c r="CC820" s="55">
        <v>0</v>
      </c>
      <c r="CD820" s="55">
        <v>0</v>
      </c>
      <c r="CE820" s="19">
        <v>1.3</v>
      </c>
      <c r="CF820" s="19">
        <v>0</v>
      </c>
      <c r="CG820" s="4">
        <v>0</v>
      </c>
      <c r="CH820" s="4">
        <v>1.21</v>
      </c>
      <c r="CI820" s="4">
        <v>0</v>
      </c>
      <c r="CJ820" s="34">
        <v>0</v>
      </c>
      <c r="CK820" s="34">
        <v>0</v>
      </c>
      <c r="CL820" s="34">
        <v>0</v>
      </c>
      <c r="CM820" s="4">
        <v>0</v>
      </c>
      <c r="CN820" s="53">
        <v>0</v>
      </c>
      <c r="CO820" s="54">
        <v>0</v>
      </c>
      <c r="CP820" s="54">
        <v>0</v>
      </c>
      <c r="CQ820" s="4">
        <v>0</v>
      </c>
    </row>
    <row r="821" spans="1:95" s="55" customFormat="1" x14ac:dyDescent="0.35">
      <c r="A821" s="55">
        <v>820</v>
      </c>
      <c r="B821" s="55" t="s">
        <v>105</v>
      </c>
      <c r="C821" s="27" t="s">
        <v>569</v>
      </c>
      <c r="D821" s="50" t="s">
        <v>94</v>
      </c>
      <c r="E821" s="33" t="s">
        <v>91</v>
      </c>
      <c r="F821" s="4">
        <f>IFERROR(AVERAGEIF(Table1[[#This Row],[2019-Apr]:[2025-July]],"&lt;&gt;0"),0)</f>
        <v>4.3293225806451616</v>
      </c>
      <c r="G821" s="4">
        <f ca="1">IFERROR(AVERAGEIF(OFFSET(Table1[[#This Row],[Status]],0,COUNT(Table1[[#This Row],[2019-May]:[2025-July]]),1,-12),"&lt;&gt;0"),0)</f>
        <v>3.46</v>
      </c>
      <c r="H821" s="55">
        <f>IFERROR(SMALL(Table1[[#This Row],[2019-Apr]:[2025-July]],COUNTIF(Table1[[#This Row],[2019-Apr]:[2025-July]],0)+1),0)</f>
        <v>2.1</v>
      </c>
      <c r="I821" s="55">
        <f>IFERROR(MAX(Table1[[#This Row],[2019-Apr]:[2025-July]]),0)</f>
        <v>8.8000000000000007</v>
      </c>
      <c r="J821" s="4" cm="1">
        <f t="array" ref="J82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2.2333333333333338</v>
      </c>
      <c r="K821" s="4">
        <v>4.5</v>
      </c>
      <c r="L821" s="4">
        <f>IF(Table1[[#This Row],[Standard as per ISO]]&gt;=Table1[[#This Row],[Avg of best 6]],Table1[[#This Row],[Standard as per ISO]],Table1[[#This Row],[Avg of best 6]])</f>
        <v>4.5</v>
      </c>
      <c r="M821" s="4" cm="1">
        <f t="array" ref="M821">IFERROR(LOOKUP(2,1/(Table1[[#This Row],[2019-May]:[2025-July]]&lt;&gt;0),Table1[[#This Row],[2019-May]:[2025-July]]),0)</f>
        <v>3.46</v>
      </c>
      <c r="N821" s="4">
        <f>COUNTIF(Table1[[#This Row],[2019-Apr]:[2025-July]],"&gt;="&amp;Table1[[#This Row],[Target]])</f>
        <v>10</v>
      </c>
      <c r="O821" s="4">
        <f>IF(Table1[[#This Row],[Outliers 2Y]]=0,1,0)</f>
        <v>0</v>
      </c>
      <c r="P821" s="4">
        <f>IF(Table1[[#This Row],[Last value]]&gt;1.5*Table1[[#This Row],[Target]],1,0)</f>
        <v>0</v>
      </c>
      <c r="Q821" s="4">
        <f>IF(AND(1.5*Table1[[#This Row],[Target]]&gt;=Table1[[#This Row],[Last value]],Table1[[#This Row],[Last value]]&gt;Table1[[#This Row],[Target]]),1,0)</f>
        <v>0</v>
      </c>
      <c r="R821" s="4">
        <f>IF(Table1[[#This Row],[Target]]&gt;=Table1[[#This Row],[Last value]],1,0)</f>
        <v>1</v>
      </c>
      <c r="S821" s="4" t="str">
        <f t="shared" si="20"/>
        <v>Green</v>
      </c>
      <c r="T821" s="55">
        <v>6.91</v>
      </c>
      <c r="U821" s="55">
        <v>0</v>
      </c>
      <c r="V821" s="55">
        <v>6.9</v>
      </c>
      <c r="W821" s="55">
        <v>8.14</v>
      </c>
      <c r="X821" s="55">
        <v>7.6</v>
      </c>
      <c r="Y821" s="55">
        <v>6.14</v>
      </c>
      <c r="Z821" s="55">
        <v>8.41</v>
      </c>
      <c r="AA821" s="55">
        <v>0</v>
      </c>
      <c r="AB821" s="55">
        <v>8.8000000000000007</v>
      </c>
      <c r="AC821" s="55">
        <v>7.71</v>
      </c>
      <c r="AD821" s="55">
        <v>6.65</v>
      </c>
      <c r="AE821" s="55">
        <v>2.1</v>
      </c>
      <c r="AF821" s="55">
        <v>2.4500000000000002</v>
      </c>
      <c r="AG821" s="55">
        <v>2.7</v>
      </c>
      <c r="AH821" s="55">
        <v>2.2000000000000002</v>
      </c>
      <c r="AI821" s="55">
        <v>2.14</v>
      </c>
      <c r="AJ821" s="55">
        <v>2.2000000000000002</v>
      </c>
      <c r="AK821" s="55">
        <v>2.31</v>
      </c>
      <c r="AL821" s="55">
        <v>0</v>
      </c>
      <c r="AM821" s="55">
        <v>3.19</v>
      </c>
      <c r="AN821" s="55">
        <v>2.71</v>
      </c>
      <c r="AO821" s="55">
        <v>0</v>
      </c>
      <c r="AP821" s="55">
        <v>0</v>
      </c>
      <c r="AQ821" s="55">
        <v>0</v>
      </c>
      <c r="AR821" s="8">
        <v>3.28</v>
      </c>
      <c r="AS821" s="8">
        <v>3.25</v>
      </c>
      <c r="AT821" s="8">
        <v>3.355</v>
      </c>
      <c r="AU821" s="50">
        <v>3.13</v>
      </c>
      <c r="AV821" s="50">
        <v>0</v>
      </c>
      <c r="AW821" s="50">
        <v>0</v>
      </c>
      <c r="AX821" s="50">
        <v>0</v>
      </c>
      <c r="AY821" s="50">
        <v>0</v>
      </c>
      <c r="AZ821" s="50">
        <v>0</v>
      </c>
      <c r="BA821" s="50">
        <v>0</v>
      </c>
      <c r="BB821" s="50">
        <v>4.5999999999999996</v>
      </c>
      <c r="BC821" s="55">
        <v>3.5</v>
      </c>
      <c r="BD821" s="55">
        <v>0</v>
      </c>
      <c r="BE821" s="11">
        <v>4.0819999999999999</v>
      </c>
      <c r="BF821" s="4">
        <v>4.0819999999999999</v>
      </c>
      <c r="BG821" s="4">
        <v>0</v>
      </c>
      <c r="BH821" s="4">
        <v>2.6579999999999999</v>
      </c>
      <c r="BI821" s="4">
        <v>3.6080000000000001</v>
      </c>
      <c r="BJ821" s="14">
        <v>0</v>
      </c>
      <c r="BK821" s="14">
        <v>0</v>
      </c>
      <c r="BL821" s="4">
        <v>0</v>
      </c>
      <c r="BM821" s="17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3.2330000000000001</v>
      </c>
      <c r="BT821" s="4">
        <v>0</v>
      </c>
      <c r="BU821" s="4">
        <v>0</v>
      </c>
      <c r="BV821" s="4">
        <v>0</v>
      </c>
      <c r="BW821" s="4">
        <v>2.7109999999999999</v>
      </c>
      <c r="BX821" s="4">
        <v>0</v>
      </c>
      <c r="BY821" s="4">
        <v>0</v>
      </c>
      <c r="BZ821" s="55">
        <v>0</v>
      </c>
      <c r="CA821" s="55">
        <v>0</v>
      </c>
      <c r="CB821" s="55">
        <v>0</v>
      </c>
      <c r="CC821" s="55">
        <v>0</v>
      </c>
      <c r="CD821" s="55">
        <v>0</v>
      </c>
      <c r="CE821" s="19">
        <v>0</v>
      </c>
      <c r="CF821" s="19">
        <v>0</v>
      </c>
      <c r="CG821" s="4">
        <v>3.46</v>
      </c>
      <c r="CH821" s="4">
        <v>0</v>
      </c>
      <c r="CI821" s="4">
        <v>0</v>
      </c>
      <c r="CJ821" s="34">
        <v>0</v>
      </c>
      <c r="CK821" s="34">
        <v>0</v>
      </c>
      <c r="CL821" s="34">
        <v>0</v>
      </c>
      <c r="CM821" s="4">
        <v>0</v>
      </c>
      <c r="CN821" s="53">
        <v>0</v>
      </c>
      <c r="CO821" s="54">
        <v>0</v>
      </c>
      <c r="CP821" s="54">
        <v>0</v>
      </c>
      <c r="CQ821" s="4">
        <v>0</v>
      </c>
    </row>
    <row r="822" spans="1:95" s="55" customFormat="1" x14ac:dyDescent="0.35">
      <c r="A822" s="55">
        <v>821</v>
      </c>
      <c r="B822" s="55" t="s">
        <v>105</v>
      </c>
      <c r="C822" s="28" t="s">
        <v>1511</v>
      </c>
      <c r="D822" s="50" t="s">
        <v>93</v>
      </c>
      <c r="E822" s="33" t="s">
        <v>89</v>
      </c>
      <c r="F822" s="4">
        <f>IFERROR(AVERAGEIF(Table1[[#This Row],[2019-Apr]:[2025-July]],"&lt;&gt;0"),0)</f>
        <v>4.7</v>
      </c>
      <c r="G822" s="4">
        <f ca="1">IFERROR(AVERAGEIF(OFFSET(Table1[[#This Row],[Status]],0,COUNT(Table1[[#This Row],[2019-May]:[2025-July]]),1,-12),"&lt;&gt;0"),0)</f>
        <v>4.8</v>
      </c>
      <c r="H822" s="55">
        <f>IFERROR(SMALL(Table1[[#This Row],[2019-Apr]:[2025-July]],COUNTIF(Table1[[#This Row],[2019-Apr]:[2025-July]],0)+1),0)</f>
        <v>4.5</v>
      </c>
      <c r="I822" s="55">
        <f>IFERROR(MAX(Table1[[#This Row],[2019-Apr]:[2025-July]]),0)</f>
        <v>5</v>
      </c>
      <c r="J822" s="4" cm="1">
        <f t="array" ref="J82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4.7</v>
      </c>
      <c r="K822" s="4">
        <v>4.5</v>
      </c>
      <c r="L822" s="4">
        <f>IF(Table1[[#This Row],[Standard as per ISO]]&gt;=Table1[[#This Row],[Avg of best 6]],Table1[[#This Row],[Standard as per ISO]],Table1[[#This Row],[Avg of best 6]])</f>
        <v>4.7</v>
      </c>
      <c r="M822" s="4" cm="1">
        <f t="array" ref="M822">IFERROR(LOOKUP(2,1/(Table1[[#This Row],[2019-May]:[2025-July]]&lt;&gt;0),Table1[[#This Row],[2019-May]:[2025-July]]),0)</f>
        <v>4.5</v>
      </c>
      <c r="N822" s="4">
        <f>COUNTIF(Table1[[#This Row],[2019-Apr]:[2025-July]],"&gt;="&amp;Table1[[#This Row],[Target]])</f>
        <v>1</v>
      </c>
      <c r="O822" s="4">
        <f>IF(Table1[[#This Row],[Outliers 2Y]]=0,1,0)</f>
        <v>0</v>
      </c>
      <c r="P822" s="4">
        <f>IF(Table1[[#This Row],[Last value]]&gt;1.5*Table1[[#This Row],[Target]],1,0)</f>
        <v>0</v>
      </c>
      <c r="Q822" s="4">
        <f>IF(AND(1.5*Table1[[#This Row],[Target]]&gt;=Table1[[#This Row],[Last value]],Table1[[#This Row],[Last value]]&gt;Table1[[#This Row],[Target]]),1,0)</f>
        <v>0</v>
      </c>
      <c r="R822" s="4">
        <f>IF(Table1[[#This Row],[Target]]&gt;=Table1[[#This Row],[Last value]],1,0)</f>
        <v>1</v>
      </c>
      <c r="S822" s="4" t="str">
        <f t="shared" ref="S822:S829" si="21">IF(P822=1, "Red", IF(Q822=1, "Yellow", "Green"))</f>
        <v>Green</v>
      </c>
      <c r="T822" s="55">
        <v>0</v>
      </c>
      <c r="U822" s="55">
        <v>0</v>
      </c>
      <c r="V822" s="55">
        <v>0</v>
      </c>
      <c r="W822" s="55">
        <v>0</v>
      </c>
      <c r="X822" s="55">
        <v>0</v>
      </c>
      <c r="Y822" s="55">
        <v>0</v>
      </c>
      <c r="Z822" s="55">
        <v>0</v>
      </c>
      <c r="AA822" s="55">
        <v>0</v>
      </c>
      <c r="AB822" s="55">
        <v>0</v>
      </c>
      <c r="AC822" s="55">
        <v>0</v>
      </c>
      <c r="AD822" s="55">
        <v>0</v>
      </c>
      <c r="AE822" s="55">
        <v>0</v>
      </c>
      <c r="AF822" s="55">
        <v>0</v>
      </c>
      <c r="AG822" s="55">
        <v>0</v>
      </c>
      <c r="AH822" s="55">
        <v>0</v>
      </c>
      <c r="AI822" s="55">
        <v>0</v>
      </c>
      <c r="AJ822" s="55">
        <v>0</v>
      </c>
      <c r="AK822" s="55">
        <v>0</v>
      </c>
      <c r="AL822" s="55">
        <v>0</v>
      </c>
      <c r="AM822" s="55">
        <v>0</v>
      </c>
      <c r="AN822" s="55">
        <v>0</v>
      </c>
      <c r="AO822" s="55">
        <v>0</v>
      </c>
      <c r="AP822" s="55">
        <v>0</v>
      </c>
      <c r="AQ822" s="55">
        <v>0</v>
      </c>
      <c r="AR822" s="55">
        <v>0</v>
      </c>
      <c r="AS822" s="55">
        <v>0</v>
      </c>
      <c r="AT822" s="55">
        <v>0</v>
      </c>
      <c r="AU822" s="55">
        <v>0</v>
      </c>
      <c r="AV822" s="55">
        <v>0</v>
      </c>
      <c r="AW822" s="55">
        <v>0</v>
      </c>
      <c r="AX822" s="55">
        <v>0</v>
      </c>
      <c r="AY822" s="55">
        <v>0</v>
      </c>
      <c r="AZ822" s="55">
        <v>0</v>
      </c>
      <c r="BA822" s="55">
        <v>0</v>
      </c>
      <c r="BB822" s="55">
        <v>0</v>
      </c>
      <c r="BC822" s="55">
        <v>0</v>
      </c>
      <c r="BD822" s="55">
        <v>0</v>
      </c>
      <c r="BE822" s="55">
        <v>0</v>
      </c>
      <c r="BF822" s="55">
        <v>0</v>
      </c>
      <c r="BG822" s="55">
        <v>0</v>
      </c>
      <c r="BH822" s="55">
        <v>0</v>
      </c>
      <c r="BI822" s="55">
        <v>0</v>
      </c>
      <c r="BJ822" s="55">
        <v>0</v>
      </c>
      <c r="BK822" s="55">
        <v>0</v>
      </c>
      <c r="BL822" s="55">
        <v>0</v>
      </c>
      <c r="BM822" s="55">
        <v>0</v>
      </c>
      <c r="BN822" s="55">
        <v>0</v>
      </c>
      <c r="BO822" s="55">
        <v>0</v>
      </c>
      <c r="BP822" s="55">
        <v>0</v>
      </c>
      <c r="BQ822" s="55">
        <v>0</v>
      </c>
      <c r="BR822" s="55">
        <v>0</v>
      </c>
      <c r="BS822" s="55">
        <v>0</v>
      </c>
      <c r="BT822" s="55">
        <v>0</v>
      </c>
      <c r="BU822" s="55">
        <v>0</v>
      </c>
      <c r="BV822" s="55">
        <v>0</v>
      </c>
      <c r="BW822" s="55">
        <v>0</v>
      </c>
      <c r="BX822" s="55">
        <v>0</v>
      </c>
      <c r="BY822" s="55">
        <v>0</v>
      </c>
      <c r="BZ822" s="55">
        <v>0</v>
      </c>
      <c r="CA822" s="55">
        <v>0</v>
      </c>
      <c r="CB822" s="55">
        <v>0</v>
      </c>
      <c r="CC822" s="55">
        <v>0</v>
      </c>
      <c r="CD822" s="55">
        <v>0</v>
      </c>
      <c r="CE822" s="55">
        <v>0</v>
      </c>
      <c r="CF822" s="55">
        <v>0</v>
      </c>
      <c r="CG822" s="55">
        <v>0</v>
      </c>
      <c r="CH822" s="55">
        <v>0</v>
      </c>
      <c r="CI822" s="55">
        <v>0</v>
      </c>
      <c r="CJ822" s="34">
        <v>0</v>
      </c>
      <c r="CK822" s="34">
        <v>0</v>
      </c>
      <c r="CL822" s="43">
        <v>0</v>
      </c>
      <c r="CM822" s="4">
        <v>0</v>
      </c>
      <c r="CN822" s="53">
        <v>0</v>
      </c>
      <c r="CO822" s="54">
        <v>5</v>
      </c>
      <c r="CP822" s="54">
        <v>4.5999999999999996</v>
      </c>
      <c r="CQ822" s="4">
        <v>4.5</v>
      </c>
    </row>
    <row r="823" spans="1:95" s="55" customFormat="1" x14ac:dyDescent="0.35">
      <c r="A823" s="55">
        <v>822</v>
      </c>
      <c r="B823" s="55" t="s">
        <v>105</v>
      </c>
      <c r="C823" s="28" t="s">
        <v>1512</v>
      </c>
      <c r="D823" s="50" t="s">
        <v>93</v>
      </c>
      <c r="E823" s="33" t="s">
        <v>89</v>
      </c>
      <c r="F823" s="4">
        <f>IFERROR(AVERAGEIF(Table1[[#This Row],[2019-Apr]:[2025-July]],"&lt;&gt;0"),0)</f>
        <v>0</v>
      </c>
      <c r="G823" s="4">
        <f ca="1">IFERROR(AVERAGEIF(OFFSET(Table1[[#This Row],[Status]],0,COUNT(Table1[[#This Row],[2019-May]:[2025-July]]),1,-12),"&lt;&gt;0"),0)</f>
        <v>0</v>
      </c>
      <c r="H823" s="55">
        <f>IFERROR(SMALL(Table1[[#This Row],[2019-Apr]:[2025-July]],COUNTIF(Table1[[#This Row],[2019-Apr]:[2025-July]],0)+1),0)</f>
        <v>0</v>
      </c>
      <c r="I823" s="55">
        <f>IFERROR(MAX(Table1[[#This Row],[2019-Apr]:[2025-July]]),0)</f>
        <v>0</v>
      </c>
      <c r="J823" s="4" cm="1">
        <f t="array" ref="J82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823" s="4">
        <v>4.5</v>
      </c>
      <c r="L823" s="4">
        <f>IF(Table1[[#This Row],[Standard as per ISO]]&gt;=Table1[[#This Row],[Avg of best 6]],Table1[[#This Row],[Standard as per ISO]],Table1[[#This Row],[Avg of best 6]])</f>
        <v>4.5</v>
      </c>
      <c r="M823" s="4" cm="1">
        <f t="array" ref="M823">IFERROR(LOOKUP(2,1/(Table1[[#This Row],[2019-May]:[2025-July]]&lt;&gt;0),Table1[[#This Row],[2019-May]:[2025-July]]),0)</f>
        <v>0</v>
      </c>
      <c r="N823" s="4">
        <f>COUNTIF(Table1[[#This Row],[2019-Apr]:[2025-July]],"&gt;="&amp;Table1[[#This Row],[Target]])</f>
        <v>0</v>
      </c>
      <c r="O823" s="4">
        <f>IF(Table1[[#This Row],[Outliers 2Y]]=0,1,0)</f>
        <v>1</v>
      </c>
      <c r="P823" s="4">
        <f>IF(Table1[[#This Row],[Last value]]&gt;1.5*Table1[[#This Row],[Target]],1,0)</f>
        <v>0</v>
      </c>
      <c r="Q823" s="4">
        <f>IF(AND(1.5*Table1[[#This Row],[Target]]&gt;=Table1[[#This Row],[Last value]],Table1[[#This Row],[Last value]]&gt;Table1[[#This Row],[Target]]),1,0)</f>
        <v>0</v>
      </c>
      <c r="R823" s="4">
        <f>IF(Table1[[#This Row],[Target]]&gt;=Table1[[#This Row],[Last value]],1,0)</f>
        <v>1</v>
      </c>
      <c r="S823" s="4" t="str">
        <f t="shared" si="21"/>
        <v>Green</v>
      </c>
      <c r="T823" s="55">
        <v>0</v>
      </c>
      <c r="U823" s="55">
        <v>0</v>
      </c>
      <c r="V823" s="55">
        <v>0</v>
      </c>
      <c r="W823" s="55">
        <v>0</v>
      </c>
      <c r="X823" s="55">
        <v>0</v>
      </c>
      <c r="Y823" s="55">
        <v>0</v>
      </c>
      <c r="Z823" s="55">
        <v>0</v>
      </c>
      <c r="AA823" s="55">
        <v>0</v>
      </c>
      <c r="AB823" s="55">
        <v>0</v>
      </c>
      <c r="AC823" s="55">
        <v>0</v>
      </c>
      <c r="AD823" s="55">
        <v>0</v>
      </c>
      <c r="AE823" s="55">
        <v>0</v>
      </c>
      <c r="AF823" s="55">
        <v>0</v>
      </c>
      <c r="AG823" s="55">
        <v>0</v>
      </c>
      <c r="AH823" s="55">
        <v>0</v>
      </c>
      <c r="AI823" s="55">
        <v>0</v>
      </c>
      <c r="AJ823" s="55">
        <v>0</v>
      </c>
      <c r="AK823" s="55">
        <v>0</v>
      </c>
      <c r="AL823" s="55">
        <v>0</v>
      </c>
      <c r="AM823" s="55">
        <v>0</v>
      </c>
      <c r="AN823" s="55">
        <v>0</v>
      </c>
      <c r="AO823" s="55">
        <v>0</v>
      </c>
      <c r="AP823" s="55">
        <v>0</v>
      </c>
      <c r="AQ823" s="55">
        <v>0</v>
      </c>
      <c r="AR823" s="55">
        <v>0</v>
      </c>
      <c r="AS823" s="55">
        <v>0</v>
      </c>
      <c r="AT823" s="55">
        <v>0</v>
      </c>
      <c r="AU823" s="55">
        <v>0</v>
      </c>
      <c r="AV823" s="55">
        <v>0</v>
      </c>
      <c r="AW823" s="55">
        <v>0</v>
      </c>
      <c r="AX823" s="55">
        <v>0</v>
      </c>
      <c r="AY823" s="55">
        <v>0</v>
      </c>
      <c r="AZ823" s="55">
        <v>0</v>
      </c>
      <c r="BA823" s="55">
        <v>0</v>
      </c>
      <c r="BB823" s="55">
        <v>0</v>
      </c>
      <c r="BC823" s="55">
        <v>0</v>
      </c>
      <c r="BD823" s="55">
        <v>0</v>
      </c>
      <c r="BE823" s="55">
        <v>0</v>
      </c>
      <c r="BF823" s="55">
        <v>0</v>
      </c>
      <c r="BG823" s="55">
        <v>0</v>
      </c>
      <c r="BH823" s="55">
        <v>0</v>
      </c>
      <c r="BI823" s="55">
        <v>0</v>
      </c>
      <c r="BJ823" s="55">
        <v>0</v>
      </c>
      <c r="BK823" s="55">
        <v>0</v>
      </c>
      <c r="BL823" s="55">
        <v>0</v>
      </c>
      <c r="BM823" s="55">
        <v>0</v>
      </c>
      <c r="BN823" s="55">
        <v>0</v>
      </c>
      <c r="BO823" s="55">
        <v>0</v>
      </c>
      <c r="BP823" s="55">
        <v>0</v>
      </c>
      <c r="BQ823" s="55">
        <v>0</v>
      </c>
      <c r="BR823" s="55">
        <v>0</v>
      </c>
      <c r="BS823" s="55">
        <v>0</v>
      </c>
      <c r="BT823" s="55">
        <v>0</v>
      </c>
      <c r="BU823" s="55">
        <v>0</v>
      </c>
      <c r="BV823" s="55">
        <v>0</v>
      </c>
      <c r="BW823" s="55">
        <v>0</v>
      </c>
      <c r="BX823" s="55">
        <v>0</v>
      </c>
      <c r="BY823" s="55">
        <v>0</v>
      </c>
      <c r="BZ823" s="55">
        <v>0</v>
      </c>
      <c r="CA823" s="55">
        <v>0</v>
      </c>
      <c r="CB823" s="55">
        <v>0</v>
      </c>
      <c r="CC823" s="55">
        <v>0</v>
      </c>
      <c r="CD823" s="55">
        <v>0</v>
      </c>
      <c r="CE823" s="55">
        <v>0</v>
      </c>
      <c r="CF823" s="55">
        <v>0</v>
      </c>
      <c r="CG823" s="55">
        <v>0</v>
      </c>
      <c r="CH823" s="55">
        <v>0</v>
      </c>
      <c r="CI823" s="55">
        <v>0</v>
      </c>
      <c r="CJ823" s="34">
        <v>0</v>
      </c>
      <c r="CK823" s="34">
        <v>0</v>
      </c>
      <c r="CL823" s="43">
        <v>0</v>
      </c>
      <c r="CM823" s="4">
        <v>0</v>
      </c>
      <c r="CN823" s="53">
        <v>0</v>
      </c>
      <c r="CO823" s="54">
        <v>0</v>
      </c>
      <c r="CP823" s="54">
        <v>0</v>
      </c>
      <c r="CQ823" s="4">
        <v>0</v>
      </c>
    </row>
    <row r="824" spans="1:95" s="55" customFormat="1" x14ac:dyDescent="0.35">
      <c r="A824" s="55">
        <v>823</v>
      </c>
      <c r="B824" s="55" t="s">
        <v>105</v>
      </c>
      <c r="C824" s="28" t="s">
        <v>1513</v>
      </c>
      <c r="D824" s="50" t="s">
        <v>93</v>
      </c>
      <c r="E824" s="33" t="s">
        <v>89</v>
      </c>
      <c r="F824" s="4">
        <f>IFERROR(AVERAGEIF(Table1[[#This Row],[2019-Apr]:[2025-July]],"&lt;&gt;0"),0)</f>
        <v>3.0333333333333332</v>
      </c>
      <c r="G824" s="4">
        <f ca="1">IFERROR(AVERAGEIF(OFFSET(Table1[[#This Row],[Status]],0,COUNT(Table1[[#This Row],[2019-May]:[2025-July]]),1,-12),"&lt;&gt;0"),0)</f>
        <v>2.5499999999999998</v>
      </c>
      <c r="H824" s="55">
        <f>IFERROR(SMALL(Table1[[#This Row],[2019-Apr]:[2025-July]],COUNTIF(Table1[[#This Row],[2019-Apr]:[2025-July]],0)+1),0)</f>
        <v>2.2999999999999998</v>
      </c>
      <c r="I824" s="55">
        <f>IFERROR(MAX(Table1[[#This Row],[2019-Apr]:[2025-July]]),0)</f>
        <v>4</v>
      </c>
      <c r="J824" s="4" cm="1">
        <f t="array" ref="J82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3.0333333333333332</v>
      </c>
      <c r="K824" s="4">
        <v>4.5</v>
      </c>
      <c r="L824" s="4">
        <f>IF(Table1[[#This Row],[Standard as per ISO]]&gt;=Table1[[#This Row],[Avg of best 6]],Table1[[#This Row],[Standard as per ISO]],Table1[[#This Row],[Avg of best 6]])</f>
        <v>4.5</v>
      </c>
      <c r="M824" s="4" cm="1">
        <f t="array" ref="M824">IFERROR(LOOKUP(2,1/(Table1[[#This Row],[2019-May]:[2025-July]]&lt;&gt;0),Table1[[#This Row],[2019-May]:[2025-July]]),0)</f>
        <v>4</v>
      </c>
      <c r="N824" s="4">
        <f>COUNTIF(Table1[[#This Row],[2019-Apr]:[2025-July]],"&gt;="&amp;Table1[[#This Row],[Target]])</f>
        <v>0</v>
      </c>
      <c r="O824" s="4">
        <f>IF(Table1[[#This Row],[Outliers 2Y]]=0,1,0)</f>
        <v>1</v>
      </c>
      <c r="P824" s="4">
        <f>IF(Table1[[#This Row],[Last value]]&gt;1.5*Table1[[#This Row],[Target]],1,0)</f>
        <v>0</v>
      </c>
      <c r="Q824" s="4">
        <f>IF(AND(1.5*Table1[[#This Row],[Target]]&gt;=Table1[[#This Row],[Last value]],Table1[[#This Row],[Last value]]&gt;Table1[[#This Row],[Target]]),1,0)</f>
        <v>0</v>
      </c>
      <c r="R824" s="4">
        <f>IF(Table1[[#This Row],[Target]]&gt;=Table1[[#This Row],[Last value]],1,0)</f>
        <v>1</v>
      </c>
      <c r="S824" s="4" t="str">
        <f t="shared" si="21"/>
        <v>Green</v>
      </c>
      <c r="T824" s="55">
        <v>0</v>
      </c>
      <c r="U824" s="55">
        <v>0</v>
      </c>
      <c r="V824" s="55">
        <v>0</v>
      </c>
      <c r="W824" s="55">
        <v>0</v>
      </c>
      <c r="X824" s="55">
        <v>0</v>
      </c>
      <c r="Y824" s="55">
        <v>0</v>
      </c>
      <c r="Z824" s="55">
        <v>0</v>
      </c>
      <c r="AA824" s="55">
        <v>0</v>
      </c>
      <c r="AB824" s="55">
        <v>0</v>
      </c>
      <c r="AC824" s="55">
        <v>0</v>
      </c>
      <c r="AD824" s="55">
        <v>0</v>
      </c>
      <c r="AE824" s="55">
        <v>0</v>
      </c>
      <c r="AF824" s="55">
        <v>0</v>
      </c>
      <c r="AG824" s="55">
        <v>0</v>
      </c>
      <c r="AH824" s="55">
        <v>0</v>
      </c>
      <c r="AI824" s="55">
        <v>0</v>
      </c>
      <c r="AJ824" s="55">
        <v>0</v>
      </c>
      <c r="AK824" s="55">
        <v>0</v>
      </c>
      <c r="AL824" s="55">
        <v>0</v>
      </c>
      <c r="AM824" s="55">
        <v>0</v>
      </c>
      <c r="AN824" s="55">
        <v>0</v>
      </c>
      <c r="AO824" s="55">
        <v>0</v>
      </c>
      <c r="AP824" s="55">
        <v>0</v>
      </c>
      <c r="AQ824" s="55">
        <v>0</v>
      </c>
      <c r="AR824" s="55">
        <v>0</v>
      </c>
      <c r="AS824" s="55">
        <v>0</v>
      </c>
      <c r="AT824" s="55">
        <v>0</v>
      </c>
      <c r="AU824" s="55">
        <v>0</v>
      </c>
      <c r="AV824" s="55">
        <v>0</v>
      </c>
      <c r="AW824" s="55">
        <v>0</v>
      </c>
      <c r="AX824" s="55">
        <v>0</v>
      </c>
      <c r="AY824" s="55">
        <v>0</v>
      </c>
      <c r="AZ824" s="55">
        <v>0</v>
      </c>
      <c r="BA824" s="55">
        <v>0</v>
      </c>
      <c r="BB824" s="55">
        <v>0</v>
      </c>
      <c r="BC824" s="55">
        <v>0</v>
      </c>
      <c r="BD824" s="55">
        <v>0</v>
      </c>
      <c r="BE824" s="55">
        <v>0</v>
      </c>
      <c r="BF824" s="55">
        <v>0</v>
      </c>
      <c r="BG824" s="55">
        <v>0</v>
      </c>
      <c r="BH824" s="55">
        <v>0</v>
      </c>
      <c r="BI824" s="55">
        <v>0</v>
      </c>
      <c r="BJ824" s="55">
        <v>0</v>
      </c>
      <c r="BK824" s="55">
        <v>0</v>
      </c>
      <c r="BL824" s="55">
        <v>0</v>
      </c>
      <c r="BM824" s="55">
        <v>0</v>
      </c>
      <c r="BN824" s="55">
        <v>0</v>
      </c>
      <c r="BO824" s="55">
        <v>0</v>
      </c>
      <c r="BP824" s="55">
        <v>0</v>
      </c>
      <c r="BQ824" s="55">
        <v>0</v>
      </c>
      <c r="BR824" s="55">
        <v>0</v>
      </c>
      <c r="BS824" s="55">
        <v>0</v>
      </c>
      <c r="BT824" s="55">
        <v>0</v>
      </c>
      <c r="BU824" s="55">
        <v>0</v>
      </c>
      <c r="BV824" s="55">
        <v>0</v>
      </c>
      <c r="BW824" s="55">
        <v>0</v>
      </c>
      <c r="BX824" s="55">
        <v>0</v>
      </c>
      <c r="BY824" s="55">
        <v>0</v>
      </c>
      <c r="BZ824" s="55">
        <v>0</v>
      </c>
      <c r="CA824" s="55">
        <v>0</v>
      </c>
      <c r="CB824" s="55">
        <v>0</v>
      </c>
      <c r="CC824" s="55">
        <v>0</v>
      </c>
      <c r="CD824" s="55">
        <v>0</v>
      </c>
      <c r="CE824" s="55">
        <v>0</v>
      </c>
      <c r="CF824" s="55">
        <v>0</v>
      </c>
      <c r="CG824" s="55">
        <v>0</v>
      </c>
      <c r="CH824" s="55">
        <v>0</v>
      </c>
      <c r="CI824" s="55">
        <v>0</v>
      </c>
      <c r="CJ824" s="34">
        <v>0</v>
      </c>
      <c r="CK824" s="34">
        <v>0</v>
      </c>
      <c r="CL824" s="43">
        <v>0</v>
      </c>
      <c r="CM824" s="4">
        <v>0</v>
      </c>
      <c r="CN824" s="53">
        <v>0</v>
      </c>
      <c r="CO824" s="54">
        <v>2.2999999999999998</v>
      </c>
      <c r="CP824" s="54">
        <v>2.8</v>
      </c>
      <c r="CQ824" s="4">
        <v>4</v>
      </c>
    </row>
    <row r="825" spans="1:95" s="55" customFormat="1" x14ac:dyDescent="0.35">
      <c r="A825" s="55">
        <v>824</v>
      </c>
      <c r="B825" s="55" t="s">
        <v>105</v>
      </c>
      <c r="C825" s="28" t="s">
        <v>1514</v>
      </c>
      <c r="D825" s="50" t="s">
        <v>93</v>
      </c>
      <c r="E825" s="33" t="s">
        <v>89</v>
      </c>
      <c r="F825" s="4">
        <f>IFERROR(AVERAGEIF(Table1[[#This Row],[2019-Apr]:[2025-July]],"&lt;&gt;0"),0)</f>
        <v>1.2333333333333334</v>
      </c>
      <c r="G825" s="4">
        <f ca="1">IFERROR(AVERAGEIF(OFFSET(Table1[[#This Row],[Status]],0,COUNT(Table1[[#This Row],[2019-May]:[2025-July]]),1,-12),"&lt;&gt;0"),0)</f>
        <v>1.35</v>
      </c>
      <c r="H825" s="55">
        <f>IFERROR(SMALL(Table1[[#This Row],[2019-Apr]:[2025-July]],COUNTIF(Table1[[#This Row],[2019-Apr]:[2025-July]],0)+1),0)</f>
        <v>1</v>
      </c>
      <c r="I825" s="55">
        <f>IFERROR(MAX(Table1[[#This Row],[2019-Apr]:[2025-July]]),0)</f>
        <v>1.7</v>
      </c>
      <c r="J825" s="4" cm="1">
        <f t="array" ref="J82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1.2333333333333334</v>
      </c>
      <c r="K825" s="4">
        <v>4.5</v>
      </c>
      <c r="L825" s="4">
        <f>IF(Table1[[#This Row],[Standard as per ISO]]&gt;=Table1[[#This Row],[Avg of best 6]],Table1[[#This Row],[Standard as per ISO]],Table1[[#This Row],[Avg of best 6]])</f>
        <v>4.5</v>
      </c>
      <c r="M825" s="4" cm="1">
        <f t="array" ref="M825">IFERROR(LOOKUP(2,1/(Table1[[#This Row],[2019-May]:[2025-July]]&lt;&gt;0),Table1[[#This Row],[2019-May]:[2025-July]]),0)</f>
        <v>1</v>
      </c>
      <c r="N825" s="4">
        <f>COUNTIF(Table1[[#This Row],[2019-Apr]:[2025-July]],"&gt;="&amp;Table1[[#This Row],[Target]])</f>
        <v>0</v>
      </c>
      <c r="O825" s="4">
        <f>IF(Table1[[#This Row],[Outliers 2Y]]=0,1,0)</f>
        <v>1</v>
      </c>
      <c r="P825" s="4">
        <f>IF(Table1[[#This Row],[Last value]]&gt;1.5*Table1[[#This Row],[Target]],1,0)</f>
        <v>0</v>
      </c>
      <c r="Q825" s="4">
        <f>IF(AND(1.5*Table1[[#This Row],[Target]]&gt;=Table1[[#This Row],[Last value]],Table1[[#This Row],[Last value]]&gt;Table1[[#This Row],[Target]]),1,0)</f>
        <v>0</v>
      </c>
      <c r="R825" s="4">
        <f>IF(Table1[[#This Row],[Target]]&gt;=Table1[[#This Row],[Last value]],1,0)</f>
        <v>1</v>
      </c>
      <c r="S825" s="4" t="str">
        <f t="shared" si="21"/>
        <v>Green</v>
      </c>
      <c r="T825" s="55">
        <v>0</v>
      </c>
      <c r="U825" s="55">
        <v>0</v>
      </c>
      <c r="V825" s="55">
        <v>0</v>
      </c>
      <c r="W825" s="55">
        <v>0</v>
      </c>
      <c r="X825" s="55">
        <v>0</v>
      </c>
      <c r="Y825" s="55">
        <v>0</v>
      </c>
      <c r="Z825" s="55">
        <v>0</v>
      </c>
      <c r="AA825" s="55">
        <v>0</v>
      </c>
      <c r="AB825" s="55">
        <v>0</v>
      </c>
      <c r="AC825" s="55">
        <v>0</v>
      </c>
      <c r="AD825" s="55">
        <v>0</v>
      </c>
      <c r="AE825" s="55">
        <v>0</v>
      </c>
      <c r="AF825" s="55">
        <v>0</v>
      </c>
      <c r="AG825" s="55">
        <v>0</v>
      </c>
      <c r="AH825" s="55">
        <v>0</v>
      </c>
      <c r="AI825" s="55">
        <v>0</v>
      </c>
      <c r="AJ825" s="55">
        <v>0</v>
      </c>
      <c r="AK825" s="55">
        <v>0</v>
      </c>
      <c r="AL825" s="55">
        <v>0</v>
      </c>
      <c r="AM825" s="55">
        <v>0</v>
      </c>
      <c r="AN825" s="55">
        <v>0</v>
      </c>
      <c r="AO825" s="55">
        <v>0</v>
      </c>
      <c r="AP825" s="55">
        <v>0</v>
      </c>
      <c r="AQ825" s="55">
        <v>0</v>
      </c>
      <c r="AR825" s="55">
        <v>0</v>
      </c>
      <c r="AS825" s="55">
        <v>0</v>
      </c>
      <c r="AT825" s="55">
        <v>0</v>
      </c>
      <c r="AU825" s="55">
        <v>0</v>
      </c>
      <c r="AV825" s="55">
        <v>0</v>
      </c>
      <c r="AW825" s="55">
        <v>0</v>
      </c>
      <c r="AX825" s="55">
        <v>0</v>
      </c>
      <c r="AY825" s="55">
        <v>0</v>
      </c>
      <c r="AZ825" s="55">
        <v>0</v>
      </c>
      <c r="BA825" s="55">
        <v>0</v>
      </c>
      <c r="BB825" s="55">
        <v>0</v>
      </c>
      <c r="BC825" s="55">
        <v>0</v>
      </c>
      <c r="BD825" s="55">
        <v>0</v>
      </c>
      <c r="BE825" s="55">
        <v>0</v>
      </c>
      <c r="BF825" s="55">
        <v>0</v>
      </c>
      <c r="BG825" s="55">
        <v>0</v>
      </c>
      <c r="BH825" s="55">
        <v>0</v>
      </c>
      <c r="BI825" s="55">
        <v>0</v>
      </c>
      <c r="BJ825" s="55">
        <v>0</v>
      </c>
      <c r="BK825" s="55">
        <v>0</v>
      </c>
      <c r="BL825" s="55">
        <v>0</v>
      </c>
      <c r="BM825" s="55">
        <v>0</v>
      </c>
      <c r="BN825" s="55">
        <v>0</v>
      </c>
      <c r="BO825" s="55">
        <v>0</v>
      </c>
      <c r="BP825" s="55">
        <v>0</v>
      </c>
      <c r="BQ825" s="55">
        <v>0</v>
      </c>
      <c r="BR825" s="55">
        <v>0</v>
      </c>
      <c r="BS825" s="55">
        <v>0</v>
      </c>
      <c r="BT825" s="55">
        <v>0</v>
      </c>
      <c r="BU825" s="55">
        <v>0</v>
      </c>
      <c r="BV825" s="55">
        <v>0</v>
      </c>
      <c r="BW825" s="55">
        <v>0</v>
      </c>
      <c r="BX825" s="55">
        <v>0</v>
      </c>
      <c r="BY825" s="55">
        <v>0</v>
      </c>
      <c r="BZ825" s="55">
        <v>0</v>
      </c>
      <c r="CA825" s="55">
        <v>0</v>
      </c>
      <c r="CB825" s="55">
        <v>0</v>
      </c>
      <c r="CC825" s="55">
        <v>0</v>
      </c>
      <c r="CD825" s="55">
        <v>0</v>
      </c>
      <c r="CE825" s="55">
        <v>0</v>
      </c>
      <c r="CF825" s="55">
        <v>0</v>
      </c>
      <c r="CG825" s="55">
        <v>0</v>
      </c>
      <c r="CH825" s="55">
        <v>0</v>
      </c>
      <c r="CI825" s="55">
        <v>0</v>
      </c>
      <c r="CJ825" s="34">
        <v>0</v>
      </c>
      <c r="CK825" s="34">
        <v>0</v>
      </c>
      <c r="CL825" s="43">
        <v>0</v>
      </c>
      <c r="CM825" s="4">
        <v>0</v>
      </c>
      <c r="CN825" s="53">
        <v>0</v>
      </c>
      <c r="CO825" s="54">
        <v>1.7</v>
      </c>
      <c r="CP825" s="54">
        <v>1</v>
      </c>
      <c r="CQ825" s="4">
        <v>1</v>
      </c>
    </row>
    <row r="826" spans="1:95" s="55" customFormat="1" x14ac:dyDescent="0.35">
      <c r="A826" s="55">
        <v>825</v>
      </c>
      <c r="B826" s="55" t="s">
        <v>105</v>
      </c>
      <c r="C826" s="28" t="s">
        <v>1587</v>
      </c>
      <c r="D826" s="50" t="s">
        <v>93</v>
      </c>
      <c r="E826" s="33" t="s">
        <v>89</v>
      </c>
      <c r="F826" s="4">
        <f>IFERROR(AVERAGEIF(Table1[[#This Row],[2019-Apr]:[2025-July]],"&lt;&gt;0"),0)</f>
        <v>0</v>
      </c>
      <c r="G826" s="4">
        <f ca="1">IFERROR(AVERAGEIF(OFFSET(Table1[[#This Row],[Status]],0,COUNT(Table1[[#This Row],[2019-May]:[2025-July]]),1,-12),"&lt;&gt;0"),0)</f>
        <v>0</v>
      </c>
      <c r="H826" s="55">
        <f>IFERROR(SMALL(Table1[[#This Row],[2019-Apr]:[2025-July]],COUNTIF(Table1[[#This Row],[2019-Apr]:[2025-July]],0)+1),0)</f>
        <v>0</v>
      </c>
      <c r="I826" s="55">
        <f>IFERROR(MAX(Table1[[#This Row],[2019-Apr]:[2025-July]]),0)</f>
        <v>0</v>
      </c>
      <c r="J826" s="4" cm="1">
        <f t="array" ref="J82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826" s="4">
        <v>4.5</v>
      </c>
      <c r="L826" s="4">
        <f>IF(Table1[[#This Row],[Standard as per ISO]]&gt;=Table1[[#This Row],[Avg of best 6]],Table1[[#This Row],[Standard as per ISO]],Table1[[#This Row],[Avg of best 6]])</f>
        <v>4.5</v>
      </c>
      <c r="M826" s="4" cm="1">
        <f t="array" ref="M826">IFERROR(LOOKUP(2,1/(Table1[[#This Row],[2019-May]:[2025-July]]&lt;&gt;0),Table1[[#This Row],[2019-May]:[2025-July]]),0)</f>
        <v>0</v>
      </c>
      <c r="N826" s="4">
        <f>COUNTIF(Table1[[#This Row],[2019-Apr]:[2025-July]],"&gt;="&amp;Table1[[#This Row],[Target]])</f>
        <v>0</v>
      </c>
      <c r="O826" s="4">
        <f>IF(Table1[[#This Row],[Outliers 2Y]]=0,1,0)</f>
        <v>1</v>
      </c>
      <c r="P826" s="4">
        <f>IF(Table1[[#This Row],[Last value]]&gt;1.5*Table1[[#This Row],[Target]],1,0)</f>
        <v>0</v>
      </c>
      <c r="Q826" s="4">
        <f>IF(AND(1.5*Table1[[#This Row],[Target]]&gt;=Table1[[#This Row],[Last value]],Table1[[#This Row],[Last value]]&gt;Table1[[#This Row],[Target]]),1,0)</f>
        <v>0</v>
      </c>
      <c r="R826" s="4">
        <f>IF(Table1[[#This Row],[Target]]&gt;=Table1[[#This Row],[Last value]],1,0)</f>
        <v>1</v>
      </c>
      <c r="S826" s="4" t="str">
        <f t="shared" si="21"/>
        <v>Green</v>
      </c>
      <c r="T826" s="55">
        <v>0</v>
      </c>
      <c r="U826" s="55">
        <v>0</v>
      </c>
      <c r="V826" s="55">
        <v>0</v>
      </c>
      <c r="W826" s="55">
        <v>0</v>
      </c>
      <c r="X826" s="55">
        <v>0</v>
      </c>
      <c r="Y826" s="55">
        <v>0</v>
      </c>
      <c r="Z826" s="55">
        <v>0</v>
      </c>
      <c r="AA826" s="55">
        <v>0</v>
      </c>
      <c r="AB826" s="55">
        <v>0</v>
      </c>
      <c r="AC826" s="55">
        <v>0</v>
      </c>
      <c r="AD826" s="55">
        <v>0</v>
      </c>
      <c r="AE826" s="55">
        <v>0</v>
      </c>
      <c r="AF826" s="55">
        <v>0</v>
      </c>
      <c r="AG826" s="55">
        <v>0</v>
      </c>
      <c r="AH826" s="55">
        <v>0</v>
      </c>
      <c r="AI826" s="55">
        <v>0</v>
      </c>
      <c r="AJ826" s="55">
        <v>0</v>
      </c>
      <c r="AK826" s="55">
        <v>0</v>
      </c>
      <c r="AL826" s="55">
        <v>0</v>
      </c>
      <c r="AM826" s="55">
        <v>0</v>
      </c>
      <c r="AN826" s="55">
        <v>0</v>
      </c>
      <c r="AO826" s="55">
        <v>0</v>
      </c>
      <c r="AP826" s="55">
        <v>0</v>
      </c>
      <c r="AQ826" s="55">
        <v>0</v>
      </c>
      <c r="AR826" s="55">
        <v>0</v>
      </c>
      <c r="AS826" s="55">
        <v>0</v>
      </c>
      <c r="AT826" s="55">
        <v>0</v>
      </c>
      <c r="AU826" s="55">
        <v>0</v>
      </c>
      <c r="AV826" s="55">
        <v>0</v>
      </c>
      <c r="AW826" s="55">
        <v>0</v>
      </c>
      <c r="AX826" s="55">
        <v>0</v>
      </c>
      <c r="AY826" s="55">
        <v>0</v>
      </c>
      <c r="AZ826" s="55">
        <v>0</v>
      </c>
      <c r="BA826" s="55">
        <v>0</v>
      </c>
      <c r="BB826" s="55">
        <v>0</v>
      </c>
      <c r="BC826" s="55">
        <v>0</v>
      </c>
      <c r="BD826" s="55">
        <v>0</v>
      </c>
      <c r="BE826" s="55">
        <v>0</v>
      </c>
      <c r="BF826" s="55">
        <v>0</v>
      </c>
      <c r="BG826" s="55">
        <v>0</v>
      </c>
      <c r="BH826" s="55">
        <v>0</v>
      </c>
      <c r="BI826" s="55">
        <v>0</v>
      </c>
      <c r="BJ826" s="55">
        <v>0</v>
      </c>
      <c r="BK826" s="55">
        <v>0</v>
      </c>
      <c r="BL826" s="55">
        <v>0</v>
      </c>
      <c r="BM826" s="55">
        <v>0</v>
      </c>
      <c r="BN826" s="55">
        <v>0</v>
      </c>
      <c r="BO826" s="55">
        <v>0</v>
      </c>
      <c r="BP826" s="55">
        <v>0</v>
      </c>
      <c r="BQ826" s="55">
        <v>0</v>
      </c>
      <c r="BR826" s="55">
        <v>0</v>
      </c>
      <c r="BS826" s="55">
        <v>0</v>
      </c>
      <c r="BT826" s="55">
        <v>0</v>
      </c>
      <c r="BU826" s="55">
        <v>0</v>
      </c>
      <c r="BV826" s="55">
        <v>0</v>
      </c>
      <c r="BW826" s="55">
        <v>0</v>
      </c>
      <c r="BX826" s="55">
        <v>0</v>
      </c>
      <c r="BY826" s="55">
        <v>0</v>
      </c>
      <c r="BZ826" s="55">
        <v>0</v>
      </c>
      <c r="CA826" s="55">
        <v>0</v>
      </c>
      <c r="CB826" s="55">
        <v>0</v>
      </c>
      <c r="CC826" s="55">
        <v>0</v>
      </c>
      <c r="CD826" s="55">
        <v>0</v>
      </c>
      <c r="CE826" s="55">
        <v>0</v>
      </c>
      <c r="CF826" s="55">
        <v>0</v>
      </c>
      <c r="CG826" s="55">
        <v>0</v>
      </c>
      <c r="CH826" s="55">
        <v>0</v>
      </c>
      <c r="CI826" s="55">
        <v>0</v>
      </c>
      <c r="CJ826" s="55">
        <v>0</v>
      </c>
      <c r="CK826" s="55">
        <v>0</v>
      </c>
      <c r="CL826" s="55">
        <v>0</v>
      </c>
      <c r="CM826" s="55">
        <v>0</v>
      </c>
      <c r="CN826" s="55">
        <v>0</v>
      </c>
      <c r="CO826" s="55">
        <v>0</v>
      </c>
      <c r="CP826" s="55">
        <v>0</v>
      </c>
      <c r="CQ826" s="4">
        <v>0</v>
      </c>
    </row>
    <row r="827" spans="1:95" s="55" customFormat="1" x14ac:dyDescent="0.35">
      <c r="A827" s="55">
        <v>826</v>
      </c>
      <c r="B827" s="55" t="s">
        <v>105</v>
      </c>
      <c r="C827" s="28" t="s">
        <v>1588</v>
      </c>
      <c r="D827" s="50" t="s">
        <v>93</v>
      </c>
      <c r="E827" s="33" t="s">
        <v>89</v>
      </c>
      <c r="F827" s="4">
        <f>IFERROR(AVERAGEIF(Table1[[#This Row],[2019-Apr]:[2025-July]],"&lt;&gt;0"),0)</f>
        <v>0</v>
      </c>
      <c r="G827" s="4">
        <f ca="1">IFERROR(AVERAGEIF(OFFSET(Table1[[#This Row],[Status]],0,COUNT(Table1[[#This Row],[2019-May]:[2025-July]]),1,-12),"&lt;&gt;0"),0)</f>
        <v>0</v>
      </c>
      <c r="H827" s="55">
        <f>IFERROR(SMALL(Table1[[#This Row],[2019-Apr]:[2025-July]],COUNTIF(Table1[[#This Row],[2019-Apr]:[2025-July]],0)+1),0)</f>
        <v>0</v>
      </c>
      <c r="I827" s="55">
        <f>IFERROR(MAX(Table1[[#This Row],[2019-Apr]:[2025-July]]),0)</f>
        <v>0</v>
      </c>
      <c r="J827" s="4" cm="1">
        <f t="array" ref="J82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827" s="4">
        <v>4.5</v>
      </c>
      <c r="L827" s="4">
        <f>IF(Table1[[#This Row],[Standard as per ISO]]&gt;=Table1[[#This Row],[Avg of best 6]],Table1[[#This Row],[Standard as per ISO]],Table1[[#This Row],[Avg of best 6]])</f>
        <v>4.5</v>
      </c>
      <c r="M827" s="4" cm="1">
        <f t="array" ref="M827">IFERROR(LOOKUP(2,1/(Table1[[#This Row],[2019-May]:[2025-July]]&lt;&gt;0),Table1[[#This Row],[2019-May]:[2025-July]]),0)</f>
        <v>0</v>
      </c>
      <c r="N827" s="4">
        <f>COUNTIF(Table1[[#This Row],[2019-Apr]:[2025-July]],"&gt;="&amp;Table1[[#This Row],[Target]])</f>
        <v>0</v>
      </c>
      <c r="O827" s="4">
        <f>IF(Table1[[#This Row],[Outliers 2Y]]=0,1,0)</f>
        <v>1</v>
      </c>
      <c r="P827" s="4">
        <f>IF(Table1[[#This Row],[Last value]]&gt;1.5*Table1[[#This Row],[Target]],1,0)</f>
        <v>0</v>
      </c>
      <c r="Q827" s="4">
        <f>IF(AND(1.5*Table1[[#This Row],[Target]]&gt;=Table1[[#This Row],[Last value]],Table1[[#This Row],[Last value]]&gt;Table1[[#This Row],[Target]]),1,0)</f>
        <v>0</v>
      </c>
      <c r="R827" s="4">
        <f>IF(Table1[[#This Row],[Target]]&gt;=Table1[[#This Row],[Last value]],1,0)</f>
        <v>1</v>
      </c>
      <c r="S827" s="4" t="str">
        <f t="shared" si="21"/>
        <v>Green</v>
      </c>
      <c r="T827" s="55">
        <v>0</v>
      </c>
      <c r="U827" s="55">
        <v>0</v>
      </c>
      <c r="V827" s="55">
        <v>0</v>
      </c>
      <c r="W827" s="55">
        <v>0</v>
      </c>
      <c r="X827" s="55">
        <v>0</v>
      </c>
      <c r="Y827" s="55">
        <v>0</v>
      </c>
      <c r="Z827" s="55">
        <v>0</v>
      </c>
      <c r="AA827" s="55">
        <v>0</v>
      </c>
      <c r="AB827" s="55">
        <v>0</v>
      </c>
      <c r="AC827" s="55">
        <v>0</v>
      </c>
      <c r="AD827" s="55">
        <v>0</v>
      </c>
      <c r="AE827" s="55">
        <v>0</v>
      </c>
      <c r="AF827" s="55">
        <v>0</v>
      </c>
      <c r="AG827" s="55">
        <v>0</v>
      </c>
      <c r="AH827" s="55">
        <v>0</v>
      </c>
      <c r="AI827" s="55">
        <v>0</v>
      </c>
      <c r="AJ827" s="55">
        <v>0</v>
      </c>
      <c r="AK827" s="55">
        <v>0</v>
      </c>
      <c r="AL827" s="55">
        <v>0</v>
      </c>
      <c r="AM827" s="55">
        <v>0</v>
      </c>
      <c r="AN827" s="55">
        <v>0</v>
      </c>
      <c r="AO827" s="55">
        <v>0</v>
      </c>
      <c r="AP827" s="55">
        <v>0</v>
      </c>
      <c r="AQ827" s="55">
        <v>0</v>
      </c>
      <c r="AR827" s="55">
        <v>0</v>
      </c>
      <c r="AS827" s="55">
        <v>0</v>
      </c>
      <c r="AT827" s="55">
        <v>0</v>
      </c>
      <c r="AU827" s="55">
        <v>0</v>
      </c>
      <c r="AV827" s="55">
        <v>0</v>
      </c>
      <c r="AW827" s="55">
        <v>0</v>
      </c>
      <c r="AX827" s="55">
        <v>0</v>
      </c>
      <c r="AY827" s="55">
        <v>0</v>
      </c>
      <c r="AZ827" s="55">
        <v>0</v>
      </c>
      <c r="BA827" s="55">
        <v>0</v>
      </c>
      <c r="BB827" s="55">
        <v>0</v>
      </c>
      <c r="BC827" s="55">
        <v>0</v>
      </c>
      <c r="BD827" s="55">
        <v>0</v>
      </c>
      <c r="BE827" s="55">
        <v>0</v>
      </c>
      <c r="BF827" s="55">
        <v>0</v>
      </c>
      <c r="BG827" s="55">
        <v>0</v>
      </c>
      <c r="BH827" s="55">
        <v>0</v>
      </c>
      <c r="BI827" s="55">
        <v>0</v>
      </c>
      <c r="BJ827" s="55">
        <v>0</v>
      </c>
      <c r="BK827" s="55">
        <v>0</v>
      </c>
      <c r="BL827" s="55">
        <v>0</v>
      </c>
      <c r="BM827" s="55">
        <v>0</v>
      </c>
      <c r="BN827" s="55">
        <v>0</v>
      </c>
      <c r="BO827" s="55">
        <v>0</v>
      </c>
      <c r="BP827" s="55">
        <v>0</v>
      </c>
      <c r="BQ827" s="55">
        <v>0</v>
      </c>
      <c r="BR827" s="55">
        <v>0</v>
      </c>
      <c r="BS827" s="55">
        <v>0</v>
      </c>
      <c r="BT827" s="55">
        <v>0</v>
      </c>
      <c r="BU827" s="55">
        <v>0</v>
      </c>
      <c r="BV827" s="55">
        <v>0</v>
      </c>
      <c r="BW827" s="55">
        <v>0</v>
      </c>
      <c r="BX827" s="55">
        <v>0</v>
      </c>
      <c r="BY827" s="55">
        <v>0</v>
      </c>
      <c r="BZ827" s="55">
        <v>0</v>
      </c>
      <c r="CA827" s="55">
        <v>0</v>
      </c>
      <c r="CB827" s="55">
        <v>0</v>
      </c>
      <c r="CC827" s="55">
        <v>0</v>
      </c>
      <c r="CD827" s="55">
        <v>0</v>
      </c>
      <c r="CE827" s="55">
        <v>0</v>
      </c>
      <c r="CF827" s="55">
        <v>0</v>
      </c>
      <c r="CG827" s="55">
        <v>0</v>
      </c>
      <c r="CH827" s="55">
        <v>0</v>
      </c>
      <c r="CI827" s="55">
        <v>0</v>
      </c>
      <c r="CJ827" s="55">
        <v>0</v>
      </c>
      <c r="CK827" s="55">
        <v>0</v>
      </c>
      <c r="CL827" s="55">
        <v>0</v>
      </c>
      <c r="CM827" s="55">
        <v>0</v>
      </c>
      <c r="CN827" s="55">
        <v>0</v>
      </c>
      <c r="CO827" s="55">
        <v>0</v>
      </c>
      <c r="CP827" s="55">
        <v>0</v>
      </c>
      <c r="CQ827" s="4">
        <v>0</v>
      </c>
    </row>
    <row r="828" spans="1:95" s="55" customFormat="1" x14ac:dyDescent="0.35">
      <c r="A828" s="55">
        <v>827</v>
      </c>
      <c r="B828" s="55" t="s">
        <v>105</v>
      </c>
      <c r="C828" s="28" t="s">
        <v>1589</v>
      </c>
      <c r="D828" s="50" t="s">
        <v>93</v>
      </c>
      <c r="E828" s="33" t="s">
        <v>89</v>
      </c>
      <c r="F828" s="4">
        <f>IFERROR(AVERAGEIF(Table1[[#This Row],[2019-Apr]:[2025-July]],"&lt;&gt;0"),0)</f>
        <v>0</v>
      </c>
      <c r="G828" s="4">
        <f ca="1">IFERROR(AVERAGEIF(OFFSET(Table1[[#This Row],[Status]],0,COUNT(Table1[[#This Row],[2019-May]:[2025-July]]),1,-12),"&lt;&gt;0"),0)</f>
        <v>0</v>
      </c>
      <c r="H828" s="55">
        <f>IFERROR(SMALL(Table1[[#This Row],[2019-Apr]:[2025-July]],COUNTIF(Table1[[#This Row],[2019-Apr]:[2025-July]],0)+1),0)</f>
        <v>0</v>
      </c>
      <c r="I828" s="55">
        <f>IFERROR(MAX(Table1[[#This Row],[2019-Apr]:[2025-July]]),0)</f>
        <v>0</v>
      </c>
      <c r="J828" s="4" cm="1">
        <f t="array" ref="J82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828" s="4">
        <v>4.5</v>
      </c>
      <c r="L828" s="4">
        <f>IF(Table1[[#This Row],[Standard as per ISO]]&gt;=Table1[[#This Row],[Avg of best 6]],Table1[[#This Row],[Standard as per ISO]],Table1[[#This Row],[Avg of best 6]])</f>
        <v>4.5</v>
      </c>
      <c r="M828" s="4" cm="1">
        <f t="array" ref="M828">IFERROR(LOOKUP(2,1/(Table1[[#This Row],[2019-May]:[2025-July]]&lt;&gt;0),Table1[[#This Row],[2019-May]:[2025-July]]),0)</f>
        <v>0</v>
      </c>
      <c r="N828" s="4">
        <f>COUNTIF(Table1[[#This Row],[2019-Apr]:[2025-July]],"&gt;="&amp;Table1[[#This Row],[Target]])</f>
        <v>0</v>
      </c>
      <c r="O828" s="4">
        <f>IF(Table1[[#This Row],[Outliers 2Y]]=0,1,0)</f>
        <v>1</v>
      </c>
      <c r="P828" s="4">
        <f>IF(Table1[[#This Row],[Last value]]&gt;1.5*Table1[[#This Row],[Target]],1,0)</f>
        <v>0</v>
      </c>
      <c r="Q828" s="4">
        <f>IF(AND(1.5*Table1[[#This Row],[Target]]&gt;=Table1[[#This Row],[Last value]],Table1[[#This Row],[Last value]]&gt;Table1[[#This Row],[Target]]),1,0)</f>
        <v>0</v>
      </c>
      <c r="R828" s="4">
        <f>IF(Table1[[#This Row],[Target]]&gt;=Table1[[#This Row],[Last value]],1,0)</f>
        <v>1</v>
      </c>
      <c r="S828" s="4" t="str">
        <f t="shared" si="21"/>
        <v>Green</v>
      </c>
      <c r="T828" s="55">
        <v>0</v>
      </c>
      <c r="U828" s="55">
        <v>0</v>
      </c>
      <c r="V828" s="55">
        <v>0</v>
      </c>
      <c r="W828" s="55">
        <v>0</v>
      </c>
      <c r="X828" s="55">
        <v>0</v>
      </c>
      <c r="Y828" s="55">
        <v>0</v>
      </c>
      <c r="Z828" s="55">
        <v>0</v>
      </c>
      <c r="AA828" s="55">
        <v>0</v>
      </c>
      <c r="AB828" s="55">
        <v>0</v>
      </c>
      <c r="AC828" s="55">
        <v>0</v>
      </c>
      <c r="AD828" s="55">
        <v>0</v>
      </c>
      <c r="AE828" s="55">
        <v>0</v>
      </c>
      <c r="AF828" s="55">
        <v>0</v>
      </c>
      <c r="AG828" s="55">
        <v>0</v>
      </c>
      <c r="AH828" s="55">
        <v>0</v>
      </c>
      <c r="AI828" s="55">
        <v>0</v>
      </c>
      <c r="AJ828" s="55">
        <v>0</v>
      </c>
      <c r="AK828" s="55">
        <v>0</v>
      </c>
      <c r="AL828" s="55">
        <v>0</v>
      </c>
      <c r="AM828" s="55">
        <v>0</v>
      </c>
      <c r="AN828" s="55">
        <v>0</v>
      </c>
      <c r="AO828" s="55">
        <v>0</v>
      </c>
      <c r="AP828" s="55">
        <v>0</v>
      </c>
      <c r="AQ828" s="55">
        <v>0</v>
      </c>
      <c r="AR828" s="55">
        <v>0</v>
      </c>
      <c r="AS828" s="55">
        <v>0</v>
      </c>
      <c r="AT828" s="55">
        <v>0</v>
      </c>
      <c r="AU828" s="55">
        <v>0</v>
      </c>
      <c r="AV828" s="55">
        <v>0</v>
      </c>
      <c r="AW828" s="55">
        <v>0</v>
      </c>
      <c r="AX828" s="55">
        <v>0</v>
      </c>
      <c r="AY828" s="55">
        <v>0</v>
      </c>
      <c r="AZ828" s="55">
        <v>0</v>
      </c>
      <c r="BA828" s="55">
        <v>0</v>
      </c>
      <c r="BB828" s="55">
        <v>0</v>
      </c>
      <c r="BC828" s="55">
        <v>0</v>
      </c>
      <c r="BD828" s="55">
        <v>0</v>
      </c>
      <c r="BE828" s="55">
        <v>0</v>
      </c>
      <c r="BF828" s="55">
        <v>0</v>
      </c>
      <c r="BG828" s="55">
        <v>0</v>
      </c>
      <c r="BH828" s="55">
        <v>0</v>
      </c>
      <c r="BI828" s="55">
        <v>0</v>
      </c>
      <c r="BJ828" s="55">
        <v>0</v>
      </c>
      <c r="BK828" s="55">
        <v>0</v>
      </c>
      <c r="BL828" s="55">
        <v>0</v>
      </c>
      <c r="BM828" s="55">
        <v>0</v>
      </c>
      <c r="BN828" s="55">
        <v>0</v>
      </c>
      <c r="BO828" s="55">
        <v>0</v>
      </c>
      <c r="BP828" s="55">
        <v>0</v>
      </c>
      <c r="BQ828" s="55">
        <v>0</v>
      </c>
      <c r="BR828" s="55">
        <v>0</v>
      </c>
      <c r="BS828" s="55">
        <v>0</v>
      </c>
      <c r="BT828" s="55">
        <v>0</v>
      </c>
      <c r="BU828" s="55">
        <v>0</v>
      </c>
      <c r="BV828" s="55">
        <v>0</v>
      </c>
      <c r="BW828" s="55">
        <v>0</v>
      </c>
      <c r="BX828" s="55">
        <v>0</v>
      </c>
      <c r="BY828" s="55">
        <v>0</v>
      </c>
      <c r="BZ828" s="55">
        <v>0</v>
      </c>
      <c r="CA828" s="55">
        <v>0</v>
      </c>
      <c r="CB828" s="55">
        <v>0</v>
      </c>
      <c r="CC828" s="55">
        <v>0</v>
      </c>
      <c r="CD828" s="55">
        <v>0</v>
      </c>
      <c r="CE828" s="55">
        <v>0</v>
      </c>
      <c r="CF828" s="55">
        <v>0</v>
      </c>
      <c r="CG828" s="55">
        <v>0</v>
      </c>
      <c r="CH828" s="55">
        <v>0</v>
      </c>
      <c r="CI828" s="55">
        <v>0</v>
      </c>
      <c r="CJ828" s="55">
        <v>0</v>
      </c>
      <c r="CK828" s="55">
        <v>0</v>
      </c>
      <c r="CL828" s="55">
        <v>0</v>
      </c>
      <c r="CM828" s="55">
        <v>0</v>
      </c>
      <c r="CN828" s="55">
        <v>0</v>
      </c>
      <c r="CO828" s="55">
        <v>0</v>
      </c>
      <c r="CP828" s="55">
        <v>0</v>
      </c>
      <c r="CQ828" s="4">
        <v>0</v>
      </c>
    </row>
    <row r="829" spans="1:95" s="55" customFormat="1" x14ac:dyDescent="0.35">
      <c r="A829" s="55">
        <v>828</v>
      </c>
      <c r="B829" s="55" t="s">
        <v>105</v>
      </c>
      <c r="C829" s="28" t="s">
        <v>1590</v>
      </c>
      <c r="D829" s="50" t="s">
        <v>93</v>
      </c>
      <c r="E829" s="33" t="s">
        <v>89</v>
      </c>
      <c r="F829" s="4">
        <f>IFERROR(AVERAGEIF(Table1[[#This Row],[2019-Apr]:[2025-July]],"&lt;&gt;0"),0)</f>
        <v>0</v>
      </c>
      <c r="G829" s="4">
        <f ca="1">IFERROR(AVERAGEIF(OFFSET(Table1[[#This Row],[Status]],0,COUNT(Table1[[#This Row],[2019-May]:[2025-July]]),1,-12),"&lt;&gt;0"),0)</f>
        <v>0</v>
      </c>
      <c r="H829" s="55">
        <f>IFERROR(SMALL(Table1[[#This Row],[2019-Apr]:[2025-July]],COUNTIF(Table1[[#This Row],[2019-Apr]:[2025-July]],0)+1),0)</f>
        <v>0</v>
      </c>
      <c r="I829" s="55">
        <f>IFERROR(MAX(Table1[[#This Row],[2019-Apr]:[2025-July]]),0)</f>
        <v>0</v>
      </c>
      <c r="J829" s="4" cm="1">
        <f t="array" ref="J82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829" s="4">
        <v>4.5</v>
      </c>
      <c r="L829" s="4">
        <f>IF(Table1[[#This Row],[Standard as per ISO]]&gt;=Table1[[#This Row],[Avg of best 6]],Table1[[#This Row],[Standard as per ISO]],Table1[[#This Row],[Avg of best 6]])</f>
        <v>4.5</v>
      </c>
      <c r="M829" s="4" cm="1">
        <f t="array" ref="M829">IFERROR(LOOKUP(2,1/(Table1[[#This Row],[2019-May]:[2025-July]]&lt;&gt;0),Table1[[#This Row],[2019-May]:[2025-July]]),0)</f>
        <v>0</v>
      </c>
      <c r="N829" s="4">
        <f>COUNTIF(Table1[[#This Row],[2019-Apr]:[2025-July]],"&gt;="&amp;Table1[[#This Row],[Target]])</f>
        <v>0</v>
      </c>
      <c r="O829" s="4">
        <f>IF(Table1[[#This Row],[Outliers 2Y]]=0,1,0)</f>
        <v>1</v>
      </c>
      <c r="P829" s="4">
        <f>IF(Table1[[#This Row],[Last value]]&gt;1.5*Table1[[#This Row],[Target]],1,0)</f>
        <v>0</v>
      </c>
      <c r="Q829" s="4">
        <f>IF(AND(1.5*Table1[[#This Row],[Target]]&gt;=Table1[[#This Row],[Last value]],Table1[[#This Row],[Last value]]&gt;Table1[[#This Row],[Target]]),1,0)</f>
        <v>0</v>
      </c>
      <c r="R829" s="4">
        <f>IF(Table1[[#This Row],[Target]]&gt;=Table1[[#This Row],[Last value]],1,0)</f>
        <v>1</v>
      </c>
      <c r="S829" s="4" t="str">
        <f t="shared" si="21"/>
        <v>Green</v>
      </c>
      <c r="T829" s="55">
        <v>0</v>
      </c>
      <c r="U829" s="55">
        <v>0</v>
      </c>
      <c r="V829" s="55">
        <v>0</v>
      </c>
      <c r="W829" s="55">
        <v>0</v>
      </c>
      <c r="X829" s="55">
        <v>0</v>
      </c>
      <c r="Y829" s="55">
        <v>0</v>
      </c>
      <c r="Z829" s="55">
        <v>0</v>
      </c>
      <c r="AA829" s="55">
        <v>0</v>
      </c>
      <c r="AB829" s="55">
        <v>0</v>
      </c>
      <c r="AC829" s="55">
        <v>0</v>
      </c>
      <c r="AD829" s="55">
        <v>0</v>
      </c>
      <c r="AE829" s="55">
        <v>0</v>
      </c>
      <c r="AF829" s="55">
        <v>0</v>
      </c>
      <c r="AG829" s="55">
        <v>0</v>
      </c>
      <c r="AH829" s="55">
        <v>0</v>
      </c>
      <c r="AI829" s="55">
        <v>0</v>
      </c>
      <c r="AJ829" s="55">
        <v>0</v>
      </c>
      <c r="AK829" s="55">
        <v>0</v>
      </c>
      <c r="AL829" s="55">
        <v>0</v>
      </c>
      <c r="AM829" s="55">
        <v>0</v>
      </c>
      <c r="AN829" s="55">
        <v>0</v>
      </c>
      <c r="AO829" s="55">
        <v>0</v>
      </c>
      <c r="AP829" s="55">
        <v>0</v>
      </c>
      <c r="AQ829" s="55">
        <v>0</v>
      </c>
      <c r="AR829" s="55">
        <v>0</v>
      </c>
      <c r="AS829" s="55">
        <v>0</v>
      </c>
      <c r="AT829" s="55">
        <v>0</v>
      </c>
      <c r="AU829" s="55">
        <v>0</v>
      </c>
      <c r="AV829" s="55">
        <v>0</v>
      </c>
      <c r="AW829" s="55">
        <v>0</v>
      </c>
      <c r="AX829" s="55">
        <v>0</v>
      </c>
      <c r="AY829" s="55">
        <v>0</v>
      </c>
      <c r="AZ829" s="55">
        <v>0</v>
      </c>
      <c r="BA829" s="55">
        <v>0</v>
      </c>
      <c r="BB829" s="55">
        <v>0</v>
      </c>
      <c r="BC829" s="55">
        <v>0</v>
      </c>
      <c r="BD829" s="55">
        <v>0</v>
      </c>
      <c r="BE829" s="55">
        <v>0</v>
      </c>
      <c r="BF829" s="55">
        <v>0</v>
      </c>
      <c r="BG829" s="55">
        <v>0</v>
      </c>
      <c r="BH829" s="55">
        <v>0</v>
      </c>
      <c r="BI829" s="55">
        <v>0</v>
      </c>
      <c r="BJ829" s="55">
        <v>0</v>
      </c>
      <c r="BK829" s="55">
        <v>0</v>
      </c>
      <c r="BL829" s="55">
        <v>0</v>
      </c>
      <c r="BM829" s="55">
        <v>0</v>
      </c>
      <c r="BN829" s="55">
        <v>0</v>
      </c>
      <c r="BO829" s="55">
        <v>0</v>
      </c>
      <c r="BP829" s="55">
        <v>0</v>
      </c>
      <c r="BQ829" s="55">
        <v>0</v>
      </c>
      <c r="BR829" s="55">
        <v>0</v>
      </c>
      <c r="BS829" s="55">
        <v>0</v>
      </c>
      <c r="BT829" s="55">
        <v>0</v>
      </c>
      <c r="BU829" s="55">
        <v>0</v>
      </c>
      <c r="BV829" s="55">
        <v>0</v>
      </c>
      <c r="BW829" s="55">
        <v>0</v>
      </c>
      <c r="BX829" s="55">
        <v>0</v>
      </c>
      <c r="BY829" s="55">
        <v>0</v>
      </c>
      <c r="BZ829" s="55">
        <v>0</v>
      </c>
      <c r="CA829" s="55">
        <v>0</v>
      </c>
      <c r="CB829" s="55">
        <v>0</v>
      </c>
      <c r="CC829" s="55">
        <v>0</v>
      </c>
      <c r="CD829" s="55">
        <v>0</v>
      </c>
      <c r="CE829" s="55">
        <v>0</v>
      </c>
      <c r="CF829" s="55">
        <v>0</v>
      </c>
      <c r="CG829" s="55">
        <v>0</v>
      </c>
      <c r="CH829" s="55">
        <v>0</v>
      </c>
      <c r="CI829" s="55">
        <v>0</v>
      </c>
      <c r="CJ829" s="55">
        <v>0</v>
      </c>
      <c r="CK829" s="55">
        <v>0</v>
      </c>
      <c r="CL829" s="55">
        <v>0</v>
      </c>
      <c r="CM829" s="55">
        <v>0</v>
      </c>
      <c r="CN829" s="55">
        <v>0</v>
      </c>
      <c r="CO829" s="55">
        <v>0</v>
      </c>
      <c r="CP829" s="55">
        <v>0</v>
      </c>
      <c r="CQ829" s="4">
        <v>0</v>
      </c>
    </row>
    <row r="830" spans="1:95" s="55" customFormat="1" x14ac:dyDescent="0.35">
      <c r="A830" s="55">
        <v>829</v>
      </c>
      <c r="B830" s="55" t="s">
        <v>108</v>
      </c>
      <c r="C830" s="27" t="s">
        <v>570</v>
      </c>
      <c r="D830" s="50" t="s">
        <v>102</v>
      </c>
      <c r="E830" s="33" t="s">
        <v>91</v>
      </c>
      <c r="F830" s="4">
        <f>IFERROR(AVERAGEIF(Table1[[#This Row],[2019-Apr]:[2025-July]],"&lt;&gt;0"),0)</f>
        <v>4.2887142857142875</v>
      </c>
      <c r="G830" s="4">
        <f ca="1">IFERROR(AVERAGEIF(OFFSET(Table1[[#This Row],[Status]],0,COUNT(Table1[[#This Row],[2019-May]:[2025-July]]),1,-12),"&lt;&gt;0"),0)</f>
        <v>3.4599999999999995</v>
      </c>
      <c r="H830" s="55">
        <f>IFERROR(SMALL(Table1[[#This Row],[2019-Apr]:[2025-July]],COUNTIF(Table1[[#This Row],[2019-Apr]:[2025-July]],0)+1),0)</f>
        <v>1.2130000000000001</v>
      </c>
      <c r="I830" s="55">
        <f>IFERROR(MAX(Table1[[#This Row],[2019-Apr]:[2025-July]]),0)</f>
        <v>10</v>
      </c>
      <c r="J830" s="4" cm="1">
        <f t="array" ref="J83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2.3885000000000001</v>
      </c>
      <c r="K830" s="4">
        <v>4.5</v>
      </c>
      <c r="L830" s="4">
        <f>IF(Table1[[#This Row],[Standard as per ISO]]&gt;=Table1[[#This Row],[Avg of best 6]],Table1[[#This Row],[Standard as per ISO]],Table1[[#This Row],[Avg of best 6]])</f>
        <v>4.5</v>
      </c>
      <c r="M830" s="4" cm="1">
        <f t="array" ref="M830">IFERROR(LOOKUP(2,1/(Table1[[#This Row],[2019-May]:[2025-July]]&lt;&gt;0),Table1[[#This Row],[2019-May]:[2025-July]]),0)</f>
        <v>3.3</v>
      </c>
      <c r="N830" s="4">
        <f>COUNTIF(Table1[[#This Row],[2019-Apr]:[2025-July]],"&gt;="&amp;Table1[[#This Row],[Target]])</f>
        <v>15</v>
      </c>
      <c r="O830" s="4">
        <f>IF(Table1[[#This Row],[Outliers 2Y]]=0,1,0)</f>
        <v>0</v>
      </c>
      <c r="P830" s="4">
        <f>IF(Table1[[#This Row],[Last value]]&gt;1.5*Table1[[#This Row],[Target]],1,0)</f>
        <v>0</v>
      </c>
      <c r="Q830" s="4">
        <f>IF(AND(1.5*Table1[[#This Row],[Target]]&gt;=Table1[[#This Row],[Last value]],Table1[[#This Row],[Last value]]&gt;Table1[[#This Row],[Target]]),1,0)</f>
        <v>0</v>
      </c>
      <c r="R830" s="4">
        <f>IF(Table1[[#This Row],[Target]]&gt;=Table1[[#This Row],[Last value]],1,0)</f>
        <v>1</v>
      </c>
      <c r="S830" s="4" t="str">
        <f t="shared" ref="S830:S889" si="22">IF(P830=1, "Red", IF(Q830=1, "Yellow", "Green"))</f>
        <v>Green</v>
      </c>
      <c r="T830" s="55">
        <v>3.01</v>
      </c>
      <c r="U830" s="55">
        <v>3.76</v>
      </c>
      <c r="V830" s="55">
        <v>3.3</v>
      </c>
      <c r="W830" s="55">
        <v>4.0999999999999996</v>
      </c>
      <c r="X830" s="55">
        <v>3.46</v>
      </c>
      <c r="Y830" s="55">
        <v>8.7100000000000009</v>
      </c>
      <c r="Z830" s="55">
        <v>10</v>
      </c>
      <c r="AA830" s="55">
        <v>0</v>
      </c>
      <c r="AB830" s="55">
        <v>0</v>
      </c>
      <c r="AC830" s="55">
        <v>2.4</v>
      </c>
      <c r="AD830" s="55">
        <v>0</v>
      </c>
      <c r="AE830" s="55">
        <v>2.98</v>
      </c>
      <c r="AF830" s="55">
        <v>1.97</v>
      </c>
      <c r="AG830" s="55">
        <v>0</v>
      </c>
      <c r="AH830" s="55">
        <v>0</v>
      </c>
      <c r="AI830" s="55">
        <v>0</v>
      </c>
      <c r="AJ830" s="55">
        <v>4.68</v>
      </c>
      <c r="AK830" s="55">
        <v>4.0599999999999996</v>
      </c>
      <c r="AL830" s="55">
        <v>5.5</v>
      </c>
      <c r="AM830" s="55">
        <v>4.0999999999999996</v>
      </c>
      <c r="AN830" s="55">
        <v>4.78</v>
      </c>
      <c r="AO830" s="55">
        <v>0</v>
      </c>
      <c r="AP830" s="55">
        <v>4.43</v>
      </c>
      <c r="AQ830" s="55">
        <v>0</v>
      </c>
      <c r="AR830" s="8">
        <v>3.39</v>
      </c>
      <c r="AS830" s="8">
        <v>0</v>
      </c>
      <c r="AT830" s="8">
        <v>3.34</v>
      </c>
      <c r="AU830" s="50">
        <v>8.8699999999999992</v>
      </c>
      <c r="AV830" s="50">
        <v>0</v>
      </c>
      <c r="AW830" s="50">
        <v>3.83</v>
      </c>
      <c r="AX830" s="50">
        <v>3.62</v>
      </c>
      <c r="AY830" s="50">
        <v>3.85</v>
      </c>
      <c r="AZ830" s="50">
        <v>4.45</v>
      </c>
      <c r="BA830" s="50">
        <v>2.7</v>
      </c>
      <c r="BB830" s="50">
        <v>3.8</v>
      </c>
      <c r="BC830" s="55">
        <v>3.8</v>
      </c>
      <c r="BD830" s="55">
        <v>0</v>
      </c>
      <c r="BE830" s="11">
        <v>3.0680000000000001</v>
      </c>
      <c r="BF830" s="4">
        <v>3.0680000000000001</v>
      </c>
      <c r="BG830" s="4">
        <v>4.0010000000000003</v>
      </c>
      <c r="BH830" s="4">
        <v>4.4020000000000001</v>
      </c>
      <c r="BI830" s="4">
        <v>4.6920000000000002</v>
      </c>
      <c r="BJ830" s="13">
        <v>5.4589999999999996</v>
      </c>
      <c r="BK830" s="13">
        <v>0</v>
      </c>
      <c r="BL830" s="4">
        <v>6.2679999999999998</v>
      </c>
      <c r="BM830" s="16">
        <v>5.1710000000000003</v>
      </c>
      <c r="BN830" s="4">
        <v>5.8769999999999998</v>
      </c>
      <c r="BO830" s="4">
        <v>1.2130000000000001</v>
      </c>
      <c r="BP830" s="4">
        <v>0</v>
      </c>
      <c r="BQ830" s="4">
        <v>4.0730000000000004</v>
      </c>
      <c r="BR830" s="4">
        <v>5.032</v>
      </c>
      <c r="BS830" s="4">
        <v>0</v>
      </c>
      <c r="BT830" s="4">
        <v>4.3</v>
      </c>
      <c r="BU830" s="4">
        <v>4.6929999999999996</v>
      </c>
      <c r="BV830" s="4">
        <v>4.923</v>
      </c>
      <c r="BW830" s="4">
        <v>0</v>
      </c>
      <c r="BX830" s="4">
        <v>5.3620000000000001</v>
      </c>
      <c r="BY830" s="4">
        <v>3.9249999999999998</v>
      </c>
      <c r="BZ830" s="18">
        <v>3.37</v>
      </c>
      <c r="CA830" s="18">
        <v>3.74</v>
      </c>
      <c r="CB830" s="55">
        <v>0</v>
      </c>
      <c r="CC830" s="18">
        <v>4.24</v>
      </c>
      <c r="CD830" s="55">
        <v>0</v>
      </c>
      <c r="CE830" s="19">
        <v>0</v>
      </c>
      <c r="CF830" s="19">
        <v>3.2</v>
      </c>
      <c r="CG830" s="4">
        <v>0</v>
      </c>
      <c r="CH830" s="4">
        <v>3.88</v>
      </c>
      <c r="CI830" s="4">
        <v>0</v>
      </c>
      <c r="CJ830" s="34">
        <v>3.3</v>
      </c>
      <c r="CK830" s="34">
        <v>0</v>
      </c>
      <c r="CL830" s="34">
        <v>0</v>
      </c>
      <c r="CM830" s="4">
        <v>0</v>
      </c>
      <c r="CN830" s="53">
        <v>0</v>
      </c>
      <c r="CO830" s="54">
        <v>0</v>
      </c>
      <c r="CP830" s="54">
        <v>0</v>
      </c>
      <c r="CQ830" s="4">
        <v>0</v>
      </c>
    </row>
    <row r="831" spans="1:95" s="55" customFormat="1" x14ac:dyDescent="0.35">
      <c r="A831" s="55">
        <v>830</v>
      </c>
      <c r="B831" s="55" t="s">
        <v>108</v>
      </c>
      <c r="C831" s="27" t="s">
        <v>571</v>
      </c>
      <c r="D831" s="50" t="s">
        <v>102</v>
      </c>
      <c r="E831" s="33" t="s">
        <v>91</v>
      </c>
      <c r="F831" s="4">
        <f>IFERROR(AVERAGEIF(Table1[[#This Row],[2019-Apr]:[2025-July]],"&lt;&gt;0"),0)</f>
        <v>2.8662380952380948</v>
      </c>
      <c r="G831" s="4">
        <f ca="1">IFERROR(AVERAGEIF(OFFSET(Table1[[#This Row],[Status]],0,COUNT(Table1[[#This Row],[2019-May]:[2025-July]]),1,-12),"&lt;&gt;0"),0)</f>
        <v>4.5233333333333334</v>
      </c>
      <c r="H831" s="55">
        <f>IFERROR(SMALL(Table1[[#This Row],[2019-Apr]:[2025-July]],COUNTIF(Table1[[#This Row],[2019-Apr]:[2025-July]],0)+1),0)</f>
        <v>0.99</v>
      </c>
      <c r="I831" s="55">
        <f>IFERROR(MAX(Table1[[#This Row],[2019-Apr]:[2025-July]]),0)</f>
        <v>5.92</v>
      </c>
      <c r="J831" s="4" cm="1">
        <f t="array" ref="J83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1.7200000000000004</v>
      </c>
      <c r="K831" s="4">
        <v>4.5</v>
      </c>
      <c r="L831" s="4">
        <f>IF(Table1[[#This Row],[Standard as per ISO]]&gt;=Table1[[#This Row],[Avg of best 6]],Table1[[#This Row],[Standard as per ISO]],Table1[[#This Row],[Avg of best 6]])</f>
        <v>4.5</v>
      </c>
      <c r="M831" s="4" cm="1">
        <f t="array" ref="M831">IFERROR(LOOKUP(2,1/(Table1[[#This Row],[2019-May]:[2025-July]]&lt;&gt;0),Table1[[#This Row],[2019-May]:[2025-July]]),0)</f>
        <v>4.55</v>
      </c>
      <c r="N831" s="4">
        <f>COUNTIF(Table1[[#This Row],[2019-Apr]:[2025-July]],"&gt;="&amp;Table1[[#This Row],[Target]])</f>
        <v>3</v>
      </c>
      <c r="O831" s="4">
        <f>IF(Table1[[#This Row],[Outliers 2Y]]=0,1,0)</f>
        <v>0</v>
      </c>
      <c r="P831" s="4">
        <f>IF(Table1[[#This Row],[Last value]]&gt;1.5*Table1[[#This Row],[Target]],1,0)</f>
        <v>0</v>
      </c>
      <c r="Q831" s="4">
        <f>IF(AND(1.5*Table1[[#This Row],[Target]]&gt;=Table1[[#This Row],[Last value]],Table1[[#This Row],[Last value]]&gt;Table1[[#This Row],[Target]]),1,0)</f>
        <v>1</v>
      </c>
      <c r="R831" s="4">
        <f>IF(Table1[[#This Row],[Target]]&gt;=Table1[[#This Row],[Last value]],1,0)</f>
        <v>0</v>
      </c>
      <c r="S831" s="4" t="str">
        <f t="shared" si="22"/>
        <v>Yellow</v>
      </c>
      <c r="T831" s="55">
        <v>1.59</v>
      </c>
      <c r="U831" s="55">
        <v>2.4500000000000002</v>
      </c>
      <c r="V831" s="55">
        <v>0.99</v>
      </c>
      <c r="W831" s="55">
        <v>3.05</v>
      </c>
      <c r="X831" s="55">
        <v>0</v>
      </c>
      <c r="Y831" s="55">
        <v>0</v>
      </c>
      <c r="Z831" s="55">
        <v>0</v>
      </c>
      <c r="AA831" s="55">
        <v>2.2200000000000002</v>
      </c>
      <c r="AB831" s="55">
        <v>1.2</v>
      </c>
      <c r="AC831" s="55">
        <v>0</v>
      </c>
      <c r="AD831" s="55">
        <v>1.9</v>
      </c>
      <c r="AE831" s="55">
        <v>0</v>
      </c>
      <c r="AF831" s="55">
        <v>0</v>
      </c>
      <c r="AG831" s="55">
        <v>0</v>
      </c>
      <c r="AH831" s="55">
        <v>0</v>
      </c>
      <c r="AI831" s="55">
        <v>0</v>
      </c>
      <c r="AJ831" s="55">
        <v>2.12</v>
      </c>
      <c r="AK831" s="55">
        <v>0</v>
      </c>
      <c r="AL831" s="55">
        <v>0</v>
      </c>
      <c r="AM831" s="55">
        <v>0</v>
      </c>
      <c r="AN831" s="55">
        <v>0</v>
      </c>
      <c r="AO831" s="55">
        <v>2.5499999999999998</v>
      </c>
      <c r="AP831" s="55">
        <v>0</v>
      </c>
      <c r="AQ831" s="55">
        <v>1.89</v>
      </c>
      <c r="AR831" s="8">
        <v>0</v>
      </c>
      <c r="AS831" s="8">
        <v>2.4</v>
      </c>
      <c r="AT831" s="8">
        <v>0</v>
      </c>
      <c r="AU831" s="50">
        <v>0</v>
      </c>
      <c r="AV831" s="50">
        <v>2.25</v>
      </c>
      <c r="AW831" s="50">
        <v>0</v>
      </c>
      <c r="AX831" s="50">
        <v>0</v>
      </c>
      <c r="AY831" s="50">
        <v>0</v>
      </c>
      <c r="AZ831" s="50">
        <v>0</v>
      </c>
      <c r="BA831" s="50">
        <v>0</v>
      </c>
      <c r="BB831" s="50">
        <v>3.5</v>
      </c>
      <c r="BC831" s="50">
        <v>0</v>
      </c>
      <c r="BD831" s="55">
        <v>0</v>
      </c>
      <c r="BE831" s="11">
        <v>0</v>
      </c>
      <c r="BF831" s="4">
        <v>0</v>
      </c>
      <c r="BG831" s="4">
        <v>0</v>
      </c>
      <c r="BH831" s="4">
        <v>0</v>
      </c>
      <c r="BI831" s="4">
        <v>0</v>
      </c>
      <c r="BJ831" s="14">
        <v>0</v>
      </c>
      <c r="BK831" s="14">
        <v>3.5579999999999998</v>
      </c>
      <c r="BL831" s="4">
        <v>0</v>
      </c>
      <c r="BM831" s="17">
        <v>0</v>
      </c>
      <c r="BN831" s="4">
        <v>0</v>
      </c>
      <c r="BO831" s="4">
        <v>0</v>
      </c>
      <c r="BP831" s="4">
        <v>4.4809999999999999</v>
      </c>
      <c r="BQ831" s="4">
        <v>0</v>
      </c>
      <c r="BR831" s="4">
        <v>0</v>
      </c>
      <c r="BS831" s="4">
        <v>4.8179999999999996</v>
      </c>
      <c r="BT831" s="4">
        <v>0</v>
      </c>
      <c r="BU831" s="4">
        <v>0</v>
      </c>
      <c r="BV831" s="4">
        <v>0</v>
      </c>
      <c r="BW831" s="4">
        <v>2.8239999999999998</v>
      </c>
      <c r="BX831" s="4">
        <v>0</v>
      </c>
      <c r="BY831" s="4">
        <v>0</v>
      </c>
      <c r="BZ831" s="55">
        <v>0</v>
      </c>
      <c r="CA831" s="55">
        <v>0</v>
      </c>
      <c r="CB831" s="55">
        <v>2.83</v>
      </c>
      <c r="CC831" s="55">
        <v>0</v>
      </c>
      <c r="CD831" s="55">
        <v>0</v>
      </c>
      <c r="CE831" s="19">
        <v>3.1</v>
      </c>
      <c r="CF831" s="19">
        <v>0</v>
      </c>
      <c r="CG831" s="4">
        <v>0</v>
      </c>
      <c r="CH831" s="4">
        <v>5.92</v>
      </c>
      <c r="CI831" s="4">
        <v>4.55</v>
      </c>
      <c r="CJ831" s="34">
        <v>0</v>
      </c>
      <c r="CK831" s="34">
        <v>0</v>
      </c>
      <c r="CL831" s="34">
        <v>0</v>
      </c>
      <c r="CM831" s="4">
        <v>0</v>
      </c>
      <c r="CN831" s="53">
        <v>0</v>
      </c>
      <c r="CO831" s="54">
        <v>0</v>
      </c>
      <c r="CP831" s="54">
        <v>0</v>
      </c>
      <c r="CQ831" s="4">
        <v>0</v>
      </c>
    </row>
    <row r="832" spans="1:95" s="55" customFormat="1" x14ac:dyDescent="0.35">
      <c r="A832" s="55">
        <v>831</v>
      </c>
      <c r="B832" s="55" t="s">
        <v>108</v>
      </c>
      <c r="C832" s="27" t="s">
        <v>572</v>
      </c>
      <c r="D832" s="50" t="s">
        <v>102</v>
      </c>
      <c r="E832" s="33" t="s">
        <v>91</v>
      </c>
      <c r="F832" s="4">
        <f>IFERROR(AVERAGEIF(Table1[[#This Row],[2019-Apr]:[2025-July]],"&lt;&gt;0"),0)</f>
        <v>11.841928571428568</v>
      </c>
      <c r="G832" s="4">
        <f ca="1">IFERROR(AVERAGEIF(OFFSET(Table1[[#This Row],[Status]],0,COUNT(Table1[[#This Row],[2019-May]:[2025-July]]),1,-12),"&lt;&gt;0"),0)</f>
        <v>14.354000000000003</v>
      </c>
      <c r="H832" s="55">
        <f>IFERROR(SMALL(Table1[[#This Row],[2019-Apr]:[2025-July]],COUNTIF(Table1[[#This Row],[2019-Apr]:[2025-July]],0)+1),0)</f>
        <v>4</v>
      </c>
      <c r="I832" s="55">
        <f>IFERROR(MAX(Table1[[#This Row],[2019-Apr]:[2025-July]]),0)</f>
        <v>21.1</v>
      </c>
      <c r="J832" s="4" cm="1">
        <f t="array" ref="J83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6.7126666666666672</v>
      </c>
      <c r="K832" s="4">
        <v>4.5</v>
      </c>
      <c r="L832" s="4">
        <f>IF(Table1[[#This Row],[Standard as per ISO]]&gt;=Table1[[#This Row],[Avg of best 6]],Table1[[#This Row],[Standard as per ISO]],Table1[[#This Row],[Avg of best 6]])</f>
        <v>6.7126666666666672</v>
      </c>
      <c r="M832" s="4" cm="1">
        <f t="array" ref="M832">IFERROR(LOOKUP(2,1/(Table1[[#This Row],[2019-May]:[2025-July]]&lt;&gt;0),Table1[[#This Row],[2019-May]:[2025-July]]),0)</f>
        <v>21.1</v>
      </c>
      <c r="N832" s="4">
        <f>COUNTIF(Table1[[#This Row],[2019-Apr]:[2025-July]],"&gt;="&amp;Table1[[#This Row],[Target]])</f>
        <v>54</v>
      </c>
      <c r="O832" s="4">
        <f>IF(Table1[[#This Row],[Outliers 2Y]]=0,1,0)</f>
        <v>0</v>
      </c>
      <c r="P832" s="4">
        <f>IF(Table1[[#This Row],[Last value]]&gt;1.5*Table1[[#This Row],[Target]],1,0)</f>
        <v>1</v>
      </c>
      <c r="Q832" s="4">
        <f>IF(AND(1.5*Table1[[#This Row],[Target]]&gt;=Table1[[#This Row],[Last value]],Table1[[#This Row],[Last value]]&gt;Table1[[#This Row],[Target]]),1,0)</f>
        <v>0</v>
      </c>
      <c r="R832" s="4">
        <f>IF(Table1[[#This Row],[Target]]&gt;=Table1[[#This Row],[Last value]],1,0)</f>
        <v>0</v>
      </c>
      <c r="S832" s="4" t="str">
        <f t="shared" si="22"/>
        <v>Red</v>
      </c>
      <c r="T832" s="55">
        <v>13.2</v>
      </c>
      <c r="U832" s="55">
        <v>18.600000000000001</v>
      </c>
      <c r="V832" s="55">
        <v>4</v>
      </c>
      <c r="W832" s="55">
        <v>17.3</v>
      </c>
      <c r="X832" s="55">
        <v>14.4</v>
      </c>
      <c r="Y832" s="55">
        <v>6.69</v>
      </c>
      <c r="Z832" s="55">
        <v>14.5</v>
      </c>
      <c r="AA832" s="55">
        <v>10.6</v>
      </c>
      <c r="AB832" s="55">
        <v>7.5</v>
      </c>
      <c r="AC832" s="55">
        <v>7.3</v>
      </c>
      <c r="AD832" s="55">
        <v>11.6</v>
      </c>
      <c r="AE832" s="55">
        <v>8.84</v>
      </c>
      <c r="AF832" s="55">
        <v>8.9</v>
      </c>
      <c r="AG832" s="55">
        <v>9.9</v>
      </c>
      <c r="AH832" s="55">
        <v>15.9</v>
      </c>
      <c r="AI832" s="55">
        <v>10</v>
      </c>
      <c r="AJ832" s="55">
        <v>14.4</v>
      </c>
      <c r="AK832" s="55">
        <v>18.7</v>
      </c>
      <c r="AL832" s="55">
        <v>15</v>
      </c>
      <c r="AM832" s="55">
        <v>14.7</v>
      </c>
      <c r="AN832" s="55">
        <v>16.2</v>
      </c>
      <c r="AO832" s="55">
        <v>11.5</v>
      </c>
      <c r="AP832" s="55">
        <v>11.9</v>
      </c>
      <c r="AQ832" s="55">
        <v>11.9</v>
      </c>
      <c r="AR832" s="8">
        <v>11.8</v>
      </c>
      <c r="AS832" s="8">
        <v>10.7</v>
      </c>
      <c r="AT832" s="8">
        <v>13.8</v>
      </c>
      <c r="AU832" s="50">
        <v>13.2</v>
      </c>
      <c r="AV832" s="50">
        <v>13.2</v>
      </c>
      <c r="AW832" s="50">
        <v>11.3</v>
      </c>
      <c r="AX832" s="50">
        <v>11.9</v>
      </c>
      <c r="AY832" s="50">
        <v>12.4</v>
      </c>
      <c r="AZ832" s="50">
        <v>11.5</v>
      </c>
      <c r="BA832" s="50">
        <v>6.8</v>
      </c>
      <c r="BB832" s="50">
        <v>10.199999999999999</v>
      </c>
      <c r="BC832" s="55">
        <v>9.4</v>
      </c>
      <c r="BD832" s="55">
        <v>0</v>
      </c>
      <c r="BE832" s="11">
        <v>9.48</v>
      </c>
      <c r="BF832" s="4">
        <v>8.1690000000000005</v>
      </c>
      <c r="BG832" s="4">
        <v>0</v>
      </c>
      <c r="BH832" s="4">
        <v>11.73</v>
      </c>
      <c r="BI832" s="4">
        <v>10.74</v>
      </c>
      <c r="BJ832" s="13">
        <v>7.9859999999999998</v>
      </c>
      <c r="BK832" s="13">
        <v>10.28</v>
      </c>
      <c r="BL832" s="4">
        <v>0</v>
      </c>
      <c r="BM832" s="16">
        <v>9.3330000000000002</v>
      </c>
      <c r="BN832" s="4">
        <v>0</v>
      </c>
      <c r="BO832" s="4">
        <v>10.51</v>
      </c>
      <c r="BP832" s="4">
        <v>13.56</v>
      </c>
      <c r="BQ832" s="4">
        <v>10.130000000000001</v>
      </c>
      <c r="BR832" s="4">
        <v>0</v>
      </c>
      <c r="BS832" s="4">
        <v>13.74</v>
      </c>
      <c r="BT832" s="4">
        <v>11.81</v>
      </c>
      <c r="BU832" s="4">
        <v>0</v>
      </c>
      <c r="BV832" s="4">
        <v>0</v>
      </c>
      <c r="BW832" s="4">
        <v>0</v>
      </c>
      <c r="BX832" s="4">
        <v>0</v>
      </c>
      <c r="BY832" s="4">
        <v>10.44</v>
      </c>
      <c r="BZ832" s="55">
        <v>9.6300000000000008</v>
      </c>
      <c r="CA832" s="55">
        <v>0</v>
      </c>
      <c r="CB832" s="55">
        <v>14.11</v>
      </c>
      <c r="CC832" s="55">
        <v>0</v>
      </c>
      <c r="CD832" s="55">
        <v>0</v>
      </c>
      <c r="CE832" s="19">
        <v>10.9</v>
      </c>
      <c r="CF832" s="19">
        <v>12.2</v>
      </c>
      <c r="CG832" s="4">
        <v>13.17</v>
      </c>
      <c r="CH832" s="4">
        <v>14.4</v>
      </c>
      <c r="CI832" s="4">
        <v>0</v>
      </c>
      <c r="CJ832" s="34">
        <v>21.1</v>
      </c>
      <c r="CK832" s="34">
        <v>0</v>
      </c>
      <c r="CL832" s="34">
        <v>0</v>
      </c>
      <c r="CM832" s="4">
        <v>0</v>
      </c>
      <c r="CN832" s="53">
        <v>0</v>
      </c>
      <c r="CO832" s="54">
        <v>0</v>
      </c>
      <c r="CP832" s="54">
        <v>0</v>
      </c>
      <c r="CQ832" s="4">
        <v>0</v>
      </c>
    </row>
    <row r="833" spans="1:95" s="55" customFormat="1" x14ac:dyDescent="0.35">
      <c r="A833" s="55">
        <v>832</v>
      </c>
      <c r="B833" s="55" t="s">
        <v>108</v>
      </c>
      <c r="C833" s="27" t="s">
        <v>573</v>
      </c>
      <c r="D833" s="50" t="s">
        <v>102</v>
      </c>
      <c r="E833" s="33" t="s">
        <v>91</v>
      </c>
      <c r="F833" s="4">
        <f>IFERROR(AVERAGEIF(Table1[[#This Row],[2019-Apr]:[2025-July]],"&lt;&gt;0"),0)</f>
        <v>13.139578947368424</v>
      </c>
      <c r="G833" s="4">
        <f ca="1">IFERROR(AVERAGEIF(OFFSET(Table1[[#This Row],[Status]],0,COUNT(Table1[[#This Row],[2019-May]:[2025-July]]),1,-12),"&lt;&gt;0"),0)</f>
        <v>11.091666666666667</v>
      </c>
      <c r="H833" s="55">
        <f>IFERROR(SMALL(Table1[[#This Row],[2019-Apr]:[2025-July]],COUNTIF(Table1[[#This Row],[2019-Apr]:[2025-July]],0)+1),0)</f>
        <v>4.2</v>
      </c>
      <c r="I833" s="55">
        <f>IFERROR(MAX(Table1[[#This Row],[2019-Apr]:[2025-July]]),0)</f>
        <v>21.71</v>
      </c>
      <c r="J833" s="4" cm="1">
        <f t="array" ref="J83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6.8809999999999993</v>
      </c>
      <c r="K833" s="4">
        <v>4.5</v>
      </c>
      <c r="L833" s="4">
        <f>IF(Table1[[#This Row],[Standard as per ISO]]&gt;=Table1[[#This Row],[Avg of best 6]],Table1[[#This Row],[Standard as per ISO]],Table1[[#This Row],[Avg of best 6]])</f>
        <v>6.8809999999999993</v>
      </c>
      <c r="M833" s="4" cm="1">
        <f t="array" ref="M833">IFERROR(LOOKUP(2,1/(Table1[[#This Row],[2019-May]:[2025-July]]&lt;&gt;0),Table1[[#This Row],[2019-May]:[2025-July]]),0)</f>
        <v>10.6</v>
      </c>
      <c r="N833" s="4">
        <f>COUNTIF(Table1[[#This Row],[2019-Apr]:[2025-July]],"&gt;="&amp;Table1[[#This Row],[Target]])</f>
        <v>54</v>
      </c>
      <c r="O833" s="4">
        <f>IF(Table1[[#This Row],[Outliers 2Y]]=0,1,0)</f>
        <v>0</v>
      </c>
      <c r="P833" s="4">
        <f>IF(Table1[[#This Row],[Last value]]&gt;1.5*Table1[[#This Row],[Target]],1,0)</f>
        <v>1</v>
      </c>
      <c r="Q833" s="4">
        <f>IF(AND(1.5*Table1[[#This Row],[Target]]&gt;=Table1[[#This Row],[Last value]],Table1[[#This Row],[Last value]]&gt;Table1[[#This Row],[Target]]),1,0)</f>
        <v>0</v>
      </c>
      <c r="R833" s="4">
        <f>IF(Table1[[#This Row],[Target]]&gt;=Table1[[#This Row],[Last value]],1,0)</f>
        <v>0</v>
      </c>
      <c r="S833" s="4" t="str">
        <f t="shared" si="22"/>
        <v>Red</v>
      </c>
      <c r="T833" s="55">
        <v>15</v>
      </c>
      <c r="U833" s="55">
        <v>14.3</v>
      </c>
      <c r="V833" s="55">
        <v>4.8</v>
      </c>
      <c r="W833" s="55">
        <v>6.63</v>
      </c>
      <c r="X833" s="55">
        <v>0</v>
      </c>
      <c r="Y833" s="55">
        <v>9.26</v>
      </c>
      <c r="Z833" s="55">
        <v>13.9</v>
      </c>
      <c r="AA833" s="55">
        <v>11.1</v>
      </c>
      <c r="AB833" s="55">
        <v>0</v>
      </c>
      <c r="AC833" s="55">
        <v>11.2</v>
      </c>
      <c r="AD833" s="55">
        <v>12.5</v>
      </c>
      <c r="AE833" s="55">
        <v>0</v>
      </c>
      <c r="AF833" s="55">
        <v>0</v>
      </c>
      <c r="AG833" s="55">
        <v>4.2</v>
      </c>
      <c r="AH833" s="55">
        <v>0</v>
      </c>
      <c r="AI833" s="55">
        <v>15</v>
      </c>
      <c r="AJ833" s="55">
        <v>15.3</v>
      </c>
      <c r="AK833" s="55">
        <v>15.4</v>
      </c>
      <c r="AL833" s="55">
        <v>14.6</v>
      </c>
      <c r="AM833" s="55">
        <v>17</v>
      </c>
      <c r="AN833" s="55">
        <v>13.7</v>
      </c>
      <c r="AO833" s="55">
        <v>11.3</v>
      </c>
      <c r="AP833" s="55">
        <v>14.3</v>
      </c>
      <c r="AQ833" s="55">
        <v>14</v>
      </c>
      <c r="AR833" s="8">
        <v>0</v>
      </c>
      <c r="AS833" s="8">
        <v>0</v>
      </c>
      <c r="AT833" s="8">
        <v>13.1</v>
      </c>
      <c r="AU833" s="50">
        <v>12.1</v>
      </c>
      <c r="AV833" s="50">
        <v>0</v>
      </c>
      <c r="AW833" s="50">
        <v>0</v>
      </c>
      <c r="AX833" s="50">
        <v>17.2</v>
      </c>
      <c r="AY833" s="50">
        <v>20.2</v>
      </c>
      <c r="AZ833" s="50">
        <v>20.7</v>
      </c>
      <c r="BA833" s="50">
        <v>21.2</v>
      </c>
      <c r="BB833" s="50">
        <v>12.1</v>
      </c>
      <c r="BC833" s="55">
        <v>21.7</v>
      </c>
      <c r="BD833" s="55">
        <v>0</v>
      </c>
      <c r="BE833" s="11">
        <v>21.71</v>
      </c>
      <c r="BF833" s="4">
        <v>21.71</v>
      </c>
      <c r="BG833" s="4">
        <v>19.66</v>
      </c>
      <c r="BH833" s="4">
        <v>21.29</v>
      </c>
      <c r="BI833" s="4">
        <v>0</v>
      </c>
      <c r="BJ833" s="14">
        <v>8.7569999999999997</v>
      </c>
      <c r="BK833" s="14">
        <v>14.2</v>
      </c>
      <c r="BL833" s="4">
        <v>11.95</v>
      </c>
      <c r="BM833" s="17">
        <v>12.81</v>
      </c>
      <c r="BN833" s="4">
        <v>11.59</v>
      </c>
      <c r="BO833" s="4">
        <v>8.1839999999999993</v>
      </c>
      <c r="BP833" s="4">
        <v>13.22</v>
      </c>
      <c r="BQ833" s="4">
        <v>11.08</v>
      </c>
      <c r="BR833" s="4">
        <v>10.56</v>
      </c>
      <c r="BS833" s="4">
        <v>8.7149999999999999</v>
      </c>
      <c r="BT833" s="4">
        <v>10.25</v>
      </c>
      <c r="BU833" s="4">
        <v>14.08</v>
      </c>
      <c r="BV833" s="4">
        <v>11.2</v>
      </c>
      <c r="BW833" s="4">
        <v>10.54</v>
      </c>
      <c r="BX833" s="4">
        <v>10.42</v>
      </c>
      <c r="BY833" s="4">
        <v>10.99</v>
      </c>
      <c r="BZ833" s="55">
        <v>0</v>
      </c>
      <c r="CA833" s="55">
        <v>11.2</v>
      </c>
      <c r="CB833" s="55">
        <v>12.17</v>
      </c>
      <c r="CC833" s="55">
        <v>14.57</v>
      </c>
      <c r="CD833" s="55">
        <v>9.76</v>
      </c>
      <c r="CE833" s="19">
        <v>10.1</v>
      </c>
      <c r="CF833" s="19">
        <v>11.2</v>
      </c>
      <c r="CG833" s="4">
        <v>12.72</v>
      </c>
      <c r="CH833" s="4">
        <v>9.3800000000000008</v>
      </c>
      <c r="CI833" s="4">
        <v>12.55</v>
      </c>
      <c r="CJ833" s="34">
        <v>10.6</v>
      </c>
      <c r="CK833" s="34">
        <v>0</v>
      </c>
      <c r="CL833" s="34">
        <v>0</v>
      </c>
      <c r="CM833" s="4">
        <v>0</v>
      </c>
      <c r="CN833" s="53">
        <v>0</v>
      </c>
      <c r="CO833" s="54">
        <v>0</v>
      </c>
      <c r="CP833" s="54">
        <v>0</v>
      </c>
      <c r="CQ833" s="4">
        <v>0</v>
      </c>
    </row>
    <row r="834" spans="1:95" s="55" customFormat="1" x14ac:dyDescent="0.35">
      <c r="A834" s="55">
        <v>833</v>
      </c>
      <c r="B834" s="55" t="s">
        <v>108</v>
      </c>
      <c r="C834" s="27" t="s">
        <v>574</v>
      </c>
      <c r="D834" s="50" t="s">
        <v>102</v>
      </c>
      <c r="E834" s="33" t="s">
        <v>91</v>
      </c>
      <c r="F834" s="4">
        <f>IFERROR(AVERAGEIF(Table1[[#This Row],[2019-Apr]:[2025-July]],"&lt;&gt;0"),0)</f>
        <v>11.675066666666664</v>
      </c>
      <c r="G834" s="4">
        <f ca="1">IFERROR(AVERAGEIF(OFFSET(Table1[[#This Row],[Status]],0,COUNT(Table1[[#This Row],[2019-May]:[2025-July]]),1,-12),"&lt;&gt;0"),0)</f>
        <v>26.009999999999998</v>
      </c>
      <c r="H834" s="55">
        <f>IFERROR(SMALL(Table1[[#This Row],[2019-Apr]:[2025-July]],COUNTIF(Table1[[#This Row],[2019-Apr]:[2025-July]],0)+1),0)</f>
        <v>6.0640000000000001</v>
      </c>
      <c r="I834" s="55">
        <f>IFERROR(MAX(Table1[[#This Row],[2019-Apr]:[2025-July]]),0)</f>
        <v>26.05</v>
      </c>
      <c r="J834" s="4" cm="1">
        <f t="array" ref="J83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7.1838333333333333</v>
      </c>
      <c r="K834" s="4">
        <v>4.5</v>
      </c>
      <c r="L834" s="4">
        <f>IF(Table1[[#This Row],[Standard as per ISO]]&gt;=Table1[[#This Row],[Avg of best 6]],Table1[[#This Row],[Standard as per ISO]],Table1[[#This Row],[Avg of best 6]])</f>
        <v>7.1838333333333333</v>
      </c>
      <c r="M834" s="4" cm="1">
        <f t="array" ref="M834">IFERROR(LOOKUP(2,1/(Table1[[#This Row],[2019-May]:[2025-July]]&lt;&gt;0),Table1[[#This Row],[2019-May]:[2025-July]]),0)</f>
        <v>25.97</v>
      </c>
      <c r="N834" s="4">
        <f>COUNTIF(Table1[[#This Row],[2019-Apr]:[2025-July]],"&gt;="&amp;Table1[[#This Row],[Target]])</f>
        <v>28</v>
      </c>
      <c r="O834" s="4">
        <f>IF(Table1[[#This Row],[Outliers 2Y]]=0,1,0)</f>
        <v>0</v>
      </c>
      <c r="P834" s="4">
        <f>IF(Table1[[#This Row],[Last value]]&gt;1.5*Table1[[#This Row],[Target]],1,0)</f>
        <v>1</v>
      </c>
      <c r="Q834" s="4">
        <f>IF(AND(1.5*Table1[[#This Row],[Target]]&gt;=Table1[[#This Row],[Last value]],Table1[[#This Row],[Last value]]&gt;Table1[[#This Row],[Target]]),1,0)</f>
        <v>0</v>
      </c>
      <c r="R834" s="4">
        <f>IF(Table1[[#This Row],[Target]]&gt;=Table1[[#This Row],[Last value]],1,0)</f>
        <v>0</v>
      </c>
      <c r="S834" s="4" t="str">
        <f t="shared" si="22"/>
        <v>Red</v>
      </c>
      <c r="T834" s="55">
        <v>0</v>
      </c>
      <c r="U834" s="55">
        <v>0</v>
      </c>
      <c r="V834" s="55">
        <v>0</v>
      </c>
      <c r="W834" s="55">
        <v>0</v>
      </c>
      <c r="X834" s="55">
        <v>0</v>
      </c>
      <c r="Y834" s="55">
        <v>0</v>
      </c>
      <c r="Z834" s="55">
        <v>0</v>
      </c>
      <c r="AA834" s="55">
        <v>0</v>
      </c>
      <c r="AB834" s="55">
        <v>0</v>
      </c>
      <c r="AC834" s="55">
        <v>0</v>
      </c>
      <c r="AD834" s="55">
        <v>0</v>
      </c>
      <c r="AE834" s="55">
        <v>0</v>
      </c>
      <c r="AF834" s="55">
        <v>0</v>
      </c>
      <c r="AG834" s="55">
        <v>12.3</v>
      </c>
      <c r="AH834" s="55">
        <v>0</v>
      </c>
      <c r="AI834" s="55">
        <v>0</v>
      </c>
      <c r="AJ834" s="55">
        <v>0</v>
      </c>
      <c r="AK834" s="55">
        <v>0</v>
      </c>
      <c r="AL834" s="55">
        <v>0</v>
      </c>
      <c r="AM834" s="55">
        <v>0</v>
      </c>
      <c r="AN834" s="55">
        <v>12.3</v>
      </c>
      <c r="AO834" s="55">
        <v>0</v>
      </c>
      <c r="AP834" s="55">
        <v>0</v>
      </c>
      <c r="AQ834" s="55">
        <v>0</v>
      </c>
      <c r="AR834" s="8">
        <v>12.3</v>
      </c>
      <c r="AS834" s="8">
        <v>11</v>
      </c>
      <c r="AT834" s="8">
        <v>0</v>
      </c>
      <c r="AU834" s="50">
        <v>0</v>
      </c>
      <c r="AV834" s="50">
        <v>15.8</v>
      </c>
      <c r="AW834" s="50">
        <v>11.5</v>
      </c>
      <c r="AX834" s="50">
        <v>0</v>
      </c>
      <c r="AY834" s="50">
        <v>0</v>
      </c>
      <c r="AZ834" s="50">
        <v>0</v>
      </c>
      <c r="BA834" s="50">
        <v>0</v>
      </c>
      <c r="BB834" s="50">
        <v>0</v>
      </c>
      <c r="BC834" s="55">
        <v>16.899999999999999</v>
      </c>
      <c r="BD834" s="55">
        <v>0</v>
      </c>
      <c r="BE834" s="11">
        <v>7.657</v>
      </c>
      <c r="BF834" s="4">
        <v>7.657</v>
      </c>
      <c r="BG834" s="4">
        <v>6.0640000000000001</v>
      </c>
      <c r="BH834" s="4">
        <v>0</v>
      </c>
      <c r="BI834" s="4">
        <v>8.7360000000000007</v>
      </c>
      <c r="BJ834" s="13">
        <v>6.218</v>
      </c>
      <c r="BK834" s="13">
        <v>9.2530000000000001</v>
      </c>
      <c r="BL834" s="4">
        <v>7.55</v>
      </c>
      <c r="BM834" s="16">
        <v>11.26</v>
      </c>
      <c r="BN834" s="4">
        <v>12.88</v>
      </c>
      <c r="BO834" s="4">
        <v>0</v>
      </c>
      <c r="BP834" s="4">
        <v>8.0850000000000009</v>
      </c>
      <c r="BQ834" s="4">
        <v>9.0589999999999993</v>
      </c>
      <c r="BR834" s="4">
        <v>8.6890000000000001</v>
      </c>
      <c r="BS834" s="4">
        <v>0</v>
      </c>
      <c r="BT834" s="4">
        <v>9.01</v>
      </c>
      <c r="BU834" s="4">
        <v>8.9250000000000007</v>
      </c>
      <c r="BV834" s="4">
        <v>9.7420000000000009</v>
      </c>
      <c r="BW834" s="4">
        <v>7.9569999999999999</v>
      </c>
      <c r="BX834" s="4">
        <v>12.31</v>
      </c>
      <c r="BY834" s="4">
        <v>0</v>
      </c>
      <c r="BZ834" s="55">
        <v>14.15</v>
      </c>
      <c r="CA834" s="55">
        <v>10.94</v>
      </c>
      <c r="CB834" s="55">
        <v>0</v>
      </c>
      <c r="CC834" s="55">
        <v>13.1</v>
      </c>
      <c r="CD834" s="55">
        <v>16.89</v>
      </c>
      <c r="CE834" s="19">
        <v>0</v>
      </c>
      <c r="CF834" s="19">
        <v>0</v>
      </c>
      <c r="CG834" s="4">
        <v>0</v>
      </c>
      <c r="CH834" s="4">
        <v>26.05</v>
      </c>
      <c r="CI834" s="4">
        <v>25.97</v>
      </c>
      <c r="CJ834" s="34">
        <v>0</v>
      </c>
      <c r="CK834" s="34">
        <v>0</v>
      </c>
      <c r="CL834" s="34">
        <v>0</v>
      </c>
      <c r="CM834" s="4">
        <v>0</v>
      </c>
      <c r="CN834" s="53">
        <v>0</v>
      </c>
      <c r="CO834" s="54">
        <v>0</v>
      </c>
      <c r="CP834" s="54">
        <v>0</v>
      </c>
      <c r="CQ834" s="4">
        <v>0</v>
      </c>
    </row>
    <row r="835" spans="1:95" s="55" customFormat="1" x14ac:dyDescent="0.35">
      <c r="A835" s="55">
        <v>834</v>
      </c>
      <c r="B835" s="55" t="s">
        <v>108</v>
      </c>
      <c r="C835" s="27" t="s">
        <v>575</v>
      </c>
      <c r="D835" s="50" t="s">
        <v>102</v>
      </c>
      <c r="E835" s="33" t="s">
        <v>91</v>
      </c>
      <c r="F835" s="4">
        <f>IFERROR(AVERAGEIF(Table1[[#This Row],[2019-Apr]:[2025-July]],"&lt;&gt;0"),0)</f>
        <v>12.57674603174603</v>
      </c>
      <c r="G835" s="4">
        <f ca="1">IFERROR(AVERAGEIF(OFFSET(Table1[[#This Row],[Status]],0,COUNT(Table1[[#This Row],[2019-May]:[2025-July]]),1,-12),"&lt;&gt;0"),0)</f>
        <v>16.27333333333333</v>
      </c>
      <c r="H835" s="55">
        <f>IFERROR(SMALL(Table1[[#This Row],[2019-Apr]:[2025-July]],COUNTIF(Table1[[#This Row],[2019-Apr]:[2025-July]],0)+1),0)</f>
        <v>6.6970000000000001</v>
      </c>
      <c r="I835" s="55">
        <f>IFERROR(MAX(Table1[[#This Row],[2019-Apr]:[2025-July]]),0)</f>
        <v>22.22</v>
      </c>
      <c r="J835" s="4" cm="1">
        <f t="array" ref="J83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7.1576666666666675</v>
      </c>
      <c r="K835" s="4">
        <v>4.5</v>
      </c>
      <c r="L835" s="4">
        <f>IF(Table1[[#This Row],[Standard as per ISO]]&gt;=Table1[[#This Row],[Avg of best 6]],Table1[[#This Row],[Standard as per ISO]],Table1[[#This Row],[Avg of best 6]])</f>
        <v>7.1576666666666675</v>
      </c>
      <c r="M835" s="4" cm="1">
        <f t="array" ref="M835">IFERROR(LOOKUP(2,1/(Table1[[#This Row],[2019-May]:[2025-July]]&lt;&gt;0),Table1[[#This Row],[2019-May]:[2025-July]]),0)</f>
        <v>17.100000000000001</v>
      </c>
      <c r="N835" s="4">
        <f>COUNTIF(Table1[[#This Row],[2019-Apr]:[2025-July]],"&gt;="&amp;Table1[[#This Row],[Target]])</f>
        <v>59</v>
      </c>
      <c r="O835" s="4">
        <f>IF(Table1[[#This Row],[Outliers 2Y]]=0,1,0)</f>
        <v>0</v>
      </c>
      <c r="P835" s="4">
        <f>IF(Table1[[#This Row],[Last value]]&gt;1.5*Table1[[#This Row],[Target]],1,0)</f>
        <v>1</v>
      </c>
      <c r="Q835" s="4">
        <f>IF(AND(1.5*Table1[[#This Row],[Target]]&gt;=Table1[[#This Row],[Last value]],Table1[[#This Row],[Last value]]&gt;Table1[[#This Row],[Target]]),1,0)</f>
        <v>0</v>
      </c>
      <c r="R835" s="4">
        <f>IF(Table1[[#This Row],[Target]]&gt;=Table1[[#This Row],[Last value]],1,0)</f>
        <v>0</v>
      </c>
      <c r="S835" s="4" t="str">
        <f t="shared" si="22"/>
        <v>Red</v>
      </c>
      <c r="T835" s="55">
        <v>11.9</v>
      </c>
      <c r="U835" s="55">
        <v>17.399999999999999</v>
      </c>
      <c r="V835" s="55">
        <v>12.9</v>
      </c>
      <c r="W835" s="55">
        <v>13.9</v>
      </c>
      <c r="X835" s="55">
        <v>14</v>
      </c>
      <c r="Y835" s="55">
        <v>18.7</v>
      </c>
      <c r="Z835" s="55">
        <v>13</v>
      </c>
      <c r="AA835" s="55">
        <v>7.05</v>
      </c>
      <c r="AB835" s="55">
        <v>16.600000000000001</v>
      </c>
      <c r="AC835" s="55">
        <v>19.8</v>
      </c>
      <c r="AD835" s="55">
        <v>13.5</v>
      </c>
      <c r="AE835" s="55">
        <v>13.1</v>
      </c>
      <c r="AF835" s="55">
        <v>0</v>
      </c>
      <c r="AG835" s="55">
        <v>13.8</v>
      </c>
      <c r="AH835" s="55">
        <v>0</v>
      </c>
      <c r="AI835" s="55">
        <v>15.9</v>
      </c>
      <c r="AJ835" s="55">
        <v>14.2</v>
      </c>
      <c r="AK835" s="55">
        <v>17.5</v>
      </c>
      <c r="AL835" s="55">
        <v>11.1</v>
      </c>
      <c r="AM835" s="55">
        <v>11.1</v>
      </c>
      <c r="AN835" s="55">
        <v>12</v>
      </c>
      <c r="AO835" s="55">
        <v>10.9</v>
      </c>
      <c r="AP835" s="55">
        <v>15.4</v>
      </c>
      <c r="AQ835" s="55">
        <v>11.7</v>
      </c>
      <c r="AR835" s="8">
        <v>13.3</v>
      </c>
      <c r="AS835" s="8">
        <v>12.4</v>
      </c>
      <c r="AT835" s="8">
        <v>18.100000000000001</v>
      </c>
      <c r="AU835" s="50">
        <v>14.67</v>
      </c>
      <c r="AV835" s="50">
        <v>15.5</v>
      </c>
      <c r="AW835" s="50">
        <v>8.02</v>
      </c>
      <c r="AX835" s="50">
        <v>14.3</v>
      </c>
      <c r="AY835" s="50">
        <v>11.4</v>
      </c>
      <c r="AZ835" s="50">
        <v>16.100000000000001</v>
      </c>
      <c r="BA835" s="50">
        <v>9.9</v>
      </c>
      <c r="BB835" s="50">
        <v>9.9</v>
      </c>
      <c r="BC835" s="50">
        <v>0</v>
      </c>
      <c r="BD835" s="55">
        <v>0</v>
      </c>
      <c r="BE835" s="11">
        <v>8.6340000000000003</v>
      </c>
      <c r="BF835" s="4">
        <v>8.9350000000000005</v>
      </c>
      <c r="BG835" s="4">
        <v>10.94</v>
      </c>
      <c r="BH835" s="4">
        <v>7.383</v>
      </c>
      <c r="BI835" s="4">
        <v>13.21</v>
      </c>
      <c r="BJ835" s="14">
        <v>8.0950000000000006</v>
      </c>
      <c r="BK835" s="14">
        <v>10.93</v>
      </c>
      <c r="BL835" s="4">
        <v>8.1869999999999994</v>
      </c>
      <c r="BM835" s="17">
        <v>8.5</v>
      </c>
      <c r="BN835" s="4">
        <v>14.03</v>
      </c>
      <c r="BO835" s="4">
        <v>8.093</v>
      </c>
      <c r="BP835" s="4">
        <v>7.6849999999999996</v>
      </c>
      <c r="BQ835" s="4">
        <v>14.02</v>
      </c>
      <c r="BR835" s="4">
        <v>7.0110000000000001</v>
      </c>
      <c r="BS835" s="4">
        <v>6.6970000000000001</v>
      </c>
      <c r="BT835" s="4">
        <v>9.3859999999999992</v>
      </c>
      <c r="BU835" s="4">
        <v>9.5489999999999995</v>
      </c>
      <c r="BV835" s="4">
        <v>15.19</v>
      </c>
      <c r="BW835" s="4">
        <v>13.07</v>
      </c>
      <c r="BX835" s="4">
        <v>7.12</v>
      </c>
      <c r="BY835" s="4">
        <v>0</v>
      </c>
      <c r="BZ835" s="55">
        <v>9.73</v>
      </c>
      <c r="CA835" s="55">
        <v>13.71</v>
      </c>
      <c r="CB835" s="55">
        <v>12.49</v>
      </c>
      <c r="CC835" s="55">
        <v>13.06</v>
      </c>
      <c r="CD835" s="55">
        <v>0</v>
      </c>
      <c r="CE835" s="19">
        <v>15.1</v>
      </c>
      <c r="CF835" s="19">
        <v>13.2</v>
      </c>
      <c r="CG835" s="4">
        <v>17.73</v>
      </c>
      <c r="CH835" s="4">
        <v>12.29</v>
      </c>
      <c r="CI835" s="4">
        <v>22.22</v>
      </c>
      <c r="CJ835" s="34">
        <v>17.100000000000001</v>
      </c>
      <c r="CK835" s="34">
        <v>0</v>
      </c>
      <c r="CL835" s="34">
        <v>0</v>
      </c>
      <c r="CM835" s="4">
        <v>0</v>
      </c>
      <c r="CN835" s="53">
        <v>0</v>
      </c>
      <c r="CO835" s="54">
        <v>0</v>
      </c>
      <c r="CP835" s="54">
        <v>0</v>
      </c>
      <c r="CQ835" s="4">
        <v>0</v>
      </c>
    </row>
    <row r="836" spans="1:95" s="55" customFormat="1" x14ac:dyDescent="0.35">
      <c r="A836" s="55">
        <v>835</v>
      </c>
      <c r="B836" s="55" t="s">
        <v>108</v>
      </c>
      <c r="C836" s="27" t="s">
        <v>576</v>
      </c>
      <c r="D836" s="50" t="s">
        <v>102</v>
      </c>
      <c r="E836" s="33" t="s">
        <v>91</v>
      </c>
      <c r="F836" s="4">
        <f>IFERROR(AVERAGEIF(Table1[[#This Row],[2019-Apr]:[2025-July]],"&lt;&gt;0"),0)</f>
        <v>10.557852941176471</v>
      </c>
      <c r="G836" s="4">
        <f ca="1">IFERROR(AVERAGEIF(OFFSET(Table1[[#This Row],[Status]],0,COUNT(Table1[[#This Row],[2019-May]:[2025-July]]),1,-12),"&lt;&gt;0"),0)</f>
        <v>9.6266666666666669</v>
      </c>
      <c r="H836" s="55">
        <f>IFERROR(SMALL(Table1[[#This Row],[2019-Apr]:[2025-July]],COUNTIF(Table1[[#This Row],[2019-Apr]:[2025-July]],0)+1),0)</f>
        <v>2</v>
      </c>
      <c r="I836" s="55">
        <f>IFERROR(MAX(Table1[[#This Row],[2019-Apr]:[2025-July]]),0)</f>
        <v>17.8</v>
      </c>
      <c r="J836" s="4" cm="1">
        <f t="array" ref="J83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5.5</v>
      </c>
      <c r="K836" s="4">
        <v>4.5</v>
      </c>
      <c r="L836" s="4">
        <f>IF(Table1[[#This Row],[Standard as per ISO]]&gt;=Table1[[#This Row],[Avg of best 6]],Table1[[#This Row],[Standard as per ISO]],Table1[[#This Row],[Avg of best 6]])</f>
        <v>5.5</v>
      </c>
      <c r="M836" s="4" cm="1">
        <f t="array" ref="M836">IFERROR(LOOKUP(2,1/(Table1[[#This Row],[2019-May]:[2025-July]]&lt;&gt;0),Table1[[#This Row],[2019-May]:[2025-July]]),0)</f>
        <v>2</v>
      </c>
      <c r="N836" s="4">
        <f>COUNTIF(Table1[[#This Row],[2019-Apr]:[2025-July]],"&gt;="&amp;Table1[[#This Row],[Target]])</f>
        <v>65</v>
      </c>
      <c r="O836" s="4">
        <f>IF(Table1[[#This Row],[Outliers 2Y]]=0,1,0)</f>
        <v>0</v>
      </c>
      <c r="P836" s="4">
        <f>IF(Table1[[#This Row],[Last value]]&gt;1.5*Table1[[#This Row],[Target]],1,0)</f>
        <v>0</v>
      </c>
      <c r="Q836" s="4">
        <f>IF(AND(1.5*Table1[[#This Row],[Target]]&gt;=Table1[[#This Row],[Last value]],Table1[[#This Row],[Last value]]&gt;Table1[[#This Row],[Target]]),1,0)</f>
        <v>0</v>
      </c>
      <c r="R836" s="4">
        <f>IF(Table1[[#This Row],[Target]]&gt;=Table1[[#This Row],[Last value]],1,0)</f>
        <v>1</v>
      </c>
      <c r="S836" s="4" t="str">
        <f t="shared" si="22"/>
        <v>Green</v>
      </c>
      <c r="T836" s="55">
        <v>5.2</v>
      </c>
      <c r="U836" s="55">
        <v>7.76</v>
      </c>
      <c r="V836" s="55">
        <v>10.7</v>
      </c>
      <c r="W836" s="55">
        <v>6.9</v>
      </c>
      <c r="X836" s="55">
        <v>7.78</v>
      </c>
      <c r="Y836" s="55">
        <v>12.7</v>
      </c>
      <c r="Z836" s="55">
        <v>10.5</v>
      </c>
      <c r="AA836" s="55">
        <v>9.3699999999999992</v>
      </c>
      <c r="AB836" s="55">
        <v>6.1</v>
      </c>
      <c r="AC836" s="55">
        <v>7.6</v>
      </c>
      <c r="AD836" s="55">
        <v>9.3000000000000007</v>
      </c>
      <c r="AE836" s="55">
        <v>7.74</v>
      </c>
      <c r="AF836" s="55">
        <v>6.2</v>
      </c>
      <c r="AG836" s="55">
        <v>10.7</v>
      </c>
      <c r="AH836" s="55">
        <v>6.81</v>
      </c>
      <c r="AI836" s="55">
        <v>4.99</v>
      </c>
      <c r="AJ836" s="55">
        <v>8.0500000000000007</v>
      </c>
      <c r="AK836" s="55">
        <v>9.4499999999999993</v>
      </c>
      <c r="AL836" s="55">
        <v>14.8</v>
      </c>
      <c r="AM836" s="55">
        <v>14</v>
      </c>
      <c r="AN836" s="55">
        <v>12.8</v>
      </c>
      <c r="AO836" s="55">
        <v>14.1</v>
      </c>
      <c r="AP836" s="55">
        <v>15.2</v>
      </c>
      <c r="AQ836" s="55">
        <v>15.9</v>
      </c>
      <c r="AR836" s="8">
        <v>13.2</v>
      </c>
      <c r="AS836" s="8">
        <v>12.1</v>
      </c>
      <c r="AT836" s="8">
        <v>17.8</v>
      </c>
      <c r="AU836" s="50">
        <v>13.4</v>
      </c>
      <c r="AV836" s="50">
        <v>12.7</v>
      </c>
      <c r="AW836" s="50">
        <v>11.5</v>
      </c>
      <c r="AX836" s="50">
        <v>12.1</v>
      </c>
      <c r="AY836" s="50">
        <v>14.3</v>
      </c>
      <c r="AZ836" s="50">
        <v>12.2</v>
      </c>
      <c r="BA836" s="50">
        <v>11.2</v>
      </c>
      <c r="BB836" s="50">
        <v>10.1</v>
      </c>
      <c r="BC836" s="55">
        <v>11.4</v>
      </c>
      <c r="BD836" s="55">
        <v>0</v>
      </c>
      <c r="BE836" s="11">
        <v>11.19</v>
      </c>
      <c r="BF836" s="4">
        <v>8.4220000000000006</v>
      </c>
      <c r="BG836" s="4">
        <v>10.17</v>
      </c>
      <c r="BH836" s="4">
        <v>9.4589999999999996</v>
      </c>
      <c r="BI836" s="4">
        <v>15</v>
      </c>
      <c r="BJ836" s="13">
        <v>11.58</v>
      </c>
      <c r="BK836" s="13">
        <v>9.5399999999999991</v>
      </c>
      <c r="BL836" s="4">
        <v>9.1669999999999998</v>
      </c>
      <c r="BM836" s="16">
        <v>9.9380000000000006</v>
      </c>
      <c r="BN836" s="4">
        <v>10.130000000000001</v>
      </c>
      <c r="BO836" s="4">
        <v>7.3179999999999996</v>
      </c>
      <c r="BP836" s="4">
        <v>11.38</v>
      </c>
      <c r="BQ836" s="4">
        <v>9.468</v>
      </c>
      <c r="BR836" s="4">
        <v>10.1</v>
      </c>
      <c r="BS836" s="4">
        <v>10.8</v>
      </c>
      <c r="BT836" s="4">
        <v>11.83</v>
      </c>
      <c r="BU836" s="4">
        <v>10.99</v>
      </c>
      <c r="BV836" s="4">
        <v>11.47</v>
      </c>
      <c r="BW836" s="4">
        <v>11.11</v>
      </c>
      <c r="BX836" s="4">
        <v>11.06</v>
      </c>
      <c r="BY836" s="4">
        <v>9.7919999999999998</v>
      </c>
      <c r="BZ836" s="55">
        <v>10.119999999999999</v>
      </c>
      <c r="CA836" s="55">
        <v>10.3</v>
      </c>
      <c r="CB836" s="55">
        <v>10.71</v>
      </c>
      <c r="CC836" s="55">
        <v>11.01</v>
      </c>
      <c r="CD836" s="55">
        <v>11.47</v>
      </c>
      <c r="CE836" s="19">
        <v>10.7</v>
      </c>
      <c r="CF836" s="19">
        <v>10.7</v>
      </c>
      <c r="CG836" s="4">
        <v>10.06</v>
      </c>
      <c r="CH836" s="4">
        <v>11.01</v>
      </c>
      <c r="CI836" s="4">
        <v>13.29</v>
      </c>
      <c r="CJ836" s="34">
        <v>2</v>
      </c>
      <c r="CK836" s="34">
        <v>0</v>
      </c>
      <c r="CL836" s="34">
        <v>0</v>
      </c>
      <c r="CM836" s="4">
        <v>0</v>
      </c>
      <c r="CN836" s="53">
        <v>0</v>
      </c>
      <c r="CO836" s="54">
        <v>0</v>
      </c>
      <c r="CP836" s="54">
        <v>0</v>
      </c>
      <c r="CQ836" s="4">
        <v>0</v>
      </c>
    </row>
    <row r="837" spans="1:95" s="55" customFormat="1" x14ac:dyDescent="0.35">
      <c r="A837" s="55">
        <v>836</v>
      </c>
      <c r="B837" s="55" t="s">
        <v>108</v>
      </c>
      <c r="C837" s="27" t="s">
        <v>577</v>
      </c>
      <c r="D837" s="50" t="s">
        <v>102</v>
      </c>
      <c r="E837" s="33" t="s">
        <v>91</v>
      </c>
      <c r="F837" s="4">
        <f>IFERROR(AVERAGEIF(Table1[[#This Row],[2019-Apr]:[2025-July]],"&lt;&gt;0"),0)</f>
        <v>12.004453125</v>
      </c>
      <c r="G837" s="4">
        <f ca="1">IFERROR(AVERAGEIF(OFFSET(Table1[[#This Row],[Status]],0,COUNT(Table1[[#This Row],[2019-May]:[2025-July]]),1,-12),"&lt;&gt;0"),0)</f>
        <v>10.895000000000001</v>
      </c>
      <c r="H837" s="55">
        <f>IFERROR(SMALL(Table1[[#This Row],[2019-Apr]:[2025-July]],COUNTIF(Table1[[#This Row],[2019-Apr]:[2025-July]],0)+1),0)</f>
        <v>6.51</v>
      </c>
      <c r="I837" s="55">
        <f>IFERROR(MAX(Table1[[#This Row],[2019-Apr]:[2025-July]]),0)</f>
        <v>19.399999999999999</v>
      </c>
      <c r="J837" s="4" cm="1">
        <f t="array" ref="J83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7.1683333333333339</v>
      </c>
      <c r="K837" s="4">
        <v>4.5</v>
      </c>
      <c r="L837" s="4">
        <f>IF(Table1[[#This Row],[Standard as per ISO]]&gt;=Table1[[#This Row],[Avg of best 6]],Table1[[#This Row],[Standard as per ISO]],Table1[[#This Row],[Avg of best 6]])</f>
        <v>7.1683333333333339</v>
      </c>
      <c r="M837" s="4" cm="1">
        <f t="array" ref="M837">IFERROR(LOOKUP(2,1/(Table1[[#This Row],[2019-May]:[2025-July]]&lt;&gt;0),Table1[[#This Row],[2019-May]:[2025-July]]),0)</f>
        <v>11.1</v>
      </c>
      <c r="N837" s="4">
        <f>COUNTIF(Table1[[#This Row],[2019-Apr]:[2025-July]],"&gt;="&amp;Table1[[#This Row],[Target]])</f>
        <v>60</v>
      </c>
      <c r="O837" s="4">
        <f>IF(Table1[[#This Row],[Outliers 2Y]]=0,1,0)</f>
        <v>0</v>
      </c>
      <c r="P837" s="4">
        <f>IF(Table1[[#This Row],[Last value]]&gt;1.5*Table1[[#This Row],[Target]],1,0)</f>
        <v>1</v>
      </c>
      <c r="Q837" s="4">
        <f>IF(AND(1.5*Table1[[#This Row],[Target]]&gt;=Table1[[#This Row],[Last value]],Table1[[#This Row],[Last value]]&gt;Table1[[#This Row],[Target]]),1,0)</f>
        <v>0</v>
      </c>
      <c r="R837" s="4">
        <f>IF(Table1[[#This Row],[Target]]&gt;=Table1[[#This Row],[Last value]],1,0)</f>
        <v>0</v>
      </c>
      <c r="S837" s="4" t="str">
        <f t="shared" si="22"/>
        <v>Red</v>
      </c>
      <c r="T837" s="55">
        <v>11.6</v>
      </c>
      <c r="U837" s="55">
        <v>6.78</v>
      </c>
      <c r="V837" s="55">
        <v>6.76</v>
      </c>
      <c r="W837" s="55">
        <v>11.2</v>
      </c>
      <c r="X837" s="55">
        <v>14.1</v>
      </c>
      <c r="Y837" s="55">
        <v>10.3</v>
      </c>
      <c r="Z837" s="55">
        <v>8.5500000000000007</v>
      </c>
      <c r="AA837" s="55">
        <v>19.2</v>
      </c>
      <c r="AB837" s="55">
        <v>12.2</v>
      </c>
      <c r="AC837" s="55">
        <v>10.199999999999999</v>
      </c>
      <c r="AD837" s="55">
        <v>15.3</v>
      </c>
      <c r="AE837" s="55">
        <v>10</v>
      </c>
      <c r="AF837" s="55">
        <v>11</v>
      </c>
      <c r="AG837" s="55">
        <v>12.2</v>
      </c>
      <c r="AH837" s="55">
        <v>7.9</v>
      </c>
      <c r="AI837" s="55">
        <v>0</v>
      </c>
      <c r="AJ837" s="55">
        <v>10.6</v>
      </c>
      <c r="AK837" s="55">
        <v>10.6</v>
      </c>
      <c r="AL837" s="55">
        <v>11</v>
      </c>
      <c r="AM837" s="55">
        <v>14.2</v>
      </c>
      <c r="AN837" s="55">
        <v>13.6</v>
      </c>
      <c r="AO837" s="55">
        <v>14.9</v>
      </c>
      <c r="AP837" s="55">
        <v>19.399999999999999</v>
      </c>
      <c r="AQ837" s="55">
        <v>15.3</v>
      </c>
      <c r="AR837" s="9">
        <v>13</v>
      </c>
      <c r="AS837" s="9">
        <v>13.9</v>
      </c>
      <c r="AT837" s="9">
        <v>10.199999999999999</v>
      </c>
      <c r="AU837" s="50">
        <v>14.2</v>
      </c>
      <c r="AV837" s="50">
        <v>10.199999999999999</v>
      </c>
      <c r="AW837" s="50">
        <v>12</v>
      </c>
      <c r="AX837" s="50">
        <v>14.1</v>
      </c>
      <c r="AY837" s="50">
        <v>12.1</v>
      </c>
      <c r="AZ837" s="50">
        <v>13.7</v>
      </c>
      <c r="BA837" s="50">
        <v>15.2</v>
      </c>
      <c r="BB837" s="50">
        <v>9.8000000000000007</v>
      </c>
      <c r="BC837" s="55">
        <v>15.5</v>
      </c>
      <c r="BD837" s="55">
        <v>0</v>
      </c>
      <c r="BE837" s="11">
        <v>6.51</v>
      </c>
      <c r="BF837" s="4">
        <v>6.51</v>
      </c>
      <c r="BG837" s="4">
        <v>16.22</v>
      </c>
      <c r="BH837" s="4">
        <v>16.22</v>
      </c>
      <c r="BI837" s="4">
        <v>16.22</v>
      </c>
      <c r="BJ837" s="14">
        <v>12.65</v>
      </c>
      <c r="BK837" s="14">
        <v>12.73</v>
      </c>
      <c r="BL837" s="4">
        <v>10.99</v>
      </c>
      <c r="BM837" s="17">
        <v>11</v>
      </c>
      <c r="BN837" s="4">
        <v>10.71</v>
      </c>
      <c r="BO837" s="4">
        <v>8.5830000000000002</v>
      </c>
      <c r="BP837" s="4">
        <v>14.15</v>
      </c>
      <c r="BQ837" s="4">
        <v>9.7680000000000007</v>
      </c>
      <c r="BR837" s="4">
        <v>10.98</v>
      </c>
      <c r="BS837" s="4">
        <v>11.73</v>
      </c>
      <c r="BT837" s="4">
        <v>9.6310000000000002</v>
      </c>
      <c r="BU837" s="4">
        <v>9.5630000000000006</v>
      </c>
      <c r="BV837" s="4">
        <v>11.8</v>
      </c>
      <c r="BW837" s="4">
        <v>10.8</v>
      </c>
      <c r="BX837" s="4">
        <v>14.59</v>
      </c>
      <c r="BY837" s="4">
        <v>10.72</v>
      </c>
      <c r="BZ837" s="55">
        <v>0</v>
      </c>
      <c r="CA837" s="55">
        <v>12.15</v>
      </c>
      <c r="CB837" s="55">
        <v>11.8</v>
      </c>
      <c r="CC837" s="55">
        <v>16.649999999999999</v>
      </c>
      <c r="CD837" s="55">
        <v>11.24</v>
      </c>
      <c r="CE837" s="19">
        <v>0</v>
      </c>
      <c r="CF837" s="19">
        <v>0</v>
      </c>
      <c r="CG837" s="4">
        <v>10.19</v>
      </c>
      <c r="CH837" s="4">
        <v>9.8800000000000008</v>
      </c>
      <c r="CI837" s="4">
        <v>12.41</v>
      </c>
      <c r="CJ837" s="34">
        <v>11.1</v>
      </c>
      <c r="CK837" s="34">
        <v>0</v>
      </c>
      <c r="CL837" s="34">
        <v>0</v>
      </c>
      <c r="CM837" s="4">
        <v>0</v>
      </c>
      <c r="CN837" s="53">
        <v>0</v>
      </c>
      <c r="CO837" s="54">
        <v>0</v>
      </c>
      <c r="CP837" s="54">
        <v>0</v>
      </c>
      <c r="CQ837" s="4">
        <v>0</v>
      </c>
    </row>
    <row r="838" spans="1:95" s="55" customFormat="1" x14ac:dyDescent="0.35">
      <c r="A838" s="55">
        <v>837</v>
      </c>
      <c r="B838" s="55" t="s">
        <v>108</v>
      </c>
      <c r="C838" s="27" t="s">
        <v>578</v>
      </c>
      <c r="D838" s="50" t="s">
        <v>102</v>
      </c>
      <c r="E838" s="33" t="s">
        <v>91</v>
      </c>
      <c r="F838" s="4">
        <f>IFERROR(AVERAGEIF(Table1[[#This Row],[2019-Apr]:[2025-July]],"&lt;&gt;0"),0)</f>
        <v>6.9848307692307685</v>
      </c>
      <c r="G838" s="4">
        <f ca="1">IFERROR(AVERAGEIF(OFFSET(Table1[[#This Row],[Status]],0,COUNT(Table1[[#This Row],[2019-May]:[2025-July]]),1,-12),"&lt;&gt;0"),0)</f>
        <v>6.2819999999999991</v>
      </c>
      <c r="H838" s="55">
        <f>IFERROR(SMALL(Table1[[#This Row],[2019-Apr]:[2025-July]],COUNTIF(Table1[[#This Row],[2019-Apr]:[2025-July]],0)+1),0)</f>
        <v>3.47</v>
      </c>
      <c r="I838" s="55">
        <f>IFERROR(MAX(Table1[[#This Row],[2019-Apr]:[2025-July]]),0)</f>
        <v>21.3</v>
      </c>
      <c r="J838" s="4" cm="1">
        <f t="array" ref="J83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4.0123333333333333</v>
      </c>
      <c r="K838" s="4">
        <v>4.5</v>
      </c>
      <c r="L838" s="4">
        <f>IF(Table1[[#This Row],[Standard as per ISO]]&gt;=Table1[[#This Row],[Avg of best 6]],Table1[[#This Row],[Standard as per ISO]],Table1[[#This Row],[Avg of best 6]])</f>
        <v>4.5</v>
      </c>
      <c r="M838" s="4" cm="1">
        <f t="array" ref="M838">IFERROR(LOOKUP(2,1/(Table1[[#This Row],[2019-May]:[2025-July]]&lt;&gt;0),Table1[[#This Row],[2019-May]:[2025-July]]),0)</f>
        <v>7.1</v>
      </c>
      <c r="N838" s="4">
        <f>COUNTIF(Table1[[#This Row],[2019-Apr]:[2025-July]],"&gt;="&amp;Table1[[#This Row],[Target]])</f>
        <v>55</v>
      </c>
      <c r="O838" s="4">
        <f>IF(Table1[[#This Row],[Outliers 2Y]]=0,1,0)</f>
        <v>0</v>
      </c>
      <c r="P838" s="4">
        <f>IF(Table1[[#This Row],[Last value]]&gt;1.5*Table1[[#This Row],[Target]],1,0)</f>
        <v>1</v>
      </c>
      <c r="Q838" s="4">
        <f>IF(AND(1.5*Table1[[#This Row],[Target]]&gt;=Table1[[#This Row],[Last value]],Table1[[#This Row],[Last value]]&gt;Table1[[#This Row],[Target]]),1,0)</f>
        <v>0</v>
      </c>
      <c r="R838" s="4">
        <f>IF(Table1[[#This Row],[Target]]&gt;=Table1[[#This Row],[Last value]],1,0)</f>
        <v>0</v>
      </c>
      <c r="S838" s="4" t="str">
        <f t="shared" si="22"/>
        <v>Red</v>
      </c>
      <c r="T838" s="55">
        <v>6.76</v>
      </c>
      <c r="U838" s="55">
        <v>12</v>
      </c>
      <c r="V838" s="55">
        <v>8.6</v>
      </c>
      <c r="W838" s="55">
        <v>9.16</v>
      </c>
      <c r="X838" s="55">
        <v>13.7</v>
      </c>
      <c r="Y838" s="55">
        <v>11.8</v>
      </c>
      <c r="Z838" s="55">
        <v>3.47</v>
      </c>
      <c r="AA838" s="55">
        <v>8.8800000000000008</v>
      </c>
      <c r="AB838" s="55">
        <v>6.6</v>
      </c>
      <c r="AC838" s="55">
        <v>8.1999999999999993</v>
      </c>
      <c r="AD838" s="55">
        <v>9.5500000000000007</v>
      </c>
      <c r="AE838" s="55">
        <v>6.5</v>
      </c>
      <c r="AF838" s="55">
        <v>7</v>
      </c>
      <c r="AG838" s="55">
        <v>7.1</v>
      </c>
      <c r="AH838" s="55">
        <v>7.79</v>
      </c>
      <c r="AI838" s="55">
        <v>0</v>
      </c>
      <c r="AJ838" s="55">
        <v>8.5299999999999994</v>
      </c>
      <c r="AK838" s="55">
        <v>8.4499999999999993</v>
      </c>
      <c r="AL838" s="55">
        <v>9.9</v>
      </c>
      <c r="AM838" s="55">
        <v>8.1</v>
      </c>
      <c r="AN838" s="55">
        <v>7.16</v>
      </c>
      <c r="AO838" s="55">
        <v>10.3</v>
      </c>
      <c r="AP838" s="55">
        <v>11</v>
      </c>
      <c r="AQ838" s="55">
        <v>21.3</v>
      </c>
      <c r="AR838" s="8">
        <v>6.59</v>
      </c>
      <c r="AS838" s="8">
        <v>6.8</v>
      </c>
      <c r="AT838" s="8">
        <v>5.34</v>
      </c>
      <c r="AU838" s="50">
        <v>8.0500000000000007</v>
      </c>
      <c r="AV838" s="50">
        <v>4.82</v>
      </c>
      <c r="AW838" s="50">
        <v>4.17</v>
      </c>
      <c r="AX838" s="50">
        <v>5.91</v>
      </c>
      <c r="AY838" s="50">
        <v>4.13</v>
      </c>
      <c r="AZ838" s="50">
        <v>8.3000000000000007</v>
      </c>
      <c r="BA838" s="50">
        <v>4.9000000000000004</v>
      </c>
      <c r="BB838" s="50">
        <v>4.4000000000000004</v>
      </c>
      <c r="BC838" s="55">
        <v>4.3</v>
      </c>
      <c r="BD838" s="55">
        <v>0</v>
      </c>
      <c r="BE838" s="11">
        <v>5.609</v>
      </c>
      <c r="BF838" s="4">
        <v>6.3609999999999998</v>
      </c>
      <c r="BG838" s="4">
        <v>6.7</v>
      </c>
      <c r="BH838" s="4">
        <v>4.8109999999999999</v>
      </c>
      <c r="BI838" s="4">
        <v>4.5709999999999997</v>
      </c>
      <c r="BJ838" s="13">
        <v>4.4000000000000004</v>
      </c>
      <c r="BK838" s="13">
        <v>4.4539999999999997</v>
      </c>
      <c r="BL838" s="4">
        <v>4.6180000000000003</v>
      </c>
      <c r="BM838" s="16">
        <v>4.9610000000000003</v>
      </c>
      <c r="BN838" s="4">
        <v>4.5860000000000003</v>
      </c>
      <c r="BO838" s="4">
        <v>3.6040000000000001</v>
      </c>
      <c r="BP838" s="4">
        <v>4.5339999999999998</v>
      </c>
      <c r="BQ838" s="4">
        <v>4.4359999999999999</v>
      </c>
      <c r="BR838" s="4">
        <v>4.8390000000000004</v>
      </c>
      <c r="BS838" s="4">
        <v>6.3460000000000001</v>
      </c>
      <c r="BT838" s="4">
        <v>4.665</v>
      </c>
      <c r="BU838" s="4">
        <v>5.2649999999999997</v>
      </c>
      <c r="BV838" s="4">
        <v>4.476</v>
      </c>
      <c r="BW838" s="4">
        <v>6.532</v>
      </c>
      <c r="BX838" s="4">
        <v>6.5359999999999996</v>
      </c>
      <c r="BY838" s="4">
        <v>9.51</v>
      </c>
      <c r="BZ838" s="55">
        <v>9.48</v>
      </c>
      <c r="CA838" s="55">
        <v>9.15</v>
      </c>
      <c r="CB838" s="55">
        <v>6.72</v>
      </c>
      <c r="CC838" s="55">
        <v>5.88</v>
      </c>
      <c r="CD838" s="55">
        <v>0</v>
      </c>
      <c r="CE838" s="19">
        <v>6.6</v>
      </c>
      <c r="CF838" s="19">
        <v>6.2</v>
      </c>
      <c r="CG838" s="4">
        <v>0</v>
      </c>
      <c r="CH838" s="4">
        <v>5.2</v>
      </c>
      <c r="CI838" s="4">
        <v>6.31</v>
      </c>
      <c r="CJ838" s="34">
        <v>7.1</v>
      </c>
      <c r="CK838" s="34">
        <v>0</v>
      </c>
      <c r="CL838" s="34">
        <v>0</v>
      </c>
      <c r="CM838" s="4">
        <v>0</v>
      </c>
      <c r="CN838" s="53">
        <v>0</v>
      </c>
      <c r="CO838" s="54">
        <v>0</v>
      </c>
      <c r="CP838" s="54">
        <v>0</v>
      </c>
      <c r="CQ838" s="4">
        <v>0</v>
      </c>
    </row>
    <row r="839" spans="1:95" s="55" customFormat="1" x14ac:dyDescent="0.35">
      <c r="A839" s="55">
        <v>838</v>
      </c>
      <c r="B839" s="55" t="s">
        <v>108</v>
      </c>
      <c r="C839" s="27" t="s">
        <v>579</v>
      </c>
      <c r="D839" s="50" t="s">
        <v>102</v>
      </c>
      <c r="E839" s="33" t="s">
        <v>91</v>
      </c>
      <c r="F839" s="4">
        <f>IFERROR(AVERAGEIF(Table1[[#This Row],[2019-Apr]:[2025-July]],"&lt;&gt;0"),0)</f>
        <v>7.3195555555555565</v>
      </c>
      <c r="G839" s="4">
        <f ca="1">IFERROR(AVERAGEIF(OFFSET(Table1[[#This Row],[Status]],0,COUNT(Table1[[#This Row],[2019-May]:[2025-July]]),1,-12),"&lt;&gt;0"),0)</f>
        <v>9.5150000000000006</v>
      </c>
      <c r="H839" s="55">
        <f>IFERROR(SMALL(Table1[[#This Row],[2019-Apr]:[2025-July]],COUNTIF(Table1[[#This Row],[2019-Apr]:[2025-July]],0)+1),0)</f>
        <v>3.0819999999999999</v>
      </c>
      <c r="I839" s="55">
        <f>IFERROR(MAX(Table1[[#This Row],[2019-Apr]:[2025-July]]),0)</f>
        <v>13.7</v>
      </c>
      <c r="J839" s="4" cm="1">
        <f t="array" ref="J83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4.4203333333333337</v>
      </c>
      <c r="K839" s="4">
        <v>4.5</v>
      </c>
      <c r="L839" s="4">
        <f>IF(Table1[[#This Row],[Standard as per ISO]]&gt;=Table1[[#This Row],[Avg of best 6]],Table1[[#This Row],[Standard as per ISO]],Table1[[#This Row],[Avg of best 6]])</f>
        <v>4.5</v>
      </c>
      <c r="M839" s="4" cm="1">
        <f t="array" ref="M839">IFERROR(LOOKUP(2,1/(Table1[[#This Row],[2019-May]:[2025-July]]&lt;&gt;0),Table1[[#This Row],[2019-May]:[2025-July]]),0)</f>
        <v>10.42</v>
      </c>
      <c r="N839" s="4">
        <f>COUNTIF(Table1[[#This Row],[2019-Apr]:[2025-July]],"&gt;="&amp;Table1[[#This Row],[Target]])</f>
        <v>53</v>
      </c>
      <c r="O839" s="4">
        <f>IF(Table1[[#This Row],[Outliers 2Y]]=0,1,0)</f>
        <v>0</v>
      </c>
      <c r="P839" s="4">
        <f>IF(Table1[[#This Row],[Last value]]&gt;1.5*Table1[[#This Row],[Target]],1,0)</f>
        <v>1</v>
      </c>
      <c r="Q839" s="4">
        <f>IF(AND(1.5*Table1[[#This Row],[Target]]&gt;=Table1[[#This Row],[Last value]],Table1[[#This Row],[Last value]]&gt;Table1[[#This Row],[Target]]),1,0)</f>
        <v>0</v>
      </c>
      <c r="R839" s="4">
        <f>IF(Table1[[#This Row],[Target]]&gt;=Table1[[#This Row],[Last value]],1,0)</f>
        <v>0</v>
      </c>
      <c r="S839" s="4" t="str">
        <f t="shared" si="22"/>
        <v>Red</v>
      </c>
      <c r="T839" s="55">
        <v>10.6</v>
      </c>
      <c r="U839" s="55">
        <v>11.4</v>
      </c>
      <c r="V839" s="55">
        <v>10.6</v>
      </c>
      <c r="W839" s="55">
        <v>0</v>
      </c>
      <c r="X839" s="55">
        <v>7.43</v>
      </c>
      <c r="Y839" s="55">
        <v>5.5</v>
      </c>
      <c r="Z839" s="55">
        <v>9.1999999999999993</v>
      </c>
      <c r="AA839" s="55">
        <v>4.62</v>
      </c>
      <c r="AB839" s="55">
        <v>8.1199999999999992</v>
      </c>
      <c r="AC839" s="55">
        <v>7.62</v>
      </c>
      <c r="AD839" s="55">
        <v>7.6</v>
      </c>
      <c r="AE839" s="55">
        <v>7.2</v>
      </c>
      <c r="AF839" s="55">
        <v>5.5</v>
      </c>
      <c r="AG839" s="55">
        <v>6.8</v>
      </c>
      <c r="AH839" s="55">
        <v>6</v>
      </c>
      <c r="AI839" s="55">
        <v>0</v>
      </c>
      <c r="AJ839" s="55">
        <v>6.75</v>
      </c>
      <c r="AK839" s="55">
        <v>7.06</v>
      </c>
      <c r="AL839" s="55">
        <v>6.9</v>
      </c>
      <c r="AM839" s="55">
        <v>7.17</v>
      </c>
      <c r="AN839" s="55">
        <v>4.62</v>
      </c>
      <c r="AO839" s="55">
        <v>0</v>
      </c>
      <c r="AP839" s="55">
        <v>7.74</v>
      </c>
      <c r="AQ839" s="55">
        <v>6.94</v>
      </c>
      <c r="AR839" s="8">
        <v>8.09</v>
      </c>
      <c r="AS839" s="8">
        <v>9.3000000000000007</v>
      </c>
      <c r="AT839" s="8">
        <v>8.24</v>
      </c>
      <c r="AU839" s="50">
        <v>6.05</v>
      </c>
      <c r="AV839" s="50">
        <v>6.16</v>
      </c>
      <c r="AW839" s="50">
        <v>6.44</v>
      </c>
      <c r="AX839" s="50">
        <v>7.16</v>
      </c>
      <c r="AY839" s="50">
        <v>9.25</v>
      </c>
      <c r="AZ839" s="50">
        <v>8.3000000000000007</v>
      </c>
      <c r="BA839" s="50">
        <v>5.5</v>
      </c>
      <c r="BB839" s="50">
        <v>13.7</v>
      </c>
      <c r="BC839" s="55">
        <v>5.2</v>
      </c>
      <c r="BD839" s="55">
        <v>0</v>
      </c>
      <c r="BE839" s="11">
        <v>0</v>
      </c>
      <c r="BF839" s="4">
        <v>5.2750000000000004</v>
      </c>
      <c r="BG839" s="4">
        <v>5.2750000000000004</v>
      </c>
      <c r="BH839" s="4">
        <v>5.77</v>
      </c>
      <c r="BI839" s="4">
        <v>11.21</v>
      </c>
      <c r="BJ839" s="14">
        <v>10.220000000000001</v>
      </c>
      <c r="BK839" s="14">
        <v>9.2550000000000008</v>
      </c>
      <c r="BL839" s="4">
        <v>4.6289999999999996</v>
      </c>
      <c r="BM839" s="17">
        <v>5.077</v>
      </c>
      <c r="BN839" s="4">
        <v>3.0819999999999999</v>
      </c>
      <c r="BO839" s="4">
        <v>0</v>
      </c>
      <c r="BP839" s="4">
        <v>0</v>
      </c>
      <c r="BQ839" s="4">
        <v>0</v>
      </c>
      <c r="BR839" s="4">
        <v>9.57</v>
      </c>
      <c r="BS839" s="4">
        <v>4.8380000000000001</v>
      </c>
      <c r="BT839" s="4">
        <v>4.9539999999999997</v>
      </c>
      <c r="BU839" s="4">
        <v>6.5940000000000003</v>
      </c>
      <c r="BV839" s="4">
        <v>4.7329999999999997</v>
      </c>
      <c r="BW839" s="4">
        <v>6.657</v>
      </c>
      <c r="BX839" s="4">
        <v>7.516</v>
      </c>
      <c r="BY839" s="4">
        <v>6.3710000000000004</v>
      </c>
      <c r="BZ839" s="55">
        <v>0</v>
      </c>
      <c r="CA839" s="55">
        <v>7.48</v>
      </c>
      <c r="CB839" s="55">
        <v>8.9600000000000009</v>
      </c>
      <c r="CC839" s="55">
        <v>0</v>
      </c>
      <c r="CD839" s="55">
        <v>0</v>
      </c>
      <c r="CE839" s="19">
        <v>0</v>
      </c>
      <c r="CF839" s="19">
        <v>0</v>
      </c>
      <c r="CG839" s="4">
        <v>8.61</v>
      </c>
      <c r="CH839" s="4">
        <v>10.42</v>
      </c>
      <c r="CI839" s="4">
        <v>0</v>
      </c>
      <c r="CJ839" s="34">
        <v>0</v>
      </c>
      <c r="CK839" s="34">
        <v>0</v>
      </c>
      <c r="CL839" s="34">
        <v>0</v>
      </c>
      <c r="CM839" s="4">
        <v>0</v>
      </c>
      <c r="CN839" s="53">
        <v>0</v>
      </c>
      <c r="CO839" s="54">
        <v>0</v>
      </c>
      <c r="CP839" s="54">
        <v>0</v>
      </c>
      <c r="CQ839" s="4">
        <v>0</v>
      </c>
    </row>
    <row r="840" spans="1:95" s="55" customFormat="1" x14ac:dyDescent="0.35">
      <c r="A840" s="55">
        <v>839</v>
      </c>
      <c r="B840" s="55" t="s">
        <v>108</v>
      </c>
      <c r="C840" s="27" t="s">
        <v>580</v>
      </c>
      <c r="D840" s="50" t="s">
        <v>102</v>
      </c>
      <c r="E840" s="33" t="s">
        <v>91</v>
      </c>
      <c r="F840" s="4">
        <f>IFERROR(AVERAGEIF(Table1[[#This Row],[2019-Apr]:[2025-July]],"&lt;&gt;0"),0)</f>
        <v>11.07564406779661</v>
      </c>
      <c r="G840" s="4">
        <f ca="1">IFERROR(AVERAGEIF(OFFSET(Table1[[#This Row],[Status]],0,COUNT(Table1[[#This Row],[2019-May]:[2025-July]]),1,-12),"&lt;&gt;0"),0)</f>
        <v>6.1033333333333344</v>
      </c>
      <c r="H840" s="55">
        <f>IFERROR(SMALL(Table1[[#This Row],[2019-Apr]:[2025-July]],COUNTIF(Table1[[#This Row],[2019-Apr]:[2025-July]],0)+1),0)</f>
        <v>3</v>
      </c>
      <c r="I840" s="55">
        <f>IFERROR(MAX(Table1[[#This Row],[2019-Apr]:[2025-July]]),0)</f>
        <v>21.6</v>
      </c>
      <c r="J840" s="4" cm="1">
        <f t="array" ref="J84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5.780666666666666</v>
      </c>
      <c r="K840" s="4">
        <v>4.5</v>
      </c>
      <c r="L840" s="4">
        <f>IF(Table1[[#This Row],[Standard as per ISO]]&gt;=Table1[[#This Row],[Avg of best 6]],Table1[[#This Row],[Standard as per ISO]],Table1[[#This Row],[Avg of best 6]])</f>
        <v>5.780666666666666</v>
      </c>
      <c r="M840" s="4" cm="1">
        <f t="array" ref="M840">IFERROR(LOOKUP(2,1/(Table1[[#This Row],[2019-May]:[2025-July]]&lt;&gt;0),Table1[[#This Row],[2019-May]:[2025-July]]),0)</f>
        <v>5.9</v>
      </c>
      <c r="N840" s="4">
        <f>COUNTIF(Table1[[#This Row],[2019-Apr]:[2025-July]],"&gt;="&amp;Table1[[#This Row],[Target]])</f>
        <v>57</v>
      </c>
      <c r="O840" s="4">
        <f>IF(Table1[[#This Row],[Outliers 2Y]]=0,1,0)</f>
        <v>0</v>
      </c>
      <c r="P840" s="4">
        <f>IF(Table1[[#This Row],[Last value]]&gt;1.5*Table1[[#This Row],[Target]],1,0)</f>
        <v>0</v>
      </c>
      <c r="Q840" s="4">
        <f>IF(AND(1.5*Table1[[#This Row],[Target]]&gt;=Table1[[#This Row],[Last value]],Table1[[#This Row],[Last value]]&gt;Table1[[#This Row],[Target]]),1,0)</f>
        <v>1</v>
      </c>
      <c r="R840" s="4">
        <f>IF(Table1[[#This Row],[Target]]&gt;=Table1[[#This Row],[Last value]],1,0)</f>
        <v>0</v>
      </c>
      <c r="S840" s="4" t="str">
        <f t="shared" si="22"/>
        <v>Yellow</v>
      </c>
      <c r="T840" s="55">
        <v>10.7</v>
      </c>
      <c r="U840" s="55">
        <v>15.1</v>
      </c>
      <c r="V840" s="55">
        <v>7.65</v>
      </c>
      <c r="W840" s="55">
        <v>16.600000000000001</v>
      </c>
      <c r="X840" s="55">
        <v>21.6</v>
      </c>
      <c r="Y840" s="55">
        <v>0</v>
      </c>
      <c r="Z840" s="55">
        <v>16.8</v>
      </c>
      <c r="AA840" s="55">
        <v>19.8</v>
      </c>
      <c r="AB840" s="55">
        <v>14.4</v>
      </c>
      <c r="AC840" s="55">
        <v>9.5</v>
      </c>
      <c r="AD840" s="55">
        <v>11.4</v>
      </c>
      <c r="AE840" s="55">
        <v>16.600000000000001</v>
      </c>
      <c r="AF840" s="55">
        <v>14</v>
      </c>
      <c r="AG840" s="55">
        <v>12.9</v>
      </c>
      <c r="AH840" s="55">
        <v>9.75</v>
      </c>
      <c r="AI840" s="55">
        <v>0</v>
      </c>
      <c r="AJ840" s="55">
        <v>8.5500000000000007</v>
      </c>
      <c r="AK840" s="55">
        <v>13</v>
      </c>
      <c r="AL840" s="55">
        <v>9.36</v>
      </c>
      <c r="AM840" s="55">
        <v>18.5</v>
      </c>
      <c r="AN840" s="55">
        <v>10.4</v>
      </c>
      <c r="AO840" s="55">
        <v>11.7</v>
      </c>
      <c r="AP840" s="55">
        <v>17.899999999999999</v>
      </c>
      <c r="AQ840" s="55">
        <v>16.100000000000001</v>
      </c>
      <c r="AR840" s="8">
        <v>14.2</v>
      </c>
      <c r="AS840" s="8">
        <v>8.4</v>
      </c>
      <c r="AT840" s="8">
        <v>11.5</v>
      </c>
      <c r="AU840" s="50">
        <v>11.3</v>
      </c>
      <c r="AV840" s="50">
        <v>13.7</v>
      </c>
      <c r="AW840" s="50">
        <v>14.7</v>
      </c>
      <c r="AX840" s="50">
        <v>0</v>
      </c>
      <c r="AY840" s="50">
        <v>0</v>
      </c>
      <c r="AZ840" s="50">
        <v>12.1</v>
      </c>
      <c r="BA840" s="50">
        <v>9.8000000000000007</v>
      </c>
      <c r="BB840" s="50">
        <v>8.1999999999999993</v>
      </c>
      <c r="BC840" s="55">
        <v>3</v>
      </c>
      <c r="BD840" s="55">
        <v>0</v>
      </c>
      <c r="BE840" s="11">
        <v>6.6180000000000003</v>
      </c>
      <c r="BF840" s="4">
        <v>7.6959999999999997</v>
      </c>
      <c r="BG840" s="4">
        <v>9.2750000000000004</v>
      </c>
      <c r="BH840" s="4">
        <v>8.89</v>
      </c>
      <c r="BI840" s="4">
        <v>8.6340000000000003</v>
      </c>
      <c r="BJ840" s="13">
        <v>6.7560000000000002</v>
      </c>
      <c r="BK840" s="13">
        <v>11.08</v>
      </c>
      <c r="BL840" s="4">
        <v>10.220000000000001</v>
      </c>
      <c r="BM840" s="16">
        <v>11.2</v>
      </c>
      <c r="BN840" s="4">
        <v>7.468</v>
      </c>
      <c r="BO840" s="4">
        <v>10.130000000000001</v>
      </c>
      <c r="BP840" s="4">
        <v>10.199999999999999</v>
      </c>
      <c r="BQ840" s="4">
        <v>9.8219999999999992</v>
      </c>
      <c r="BR840" s="4">
        <v>8.9649999999999999</v>
      </c>
      <c r="BS840" s="4">
        <v>7.8070000000000004</v>
      </c>
      <c r="BT840" s="4">
        <v>8.2240000000000002</v>
      </c>
      <c r="BU840" s="4">
        <v>9.4130000000000003</v>
      </c>
      <c r="BV840" s="4">
        <v>9.9819999999999993</v>
      </c>
      <c r="BW840" s="4">
        <v>8.1630000000000003</v>
      </c>
      <c r="BX840" s="4">
        <v>0</v>
      </c>
      <c r="BY840" s="4">
        <v>9.5</v>
      </c>
      <c r="BZ840" s="55">
        <v>0</v>
      </c>
      <c r="CA840" s="55">
        <v>8.66</v>
      </c>
      <c r="CB840" s="55">
        <v>11.33</v>
      </c>
      <c r="CC840" s="55">
        <v>12.66</v>
      </c>
      <c r="CD840" s="55">
        <v>13.25</v>
      </c>
      <c r="CE840" s="19">
        <v>0</v>
      </c>
      <c r="CF840" s="19">
        <v>0</v>
      </c>
      <c r="CG840" s="4">
        <v>6.8</v>
      </c>
      <c r="CH840" s="4">
        <v>5.61</v>
      </c>
      <c r="CI840" s="4">
        <v>0</v>
      </c>
      <c r="CJ840" s="34">
        <v>5.9</v>
      </c>
      <c r="CK840" s="34">
        <v>0</v>
      </c>
      <c r="CL840" s="34">
        <v>0</v>
      </c>
      <c r="CM840" s="4">
        <v>0</v>
      </c>
      <c r="CN840" s="53">
        <v>0</v>
      </c>
      <c r="CO840" s="54">
        <v>0</v>
      </c>
      <c r="CP840" s="54">
        <v>0</v>
      </c>
      <c r="CQ840" s="4">
        <v>0</v>
      </c>
    </row>
    <row r="841" spans="1:95" s="55" customFormat="1" x14ac:dyDescent="0.35">
      <c r="A841" s="55">
        <v>840</v>
      </c>
      <c r="B841" s="55" t="s">
        <v>108</v>
      </c>
      <c r="C841" s="27" t="s">
        <v>581</v>
      </c>
      <c r="D841" s="50" t="s">
        <v>102</v>
      </c>
      <c r="E841" s="33" t="s">
        <v>91</v>
      </c>
      <c r="F841" s="4">
        <f>IFERROR(AVERAGEIF(Table1[[#This Row],[2019-Apr]:[2025-July]],"&lt;&gt;0"),0)</f>
        <v>10.182645161290321</v>
      </c>
      <c r="G841" s="4">
        <f ca="1">IFERROR(AVERAGEIF(OFFSET(Table1[[#This Row],[Status]],0,COUNT(Table1[[#This Row],[2019-May]:[2025-July]]),1,-12),"&lt;&gt;0"),0)</f>
        <v>8.9224999999999994</v>
      </c>
      <c r="H841" s="55">
        <f>IFERROR(SMALL(Table1[[#This Row],[2019-Apr]:[2025-July]],COUNTIF(Table1[[#This Row],[2019-Apr]:[2025-July]],0)+1),0)</f>
        <v>3.597</v>
      </c>
      <c r="I841" s="55">
        <f>IFERROR(MAX(Table1[[#This Row],[2019-Apr]:[2025-July]]),0)</f>
        <v>27.7</v>
      </c>
      <c r="J841" s="4" cm="1">
        <f t="array" ref="J84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6.4633333333333338</v>
      </c>
      <c r="K841" s="4">
        <v>4.5</v>
      </c>
      <c r="L841" s="4">
        <f>IF(Table1[[#This Row],[Standard as per ISO]]&gt;=Table1[[#This Row],[Avg of best 6]],Table1[[#This Row],[Standard as per ISO]],Table1[[#This Row],[Avg of best 6]])</f>
        <v>6.4633333333333338</v>
      </c>
      <c r="M841" s="4" cm="1">
        <f t="array" ref="M841">IFERROR(LOOKUP(2,1/(Table1[[#This Row],[2019-May]:[2025-July]]&lt;&gt;0),Table1[[#This Row],[2019-May]:[2025-July]]),0)</f>
        <v>9.0500000000000007</v>
      </c>
      <c r="N841" s="4">
        <f>COUNTIF(Table1[[#This Row],[2019-Apr]:[2025-July]],"&gt;="&amp;Table1[[#This Row],[Target]])</f>
        <v>60</v>
      </c>
      <c r="O841" s="4">
        <f>IF(Table1[[#This Row],[Outliers 2Y]]=0,1,0)</f>
        <v>0</v>
      </c>
      <c r="P841" s="4">
        <f>IF(Table1[[#This Row],[Last value]]&gt;1.5*Table1[[#This Row],[Target]],1,0)</f>
        <v>0</v>
      </c>
      <c r="Q841" s="4">
        <f>IF(AND(1.5*Table1[[#This Row],[Target]]&gt;=Table1[[#This Row],[Last value]],Table1[[#This Row],[Last value]]&gt;Table1[[#This Row],[Target]]),1,0)</f>
        <v>1</v>
      </c>
      <c r="R841" s="4">
        <f>IF(Table1[[#This Row],[Target]]&gt;=Table1[[#This Row],[Last value]],1,0)</f>
        <v>0</v>
      </c>
      <c r="S841" s="4" t="str">
        <f t="shared" si="22"/>
        <v>Yellow</v>
      </c>
      <c r="T841" s="55">
        <v>9.9600000000000009</v>
      </c>
      <c r="U841" s="55">
        <v>9.48</v>
      </c>
      <c r="V841" s="55">
        <v>11.5</v>
      </c>
      <c r="W841" s="55">
        <v>14.5</v>
      </c>
      <c r="X841" s="55">
        <v>14.4</v>
      </c>
      <c r="Y841" s="55">
        <v>27.7</v>
      </c>
      <c r="Z841" s="55">
        <v>13.1</v>
      </c>
      <c r="AA841" s="55">
        <v>14.4</v>
      </c>
      <c r="AB841" s="55">
        <v>8.6</v>
      </c>
      <c r="AC841" s="55">
        <v>0</v>
      </c>
      <c r="AD841" s="55">
        <v>8.6999999999999993</v>
      </c>
      <c r="AE841" s="55">
        <v>9.4499999999999993</v>
      </c>
      <c r="AF841" s="55">
        <v>12.6</v>
      </c>
      <c r="AG841" s="55">
        <v>11.3</v>
      </c>
      <c r="AH841" s="55">
        <v>8.7799999999999994</v>
      </c>
      <c r="AI841" s="55">
        <v>13</v>
      </c>
      <c r="AJ841" s="55">
        <v>8.11</v>
      </c>
      <c r="AK841" s="55">
        <v>9.7200000000000006</v>
      </c>
      <c r="AL841" s="55">
        <v>0</v>
      </c>
      <c r="AM841" s="55">
        <v>12</v>
      </c>
      <c r="AN841" s="55">
        <v>11.2</v>
      </c>
      <c r="AO841" s="55">
        <v>13.1</v>
      </c>
      <c r="AP841" s="55">
        <v>8.65</v>
      </c>
      <c r="AQ841" s="55">
        <v>13.4</v>
      </c>
      <c r="AR841" s="8">
        <v>10.4</v>
      </c>
      <c r="AS841" s="8">
        <v>10.7</v>
      </c>
      <c r="AT841" s="8">
        <v>7.78</v>
      </c>
      <c r="AU841" s="50">
        <v>8.2899999999999991</v>
      </c>
      <c r="AV841" s="50">
        <v>0</v>
      </c>
      <c r="AW841" s="50">
        <v>12.2</v>
      </c>
      <c r="AX841" s="50">
        <v>9.7899999999999991</v>
      </c>
      <c r="AY841" s="50">
        <v>8.6</v>
      </c>
      <c r="AZ841" s="50">
        <v>12.1</v>
      </c>
      <c r="BA841" s="50">
        <v>9</v>
      </c>
      <c r="BB841" s="50">
        <v>10.3</v>
      </c>
      <c r="BC841" s="55">
        <v>9.4</v>
      </c>
      <c r="BD841" s="55">
        <v>0</v>
      </c>
      <c r="BE841" s="11">
        <v>3.597</v>
      </c>
      <c r="BF841" s="4">
        <v>9.8800000000000008</v>
      </c>
      <c r="BG841" s="4">
        <v>11.09</v>
      </c>
      <c r="BH841" s="4">
        <v>10.130000000000001</v>
      </c>
      <c r="BI841" s="4">
        <v>7.1559999999999997</v>
      </c>
      <c r="BJ841" s="14">
        <v>4.91</v>
      </c>
      <c r="BK841" s="14">
        <v>8.6829999999999998</v>
      </c>
      <c r="BL841" s="4">
        <v>9.8230000000000004</v>
      </c>
      <c r="BM841" s="17">
        <v>9.9860000000000007</v>
      </c>
      <c r="BN841" s="4">
        <v>0</v>
      </c>
      <c r="BO841" s="4">
        <v>7.69</v>
      </c>
      <c r="BP841" s="4">
        <v>8.4329999999999998</v>
      </c>
      <c r="BQ841" s="4">
        <v>8.2270000000000003</v>
      </c>
      <c r="BR841" s="4">
        <v>9.109</v>
      </c>
      <c r="BS841" s="4">
        <v>8.3680000000000003</v>
      </c>
      <c r="BT841" s="4">
        <v>11.27</v>
      </c>
      <c r="BU841" s="4">
        <v>12.22</v>
      </c>
      <c r="BV841" s="4">
        <v>8.2200000000000006</v>
      </c>
      <c r="BW841" s="4">
        <v>10.26</v>
      </c>
      <c r="BX841" s="4">
        <v>7.6470000000000002</v>
      </c>
      <c r="BY841" s="4">
        <v>9.2249999999999996</v>
      </c>
      <c r="BZ841" s="55">
        <v>10.11</v>
      </c>
      <c r="CA841" s="55">
        <v>10.029999999999999</v>
      </c>
      <c r="CB841" s="55">
        <v>9.0399999999999991</v>
      </c>
      <c r="CC841" s="55">
        <v>10.47</v>
      </c>
      <c r="CD841" s="55">
        <v>7.85</v>
      </c>
      <c r="CE841" s="19">
        <v>9.4</v>
      </c>
      <c r="CF841" s="19">
        <v>8.5</v>
      </c>
      <c r="CG841" s="4">
        <v>8.74</v>
      </c>
      <c r="CH841" s="4">
        <v>0</v>
      </c>
      <c r="CI841" s="4">
        <v>9.0500000000000007</v>
      </c>
      <c r="CJ841" s="34">
        <v>0</v>
      </c>
      <c r="CK841" s="34">
        <v>0</v>
      </c>
      <c r="CL841" s="34">
        <v>0</v>
      </c>
      <c r="CM841" s="4">
        <v>0</v>
      </c>
      <c r="CN841" s="53">
        <v>0</v>
      </c>
      <c r="CO841" s="54">
        <v>0</v>
      </c>
      <c r="CP841" s="54">
        <v>0</v>
      </c>
      <c r="CQ841" s="4">
        <v>0</v>
      </c>
    </row>
    <row r="842" spans="1:95" s="55" customFormat="1" x14ac:dyDescent="0.35">
      <c r="A842" s="55">
        <v>841</v>
      </c>
      <c r="B842" s="55" t="s">
        <v>108</v>
      </c>
      <c r="C842" s="27" t="s">
        <v>582</v>
      </c>
      <c r="D842" s="50" t="s">
        <v>102</v>
      </c>
      <c r="E842" s="33" t="s">
        <v>91</v>
      </c>
      <c r="F842" s="4">
        <f>IFERROR(AVERAGEIF(Table1[[#This Row],[2019-Apr]:[2025-July]],"&lt;&gt;0"),0)</f>
        <v>9.2347187500000008</v>
      </c>
      <c r="G842" s="4">
        <f ca="1">IFERROR(AVERAGEIF(OFFSET(Table1[[#This Row],[Status]],0,COUNT(Table1[[#This Row],[2019-May]:[2025-July]]),1,-12),"&lt;&gt;0"),0)</f>
        <v>9.0139999999999993</v>
      </c>
      <c r="H842" s="55">
        <f>IFERROR(SMALL(Table1[[#This Row],[2019-Apr]:[2025-July]],COUNTIF(Table1[[#This Row],[2019-Apr]:[2025-July]],0)+1),0)</f>
        <v>3.052</v>
      </c>
      <c r="I842" s="55">
        <f>IFERROR(MAX(Table1[[#This Row],[2019-Apr]:[2025-July]]),0)</f>
        <v>21</v>
      </c>
      <c r="J842" s="4" cm="1">
        <f t="array" ref="J84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5.3806666666666665</v>
      </c>
      <c r="K842" s="4">
        <v>4.5</v>
      </c>
      <c r="L842" s="4">
        <f>IF(Table1[[#This Row],[Standard as per ISO]]&gt;=Table1[[#This Row],[Avg of best 6]],Table1[[#This Row],[Standard as per ISO]],Table1[[#This Row],[Avg of best 6]])</f>
        <v>5.3806666666666665</v>
      </c>
      <c r="M842" s="4" cm="1">
        <f t="array" ref="M842">IFERROR(LOOKUP(2,1/(Table1[[#This Row],[2019-May]:[2025-July]]&lt;&gt;0),Table1[[#This Row],[2019-May]:[2025-July]]),0)</f>
        <v>10.1</v>
      </c>
      <c r="N842" s="4">
        <f>COUNTIF(Table1[[#This Row],[2019-Apr]:[2025-July]],"&gt;="&amp;Table1[[#This Row],[Target]])</f>
        <v>30</v>
      </c>
      <c r="O842" s="4">
        <f>IF(Table1[[#This Row],[Outliers 2Y]]=0,1,0)</f>
        <v>0</v>
      </c>
      <c r="P842" s="4">
        <f>IF(Table1[[#This Row],[Last value]]&gt;1.5*Table1[[#This Row],[Target]],1,0)</f>
        <v>1</v>
      </c>
      <c r="Q842" s="4">
        <f>IF(AND(1.5*Table1[[#This Row],[Target]]&gt;=Table1[[#This Row],[Last value]],Table1[[#This Row],[Last value]]&gt;Table1[[#This Row],[Target]]),1,0)</f>
        <v>0</v>
      </c>
      <c r="R842" s="4">
        <f>IF(Table1[[#This Row],[Target]]&gt;=Table1[[#This Row],[Last value]],1,0)</f>
        <v>0</v>
      </c>
      <c r="S842" s="4" t="str">
        <f t="shared" si="22"/>
        <v>Red</v>
      </c>
      <c r="T842" s="55">
        <v>14.7</v>
      </c>
      <c r="U842" s="55">
        <v>0</v>
      </c>
      <c r="V842" s="55">
        <v>0</v>
      </c>
      <c r="W842" s="55">
        <v>0</v>
      </c>
      <c r="X842" s="55">
        <v>0</v>
      </c>
      <c r="Y842" s="55">
        <v>21</v>
      </c>
      <c r="Z842" s="55">
        <v>9.33</v>
      </c>
      <c r="AA842" s="55">
        <v>0</v>
      </c>
      <c r="AB842" s="55">
        <v>0</v>
      </c>
      <c r="AC842" s="55">
        <v>7.54</v>
      </c>
      <c r="AD842" s="55">
        <v>0</v>
      </c>
      <c r="AE842" s="55">
        <v>0</v>
      </c>
      <c r="AF842" s="55">
        <v>0</v>
      </c>
      <c r="AG842" s="55">
        <v>0</v>
      </c>
      <c r="AH842" s="55">
        <v>0</v>
      </c>
      <c r="AI842" s="55">
        <v>0</v>
      </c>
      <c r="AJ842" s="55">
        <v>8.66</v>
      </c>
      <c r="AK842" s="55">
        <v>10.5</v>
      </c>
      <c r="AL842" s="55">
        <v>11.9</v>
      </c>
      <c r="AM842" s="55">
        <v>11</v>
      </c>
      <c r="AN842" s="55">
        <v>0</v>
      </c>
      <c r="AO842" s="55">
        <v>0</v>
      </c>
      <c r="AP842" s="55">
        <v>0</v>
      </c>
      <c r="AQ842" s="55">
        <v>0</v>
      </c>
      <c r="AR842" s="8">
        <v>0</v>
      </c>
      <c r="AS842" s="8">
        <v>0</v>
      </c>
      <c r="AT842" s="8">
        <v>0</v>
      </c>
      <c r="AU842" s="50">
        <v>0</v>
      </c>
      <c r="AV842" s="50">
        <v>11.6</v>
      </c>
      <c r="AW842" s="50">
        <v>0</v>
      </c>
      <c r="AX842" s="50">
        <v>10.6</v>
      </c>
      <c r="AY842" s="50">
        <v>7.14</v>
      </c>
      <c r="AZ842" s="50">
        <v>0</v>
      </c>
      <c r="BA842" s="50">
        <v>8.4</v>
      </c>
      <c r="BB842" s="50">
        <v>0</v>
      </c>
      <c r="BC842" s="50">
        <v>0</v>
      </c>
      <c r="BD842" s="55">
        <v>0</v>
      </c>
      <c r="BE842" s="11">
        <v>6.758</v>
      </c>
      <c r="BF842" s="4">
        <v>6.758</v>
      </c>
      <c r="BG842" s="4">
        <v>0</v>
      </c>
      <c r="BH842" s="4">
        <v>3.052</v>
      </c>
      <c r="BI842" s="4">
        <v>0</v>
      </c>
      <c r="BJ842" s="13">
        <v>4.07</v>
      </c>
      <c r="BK842" s="13">
        <v>7.9459999999999997</v>
      </c>
      <c r="BL842" s="4">
        <v>7.9409999999999998</v>
      </c>
      <c r="BM842" s="16">
        <v>0</v>
      </c>
      <c r="BN842" s="4">
        <v>9.91</v>
      </c>
      <c r="BO842" s="4">
        <v>0</v>
      </c>
      <c r="BP842" s="4">
        <v>6.2460000000000004</v>
      </c>
      <c r="BQ842" s="4">
        <v>8.6609999999999996</v>
      </c>
      <c r="BR842" s="4">
        <v>7.8940000000000001</v>
      </c>
      <c r="BS842" s="4">
        <v>0</v>
      </c>
      <c r="BT842" s="4">
        <v>10.029999999999999</v>
      </c>
      <c r="BU842" s="4">
        <v>0</v>
      </c>
      <c r="BV842" s="4">
        <v>0</v>
      </c>
      <c r="BW842" s="4">
        <v>0</v>
      </c>
      <c r="BX842" s="4">
        <v>9.4849999999999994</v>
      </c>
      <c r="BY842" s="4">
        <v>0</v>
      </c>
      <c r="BZ842" s="55">
        <v>10.87</v>
      </c>
      <c r="CA842" s="55">
        <v>0</v>
      </c>
      <c r="CB842" s="55">
        <v>0</v>
      </c>
      <c r="CC842" s="55">
        <v>9.67</v>
      </c>
      <c r="CD842" s="55">
        <v>8.7799999999999994</v>
      </c>
      <c r="CE842" s="19">
        <v>9.1999999999999993</v>
      </c>
      <c r="CF842" s="19">
        <v>5.4</v>
      </c>
      <c r="CG842" s="4">
        <v>0</v>
      </c>
      <c r="CH842" s="4">
        <v>9.1199999999999992</v>
      </c>
      <c r="CI842" s="4">
        <v>11.25</v>
      </c>
      <c r="CJ842" s="34">
        <v>10.1</v>
      </c>
      <c r="CK842" s="34">
        <v>0</v>
      </c>
      <c r="CL842" s="34">
        <v>0</v>
      </c>
      <c r="CM842" s="4">
        <v>0</v>
      </c>
      <c r="CN842" s="53">
        <v>0</v>
      </c>
      <c r="CO842" s="54">
        <v>0</v>
      </c>
      <c r="CP842" s="54">
        <v>0</v>
      </c>
      <c r="CQ842" s="4">
        <v>0</v>
      </c>
    </row>
    <row r="843" spans="1:95" s="55" customFormat="1" x14ac:dyDescent="0.35">
      <c r="A843" s="55">
        <v>842</v>
      </c>
      <c r="B843" s="55" t="s">
        <v>108</v>
      </c>
      <c r="C843" s="27" t="s">
        <v>583</v>
      </c>
      <c r="D843" s="50" t="s">
        <v>102</v>
      </c>
      <c r="E843" s="33" t="s">
        <v>91</v>
      </c>
      <c r="F843" s="4">
        <f>IFERROR(AVERAGEIF(Table1[[#This Row],[2019-Apr]:[2025-July]],"&lt;&gt;0"),0)</f>
        <v>3.9087142857142876</v>
      </c>
      <c r="G843" s="4">
        <f ca="1">IFERROR(AVERAGEIF(OFFSET(Table1[[#This Row],[Status]],0,COUNT(Table1[[#This Row],[2019-May]:[2025-July]]),1,-12),"&lt;&gt;0"),0)</f>
        <v>1.96</v>
      </c>
      <c r="H843" s="55">
        <f>IFERROR(SMALL(Table1[[#This Row],[2019-Apr]:[2025-July]],COUNTIF(Table1[[#This Row],[2019-Apr]:[2025-July]],0)+1),0)</f>
        <v>1.0900000000000001</v>
      </c>
      <c r="I843" s="55">
        <f>IFERROR(MAX(Table1[[#This Row],[2019-Apr]:[2025-July]]),0)</f>
        <v>8.5690000000000008</v>
      </c>
      <c r="J843" s="4" cm="1">
        <f t="array" ref="J84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2.1966666666666668</v>
      </c>
      <c r="K843" s="4">
        <v>4.5</v>
      </c>
      <c r="L843" s="4">
        <f>IF(Table1[[#This Row],[Standard as per ISO]]&gt;=Table1[[#This Row],[Avg of best 6]],Table1[[#This Row],[Standard as per ISO]],Table1[[#This Row],[Avg of best 6]])</f>
        <v>4.5</v>
      </c>
      <c r="M843" s="4" cm="1">
        <f t="array" ref="M843">IFERROR(LOOKUP(2,1/(Table1[[#This Row],[2019-May]:[2025-July]]&lt;&gt;0),Table1[[#This Row],[2019-May]:[2025-July]]),0)</f>
        <v>2.83</v>
      </c>
      <c r="N843" s="4">
        <f>COUNTIF(Table1[[#This Row],[2019-Apr]:[2025-July]],"&gt;="&amp;Table1[[#This Row],[Target]])</f>
        <v>15</v>
      </c>
      <c r="O843" s="4">
        <f>IF(Table1[[#This Row],[Outliers 2Y]]=0,1,0)</f>
        <v>0</v>
      </c>
      <c r="P843" s="4">
        <f>IF(Table1[[#This Row],[Last value]]&gt;1.5*Table1[[#This Row],[Target]],1,0)</f>
        <v>0</v>
      </c>
      <c r="Q843" s="4">
        <f>IF(AND(1.5*Table1[[#This Row],[Target]]&gt;=Table1[[#This Row],[Last value]],Table1[[#This Row],[Last value]]&gt;Table1[[#This Row],[Target]]),1,0)</f>
        <v>0</v>
      </c>
      <c r="R843" s="4">
        <f>IF(Table1[[#This Row],[Target]]&gt;=Table1[[#This Row],[Last value]],1,0)</f>
        <v>1</v>
      </c>
      <c r="S843" s="4" t="str">
        <f t="shared" si="22"/>
        <v>Green</v>
      </c>
      <c r="T843" s="55">
        <v>3.5</v>
      </c>
      <c r="U843" s="55">
        <v>2.96</v>
      </c>
      <c r="V843" s="55">
        <v>3.03</v>
      </c>
      <c r="W843" s="55">
        <v>4.4000000000000004</v>
      </c>
      <c r="X843" s="55">
        <v>0</v>
      </c>
      <c r="Y843" s="55">
        <v>0</v>
      </c>
      <c r="Z843" s="55">
        <v>2.87</v>
      </c>
      <c r="AA843" s="55">
        <v>0</v>
      </c>
      <c r="AB843" s="55">
        <v>3.2</v>
      </c>
      <c r="AC843" s="55">
        <v>3.1</v>
      </c>
      <c r="AD843" s="55">
        <v>2.0499999999999998</v>
      </c>
      <c r="AE843" s="55">
        <v>4.2</v>
      </c>
      <c r="AF843" s="55">
        <v>0</v>
      </c>
      <c r="AG843" s="55">
        <v>0</v>
      </c>
      <c r="AH843" s="55">
        <v>0</v>
      </c>
      <c r="AI843" s="55">
        <v>0</v>
      </c>
      <c r="AJ843" s="55">
        <v>0</v>
      </c>
      <c r="AK843" s="55">
        <v>4.78</v>
      </c>
      <c r="AL843" s="55">
        <v>4.3</v>
      </c>
      <c r="AM843" s="55">
        <v>4.3</v>
      </c>
      <c r="AN843" s="55">
        <v>0</v>
      </c>
      <c r="AO843" s="55">
        <v>0</v>
      </c>
      <c r="AP843" s="55">
        <v>0</v>
      </c>
      <c r="AQ843" s="55">
        <v>3.12</v>
      </c>
      <c r="AR843" s="8">
        <v>0</v>
      </c>
      <c r="AS843" s="8">
        <v>4.5999999999999996</v>
      </c>
      <c r="AT843" s="8">
        <v>0</v>
      </c>
      <c r="AU843" s="50">
        <v>0</v>
      </c>
      <c r="AV843" s="50">
        <v>4.5999999999999996</v>
      </c>
      <c r="AW843" s="50">
        <v>3.49</v>
      </c>
      <c r="AX843" s="50">
        <v>1.66</v>
      </c>
      <c r="AY843" s="50">
        <v>0</v>
      </c>
      <c r="AZ843" s="50">
        <v>0</v>
      </c>
      <c r="BA843" s="50">
        <v>0</v>
      </c>
      <c r="BB843" s="50">
        <v>4.7</v>
      </c>
      <c r="BC843" s="50">
        <v>0</v>
      </c>
      <c r="BD843" s="55">
        <v>0</v>
      </c>
      <c r="BE843" s="11">
        <v>0</v>
      </c>
      <c r="BF843" s="4">
        <v>4.7910000000000004</v>
      </c>
      <c r="BG843" s="4">
        <v>2.68</v>
      </c>
      <c r="BH843" s="4">
        <v>5.19</v>
      </c>
      <c r="BI843" s="4">
        <v>3.4</v>
      </c>
      <c r="BJ843" s="14">
        <v>3.4</v>
      </c>
      <c r="BK843" s="14">
        <v>3.4</v>
      </c>
      <c r="BL843" s="4">
        <v>0</v>
      </c>
      <c r="BM843" s="17">
        <v>3.4</v>
      </c>
      <c r="BN843" s="4">
        <v>3.4</v>
      </c>
      <c r="BO843" s="4">
        <v>3.4</v>
      </c>
      <c r="BP843" s="4">
        <v>3.4</v>
      </c>
      <c r="BQ843" s="4">
        <v>6.2130000000000001</v>
      </c>
      <c r="BR843" s="4">
        <v>8.5690000000000008</v>
      </c>
      <c r="BS843" s="4">
        <v>4.5090000000000003</v>
      </c>
      <c r="BT843" s="4">
        <v>3.0550000000000002</v>
      </c>
      <c r="BU843" s="4">
        <v>4.6589999999999998</v>
      </c>
      <c r="BV843" s="4">
        <v>4.5</v>
      </c>
      <c r="BW843" s="4">
        <v>4.6639999999999997</v>
      </c>
      <c r="BX843" s="4">
        <v>0</v>
      </c>
      <c r="BY843" s="4">
        <v>5.4059999999999997</v>
      </c>
      <c r="BZ843" s="55">
        <v>4.12</v>
      </c>
      <c r="CA843" s="55">
        <v>3.91</v>
      </c>
      <c r="CB843" s="55">
        <v>4.74</v>
      </c>
      <c r="CC843" s="55">
        <v>4.58</v>
      </c>
      <c r="CD843" s="55">
        <v>0</v>
      </c>
      <c r="CE843" s="19">
        <v>0</v>
      </c>
      <c r="CF843" s="19">
        <v>0</v>
      </c>
      <c r="CG843" s="4">
        <v>1.0900000000000001</v>
      </c>
      <c r="CH843" s="4">
        <v>2.83</v>
      </c>
      <c r="CI843" s="4">
        <v>0</v>
      </c>
      <c r="CJ843" s="34">
        <v>0</v>
      </c>
      <c r="CK843" s="34">
        <v>0</v>
      </c>
      <c r="CL843" s="34">
        <v>0</v>
      </c>
      <c r="CM843" s="4">
        <v>0</v>
      </c>
      <c r="CN843" s="53">
        <v>0</v>
      </c>
      <c r="CO843" s="54">
        <v>0</v>
      </c>
      <c r="CP843" s="54">
        <v>0</v>
      </c>
      <c r="CQ843" s="4">
        <v>0</v>
      </c>
    </row>
    <row r="844" spans="1:95" s="55" customFormat="1" x14ac:dyDescent="0.35">
      <c r="A844" s="55">
        <v>843</v>
      </c>
      <c r="B844" s="55" t="s">
        <v>108</v>
      </c>
      <c r="C844" s="27" t="s">
        <v>584</v>
      </c>
      <c r="D844" s="50" t="s">
        <v>102</v>
      </c>
      <c r="E844" s="33" t="s">
        <v>91</v>
      </c>
      <c r="F844" s="4">
        <f>IFERROR(AVERAGEIF(Table1[[#This Row],[2019-Apr]:[2025-July]],"&lt;&gt;0"),0)</f>
        <v>3.576545454545454</v>
      </c>
      <c r="G844" s="4">
        <f ca="1">IFERROR(AVERAGEIF(OFFSET(Table1[[#This Row],[Status]],0,COUNT(Table1[[#This Row],[2019-May]:[2025-July]]),1,-12),"&lt;&gt;0"),0)</f>
        <v>3.7739999999999996</v>
      </c>
      <c r="H844" s="55">
        <f>IFERROR(SMALL(Table1[[#This Row],[2019-Apr]:[2025-July]],COUNTIF(Table1[[#This Row],[2019-Apr]:[2025-July]],0)+1),0)</f>
        <v>2.2010000000000001</v>
      </c>
      <c r="I844" s="55">
        <f>IFERROR(MAX(Table1[[#This Row],[2019-Apr]:[2025-July]]),0)</f>
        <v>6.5</v>
      </c>
      <c r="J844" s="4" cm="1">
        <f t="array" ref="J84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2.6084999999999998</v>
      </c>
      <c r="K844" s="4">
        <v>4.5</v>
      </c>
      <c r="L844" s="4">
        <f>IF(Table1[[#This Row],[Standard as per ISO]]&gt;=Table1[[#This Row],[Avg of best 6]],Table1[[#This Row],[Standard as per ISO]],Table1[[#This Row],[Avg of best 6]])</f>
        <v>4.5</v>
      </c>
      <c r="M844" s="4" cm="1">
        <f t="array" ref="M844">IFERROR(LOOKUP(2,1/(Table1[[#This Row],[2019-May]:[2025-July]]&lt;&gt;0),Table1[[#This Row],[2019-May]:[2025-July]]),0)</f>
        <v>2.9</v>
      </c>
      <c r="N844" s="4">
        <f>COUNTIF(Table1[[#This Row],[2019-Apr]:[2025-July]],"&gt;="&amp;Table1[[#This Row],[Target]])</f>
        <v>5</v>
      </c>
      <c r="O844" s="4">
        <f>IF(Table1[[#This Row],[Outliers 2Y]]=0,1,0)</f>
        <v>0</v>
      </c>
      <c r="P844" s="4">
        <f>IF(Table1[[#This Row],[Last value]]&gt;1.5*Table1[[#This Row],[Target]],1,0)</f>
        <v>0</v>
      </c>
      <c r="Q844" s="4">
        <f>IF(AND(1.5*Table1[[#This Row],[Target]]&gt;=Table1[[#This Row],[Last value]],Table1[[#This Row],[Last value]]&gt;Table1[[#This Row],[Target]]),1,0)</f>
        <v>0</v>
      </c>
      <c r="R844" s="4">
        <f>IF(Table1[[#This Row],[Target]]&gt;=Table1[[#This Row],[Last value]],1,0)</f>
        <v>1</v>
      </c>
      <c r="S844" s="4" t="str">
        <f t="shared" si="22"/>
        <v>Green</v>
      </c>
      <c r="T844" s="55">
        <v>3.99</v>
      </c>
      <c r="U844" s="55">
        <v>0</v>
      </c>
      <c r="V844" s="55">
        <v>0</v>
      </c>
      <c r="W844" s="55">
        <v>0</v>
      </c>
      <c r="X844" s="55">
        <v>3.08</v>
      </c>
      <c r="Y844" s="55">
        <v>5.26</v>
      </c>
      <c r="Z844" s="55">
        <v>0</v>
      </c>
      <c r="AA844" s="55">
        <v>2.72</v>
      </c>
      <c r="AB844" s="55">
        <v>0</v>
      </c>
      <c r="AC844" s="55">
        <v>0</v>
      </c>
      <c r="AD844" s="55">
        <v>0</v>
      </c>
      <c r="AE844" s="55">
        <v>0</v>
      </c>
      <c r="AF844" s="55">
        <v>2.2999999999999998</v>
      </c>
      <c r="AG844" s="55">
        <v>0</v>
      </c>
      <c r="AH844" s="55">
        <v>0</v>
      </c>
      <c r="AI844" s="55">
        <v>0</v>
      </c>
      <c r="AJ844" s="55">
        <v>2.89</v>
      </c>
      <c r="AK844" s="55">
        <v>3.11</v>
      </c>
      <c r="AL844" s="55">
        <v>0</v>
      </c>
      <c r="AM844" s="55">
        <v>0</v>
      </c>
      <c r="AN844" s="55">
        <v>6.5</v>
      </c>
      <c r="AO844" s="55">
        <v>3.28</v>
      </c>
      <c r="AP844" s="55">
        <v>3.45</v>
      </c>
      <c r="AQ844" s="55">
        <v>0</v>
      </c>
      <c r="AR844" s="8">
        <v>3.29</v>
      </c>
      <c r="AS844" s="8">
        <v>3.3</v>
      </c>
      <c r="AT844" s="8">
        <v>3.69</v>
      </c>
      <c r="AU844" s="50">
        <v>3.95</v>
      </c>
      <c r="AV844" s="50">
        <v>0</v>
      </c>
      <c r="AW844" s="50">
        <v>0</v>
      </c>
      <c r="AX844" s="50">
        <v>0</v>
      </c>
      <c r="AY844" s="50">
        <v>4.78</v>
      </c>
      <c r="AZ844" s="50">
        <v>3.47</v>
      </c>
      <c r="BA844" s="50">
        <v>3.2</v>
      </c>
      <c r="BB844" s="50">
        <v>0</v>
      </c>
      <c r="BC844" s="55">
        <v>3.1</v>
      </c>
      <c r="BD844" s="55">
        <v>0</v>
      </c>
      <c r="BE844" s="11">
        <v>2.6669999999999998</v>
      </c>
      <c r="BF844" s="4">
        <v>3.4980000000000002</v>
      </c>
      <c r="BG844" s="4">
        <v>0</v>
      </c>
      <c r="BH844" s="4">
        <v>2.2010000000000001</v>
      </c>
      <c r="BI844" s="4">
        <v>0</v>
      </c>
      <c r="BJ844" s="13">
        <v>3.782</v>
      </c>
      <c r="BK844" s="13">
        <v>0</v>
      </c>
      <c r="BL844" s="4">
        <v>3.1989999999999998</v>
      </c>
      <c r="BM844" s="16">
        <v>3.835</v>
      </c>
      <c r="BN844" s="4">
        <v>0</v>
      </c>
      <c r="BO844" s="4">
        <v>0</v>
      </c>
      <c r="BP844" s="4">
        <v>0</v>
      </c>
      <c r="BQ844" s="4">
        <v>0</v>
      </c>
      <c r="BR844" s="4">
        <v>2.8730000000000002</v>
      </c>
      <c r="BS844" s="4">
        <v>0</v>
      </c>
      <c r="BT844" s="4">
        <v>5.2850000000000001</v>
      </c>
      <c r="BU844" s="4">
        <v>0</v>
      </c>
      <c r="BV844" s="4">
        <v>0</v>
      </c>
      <c r="BW844" s="4">
        <v>0</v>
      </c>
      <c r="BX844" s="4">
        <v>3.496</v>
      </c>
      <c r="BY844" s="4">
        <v>0</v>
      </c>
      <c r="BZ844" s="55">
        <v>0</v>
      </c>
      <c r="CA844" s="55">
        <v>0</v>
      </c>
      <c r="CB844" s="55">
        <v>0</v>
      </c>
      <c r="CC844" s="55">
        <v>2.96</v>
      </c>
      <c r="CD844" s="55">
        <v>0</v>
      </c>
      <c r="CE844" s="19">
        <v>3.6</v>
      </c>
      <c r="CF844" s="19">
        <v>0</v>
      </c>
      <c r="CG844" s="4">
        <v>4.76</v>
      </c>
      <c r="CH844" s="4">
        <v>3.31</v>
      </c>
      <c r="CI844" s="4">
        <v>4.3</v>
      </c>
      <c r="CJ844" s="34">
        <v>2.9</v>
      </c>
      <c r="CK844" s="34">
        <v>0</v>
      </c>
      <c r="CL844" s="34">
        <v>0</v>
      </c>
      <c r="CM844" s="4">
        <v>0</v>
      </c>
      <c r="CN844" s="53">
        <v>0</v>
      </c>
      <c r="CO844" s="54">
        <v>0</v>
      </c>
      <c r="CP844" s="54">
        <v>0</v>
      </c>
      <c r="CQ844" s="4">
        <v>0</v>
      </c>
    </row>
    <row r="845" spans="1:95" s="55" customFormat="1" x14ac:dyDescent="0.35">
      <c r="A845" s="55">
        <v>844</v>
      </c>
      <c r="B845" s="55" t="s">
        <v>108</v>
      </c>
      <c r="C845" s="27" t="s">
        <v>585</v>
      </c>
      <c r="D845" s="50" t="s">
        <v>102</v>
      </c>
      <c r="E845" s="33" t="s">
        <v>91</v>
      </c>
      <c r="F845" s="4">
        <f>IFERROR(AVERAGEIF(Table1[[#This Row],[2019-Apr]:[2025-July]],"&lt;&gt;0"),0)</f>
        <v>10.595672413793105</v>
      </c>
      <c r="G845" s="4">
        <f ca="1">IFERROR(AVERAGEIF(OFFSET(Table1[[#This Row],[Status]],0,COUNT(Table1[[#This Row],[2019-May]:[2025-July]]),1,-12),"&lt;&gt;0"),0)</f>
        <v>7.9279999999999999</v>
      </c>
      <c r="H845" s="55">
        <f>IFERROR(SMALL(Table1[[#This Row],[2019-Apr]:[2025-July]],COUNTIF(Table1[[#This Row],[2019-Apr]:[2025-July]],0)+1),0)</f>
        <v>2.99</v>
      </c>
      <c r="I845" s="55">
        <f>IFERROR(MAX(Table1[[#This Row],[2019-Apr]:[2025-July]]),0)</f>
        <v>20.3</v>
      </c>
      <c r="J845" s="4" cm="1">
        <f t="array" ref="J84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4.125</v>
      </c>
      <c r="K845" s="4">
        <v>4.5</v>
      </c>
      <c r="L845" s="4">
        <f>IF(Table1[[#This Row],[Standard as per ISO]]&gt;=Table1[[#This Row],[Avg of best 6]],Table1[[#This Row],[Standard as per ISO]],Table1[[#This Row],[Avg of best 6]])</f>
        <v>4.5</v>
      </c>
      <c r="M845" s="4" cm="1">
        <f t="array" ref="M845">IFERROR(LOOKUP(2,1/(Table1[[#This Row],[2019-May]:[2025-July]]&lt;&gt;0),Table1[[#This Row],[2019-May]:[2025-July]]),0)</f>
        <v>11.1</v>
      </c>
      <c r="N845" s="4">
        <f>COUNTIF(Table1[[#This Row],[2019-Apr]:[2025-July]],"&gt;="&amp;Table1[[#This Row],[Target]])</f>
        <v>54</v>
      </c>
      <c r="O845" s="4">
        <f>IF(Table1[[#This Row],[Outliers 2Y]]=0,1,0)</f>
        <v>0</v>
      </c>
      <c r="P845" s="4">
        <f>IF(Table1[[#This Row],[Last value]]&gt;1.5*Table1[[#This Row],[Target]],1,0)</f>
        <v>1</v>
      </c>
      <c r="Q845" s="4">
        <f>IF(AND(1.5*Table1[[#This Row],[Target]]&gt;=Table1[[#This Row],[Last value]],Table1[[#This Row],[Last value]]&gt;Table1[[#This Row],[Target]]),1,0)</f>
        <v>0</v>
      </c>
      <c r="R845" s="4">
        <f>IF(Table1[[#This Row],[Target]]&gt;=Table1[[#This Row],[Last value]],1,0)</f>
        <v>0</v>
      </c>
      <c r="S845" s="4" t="str">
        <f t="shared" si="22"/>
        <v>Red</v>
      </c>
      <c r="T845" s="55">
        <v>7.88</v>
      </c>
      <c r="U845" s="55">
        <v>11.1</v>
      </c>
      <c r="V845" s="55">
        <v>9.83</v>
      </c>
      <c r="W845" s="55">
        <v>9.51</v>
      </c>
      <c r="X845" s="55">
        <v>9.44</v>
      </c>
      <c r="Y845" s="55">
        <v>9.4499999999999993</v>
      </c>
      <c r="Z845" s="55">
        <v>9.27</v>
      </c>
      <c r="AA845" s="55">
        <v>2.99</v>
      </c>
      <c r="AB845" s="55">
        <v>4.7</v>
      </c>
      <c r="AC845" s="55">
        <v>4.2</v>
      </c>
      <c r="AD845" s="55">
        <v>0</v>
      </c>
      <c r="AE845" s="55">
        <v>5.6</v>
      </c>
      <c r="AF845" s="55">
        <v>0</v>
      </c>
      <c r="AG845" s="55">
        <v>3</v>
      </c>
      <c r="AH845" s="55">
        <v>5.63</v>
      </c>
      <c r="AI845" s="55">
        <v>6.48</v>
      </c>
      <c r="AJ845" s="55">
        <v>4.26</v>
      </c>
      <c r="AK845" s="55">
        <v>6.36</v>
      </c>
      <c r="AL845" s="55">
        <v>12.5</v>
      </c>
      <c r="AM845" s="55">
        <v>11.6</v>
      </c>
      <c r="AN845" s="55">
        <v>11.8</v>
      </c>
      <c r="AO845" s="55">
        <v>10.7</v>
      </c>
      <c r="AP845" s="55">
        <v>20.3</v>
      </c>
      <c r="AQ845" s="55">
        <v>17.899999999999999</v>
      </c>
      <c r="AR845" s="8">
        <v>8.57</v>
      </c>
      <c r="AS845" s="8">
        <v>12</v>
      </c>
      <c r="AT845" s="8">
        <v>12.8</v>
      </c>
      <c r="AU845" s="50">
        <v>9.8699999999999992</v>
      </c>
      <c r="AV845" s="50">
        <v>12.9</v>
      </c>
      <c r="AW845" s="50">
        <v>16.5</v>
      </c>
      <c r="AX845" s="50">
        <v>12.9</v>
      </c>
      <c r="AY845" s="50">
        <v>14.1</v>
      </c>
      <c r="AZ845" s="50">
        <v>16</v>
      </c>
      <c r="BA845" s="50">
        <v>10.9</v>
      </c>
      <c r="BB845" s="50">
        <v>15.5</v>
      </c>
      <c r="BC845" s="55">
        <v>17.3</v>
      </c>
      <c r="BD845" s="55">
        <v>0</v>
      </c>
      <c r="BE845" s="11">
        <v>19.47</v>
      </c>
      <c r="BF845" s="4">
        <v>13.06</v>
      </c>
      <c r="BG845" s="4">
        <v>11.11</v>
      </c>
      <c r="BH845" s="4">
        <v>10.73</v>
      </c>
      <c r="BI845" s="4">
        <v>11</v>
      </c>
      <c r="BJ845" s="14">
        <v>13.08</v>
      </c>
      <c r="BK845" s="14">
        <v>10.54</v>
      </c>
      <c r="BL845" s="4">
        <v>12.01</v>
      </c>
      <c r="BM845" s="17">
        <v>13.31</v>
      </c>
      <c r="BN845" s="4">
        <v>11.92</v>
      </c>
      <c r="BO845" s="4">
        <v>11.93</v>
      </c>
      <c r="BP845" s="4">
        <v>13.51</v>
      </c>
      <c r="BQ845" s="4">
        <v>0</v>
      </c>
      <c r="BR845" s="4">
        <v>10.88</v>
      </c>
      <c r="BS845" s="4">
        <v>11.05</v>
      </c>
      <c r="BT845" s="4">
        <v>8.5670000000000002</v>
      </c>
      <c r="BU845" s="4">
        <v>8.0419999999999998</v>
      </c>
      <c r="BV845" s="4">
        <v>10.11</v>
      </c>
      <c r="BW845" s="4">
        <v>0</v>
      </c>
      <c r="BX845" s="4">
        <v>0</v>
      </c>
      <c r="BY845" s="4">
        <v>12.38</v>
      </c>
      <c r="BZ845" s="55">
        <v>0</v>
      </c>
      <c r="CA845" s="55">
        <v>8.3699999999999992</v>
      </c>
      <c r="CB845" s="55">
        <v>0</v>
      </c>
      <c r="CC845" s="55">
        <v>0</v>
      </c>
      <c r="CD845" s="55">
        <v>0</v>
      </c>
      <c r="CE845" s="19">
        <v>6.6</v>
      </c>
      <c r="CF845" s="19">
        <v>6.7</v>
      </c>
      <c r="CG845" s="4">
        <v>7.82</v>
      </c>
      <c r="CH845" s="4">
        <v>7.42</v>
      </c>
      <c r="CI845" s="4">
        <v>0</v>
      </c>
      <c r="CJ845" s="34">
        <v>11.1</v>
      </c>
      <c r="CK845" s="34">
        <v>0</v>
      </c>
      <c r="CL845" s="34">
        <v>0</v>
      </c>
      <c r="CM845" s="4">
        <v>0</v>
      </c>
      <c r="CN845" s="53">
        <v>0</v>
      </c>
      <c r="CO845" s="54">
        <v>0</v>
      </c>
      <c r="CP845" s="54">
        <v>0</v>
      </c>
      <c r="CQ845" s="4">
        <v>0</v>
      </c>
    </row>
    <row r="846" spans="1:95" s="55" customFormat="1" x14ac:dyDescent="0.35">
      <c r="A846" s="55">
        <v>845</v>
      </c>
      <c r="B846" s="55" t="s">
        <v>108</v>
      </c>
      <c r="C846" s="27" t="s">
        <v>586</v>
      </c>
      <c r="D846" s="50" t="s">
        <v>102</v>
      </c>
      <c r="E846" s="33" t="s">
        <v>91</v>
      </c>
      <c r="F846" s="4">
        <f>IFERROR(AVERAGEIF(Table1[[#This Row],[2019-Apr]:[2025-July]],"&lt;&gt;0"),0)</f>
        <v>10.489452830188686</v>
      </c>
      <c r="G846" s="4">
        <f ca="1">IFERROR(AVERAGEIF(OFFSET(Table1[[#This Row],[Status]],0,COUNT(Table1[[#This Row],[2019-May]:[2025-July]]),1,-12),"&lt;&gt;0"),0)</f>
        <v>12.370000000000001</v>
      </c>
      <c r="H846" s="55">
        <f>IFERROR(SMALL(Table1[[#This Row],[2019-Apr]:[2025-July]],COUNTIF(Table1[[#This Row],[2019-Apr]:[2025-July]],0)+1),0)</f>
        <v>4.9000000000000004</v>
      </c>
      <c r="I846" s="55">
        <f>IFERROR(MAX(Table1[[#This Row],[2019-Apr]:[2025-July]]),0)</f>
        <v>17.7</v>
      </c>
      <c r="J846" s="4" cm="1">
        <f t="array" ref="J84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6.0933333333333337</v>
      </c>
      <c r="K846" s="4">
        <v>4.5</v>
      </c>
      <c r="L846" s="4">
        <f>IF(Table1[[#This Row],[Standard as per ISO]]&gt;=Table1[[#This Row],[Avg of best 6]],Table1[[#This Row],[Standard as per ISO]],Table1[[#This Row],[Avg of best 6]])</f>
        <v>6.0933333333333337</v>
      </c>
      <c r="M846" s="4" cm="1">
        <f t="array" ref="M846">IFERROR(LOOKUP(2,1/(Table1[[#This Row],[2019-May]:[2025-July]]&lt;&gt;0),Table1[[#This Row],[2019-May]:[2025-July]]),0)</f>
        <v>17.2</v>
      </c>
      <c r="N846" s="4">
        <f>COUNTIF(Table1[[#This Row],[2019-Apr]:[2025-July]],"&gt;="&amp;Table1[[#This Row],[Target]])</f>
        <v>50</v>
      </c>
      <c r="O846" s="4">
        <f>IF(Table1[[#This Row],[Outliers 2Y]]=0,1,0)</f>
        <v>0</v>
      </c>
      <c r="P846" s="4">
        <f>IF(Table1[[#This Row],[Last value]]&gt;1.5*Table1[[#This Row],[Target]],1,0)</f>
        <v>1</v>
      </c>
      <c r="Q846" s="4">
        <f>IF(AND(1.5*Table1[[#This Row],[Target]]&gt;=Table1[[#This Row],[Last value]],Table1[[#This Row],[Last value]]&gt;Table1[[#This Row],[Target]]),1,0)</f>
        <v>0</v>
      </c>
      <c r="R846" s="4">
        <f>IF(Table1[[#This Row],[Target]]&gt;=Table1[[#This Row],[Last value]],1,0)</f>
        <v>0</v>
      </c>
      <c r="S846" s="4" t="str">
        <f t="shared" si="22"/>
        <v>Red</v>
      </c>
      <c r="T846" s="55">
        <v>8.9</v>
      </c>
      <c r="U846" s="55">
        <v>10.6</v>
      </c>
      <c r="V846" s="55">
        <v>11.8</v>
      </c>
      <c r="W846" s="55">
        <v>13.7</v>
      </c>
      <c r="X846" s="55">
        <v>5.85</v>
      </c>
      <c r="Y846" s="55">
        <v>5.12</v>
      </c>
      <c r="Z846" s="55">
        <v>14.1</v>
      </c>
      <c r="AA846" s="55">
        <v>7.29</v>
      </c>
      <c r="AB846" s="55">
        <v>6.8</v>
      </c>
      <c r="AC846" s="55">
        <v>7.3</v>
      </c>
      <c r="AD846" s="55">
        <v>17.7</v>
      </c>
      <c r="AE846" s="55">
        <v>10.4</v>
      </c>
      <c r="AF846" s="55">
        <v>4.9000000000000004</v>
      </c>
      <c r="AG846" s="55">
        <v>6.6</v>
      </c>
      <c r="AH846" s="55">
        <v>0</v>
      </c>
      <c r="AI846" s="55">
        <v>0</v>
      </c>
      <c r="AJ846" s="55">
        <v>13</v>
      </c>
      <c r="AK846" s="55">
        <v>12.5</v>
      </c>
      <c r="AL846" s="55">
        <v>0</v>
      </c>
      <c r="AM846" s="55">
        <v>12.2</v>
      </c>
      <c r="AN846" s="55">
        <v>13.8</v>
      </c>
      <c r="AO846" s="55">
        <v>8.1300000000000008</v>
      </c>
      <c r="AP846" s="55">
        <v>15.3</v>
      </c>
      <c r="AQ846" s="55">
        <v>0</v>
      </c>
      <c r="AR846" s="8">
        <v>0</v>
      </c>
      <c r="AS846" s="8">
        <v>11.3</v>
      </c>
      <c r="AT846" s="8">
        <v>0</v>
      </c>
      <c r="AU846" s="50">
        <v>12.7</v>
      </c>
      <c r="AV846" s="50">
        <v>0</v>
      </c>
      <c r="AW846" s="50">
        <v>9.4700000000000006</v>
      </c>
      <c r="AX846" s="50">
        <v>11.3</v>
      </c>
      <c r="AY846" s="50">
        <v>0</v>
      </c>
      <c r="AZ846" s="50">
        <v>0</v>
      </c>
      <c r="BA846" s="50">
        <v>0</v>
      </c>
      <c r="BB846" s="50">
        <v>0</v>
      </c>
      <c r="BC846" s="50">
        <v>0</v>
      </c>
      <c r="BD846" s="55">
        <v>0</v>
      </c>
      <c r="BE846" s="11">
        <v>10.39</v>
      </c>
      <c r="BF846" s="4">
        <v>11.3</v>
      </c>
      <c r="BG846" s="4">
        <v>13.56</v>
      </c>
      <c r="BH846" s="4">
        <v>8.1470000000000002</v>
      </c>
      <c r="BI846" s="4">
        <v>11.72</v>
      </c>
      <c r="BJ846" s="13">
        <v>10.08</v>
      </c>
      <c r="BK846" s="13">
        <v>11.37</v>
      </c>
      <c r="BL846" s="4">
        <v>7.7560000000000002</v>
      </c>
      <c r="BM846" s="16">
        <v>10.55</v>
      </c>
      <c r="BN846" s="4">
        <v>11.66</v>
      </c>
      <c r="BO846" s="4">
        <v>12.73</v>
      </c>
      <c r="BP846" s="4">
        <v>10.47</v>
      </c>
      <c r="BQ846" s="4">
        <v>10.25</v>
      </c>
      <c r="BR846" s="4">
        <v>8.2949999999999999</v>
      </c>
      <c r="BS846" s="4">
        <v>0</v>
      </c>
      <c r="BT846" s="4">
        <v>11.3</v>
      </c>
      <c r="BU846" s="4">
        <v>8.7089999999999996</v>
      </c>
      <c r="BV846" s="4">
        <v>0</v>
      </c>
      <c r="BW846" s="4">
        <v>7.8010000000000002</v>
      </c>
      <c r="BX846" s="4">
        <v>10.29</v>
      </c>
      <c r="BY846" s="4">
        <v>8.7829999999999995</v>
      </c>
      <c r="BZ846" s="55">
        <v>8.82</v>
      </c>
      <c r="CA846" s="55">
        <v>9.4700000000000006</v>
      </c>
      <c r="CB846" s="55">
        <v>9.58</v>
      </c>
      <c r="CC846" s="55">
        <v>10.73</v>
      </c>
      <c r="CD846" s="55">
        <v>9.57</v>
      </c>
      <c r="CE846" s="19">
        <v>8.9</v>
      </c>
      <c r="CF846" s="19">
        <v>11.2</v>
      </c>
      <c r="CG846" s="4">
        <v>13.07</v>
      </c>
      <c r="CH846" s="4">
        <v>11.48</v>
      </c>
      <c r="CI846" s="4">
        <v>0</v>
      </c>
      <c r="CJ846" s="34">
        <v>17.2</v>
      </c>
      <c r="CK846" s="34">
        <v>0</v>
      </c>
      <c r="CL846" s="34">
        <v>0</v>
      </c>
      <c r="CM846" s="4">
        <v>0</v>
      </c>
      <c r="CN846" s="53">
        <v>0</v>
      </c>
      <c r="CO846" s="54">
        <v>0</v>
      </c>
      <c r="CP846" s="54">
        <v>0</v>
      </c>
      <c r="CQ846" s="4">
        <v>0</v>
      </c>
    </row>
    <row r="847" spans="1:95" s="55" customFormat="1" x14ac:dyDescent="0.35">
      <c r="A847" s="55">
        <v>846</v>
      </c>
      <c r="B847" s="55" t="s">
        <v>108</v>
      </c>
      <c r="C847" s="27" t="s">
        <v>587</v>
      </c>
      <c r="D847" s="50" t="s">
        <v>102</v>
      </c>
      <c r="E847" s="33" t="s">
        <v>91</v>
      </c>
      <c r="F847" s="4">
        <f>IFERROR(AVERAGEIF(Table1[[#This Row],[2019-Apr]:[2025-July]],"&lt;&gt;0"),0)</f>
        <v>10.476633333333332</v>
      </c>
      <c r="G847" s="4">
        <f ca="1">IFERROR(AVERAGEIF(OFFSET(Table1[[#This Row],[Status]],0,COUNT(Table1[[#This Row],[2019-May]:[2025-July]]),1,-12),"&lt;&gt;0"),0)</f>
        <v>10.08</v>
      </c>
      <c r="H847" s="55">
        <f>IFERROR(SMALL(Table1[[#This Row],[2019-Apr]:[2025-July]],COUNTIF(Table1[[#This Row],[2019-Apr]:[2025-July]],0)+1),0)</f>
        <v>7.27</v>
      </c>
      <c r="I847" s="55">
        <f>IFERROR(MAX(Table1[[#This Row],[2019-Apr]:[2025-July]]),0)</f>
        <v>19.100000000000001</v>
      </c>
      <c r="J847" s="4" cm="1">
        <f t="array" ref="J84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8.0528333333333322</v>
      </c>
      <c r="K847" s="4">
        <v>4.5</v>
      </c>
      <c r="L847" s="4">
        <f>IF(Table1[[#This Row],[Standard as per ISO]]&gt;=Table1[[#This Row],[Avg of best 6]],Table1[[#This Row],[Standard as per ISO]],Table1[[#This Row],[Avg of best 6]])</f>
        <v>8.0528333333333322</v>
      </c>
      <c r="M847" s="4" cm="1">
        <f t="array" ref="M847">IFERROR(LOOKUP(2,1/(Table1[[#This Row],[2019-May]:[2025-July]]&lt;&gt;0),Table1[[#This Row],[2019-May]:[2025-July]]),0)</f>
        <v>11.55</v>
      </c>
      <c r="N847" s="4">
        <f>COUNTIF(Table1[[#This Row],[2019-Apr]:[2025-July]],"&gt;="&amp;Table1[[#This Row],[Target]])</f>
        <v>27</v>
      </c>
      <c r="O847" s="4">
        <f>IF(Table1[[#This Row],[Outliers 2Y]]=0,1,0)</f>
        <v>0</v>
      </c>
      <c r="P847" s="4">
        <f>IF(Table1[[#This Row],[Last value]]&gt;1.5*Table1[[#This Row],[Target]],1,0)</f>
        <v>0</v>
      </c>
      <c r="Q847" s="4">
        <f>IF(AND(1.5*Table1[[#This Row],[Target]]&gt;=Table1[[#This Row],[Last value]],Table1[[#This Row],[Last value]]&gt;Table1[[#This Row],[Target]]),1,0)</f>
        <v>1</v>
      </c>
      <c r="R847" s="4">
        <f>IF(Table1[[#This Row],[Target]]&gt;=Table1[[#This Row],[Last value]],1,0)</f>
        <v>0</v>
      </c>
      <c r="S847" s="4" t="str">
        <f t="shared" si="22"/>
        <v>Yellow</v>
      </c>
      <c r="T847" s="55">
        <v>0</v>
      </c>
      <c r="U847" s="55">
        <v>0</v>
      </c>
      <c r="V847" s="55">
        <v>0</v>
      </c>
      <c r="W847" s="55">
        <v>0</v>
      </c>
      <c r="X847" s="55">
        <v>0</v>
      </c>
      <c r="Y847" s="55">
        <v>0</v>
      </c>
      <c r="Z847" s="55">
        <v>0</v>
      </c>
      <c r="AA847" s="55">
        <v>9.43</v>
      </c>
      <c r="AB847" s="55">
        <v>0</v>
      </c>
      <c r="AC847" s="55">
        <v>0</v>
      </c>
      <c r="AD847" s="55">
        <v>0</v>
      </c>
      <c r="AE847" s="55">
        <v>0</v>
      </c>
      <c r="AF847" s="55">
        <v>0</v>
      </c>
      <c r="AG847" s="55">
        <v>0</v>
      </c>
      <c r="AH847" s="55">
        <v>0</v>
      </c>
      <c r="AI847" s="55">
        <v>0</v>
      </c>
      <c r="AJ847" s="55">
        <v>0</v>
      </c>
      <c r="AK847" s="55">
        <v>0</v>
      </c>
      <c r="AL847" s="55">
        <v>8.6999999999999993</v>
      </c>
      <c r="AM847" s="55">
        <v>0</v>
      </c>
      <c r="AN847" s="55">
        <v>0</v>
      </c>
      <c r="AO847" s="55">
        <v>0</v>
      </c>
      <c r="AP847" s="55">
        <v>0</v>
      </c>
      <c r="AQ847" s="55">
        <v>15.1</v>
      </c>
      <c r="AR847" s="8">
        <v>10</v>
      </c>
      <c r="AS847" s="8">
        <v>0</v>
      </c>
      <c r="AT847" s="8">
        <v>11.4</v>
      </c>
      <c r="AU847" s="50">
        <v>0</v>
      </c>
      <c r="AV847" s="50">
        <v>19.100000000000001</v>
      </c>
      <c r="AW847" s="50">
        <v>9.68</v>
      </c>
      <c r="AX847" s="50">
        <v>0</v>
      </c>
      <c r="AY847" s="50">
        <v>12.7</v>
      </c>
      <c r="AZ847" s="50">
        <v>16.399999999999999</v>
      </c>
      <c r="BA847" s="50">
        <v>9.3000000000000007</v>
      </c>
      <c r="BB847" s="50">
        <v>9.5</v>
      </c>
      <c r="BC847" s="55">
        <v>9.9</v>
      </c>
      <c r="BD847" s="55">
        <v>0</v>
      </c>
      <c r="BE847" s="11">
        <v>11.11</v>
      </c>
      <c r="BF847" s="4">
        <v>11.11</v>
      </c>
      <c r="BG847" s="4">
        <v>0</v>
      </c>
      <c r="BH847" s="4">
        <v>9.9499999999999993</v>
      </c>
      <c r="BI847" s="4">
        <v>0</v>
      </c>
      <c r="BJ847" s="14">
        <v>0</v>
      </c>
      <c r="BK847" s="14">
        <v>10.119999999999999</v>
      </c>
      <c r="BL847" s="4">
        <v>0</v>
      </c>
      <c r="BM847" s="17">
        <v>11.51</v>
      </c>
      <c r="BN847" s="4">
        <v>0</v>
      </c>
      <c r="BO847" s="4">
        <v>13.82</v>
      </c>
      <c r="BP847" s="4">
        <v>0</v>
      </c>
      <c r="BQ847" s="4">
        <v>7.5030000000000001</v>
      </c>
      <c r="BR847" s="4">
        <v>0</v>
      </c>
      <c r="BS847" s="4">
        <v>9.7609999999999992</v>
      </c>
      <c r="BT847" s="4">
        <v>9.83</v>
      </c>
      <c r="BU847" s="4">
        <v>8.4209999999999994</v>
      </c>
      <c r="BV847" s="4">
        <v>8.8010000000000002</v>
      </c>
      <c r="BW847" s="4">
        <v>8.484</v>
      </c>
      <c r="BX847" s="4">
        <v>8.5990000000000002</v>
      </c>
      <c r="BY847" s="4">
        <v>0</v>
      </c>
      <c r="BZ847" s="55">
        <v>8.0399999999999991</v>
      </c>
      <c r="CA847" s="55">
        <v>0</v>
      </c>
      <c r="CB847" s="55">
        <v>7.27</v>
      </c>
      <c r="CC847" s="55">
        <v>8.6</v>
      </c>
      <c r="CD847" s="55">
        <v>0</v>
      </c>
      <c r="CE847" s="19">
        <v>0</v>
      </c>
      <c r="CF847" s="19">
        <v>0</v>
      </c>
      <c r="CG847" s="4">
        <v>0</v>
      </c>
      <c r="CH847" s="4">
        <v>8.61</v>
      </c>
      <c r="CI847" s="4">
        <v>11.55</v>
      </c>
      <c r="CJ847" s="34">
        <v>0</v>
      </c>
      <c r="CK847" s="34">
        <v>0</v>
      </c>
      <c r="CL847" s="34">
        <v>0</v>
      </c>
      <c r="CM847" s="4">
        <v>0</v>
      </c>
      <c r="CN847" s="53">
        <v>0</v>
      </c>
      <c r="CO847" s="54">
        <v>0</v>
      </c>
      <c r="CP847" s="54">
        <v>0</v>
      </c>
      <c r="CQ847" s="4">
        <v>0</v>
      </c>
    </row>
    <row r="848" spans="1:95" s="55" customFormat="1" x14ac:dyDescent="0.35">
      <c r="A848" s="55">
        <v>847</v>
      </c>
      <c r="B848" s="55" t="s">
        <v>108</v>
      </c>
      <c r="C848" s="27" t="s">
        <v>588</v>
      </c>
      <c r="D848" s="50" t="s">
        <v>102</v>
      </c>
      <c r="E848" s="33" t="s">
        <v>91</v>
      </c>
      <c r="F848" s="4">
        <f>IFERROR(AVERAGEIF(Table1[[#This Row],[2019-Apr]:[2025-July]],"&lt;&gt;0"),0)</f>
        <v>11.078400000000004</v>
      </c>
      <c r="G848" s="4">
        <f ca="1">IFERROR(AVERAGEIF(OFFSET(Table1[[#This Row],[Status]],0,COUNT(Table1[[#This Row],[2019-May]:[2025-July]]),1,-12),"&lt;&gt;0"),0)</f>
        <v>15.077500000000001</v>
      </c>
      <c r="H848" s="55">
        <f>IFERROR(SMALL(Table1[[#This Row],[2019-Apr]:[2025-July]],COUNTIF(Table1[[#This Row],[2019-Apr]:[2025-July]],0)+1),0)</f>
        <v>5.34</v>
      </c>
      <c r="I848" s="55">
        <f>IFERROR(MAX(Table1[[#This Row],[2019-Apr]:[2025-July]]),0)</f>
        <v>21.89</v>
      </c>
      <c r="J848" s="4" cm="1">
        <f t="array" ref="J84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6.5653333333333324</v>
      </c>
      <c r="K848" s="4">
        <v>4.5</v>
      </c>
      <c r="L848" s="4">
        <f>IF(Table1[[#This Row],[Standard as per ISO]]&gt;=Table1[[#This Row],[Avg of best 6]],Table1[[#This Row],[Standard as per ISO]],Table1[[#This Row],[Avg of best 6]])</f>
        <v>6.5653333333333324</v>
      </c>
      <c r="M848" s="4" cm="1">
        <f t="array" ref="M848">IFERROR(LOOKUP(2,1/(Table1[[#This Row],[2019-May]:[2025-July]]&lt;&gt;0),Table1[[#This Row],[2019-May]:[2025-July]]),0)</f>
        <v>13.1</v>
      </c>
      <c r="N848" s="4">
        <f>COUNTIF(Table1[[#This Row],[2019-Apr]:[2025-July]],"&gt;="&amp;Table1[[#This Row],[Target]])</f>
        <v>57</v>
      </c>
      <c r="O848" s="4">
        <f>IF(Table1[[#This Row],[Outliers 2Y]]=0,1,0)</f>
        <v>0</v>
      </c>
      <c r="P848" s="4">
        <f>IF(Table1[[#This Row],[Last value]]&gt;1.5*Table1[[#This Row],[Target]],1,0)</f>
        <v>1</v>
      </c>
      <c r="Q848" s="4">
        <f>IF(AND(1.5*Table1[[#This Row],[Target]]&gt;=Table1[[#This Row],[Last value]],Table1[[#This Row],[Last value]]&gt;Table1[[#This Row],[Target]]),1,0)</f>
        <v>0</v>
      </c>
      <c r="R848" s="4">
        <f>IF(Table1[[#This Row],[Target]]&gt;=Table1[[#This Row],[Last value]],1,0)</f>
        <v>0</v>
      </c>
      <c r="S848" s="4" t="str">
        <f t="shared" si="22"/>
        <v>Red</v>
      </c>
      <c r="T848" s="55">
        <v>7.74</v>
      </c>
      <c r="U848" s="55">
        <v>11.8</v>
      </c>
      <c r="V848" s="55">
        <v>11</v>
      </c>
      <c r="W848" s="55">
        <v>11.6</v>
      </c>
      <c r="X848" s="55">
        <v>8.92</v>
      </c>
      <c r="Y848" s="55">
        <v>0</v>
      </c>
      <c r="Z848" s="55">
        <v>5.34</v>
      </c>
      <c r="AA848" s="55">
        <v>18.3</v>
      </c>
      <c r="AB848" s="55">
        <v>14.5</v>
      </c>
      <c r="AC848" s="55">
        <v>10.7</v>
      </c>
      <c r="AD848" s="55">
        <v>12.5</v>
      </c>
      <c r="AE848" s="55">
        <v>19.899999999999999</v>
      </c>
      <c r="AF848" s="55">
        <v>0</v>
      </c>
      <c r="AG848" s="55">
        <v>6.9</v>
      </c>
      <c r="AH848" s="55">
        <v>6.45</v>
      </c>
      <c r="AI848" s="55">
        <v>0</v>
      </c>
      <c r="AJ848" s="55">
        <v>12.8</v>
      </c>
      <c r="AK848" s="55">
        <v>13.9</v>
      </c>
      <c r="AL848" s="55">
        <v>14.3</v>
      </c>
      <c r="AM848" s="55">
        <v>16.399999999999999</v>
      </c>
      <c r="AN848" s="55">
        <v>0</v>
      </c>
      <c r="AO848" s="55">
        <v>13.7</v>
      </c>
      <c r="AP848" s="55">
        <v>14.5</v>
      </c>
      <c r="AQ848" s="55">
        <v>13.9</v>
      </c>
      <c r="AR848" s="8">
        <v>8.4</v>
      </c>
      <c r="AS848" s="8">
        <v>8.3000000000000007</v>
      </c>
      <c r="AT848" s="8">
        <v>17</v>
      </c>
      <c r="AU848" s="50">
        <v>8.68</v>
      </c>
      <c r="AV848" s="50">
        <v>11</v>
      </c>
      <c r="AW848" s="50">
        <v>9</v>
      </c>
      <c r="AX848" s="50">
        <v>9.6300000000000008</v>
      </c>
      <c r="AY848" s="50">
        <v>11.6</v>
      </c>
      <c r="AZ848" s="50">
        <v>8.6999999999999993</v>
      </c>
      <c r="BA848" s="50">
        <v>7.8</v>
      </c>
      <c r="BB848" s="50">
        <v>6.8</v>
      </c>
      <c r="BC848" s="50">
        <v>0</v>
      </c>
      <c r="BD848" s="55">
        <v>0</v>
      </c>
      <c r="BE848" s="11">
        <v>8.9540000000000006</v>
      </c>
      <c r="BF848" s="4">
        <v>8.9540000000000006</v>
      </c>
      <c r="BG848" s="4">
        <v>8.9540000000000006</v>
      </c>
      <c r="BH848" s="4">
        <v>14.42</v>
      </c>
      <c r="BI848" s="4">
        <v>7.6230000000000002</v>
      </c>
      <c r="BJ848" s="13">
        <v>14.73</v>
      </c>
      <c r="BK848" s="13">
        <v>11.83</v>
      </c>
      <c r="BL848" s="4">
        <v>8.8680000000000003</v>
      </c>
      <c r="BM848" s="16">
        <v>8.7859999999999996</v>
      </c>
      <c r="BN848" s="4">
        <v>10.9</v>
      </c>
      <c r="BO848" s="4">
        <v>9.5359999999999996</v>
      </c>
      <c r="BP848" s="4">
        <v>8.8279999999999994</v>
      </c>
      <c r="BQ848" s="4">
        <v>10.75</v>
      </c>
      <c r="BR848" s="4">
        <v>9.3800000000000008</v>
      </c>
      <c r="BS848" s="4">
        <v>6.2789999999999999</v>
      </c>
      <c r="BT848" s="4">
        <v>12.32</v>
      </c>
      <c r="BU848" s="4">
        <v>10.81</v>
      </c>
      <c r="BV848" s="4">
        <v>9.8179999999999996</v>
      </c>
      <c r="BW848" s="4">
        <v>10.45</v>
      </c>
      <c r="BX848" s="4">
        <v>9.2140000000000004</v>
      </c>
      <c r="BY848" s="4">
        <v>8.43</v>
      </c>
      <c r="BZ848" s="55">
        <v>9.35</v>
      </c>
      <c r="CA848" s="55">
        <v>12.46</v>
      </c>
      <c r="CB848" s="55">
        <v>11.86</v>
      </c>
      <c r="CC848" s="55">
        <v>8.83</v>
      </c>
      <c r="CD848" s="55">
        <v>0</v>
      </c>
      <c r="CE848" s="19">
        <v>0</v>
      </c>
      <c r="CF848" s="19">
        <v>0</v>
      </c>
      <c r="CG848" s="4">
        <v>11.88</v>
      </c>
      <c r="CH848" s="4">
        <v>21.89</v>
      </c>
      <c r="CI848" s="4">
        <v>13.44</v>
      </c>
      <c r="CJ848" s="34">
        <v>13.1</v>
      </c>
      <c r="CK848" s="34">
        <v>0</v>
      </c>
      <c r="CL848" s="34">
        <v>0</v>
      </c>
      <c r="CM848" s="4">
        <v>0</v>
      </c>
      <c r="CN848" s="53">
        <v>0</v>
      </c>
      <c r="CO848" s="54">
        <v>0</v>
      </c>
      <c r="CP848" s="54">
        <v>0</v>
      </c>
      <c r="CQ848" s="4">
        <v>0</v>
      </c>
    </row>
    <row r="849" spans="1:95" s="55" customFormat="1" x14ac:dyDescent="0.35">
      <c r="A849" s="55">
        <v>848</v>
      </c>
      <c r="B849" s="55" t="s">
        <v>108</v>
      </c>
      <c r="C849" s="27" t="s">
        <v>589</v>
      </c>
      <c r="D849" s="50" t="s">
        <v>102</v>
      </c>
      <c r="E849" s="33" t="s">
        <v>91</v>
      </c>
      <c r="F849" s="4">
        <f>IFERROR(AVERAGEIF(Table1[[#This Row],[2019-Apr]:[2025-July]],"&lt;&gt;0"),0)</f>
        <v>9.8878437499999983</v>
      </c>
      <c r="G849" s="4">
        <f ca="1">IFERROR(AVERAGEIF(OFFSET(Table1[[#This Row],[Status]],0,COUNT(Table1[[#This Row],[2019-May]:[2025-July]]),1,-12),"&lt;&gt;0"),0)</f>
        <v>8.0224999999999991</v>
      </c>
      <c r="H849" s="55">
        <f>IFERROR(SMALL(Table1[[#This Row],[2019-Apr]:[2025-July]],COUNTIF(Table1[[#This Row],[2019-Apr]:[2025-July]],0)+1),0)</f>
        <v>2</v>
      </c>
      <c r="I849" s="55">
        <f>IFERROR(MAX(Table1[[#This Row],[2019-Apr]:[2025-July]]),0)</f>
        <v>17.84</v>
      </c>
      <c r="J849" s="4" cm="1">
        <f t="array" ref="J84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6.0149999999999997</v>
      </c>
      <c r="K849" s="4">
        <v>4.5</v>
      </c>
      <c r="L849" s="4">
        <f>IF(Table1[[#This Row],[Standard as per ISO]]&gt;=Table1[[#This Row],[Avg of best 6]],Table1[[#This Row],[Standard as per ISO]],Table1[[#This Row],[Avg of best 6]])</f>
        <v>6.0149999999999997</v>
      </c>
      <c r="M849" s="4" cm="1">
        <f t="array" ref="M849">IFERROR(LOOKUP(2,1/(Table1[[#This Row],[2019-May]:[2025-July]]&lt;&gt;0),Table1[[#This Row],[2019-May]:[2025-July]]),0)</f>
        <v>2</v>
      </c>
      <c r="N849" s="4">
        <f>COUNTIF(Table1[[#This Row],[2019-Apr]:[2025-July]],"&gt;="&amp;Table1[[#This Row],[Target]])</f>
        <v>63</v>
      </c>
      <c r="O849" s="4">
        <f>IF(Table1[[#This Row],[Outliers 2Y]]=0,1,0)</f>
        <v>0</v>
      </c>
      <c r="P849" s="4">
        <f>IF(Table1[[#This Row],[Last value]]&gt;1.5*Table1[[#This Row],[Target]],1,0)</f>
        <v>0</v>
      </c>
      <c r="Q849" s="4">
        <f>IF(AND(1.5*Table1[[#This Row],[Target]]&gt;=Table1[[#This Row],[Last value]],Table1[[#This Row],[Last value]]&gt;Table1[[#This Row],[Target]]),1,0)</f>
        <v>0</v>
      </c>
      <c r="R849" s="4">
        <f>IF(Table1[[#This Row],[Target]]&gt;=Table1[[#This Row],[Last value]],1,0)</f>
        <v>1</v>
      </c>
      <c r="S849" s="4" t="str">
        <f t="shared" si="22"/>
        <v>Green</v>
      </c>
      <c r="T849" s="55">
        <v>7.79</v>
      </c>
      <c r="U849" s="55">
        <v>7.08</v>
      </c>
      <c r="V849" s="55">
        <v>8.27</v>
      </c>
      <c r="W849" s="55">
        <v>8.93</v>
      </c>
      <c r="X849" s="55">
        <v>6.71</v>
      </c>
      <c r="Y849" s="55">
        <v>8.26</v>
      </c>
      <c r="Z849" s="55">
        <v>7.95</v>
      </c>
      <c r="AA849" s="55">
        <v>9.43</v>
      </c>
      <c r="AB849" s="55">
        <v>6.9</v>
      </c>
      <c r="AC849" s="55">
        <v>6.6</v>
      </c>
      <c r="AD849" s="55">
        <v>7.81</v>
      </c>
      <c r="AE849" s="55">
        <v>6.8</v>
      </c>
      <c r="AF849" s="55">
        <v>7.2</v>
      </c>
      <c r="AG849" s="55">
        <v>7.2</v>
      </c>
      <c r="AH849" s="55">
        <v>0</v>
      </c>
      <c r="AI849" s="55">
        <v>0</v>
      </c>
      <c r="AJ849" s="55">
        <v>8.76</v>
      </c>
      <c r="AK849" s="55">
        <v>7.87</v>
      </c>
      <c r="AL849" s="55">
        <v>9.8000000000000007</v>
      </c>
      <c r="AM849" s="55">
        <v>12.3</v>
      </c>
      <c r="AN849" s="55">
        <v>12.2</v>
      </c>
      <c r="AO849" s="55">
        <v>12.4</v>
      </c>
      <c r="AP849" s="55">
        <v>13.2</v>
      </c>
      <c r="AQ849" s="55">
        <v>14.2</v>
      </c>
      <c r="AR849" s="8">
        <v>12.9</v>
      </c>
      <c r="AS849" s="8">
        <v>13.5</v>
      </c>
      <c r="AT849" s="8">
        <v>13.5</v>
      </c>
      <c r="AU849" s="50">
        <v>10.1</v>
      </c>
      <c r="AV849" s="50">
        <v>12.1</v>
      </c>
      <c r="AW849" s="50">
        <v>11.7</v>
      </c>
      <c r="AX849" s="50">
        <v>8.8000000000000007</v>
      </c>
      <c r="AY849" s="50">
        <v>10.3</v>
      </c>
      <c r="AZ849" s="50">
        <v>13.8</v>
      </c>
      <c r="BA849" s="50">
        <v>8.9</v>
      </c>
      <c r="BB849" s="50">
        <v>10.4</v>
      </c>
      <c r="BC849" s="55">
        <v>9.1999999999999993</v>
      </c>
      <c r="BD849" s="55">
        <v>0</v>
      </c>
      <c r="BE849" s="11">
        <v>12.99</v>
      </c>
      <c r="BF849" s="4">
        <v>8.3529999999999998</v>
      </c>
      <c r="BG849" s="4">
        <v>9.1790000000000003</v>
      </c>
      <c r="BH849" s="4">
        <v>9.9849999999999994</v>
      </c>
      <c r="BI849" s="4">
        <v>10.07</v>
      </c>
      <c r="BJ849" s="14">
        <v>8.7949999999999999</v>
      </c>
      <c r="BK849" s="14">
        <v>9.2710000000000008</v>
      </c>
      <c r="BL849" s="4">
        <v>10.39</v>
      </c>
      <c r="BM849" s="17">
        <v>11.35</v>
      </c>
      <c r="BN849" s="4">
        <v>9.0709999999999997</v>
      </c>
      <c r="BO849" s="4">
        <v>8.2360000000000007</v>
      </c>
      <c r="BP849" s="4">
        <v>10.06</v>
      </c>
      <c r="BQ849" s="4">
        <v>9.99</v>
      </c>
      <c r="BR849" s="4">
        <v>7.3390000000000004</v>
      </c>
      <c r="BS849" s="4">
        <v>9.798</v>
      </c>
      <c r="BT849" s="4">
        <v>10.15</v>
      </c>
      <c r="BU849" s="4">
        <v>9.4860000000000007</v>
      </c>
      <c r="BV849" s="4">
        <v>9.9789999999999992</v>
      </c>
      <c r="BW849" s="4">
        <v>10.43</v>
      </c>
      <c r="BX849" s="4">
        <v>10.55</v>
      </c>
      <c r="BY849" s="4">
        <v>12.16</v>
      </c>
      <c r="BZ849" s="55">
        <v>9.17</v>
      </c>
      <c r="CA849" s="55">
        <v>10.68</v>
      </c>
      <c r="CB849" s="55">
        <v>17.84</v>
      </c>
      <c r="CC849" s="55">
        <v>11.21</v>
      </c>
      <c r="CD849" s="55">
        <v>11.34</v>
      </c>
      <c r="CE849" s="19">
        <v>9.1</v>
      </c>
      <c r="CF849" s="19">
        <v>12.3</v>
      </c>
      <c r="CG849" s="4">
        <v>8.69</v>
      </c>
      <c r="CH849" s="4">
        <v>0</v>
      </c>
      <c r="CI849" s="4">
        <v>0</v>
      </c>
      <c r="CJ849" s="34">
        <v>2</v>
      </c>
      <c r="CK849" s="34">
        <v>0</v>
      </c>
      <c r="CL849" s="34">
        <v>0</v>
      </c>
      <c r="CM849" s="4">
        <v>0</v>
      </c>
      <c r="CN849" s="53">
        <v>0</v>
      </c>
      <c r="CO849" s="54">
        <v>0</v>
      </c>
      <c r="CP849" s="54">
        <v>0</v>
      </c>
      <c r="CQ849" s="4">
        <v>0</v>
      </c>
    </row>
    <row r="850" spans="1:95" s="55" customFormat="1" x14ac:dyDescent="0.35">
      <c r="A850" s="55">
        <v>849</v>
      </c>
      <c r="B850" s="55" t="s">
        <v>108</v>
      </c>
      <c r="C850" s="27" t="s">
        <v>590</v>
      </c>
      <c r="D850" s="50" t="s">
        <v>102</v>
      </c>
      <c r="E850" s="33" t="s">
        <v>91</v>
      </c>
      <c r="F850" s="4">
        <f>IFERROR(AVERAGEIF(Table1[[#This Row],[2019-Apr]:[2025-July]],"&lt;&gt;0"),0)</f>
        <v>9.2081538461538468</v>
      </c>
      <c r="G850" s="4">
        <f ca="1">IFERROR(AVERAGEIF(OFFSET(Table1[[#This Row],[Status]],0,COUNT(Table1[[#This Row],[2019-May]:[2025-July]]),1,-12),"&lt;&gt;0"),0)</f>
        <v>8.6166666666666654</v>
      </c>
      <c r="H850" s="55">
        <f>IFERROR(SMALL(Table1[[#This Row],[2019-Apr]:[2025-July]],COUNTIF(Table1[[#This Row],[2019-Apr]:[2025-July]],0)+1),0)</f>
        <v>4.95</v>
      </c>
      <c r="I850" s="55">
        <f>IFERROR(MAX(Table1[[#This Row],[2019-Apr]:[2025-July]]),0)</f>
        <v>19.399999999999999</v>
      </c>
      <c r="J850" s="4" cm="1">
        <f t="array" ref="J85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6.2383333333333333</v>
      </c>
      <c r="K850" s="4">
        <v>4.5</v>
      </c>
      <c r="L850" s="4">
        <f>IF(Table1[[#This Row],[Standard as per ISO]]&gt;=Table1[[#This Row],[Avg of best 6]],Table1[[#This Row],[Standard as per ISO]],Table1[[#This Row],[Avg of best 6]])</f>
        <v>6.2383333333333333</v>
      </c>
      <c r="M850" s="4" cm="1">
        <f t="array" ref="M850">IFERROR(LOOKUP(2,1/(Table1[[#This Row],[2019-May]:[2025-July]]&lt;&gt;0),Table1[[#This Row],[2019-May]:[2025-July]]),0)</f>
        <v>7.9</v>
      </c>
      <c r="N850" s="4">
        <f>COUNTIF(Table1[[#This Row],[2019-Apr]:[2025-July]],"&gt;="&amp;Table1[[#This Row],[Target]])</f>
        <v>62</v>
      </c>
      <c r="O850" s="4">
        <f>IF(Table1[[#This Row],[Outliers 2Y]]=0,1,0)</f>
        <v>0</v>
      </c>
      <c r="P850" s="4">
        <f>IF(Table1[[#This Row],[Last value]]&gt;1.5*Table1[[#This Row],[Target]],1,0)</f>
        <v>0</v>
      </c>
      <c r="Q850" s="4">
        <f>IF(AND(1.5*Table1[[#This Row],[Target]]&gt;=Table1[[#This Row],[Last value]],Table1[[#This Row],[Last value]]&gt;Table1[[#This Row],[Target]]),1,0)</f>
        <v>1</v>
      </c>
      <c r="R850" s="4">
        <f>IF(Table1[[#This Row],[Target]]&gt;=Table1[[#This Row],[Last value]],1,0)</f>
        <v>0</v>
      </c>
      <c r="S850" s="4" t="str">
        <f t="shared" si="22"/>
        <v>Yellow</v>
      </c>
      <c r="T850" s="55">
        <v>7</v>
      </c>
      <c r="U850" s="55">
        <v>7.14</v>
      </c>
      <c r="V850" s="55">
        <v>10.8</v>
      </c>
      <c r="W850" s="55">
        <v>10.5</v>
      </c>
      <c r="X850" s="55">
        <v>10.7</v>
      </c>
      <c r="Y850" s="55">
        <v>6.65</v>
      </c>
      <c r="Z850" s="55">
        <v>8.59</v>
      </c>
      <c r="AA850" s="55">
        <v>7.87</v>
      </c>
      <c r="AB850" s="55">
        <v>13.4</v>
      </c>
      <c r="AC850" s="55">
        <v>6.6</v>
      </c>
      <c r="AD850" s="55">
        <v>7.23</v>
      </c>
      <c r="AE850" s="55">
        <v>7.4</v>
      </c>
      <c r="AF850" s="55">
        <v>0</v>
      </c>
      <c r="AG850" s="55">
        <v>7.5</v>
      </c>
      <c r="AH850" s="55">
        <v>5.9</v>
      </c>
      <c r="AI850" s="55">
        <v>0</v>
      </c>
      <c r="AJ850" s="55">
        <v>9.51</v>
      </c>
      <c r="AK850" s="55">
        <v>9.66</v>
      </c>
      <c r="AL850" s="55">
        <v>10.5</v>
      </c>
      <c r="AM850" s="55">
        <v>9.91</v>
      </c>
      <c r="AN850" s="55">
        <v>8.34</v>
      </c>
      <c r="AO850" s="55">
        <v>9.35</v>
      </c>
      <c r="AP850" s="55">
        <v>11</v>
      </c>
      <c r="AQ850" s="55">
        <v>10.5</v>
      </c>
      <c r="AR850" s="8">
        <v>9.99</v>
      </c>
      <c r="AS850" s="8">
        <v>7.45</v>
      </c>
      <c r="AT850" s="8">
        <v>14</v>
      </c>
      <c r="AU850" s="50">
        <v>12</v>
      </c>
      <c r="AV850" s="50">
        <v>12.5</v>
      </c>
      <c r="AW850" s="50">
        <v>7.82</v>
      </c>
      <c r="AX850" s="50">
        <v>4.95</v>
      </c>
      <c r="AY850" s="50">
        <v>13.5</v>
      </c>
      <c r="AZ850" s="50">
        <v>19.399999999999999</v>
      </c>
      <c r="BA850" s="50">
        <v>11.4</v>
      </c>
      <c r="BB850" s="50">
        <v>9.3000000000000007</v>
      </c>
      <c r="BC850" s="55">
        <v>8.5</v>
      </c>
      <c r="BD850" s="55">
        <v>0</v>
      </c>
      <c r="BE850" s="11">
        <v>9.4440000000000008</v>
      </c>
      <c r="BF850" s="4">
        <v>10.38</v>
      </c>
      <c r="BG850" s="4">
        <v>6.19</v>
      </c>
      <c r="BH850" s="4">
        <v>8.07</v>
      </c>
      <c r="BI850" s="4">
        <v>9.99</v>
      </c>
      <c r="BJ850" s="13">
        <v>8.9019999999999992</v>
      </c>
      <c r="BK850" s="13">
        <v>8.75</v>
      </c>
      <c r="BL850" s="4">
        <v>8.7550000000000008</v>
      </c>
      <c r="BM850" s="16">
        <v>8.2349999999999994</v>
      </c>
      <c r="BN850" s="4">
        <v>8.9489999999999998</v>
      </c>
      <c r="BO850" s="4">
        <v>8.6</v>
      </c>
      <c r="BP850" s="4">
        <v>7.8449999999999998</v>
      </c>
      <c r="BQ850" s="4">
        <v>8.2829999999999995</v>
      </c>
      <c r="BR850" s="4">
        <v>7.97</v>
      </c>
      <c r="BS850" s="4">
        <v>8.2240000000000002</v>
      </c>
      <c r="BT850" s="4">
        <v>9.3149999999999995</v>
      </c>
      <c r="BU850" s="4">
        <v>8.2349999999999994</v>
      </c>
      <c r="BV850" s="4">
        <v>9.5619999999999994</v>
      </c>
      <c r="BW850" s="4">
        <v>8.8580000000000005</v>
      </c>
      <c r="BX850" s="4">
        <v>9.32</v>
      </c>
      <c r="BY850" s="4">
        <v>8.5830000000000002</v>
      </c>
      <c r="BZ850" s="55">
        <v>0</v>
      </c>
      <c r="CA850" s="55">
        <v>10.24</v>
      </c>
      <c r="CB850" s="55">
        <v>8.33</v>
      </c>
      <c r="CC850" s="55">
        <v>9.23</v>
      </c>
      <c r="CD850" s="55">
        <v>9.7100000000000009</v>
      </c>
      <c r="CE850" s="19">
        <v>7.6</v>
      </c>
      <c r="CF850" s="19">
        <v>8.5</v>
      </c>
      <c r="CG850" s="4">
        <v>11.92</v>
      </c>
      <c r="CH850" s="4">
        <v>7.3</v>
      </c>
      <c r="CI850" s="4">
        <v>8.48</v>
      </c>
      <c r="CJ850" s="34">
        <v>7.9</v>
      </c>
      <c r="CK850" s="34">
        <v>0</v>
      </c>
      <c r="CL850" s="34">
        <v>0</v>
      </c>
      <c r="CM850" s="4">
        <v>0</v>
      </c>
      <c r="CN850" s="53">
        <v>0</v>
      </c>
      <c r="CO850" s="54">
        <v>0</v>
      </c>
      <c r="CP850" s="54">
        <v>0</v>
      </c>
      <c r="CQ850" s="4">
        <v>0</v>
      </c>
    </row>
    <row r="851" spans="1:95" s="55" customFormat="1" x14ac:dyDescent="0.35">
      <c r="A851" s="55">
        <v>850</v>
      </c>
      <c r="B851" s="55" t="s">
        <v>108</v>
      </c>
      <c r="C851" s="27" t="s">
        <v>591</v>
      </c>
      <c r="D851" s="50" t="s">
        <v>102</v>
      </c>
      <c r="E851" s="33" t="s">
        <v>91</v>
      </c>
      <c r="F851" s="4">
        <f>IFERROR(AVERAGEIF(Table1[[#This Row],[2019-Apr]:[2025-July]],"&lt;&gt;0"),0)</f>
        <v>6.4786557377049192</v>
      </c>
      <c r="G851" s="4">
        <f ca="1">IFERROR(AVERAGEIF(OFFSET(Table1[[#This Row],[Status]],0,COUNT(Table1[[#This Row],[2019-May]:[2025-July]]),1,-12),"&lt;&gt;0"),0)</f>
        <v>5.86</v>
      </c>
      <c r="H851" s="55">
        <f>IFERROR(SMALL(Table1[[#This Row],[2019-Apr]:[2025-July]],COUNTIF(Table1[[#This Row],[2019-Apr]:[2025-July]],0)+1),0)</f>
        <v>3.9</v>
      </c>
      <c r="I851" s="55">
        <f>IFERROR(MAX(Table1[[#This Row],[2019-Apr]:[2025-July]]),0)</f>
        <v>17.059999999999999</v>
      </c>
      <c r="J851" s="4" cm="1">
        <f t="array" ref="J85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4.363833333333333</v>
      </c>
      <c r="K851" s="4">
        <v>4.5</v>
      </c>
      <c r="L851" s="4">
        <f>IF(Table1[[#This Row],[Standard as per ISO]]&gt;=Table1[[#This Row],[Avg of best 6]],Table1[[#This Row],[Standard as per ISO]],Table1[[#This Row],[Avg of best 6]])</f>
        <v>4.5</v>
      </c>
      <c r="M851" s="4" cm="1">
        <f t="array" ref="M851">IFERROR(LOOKUP(2,1/(Table1[[#This Row],[2019-May]:[2025-July]]&lt;&gt;0),Table1[[#This Row],[2019-May]:[2025-July]]),0)</f>
        <v>6.7</v>
      </c>
      <c r="N851" s="4">
        <f>COUNTIF(Table1[[#This Row],[2019-Apr]:[2025-July]],"&gt;="&amp;Table1[[#This Row],[Target]])</f>
        <v>57</v>
      </c>
      <c r="O851" s="4">
        <f>IF(Table1[[#This Row],[Outliers 2Y]]=0,1,0)</f>
        <v>0</v>
      </c>
      <c r="P851" s="4">
        <f>IF(Table1[[#This Row],[Last value]]&gt;1.5*Table1[[#This Row],[Target]],1,0)</f>
        <v>0</v>
      </c>
      <c r="Q851" s="4">
        <f>IF(AND(1.5*Table1[[#This Row],[Target]]&gt;=Table1[[#This Row],[Last value]],Table1[[#This Row],[Last value]]&gt;Table1[[#This Row],[Target]]),1,0)</f>
        <v>1</v>
      </c>
      <c r="R851" s="4">
        <f>IF(Table1[[#This Row],[Target]]&gt;=Table1[[#This Row],[Last value]],1,0)</f>
        <v>0</v>
      </c>
      <c r="S851" s="4" t="str">
        <f t="shared" si="22"/>
        <v>Yellow</v>
      </c>
      <c r="T851" s="55">
        <v>7.36</v>
      </c>
      <c r="U851" s="55">
        <v>8.3000000000000007</v>
      </c>
      <c r="V851" s="55">
        <v>9.56</v>
      </c>
      <c r="W851" s="55">
        <v>5.7</v>
      </c>
      <c r="X851" s="55">
        <v>5.9</v>
      </c>
      <c r="Y851" s="55">
        <v>5.63</v>
      </c>
      <c r="Z851" s="55">
        <v>6.04</v>
      </c>
      <c r="AA851" s="55">
        <v>7.39</v>
      </c>
      <c r="AB851" s="55">
        <v>8.3000000000000007</v>
      </c>
      <c r="AC851" s="55">
        <v>5.7</v>
      </c>
      <c r="AD851" s="55">
        <v>7.6</v>
      </c>
      <c r="AE851" s="55">
        <v>7.5</v>
      </c>
      <c r="AF851" s="55">
        <v>0</v>
      </c>
      <c r="AG851" s="55">
        <v>6.6</v>
      </c>
      <c r="AH851" s="55">
        <v>0</v>
      </c>
      <c r="AI851" s="55">
        <v>0</v>
      </c>
      <c r="AJ851" s="55">
        <v>6.46</v>
      </c>
      <c r="AK851" s="55">
        <v>6.95</v>
      </c>
      <c r="AL851" s="55">
        <v>7.2</v>
      </c>
      <c r="AM851" s="55">
        <v>8.19</v>
      </c>
      <c r="AN851" s="55">
        <v>7.81</v>
      </c>
      <c r="AO851" s="55">
        <v>3.9</v>
      </c>
      <c r="AP851" s="55">
        <v>6.71</v>
      </c>
      <c r="AQ851" s="55">
        <v>6.18</v>
      </c>
      <c r="AR851" s="8">
        <v>5.38</v>
      </c>
      <c r="AS851" s="8">
        <v>6.8</v>
      </c>
      <c r="AT851" s="8">
        <v>0</v>
      </c>
      <c r="AU851" s="50">
        <v>5.99</v>
      </c>
      <c r="AV851" s="50">
        <v>5.15</v>
      </c>
      <c r="AW851" s="50">
        <v>5.18</v>
      </c>
      <c r="AX851" s="50">
        <v>5.53</v>
      </c>
      <c r="AY851" s="50">
        <v>5.57</v>
      </c>
      <c r="AZ851" s="50">
        <v>7.73</v>
      </c>
      <c r="BA851" s="50">
        <v>5.7</v>
      </c>
      <c r="BB851" s="50">
        <v>7.2</v>
      </c>
      <c r="BC851" s="55">
        <v>4.5</v>
      </c>
      <c r="BD851" s="55">
        <v>0</v>
      </c>
      <c r="BE851" s="11">
        <v>4.3540000000000001</v>
      </c>
      <c r="BF851" s="4">
        <v>4.4660000000000002</v>
      </c>
      <c r="BG851" s="4">
        <v>4.99</v>
      </c>
      <c r="BH851" s="4">
        <v>6.33</v>
      </c>
      <c r="BI851" s="4">
        <v>5.2430000000000003</v>
      </c>
      <c r="BJ851" s="14">
        <v>4.8540000000000001</v>
      </c>
      <c r="BK851" s="14">
        <v>5.1289999999999996</v>
      </c>
      <c r="BL851" s="4">
        <v>6.4820000000000002</v>
      </c>
      <c r="BM851" s="17">
        <v>8.7439999999999998</v>
      </c>
      <c r="BN851" s="4">
        <v>9.3580000000000005</v>
      </c>
      <c r="BO851" s="4">
        <v>9.5939999999999994</v>
      </c>
      <c r="BP851" s="4">
        <v>17.059999999999999</v>
      </c>
      <c r="BQ851" s="4">
        <v>4.306</v>
      </c>
      <c r="BR851" s="4">
        <v>4.657</v>
      </c>
      <c r="BS851" s="4">
        <v>4.7619999999999996</v>
      </c>
      <c r="BT851" s="4">
        <v>5.484</v>
      </c>
      <c r="BU851" s="4">
        <v>5.36</v>
      </c>
      <c r="BV851" s="4">
        <v>5.8849999999999998</v>
      </c>
      <c r="BW851" s="4">
        <v>5.66</v>
      </c>
      <c r="BX851" s="4">
        <v>7.8330000000000002</v>
      </c>
      <c r="BY851" s="4">
        <v>5.3769999999999998</v>
      </c>
      <c r="BZ851" s="55">
        <v>0</v>
      </c>
      <c r="CA851" s="55">
        <v>5.74</v>
      </c>
      <c r="CB851" s="55">
        <v>7.35</v>
      </c>
      <c r="CC851" s="55">
        <v>7.17</v>
      </c>
      <c r="CD851" s="55">
        <v>0</v>
      </c>
      <c r="CE851" s="19">
        <v>5.8</v>
      </c>
      <c r="CF851" s="19">
        <v>0</v>
      </c>
      <c r="CG851" s="4">
        <v>5.54</v>
      </c>
      <c r="CH851" s="4">
        <v>5.23</v>
      </c>
      <c r="CI851" s="4">
        <v>6.03</v>
      </c>
      <c r="CJ851" s="34">
        <v>6.7</v>
      </c>
      <c r="CK851" s="34">
        <v>0</v>
      </c>
      <c r="CL851" s="34">
        <v>0</v>
      </c>
      <c r="CM851" s="4">
        <v>0</v>
      </c>
      <c r="CN851" s="53">
        <v>0</v>
      </c>
      <c r="CO851" s="54">
        <v>0</v>
      </c>
      <c r="CP851" s="54">
        <v>0</v>
      </c>
      <c r="CQ851" s="4">
        <v>0</v>
      </c>
    </row>
    <row r="852" spans="1:95" s="55" customFormat="1" x14ac:dyDescent="0.35">
      <c r="A852" s="55">
        <v>851</v>
      </c>
      <c r="B852" s="55" t="s">
        <v>108</v>
      </c>
      <c r="C852" s="27" t="s">
        <v>592</v>
      </c>
      <c r="D852" s="50" t="s">
        <v>102</v>
      </c>
      <c r="E852" s="33" t="s">
        <v>91</v>
      </c>
      <c r="F852" s="4">
        <f>IFERROR(AVERAGEIF(Table1[[#This Row],[2019-Apr]:[2025-July]],"&lt;&gt;0"),0)</f>
        <v>8.9951754385964922</v>
      </c>
      <c r="G852" s="4">
        <f ca="1">IFERROR(AVERAGEIF(OFFSET(Table1[[#This Row],[Status]],0,COUNT(Table1[[#This Row],[2019-May]:[2025-July]]),1,-12),"&lt;&gt;0"),0)</f>
        <v>7.29</v>
      </c>
      <c r="H852" s="55">
        <f>IFERROR(SMALL(Table1[[#This Row],[2019-Apr]:[2025-July]],COUNTIF(Table1[[#This Row],[2019-Apr]:[2025-July]],0)+1),0)</f>
        <v>4.62</v>
      </c>
      <c r="I852" s="55">
        <f>IFERROR(MAX(Table1[[#This Row],[2019-Apr]:[2025-July]]),0)</f>
        <v>21.4</v>
      </c>
      <c r="J852" s="4" cm="1">
        <f t="array" ref="J85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5.4091666666666667</v>
      </c>
      <c r="K852" s="4">
        <v>4.5</v>
      </c>
      <c r="L852" s="4">
        <f>IF(Table1[[#This Row],[Standard as per ISO]]&gt;=Table1[[#This Row],[Avg of best 6]],Table1[[#This Row],[Standard as per ISO]],Table1[[#This Row],[Avg of best 6]])</f>
        <v>5.4091666666666667</v>
      </c>
      <c r="M852" s="4" cm="1">
        <f t="array" ref="M852">IFERROR(LOOKUP(2,1/(Table1[[#This Row],[2019-May]:[2025-July]]&lt;&gt;0),Table1[[#This Row],[2019-May]:[2025-July]]),0)</f>
        <v>7.29</v>
      </c>
      <c r="N852" s="4">
        <f>COUNTIF(Table1[[#This Row],[2019-Apr]:[2025-July]],"&gt;="&amp;Table1[[#This Row],[Target]])</f>
        <v>55</v>
      </c>
      <c r="O852" s="4">
        <f>IF(Table1[[#This Row],[Outliers 2Y]]=0,1,0)</f>
        <v>0</v>
      </c>
      <c r="P852" s="4">
        <f>IF(Table1[[#This Row],[Last value]]&gt;1.5*Table1[[#This Row],[Target]],1,0)</f>
        <v>0</v>
      </c>
      <c r="Q852" s="4">
        <f>IF(AND(1.5*Table1[[#This Row],[Target]]&gt;=Table1[[#This Row],[Last value]],Table1[[#This Row],[Last value]]&gt;Table1[[#This Row],[Target]]),1,0)</f>
        <v>1</v>
      </c>
      <c r="R852" s="4">
        <f>IF(Table1[[#This Row],[Target]]&gt;=Table1[[#This Row],[Last value]],1,0)</f>
        <v>0</v>
      </c>
      <c r="S852" s="4" t="str">
        <f t="shared" si="22"/>
        <v>Yellow</v>
      </c>
      <c r="T852" s="55">
        <v>7.28</v>
      </c>
      <c r="U852" s="55">
        <v>8.91</v>
      </c>
      <c r="V852" s="55">
        <v>12.6</v>
      </c>
      <c r="W852" s="55">
        <v>12.9</v>
      </c>
      <c r="X852" s="55">
        <v>12.4</v>
      </c>
      <c r="Y852" s="55">
        <v>5.4</v>
      </c>
      <c r="Z852" s="55">
        <v>13.4</v>
      </c>
      <c r="AA852" s="55">
        <v>13.5</v>
      </c>
      <c r="AB852" s="55">
        <v>21.4</v>
      </c>
      <c r="AC852" s="55">
        <v>11.6</v>
      </c>
      <c r="AD852" s="55">
        <v>7.23</v>
      </c>
      <c r="AE852" s="55">
        <v>8.6</v>
      </c>
      <c r="AF852" s="55">
        <v>9</v>
      </c>
      <c r="AG852" s="55">
        <v>8.4</v>
      </c>
      <c r="AH852" s="55">
        <v>0</v>
      </c>
      <c r="AI852" s="55">
        <v>6.45</v>
      </c>
      <c r="AJ852" s="55">
        <v>10.9</v>
      </c>
      <c r="AK852" s="55">
        <v>12.3</v>
      </c>
      <c r="AL852" s="55">
        <v>7.1</v>
      </c>
      <c r="AM852" s="55">
        <v>13.4</v>
      </c>
      <c r="AN852" s="55">
        <v>11.2</v>
      </c>
      <c r="AO852" s="55">
        <v>11.9</v>
      </c>
      <c r="AP852" s="55">
        <v>8.42</v>
      </c>
      <c r="AQ852" s="55">
        <v>10.5</v>
      </c>
      <c r="AR852" s="8">
        <v>8.23</v>
      </c>
      <c r="AS852" s="8">
        <v>0</v>
      </c>
      <c r="AT852" s="8">
        <v>9.61</v>
      </c>
      <c r="AU852" s="50">
        <v>9.35</v>
      </c>
      <c r="AV852" s="50">
        <v>8.7799999999999994</v>
      </c>
      <c r="AW852" s="50">
        <v>4.62</v>
      </c>
      <c r="AX852" s="50">
        <v>8.7899999999999991</v>
      </c>
      <c r="AY852" s="50">
        <v>7.52</v>
      </c>
      <c r="AZ852" s="50">
        <v>8.3000000000000007</v>
      </c>
      <c r="BA852" s="50">
        <v>8.6999999999999993</v>
      </c>
      <c r="BB852" s="50">
        <v>8.6</v>
      </c>
      <c r="BC852" s="55">
        <v>5.6</v>
      </c>
      <c r="BD852" s="55">
        <v>0</v>
      </c>
      <c r="BE852" s="11">
        <v>13.82</v>
      </c>
      <c r="BF852" s="4">
        <v>13.82</v>
      </c>
      <c r="BG852" s="4">
        <v>5.8239999999999998</v>
      </c>
      <c r="BH852" s="4">
        <v>8.9339999999999993</v>
      </c>
      <c r="BI852" s="4">
        <v>8.9339999999999993</v>
      </c>
      <c r="BJ852" s="13">
        <v>5.6619999999999999</v>
      </c>
      <c r="BK852" s="13">
        <v>6.4980000000000002</v>
      </c>
      <c r="BL852" s="4">
        <v>6.7850000000000001</v>
      </c>
      <c r="BM852" s="16">
        <v>6.7779999999999996</v>
      </c>
      <c r="BN852" s="4">
        <v>6.7750000000000004</v>
      </c>
      <c r="BO852" s="4">
        <v>8.2520000000000007</v>
      </c>
      <c r="BP852" s="4">
        <v>7.4169999999999998</v>
      </c>
      <c r="BQ852" s="4">
        <v>0</v>
      </c>
      <c r="BR852" s="4">
        <v>7.024</v>
      </c>
      <c r="BS852" s="4">
        <v>5.5410000000000004</v>
      </c>
      <c r="BT852" s="4">
        <v>7.1559999999999997</v>
      </c>
      <c r="BU852" s="4">
        <v>7.5179999999999998</v>
      </c>
      <c r="BV852" s="4">
        <v>5.6319999999999997</v>
      </c>
      <c r="BW852" s="4">
        <v>0</v>
      </c>
      <c r="BX852" s="4">
        <v>7.7549999999999999</v>
      </c>
      <c r="BY852" s="4">
        <v>0</v>
      </c>
      <c r="BZ852" s="55">
        <v>7.7</v>
      </c>
      <c r="CA852" s="55">
        <v>9.8000000000000007</v>
      </c>
      <c r="CB852" s="55">
        <v>7.2</v>
      </c>
      <c r="CC852" s="55">
        <v>7.72</v>
      </c>
      <c r="CD852" s="55">
        <v>0</v>
      </c>
      <c r="CE852" s="19">
        <v>0</v>
      </c>
      <c r="CF852" s="19">
        <v>0</v>
      </c>
      <c r="CG852" s="4">
        <v>0</v>
      </c>
      <c r="CH852" s="4">
        <v>7.29</v>
      </c>
      <c r="CI852" s="4">
        <v>0</v>
      </c>
      <c r="CJ852" s="34">
        <v>0</v>
      </c>
      <c r="CK852" s="34">
        <v>0</v>
      </c>
      <c r="CL852" s="34">
        <v>0</v>
      </c>
      <c r="CM852" s="4">
        <v>0</v>
      </c>
      <c r="CN852" s="53">
        <v>0</v>
      </c>
      <c r="CO852" s="54">
        <v>0</v>
      </c>
      <c r="CP852" s="54">
        <v>0</v>
      </c>
      <c r="CQ852" s="4">
        <v>0</v>
      </c>
    </row>
    <row r="853" spans="1:95" s="55" customFormat="1" x14ac:dyDescent="0.35">
      <c r="A853" s="55">
        <v>852</v>
      </c>
      <c r="B853" s="55" t="s">
        <v>108</v>
      </c>
      <c r="C853" s="27" t="s">
        <v>593</v>
      </c>
      <c r="D853" s="50" t="s">
        <v>102</v>
      </c>
      <c r="E853" s="33" t="s">
        <v>91</v>
      </c>
      <c r="F853" s="4">
        <f>IFERROR(AVERAGEIF(Table1[[#This Row],[2019-Apr]:[2025-July]],"&lt;&gt;0"),0)</f>
        <v>10.296278688524591</v>
      </c>
      <c r="G853" s="4">
        <f ca="1">IFERROR(AVERAGEIF(OFFSET(Table1[[#This Row],[Status]],0,COUNT(Table1[[#This Row],[2019-May]:[2025-July]]),1,-12),"&lt;&gt;0"),0)</f>
        <v>10.203333333333333</v>
      </c>
      <c r="H853" s="55">
        <f>IFERROR(SMALL(Table1[[#This Row],[2019-Apr]:[2025-July]],COUNTIF(Table1[[#This Row],[2019-Apr]:[2025-July]],0)+1),0)</f>
        <v>6.57</v>
      </c>
      <c r="I853" s="55">
        <f>IFERROR(MAX(Table1[[#This Row],[2019-Apr]:[2025-July]]),0)</f>
        <v>18</v>
      </c>
      <c r="J853" s="4" cm="1">
        <f t="array" ref="J85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7.1331666666666651</v>
      </c>
      <c r="K853" s="4">
        <v>4.5</v>
      </c>
      <c r="L853" s="4">
        <f>IF(Table1[[#This Row],[Standard as per ISO]]&gt;=Table1[[#This Row],[Avg of best 6]],Table1[[#This Row],[Standard as per ISO]],Table1[[#This Row],[Avg of best 6]])</f>
        <v>7.1331666666666651</v>
      </c>
      <c r="M853" s="4" cm="1">
        <f t="array" ref="M853">IFERROR(LOOKUP(2,1/(Table1[[#This Row],[2019-May]:[2025-July]]&lt;&gt;0),Table1[[#This Row],[2019-May]:[2025-July]]),0)</f>
        <v>10.199999999999999</v>
      </c>
      <c r="N853" s="4">
        <f>COUNTIF(Table1[[#This Row],[2019-Apr]:[2025-July]],"&gt;="&amp;Table1[[#This Row],[Target]])</f>
        <v>58</v>
      </c>
      <c r="O853" s="4">
        <f>IF(Table1[[#This Row],[Outliers 2Y]]=0,1,0)</f>
        <v>0</v>
      </c>
      <c r="P853" s="4">
        <f>IF(Table1[[#This Row],[Last value]]&gt;1.5*Table1[[#This Row],[Target]],1,0)</f>
        <v>0</v>
      </c>
      <c r="Q853" s="4">
        <f>IF(AND(1.5*Table1[[#This Row],[Target]]&gt;=Table1[[#This Row],[Last value]],Table1[[#This Row],[Last value]]&gt;Table1[[#This Row],[Target]]),1,0)</f>
        <v>1</v>
      </c>
      <c r="R853" s="4">
        <f>IF(Table1[[#This Row],[Target]]&gt;=Table1[[#This Row],[Last value]],1,0)</f>
        <v>0</v>
      </c>
      <c r="S853" s="4" t="str">
        <f t="shared" si="22"/>
        <v>Yellow</v>
      </c>
      <c r="T853" s="55">
        <v>13.1</v>
      </c>
      <c r="U853" s="55">
        <v>12.2</v>
      </c>
      <c r="V853" s="55">
        <v>14</v>
      </c>
      <c r="W853" s="55">
        <v>14.6</v>
      </c>
      <c r="X853" s="55">
        <v>18</v>
      </c>
      <c r="Y853" s="55">
        <v>0</v>
      </c>
      <c r="Z853" s="55">
        <v>9.5399999999999991</v>
      </c>
      <c r="AA853" s="55">
        <v>16.5</v>
      </c>
      <c r="AB853" s="55">
        <v>0</v>
      </c>
      <c r="AC853" s="55">
        <v>10.3</v>
      </c>
      <c r="AD853" s="55">
        <v>8.6999999999999993</v>
      </c>
      <c r="AE853" s="55">
        <v>0</v>
      </c>
      <c r="AF853" s="55">
        <v>7.4</v>
      </c>
      <c r="AG853" s="55">
        <v>8.6999999999999993</v>
      </c>
      <c r="AH853" s="55">
        <v>0</v>
      </c>
      <c r="AI853" s="55">
        <v>9.51</v>
      </c>
      <c r="AJ853" s="55">
        <v>9.9700000000000006</v>
      </c>
      <c r="AK853" s="55">
        <v>11.8</v>
      </c>
      <c r="AL853" s="55">
        <v>8.6300000000000008</v>
      </c>
      <c r="AM853" s="55">
        <v>0</v>
      </c>
      <c r="AN853" s="55">
        <v>9.86</v>
      </c>
      <c r="AO853" s="55">
        <v>11</v>
      </c>
      <c r="AP853" s="55">
        <v>12.1</v>
      </c>
      <c r="AQ853" s="55">
        <v>9.1</v>
      </c>
      <c r="AR853" s="8">
        <v>0</v>
      </c>
      <c r="AS853" s="8">
        <v>10.7</v>
      </c>
      <c r="AT853" s="8">
        <v>10.199999999999999</v>
      </c>
      <c r="AU853" s="50">
        <v>12</v>
      </c>
      <c r="AV853" s="50">
        <v>11.7</v>
      </c>
      <c r="AW853" s="50">
        <v>6.57</v>
      </c>
      <c r="AX853" s="50">
        <v>7.89</v>
      </c>
      <c r="AY853" s="50">
        <v>11.3</v>
      </c>
      <c r="AZ853" s="50">
        <v>13</v>
      </c>
      <c r="BA853" s="50">
        <v>7.1</v>
      </c>
      <c r="BB853" s="50">
        <v>6.7</v>
      </c>
      <c r="BC853" s="55">
        <v>7.6</v>
      </c>
      <c r="BD853" s="55">
        <v>0</v>
      </c>
      <c r="BE853" s="11">
        <v>14.49</v>
      </c>
      <c r="BF853" s="4">
        <v>14.49</v>
      </c>
      <c r="BG853" s="4">
        <v>8.14</v>
      </c>
      <c r="BH853" s="4">
        <v>8.32</v>
      </c>
      <c r="BI853" s="4">
        <v>8.0570000000000004</v>
      </c>
      <c r="BJ853" s="14">
        <v>8.8989999999999991</v>
      </c>
      <c r="BK853" s="14">
        <v>7.4370000000000003</v>
      </c>
      <c r="BL853" s="4">
        <v>8.2479999999999993</v>
      </c>
      <c r="BM853" s="17">
        <v>9.2219999999999995</v>
      </c>
      <c r="BN853" s="4">
        <v>8.4909999999999997</v>
      </c>
      <c r="BO853" s="4">
        <v>12.007999999999999</v>
      </c>
      <c r="BP853" s="4">
        <v>14.53</v>
      </c>
      <c r="BQ853" s="4">
        <v>10.74</v>
      </c>
      <c r="BR853" s="4">
        <v>10.35</v>
      </c>
      <c r="BS853" s="4">
        <v>8.1790000000000003</v>
      </c>
      <c r="BT853" s="4">
        <v>8.7949999999999999</v>
      </c>
      <c r="BU853" s="4">
        <v>8.1539999999999999</v>
      </c>
      <c r="BV853" s="4">
        <v>10.64</v>
      </c>
      <c r="BW853" s="4">
        <v>7.5919999999999996</v>
      </c>
      <c r="BX853" s="4">
        <v>9.6010000000000009</v>
      </c>
      <c r="BY853" s="4">
        <v>10</v>
      </c>
      <c r="BZ853" s="55">
        <v>9.1300000000000008</v>
      </c>
      <c r="CA853" s="55">
        <v>11.11</v>
      </c>
      <c r="CB853" s="55">
        <v>0</v>
      </c>
      <c r="CC853" s="55">
        <v>11.38</v>
      </c>
      <c r="CD853" s="55">
        <v>9.08</v>
      </c>
      <c r="CE853" s="19">
        <v>7.8</v>
      </c>
      <c r="CF853" s="19">
        <v>9.1999999999999993</v>
      </c>
      <c r="CG853" s="4">
        <v>9.7200000000000006</v>
      </c>
      <c r="CH853" s="4">
        <v>12.2</v>
      </c>
      <c r="CI853" s="4">
        <v>12.1</v>
      </c>
      <c r="CJ853" s="34">
        <v>10.199999999999999</v>
      </c>
      <c r="CK853" s="34">
        <v>0</v>
      </c>
      <c r="CL853" s="34">
        <v>0</v>
      </c>
      <c r="CM853" s="4">
        <v>0</v>
      </c>
      <c r="CN853" s="53">
        <v>0</v>
      </c>
      <c r="CO853" s="54">
        <v>0</v>
      </c>
      <c r="CP853" s="54">
        <v>0</v>
      </c>
      <c r="CQ853" s="4">
        <v>0</v>
      </c>
    </row>
    <row r="854" spans="1:95" s="55" customFormat="1" x14ac:dyDescent="0.35">
      <c r="A854" s="55">
        <v>853</v>
      </c>
      <c r="B854" s="55" t="s">
        <v>108</v>
      </c>
      <c r="C854" s="27" t="s">
        <v>594</v>
      </c>
      <c r="D854" s="50" t="s">
        <v>102</v>
      </c>
      <c r="E854" s="33" t="s">
        <v>91</v>
      </c>
      <c r="F854" s="4">
        <f>IFERROR(AVERAGEIF(Table1[[#This Row],[2019-Apr]:[2025-July]],"&lt;&gt;0"),0)</f>
        <v>10.64211475409836</v>
      </c>
      <c r="G854" s="4">
        <f ca="1">IFERROR(AVERAGEIF(OFFSET(Table1[[#This Row],[Status]],0,COUNT(Table1[[#This Row],[2019-May]:[2025-July]]),1,-12),"&lt;&gt;0"),0)</f>
        <v>9.7274999999999991</v>
      </c>
      <c r="H854" s="55">
        <f>IFERROR(SMALL(Table1[[#This Row],[2019-Apr]:[2025-July]],COUNTIF(Table1[[#This Row],[2019-Apr]:[2025-July]],0)+1),0)</f>
        <v>4.49</v>
      </c>
      <c r="I854" s="55">
        <f>IFERROR(MAX(Table1[[#This Row],[2019-Apr]:[2025-July]]),0)</f>
        <v>20.7</v>
      </c>
      <c r="J854" s="4" cm="1">
        <f t="array" ref="J85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6.53</v>
      </c>
      <c r="K854" s="4">
        <v>4.5</v>
      </c>
      <c r="L854" s="4">
        <f>IF(Table1[[#This Row],[Standard as per ISO]]&gt;=Table1[[#This Row],[Avg of best 6]],Table1[[#This Row],[Standard as per ISO]],Table1[[#This Row],[Avg of best 6]])</f>
        <v>6.53</v>
      </c>
      <c r="M854" s="4" cm="1">
        <f t="array" ref="M854">IFERROR(LOOKUP(2,1/(Table1[[#This Row],[2019-May]:[2025-July]]&lt;&gt;0),Table1[[#This Row],[2019-May]:[2025-July]]),0)</f>
        <v>10.54</v>
      </c>
      <c r="N854" s="4">
        <f>COUNTIF(Table1[[#This Row],[2019-Apr]:[2025-July]],"&gt;="&amp;Table1[[#This Row],[Target]])</f>
        <v>59</v>
      </c>
      <c r="O854" s="4">
        <f>IF(Table1[[#This Row],[Outliers 2Y]]=0,1,0)</f>
        <v>0</v>
      </c>
      <c r="P854" s="4">
        <f>IF(Table1[[#This Row],[Last value]]&gt;1.5*Table1[[#This Row],[Target]],1,0)</f>
        <v>1</v>
      </c>
      <c r="Q854" s="4">
        <f>IF(AND(1.5*Table1[[#This Row],[Target]]&gt;=Table1[[#This Row],[Last value]],Table1[[#This Row],[Last value]]&gt;Table1[[#This Row],[Target]]),1,0)</f>
        <v>0</v>
      </c>
      <c r="R854" s="4">
        <f>IF(Table1[[#This Row],[Target]]&gt;=Table1[[#This Row],[Last value]],1,0)</f>
        <v>0</v>
      </c>
      <c r="S854" s="4" t="str">
        <f t="shared" si="22"/>
        <v>Red</v>
      </c>
      <c r="T854" s="55">
        <v>13.3</v>
      </c>
      <c r="U854" s="55">
        <v>10.01</v>
      </c>
      <c r="V854" s="55">
        <v>16.3</v>
      </c>
      <c r="W854" s="55">
        <v>9.5</v>
      </c>
      <c r="X854" s="55">
        <v>4.49</v>
      </c>
      <c r="Y854" s="55">
        <v>8.01</v>
      </c>
      <c r="Z854" s="55">
        <v>12.7</v>
      </c>
      <c r="AA854" s="55">
        <v>7.8</v>
      </c>
      <c r="AB854" s="55">
        <v>7</v>
      </c>
      <c r="AC854" s="55">
        <v>17.899999999999999</v>
      </c>
      <c r="AD854" s="55">
        <v>0</v>
      </c>
      <c r="AE854" s="55">
        <v>8.3000000000000007</v>
      </c>
      <c r="AF854" s="55">
        <v>15.4</v>
      </c>
      <c r="AG854" s="55">
        <v>0</v>
      </c>
      <c r="AH854" s="55">
        <v>12.7</v>
      </c>
      <c r="AI854" s="55">
        <v>9.9499999999999993</v>
      </c>
      <c r="AJ854" s="55">
        <v>14.1</v>
      </c>
      <c r="AK854" s="55">
        <v>7.44</v>
      </c>
      <c r="AL854" s="55">
        <v>20.7</v>
      </c>
      <c r="AM854" s="55">
        <v>10.199999999999999</v>
      </c>
      <c r="AN854" s="55">
        <v>14.6</v>
      </c>
      <c r="AO854" s="55">
        <v>11.9</v>
      </c>
      <c r="AP854" s="55">
        <v>11.9</v>
      </c>
      <c r="AQ854" s="55">
        <v>10.199999999999999</v>
      </c>
      <c r="AR854" s="8">
        <v>10.9</v>
      </c>
      <c r="AS854" s="8">
        <v>8.4</v>
      </c>
      <c r="AT854" s="8">
        <v>10.1</v>
      </c>
      <c r="AU854" s="50">
        <v>10.3</v>
      </c>
      <c r="AV854" s="50">
        <v>12.6</v>
      </c>
      <c r="AW854" s="50">
        <v>8.59</v>
      </c>
      <c r="AX854" s="50">
        <v>8.07</v>
      </c>
      <c r="AY854" s="50">
        <v>7.76</v>
      </c>
      <c r="AZ854" s="50">
        <v>10.199999999999999</v>
      </c>
      <c r="BA854" s="50">
        <v>7.4</v>
      </c>
      <c r="BB854" s="50">
        <v>8.5</v>
      </c>
      <c r="BC854" s="55">
        <v>7.8</v>
      </c>
      <c r="BD854" s="55">
        <v>0</v>
      </c>
      <c r="BE854" s="11">
        <v>9.391</v>
      </c>
      <c r="BF854" s="4">
        <v>8.6509999999999998</v>
      </c>
      <c r="BG854" s="4">
        <v>10.61</v>
      </c>
      <c r="BH854" s="4">
        <v>17.61</v>
      </c>
      <c r="BI854" s="4">
        <v>0</v>
      </c>
      <c r="BJ854" s="13">
        <v>7.5720000000000001</v>
      </c>
      <c r="BK854" s="13">
        <v>12.78</v>
      </c>
      <c r="BL854" s="4">
        <v>11.88</v>
      </c>
      <c r="BM854" s="16">
        <v>15.99</v>
      </c>
      <c r="BN854" s="4">
        <v>8.3109999999999999</v>
      </c>
      <c r="BO854" s="4">
        <v>11.46</v>
      </c>
      <c r="BP854" s="4">
        <v>9.1470000000000002</v>
      </c>
      <c r="BQ854" s="4">
        <v>9.17</v>
      </c>
      <c r="BR854" s="4">
        <v>11.2</v>
      </c>
      <c r="BS854" s="4">
        <v>12.53</v>
      </c>
      <c r="BT854" s="4">
        <v>9.3770000000000007</v>
      </c>
      <c r="BU854" s="4">
        <v>7.17</v>
      </c>
      <c r="BV854" s="4">
        <v>12.23</v>
      </c>
      <c r="BW854" s="4">
        <v>0</v>
      </c>
      <c r="BX854" s="4">
        <v>10.99</v>
      </c>
      <c r="BY854" s="4">
        <v>12.94</v>
      </c>
      <c r="BZ854" s="55">
        <v>6.52</v>
      </c>
      <c r="CA854" s="55">
        <v>0</v>
      </c>
      <c r="CB854" s="55">
        <v>7.51</v>
      </c>
      <c r="CC854" s="55">
        <v>14.2</v>
      </c>
      <c r="CD854" s="55">
        <v>8</v>
      </c>
      <c r="CE854" s="19">
        <v>6.6</v>
      </c>
      <c r="CF854" s="19">
        <v>12.2</v>
      </c>
      <c r="CG854" s="4">
        <v>9.57</v>
      </c>
      <c r="CH854" s="4">
        <v>10.54</v>
      </c>
      <c r="CI854" s="4">
        <v>0</v>
      </c>
      <c r="CJ854" s="34">
        <v>0</v>
      </c>
      <c r="CK854" s="34">
        <v>0</v>
      </c>
      <c r="CL854" s="34">
        <v>0</v>
      </c>
      <c r="CM854" s="4">
        <v>0</v>
      </c>
      <c r="CN854" s="53">
        <v>0</v>
      </c>
      <c r="CO854" s="54">
        <v>0</v>
      </c>
      <c r="CP854" s="54">
        <v>0</v>
      </c>
      <c r="CQ854" s="4">
        <v>0</v>
      </c>
    </row>
    <row r="855" spans="1:95" s="55" customFormat="1" x14ac:dyDescent="0.35">
      <c r="A855" s="55">
        <v>854</v>
      </c>
      <c r="B855" s="55" t="s">
        <v>108</v>
      </c>
      <c r="C855" s="27" t="s">
        <v>595</v>
      </c>
      <c r="D855" s="50" t="s">
        <v>102</v>
      </c>
      <c r="E855" s="33" t="s">
        <v>91</v>
      </c>
      <c r="F855" s="4">
        <f>IFERROR(AVERAGEIF(Table1[[#This Row],[2019-Apr]:[2025-July]],"&lt;&gt;0"),0)</f>
        <v>10.563333333333333</v>
      </c>
      <c r="G855" s="4">
        <f ca="1">IFERROR(AVERAGEIF(OFFSET(Table1[[#This Row],[Status]],0,COUNT(Table1[[#This Row],[2019-May]:[2025-July]]),1,-12),"&lt;&gt;0"),0)</f>
        <v>9.1266666666666669</v>
      </c>
      <c r="H855" s="55">
        <f>IFERROR(SMALL(Table1[[#This Row],[2019-Apr]:[2025-July]],COUNTIF(Table1[[#This Row],[2019-Apr]:[2025-July]],0)+1),0)</f>
        <v>3.79</v>
      </c>
      <c r="I855" s="55">
        <f>IFERROR(MAX(Table1[[#This Row],[2019-Apr]:[2025-July]]),0)</f>
        <v>16.7</v>
      </c>
      <c r="J855" s="4" cm="1">
        <f t="array" ref="J85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5.8914999999999997</v>
      </c>
      <c r="K855" s="4">
        <v>4.5</v>
      </c>
      <c r="L855" s="4">
        <f>IF(Table1[[#This Row],[Standard as per ISO]]&gt;=Table1[[#This Row],[Avg of best 6]],Table1[[#This Row],[Standard as per ISO]],Table1[[#This Row],[Avg of best 6]])</f>
        <v>5.8914999999999997</v>
      </c>
      <c r="M855" s="4" cm="1">
        <f t="array" ref="M855">IFERROR(LOOKUP(2,1/(Table1[[#This Row],[2019-May]:[2025-July]]&lt;&gt;0),Table1[[#This Row],[2019-May]:[2025-July]]),0)</f>
        <v>9.5</v>
      </c>
      <c r="N855" s="4">
        <f>COUNTIF(Table1[[#This Row],[2019-Apr]:[2025-July]],"&gt;="&amp;Table1[[#This Row],[Target]])</f>
        <v>25</v>
      </c>
      <c r="O855" s="4">
        <f>IF(Table1[[#This Row],[Outliers 2Y]]=0,1,0)</f>
        <v>0</v>
      </c>
      <c r="P855" s="4">
        <f>IF(Table1[[#This Row],[Last value]]&gt;1.5*Table1[[#This Row],[Target]],1,0)</f>
        <v>1</v>
      </c>
      <c r="Q855" s="4">
        <f>IF(AND(1.5*Table1[[#This Row],[Target]]&gt;=Table1[[#This Row],[Last value]],Table1[[#This Row],[Last value]]&gt;Table1[[#This Row],[Target]]),1,0)</f>
        <v>0</v>
      </c>
      <c r="R855" s="4">
        <f>IF(Table1[[#This Row],[Target]]&gt;=Table1[[#This Row],[Last value]],1,0)</f>
        <v>0</v>
      </c>
      <c r="S855" s="4" t="str">
        <f t="shared" si="22"/>
        <v>Red</v>
      </c>
      <c r="T855" s="55">
        <v>0</v>
      </c>
      <c r="U855" s="55">
        <v>0</v>
      </c>
      <c r="V855" s="55">
        <v>0</v>
      </c>
      <c r="W855" s="55">
        <v>11.1</v>
      </c>
      <c r="X855" s="55">
        <v>13.2</v>
      </c>
      <c r="Y855" s="55">
        <v>3.79</v>
      </c>
      <c r="Z855" s="55">
        <v>0</v>
      </c>
      <c r="AA855" s="55">
        <v>0</v>
      </c>
      <c r="AB855" s="55">
        <v>13.5</v>
      </c>
      <c r="AC855" s="55">
        <v>0</v>
      </c>
      <c r="AD855" s="55">
        <v>11.9</v>
      </c>
      <c r="AE855" s="55">
        <v>14.6</v>
      </c>
      <c r="AF855" s="55">
        <v>13.9</v>
      </c>
      <c r="AG855" s="55">
        <v>7.5</v>
      </c>
      <c r="AH855" s="55">
        <v>13</v>
      </c>
      <c r="AI855" s="55">
        <v>0</v>
      </c>
      <c r="AJ855" s="55">
        <v>14.1</v>
      </c>
      <c r="AK855" s="55">
        <v>0</v>
      </c>
      <c r="AL855" s="55">
        <v>10.1</v>
      </c>
      <c r="AM855" s="55">
        <v>16.7</v>
      </c>
      <c r="AN855" s="55">
        <v>0</v>
      </c>
      <c r="AO855" s="55">
        <v>0</v>
      </c>
      <c r="AP855" s="55">
        <v>0</v>
      </c>
      <c r="AQ855" s="55">
        <v>0</v>
      </c>
      <c r="AR855" s="8">
        <v>13.9</v>
      </c>
      <c r="AS855" s="8">
        <v>0</v>
      </c>
      <c r="AT855" s="8">
        <v>0</v>
      </c>
      <c r="AU855" s="50">
        <v>0</v>
      </c>
      <c r="AV855" s="50">
        <v>0</v>
      </c>
      <c r="AW855" s="50">
        <v>0</v>
      </c>
      <c r="AX855" s="50">
        <v>0</v>
      </c>
      <c r="AY855" s="50">
        <v>0</v>
      </c>
      <c r="AZ855" s="50">
        <v>15.5</v>
      </c>
      <c r="BA855" s="50">
        <v>0</v>
      </c>
      <c r="BB855" s="50">
        <v>4.0999999999999996</v>
      </c>
      <c r="BC855" s="50">
        <v>0</v>
      </c>
      <c r="BD855" s="55">
        <v>0</v>
      </c>
      <c r="BE855" s="11">
        <v>0</v>
      </c>
      <c r="BF855" s="4">
        <v>11.15</v>
      </c>
      <c r="BG855" s="4">
        <v>0</v>
      </c>
      <c r="BH855" s="4">
        <v>0</v>
      </c>
      <c r="BI855" s="4">
        <v>16.649999999999999</v>
      </c>
      <c r="BJ855" s="14">
        <v>0</v>
      </c>
      <c r="BK855" s="14">
        <v>6.819</v>
      </c>
      <c r="BL855" s="4">
        <v>0</v>
      </c>
      <c r="BM855" s="17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7.9960000000000004</v>
      </c>
      <c r="BU855" s="4">
        <v>8.798</v>
      </c>
      <c r="BV855" s="4">
        <v>0</v>
      </c>
      <c r="BW855" s="4">
        <v>8.8870000000000005</v>
      </c>
      <c r="BX855" s="4">
        <v>0</v>
      </c>
      <c r="BY855" s="4">
        <v>0</v>
      </c>
      <c r="BZ855" s="55">
        <v>0</v>
      </c>
      <c r="CA855" s="55">
        <v>7.14</v>
      </c>
      <c r="CB855" s="55">
        <v>6.54</v>
      </c>
      <c r="CC855" s="55">
        <v>6.96</v>
      </c>
      <c r="CD855" s="55">
        <v>0</v>
      </c>
      <c r="CE855" s="19">
        <v>0</v>
      </c>
      <c r="CF855" s="19">
        <v>8</v>
      </c>
      <c r="CG855" s="4">
        <v>0</v>
      </c>
      <c r="CH855" s="4">
        <v>0</v>
      </c>
      <c r="CI855" s="4">
        <v>9.8800000000000008</v>
      </c>
      <c r="CJ855" s="34">
        <v>9.5</v>
      </c>
      <c r="CK855" s="34">
        <v>0</v>
      </c>
      <c r="CL855" s="34">
        <v>0</v>
      </c>
      <c r="CM855" s="4">
        <v>0</v>
      </c>
      <c r="CN855" s="53">
        <v>0</v>
      </c>
      <c r="CO855" s="54">
        <v>0</v>
      </c>
      <c r="CP855" s="54">
        <v>0</v>
      </c>
      <c r="CQ855" s="4">
        <v>0</v>
      </c>
    </row>
    <row r="856" spans="1:95" s="55" customFormat="1" x14ac:dyDescent="0.35">
      <c r="A856" s="55">
        <v>855</v>
      </c>
      <c r="B856" s="55" t="s">
        <v>108</v>
      </c>
      <c r="C856" s="27" t="s">
        <v>596</v>
      </c>
      <c r="D856" s="50" t="s">
        <v>109</v>
      </c>
      <c r="E856" s="33" t="s">
        <v>91</v>
      </c>
      <c r="F856" s="4">
        <f>IFERROR(AVERAGEIF(Table1[[#This Row],[2019-Apr]:[2025-July]],"&lt;&gt;0"),0)</f>
        <v>1.6492142857142853</v>
      </c>
      <c r="G856" s="4">
        <f ca="1">IFERROR(AVERAGEIF(OFFSET(Table1[[#This Row],[Status]],0,COUNT(Table1[[#This Row],[2019-May]:[2025-July]]),1,-12),"&lt;&gt;0"),0)</f>
        <v>1.1833333333333333</v>
      </c>
      <c r="H856" s="55">
        <f>IFERROR(SMALL(Table1[[#This Row],[2019-Apr]:[2025-July]],COUNTIF(Table1[[#This Row],[2019-Apr]:[2025-July]],0)+1),0)</f>
        <v>0.65</v>
      </c>
      <c r="I856" s="55">
        <f>IFERROR(MAX(Table1[[#This Row],[2019-Apr]:[2025-July]]),0)</f>
        <v>4</v>
      </c>
      <c r="J856" s="4" cm="1">
        <f t="array" ref="J85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0.74166666666666659</v>
      </c>
      <c r="K856" s="4">
        <v>4.5</v>
      </c>
      <c r="L856" s="4">
        <f>IF(Table1[[#This Row],[Standard as per ISO]]&gt;=Table1[[#This Row],[Avg of best 6]],Table1[[#This Row],[Standard as per ISO]],Table1[[#This Row],[Avg of best 6]])</f>
        <v>4.5</v>
      </c>
      <c r="M856" s="4" cm="1">
        <f t="array" ref="M856">IFERROR(LOOKUP(2,1/(Table1[[#This Row],[2019-May]:[2025-July]]&lt;&gt;0),Table1[[#This Row],[2019-May]:[2025-July]]),0)</f>
        <v>0.8</v>
      </c>
      <c r="N856" s="4">
        <f>COUNTIF(Table1[[#This Row],[2019-Apr]:[2025-July]],"&gt;="&amp;Table1[[#This Row],[Target]])</f>
        <v>0</v>
      </c>
      <c r="O856" s="4">
        <f>IF(Table1[[#This Row],[Outliers 2Y]]=0,1,0)</f>
        <v>1</v>
      </c>
      <c r="P856" s="4">
        <f>IF(Table1[[#This Row],[Last value]]&gt;1.5*Table1[[#This Row],[Target]],1,0)</f>
        <v>0</v>
      </c>
      <c r="Q856" s="4">
        <f>IF(AND(1.5*Table1[[#This Row],[Target]]&gt;=Table1[[#This Row],[Last value]],Table1[[#This Row],[Last value]]&gt;Table1[[#This Row],[Target]]),1,0)</f>
        <v>0</v>
      </c>
      <c r="R856" s="4">
        <f>IF(Table1[[#This Row],[Target]]&gt;=Table1[[#This Row],[Last value]],1,0)</f>
        <v>1</v>
      </c>
      <c r="S856" s="4" t="str">
        <f t="shared" si="22"/>
        <v>Green</v>
      </c>
      <c r="T856" s="55">
        <v>1.25</v>
      </c>
      <c r="U856" s="55">
        <v>1.31</v>
      </c>
      <c r="V856" s="55">
        <v>1.1499999999999999</v>
      </c>
      <c r="W856" s="55">
        <v>0.65</v>
      </c>
      <c r="X856" s="55">
        <v>2.11</v>
      </c>
      <c r="Y856" s="55">
        <v>1.32</v>
      </c>
      <c r="Z856" s="55">
        <v>0.81</v>
      </c>
      <c r="AA856" s="55">
        <v>3.04</v>
      </c>
      <c r="AB856" s="55">
        <v>0</v>
      </c>
      <c r="AC856" s="55">
        <v>0</v>
      </c>
      <c r="AD856" s="55">
        <v>2.2000000000000002</v>
      </c>
      <c r="AE856" s="55">
        <v>1.9</v>
      </c>
      <c r="AF856" s="55">
        <v>4</v>
      </c>
      <c r="AG856" s="55">
        <v>3.3</v>
      </c>
      <c r="AH856" s="55">
        <v>1.29</v>
      </c>
      <c r="AI856" s="55">
        <v>3.24</v>
      </c>
      <c r="AJ856" s="55">
        <v>2.16</v>
      </c>
      <c r="AK856" s="55">
        <v>1.48</v>
      </c>
      <c r="AL856" s="55">
        <v>2.38</v>
      </c>
      <c r="AM856" s="55">
        <v>1.99</v>
      </c>
      <c r="AN856" s="55">
        <v>1.44</v>
      </c>
      <c r="AO856" s="55">
        <v>2.99</v>
      </c>
      <c r="AP856" s="55">
        <v>1.78</v>
      </c>
      <c r="AQ856" s="55">
        <v>0</v>
      </c>
      <c r="AR856" s="8">
        <v>0.93</v>
      </c>
      <c r="AS856" s="8">
        <v>1.9</v>
      </c>
      <c r="AT856" s="8">
        <v>1.23</v>
      </c>
      <c r="AU856" s="50">
        <v>2.3199999999999998</v>
      </c>
      <c r="AV856" s="50">
        <v>0.69</v>
      </c>
      <c r="AW856" s="50">
        <v>1.48</v>
      </c>
      <c r="AX856" s="50">
        <v>0.8</v>
      </c>
      <c r="AY856" s="50">
        <v>0.95</v>
      </c>
      <c r="AZ856" s="50">
        <v>0.96</v>
      </c>
      <c r="BA856" s="50">
        <v>0.7</v>
      </c>
      <c r="BB856" s="50">
        <v>1.1000000000000001</v>
      </c>
      <c r="BC856" s="55">
        <v>1.5</v>
      </c>
      <c r="BD856" s="55">
        <v>0</v>
      </c>
      <c r="BE856" s="11">
        <v>1.04</v>
      </c>
      <c r="BF856" s="4">
        <v>1.04</v>
      </c>
      <c r="BG856" s="4">
        <v>1.577</v>
      </c>
      <c r="BH856" s="4">
        <v>0</v>
      </c>
      <c r="BI856" s="4">
        <v>0</v>
      </c>
      <c r="BJ856" s="13">
        <v>1.5720000000000001</v>
      </c>
      <c r="BK856" s="13">
        <v>1.7050000000000001</v>
      </c>
      <c r="BL856" s="4">
        <v>2.653</v>
      </c>
      <c r="BM856" s="16">
        <v>1.821</v>
      </c>
      <c r="BN856" s="4">
        <v>1.8560000000000001</v>
      </c>
      <c r="BO856" s="4">
        <v>0</v>
      </c>
      <c r="BP856" s="4">
        <v>1.177</v>
      </c>
      <c r="BQ856" s="4">
        <v>1.214</v>
      </c>
      <c r="BR856" s="4">
        <v>1.2589999999999999</v>
      </c>
      <c r="BS856" s="4">
        <v>0</v>
      </c>
      <c r="BT856" s="4">
        <v>1.5940000000000001</v>
      </c>
      <c r="BU856" s="4">
        <v>0</v>
      </c>
      <c r="BV856" s="4">
        <v>2.0350000000000001</v>
      </c>
      <c r="BW856" s="4">
        <v>1.45</v>
      </c>
      <c r="BX856" s="4">
        <v>1.819</v>
      </c>
      <c r="BY856" s="4">
        <v>1.8839999999999999</v>
      </c>
      <c r="BZ856" s="55">
        <v>0</v>
      </c>
      <c r="CA856" s="55">
        <v>1.32</v>
      </c>
      <c r="CB856" s="55">
        <v>2.38</v>
      </c>
      <c r="CC856" s="55">
        <v>1.63</v>
      </c>
      <c r="CD856" s="55">
        <v>1.43</v>
      </c>
      <c r="CE856" s="19">
        <v>1.9</v>
      </c>
      <c r="CF856" s="19">
        <v>0</v>
      </c>
      <c r="CG856" s="4">
        <v>0</v>
      </c>
      <c r="CH856" s="4">
        <v>0</v>
      </c>
      <c r="CI856" s="4">
        <v>0.85</v>
      </c>
      <c r="CJ856" s="34">
        <v>0.8</v>
      </c>
      <c r="CK856" s="34">
        <v>0</v>
      </c>
      <c r="CL856" s="34">
        <v>0</v>
      </c>
      <c r="CM856" s="4">
        <v>0</v>
      </c>
      <c r="CN856" s="53">
        <v>0</v>
      </c>
      <c r="CO856" s="54">
        <v>0</v>
      </c>
      <c r="CP856" s="54">
        <v>0</v>
      </c>
      <c r="CQ856" s="4">
        <v>0</v>
      </c>
    </row>
    <row r="857" spans="1:95" s="55" customFormat="1" x14ac:dyDescent="0.35">
      <c r="A857" s="55">
        <v>856</v>
      </c>
      <c r="B857" s="55" t="s">
        <v>108</v>
      </c>
      <c r="C857" s="27" t="s">
        <v>597</v>
      </c>
      <c r="D857" s="50" t="s">
        <v>109</v>
      </c>
      <c r="E857" s="33" t="s">
        <v>91</v>
      </c>
      <c r="F857" s="4">
        <f>IFERROR(AVERAGEIF(Table1[[#This Row],[2019-Apr]:[2025-July]],"&lt;&gt;0"),0)</f>
        <v>1.8597735849056602</v>
      </c>
      <c r="G857" s="4">
        <f ca="1">IFERROR(AVERAGEIF(OFFSET(Table1[[#This Row],[Status]],0,COUNT(Table1[[#This Row],[2019-May]:[2025-July]]),1,-12),"&lt;&gt;0"),0)</f>
        <v>3.7025000000000001</v>
      </c>
      <c r="H857" s="55">
        <f>IFERROR(SMALL(Table1[[#This Row],[2019-Apr]:[2025-July]],COUNTIF(Table1[[#This Row],[2019-Apr]:[2025-July]],0)+1),0)</f>
        <v>0.83</v>
      </c>
      <c r="I857" s="55">
        <f>IFERROR(MAX(Table1[[#This Row],[2019-Apr]:[2025-July]]),0)</f>
        <v>4.1100000000000003</v>
      </c>
      <c r="J857" s="4" cm="1">
        <f t="array" ref="J85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0.89716666666666656</v>
      </c>
      <c r="K857" s="4">
        <v>4.5</v>
      </c>
      <c r="L857" s="4">
        <f>IF(Table1[[#This Row],[Standard as per ISO]]&gt;=Table1[[#This Row],[Avg of best 6]],Table1[[#This Row],[Standard as per ISO]],Table1[[#This Row],[Avg of best 6]])</f>
        <v>4.5</v>
      </c>
      <c r="M857" s="4" cm="1">
        <f t="array" ref="M857">IFERROR(LOOKUP(2,1/(Table1[[#This Row],[2019-May]:[2025-July]]&lt;&gt;0),Table1[[#This Row],[2019-May]:[2025-July]]),0)</f>
        <v>3.9</v>
      </c>
      <c r="N857" s="4">
        <f>COUNTIF(Table1[[#This Row],[2019-Apr]:[2025-July]],"&gt;="&amp;Table1[[#This Row],[Target]])</f>
        <v>0</v>
      </c>
      <c r="O857" s="4">
        <f>IF(Table1[[#This Row],[Outliers 2Y]]=0,1,0)</f>
        <v>1</v>
      </c>
      <c r="P857" s="4">
        <f>IF(Table1[[#This Row],[Last value]]&gt;1.5*Table1[[#This Row],[Target]],1,0)</f>
        <v>0</v>
      </c>
      <c r="Q857" s="4">
        <f>IF(AND(1.5*Table1[[#This Row],[Target]]&gt;=Table1[[#This Row],[Last value]],Table1[[#This Row],[Last value]]&gt;Table1[[#This Row],[Target]]),1,0)</f>
        <v>0</v>
      </c>
      <c r="R857" s="4">
        <f>IF(Table1[[#This Row],[Target]]&gt;=Table1[[#This Row],[Last value]],1,0)</f>
        <v>1</v>
      </c>
      <c r="S857" s="4" t="str">
        <f t="shared" si="22"/>
        <v>Green</v>
      </c>
      <c r="T857" s="55">
        <v>0.87</v>
      </c>
      <c r="U857" s="55">
        <v>1.31</v>
      </c>
      <c r="V857" s="55">
        <v>3.01</v>
      </c>
      <c r="W857" s="55">
        <v>1.32</v>
      </c>
      <c r="X857" s="55">
        <v>0.83</v>
      </c>
      <c r="Y857" s="55">
        <v>0</v>
      </c>
      <c r="Z857" s="55">
        <v>1.72</v>
      </c>
      <c r="AA857" s="55">
        <v>2.2400000000000002</v>
      </c>
      <c r="AB857" s="55">
        <v>1.7</v>
      </c>
      <c r="AC857" s="55">
        <v>0.9</v>
      </c>
      <c r="AD857" s="55">
        <v>2.1</v>
      </c>
      <c r="AE857" s="55">
        <v>1.4</v>
      </c>
      <c r="AF857" s="55">
        <v>1.1000000000000001</v>
      </c>
      <c r="AG857" s="55">
        <v>1.7</v>
      </c>
      <c r="AH857" s="55">
        <v>0.98</v>
      </c>
      <c r="AI857" s="55">
        <v>0</v>
      </c>
      <c r="AJ857" s="55">
        <v>1.68</v>
      </c>
      <c r="AK857" s="55">
        <v>0</v>
      </c>
      <c r="AL857" s="55">
        <v>1.99</v>
      </c>
      <c r="AM857" s="55">
        <v>0</v>
      </c>
      <c r="AN857" s="55">
        <v>1.17</v>
      </c>
      <c r="AO857" s="55">
        <v>1.26</v>
      </c>
      <c r="AP857" s="55">
        <v>1.32</v>
      </c>
      <c r="AQ857" s="55">
        <v>1.31</v>
      </c>
      <c r="AR857" s="8">
        <v>0</v>
      </c>
      <c r="AS857" s="8">
        <v>1.1000000000000001</v>
      </c>
      <c r="AT857" s="8">
        <v>0</v>
      </c>
      <c r="AU857" s="50">
        <v>1.51</v>
      </c>
      <c r="AV857" s="50">
        <v>1.32</v>
      </c>
      <c r="AW857" s="50">
        <v>2.4700000000000002</v>
      </c>
      <c r="AX857" s="50">
        <v>0.93</v>
      </c>
      <c r="AY857" s="50">
        <v>1.02</v>
      </c>
      <c r="AZ857" s="50">
        <v>1.7</v>
      </c>
      <c r="BA857" s="50">
        <v>0.9</v>
      </c>
      <c r="BB857" s="50">
        <v>0.9</v>
      </c>
      <c r="BC857" s="55">
        <v>1.1000000000000001</v>
      </c>
      <c r="BD857" s="55">
        <v>0</v>
      </c>
      <c r="BE857" s="11">
        <v>0.92300000000000004</v>
      </c>
      <c r="BF857" s="4">
        <v>2.6930000000000001</v>
      </c>
      <c r="BG857" s="4">
        <v>1.089</v>
      </c>
      <c r="BH857" s="4">
        <v>1.82</v>
      </c>
      <c r="BI857" s="4">
        <v>1.681</v>
      </c>
      <c r="BJ857" s="14">
        <v>3.9039999999999999</v>
      </c>
      <c r="BK857" s="14">
        <v>0</v>
      </c>
      <c r="BL857" s="4">
        <v>1.538</v>
      </c>
      <c r="BM857" s="17">
        <v>1.077</v>
      </c>
      <c r="BN857" s="4">
        <v>0</v>
      </c>
      <c r="BO857" s="4">
        <v>1.391</v>
      </c>
      <c r="BP857" s="4">
        <v>1.7789999999999999</v>
      </c>
      <c r="BQ857" s="4">
        <v>0</v>
      </c>
      <c r="BR857" s="4">
        <v>1.5289999999999999</v>
      </c>
      <c r="BS857" s="4">
        <v>1.821</v>
      </c>
      <c r="BT857" s="4">
        <v>1.9990000000000001</v>
      </c>
      <c r="BU857" s="4">
        <v>2.0720000000000001</v>
      </c>
      <c r="BV857" s="4">
        <v>2.4089999999999998</v>
      </c>
      <c r="BW857" s="4">
        <v>2.4940000000000002</v>
      </c>
      <c r="BX857" s="4">
        <v>2.9950000000000001</v>
      </c>
      <c r="BY857" s="4">
        <v>4.0940000000000003</v>
      </c>
      <c r="BZ857" s="55">
        <v>3.59</v>
      </c>
      <c r="CA857" s="55">
        <v>0</v>
      </c>
      <c r="CB857" s="55">
        <v>0</v>
      </c>
      <c r="CC857" s="55">
        <v>0</v>
      </c>
      <c r="CD857" s="55">
        <v>0</v>
      </c>
      <c r="CE857" s="19">
        <v>0</v>
      </c>
      <c r="CF857" s="19">
        <v>3</v>
      </c>
      <c r="CG857" s="4">
        <v>0</v>
      </c>
      <c r="CH857" s="4">
        <v>4.1100000000000003</v>
      </c>
      <c r="CI857" s="4">
        <v>3.8</v>
      </c>
      <c r="CJ857" s="34">
        <v>3.9</v>
      </c>
      <c r="CK857" s="34">
        <v>0</v>
      </c>
      <c r="CL857" s="34">
        <v>0</v>
      </c>
      <c r="CM857" s="4">
        <v>0</v>
      </c>
      <c r="CN857" s="53">
        <v>0</v>
      </c>
      <c r="CO857" s="54">
        <v>0</v>
      </c>
      <c r="CP857" s="54">
        <v>0</v>
      </c>
      <c r="CQ857" s="4">
        <v>0</v>
      </c>
    </row>
    <row r="858" spans="1:95" s="55" customFormat="1" x14ac:dyDescent="0.35">
      <c r="A858" s="55">
        <v>857</v>
      </c>
      <c r="B858" s="55" t="s">
        <v>108</v>
      </c>
      <c r="C858" s="27" t="s">
        <v>598</v>
      </c>
      <c r="D858" s="50" t="s">
        <v>109</v>
      </c>
      <c r="E858" s="33" t="s">
        <v>91</v>
      </c>
      <c r="F858" s="4">
        <f>IFERROR(AVERAGEIF(Table1[[#This Row],[2019-Apr]:[2025-July]],"&lt;&gt;0"),0)</f>
        <v>1.42225</v>
      </c>
      <c r="G858" s="4">
        <f ca="1">IFERROR(AVERAGEIF(OFFSET(Table1[[#This Row],[Status]],0,COUNT(Table1[[#This Row],[2019-May]:[2025-July]]),1,-12),"&lt;&gt;0"),0)</f>
        <v>1.6466666666666665</v>
      </c>
      <c r="H858" s="55">
        <f>IFERROR(SMALL(Table1[[#This Row],[2019-Apr]:[2025-July]],COUNTIF(Table1[[#This Row],[2019-Apr]:[2025-July]],0)+1),0)</f>
        <v>0.64200000000000002</v>
      </c>
      <c r="I858" s="55">
        <f>IFERROR(MAX(Table1[[#This Row],[2019-Apr]:[2025-July]]),0)</f>
        <v>2.9</v>
      </c>
      <c r="J858" s="4" cm="1">
        <f t="array" ref="J85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0.84450000000000003</v>
      </c>
      <c r="K858" s="4">
        <v>4.5</v>
      </c>
      <c r="L858" s="4">
        <f>IF(Table1[[#This Row],[Standard as per ISO]]&gt;=Table1[[#This Row],[Avg of best 6]],Table1[[#This Row],[Standard as per ISO]],Table1[[#This Row],[Avg of best 6]])</f>
        <v>4.5</v>
      </c>
      <c r="M858" s="4" cm="1">
        <f t="array" ref="M858">IFERROR(LOOKUP(2,1/(Table1[[#This Row],[2019-May]:[2025-July]]&lt;&gt;0),Table1[[#This Row],[2019-May]:[2025-July]]),0)</f>
        <v>1.8</v>
      </c>
      <c r="N858" s="4">
        <f>COUNTIF(Table1[[#This Row],[2019-Apr]:[2025-July]],"&gt;="&amp;Table1[[#This Row],[Target]])</f>
        <v>0</v>
      </c>
      <c r="O858" s="4">
        <f>IF(Table1[[#This Row],[Outliers 2Y]]=0,1,0)</f>
        <v>1</v>
      </c>
      <c r="P858" s="4">
        <f>IF(Table1[[#This Row],[Last value]]&gt;1.5*Table1[[#This Row],[Target]],1,0)</f>
        <v>0</v>
      </c>
      <c r="Q858" s="4">
        <f>IF(AND(1.5*Table1[[#This Row],[Target]]&gt;=Table1[[#This Row],[Last value]],Table1[[#This Row],[Last value]]&gt;Table1[[#This Row],[Target]]),1,0)</f>
        <v>0</v>
      </c>
      <c r="R858" s="4">
        <f>IF(Table1[[#This Row],[Target]]&gt;=Table1[[#This Row],[Last value]],1,0)</f>
        <v>1</v>
      </c>
      <c r="S858" s="4" t="str">
        <f t="shared" si="22"/>
        <v>Green</v>
      </c>
      <c r="T858" s="55">
        <v>1.76</v>
      </c>
      <c r="U858" s="55">
        <v>1.29</v>
      </c>
      <c r="V858" s="55">
        <v>2.9</v>
      </c>
      <c r="W858" s="55">
        <v>1.7</v>
      </c>
      <c r="X858" s="55">
        <v>0</v>
      </c>
      <c r="Y858" s="55">
        <v>1.43</v>
      </c>
      <c r="Z858" s="55">
        <v>0</v>
      </c>
      <c r="AA858" s="55">
        <v>0</v>
      </c>
      <c r="AB858" s="55">
        <v>1.8</v>
      </c>
      <c r="AC858" s="55">
        <v>0.9</v>
      </c>
      <c r="AD858" s="55">
        <v>0</v>
      </c>
      <c r="AE858" s="55">
        <v>0</v>
      </c>
      <c r="AF858" s="55">
        <v>1.4</v>
      </c>
      <c r="AG858" s="55">
        <v>0</v>
      </c>
      <c r="AH858" s="55">
        <v>0</v>
      </c>
      <c r="AI858" s="55">
        <v>0</v>
      </c>
      <c r="AJ858" s="55">
        <v>0</v>
      </c>
      <c r="AK858" s="55">
        <v>1.78</v>
      </c>
      <c r="AL858" s="55">
        <v>0</v>
      </c>
      <c r="AM858" s="55">
        <v>2.5499999999999998</v>
      </c>
      <c r="AN858" s="55">
        <v>0</v>
      </c>
      <c r="AO858" s="55">
        <v>0</v>
      </c>
      <c r="AP858" s="55">
        <v>0</v>
      </c>
      <c r="AQ858" s="55">
        <v>1.1499999999999999</v>
      </c>
      <c r="AR858" s="8">
        <v>0.86</v>
      </c>
      <c r="AS858" s="8">
        <v>0</v>
      </c>
      <c r="AT858" s="8">
        <v>1.85</v>
      </c>
      <c r="AU858" s="50">
        <v>0</v>
      </c>
      <c r="AV858" s="50">
        <v>0</v>
      </c>
      <c r="AW858" s="50">
        <v>0</v>
      </c>
      <c r="AX858" s="50">
        <v>0</v>
      </c>
      <c r="AY858" s="50">
        <v>0</v>
      </c>
      <c r="AZ858" s="50">
        <v>0</v>
      </c>
      <c r="BA858" s="50">
        <v>0</v>
      </c>
      <c r="BB858" s="50">
        <v>0</v>
      </c>
      <c r="BC858" s="50">
        <v>0</v>
      </c>
      <c r="BD858" s="55">
        <v>0</v>
      </c>
      <c r="BE858" s="11">
        <v>0</v>
      </c>
      <c r="BF858" s="4">
        <v>0.64200000000000002</v>
      </c>
      <c r="BG858" s="4">
        <v>0</v>
      </c>
      <c r="BH858" s="4">
        <v>0.71499999999999997</v>
      </c>
      <c r="BI858" s="4">
        <v>1.0920000000000001</v>
      </c>
      <c r="BJ858" s="13">
        <v>0</v>
      </c>
      <c r="BK858" s="13">
        <v>1.236</v>
      </c>
      <c r="BL858" s="4">
        <v>0</v>
      </c>
      <c r="BM858" s="16">
        <v>0</v>
      </c>
      <c r="BN858" s="4">
        <v>1.0369999999999999</v>
      </c>
      <c r="BO858" s="4">
        <v>1.0389999999999999</v>
      </c>
      <c r="BP858" s="4">
        <v>0</v>
      </c>
      <c r="BQ858" s="4">
        <v>0.998</v>
      </c>
      <c r="BR858" s="4">
        <v>0.97199999999999998</v>
      </c>
      <c r="BS858" s="4">
        <v>1.0389999999999999</v>
      </c>
      <c r="BT858" s="4">
        <v>1.024</v>
      </c>
      <c r="BU858" s="4">
        <v>0.97799999999999998</v>
      </c>
      <c r="BV858" s="4">
        <v>0</v>
      </c>
      <c r="BW858" s="4">
        <v>0</v>
      </c>
      <c r="BX858" s="4">
        <v>0</v>
      </c>
      <c r="BY858" s="4">
        <v>0</v>
      </c>
      <c r="BZ858" s="55">
        <v>1.53</v>
      </c>
      <c r="CA858" s="55">
        <v>1.45</v>
      </c>
      <c r="CB858" s="55">
        <v>1.66</v>
      </c>
      <c r="CC858" s="55">
        <v>2.1800000000000002</v>
      </c>
      <c r="CD858" s="55">
        <v>1.61</v>
      </c>
      <c r="CE858" s="19">
        <v>1.5</v>
      </c>
      <c r="CF858" s="19">
        <v>0</v>
      </c>
      <c r="CG858" s="4">
        <v>0</v>
      </c>
      <c r="CH858" s="4">
        <v>1.64</v>
      </c>
      <c r="CI858" s="4">
        <v>0</v>
      </c>
      <c r="CJ858" s="34">
        <v>1.8</v>
      </c>
      <c r="CK858" s="34">
        <v>0</v>
      </c>
      <c r="CL858" s="34">
        <v>0</v>
      </c>
      <c r="CM858" s="4">
        <v>0</v>
      </c>
      <c r="CN858" s="53">
        <v>0</v>
      </c>
      <c r="CO858" s="54">
        <v>0</v>
      </c>
      <c r="CP858" s="54">
        <v>0</v>
      </c>
      <c r="CQ858" s="4">
        <v>0</v>
      </c>
    </row>
    <row r="859" spans="1:95" s="55" customFormat="1" x14ac:dyDescent="0.35">
      <c r="A859" s="55">
        <v>858</v>
      </c>
      <c r="B859" s="55" t="s">
        <v>108</v>
      </c>
      <c r="C859" s="27" t="s">
        <v>599</v>
      </c>
      <c r="D859" s="50" t="s">
        <v>109</v>
      </c>
      <c r="E859" s="33" t="s">
        <v>91</v>
      </c>
      <c r="F859" s="4">
        <f>IFERROR(AVERAGEIF(Table1[[#This Row],[2019-Apr]:[2025-July]],"&lt;&gt;0"),0)</f>
        <v>1.2473454545454548</v>
      </c>
      <c r="G859" s="4">
        <f ca="1">IFERROR(AVERAGEIF(OFFSET(Table1[[#This Row],[Status]],0,COUNT(Table1[[#This Row],[2019-May]:[2025-July]]),1,-12),"&lt;&gt;0"),0)</f>
        <v>0.90333333333333332</v>
      </c>
      <c r="H859" s="55">
        <f>IFERROR(SMALL(Table1[[#This Row],[2019-Apr]:[2025-July]],COUNTIF(Table1[[#This Row],[2019-Apr]:[2025-July]],0)+1),0)</f>
        <v>0.7</v>
      </c>
      <c r="I859" s="55">
        <f>IFERROR(MAX(Table1[[#This Row],[2019-Apr]:[2025-July]]),0)</f>
        <v>2.41</v>
      </c>
      <c r="J859" s="4" cm="1">
        <f t="array" ref="J85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0.81566666666666665</v>
      </c>
      <c r="K859" s="4">
        <v>4.5</v>
      </c>
      <c r="L859" s="4">
        <f>IF(Table1[[#This Row],[Standard as per ISO]]&gt;=Table1[[#This Row],[Avg of best 6]],Table1[[#This Row],[Standard as per ISO]],Table1[[#This Row],[Avg of best 6]])</f>
        <v>4.5</v>
      </c>
      <c r="M859" s="4" cm="1">
        <f t="array" ref="M859">IFERROR(LOOKUP(2,1/(Table1[[#This Row],[2019-May]:[2025-July]]&lt;&gt;0),Table1[[#This Row],[2019-May]:[2025-July]]),0)</f>
        <v>1.06</v>
      </c>
      <c r="N859" s="4">
        <f>COUNTIF(Table1[[#This Row],[2019-Apr]:[2025-July]],"&gt;="&amp;Table1[[#This Row],[Target]])</f>
        <v>0</v>
      </c>
      <c r="O859" s="4">
        <f>IF(Table1[[#This Row],[Outliers 2Y]]=0,1,0)</f>
        <v>1</v>
      </c>
      <c r="P859" s="4">
        <f>IF(Table1[[#This Row],[Last value]]&gt;1.5*Table1[[#This Row],[Target]],1,0)</f>
        <v>0</v>
      </c>
      <c r="Q859" s="4">
        <f>IF(AND(1.5*Table1[[#This Row],[Target]]&gt;=Table1[[#This Row],[Last value]],Table1[[#This Row],[Last value]]&gt;Table1[[#This Row],[Target]]),1,0)</f>
        <v>0</v>
      </c>
      <c r="R859" s="4">
        <f>IF(Table1[[#This Row],[Target]]&gt;=Table1[[#This Row],[Last value]],1,0)</f>
        <v>1</v>
      </c>
      <c r="S859" s="4" t="str">
        <f t="shared" si="22"/>
        <v>Green</v>
      </c>
      <c r="T859" s="55">
        <v>1.52</v>
      </c>
      <c r="U859" s="55">
        <v>1.52</v>
      </c>
      <c r="V859" s="55">
        <v>1.52</v>
      </c>
      <c r="W859" s="55">
        <v>1.52</v>
      </c>
      <c r="X859" s="55">
        <v>1.52</v>
      </c>
      <c r="Y859" s="55">
        <v>1.52</v>
      </c>
      <c r="Z859" s="55">
        <v>1.34</v>
      </c>
      <c r="AA859" s="55">
        <v>1.36</v>
      </c>
      <c r="AB859" s="55">
        <v>1.27</v>
      </c>
      <c r="AC859" s="55">
        <v>2.02</v>
      </c>
      <c r="AD859" s="55">
        <v>1.55</v>
      </c>
      <c r="AE859" s="55">
        <v>1.5</v>
      </c>
      <c r="AF859" s="55">
        <v>2.13</v>
      </c>
      <c r="AG859" s="55">
        <v>1.19</v>
      </c>
      <c r="AH859" s="55">
        <v>2.41</v>
      </c>
      <c r="AI859" s="55">
        <v>0</v>
      </c>
      <c r="AJ859" s="55">
        <v>1.7</v>
      </c>
      <c r="AK859" s="55">
        <v>1.1000000000000001</v>
      </c>
      <c r="AL859" s="55">
        <v>0.9</v>
      </c>
      <c r="AM859" s="55">
        <v>0</v>
      </c>
      <c r="AN859" s="55">
        <v>1.2</v>
      </c>
      <c r="AO859" s="55">
        <v>1.6</v>
      </c>
      <c r="AP859" s="55">
        <v>0.9</v>
      </c>
      <c r="AQ859" s="55">
        <v>1.1100000000000001</v>
      </c>
      <c r="AR859" s="8">
        <v>2.14</v>
      </c>
      <c r="AS859" s="8">
        <v>0.92</v>
      </c>
      <c r="AT859" s="8">
        <v>1.48</v>
      </c>
      <c r="AU859" s="50">
        <v>0</v>
      </c>
      <c r="AV859" s="50">
        <v>0</v>
      </c>
      <c r="AW859" s="50">
        <v>1.54</v>
      </c>
      <c r="AX859" s="50">
        <v>0.88</v>
      </c>
      <c r="AY859" s="50">
        <v>1.58</v>
      </c>
      <c r="AZ859" s="50">
        <v>1.56</v>
      </c>
      <c r="BA859" s="50">
        <v>1.1000000000000001</v>
      </c>
      <c r="BB859" s="50">
        <v>0.9</v>
      </c>
      <c r="BC859" s="50">
        <v>0</v>
      </c>
      <c r="BD859" s="55">
        <v>0</v>
      </c>
      <c r="BE859" s="11">
        <v>0.97599999999999998</v>
      </c>
      <c r="BF859" s="4">
        <v>0.97599999999999998</v>
      </c>
      <c r="BG859" s="4">
        <v>0.79400000000000004</v>
      </c>
      <c r="BH859" s="4">
        <v>1.179</v>
      </c>
      <c r="BI859" s="4">
        <v>0.92400000000000004</v>
      </c>
      <c r="BJ859" s="14">
        <v>1.1739999999999999</v>
      </c>
      <c r="BK859" s="14">
        <v>1.321</v>
      </c>
      <c r="BL859" s="4">
        <v>1.0669999999999999</v>
      </c>
      <c r="BM859" s="17">
        <v>0.96699999999999997</v>
      </c>
      <c r="BN859" s="4">
        <v>1.1200000000000001</v>
      </c>
      <c r="BO859" s="4">
        <v>0.92600000000000005</v>
      </c>
      <c r="BP859" s="4">
        <v>0</v>
      </c>
      <c r="BQ859" s="4">
        <v>0</v>
      </c>
      <c r="BR859" s="4">
        <v>0.85299999999999998</v>
      </c>
      <c r="BS859" s="4">
        <v>0</v>
      </c>
      <c r="BT859" s="4">
        <v>1.1240000000000001</v>
      </c>
      <c r="BU859" s="4">
        <v>1.02</v>
      </c>
      <c r="BV859" s="4">
        <v>1.216</v>
      </c>
      <c r="BW859" s="4">
        <v>0.88700000000000001</v>
      </c>
      <c r="BX859" s="4">
        <v>1.0129999999999999</v>
      </c>
      <c r="BY859" s="4">
        <v>0.96699999999999997</v>
      </c>
      <c r="BZ859" s="55">
        <v>1.07</v>
      </c>
      <c r="CA859" s="55">
        <v>0.78</v>
      </c>
      <c r="CB859" s="55">
        <v>0</v>
      </c>
      <c r="CC859" s="55">
        <v>1.04</v>
      </c>
      <c r="CD859" s="55">
        <v>0</v>
      </c>
      <c r="CE859" s="19">
        <v>0.7</v>
      </c>
      <c r="CF859" s="19">
        <v>0</v>
      </c>
      <c r="CG859" s="4">
        <v>0</v>
      </c>
      <c r="CH859" s="4">
        <v>0.95</v>
      </c>
      <c r="CI859" s="4">
        <v>1.06</v>
      </c>
      <c r="CJ859" s="34">
        <v>0</v>
      </c>
      <c r="CK859" s="34">
        <v>0</v>
      </c>
      <c r="CL859" s="34">
        <v>0</v>
      </c>
      <c r="CM859" s="4">
        <v>0</v>
      </c>
      <c r="CN859" s="53">
        <v>0</v>
      </c>
      <c r="CO859" s="54">
        <v>0</v>
      </c>
      <c r="CP859" s="54">
        <v>0</v>
      </c>
      <c r="CQ859" s="4">
        <v>0</v>
      </c>
    </row>
    <row r="860" spans="1:95" s="55" customFormat="1" x14ac:dyDescent="0.35">
      <c r="A860" s="55">
        <v>859</v>
      </c>
      <c r="B860" s="55" t="s">
        <v>108</v>
      </c>
      <c r="C860" s="27" t="s">
        <v>600</v>
      </c>
      <c r="D860" s="50" t="s">
        <v>109</v>
      </c>
      <c r="E860" s="33" t="s">
        <v>91</v>
      </c>
      <c r="F860" s="4">
        <f>IFERROR(AVERAGEIF(Table1[[#This Row],[2019-Apr]:[2025-July]],"&lt;&gt;0"),0)</f>
        <v>1.8837755102040818</v>
      </c>
      <c r="G860" s="4">
        <f ca="1">IFERROR(AVERAGEIF(OFFSET(Table1[[#This Row],[Status]],0,COUNT(Table1[[#This Row],[2019-May]:[2025-July]]),1,-12),"&lt;&gt;0"),0)</f>
        <v>4.13</v>
      </c>
      <c r="H860" s="55">
        <f>IFERROR(SMALL(Table1[[#This Row],[2019-Apr]:[2025-July]],COUNTIF(Table1[[#This Row],[2019-Apr]:[2025-July]],0)+1),0)</f>
        <v>0.8</v>
      </c>
      <c r="I860" s="55">
        <f>IFERROR(MAX(Table1[[#This Row],[2019-Apr]:[2025-July]]),0)</f>
        <v>4.5999999999999996</v>
      </c>
      <c r="J860" s="4" cm="1">
        <f t="array" ref="J86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0.85166666666666668</v>
      </c>
      <c r="K860" s="4">
        <v>4.5</v>
      </c>
      <c r="L860" s="4">
        <f>IF(Table1[[#This Row],[Standard as per ISO]]&gt;=Table1[[#This Row],[Avg of best 6]],Table1[[#This Row],[Standard as per ISO]],Table1[[#This Row],[Avg of best 6]])</f>
        <v>4.5</v>
      </c>
      <c r="M860" s="4" cm="1">
        <f t="array" ref="M860">IFERROR(LOOKUP(2,1/(Table1[[#This Row],[2019-May]:[2025-July]]&lt;&gt;0),Table1[[#This Row],[2019-May]:[2025-July]]),0)</f>
        <v>3.2</v>
      </c>
      <c r="N860" s="4">
        <f>COUNTIF(Table1[[#This Row],[2019-Apr]:[2025-July]],"&gt;="&amp;Table1[[#This Row],[Target]])</f>
        <v>2</v>
      </c>
      <c r="O860" s="4">
        <f>IF(Table1[[#This Row],[Outliers 2Y]]=0,1,0)</f>
        <v>0</v>
      </c>
      <c r="P860" s="4">
        <f>IF(Table1[[#This Row],[Last value]]&gt;1.5*Table1[[#This Row],[Target]],1,0)</f>
        <v>0</v>
      </c>
      <c r="Q860" s="4">
        <f>IF(AND(1.5*Table1[[#This Row],[Target]]&gt;=Table1[[#This Row],[Last value]],Table1[[#This Row],[Last value]]&gt;Table1[[#This Row],[Target]]),1,0)</f>
        <v>0</v>
      </c>
      <c r="R860" s="4">
        <f>IF(Table1[[#This Row],[Target]]&gt;=Table1[[#This Row],[Last value]],1,0)</f>
        <v>1</v>
      </c>
      <c r="S860" s="4" t="str">
        <f t="shared" si="22"/>
        <v>Green</v>
      </c>
      <c r="T860" s="55">
        <v>2.12</v>
      </c>
      <c r="U860" s="55">
        <v>0.8</v>
      </c>
      <c r="V860" s="55">
        <v>2.2799999999999998</v>
      </c>
      <c r="W860" s="55">
        <v>0.81</v>
      </c>
      <c r="X860" s="55">
        <v>0.92</v>
      </c>
      <c r="Y860" s="55">
        <v>1.91</v>
      </c>
      <c r="Z860" s="55">
        <v>0</v>
      </c>
      <c r="AA860" s="55">
        <v>0.88</v>
      </c>
      <c r="AB860" s="55">
        <v>1</v>
      </c>
      <c r="AC860" s="55">
        <v>0.8</v>
      </c>
      <c r="AD860" s="55">
        <v>1.3</v>
      </c>
      <c r="AE860" s="55">
        <v>1.33</v>
      </c>
      <c r="AF860" s="55">
        <v>1.6</v>
      </c>
      <c r="AG860" s="55">
        <v>0</v>
      </c>
      <c r="AH860" s="55">
        <v>0</v>
      </c>
      <c r="AI860" s="55">
        <v>1.36</v>
      </c>
      <c r="AJ860" s="55">
        <v>0.98</v>
      </c>
      <c r="AK860" s="55">
        <v>0</v>
      </c>
      <c r="AL860" s="55">
        <v>0</v>
      </c>
      <c r="AM860" s="55">
        <v>1.91</v>
      </c>
      <c r="AN860" s="55">
        <v>1.1499999999999999</v>
      </c>
      <c r="AO860" s="55">
        <v>2.0699999999999998</v>
      </c>
      <c r="AP860" s="55">
        <v>1.69</v>
      </c>
      <c r="AQ860" s="55">
        <v>0</v>
      </c>
      <c r="AR860" s="8">
        <v>2.3199999999999998</v>
      </c>
      <c r="AS860" s="8">
        <v>1.7</v>
      </c>
      <c r="AT860" s="8">
        <v>2.13</v>
      </c>
      <c r="AU860" s="50">
        <v>1.17</v>
      </c>
      <c r="AV860" s="50">
        <v>2.4700000000000002</v>
      </c>
      <c r="AW860" s="50">
        <v>2.46</v>
      </c>
      <c r="AX860" s="50">
        <v>0</v>
      </c>
      <c r="AY860" s="50">
        <v>1.28</v>
      </c>
      <c r="AZ860" s="50">
        <v>1.44</v>
      </c>
      <c r="BA860" s="50">
        <v>1</v>
      </c>
      <c r="BB860" s="50">
        <v>1.6</v>
      </c>
      <c r="BC860" s="55">
        <v>0.9</v>
      </c>
      <c r="BD860" s="55">
        <v>0</v>
      </c>
      <c r="BE860" s="11">
        <v>1.405</v>
      </c>
      <c r="BF860" s="4">
        <v>1.7629999999999999</v>
      </c>
      <c r="BG860" s="4">
        <v>1.8160000000000001</v>
      </c>
      <c r="BH860" s="4">
        <v>0</v>
      </c>
      <c r="BI860" s="4">
        <v>1.907</v>
      </c>
      <c r="BJ860" s="13">
        <v>1.2869999999999999</v>
      </c>
      <c r="BK860" s="13">
        <v>1.6359999999999999</v>
      </c>
      <c r="BL860" s="4">
        <v>0</v>
      </c>
      <c r="BM860" s="16">
        <v>1.4490000000000001</v>
      </c>
      <c r="BN860" s="4">
        <v>0</v>
      </c>
      <c r="BO860" s="4">
        <v>0</v>
      </c>
      <c r="BP860" s="4">
        <v>1.6240000000000001</v>
      </c>
      <c r="BQ860" s="4">
        <v>1.6739999999999999</v>
      </c>
      <c r="BR860" s="4">
        <v>1.8819999999999999</v>
      </c>
      <c r="BS860" s="4">
        <v>1.92</v>
      </c>
      <c r="BT860" s="4">
        <v>2.383</v>
      </c>
      <c r="BU860" s="4">
        <v>0</v>
      </c>
      <c r="BV860" s="4">
        <v>2.802</v>
      </c>
      <c r="BW860" s="4">
        <v>2.78</v>
      </c>
      <c r="BX860" s="4">
        <v>3.0350000000000001</v>
      </c>
      <c r="BY860" s="4">
        <v>3.4220000000000002</v>
      </c>
      <c r="BZ860" s="55">
        <v>0</v>
      </c>
      <c r="CA860" s="55">
        <v>0</v>
      </c>
      <c r="CB860" s="55">
        <v>3.75</v>
      </c>
      <c r="CC860" s="55">
        <v>0</v>
      </c>
      <c r="CD860" s="55">
        <v>0</v>
      </c>
      <c r="CE860" s="19">
        <v>0</v>
      </c>
      <c r="CF860" s="19">
        <v>4.5999999999999996</v>
      </c>
      <c r="CG860" s="4">
        <v>4.59</v>
      </c>
      <c r="CH860" s="4">
        <v>0</v>
      </c>
      <c r="CI860" s="4">
        <v>0</v>
      </c>
      <c r="CJ860" s="34">
        <v>3.2</v>
      </c>
      <c r="CK860" s="34">
        <v>0</v>
      </c>
      <c r="CL860" s="34">
        <v>0</v>
      </c>
      <c r="CM860" s="4">
        <v>0</v>
      </c>
      <c r="CN860" s="53">
        <v>0</v>
      </c>
      <c r="CO860" s="54">
        <v>0</v>
      </c>
      <c r="CP860" s="54">
        <v>0</v>
      </c>
      <c r="CQ860" s="4">
        <v>0</v>
      </c>
    </row>
    <row r="861" spans="1:95" s="55" customFormat="1" x14ac:dyDescent="0.35">
      <c r="A861" s="55">
        <v>860</v>
      </c>
      <c r="B861" s="55" t="s">
        <v>108</v>
      </c>
      <c r="C861" s="27" t="s">
        <v>601</v>
      </c>
      <c r="D861" s="50" t="s">
        <v>109</v>
      </c>
      <c r="E861" s="33" t="s">
        <v>91</v>
      </c>
      <c r="F861" s="4">
        <f>IFERROR(AVERAGEIF(Table1[[#This Row],[2019-Apr]:[2025-July]],"&lt;&gt;0"),0)</f>
        <v>1.2125151515151515</v>
      </c>
      <c r="G861" s="4">
        <f ca="1">IFERROR(AVERAGEIF(OFFSET(Table1[[#This Row],[Status]],0,COUNT(Table1[[#This Row],[2019-May]:[2025-July]]),1,-12),"&lt;&gt;0"),0)</f>
        <v>0.84750000000000003</v>
      </c>
      <c r="H861" s="55">
        <f>IFERROR(SMALL(Table1[[#This Row],[2019-Apr]:[2025-July]],COUNTIF(Table1[[#This Row],[2019-Apr]:[2025-July]],0)+1),0)</f>
        <v>0.68</v>
      </c>
      <c r="I861" s="55">
        <f>IFERROR(MAX(Table1[[#This Row],[2019-Apr]:[2025-July]]),0)</f>
        <v>3.1</v>
      </c>
      <c r="J861" s="4" cm="1">
        <f t="array" ref="J86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0.73899999999999999</v>
      </c>
      <c r="K861" s="4">
        <v>4.5</v>
      </c>
      <c r="L861" s="4">
        <f>IF(Table1[[#This Row],[Standard as per ISO]]&gt;=Table1[[#This Row],[Avg of best 6]],Table1[[#This Row],[Standard as per ISO]],Table1[[#This Row],[Avg of best 6]])</f>
        <v>4.5</v>
      </c>
      <c r="M861" s="4" cm="1">
        <f t="array" ref="M861">IFERROR(LOOKUP(2,1/(Table1[[#This Row],[2019-May]:[2025-July]]&lt;&gt;0),Table1[[#This Row],[2019-May]:[2025-July]]),0)</f>
        <v>1.1000000000000001</v>
      </c>
      <c r="N861" s="4">
        <f>COUNTIF(Table1[[#This Row],[2019-Apr]:[2025-July]],"&gt;="&amp;Table1[[#This Row],[Target]])</f>
        <v>0</v>
      </c>
      <c r="O861" s="4">
        <f>IF(Table1[[#This Row],[Outliers 2Y]]=0,1,0)</f>
        <v>1</v>
      </c>
      <c r="P861" s="4">
        <f>IF(Table1[[#This Row],[Last value]]&gt;1.5*Table1[[#This Row],[Target]],1,0)</f>
        <v>0</v>
      </c>
      <c r="Q861" s="4">
        <f>IF(AND(1.5*Table1[[#This Row],[Target]]&gt;=Table1[[#This Row],[Last value]],Table1[[#This Row],[Last value]]&gt;Table1[[#This Row],[Target]]),1,0)</f>
        <v>0</v>
      </c>
      <c r="R861" s="4">
        <f>IF(Table1[[#This Row],[Target]]&gt;=Table1[[#This Row],[Last value]],1,0)</f>
        <v>1</v>
      </c>
      <c r="S861" s="4" t="str">
        <f t="shared" si="22"/>
        <v>Green</v>
      </c>
      <c r="T861" s="55">
        <v>1.29</v>
      </c>
      <c r="U861" s="55">
        <v>1.29</v>
      </c>
      <c r="V861" s="55">
        <v>0</v>
      </c>
      <c r="W861" s="55">
        <v>1.08</v>
      </c>
      <c r="X861" s="55">
        <v>0</v>
      </c>
      <c r="Y861" s="55">
        <v>0</v>
      </c>
      <c r="Z861" s="55">
        <v>2.38</v>
      </c>
      <c r="AA861" s="55">
        <v>0</v>
      </c>
      <c r="AB861" s="55">
        <v>0</v>
      </c>
      <c r="AC861" s="55">
        <v>0</v>
      </c>
      <c r="AD861" s="55">
        <v>0</v>
      </c>
      <c r="AE861" s="55">
        <v>0</v>
      </c>
      <c r="AF861" s="55">
        <v>0</v>
      </c>
      <c r="AG861" s="55">
        <v>3.1</v>
      </c>
      <c r="AH861" s="55">
        <v>2.2799999999999998</v>
      </c>
      <c r="AI861" s="55">
        <v>0</v>
      </c>
      <c r="AJ861" s="55">
        <v>0</v>
      </c>
      <c r="AK861" s="55">
        <v>1.95</v>
      </c>
      <c r="AL861" s="55">
        <v>2.5299999999999998</v>
      </c>
      <c r="AM861" s="55">
        <v>1.65</v>
      </c>
      <c r="AN861" s="55">
        <v>0</v>
      </c>
      <c r="AO861" s="55">
        <v>0</v>
      </c>
      <c r="AP861" s="55">
        <v>0</v>
      </c>
      <c r="AQ861" s="55">
        <v>1.42</v>
      </c>
      <c r="AR861" s="8">
        <v>0</v>
      </c>
      <c r="AS861" s="8">
        <v>0</v>
      </c>
      <c r="AT861" s="8">
        <v>0</v>
      </c>
      <c r="AU861" s="50">
        <v>1.26</v>
      </c>
      <c r="AV861" s="50">
        <v>1.35</v>
      </c>
      <c r="AW861" s="50">
        <v>0</v>
      </c>
      <c r="AX861" s="50">
        <v>0.68</v>
      </c>
      <c r="AY861" s="50">
        <v>0</v>
      </c>
      <c r="AZ861" s="50">
        <v>0</v>
      </c>
      <c r="BA861" s="50">
        <v>0</v>
      </c>
      <c r="BB861" s="50">
        <v>0</v>
      </c>
      <c r="BC861" s="55">
        <v>0.9</v>
      </c>
      <c r="BD861" s="55">
        <v>0</v>
      </c>
      <c r="BE861" s="11">
        <v>0.94399999999999995</v>
      </c>
      <c r="BF861" s="4">
        <v>0.83199999999999996</v>
      </c>
      <c r="BG861" s="4">
        <v>0</v>
      </c>
      <c r="BH861" s="4">
        <v>0.871</v>
      </c>
      <c r="BI861" s="4">
        <v>0</v>
      </c>
      <c r="BJ861" s="14">
        <v>0</v>
      </c>
      <c r="BK861" s="14">
        <v>0</v>
      </c>
      <c r="BL861" s="4">
        <v>0.79500000000000004</v>
      </c>
      <c r="BM861" s="17">
        <v>0</v>
      </c>
      <c r="BN861" s="4">
        <v>0.76400000000000001</v>
      </c>
      <c r="BO861" s="4">
        <v>0.85499999999999998</v>
      </c>
      <c r="BP861" s="4">
        <v>1.3919999999999999</v>
      </c>
      <c r="BQ861" s="4">
        <v>0.98599999999999999</v>
      </c>
      <c r="BR861" s="4">
        <v>0</v>
      </c>
      <c r="BS861" s="4">
        <v>0.91600000000000004</v>
      </c>
      <c r="BT861" s="4">
        <v>0.86199999999999999</v>
      </c>
      <c r="BU861" s="4">
        <v>0.96599999999999997</v>
      </c>
      <c r="BV861" s="4">
        <v>0</v>
      </c>
      <c r="BW861" s="4">
        <v>0</v>
      </c>
      <c r="BX861" s="4">
        <v>0</v>
      </c>
      <c r="BY861" s="4">
        <v>0</v>
      </c>
      <c r="BZ861" s="55">
        <v>0.87</v>
      </c>
      <c r="CA861" s="55">
        <v>0.73</v>
      </c>
      <c r="CB861" s="55">
        <v>0.77</v>
      </c>
      <c r="CC861" s="55">
        <v>0.91</v>
      </c>
      <c r="CD861" s="55">
        <v>0</v>
      </c>
      <c r="CE861" s="19">
        <v>0.8</v>
      </c>
      <c r="CF861" s="19">
        <v>0</v>
      </c>
      <c r="CG861" s="4">
        <v>0</v>
      </c>
      <c r="CH861" s="4">
        <v>0.72</v>
      </c>
      <c r="CI861" s="4">
        <v>0.77</v>
      </c>
      <c r="CJ861" s="34">
        <v>1.1000000000000001</v>
      </c>
      <c r="CK861" s="34">
        <v>0</v>
      </c>
      <c r="CL861" s="34">
        <v>0</v>
      </c>
      <c r="CM861" s="4">
        <v>0</v>
      </c>
      <c r="CN861" s="53">
        <v>0</v>
      </c>
      <c r="CO861" s="54">
        <v>0</v>
      </c>
      <c r="CP861" s="54">
        <v>0</v>
      </c>
      <c r="CQ861" s="4">
        <v>0</v>
      </c>
    </row>
    <row r="862" spans="1:95" s="55" customFormat="1" x14ac:dyDescent="0.35">
      <c r="A862" s="55">
        <v>861</v>
      </c>
      <c r="B862" s="55" t="s">
        <v>108</v>
      </c>
      <c r="C862" s="27" t="s">
        <v>602</v>
      </c>
      <c r="D862" s="50" t="s">
        <v>110</v>
      </c>
      <c r="E862" s="33" t="s">
        <v>89</v>
      </c>
      <c r="F862" s="4">
        <f>IFERROR(AVERAGEIF(Table1[[#This Row],[2019-Apr]:[2025-July]],"&lt;&gt;0"),0)</f>
        <v>0.83108571428571432</v>
      </c>
      <c r="G862" s="4">
        <f ca="1">IFERROR(AVERAGEIF(OFFSET(Table1[[#This Row],[Status]],0,COUNT(Table1[[#This Row],[2019-May]:[2025-July]]),1,-12),"&lt;&gt;0"),0)</f>
        <v>0.95666666666666678</v>
      </c>
      <c r="H862" s="55">
        <f>IFERROR(SMALL(Table1[[#This Row],[2019-Apr]:[2025-July]],COUNTIF(Table1[[#This Row],[2019-Apr]:[2025-July]],0)+1),0)</f>
        <v>0.2</v>
      </c>
      <c r="I862" s="55">
        <f>IFERROR(MAX(Table1[[#This Row],[2019-Apr]:[2025-July]]),0)</f>
        <v>2.161</v>
      </c>
      <c r="J862" s="4" cm="1">
        <f t="array" ref="J86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0.23499999999999999</v>
      </c>
      <c r="K862" s="4">
        <v>4.5</v>
      </c>
      <c r="L862" s="4">
        <f>IF(Table1[[#This Row],[Standard as per ISO]]&gt;=Table1[[#This Row],[Avg of best 6]],Table1[[#This Row],[Standard as per ISO]],Table1[[#This Row],[Avg of best 6]])</f>
        <v>4.5</v>
      </c>
      <c r="M862" s="4" cm="1">
        <f t="array" ref="M862">IFERROR(LOOKUP(2,1/(Table1[[#This Row],[2019-May]:[2025-July]]&lt;&gt;0),Table1[[#This Row],[2019-May]:[2025-July]]),0)</f>
        <v>1.3</v>
      </c>
      <c r="N862" s="4">
        <f>COUNTIF(Table1[[#This Row],[2019-Apr]:[2025-July]],"&gt;="&amp;Table1[[#This Row],[Target]])</f>
        <v>0</v>
      </c>
      <c r="O862" s="4">
        <f>IF(Table1[[#This Row],[Outliers 2Y]]=0,1,0)</f>
        <v>1</v>
      </c>
      <c r="P862" s="4">
        <f>IF(Table1[[#This Row],[Last value]]&gt;1.5*Table1[[#This Row],[Target]],1,0)</f>
        <v>0</v>
      </c>
      <c r="Q862" s="4">
        <f>IF(AND(1.5*Table1[[#This Row],[Target]]&gt;=Table1[[#This Row],[Last value]],Table1[[#This Row],[Last value]]&gt;Table1[[#This Row],[Target]]),1,0)</f>
        <v>0</v>
      </c>
      <c r="R862" s="4">
        <f>IF(Table1[[#This Row],[Target]]&gt;=Table1[[#This Row],[Last value]],1,0)</f>
        <v>1</v>
      </c>
      <c r="S862" s="4" t="str">
        <f t="shared" si="22"/>
        <v>Green</v>
      </c>
      <c r="T862" s="55">
        <v>0.35</v>
      </c>
      <c r="U862" s="55">
        <v>0.23</v>
      </c>
      <c r="V862" s="55">
        <v>0.25</v>
      </c>
      <c r="W862" s="55">
        <v>0.25</v>
      </c>
      <c r="X862" s="55">
        <v>0.34</v>
      </c>
      <c r="Y862" s="55">
        <v>0.32</v>
      </c>
      <c r="Z862" s="55">
        <v>0.28000000000000003</v>
      </c>
      <c r="AA862" s="55">
        <v>0.33</v>
      </c>
      <c r="AB862" s="55">
        <v>0.2</v>
      </c>
      <c r="AC862" s="55">
        <v>0.2</v>
      </c>
      <c r="AD862" s="55">
        <v>0.3</v>
      </c>
      <c r="AE862" s="55">
        <v>0.8</v>
      </c>
      <c r="AF862" s="55">
        <v>0.7</v>
      </c>
      <c r="AG862" s="55">
        <v>0.4</v>
      </c>
      <c r="AH862" s="55">
        <v>0.98</v>
      </c>
      <c r="AI862" s="55">
        <v>0</v>
      </c>
      <c r="AJ862" s="55">
        <v>0.36</v>
      </c>
      <c r="AK862" s="55">
        <v>0.44</v>
      </c>
      <c r="AL862" s="55">
        <v>0.99</v>
      </c>
      <c r="AM862" s="55">
        <v>0.78</v>
      </c>
      <c r="AN862" s="55">
        <v>1.1100000000000001</v>
      </c>
      <c r="AO862" s="55">
        <v>0.66</v>
      </c>
      <c r="AP862" s="55">
        <v>0.89</v>
      </c>
      <c r="AQ862" s="55">
        <v>1.1399999999999999</v>
      </c>
      <c r="AR862" s="8">
        <v>0.61</v>
      </c>
      <c r="AS862" s="8">
        <v>0</v>
      </c>
      <c r="AT862" s="8">
        <v>0.51</v>
      </c>
      <c r="AU862" s="50">
        <v>0.57999999999999996</v>
      </c>
      <c r="AV862" s="50">
        <v>0.53</v>
      </c>
      <c r="AW862" s="50">
        <v>0.52</v>
      </c>
      <c r="AX862" s="50">
        <v>0.41</v>
      </c>
      <c r="AY862" s="50">
        <v>0.56000000000000005</v>
      </c>
      <c r="AZ862" s="50">
        <v>0.53</v>
      </c>
      <c r="BA862" s="50">
        <v>0.6</v>
      </c>
      <c r="BB862" s="50">
        <v>0.9</v>
      </c>
      <c r="BC862" s="55">
        <v>0.6</v>
      </c>
      <c r="BD862" s="55">
        <v>0</v>
      </c>
      <c r="BE862" s="11">
        <v>1.1879999999999999</v>
      </c>
      <c r="BF862" s="4">
        <v>1.1220000000000001</v>
      </c>
      <c r="BG862" s="4">
        <v>2.161</v>
      </c>
      <c r="BH862" s="4">
        <v>1.611</v>
      </c>
      <c r="BI862" s="4">
        <v>1.1160000000000001</v>
      </c>
      <c r="BJ862" s="13">
        <v>0.90200000000000002</v>
      </c>
      <c r="BK862" s="13">
        <v>1.163</v>
      </c>
      <c r="BL862" s="4">
        <v>0.79700000000000004</v>
      </c>
      <c r="BM862" s="16">
        <v>1.03</v>
      </c>
      <c r="BN862" s="4">
        <v>0.97499999999999998</v>
      </c>
      <c r="BO862" s="4">
        <v>0.92</v>
      </c>
      <c r="BP862" s="4">
        <v>0.89300000000000002</v>
      </c>
      <c r="BQ862" s="4">
        <v>0.86899999999999999</v>
      </c>
      <c r="BR862" s="4">
        <v>1.262</v>
      </c>
      <c r="BS862" s="4">
        <v>0.77900000000000003</v>
      </c>
      <c r="BT862" s="4">
        <v>1.167</v>
      </c>
      <c r="BU862" s="4">
        <v>0.996</v>
      </c>
      <c r="BV862" s="4">
        <v>1.355</v>
      </c>
      <c r="BW862" s="4">
        <v>0.95799999999999996</v>
      </c>
      <c r="BX862" s="4">
        <v>1.38</v>
      </c>
      <c r="BY862" s="4">
        <v>0.69199999999999995</v>
      </c>
      <c r="BZ862" s="55">
        <v>1.31</v>
      </c>
      <c r="CA862" s="55">
        <v>1.29</v>
      </c>
      <c r="CB862" s="55">
        <v>1.03</v>
      </c>
      <c r="CC862" s="55">
        <v>1.08</v>
      </c>
      <c r="CD862" s="55">
        <v>1.57</v>
      </c>
      <c r="CE862" s="19">
        <v>1.2</v>
      </c>
      <c r="CF862" s="19">
        <v>0</v>
      </c>
      <c r="CG862" s="4">
        <v>0</v>
      </c>
      <c r="CH862" s="4">
        <v>0.91</v>
      </c>
      <c r="CI862" s="4">
        <v>0</v>
      </c>
      <c r="CJ862" s="34">
        <v>0.9</v>
      </c>
      <c r="CK862" s="34">
        <v>1</v>
      </c>
      <c r="CL862" s="43">
        <v>0.9</v>
      </c>
      <c r="CM862" s="4">
        <v>1</v>
      </c>
      <c r="CN862" s="53">
        <v>1</v>
      </c>
      <c r="CO862" s="54">
        <v>0.9</v>
      </c>
      <c r="CP862" s="54">
        <v>0.8</v>
      </c>
      <c r="CQ862" s="4">
        <v>1.3</v>
      </c>
    </row>
    <row r="863" spans="1:95" s="55" customFormat="1" x14ac:dyDescent="0.35">
      <c r="A863" s="55">
        <v>862</v>
      </c>
      <c r="B863" s="55" t="s">
        <v>108</v>
      </c>
      <c r="C863" s="27" t="s">
        <v>603</v>
      </c>
      <c r="D863" s="50" t="s">
        <v>110</v>
      </c>
      <c r="E863" s="33" t="s">
        <v>89</v>
      </c>
      <c r="F863" s="4">
        <f>IFERROR(AVERAGEIF(Table1[[#This Row],[2019-Apr]:[2025-July]],"&lt;&gt;0"),0)</f>
        <v>0.47270833333333329</v>
      </c>
      <c r="G863" s="4">
        <f ca="1">IFERROR(AVERAGEIF(OFFSET(Table1[[#This Row],[Status]],0,COUNT(Table1[[#This Row],[2019-May]:[2025-July]]),1,-12),"&lt;&gt;0"),0)</f>
        <v>0.55444444444444452</v>
      </c>
      <c r="H863" s="55">
        <f>IFERROR(SMALL(Table1[[#This Row],[2019-Apr]:[2025-July]],COUNTIF(Table1[[#This Row],[2019-Apr]:[2025-July]],0)+1),0)</f>
        <v>0.2</v>
      </c>
      <c r="I863" s="55">
        <f>IFERROR(MAX(Table1[[#This Row],[2019-Apr]:[2025-July]]),0)</f>
        <v>1.038</v>
      </c>
      <c r="J863" s="4" cm="1">
        <f t="array" ref="J86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0.20166666666666666</v>
      </c>
      <c r="K863" s="4">
        <v>4.5</v>
      </c>
      <c r="L863" s="4">
        <f>IF(Table1[[#This Row],[Standard as per ISO]]&gt;=Table1[[#This Row],[Avg of best 6]],Table1[[#This Row],[Standard as per ISO]],Table1[[#This Row],[Avg of best 6]])</f>
        <v>4.5</v>
      </c>
      <c r="M863" s="4" cm="1">
        <f t="array" ref="M863">IFERROR(LOOKUP(2,1/(Table1[[#This Row],[2019-May]:[2025-July]]&lt;&gt;0),Table1[[#This Row],[2019-May]:[2025-July]]),0)</f>
        <v>0.6</v>
      </c>
      <c r="N863" s="4">
        <f>COUNTIF(Table1[[#This Row],[2019-Apr]:[2025-July]],"&gt;="&amp;Table1[[#This Row],[Target]])</f>
        <v>0</v>
      </c>
      <c r="O863" s="4">
        <f>IF(Table1[[#This Row],[Outliers 2Y]]=0,1,0)</f>
        <v>1</v>
      </c>
      <c r="P863" s="4">
        <f>IF(Table1[[#This Row],[Last value]]&gt;1.5*Table1[[#This Row],[Target]],1,0)</f>
        <v>0</v>
      </c>
      <c r="Q863" s="4">
        <f>IF(AND(1.5*Table1[[#This Row],[Target]]&gt;=Table1[[#This Row],[Last value]],Table1[[#This Row],[Last value]]&gt;Table1[[#This Row],[Target]]),1,0)</f>
        <v>0</v>
      </c>
      <c r="R863" s="4">
        <f>IF(Table1[[#This Row],[Target]]&gt;=Table1[[#This Row],[Last value]],1,0)</f>
        <v>1</v>
      </c>
      <c r="S863" s="4" t="str">
        <f t="shared" si="22"/>
        <v>Green</v>
      </c>
      <c r="T863" s="55">
        <v>0.44</v>
      </c>
      <c r="U863" s="55">
        <v>0.3</v>
      </c>
      <c r="V863" s="55">
        <v>0.35</v>
      </c>
      <c r="W863" s="55">
        <v>0.3</v>
      </c>
      <c r="X863" s="55">
        <v>0.26</v>
      </c>
      <c r="Y863" s="55">
        <v>0.3</v>
      </c>
      <c r="Z863" s="55">
        <v>0.31</v>
      </c>
      <c r="AA863" s="55">
        <v>0.63</v>
      </c>
      <c r="AB863" s="55">
        <v>0.3</v>
      </c>
      <c r="AC863" s="55">
        <v>0.3</v>
      </c>
      <c r="AD863" s="55">
        <v>0.2</v>
      </c>
      <c r="AE863" s="55">
        <v>0.35</v>
      </c>
      <c r="AF863" s="55">
        <v>0.35</v>
      </c>
      <c r="AG863" s="55">
        <v>0.3</v>
      </c>
      <c r="AH863" s="55">
        <v>0.29799999999999999</v>
      </c>
      <c r="AI863" s="55">
        <v>0.54</v>
      </c>
      <c r="AJ863" s="55">
        <v>0.28999999999999998</v>
      </c>
      <c r="AK863" s="55">
        <v>0.25</v>
      </c>
      <c r="AL863" s="55">
        <v>0.49</v>
      </c>
      <c r="AM863" s="55">
        <v>0.8</v>
      </c>
      <c r="AN863" s="55">
        <v>0.25</v>
      </c>
      <c r="AO863" s="55">
        <v>0.41</v>
      </c>
      <c r="AP863" s="55">
        <v>0.36</v>
      </c>
      <c r="AQ863" s="55">
        <v>0.42</v>
      </c>
      <c r="AR863" s="9">
        <v>0.32</v>
      </c>
      <c r="AS863" s="9">
        <v>0.34</v>
      </c>
      <c r="AT863" s="9">
        <v>0.27</v>
      </c>
      <c r="AU863" s="50">
        <v>0.36</v>
      </c>
      <c r="AV863" s="50">
        <v>0.2</v>
      </c>
      <c r="AW863" s="50">
        <v>0.2</v>
      </c>
      <c r="AX863" s="50">
        <v>0.26</v>
      </c>
      <c r="AY863" s="50">
        <v>0.21</v>
      </c>
      <c r="AZ863" s="50">
        <v>0.35199999999999998</v>
      </c>
      <c r="BA863" s="50">
        <v>0.6</v>
      </c>
      <c r="BB863" s="50">
        <v>0.2</v>
      </c>
      <c r="BC863" s="55">
        <v>0.2</v>
      </c>
      <c r="BD863" s="55">
        <v>0</v>
      </c>
      <c r="BE863" s="11">
        <v>0.69</v>
      </c>
      <c r="BF863" s="4">
        <v>0.84</v>
      </c>
      <c r="BG863" s="4">
        <v>0.63900000000000001</v>
      </c>
      <c r="BH863" s="4">
        <v>0.36599999999999999</v>
      </c>
      <c r="BI863" s="4">
        <v>0.54100000000000004</v>
      </c>
      <c r="BJ863" s="14">
        <v>0.65400000000000003</v>
      </c>
      <c r="BK863" s="14">
        <v>1.038</v>
      </c>
      <c r="BL863" s="4">
        <v>0.54600000000000004</v>
      </c>
      <c r="BM863" s="17">
        <v>0.65400000000000003</v>
      </c>
      <c r="BN863" s="4">
        <v>0.48599999999999999</v>
      </c>
      <c r="BO863" s="4">
        <v>0.66200000000000003</v>
      </c>
      <c r="BP863" s="4">
        <v>0.57799999999999996</v>
      </c>
      <c r="BQ863" s="4">
        <v>0.68</v>
      </c>
      <c r="BR863" s="4">
        <v>0.626</v>
      </c>
      <c r="BS863" s="4">
        <v>0.92100000000000004</v>
      </c>
      <c r="BT863" s="4">
        <v>0.64500000000000002</v>
      </c>
      <c r="BU863" s="4">
        <v>0.40500000000000003</v>
      </c>
      <c r="BV863" s="4">
        <v>0.66900000000000004</v>
      </c>
      <c r="BW863" s="4">
        <v>0.75600000000000001</v>
      </c>
      <c r="BX863" s="4">
        <v>0.45800000000000002</v>
      </c>
      <c r="BY863" s="4">
        <v>0.36099999999999999</v>
      </c>
      <c r="BZ863" s="55">
        <v>0.48</v>
      </c>
      <c r="CA863" s="55">
        <v>0.44</v>
      </c>
      <c r="CB863" s="55">
        <v>0.8</v>
      </c>
      <c r="CC863" s="55">
        <v>0.55000000000000004</v>
      </c>
      <c r="CD863" s="55">
        <v>0.65</v>
      </c>
      <c r="CE863" s="19">
        <v>0.6</v>
      </c>
      <c r="CF863" s="19">
        <v>0</v>
      </c>
      <c r="CG863" s="4">
        <v>0</v>
      </c>
      <c r="CH863" s="4">
        <v>0.39</v>
      </c>
      <c r="CI863" s="4">
        <v>0</v>
      </c>
      <c r="CJ863" s="34">
        <v>0.7</v>
      </c>
      <c r="CK863" s="34">
        <v>0.7</v>
      </c>
      <c r="CL863" s="43">
        <v>0.5</v>
      </c>
      <c r="CM863" s="4">
        <v>0.5</v>
      </c>
      <c r="CN863" s="53">
        <v>0.7</v>
      </c>
      <c r="CO863" s="54">
        <v>0.5</v>
      </c>
      <c r="CP863" s="54">
        <v>0.4</v>
      </c>
      <c r="CQ863" s="4">
        <v>0.6</v>
      </c>
    </row>
    <row r="864" spans="1:95" s="55" customFormat="1" x14ac:dyDescent="0.35">
      <c r="A864" s="55">
        <v>863</v>
      </c>
      <c r="B864" s="55" t="s">
        <v>108</v>
      </c>
      <c r="C864" s="27" t="s">
        <v>604</v>
      </c>
      <c r="D864" s="50" t="s">
        <v>93</v>
      </c>
      <c r="E864" s="33" t="s">
        <v>89</v>
      </c>
      <c r="F864" s="4">
        <f>IFERROR(AVERAGEIF(Table1[[#This Row],[2019-Apr]:[2025-July]],"&lt;&gt;0"),0)</f>
        <v>0.94409333333333378</v>
      </c>
      <c r="G864" s="4">
        <f ca="1">IFERROR(AVERAGEIF(OFFSET(Table1[[#This Row],[Status]],0,COUNT(Table1[[#This Row],[2019-May]:[2025-July]]),1,-12),"&lt;&gt;0"),0)</f>
        <v>0.66500000000000004</v>
      </c>
      <c r="H864" s="55">
        <f>IFERROR(SMALL(Table1[[#This Row],[2019-Apr]:[2025-July]],COUNTIF(Table1[[#This Row],[2019-Apr]:[2025-July]],0)+1),0)</f>
        <v>0.4</v>
      </c>
      <c r="I864" s="55">
        <f>IFERROR(MAX(Table1[[#This Row],[2019-Apr]:[2025-July]]),0)</f>
        <v>2.37</v>
      </c>
      <c r="J864" s="4" cm="1">
        <f t="array" ref="J86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0.4953333333333334</v>
      </c>
      <c r="K864" s="4">
        <v>4.5</v>
      </c>
      <c r="L864" s="4">
        <f>IF(Table1[[#This Row],[Standard as per ISO]]&gt;=Table1[[#This Row],[Avg of best 6]],Table1[[#This Row],[Standard as per ISO]],Table1[[#This Row],[Avg of best 6]])</f>
        <v>4.5</v>
      </c>
      <c r="M864" s="4" cm="1">
        <f t="array" ref="M864">IFERROR(LOOKUP(2,1/(Table1[[#This Row],[2019-May]:[2025-July]]&lt;&gt;0),Table1[[#This Row],[2019-May]:[2025-July]]),0)</f>
        <v>0.7</v>
      </c>
      <c r="N864" s="4">
        <f>COUNTIF(Table1[[#This Row],[2019-Apr]:[2025-July]],"&gt;="&amp;Table1[[#This Row],[Target]])</f>
        <v>0</v>
      </c>
      <c r="O864" s="4">
        <f>IF(Table1[[#This Row],[Outliers 2Y]]=0,1,0)</f>
        <v>1</v>
      </c>
      <c r="P864" s="4">
        <f>IF(Table1[[#This Row],[Last value]]&gt;1.5*Table1[[#This Row],[Target]],1,0)</f>
        <v>0</v>
      </c>
      <c r="Q864" s="4">
        <f>IF(AND(1.5*Table1[[#This Row],[Target]]&gt;=Table1[[#This Row],[Last value]],Table1[[#This Row],[Last value]]&gt;Table1[[#This Row],[Target]]),1,0)</f>
        <v>0</v>
      </c>
      <c r="R864" s="4">
        <f>IF(Table1[[#This Row],[Target]]&gt;=Table1[[#This Row],[Last value]],1,0)</f>
        <v>1</v>
      </c>
      <c r="S864" s="4" t="str">
        <f t="shared" si="22"/>
        <v>Green</v>
      </c>
      <c r="T864" s="55">
        <v>0.94</v>
      </c>
      <c r="U864" s="55">
        <v>0.57999999999999996</v>
      </c>
      <c r="V864" s="55">
        <v>1.1299999999999999</v>
      </c>
      <c r="W864" s="55">
        <v>1.37</v>
      </c>
      <c r="X864" s="55">
        <v>1.43</v>
      </c>
      <c r="Y864" s="55">
        <v>1.1200000000000001</v>
      </c>
      <c r="Z864" s="55">
        <v>0.93</v>
      </c>
      <c r="AA864" s="55">
        <v>0.98</v>
      </c>
      <c r="AB864" s="55">
        <v>1.17</v>
      </c>
      <c r="AC864" s="55">
        <v>0.7</v>
      </c>
      <c r="AD864" s="55">
        <v>0.8</v>
      </c>
      <c r="AE864" s="55">
        <v>0.64</v>
      </c>
      <c r="AF864" s="55">
        <v>0.7</v>
      </c>
      <c r="AG864" s="55">
        <v>1.2</v>
      </c>
      <c r="AH864" s="55">
        <v>1.5</v>
      </c>
      <c r="AI864" s="55">
        <v>1.46</v>
      </c>
      <c r="AJ864" s="55">
        <v>1.38</v>
      </c>
      <c r="AK864" s="55">
        <v>2.37</v>
      </c>
      <c r="AL864" s="55">
        <v>0.6</v>
      </c>
      <c r="AM864" s="55">
        <v>2.12</v>
      </c>
      <c r="AN864" s="55">
        <v>0.64</v>
      </c>
      <c r="AO864" s="55">
        <v>0.87</v>
      </c>
      <c r="AP864" s="55">
        <v>0.9</v>
      </c>
      <c r="AQ864" s="55">
        <v>1.49</v>
      </c>
      <c r="AR864" s="8">
        <v>0.79</v>
      </c>
      <c r="AS864" s="8">
        <v>1.1200000000000001</v>
      </c>
      <c r="AT864" s="8">
        <v>1.45</v>
      </c>
      <c r="AU864" s="50">
        <v>1.1299999999999999</v>
      </c>
      <c r="AV864" s="50">
        <v>1.27</v>
      </c>
      <c r="AW864" s="50">
        <v>1.19</v>
      </c>
      <c r="AX864" s="50">
        <v>0.74</v>
      </c>
      <c r="AY864" s="50">
        <v>1.1100000000000001</v>
      </c>
      <c r="AZ864" s="50">
        <v>1.75</v>
      </c>
      <c r="BA864" s="50">
        <v>0.9</v>
      </c>
      <c r="BB864" s="50">
        <v>1.5</v>
      </c>
      <c r="BC864" s="55">
        <v>0.6</v>
      </c>
      <c r="BD864" s="55">
        <v>0</v>
      </c>
      <c r="BE864" s="11">
        <v>0.60599999999999998</v>
      </c>
      <c r="BF864" s="4">
        <v>1.0389999999999999</v>
      </c>
      <c r="BG864" s="4">
        <v>1.1910000000000001</v>
      </c>
      <c r="BH864" s="4">
        <v>0.70099999999999996</v>
      </c>
      <c r="BI864" s="4">
        <v>0.70099999999999996</v>
      </c>
      <c r="BJ864" s="13">
        <v>0.86199999999999999</v>
      </c>
      <c r="BK864" s="13">
        <v>1.3320000000000001</v>
      </c>
      <c r="BL864" s="4">
        <v>0.65</v>
      </c>
      <c r="BM864" s="16">
        <v>1.0609999999999999</v>
      </c>
      <c r="BN864" s="4">
        <v>1.2669999999999999</v>
      </c>
      <c r="BO864" s="4">
        <v>0.72499999999999998</v>
      </c>
      <c r="BP864" s="4">
        <v>0.56299999999999994</v>
      </c>
      <c r="BQ864" s="4">
        <v>0.57299999999999995</v>
      </c>
      <c r="BR864" s="4">
        <v>0.88</v>
      </c>
      <c r="BS864" s="4">
        <v>0.58399999999999996</v>
      </c>
      <c r="BT864" s="4">
        <v>1.0840000000000001</v>
      </c>
      <c r="BU864" s="4">
        <v>0.54200000000000004</v>
      </c>
      <c r="BV864" s="4">
        <v>0.81100000000000005</v>
      </c>
      <c r="BW864" s="4">
        <v>0.88400000000000001</v>
      </c>
      <c r="BX864" s="4">
        <v>0.53</v>
      </c>
      <c r="BY864" s="4">
        <v>1.0109999999999999</v>
      </c>
      <c r="BZ864" s="55">
        <v>0.85</v>
      </c>
      <c r="CA864" s="55">
        <v>0.99</v>
      </c>
      <c r="CB864" s="55">
        <v>0.49</v>
      </c>
      <c r="CC864" s="55">
        <v>0.8</v>
      </c>
      <c r="CD864" s="55">
        <v>0.83</v>
      </c>
      <c r="CE864" s="19">
        <v>0.7</v>
      </c>
      <c r="CF864" s="19">
        <v>0.5</v>
      </c>
      <c r="CG864" s="4">
        <v>0.51</v>
      </c>
      <c r="CH864" s="4">
        <v>0.71</v>
      </c>
      <c r="CI864" s="4">
        <v>0.96</v>
      </c>
      <c r="CJ864" s="34">
        <v>0.7</v>
      </c>
      <c r="CK864" s="34">
        <v>0.9</v>
      </c>
      <c r="CL864" s="43">
        <v>0.6</v>
      </c>
      <c r="CM864" s="4">
        <v>0.7</v>
      </c>
      <c r="CN864" s="53">
        <v>0.7</v>
      </c>
      <c r="CO864" s="54">
        <v>0.4</v>
      </c>
      <c r="CP864" s="54">
        <v>0.6</v>
      </c>
      <c r="CQ864" s="4">
        <v>0.7</v>
      </c>
    </row>
    <row r="865" spans="1:95" s="55" customFormat="1" x14ac:dyDescent="0.35">
      <c r="A865" s="55">
        <v>864</v>
      </c>
      <c r="B865" s="55" t="s">
        <v>108</v>
      </c>
      <c r="C865" s="27" t="s">
        <v>605</v>
      </c>
      <c r="D865" s="50" t="s">
        <v>93</v>
      </c>
      <c r="E865" s="33" t="s">
        <v>89</v>
      </c>
      <c r="F865" s="4">
        <f>IFERROR(AVERAGEIF(Table1[[#This Row],[2019-Apr]:[2025-July]],"&lt;&gt;0"),0)</f>
        <v>2.5646266666666655</v>
      </c>
      <c r="G865" s="4">
        <f ca="1">IFERROR(AVERAGEIF(OFFSET(Table1[[#This Row],[Status]],0,COUNT(Table1[[#This Row],[2019-May]:[2025-July]]),1,-12),"&lt;&gt;0"),0)</f>
        <v>2.1966666666666668</v>
      </c>
      <c r="H865" s="55">
        <f>IFERROR(SMALL(Table1[[#This Row],[2019-Apr]:[2025-July]],COUNTIF(Table1[[#This Row],[2019-Apr]:[2025-July]],0)+1),0)</f>
        <v>0.6</v>
      </c>
      <c r="I865" s="55">
        <f>IFERROR(MAX(Table1[[#This Row],[2019-Apr]:[2025-July]]),0)</f>
        <v>6.26</v>
      </c>
      <c r="J865" s="4" cm="1">
        <f t="array" ref="J86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0.86</v>
      </c>
      <c r="K865" s="4">
        <v>4.5</v>
      </c>
      <c r="L865" s="4">
        <f>IF(Table1[[#This Row],[Standard as per ISO]]&gt;=Table1[[#This Row],[Avg of best 6]],Table1[[#This Row],[Standard as per ISO]],Table1[[#This Row],[Avg of best 6]])</f>
        <v>4.5</v>
      </c>
      <c r="M865" s="4" cm="1">
        <f t="array" ref="M865">IFERROR(LOOKUP(2,1/(Table1[[#This Row],[2019-May]:[2025-July]]&lt;&gt;0),Table1[[#This Row],[2019-May]:[2025-July]]),0)</f>
        <v>1.7</v>
      </c>
      <c r="N865" s="4">
        <f>COUNTIF(Table1[[#This Row],[2019-Apr]:[2025-July]],"&gt;="&amp;Table1[[#This Row],[Target]])</f>
        <v>9</v>
      </c>
      <c r="O865" s="4">
        <f>IF(Table1[[#This Row],[Outliers 2Y]]=0,1,0)</f>
        <v>0</v>
      </c>
      <c r="P865" s="4">
        <f>IF(Table1[[#This Row],[Last value]]&gt;1.5*Table1[[#This Row],[Target]],1,0)</f>
        <v>0</v>
      </c>
      <c r="Q865" s="4">
        <f>IF(AND(1.5*Table1[[#This Row],[Target]]&gt;=Table1[[#This Row],[Last value]],Table1[[#This Row],[Last value]]&gt;Table1[[#This Row],[Target]]),1,0)</f>
        <v>0</v>
      </c>
      <c r="R865" s="4">
        <f>IF(Table1[[#This Row],[Target]]&gt;=Table1[[#This Row],[Last value]],1,0)</f>
        <v>1</v>
      </c>
      <c r="S865" s="4" t="str">
        <f t="shared" si="22"/>
        <v>Green</v>
      </c>
      <c r="T865" s="55">
        <v>0.8</v>
      </c>
      <c r="U865" s="55">
        <v>1.01</v>
      </c>
      <c r="V865" s="55">
        <v>1.06</v>
      </c>
      <c r="W865" s="55">
        <v>1.96</v>
      </c>
      <c r="X865" s="55">
        <v>0.91</v>
      </c>
      <c r="Y865" s="55">
        <v>1.1499999999999999</v>
      </c>
      <c r="Z865" s="55">
        <v>1.04</v>
      </c>
      <c r="AA865" s="55">
        <v>2.66</v>
      </c>
      <c r="AB865" s="55">
        <v>1.98</v>
      </c>
      <c r="AC865" s="55">
        <v>1.1000000000000001</v>
      </c>
      <c r="AD865" s="55">
        <v>1.4</v>
      </c>
      <c r="AE865" s="55">
        <v>1.37</v>
      </c>
      <c r="AF865" s="55">
        <v>0.6</v>
      </c>
      <c r="AG865" s="55">
        <v>0.6</v>
      </c>
      <c r="AH865" s="55">
        <v>1.5</v>
      </c>
      <c r="AI865" s="55">
        <v>1.9</v>
      </c>
      <c r="AJ865" s="55">
        <v>2.86</v>
      </c>
      <c r="AK865" s="55">
        <v>2.21</v>
      </c>
      <c r="AL865" s="55">
        <v>1.42</v>
      </c>
      <c r="AM865" s="55">
        <v>2.4900000000000002</v>
      </c>
      <c r="AN865" s="55">
        <v>1.83</v>
      </c>
      <c r="AO865" s="55">
        <v>2.4300000000000002</v>
      </c>
      <c r="AP865" s="55">
        <v>2.31</v>
      </c>
      <c r="AQ865" s="55">
        <v>1.63</v>
      </c>
      <c r="AR865" s="8">
        <v>2.2599999999999998</v>
      </c>
      <c r="AS865" s="8">
        <v>2.35</v>
      </c>
      <c r="AT865" s="8">
        <v>2.2999999999999998</v>
      </c>
      <c r="AU865" s="50">
        <v>3.33</v>
      </c>
      <c r="AV865" s="50">
        <v>3</v>
      </c>
      <c r="AW865" s="50">
        <v>1.72</v>
      </c>
      <c r="AX865" s="50">
        <v>2.08</v>
      </c>
      <c r="AY865" s="50">
        <v>1.37</v>
      </c>
      <c r="AZ865" s="50">
        <v>2.21</v>
      </c>
      <c r="BA865" s="50">
        <v>2.2999999999999998</v>
      </c>
      <c r="BB865" s="50">
        <v>4.3</v>
      </c>
      <c r="BC865" s="55">
        <v>4</v>
      </c>
      <c r="BD865" s="55">
        <v>0</v>
      </c>
      <c r="BE865" s="11">
        <v>3.7690000000000001</v>
      </c>
      <c r="BF865" s="4">
        <v>5.8840000000000003</v>
      </c>
      <c r="BG865" s="4">
        <v>4.8970000000000002</v>
      </c>
      <c r="BH865" s="4">
        <v>5.5339999999999998</v>
      </c>
      <c r="BI865" s="4">
        <v>2.8650000000000002</v>
      </c>
      <c r="BJ865" s="14">
        <v>1.369</v>
      </c>
      <c r="BK865" s="14">
        <v>2.4540000000000002</v>
      </c>
      <c r="BL865" s="4">
        <v>2.4980000000000002</v>
      </c>
      <c r="BM865" s="17">
        <v>3.2040000000000002</v>
      </c>
      <c r="BN865" s="4">
        <v>2.145</v>
      </c>
      <c r="BO865" s="4">
        <v>2.4359999999999999</v>
      </c>
      <c r="BP865" s="4">
        <v>1.1659999999999999</v>
      </c>
      <c r="BQ865" s="4">
        <v>1.925</v>
      </c>
      <c r="BR865" s="4">
        <v>1.865</v>
      </c>
      <c r="BS865" s="4">
        <v>2.0510000000000002</v>
      </c>
      <c r="BT865" s="4">
        <v>2.577</v>
      </c>
      <c r="BU865" s="4">
        <v>3.827</v>
      </c>
      <c r="BV865" s="4">
        <v>5.0019999999999998</v>
      </c>
      <c r="BW865" s="4">
        <v>4.9470000000000001</v>
      </c>
      <c r="BX865" s="4">
        <v>4.0149999999999997</v>
      </c>
      <c r="BY865" s="4">
        <v>6.077</v>
      </c>
      <c r="BZ865" s="55">
        <v>4.97</v>
      </c>
      <c r="CA865" s="55">
        <v>4.9000000000000004</v>
      </c>
      <c r="CB865" s="55">
        <v>4.42</v>
      </c>
      <c r="CC865" s="55">
        <v>6.26</v>
      </c>
      <c r="CD865" s="55">
        <v>3.79</v>
      </c>
      <c r="CE865" s="19">
        <v>3.2</v>
      </c>
      <c r="CF865" s="19">
        <v>4.0999999999999996</v>
      </c>
      <c r="CG865" s="4">
        <v>2.46</v>
      </c>
      <c r="CH865" s="4">
        <v>2.12</v>
      </c>
      <c r="CI865" s="4">
        <v>1.88</v>
      </c>
      <c r="CJ865" s="34">
        <v>2.6</v>
      </c>
      <c r="CK865" s="34">
        <v>2.1</v>
      </c>
      <c r="CL865" s="43">
        <v>2</v>
      </c>
      <c r="CM865" s="4">
        <v>1.3</v>
      </c>
      <c r="CN865" s="53">
        <v>1.9</v>
      </c>
      <c r="CO865" s="54">
        <v>1</v>
      </c>
      <c r="CP865" s="54">
        <v>1.7</v>
      </c>
      <c r="CQ865" s="4">
        <v>1.7</v>
      </c>
    </row>
    <row r="866" spans="1:95" s="55" customFormat="1" x14ac:dyDescent="0.35">
      <c r="A866" s="55">
        <v>865</v>
      </c>
      <c r="B866" s="55" t="s">
        <v>108</v>
      </c>
      <c r="C866" s="27" t="s">
        <v>606</v>
      </c>
      <c r="D866" s="50" t="s">
        <v>88</v>
      </c>
      <c r="E866" s="33" t="s">
        <v>91</v>
      </c>
      <c r="F866" s="4">
        <f>IFERROR(AVERAGEIF(Table1[[#This Row],[2019-Apr]:[2025-July]],"&lt;&gt;0"),0)</f>
        <v>0.87753703703703734</v>
      </c>
      <c r="G866" s="4">
        <f ca="1">IFERROR(AVERAGEIF(OFFSET(Table1[[#This Row],[Status]],0,COUNT(Table1[[#This Row],[2019-May]:[2025-July]]),1,-12),"&lt;&gt;0"),0)</f>
        <v>0.83000000000000007</v>
      </c>
      <c r="H866" s="55">
        <f>IFERROR(SMALL(Table1[[#This Row],[2019-Apr]:[2025-July]],COUNTIF(Table1[[#This Row],[2019-Apr]:[2025-July]],0)+1),0)</f>
        <v>0.24</v>
      </c>
      <c r="I866" s="55">
        <f>IFERROR(MAX(Table1[[#This Row],[2019-Apr]:[2025-July]]),0)</f>
        <v>2</v>
      </c>
      <c r="J866" s="4" cm="1">
        <f t="array" ref="J86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0.37433333333333335</v>
      </c>
      <c r="K866" s="4">
        <v>4.5</v>
      </c>
      <c r="L866" s="4">
        <f>IF(Table1[[#This Row],[Standard as per ISO]]&gt;=Table1[[#This Row],[Avg of best 6]],Table1[[#This Row],[Standard as per ISO]],Table1[[#This Row],[Avg of best 6]])</f>
        <v>4.5</v>
      </c>
      <c r="M866" s="4" cm="1">
        <f t="array" ref="M866">IFERROR(LOOKUP(2,1/(Table1[[#This Row],[2019-May]:[2025-July]]&lt;&gt;0),Table1[[#This Row],[2019-May]:[2025-July]]),0)</f>
        <v>0.89</v>
      </c>
      <c r="N866" s="4">
        <f>COUNTIF(Table1[[#This Row],[2019-Apr]:[2025-July]],"&gt;="&amp;Table1[[#This Row],[Target]])</f>
        <v>0</v>
      </c>
      <c r="O866" s="4">
        <f>IF(Table1[[#This Row],[Outliers 2Y]]=0,1,0)</f>
        <v>1</v>
      </c>
      <c r="P866" s="4">
        <f>IF(Table1[[#This Row],[Last value]]&gt;1.5*Table1[[#This Row],[Target]],1,0)</f>
        <v>0</v>
      </c>
      <c r="Q866" s="4">
        <f>IF(AND(1.5*Table1[[#This Row],[Target]]&gt;=Table1[[#This Row],[Last value]],Table1[[#This Row],[Last value]]&gt;Table1[[#This Row],[Target]]),1,0)</f>
        <v>0</v>
      </c>
      <c r="R866" s="4">
        <f>IF(Table1[[#This Row],[Target]]&gt;=Table1[[#This Row],[Last value]],1,0)</f>
        <v>1</v>
      </c>
      <c r="S866" s="4" t="str">
        <f t="shared" si="22"/>
        <v>Green</v>
      </c>
      <c r="T866" s="55">
        <v>0.99</v>
      </c>
      <c r="U866" s="55">
        <v>1.51</v>
      </c>
      <c r="V866" s="55">
        <v>0.8</v>
      </c>
      <c r="W866" s="55">
        <v>1.1299999999999999</v>
      </c>
      <c r="X866" s="55">
        <v>1.06</v>
      </c>
      <c r="Y866" s="55">
        <v>0.73</v>
      </c>
      <c r="Z866" s="55">
        <v>0</v>
      </c>
      <c r="AA866" s="55">
        <v>0</v>
      </c>
      <c r="AB866" s="55">
        <v>2</v>
      </c>
      <c r="AC866" s="55">
        <v>0</v>
      </c>
      <c r="AD866" s="55">
        <v>0.7</v>
      </c>
      <c r="AE866" s="55">
        <v>0.9</v>
      </c>
      <c r="AF866" s="55">
        <v>0</v>
      </c>
      <c r="AG866" s="55">
        <v>0</v>
      </c>
      <c r="AH866" s="55">
        <v>0</v>
      </c>
      <c r="AI866" s="55">
        <v>0</v>
      </c>
      <c r="AJ866" s="55">
        <v>0.78</v>
      </c>
      <c r="AK866" s="55">
        <v>0.73</v>
      </c>
      <c r="AL866" s="55">
        <v>0.87</v>
      </c>
      <c r="AM866" s="55">
        <v>0.92</v>
      </c>
      <c r="AN866" s="55">
        <v>0.8</v>
      </c>
      <c r="AO866" s="55">
        <v>0.7</v>
      </c>
      <c r="AP866" s="55">
        <v>1.07</v>
      </c>
      <c r="AQ866" s="55">
        <v>0.84</v>
      </c>
      <c r="AR866" s="8">
        <v>0.83</v>
      </c>
      <c r="AS866" s="8">
        <v>0.7</v>
      </c>
      <c r="AT866" s="8">
        <v>0.69</v>
      </c>
      <c r="AU866" s="50">
        <v>0.55000000000000004</v>
      </c>
      <c r="AV866" s="50">
        <v>0.77</v>
      </c>
      <c r="AW866" s="50">
        <v>0.8</v>
      </c>
      <c r="AX866" s="50">
        <v>0.66</v>
      </c>
      <c r="AY866" s="50">
        <v>0.7</v>
      </c>
      <c r="AZ866" s="50">
        <v>0.91</v>
      </c>
      <c r="BA866" s="50">
        <v>1.1000000000000001</v>
      </c>
      <c r="BB866" s="50">
        <v>1.1000000000000001</v>
      </c>
      <c r="BC866" s="55">
        <v>0.8</v>
      </c>
      <c r="BD866" s="55">
        <v>0</v>
      </c>
      <c r="BE866" s="11">
        <v>1.702</v>
      </c>
      <c r="BF866" s="4">
        <v>1.54</v>
      </c>
      <c r="BG866" s="4">
        <v>0.67500000000000004</v>
      </c>
      <c r="BH866" s="4">
        <v>0.91200000000000003</v>
      </c>
      <c r="BI866" s="4">
        <v>0.67200000000000004</v>
      </c>
      <c r="BJ866" s="13">
        <v>0.51200000000000001</v>
      </c>
      <c r="BK866" s="13">
        <v>0.7</v>
      </c>
      <c r="BL866" s="4">
        <v>1.01</v>
      </c>
      <c r="BM866" s="16">
        <v>1.115</v>
      </c>
      <c r="BN866" s="4">
        <v>0.80600000000000005</v>
      </c>
      <c r="BO866" s="4">
        <v>0.78100000000000003</v>
      </c>
      <c r="BP866" s="4">
        <v>0.46400000000000002</v>
      </c>
      <c r="BQ866" s="4">
        <v>0.78200000000000003</v>
      </c>
      <c r="BR866" s="4">
        <v>0.90600000000000003</v>
      </c>
      <c r="BS866" s="4">
        <v>1.0780000000000001</v>
      </c>
      <c r="BT866" s="4">
        <v>0.754</v>
      </c>
      <c r="BU866" s="4">
        <v>0.72099999999999997</v>
      </c>
      <c r="BV866" s="4">
        <v>0.92400000000000004</v>
      </c>
      <c r="BW866" s="4">
        <v>1.2529999999999999</v>
      </c>
      <c r="BX866" s="4">
        <v>1.56</v>
      </c>
      <c r="BY866" s="4">
        <v>0.24</v>
      </c>
      <c r="BZ866" s="55">
        <v>0.24</v>
      </c>
      <c r="CA866" s="55">
        <v>0</v>
      </c>
      <c r="CB866" s="55">
        <v>0</v>
      </c>
      <c r="CC866" s="55">
        <v>0</v>
      </c>
      <c r="CD866" s="55">
        <v>0.24</v>
      </c>
      <c r="CE866" s="19">
        <v>0</v>
      </c>
      <c r="CF866" s="19">
        <v>0</v>
      </c>
      <c r="CG866" s="4">
        <v>0.77</v>
      </c>
      <c r="CH866" s="4">
        <v>0.89</v>
      </c>
      <c r="CI866" s="4">
        <v>0</v>
      </c>
      <c r="CJ866" s="34">
        <v>0</v>
      </c>
      <c r="CK866" s="34">
        <v>0</v>
      </c>
      <c r="CL866" s="34">
        <v>0</v>
      </c>
      <c r="CM866" s="4">
        <v>0</v>
      </c>
      <c r="CN866" s="53">
        <v>0</v>
      </c>
      <c r="CO866" s="54">
        <v>0</v>
      </c>
      <c r="CP866" s="54">
        <v>0</v>
      </c>
      <c r="CQ866" s="4">
        <v>0</v>
      </c>
    </row>
    <row r="867" spans="1:95" s="55" customFormat="1" x14ac:dyDescent="0.35">
      <c r="A867" s="55">
        <v>866</v>
      </c>
      <c r="B867" s="55" t="s">
        <v>108</v>
      </c>
      <c r="C867" s="27" t="s">
        <v>607</v>
      </c>
      <c r="D867" s="50" t="s">
        <v>88</v>
      </c>
      <c r="E867" s="33" t="s">
        <v>91</v>
      </c>
      <c r="F867" s="4">
        <f>IFERROR(AVERAGEIF(Table1[[#This Row],[2019-Apr]:[2025-July]],"&lt;&gt;0"),0)</f>
        <v>0.97685714285714287</v>
      </c>
      <c r="G867" s="4">
        <f ca="1">IFERROR(AVERAGEIF(OFFSET(Table1[[#This Row],[Status]],0,COUNT(Table1[[#This Row],[2019-May]:[2025-July]]),1,-12),"&lt;&gt;0"),0)</f>
        <v>0.86</v>
      </c>
      <c r="H867" s="55">
        <f>IFERROR(SMALL(Table1[[#This Row],[2019-Apr]:[2025-July]],COUNTIF(Table1[[#This Row],[2019-Apr]:[2025-July]],0)+1),0)</f>
        <v>0.17</v>
      </c>
      <c r="I867" s="55">
        <f>IFERROR(MAX(Table1[[#This Row],[2019-Apr]:[2025-July]]),0)</f>
        <v>1.9</v>
      </c>
      <c r="J867" s="4" cm="1">
        <f t="array" ref="J86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0.45100000000000001</v>
      </c>
      <c r="K867" s="4">
        <v>4.5</v>
      </c>
      <c r="L867" s="4">
        <f>IF(Table1[[#This Row],[Standard as per ISO]]&gt;=Table1[[#This Row],[Avg of best 6]],Table1[[#This Row],[Standard as per ISO]],Table1[[#This Row],[Avg of best 6]])</f>
        <v>4.5</v>
      </c>
      <c r="M867" s="4" cm="1">
        <f t="array" ref="M867">IFERROR(LOOKUP(2,1/(Table1[[#This Row],[2019-May]:[2025-July]]&lt;&gt;0),Table1[[#This Row],[2019-May]:[2025-July]]),0)</f>
        <v>0.95</v>
      </c>
      <c r="N867" s="4">
        <f>COUNTIF(Table1[[#This Row],[2019-Apr]:[2025-July]],"&gt;="&amp;Table1[[#This Row],[Target]])</f>
        <v>0</v>
      </c>
      <c r="O867" s="4">
        <f>IF(Table1[[#This Row],[Outliers 2Y]]=0,1,0)</f>
        <v>1</v>
      </c>
      <c r="P867" s="4">
        <f>IF(Table1[[#This Row],[Last value]]&gt;1.5*Table1[[#This Row],[Target]],1,0)</f>
        <v>0</v>
      </c>
      <c r="Q867" s="4">
        <f>IF(AND(1.5*Table1[[#This Row],[Target]]&gt;=Table1[[#This Row],[Last value]],Table1[[#This Row],[Last value]]&gt;Table1[[#This Row],[Target]]),1,0)</f>
        <v>0</v>
      </c>
      <c r="R867" s="4">
        <f>IF(Table1[[#This Row],[Target]]&gt;=Table1[[#This Row],[Last value]],1,0)</f>
        <v>1</v>
      </c>
      <c r="S867" s="4" t="str">
        <f t="shared" si="22"/>
        <v>Green</v>
      </c>
      <c r="T867" s="55">
        <v>1.19</v>
      </c>
      <c r="U867" s="55">
        <v>0.87</v>
      </c>
      <c r="V867" s="55">
        <v>0.97</v>
      </c>
      <c r="W867" s="55">
        <v>0</v>
      </c>
      <c r="X867" s="55">
        <v>0</v>
      </c>
      <c r="Y867" s="55">
        <v>1.04</v>
      </c>
      <c r="Z867" s="55">
        <v>0.97</v>
      </c>
      <c r="AA867" s="55">
        <v>1.44</v>
      </c>
      <c r="AB867" s="55">
        <v>1.08</v>
      </c>
      <c r="AC867" s="55">
        <v>0.8</v>
      </c>
      <c r="AD867" s="55">
        <v>0</v>
      </c>
      <c r="AE867" s="55">
        <v>0</v>
      </c>
      <c r="AF867" s="55">
        <v>1.4</v>
      </c>
      <c r="AG867" s="55">
        <v>0.7</v>
      </c>
      <c r="AH867" s="55">
        <v>0.73</v>
      </c>
      <c r="AI867" s="55">
        <v>1.6</v>
      </c>
      <c r="AJ867" s="55">
        <v>0.85</v>
      </c>
      <c r="AK867" s="55">
        <v>1.3</v>
      </c>
      <c r="AL867" s="55">
        <v>0.78</v>
      </c>
      <c r="AM867" s="55">
        <v>0.76</v>
      </c>
      <c r="AN867" s="55">
        <v>0.86</v>
      </c>
      <c r="AO867" s="55">
        <v>0.81</v>
      </c>
      <c r="AP867" s="55">
        <v>0.84</v>
      </c>
      <c r="AQ867" s="55">
        <v>0.97</v>
      </c>
      <c r="AR867" s="8">
        <v>0.79</v>
      </c>
      <c r="AS867" s="8">
        <v>0.98</v>
      </c>
      <c r="AT867" s="8">
        <v>1.022</v>
      </c>
      <c r="AU867" s="50">
        <v>1.67</v>
      </c>
      <c r="AV867" s="50">
        <v>0.87</v>
      </c>
      <c r="AW867" s="50">
        <v>1.67</v>
      </c>
      <c r="AX867" s="50">
        <v>1.03</v>
      </c>
      <c r="AY867" s="50">
        <v>0.93</v>
      </c>
      <c r="AZ867" s="50">
        <v>1.1000000000000001</v>
      </c>
      <c r="BA867" s="50">
        <v>0.9</v>
      </c>
      <c r="BB867" s="50">
        <v>1.3</v>
      </c>
      <c r="BC867" s="55">
        <v>0.6</v>
      </c>
      <c r="BD867" s="55">
        <v>0</v>
      </c>
      <c r="BE867" s="11">
        <v>1.202</v>
      </c>
      <c r="BF867" s="4">
        <v>1.9</v>
      </c>
      <c r="BG867" s="4">
        <v>1.881</v>
      </c>
      <c r="BH867" s="4">
        <v>0.82399999999999995</v>
      </c>
      <c r="BI867" s="4">
        <v>0.78100000000000003</v>
      </c>
      <c r="BJ867" s="14">
        <v>0.61699999999999999</v>
      </c>
      <c r="BK867" s="14">
        <v>0.875</v>
      </c>
      <c r="BL867" s="4">
        <v>0.82099999999999995</v>
      </c>
      <c r="BM867" s="17">
        <v>0.91600000000000004</v>
      </c>
      <c r="BN867" s="4">
        <v>0.79200000000000004</v>
      </c>
      <c r="BO867" s="4">
        <v>0.91400000000000003</v>
      </c>
      <c r="BP867" s="4">
        <v>0.65400000000000003</v>
      </c>
      <c r="BQ867" s="4">
        <v>1.0720000000000001</v>
      </c>
      <c r="BR867" s="4">
        <v>0.89100000000000001</v>
      </c>
      <c r="BS867" s="4">
        <v>0.92900000000000005</v>
      </c>
      <c r="BT867" s="4">
        <v>0.84699999999999998</v>
      </c>
      <c r="BU867" s="4">
        <v>0.49099999999999999</v>
      </c>
      <c r="BV867" s="4">
        <v>0.88600000000000001</v>
      </c>
      <c r="BW867" s="4">
        <v>1.157</v>
      </c>
      <c r="BX867" s="4">
        <v>1.3680000000000001</v>
      </c>
      <c r="BY867" s="4">
        <v>0.17399999999999999</v>
      </c>
      <c r="BZ867" s="55">
        <v>0</v>
      </c>
      <c r="CA867" s="55">
        <v>0</v>
      </c>
      <c r="CB867" s="55">
        <v>0</v>
      </c>
      <c r="CC867" s="55">
        <v>0</v>
      </c>
      <c r="CD867" s="55">
        <v>0.17</v>
      </c>
      <c r="CE867" s="19">
        <v>0</v>
      </c>
      <c r="CF867" s="19">
        <v>0</v>
      </c>
      <c r="CG867" s="4">
        <v>0.77</v>
      </c>
      <c r="CH867" s="4">
        <v>0.95</v>
      </c>
      <c r="CI867" s="4">
        <v>0</v>
      </c>
      <c r="CJ867" s="34">
        <v>0</v>
      </c>
      <c r="CK867" s="34">
        <v>0</v>
      </c>
      <c r="CL867" s="34">
        <v>0</v>
      </c>
      <c r="CM867" s="4">
        <v>0</v>
      </c>
      <c r="CN867" s="53">
        <v>0</v>
      </c>
      <c r="CO867" s="54">
        <v>0</v>
      </c>
      <c r="CP867" s="54">
        <v>0</v>
      </c>
      <c r="CQ867" s="4">
        <v>0</v>
      </c>
    </row>
    <row r="868" spans="1:95" s="55" customFormat="1" x14ac:dyDescent="0.35">
      <c r="A868" s="55">
        <v>867</v>
      </c>
      <c r="B868" s="55" t="s">
        <v>108</v>
      </c>
      <c r="C868" s="27" t="s">
        <v>608</v>
      </c>
      <c r="D868" s="50" t="s">
        <v>88</v>
      </c>
      <c r="E868" s="33" t="s">
        <v>91</v>
      </c>
      <c r="F868" s="4">
        <f>IFERROR(AVERAGEIF(Table1[[#This Row],[2019-Apr]:[2025-July]],"&lt;&gt;0"),0)</f>
        <v>2.0744576271186443</v>
      </c>
      <c r="G868" s="4">
        <f ca="1">IFERROR(AVERAGEIF(OFFSET(Table1[[#This Row],[Status]],0,COUNT(Table1[[#This Row],[2019-May]:[2025-July]]),1,-12),"&lt;&gt;0"),0)</f>
        <v>1.26</v>
      </c>
      <c r="H868" s="55">
        <f>IFERROR(SMALL(Table1[[#This Row],[2019-Apr]:[2025-July]],COUNTIF(Table1[[#This Row],[2019-Apr]:[2025-July]],0)+1),0)</f>
        <v>0.307</v>
      </c>
      <c r="I868" s="55">
        <f>IFERROR(MAX(Table1[[#This Row],[2019-Apr]:[2025-July]]),0)</f>
        <v>3.7</v>
      </c>
      <c r="J868" s="4" cm="1">
        <f t="array" ref="J86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0.97049999999999992</v>
      </c>
      <c r="K868" s="4">
        <v>4.5</v>
      </c>
      <c r="L868" s="4">
        <f>IF(Table1[[#This Row],[Standard as per ISO]]&gt;=Table1[[#This Row],[Avg of best 6]],Table1[[#This Row],[Standard as per ISO]],Table1[[#This Row],[Avg of best 6]])</f>
        <v>4.5</v>
      </c>
      <c r="M868" s="4" cm="1">
        <f t="array" ref="M868">IFERROR(LOOKUP(2,1/(Table1[[#This Row],[2019-May]:[2025-July]]&lt;&gt;0),Table1[[#This Row],[2019-May]:[2025-July]]),0)</f>
        <v>1.26</v>
      </c>
      <c r="N868" s="4">
        <f>COUNTIF(Table1[[#This Row],[2019-Apr]:[2025-July]],"&gt;="&amp;Table1[[#This Row],[Target]])</f>
        <v>0</v>
      </c>
      <c r="O868" s="4">
        <f>IF(Table1[[#This Row],[Outliers 2Y]]=0,1,0)</f>
        <v>1</v>
      </c>
      <c r="P868" s="4">
        <f>IF(Table1[[#This Row],[Last value]]&gt;1.5*Table1[[#This Row],[Target]],1,0)</f>
        <v>0</v>
      </c>
      <c r="Q868" s="4">
        <f>IF(AND(1.5*Table1[[#This Row],[Target]]&gt;=Table1[[#This Row],[Last value]],Table1[[#This Row],[Last value]]&gt;Table1[[#This Row],[Target]]),1,0)</f>
        <v>0</v>
      </c>
      <c r="R868" s="4">
        <f>IF(Table1[[#This Row],[Target]]&gt;=Table1[[#This Row],[Last value]],1,0)</f>
        <v>1</v>
      </c>
      <c r="S868" s="4" t="str">
        <f t="shared" si="22"/>
        <v>Green</v>
      </c>
      <c r="T868" s="55">
        <v>3.24</v>
      </c>
      <c r="U868" s="55">
        <v>2.71</v>
      </c>
      <c r="V868" s="55">
        <v>0</v>
      </c>
      <c r="W868" s="55">
        <v>2.2000000000000002</v>
      </c>
      <c r="X868" s="55">
        <v>3.14</v>
      </c>
      <c r="Y868" s="55">
        <v>3.47</v>
      </c>
      <c r="Z868" s="55">
        <v>2.68</v>
      </c>
      <c r="AA868" s="55">
        <v>1.98</v>
      </c>
      <c r="AB868" s="55">
        <v>2.8</v>
      </c>
      <c r="AC868" s="55">
        <v>1.6</v>
      </c>
      <c r="AD868" s="55">
        <v>1.8</v>
      </c>
      <c r="AE868" s="55">
        <v>0.82</v>
      </c>
      <c r="AF868" s="55">
        <v>3.7</v>
      </c>
      <c r="AG868" s="55">
        <v>2.1</v>
      </c>
      <c r="AH868" s="55">
        <v>2.1</v>
      </c>
      <c r="AI868" s="55">
        <v>2.5</v>
      </c>
      <c r="AJ868" s="55">
        <v>1.55</v>
      </c>
      <c r="AK868" s="55">
        <v>1.89</v>
      </c>
      <c r="AL868" s="55">
        <v>2.2999999999999998</v>
      </c>
      <c r="AM868" s="55">
        <v>1.83</v>
      </c>
      <c r="AN868" s="55">
        <v>2.17</v>
      </c>
      <c r="AO868" s="55">
        <v>1.59</v>
      </c>
      <c r="AP868" s="55">
        <v>1.47</v>
      </c>
      <c r="AQ868" s="55">
        <v>1.54</v>
      </c>
      <c r="AR868" s="8">
        <v>1.78</v>
      </c>
      <c r="AS868" s="8">
        <v>1.98</v>
      </c>
      <c r="AT868" s="8">
        <v>2.2599999999999998</v>
      </c>
      <c r="AU868" s="50">
        <v>1.8</v>
      </c>
      <c r="AV868" s="50">
        <v>2.4700000000000002</v>
      </c>
      <c r="AW868" s="50">
        <v>1.86</v>
      </c>
      <c r="AX868" s="50">
        <v>1.86</v>
      </c>
      <c r="AY868" s="50">
        <v>1.78</v>
      </c>
      <c r="AZ868" s="50">
        <v>2.1</v>
      </c>
      <c r="BA868" s="50">
        <v>1.8</v>
      </c>
      <c r="BB868" s="50">
        <v>2.2999999999999998</v>
      </c>
      <c r="BC868" s="55">
        <v>1.9</v>
      </c>
      <c r="BD868" s="55">
        <v>0</v>
      </c>
      <c r="BE868" s="11">
        <v>3.5640000000000001</v>
      </c>
      <c r="BF868" s="4">
        <v>2.7</v>
      </c>
      <c r="BG868" s="4">
        <v>1.893</v>
      </c>
      <c r="BH868" s="4">
        <v>1.847</v>
      </c>
      <c r="BI868" s="4">
        <v>2.0209999999999999</v>
      </c>
      <c r="BJ868" s="13">
        <v>1.714</v>
      </c>
      <c r="BK868" s="13">
        <v>2.7360000000000002</v>
      </c>
      <c r="BL868" s="4">
        <v>2.6429999999999998</v>
      </c>
      <c r="BM868" s="16">
        <v>2.3759999999999999</v>
      </c>
      <c r="BN868" s="4">
        <v>2.165</v>
      </c>
      <c r="BO868" s="4">
        <v>2.7029999999999998</v>
      </c>
      <c r="BP868" s="4">
        <v>2.5190000000000001</v>
      </c>
      <c r="BQ868" s="4">
        <v>1.0069999999999999</v>
      </c>
      <c r="BR868" s="4">
        <v>1.0269999999999999</v>
      </c>
      <c r="BS868" s="4">
        <v>1.853</v>
      </c>
      <c r="BT868" s="4">
        <v>1.4019999999999999</v>
      </c>
      <c r="BU868" s="4">
        <v>1.617</v>
      </c>
      <c r="BV868" s="4">
        <v>1.7789999999999999</v>
      </c>
      <c r="BW868" s="4">
        <v>1.88</v>
      </c>
      <c r="BX868" s="4">
        <v>1.99</v>
      </c>
      <c r="BY868" s="4">
        <v>0.307</v>
      </c>
      <c r="BZ868" s="55">
        <v>1.73</v>
      </c>
      <c r="CA868" s="55">
        <v>0</v>
      </c>
      <c r="CB868" s="55">
        <v>0</v>
      </c>
      <c r="CC868" s="55">
        <v>0</v>
      </c>
      <c r="CD868" s="55">
        <v>2.59</v>
      </c>
      <c r="CE868" s="19">
        <v>0</v>
      </c>
      <c r="CF868" s="19">
        <v>0</v>
      </c>
      <c r="CG868" s="4">
        <v>0</v>
      </c>
      <c r="CH868" s="4">
        <v>1.26</v>
      </c>
      <c r="CI868" s="4">
        <v>0</v>
      </c>
      <c r="CJ868" s="34">
        <v>0</v>
      </c>
      <c r="CK868" s="34">
        <v>0</v>
      </c>
      <c r="CL868" s="34">
        <v>0</v>
      </c>
      <c r="CM868" s="4">
        <v>0</v>
      </c>
      <c r="CN868" s="53">
        <v>0</v>
      </c>
      <c r="CO868" s="54">
        <v>0</v>
      </c>
      <c r="CP868" s="54">
        <v>0</v>
      </c>
      <c r="CQ868" s="4">
        <v>0</v>
      </c>
    </row>
    <row r="869" spans="1:95" s="55" customFormat="1" x14ac:dyDescent="0.35">
      <c r="A869" s="55">
        <v>868</v>
      </c>
      <c r="B869" s="55" t="s">
        <v>108</v>
      </c>
      <c r="C869" s="27" t="s">
        <v>609</v>
      </c>
      <c r="D869" s="50" t="s">
        <v>88</v>
      </c>
      <c r="E869" s="33" t="s">
        <v>91</v>
      </c>
      <c r="F869" s="4">
        <f>IFERROR(AVERAGEIF(Table1[[#This Row],[2019-Apr]:[2025-July]],"&lt;&gt;0"),0)</f>
        <v>4.273862068965518</v>
      </c>
      <c r="G869" s="4">
        <f ca="1">IFERROR(AVERAGEIF(OFFSET(Table1[[#This Row],[Status]],0,COUNT(Table1[[#This Row],[2019-May]:[2025-July]]),1,-12),"&lt;&gt;0"),0)</f>
        <v>3.645</v>
      </c>
      <c r="H869" s="55">
        <f>IFERROR(SMALL(Table1[[#This Row],[2019-Apr]:[2025-July]],COUNTIF(Table1[[#This Row],[2019-Apr]:[2025-July]],0)+1),0)</f>
        <v>1.57</v>
      </c>
      <c r="I869" s="55">
        <f>IFERROR(MAX(Table1[[#This Row],[2019-Apr]:[2025-July]]),0)</f>
        <v>7.78</v>
      </c>
      <c r="J869" s="4" cm="1">
        <f t="array" ref="J86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2.2726666666666668</v>
      </c>
      <c r="K869" s="4">
        <v>4.5</v>
      </c>
      <c r="L869" s="4">
        <f>IF(Table1[[#This Row],[Standard as per ISO]]&gt;=Table1[[#This Row],[Avg of best 6]],Table1[[#This Row],[Standard as per ISO]],Table1[[#This Row],[Avg of best 6]])</f>
        <v>4.5</v>
      </c>
      <c r="M869" s="4" cm="1">
        <f t="array" ref="M869">IFERROR(LOOKUP(2,1/(Table1[[#This Row],[2019-May]:[2025-July]]&lt;&gt;0),Table1[[#This Row],[2019-May]:[2025-July]]),0)</f>
        <v>4.05</v>
      </c>
      <c r="N869" s="4">
        <f>COUNTIF(Table1[[#This Row],[2019-Apr]:[2025-July]],"&gt;="&amp;Table1[[#This Row],[Target]])</f>
        <v>27</v>
      </c>
      <c r="O869" s="4">
        <f>IF(Table1[[#This Row],[Outliers 2Y]]=0,1,0)</f>
        <v>0</v>
      </c>
      <c r="P869" s="4">
        <f>IF(Table1[[#This Row],[Last value]]&gt;1.5*Table1[[#This Row],[Target]],1,0)</f>
        <v>0</v>
      </c>
      <c r="Q869" s="4">
        <f>IF(AND(1.5*Table1[[#This Row],[Target]]&gt;=Table1[[#This Row],[Last value]],Table1[[#This Row],[Last value]]&gt;Table1[[#This Row],[Target]]),1,0)</f>
        <v>0</v>
      </c>
      <c r="R869" s="4">
        <f>IF(Table1[[#This Row],[Target]]&gt;=Table1[[#This Row],[Last value]],1,0)</f>
        <v>1</v>
      </c>
      <c r="S869" s="4" t="str">
        <f t="shared" si="22"/>
        <v>Green</v>
      </c>
      <c r="T869" s="55">
        <v>1.57</v>
      </c>
      <c r="U869" s="55">
        <v>2.8</v>
      </c>
      <c r="V869" s="55">
        <v>2.5299999999999998</v>
      </c>
      <c r="W869" s="55">
        <v>2.72</v>
      </c>
      <c r="X869" s="55">
        <v>2.1</v>
      </c>
      <c r="Y869" s="55">
        <v>2.02</v>
      </c>
      <c r="Z869" s="55">
        <v>2.54</v>
      </c>
      <c r="AA869" s="55">
        <v>4.9000000000000004</v>
      </c>
      <c r="AB869" s="55">
        <v>7.78</v>
      </c>
      <c r="AC869" s="55">
        <v>5.56</v>
      </c>
      <c r="AD869" s="55">
        <v>5.43</v>
      </c>
      <c r="AE869" s="55">
        <v>4.7</v>
      </c>
      <c r="AF869" s="55">
        <v>0</v>
      </c>
      <c r="AG869" s="55">
        <v>4.5999999999999996</v>
      </c>
      <c r="AH869" s="55">
        <v>4.5</v>
      </c>
      <c r="AI869" s="55">
        <v>3.7</v>
      </c>
      <c r="AJ869" s="55">
        <v>4.72</v>
      </c>
      <c r="AK869" s="55">
        <v>4.91</v>
      </c>
      <c r="AL869" s="55">
        <v>4.67</v>
      </c>
      <c r="AM869" s="55">
        <v>5.44</v>
      </c>
      <c r="AN869" s="55">
        <v>5.69</v>
      </c>
      <c r="AO869" s="55">
        <v>4.45</v>
      </c>
      <c r="AP869" s="55">
        <v>5.3</v>
      </c>
      <c r="AQ869" s="55">
        <v>4.95</v>
      </c>
      <c r="AR869" s="9">
        <v>4.26</v>
      </c>
      <c r="AS869" s="9">
        <v>4.55</v>
      </c>
      <c r="AT869" s="9">
        <v>4.47</v>
      </c>
      <c r="AU869" s="50">
        <v>4.67</v>
      </c>
      <c r="AV869" s="50">
        <v>4.68</v>
      </c>
      <c r="AW869" s="50">
        <v>4.67</v>
      </c>
      <c r="AX869" s="50">
        <v>5.05</v>
      </c>
      <c r="AY869" s="50">
        <v>5.79</v>
      </c>
      <c r="AZ869" s="50">
        <v>0</v>
      </c>
      <c r="BA869" s="50">
        <v>4.9000000000000004</v>
      </c>
      <c r="BB869" s="50">
        <v>4.5999999999999996</v>
      </c>
      <c r="BC869" s="55">
        <v>4.5</v>
      </c>
      <c r="BD869" s="55">
        <v>0</v>
      </c>
      <c r="BE869" s="11">
        <v>4.3959999999999999</v>
      </c>
      <c r="BF869" s="4">
        <v>4.8</v>
      </c>
      <c r="BG869" s="4">
        <v>6.77</v>
      </c>
      <c r="BH869" s="4">
        <v>4.4880000000000004</v>
      </c>
      <c r="BI869" s="4">
        <v>4.444</v>
      </c>
      <c r="BJ869" s="14">
        <v>4.49</v>
      </c>
      <c r="BK869" s="14">
        <v>5.5609999999999999</v>
      </c>
      <c r="BL869" s="4">
        <v>5.2549999999999999</v>
      </c>
      <c r="BM869" s="17">
        <v>4.2110000000000003</v>
      </c>
      <c r="BN869" s="4">
        <v>3.8719999999999999</v>
      </c>
      <c r="BO869" s="4">
        <v>4.4459999999999997</v>
      </c>
      <c r="BP869" s="4">
        <v>3.899</v>
      </c>
      <c r="BQ869" s="4">
        <v>4.3159999999999998</v>
      </c>
      <c r="BR869" s="4">
        <v>3.0550000000000002</v>
      </c>
      <c r="BS869" s="4">
        <v>1.726</v>
      </c>
      <c r="BT869" s="4">
        <v>3.5680000000000001</v>
      </c>
      <c r="BU869" s="4">
        <v>3.27</v>
      </c>
      <c r="BV869" s="4">
        <v>4.1639999999999997</v>
      </c>
      <c r="BW869" s="4">
        <v>3.419</v>
      </c>
      <c r="BX869" s="4">
        <v>3.5990000000000002</v>
      </c>
      <c r="BY869" s="4">
        <v>3.5249999999999999</v>
      </c>
      <c r="BZ869" s="55">
        <v>0</v>
      </c>
      <c r="CA869" s="55">
        <v>0</v>
      </c>
      <c r="CB869" s="55">
        <v>0</v>
      </c>
      <c r="CC869" s="55">
        <v>0</v>
      </c>
      <c r="CD869" s="55">
        <v>3.6</v>
      </c>
      <c r="CE869" s="19">
        <v>0</v>
      </c>
      <c r="CF869" s="19">
        <v>0</v>
      </c>
      <c r="CG869" s="4">
        <v>3.24</v>
      </c>
      <c r="CH869" s="4">
        <v>4.05</v>
      </c>
      <c r="CI869" s="4">
        <v>0</v>
      </c>
      <c r="CJ869" s="34">
        <v>0</v>
      </c>
      <c r="CK869" s="34">
        <v>0</v>
      </c>
      <c r="CL869" s="34">
        <v>0</v>
      </c>
      <c r="CM869" s="4">
        <v>0</v>
      </c>
      <c r="CN869" s="53">
        <v>0</v>
      </c>
      <c r="CO869" s="54">
        <v>0</v>
      </c>
      <c r="CP869" s="54">
        <v>0</v>
      </c>
      <c r="CQ869" s="4">
        <v>0</v>
      </c>
    </row>
    <row r="870" spans="1:95" s="55" customFormat="1" x14ac:dyDescent="0.35">
      <c r="A870" s="55">
        <v>869</v>
      </c>
      <c r="B870" s="55" t="s">
        <v>108</v>
      </c>
      <c r="C870" s="27" t="s">
        <v>610</v>
      </c>
      <c r="D870" s="50" t="s">
        <v>88</v>
      </c>
      <c r="E870" s="33" t="s">
        <v>91</v>
      </c>
      <c r="F870" s="4">
        <f>IFERROR(AVERAGEIF(Table1[[#This Row],[2019-Apr]:[2025-July]],"&lt;&gt;0"),0)</f>
        <v>1.0772950819672129</v>
      </c>
      <c r="G870" s="4">
        <f ca="1">IFERROR(AVERAGEIF(OFFSET(Table1[[#This Row],[Status]],0,COUNT(Table1[[#This Row],[2019-May]:[2025-July]]),1,-12),"&lt;&gt;0"),0)</f>
        <v>0.875</v>
      </c>
      <c r="H870" s="55">
        <f>IFERROR(SMALL(Table1[[#This Row],[2019-Apr]:[2025-July]],COUNTIF(Table1[[#This Row],[2019-Apr]:[2025-July]],0)+1),0)</f>
        <v>0.442</v>
      </c>
      <c r="I870" s="55">
        <f>IFERROR(MAX(Table1[[#This Row],[2019-Apr]:[2025-July]]),0)</f>
        <v>3</v>
      </c>
      <c r="J870" s="4" cm="1">
        <f t="array" ref="J87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0.58766666666666667</v>
      </c>
      <c r="K870" s="4">
        <v>4.5</v>
      </c>
      <c r="L870" s="4">
        <f>IF(Table1[[#This Row],[Standard as per ISO]]&gt;=Table1[[#This Row],[Avg of best 6]],Table1[[#This Row],[Standard as per ISO]],Table1[[#This Row],[Avg of best 6]])</f>
        <v>4.5</v>
      </c>
      <c r="M870" s="4" cm="1">
        <f t="array" ref="M870">IFERROR(LOOKUP(2,1/(Table1[[#This Row],[2019-May]:[2025-July]]&lt;&gt;0),Table1[[#This Row],[2019-May]:[2025-July]]),0)</f>
        <v>0.92</v>
      </c>
      <c r="N870" s="4">
        <f>COUNTIF(Table1[[#This Row],[2019-Apr]:[2025-July]],"&gt;="&amp;Table1[[#This Row],[Target]])</f>
        <v>0</v>
      </c>
      <c r="O870" s="4">
        <f>IF(Table1[[#This Row],[Outliers 2Y]]=0,1,0)</f>
        <v>1</v>
      </c>
      <c r="P870" s="4">
        <f>IF(Table1[[#This Row],[Last value]]&gt;1.5*Table1[[#This Row],[Target]],1,0)</f>
        <v>0</v>
      </c>
      <c r="Q870" s="4">
        <f>IF(AND(1.5*Table1[[#This Row],[Target]]&gt;=Table1[[#This Row],[Last value]],Table1[[#This Row],[Last value]]&gt;Table1[[#This Row],[Target]]),1,0)</f>
        <v>0</v>
      </c>
      <c r="R870" s="4">
        <f>IF(Table1[[#This Row],[Target]]&gt;=Table1[[#This Row],[Last value]],1,0)</f>
        <v>1</v>
      </c>
      <c r="S870" s="4" t="str">
        <f t="shared" si="22"/>
        <v>Green</v>
      </c>
      <c r="T870" s="55">
        <v>1.44</v>
      </c>
      <c r="U870" s="55">
        <v>1.7</v>
      </c>
      <c r="V870" s="55">
        <v>0.86799999999999999</v>
      </c>
      <c r="W870" s="55">
        <v>1.1000000000000001</v>
      </c>
      <c r="X870" s="55">
        <v>1.1399999999999999</v>
      </c>
      <c r="Y870" s="55">
        <v>1.1100000000000001</v>
      </c>
      <c r="Z870" s="55">
        <v>0.8</v>
      </c>
      <c r="AA870" s="55">
        <v>0.97</v>
      </c>
      <c r="AB870" s="55">
        <v>0.95</v>
      </c>
      <c r="AC870" s="55">
        <v>3</v>
      </c>
      <c r="AD870" s="55">
        <v>1.3</v>
      </c>
      <c r="AE870" s="55">
        <v>2.96</v>
      </c>
      <c r="AF870" s="55">
        <v>1.2</v>
      </c>
      <c r="AG870" s="55">
        <v>1.3</v>
      </c>
      <c r="AH870" s="55">
        <v>0.9</v>
      </c>
      <c r="AI870" s="55">
        <v>1.2</v>
      </c>
      <c r="AJ870" s="55">
        <v>0.82</v>
      </c>
      <c r="AK870" s="55">
        <v>1.46</v>
      </c>
      <c r="AL870" s="55">
        <v>0.8</v>
      </c>
      <c r="AM870" s="55">
        <v>1.01</v>
      </c>
      <c r="AN870" s="55">
        <v>1.17</v>
      </c>
      <c r="AO870" s="55">
        <v>0.86</v>
      </c>
      <c r="AP870" s="55">
        <v>0.73</v>
      </c>
      <c r="AQ870" s="55">
        <v>0.86</v>
      </c>
      <c r="AR870" s="8">
        <v>1.29</v>
      </c>
      <c r="AS870" s="8">
        <v>1</v>
      </c>
      <c r="AT870" s="8">
        <v>1.25</v>
      </c>
      <c r="AU870" s="50">
        <v>0.85</v>
      </c>
      <c r="AV870" s="50">
        <v>1.22</v>
      </c>
      <c r="AW870" s="50">
        <v>1.41</v>
      </c>
      <c r="AX870" s="50">
        <v>1.21</v>
      </c>
      <c r="AY870" s="50">
        <v>0.96</v>
      </c>
      <c r="AZ870" s="50">
        <v>1.08</v>
      </c>
      <c r="BA870" s="50">
        <v>1.3</v>
      </c>
      <c r="BB870" s="50">
        <v>1.3</v>
      </c>
      <c r="BC870" s="55">
        <v>1.2</v>
      </c>
      <c r="BD870" s="55">
        <v>0</v>
      </c>
      <c r="BE870" s="11">
        <v>1.605</v>
      </c>
      <c r="BF870" s="4">
        <v>1.25</v>
      </c>
      <c r="BG870" s="4">
        <v>1.887</v>
      </c>
      <c r="BH870" s="4">
        <v>0.56499999999999995</v>
      </c>
      <c r="BI870" s="4">
        <v>0.77700000000000002</v>
      </c>
      <c r="BJ870" s="13">
        <v>0.69</v>
      </c>
      <c r="BK870" s="13">
        <v>0.71099999999999997</v>
      </c>
      <c r="BL870" s="4">
        <v>1.1000000000000001</v>
      </c>
      <c r="BM870" s="16">
        <v>0.95799999999999996</v>
      </c>
      <c r="BN870" s="4">
        <v>0.69499999999999995</v>
      </c>
      <c r="BO870" s="4">
        <v>0.65300000000000002</v>
      </c>
      <c r="BP870" s="4">
        <v>0.77500000000000002</v>
      </c>
      <c r="BQ870" s="4">
        <v>0.66300000000000003</v>
      </c>
      <c r="BR870" s="4">
        <v>0.68300000000000005</v>
      </c>
      <c r="BS870" s="4">
        <v>0.83099999999999996</v>
      </c>
      <c r="BT870" s="4">
        <v>0.70199999999999996</v>
      </c>
      <c r="BU870" s="4">
        <v>0.72399999999999998</v>
      </c>
      <c r="BV870" s="4">
        <v>1.0109999999999999</v>
      </c>
      <c r="BW870" s="4">
        <v>1.446</v>
      </c>
      <c r="BX870" s="4">
        <v>0.749</v>
      </c>
      <c r="BY870" s="4">
        <v>0.442</v>
      </c>
      <c r="BZ870" s="55">
        <v>0.81</v>
      </c>
      <c r="CA870" s="55">
        <v>0</v>
      </c>
      <c r="CB870" s="55">
        <v>0</v>
      </c>
      <c r="CC870" s="55">
        <v>0</v>
      </c>
      <c r="CD870" s="55">
        <v>0.52</v>
      </c>
      <c r="CE870" s="19">
        <v>0</v>
      </c>
      <c r="CF870" s="19">
        <v>0</v>
      </c>
      <c r="CG870" s="4">
        <v>0.83</v>
      </c>
      <c r="CH870" s="4">
        <v>0.92</v>
      </c>
      <c r="CI870" s="4">
        <v>0</v>
      </c>
      <c r="CJ870" s="34">
        <v>0</v>
      </c>
      <c r="CK870" s="34">
        <v>0</v>
      </c>
      <c r="CL870" s="34">
        <v>0</v>
      </c>
      <c r="CM870" s="4">
        <v>0</v>
      </c>
      <c r="CN870" s="53">
        <v>0</v>
      </c>
      <c r="CO870" s="54">
        <v>0</v>
      </c>
      <c r="CP870" s="54">
        <v>0</v>
      </c>
      <c r="CQ870" s="4">
        <v>0</v>
      </c>
    </row>
    <row r="871" spans="1:95" s="55" customFormat="1" x14ac:dyDescent="0.35">
      <c r="A871" s="55">
        <v>870</v>
      </c>
      <c r="B871" s="55" t="s">
        <v>108</v>
      </c>
      <c r="C871" s="27" t="s">
        <v>611</v>
      </c>
      <c r="D871" s="50" t="s">
        <v>88</v>
      </c>
      <c r="E871" s="33" t="s">
        <v>91</v>
      </c>
      <c r="F871" s="4">
        <f>IFERROR(AVERAGEIF(Table1[[#This Row],[2019-Apr]:[2025-July]],"&lt;&gt;0"),0)</f>
        <v>1.2958666666666672</v>
      </c>
      <c r="G871" s="4">
        <f ca="1">IFERROR(AVERAGEIF(OFFSET(Table1[[#This Row],[Status]],0,COUNT(Table1[[#This Row],[2019-May]:[2025-July]]),1,-12),"&lt;&gt;0"),0)</f>
        <v>0.82499999999999996</v>
      </c>
      <c r="H871" s="55">
        <f>IFERROR(SMALL(Table1[[#This Row],[2019-Apr]:[2025-July]],COUNTIF(Table1[[#This Row],[2019-Apr]:[2025-July]],0)+1),0)</f>
        <v>0.64700000000000002</v>
      </c>
      <c r="I871" s="55">
        <f>IFERROR(MAX(Table1[[#This Row],[2019-Apr]:[2025-July]]),0)</f>
        <v>2.64</v>
      </c>
      <c r="J871" s="4" cm="1">
        <f t="array" ref="J87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0.6925</v>
      </c>
      <c r="K871" s="4">
        <v>4.5</v>
      </c>
      <c r="L871" s="4">
        <f>IF(Table1[[#This Row],[Standard as per ISO]]&gt;=Table1[[#This Row],[Avg of best 6]],Table1[[#This Row],[Standard as per ISO]],Table1[[#This Row],[Avg of best 6]])</f>
        <v>4.5</v>
      </c>
      <c r="M871" s="4" cm="1">
        <f t="array" ref="M871">IFERROR(LOOKUP(2,1/(Table1[[#This Row],[2019-May]:[2025-July]]&lt;&gt;0),Table1[[#This Row],[2019-May]:[2025-July]]),0)</f>
        <v>0.65</v>
      </c>
      <c r="N871" s="4">
        <f>COUNTIF(Table1[[#This Row],[2019-Apr]:[2025-July]],"&gt;="&amp;Table1[[#This Row],[Target]])</f>
        <v>0</v>
      </c>
      <c r="O871" s="4">
        <f>IF(Table1[[#This Row],[Outliers 2Y]]=0,1,0)</f>
        <v>1</v>
      </c>
      <c r="P871" s="4">
        <f>IF(Table1[[#This Row],[Last value]]&gt;1.5*Table1[[#This Row],[Target]],1,0)</f>
        <v>0</v>
      </c>
      <c r="Q871" s="4">
        <f>IF(AND(1.5*Table1[[#This Row],[Target]]&gt;=Table1[[#This Row],[Last value]],Table1[[#This Row],[Last value]]&gt;Table1[[#This Row],[Target]]),1,0)</f>
        <v>0</v>
      </c>
      <c r="R871" s="4">
        <f>IF(Table1[[#This Row],[Target]]&gt;=Table1[[#This Row],[Last value]],1,0)</f>
        <v>1</v>
      </c>
      <c r="S871" s="4" t="str">
        <f t="shared" si="22"/>
        <v>Green</v>
      </c>
      <c r="T871" s="55">
        <v>2.64</v>
      </c>
      <c r="U871" s="55">
        <v>1.42</v>
      </c>
      <c r="V871" s="55">
        <v>1.97</v>
      </c>
      <c r="W871" s="55">
        <v>1.34</v>
      </c>
      <c r="X871" s="55">
        <v>2</v>
      </c>
      <c r="Y871" s="55">
        <v>1.83</v>
      </c>
      <c r="Z871" s="55">
        <v>1.7</v>
      </c>
      <c r="AA871" s="55">
        <v>1.17</v>
      </c>
      <c r="AB871" s="55">
        <v>2</v>
      </c>
      <c r="AC871" s="55">
        <v>1.5</v>
      </c>
      <c r="AD871" s="55">
        <v>1.45</v>
      </c>
      <c r="AE871" s="55">
        <v>1.5</v>
      </c>
      <c r="AF871" s="55">
        <v>1.9</v>
      </c>
      <c r="AG871" s="55">
        <v>1.4</v>
      </c>
      <c r="AH871" s="55">
        <v>1.2</v>
      </c>
      <c r="AI871" s="55">
        <v>1.6</v>
      </c>
      <c r="AJ871" s="55">
        <v>1.1299999999999999</v>
      </c>
      <c r="AK871" s="55">
        <v>0.99</v>
      </c>
      <c r="AL871" s="55">
        <v>1.3</v>
      </c>
      <c r="AM871" s="55">
        <v>0.78</v>
      </c>
      <c r="AN871" s="55">
        <v>1.28</v>
      </c>
      <c r="AO871" s="55">
        <v>1.06</v>
      </c>
      <c r="AP871" s="55">
        <v>1.44</v>
      </c>
      <c r="AQ871" s="55">
        <v>1.01</v>
      </c>
      <c r="AR871" s="9">
        <v>1.43</v>
      </c>
      <c r="AS871" s="9">
        <v>1.6</v>
      </c>
      <c r="AT871" s="9">
        <v>0.99</v>
      </c>
      <c r="AU871" s="50">
        <v>1.3</v>
      </c>
      <c r="AV871" s="50">
        <v>0.85</v>
      </c>
      <c r="AW871" s="50">
        <v>1.5</v>
      </c>
      <c r="AX871" s="50">
        <v>1.37</v>
      </c>
      <c r="AY871" s="50">
        <v>1.28</v>
      </c>
      <c r="AZ871" s="50">
        <v>1.9</v>
      </c>
      <c r="BA871" s="50">
        <v>1.2</v>
      </c>
      <c r="BB871" s="50">
        <v>1.2</v>
      </c>
      <c r="BC871" s="55">
        <v>0.8</v>
      </c>
      <c r="BD871" s="55">
        <v>0</v>
      </c>
      <c r="BE871" s="11">
        <v>1.49</v>
      </c>
      <c r="BF871" s="4">
        <v>1.75</v>
      </c>
      <c r="BG871" s="4">
        <v>1.8</v>
      </c>
      <c r="BH871" s="4">
        <v>0.86799999999999999</v>
      </c>
      <c r="BI871" s="4">
        <v>1.17</v>
      </c>
      <c r="BJ871" s="14">
        <v>1.083</v>
      </c>
      <c r="BK871" s="14">
        <v>1.7230000000000001</v>
      </c>
      <c r="BL871" s="4">
        <v>1.081</v>
      </c>
      <c r="BM871" s="17">
        <v>0.72199999999999998</v>
      </c>
      <c r="BN871" s="4">
        <v>0.95699999999999996</v>
      </c>
      <c r="BO871" s="4">
        <v>1.486</v>
      </c>
      <c r="BP871" s="4">
        <v>1.2829999999999999</v>
      </c>
      <c r="BQ871" s="4">
        <v>1.3959999999999999</v>
      </c>
      <c r="BR871" s="4">
        <v>0.66700000000000004</v>
      </c>
      <c r="BS871" s="4">
        <v>0.69599999999999995</v>
      </c>
      <c r="BT871" s="4">
        <v>0.64700000000000002</v>
      </c>
      <c r="BU871" s="4">
        <v>0.77300000000000002</v>
      </c>
      <c r="BV871" s="4">
        <v>0.92600000000000005</v>
      </c>
      <c r="BW871" s="4">
        <v>1.1399999999999999</v>
      </c>
      <c r="BX871" s="4">
        <v>1.1739999999999999</v>
      </c>
      <c r="BY871" s="4">
        <v>1.1200000000000001</v>
      </c>
      <c r="BZ871" s="55">
        <v>0</v>
      </c>
      <c r="CA871" s="55">
        <v>0</v>
      </c>
      <c r="CB871" s="55">
        <v>0</v>
      </c>
      <c r="CC871" s="55">
        <v>0</v>
      </c>
      <c r="CD871" s="55">
        <v>1.1200000000000001</v>
      </c>
      <c r="CE871" s="19">
        <v>0</v>
      </c>
      <c r="CF871" s="19">
        <v>0</v>
      </c>
      <c r="CG871" s="4">
        <v>1</v>
      </c>
      <c r="CH871" s="4">
        <v>0.65</v>
      </c>
      <c r="CI871" s="4">
        <v>0</v>
      </c>
      <c r="CJ871" s="34">
        <v>0</v>
      </c>
      <c r="CK871" s="34">
        <v>0</v>
      </c>
      <c r="CL871" s="34">
        <v>0</v>
      </c>
      <c r="CM871" s="4">
        <v>0</v>
      </c>
      <c r="CN871" s="53">
        <v>0</v>
      </c>
      <c r="CO871" s="54">
        <v>0</v>
      </c>
      <c r="CP871" s="54">
        <v>0</v>
      </c>
      <c r="CQ871" s="4">
        <v>0</v>
      </c>
    </row>
    <row r="872" spans="1:95" s="55" customFormat="1" x14ac:dyDescent="0.35">
      <c r="A872" s="55">
        <v>871</v>
      </c>
      <c r="B872" s="55" t="s">
        <v>108</v>
      </c>
      <c r="C872" s="27" t="s">
        <v>612</v>
      </c>
      <c r="D872" s="50" t="s">
        <v>88</v>
      </c>
      <c r="E872" s="33" t="s">
        <v>91</v>
      </c>
      <c r="F872" s="4">
        <f>IFERROR(AVERAGEIF(Table1[[#This Row],[2019-Apr]:[2025-July]],"&lt;&gt;0"),0)</f>
        <v>2.0159285714285717</v>
      </c>
      <c r="G872" s="4">
        <f ca="1">IFERROR(AVERAGEIF(OFFSET(Table1[[#This Row],[Status]],0,COUNT(Table1[[#This Row],[2019-May]:[2025-July]]),1,-12),"&lt;&gt;0"),0)</f>
        <v>0.76</v>
      </c>
      <c r="H872" s="55">
        <f>IFERROR(SMALL(Table1[[#This Row],[2019-Apr]:[2025-July]],COUNTIF(Table1[[#This Row],[2019-Apr]:[2025-July]],0)+1),0)</f>
        <v>0.45400000000000001</v>
      </c>
      <c r="I872" s="55">
        <f>IFERROR(MAX(Table1[[#This Row],[2019-Apr]:[2025-July]]),0)</f>
        <v>4.37</v>
      </c>
      <c r="J872" s="4" cm="1">
        <f t="array" ref="J87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0.50783333333333325</v>
      </c>
      <c r="K872" s="4">
        <v>4.5</v>
      </c>
      <c r="L872" s="4">
        <f>IF(Table1[[#This Row],[Standard as per ISO]]&gt;=Table1[[#This Row],[Avg of best 6]],Table1[[#This Row],[Standard as per ISO]],Table1[[#This Row],[Avg of best 6]])</f>
        <v>4.5</v>
      </c>
      <c r="M872" s="4" cm="1">
        <f t="array" ref="M872">IFERROR(LOOKUP(2,1/(Table1[[#This Row],[2019-May]:[2025-July]]&lt;&gt;0),Table1[[#This Row],[2019-May]:[2025-July]]),0)</f>
        <v>0.76</v>
      </c>
      <c r="N872" s="4">
        <f>COUNTIF(Table1[[#This Row],[2019-Apr]:[2025-July]],"&gt;="&amp;Table1[[#This Row],[Target]])</f>
        <v>0</v>
      </c>
      <c r="O872" s="4">
        <f>IF(Table1[[#This Row],[Outliers 2Y]]=0,1,0)</f>
        <v>1</v>
      </c>
      <c r="P872" s="4">
        <f>IF(Table1[[#This Row],[Last value]]&gt;1.5*Table1[[#This Row],[Target]],1,0)</f>
        <v>0</v>
      </c>
      <c r="Q872" s="4">
        <f>IF(AND(1.5*Table1[[#This Row],[Target]]&gt;=Table1[[#This Row],[Last value]],Table1[[#This Row],[Last value]]&gt;Table1[[#This Row],[Target]]),1,0)</f>
        <v>0</v>
      </c>
      <c r="R872" s="4">
        <f>IF(Table1[[#This Row],[Target]]&gt;=Table1[[#This Row],[Last value]],1,0)</f>
        <v>1</v>
      </c>
      <c r="S872" s="4" t="str">
        <f t="shared" si="22"/>
        <v>Green</v>
      </c>
      <c r="T872" s="55">
        <v>4.37</v>
      </c>
      <c r="U872" s="55">
        <v>3.92</v>
      </c>
      <c r="V872" s="55">
        <v>2.96</v>
      </c>
      <c r="W872" s="55">
        <v>3.1</v>
      </c>
      <c r="X872" s="55">
        <v>3.9</v>
      </c>
      <c r="Y872" s="55">
        <v>2.75</v>
      </c>
      <c r="Z872" s="55">
        <v>2.25</v>
      </c>
      <c r="AA872" s="55">
        <v>0</v>
      </c>
      <c r="AB872" s="55">
        <v>1.59</v>
      </c>
      <c r="AC872" s="55">
        <v>2.9</v>
      </c>
      <c r="AD872" s="55">
        <v>3.4</v>
      </c>
      <c r="AE872" s="55">
        <v>1.5</v>
      </c>
      <c r="AF872" s="55">
        <v>4.0999999999999996</v>
      </c>
      <c r="AG872" s="55">
        <v>2.5</v>
      </c>
      <c r="AH872" s="55">
        <v>2.4</v>
      </c>
      <c r="AI872" s="55">
        <v>4.16</v>
      </c>
      <c r="AJ872" s="55">
        <v>3.2</v>
      </c>
      <c r="AK872" s="55">
        <v>2.82</v>
      </c>
      <c r="AL872" s="55">
        <v>2.58</v>
      </c>
      <c r="AM872" s="55">
        <v>3.33</v>
      </c>
      <c r="AN872" s="55">
        <v>3.1</v>
      </c>
      <c r="AO872" s="55">
        <v>2.5299999999999998</v>
      </c>
      <c r="AP872" s="55">
        <v>3.06</v>
      </c>
      <c r="AQ872" s="55">
        <v>2.2000000000000002</v>
      </c>
      <c r="AR872" s="9">
        <v>2.93</v>
      </c>
      <c r="AS872" s="9">
        <v>2.2400000000000002</v>
      </c>
      <c r="AT872" s="8">
        <v>0</v>
      </c>
      <c r="AU872" s="50">
        <v>1.85</v>
      </c>
      <c r="AV872" s="50">
        <v>2.84</v>
      </c>
      <c r="AW872" s="50">
        <v>1.42</v>
      </c>
      <c r="AX872" s="50">
        <v>2.5299999999999998</v>
      </c>
      <c r="AY872" s="50">
        <v>2.82</v>
      </c>
      <c r="AZ872" s="50">
        <v>2.57</v>
      </c>
      <c r="BA872" s="50">
        <v>1.9</v>
      </c>
      <c r="BB872" s="50">
        <v>1.6</v>
      </c>
      <c r="BC872" s="55">
        <v>1.7</v>
      </c>
      <c r="BD872" s="55">
        <v>0</v>
      </c>
      <c r="BE872" s="11">
        <v>1.56</v>
      </c>
      <c r="BF872" s="4">
        <v>1.78</v>
      </c>
      <c r="BG872" s="4">
        <v>1.21</v>
      </c>
      <c r="BH872" s="4">
        <v>0.96099999999999997</v>
      </c>
      <c r="BI872" s="4">
        <v>0</v>
      </c>
      <c r="BJ872" s="13">
        <v>1.325</v>
      </c>
      <c r="BK872" s="13">
        <v>1.1599999999999999</v>
      </c>
      <c r="BL872" s="4">
        <v>1.099</v>
      </c>
      <c r="BM872" s="16">
        <v>0.88100000000000001</v>
      </c>
      <c r="BN872" s="4">
        <v>0.98599999999999999</v>
      </c>
      <c r="BO872" s="4">
        <v>0.56899999999999995</v>
      </c>
      <c r="BP872" s="4">
        <v>0.54500000000000004</v>
      </c>
      <c r="BQ872" s="4">
        <v>0.8</v>
      </c>
      <c r="BR872" s="4">
        <v>0.85599999999999998</v>
      </c>
      <c r="BS872" s="4">
        <v>0.98899999999999999</v>
      </c>
      <c r="BT872" s="4">
        <v>0.629</v>
      </c>
      <c r="BU872" s="4">
        <v>0.90900000000000003</v>
      </c>
      <c r="BV872" s="4">
        <v>0.92</v>
      </c>
      <c r="BW872" s="4">
        <v>0.53900000000000003</v>
      </c>
      <c r="BX872" s="4">
        <v>0.45400000000000001</v>
      </c>
      <c r="BY872" s="4">
        <v>0.47</v>
      </c>
      <c r="BZ872" s="55">
        <v>0</v>
      </c>
      <c r="CA872" s="55">
        <v>0</v>
      </c>
      <c r="CB872" s="55">
        <v>0</v>
      </c>
      <c r="CC872" s="55">
        <v>0</v>
      </c>
      <c r="CD872" s="55">
        <v>0.47</v>
      </c>
      <c r="CE872" s="19">
        <v>0</v>
      </c>
      <c r="CF872" s="19">
        <v>0</v>
      </c>
      <c r="CG872" s="4">
        <v>0</v>
      </c>
      <c r="CH872" s="4">
        <v>0.76</v>
      </c>
      <c r="CI872" s="4">
        <v>0</v>
      </c>
      <c r="CJ872" s="34">
        <v>0</v>
      </c>
      <c r="CK872" s="34">
        <v>0</v>
      </c>
      <c r="CL872" s="34">
        <v>0</v>
      </c>
      <c r="CM872" s="4">
        <v>0</v>
      </c>
      <c r="CN872" s="53">
        <v>0</v>
      </c>
      <c r="CO872" s="54">
        <v>0</v>
      </c>
      <c r="CP872" s="54">
        <v>0</v>
      </c>
      <c r="CQ872" s="4">
        <v>0</v>
      </c>
    </row>
    <row r="873" spans="1:95" s="55" customFormat="1" x14ac:dyDescent="0.35">
      <c r="A873" s="55">
        <v>872</v>
      </c>
      <c r="B873" s="55" t="s">
        <v>108</v>
      </c>
      <c r="C873" s="27" t="s">
        <v>613</v>
      </c>
      <c r="D873" s="50" t="s">
        <v>88</v>
      </c>
      <c r="E873" s="33" t="s">
        <v>91</v>
      </c>
      <c r="F873" s="4">
        <f>IFERROR(AVERAGEIF(Table1[[#This Row],[2019-Apr]:[2025-July]],"&lt;&gt;0"),0)</f>
        <v>2.5144137931034489</v>
      </c>
      <c r="G873" s="4">
        <f ca="1">IFERROR(AVERAGEIF(OFFSET(Table1[[#This Row],[Status]],0,COUNT(Table1[[#This Row],[2019-May]:[2025-July]]),1,-12),"&lt;&gt;0"),0)</f>
        <v>0.33</v>
      </c>
      <c r="H873" s="55">
        <f>IFERROR(SMALL(Table1[[#This Row],[2019-Apr]:[2025-July]],COUNTIF(Table1[[#This Row],[2019-Apr]:[2025-July]],0)+1),0)</f>
        <v>0.33</v>
      </c>
      <c r="I873" s="55">
        <f>IFERROR(MAX(Table1[[#This Row],[2019-Apr]:[2025-July]]),0)</f>
        <v>6.2</v>
      </c>
      <c r="J873" s="4" cm="1">
        <f t="array" ref="J87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0.438</v>
      </c>
      <c r="K873" s="4">
        <v>4.5</v>
      </c>
      <c r="L873" s="4">
        <f>IF(Table1[[#This Row],[Standard as per ISO]]&gt;=Table1[[#This Row],[Avg of best 6]],Table1[[#This Row],[Standard as per ISO]],Table1[[#This Row],[Avg of best 6]])</f>
        <v>4.5</v>
      </c>
      <c r="M873" s="4" cm="1">
        <f t="array" ref="M873">IFERROR(LOOKUP(2,1/(Table1[[#This Row],[2019-May]:[2025-July]]&lt;&gt;0),Table1[[#This Row],[2019-May]:[2025-July]]),0)</f>
        <v>0.33</v>
      </c>
      <c r="N873" s="4">
        <f>COUNTIF(Table1[[#This Row],[2019-Apr]:[2025-July]],"&gt;="&amp;Table1[[#This Row],[Target]])</f>
        <v>7</v>
      </c>
      <c r="O873" s="4">
        <f>IF(Table1[[#This Row],[Outliers 2Y]]=0,1,0)</f>
        <v>0</v>
      </c>
      <c r="P873" s="4">
        <f>IF(Table1[[#This Row],[Last value]]&gt;1.5*Table1[[#This Row],[Target]],1,0)</f>
        <v>0</v>
      </c>
      <c r="Q873" s="4">
        <f>IF(AND(1.5*Table1[[#This Row],[Target]]&gt;=Table1[[#This Row],[Last value]],Table1[[#This Row],[Last value]]&gt;Table1[[#This Row],[Target]]),1,0)</f>
        <v>0</v>
      </c>
      <c r="R873" s="4">
        <f>IF(Table1[[#This Row],[Target]]&gt;=Table1[[#This Row],[Last value]],1,0)</f>
        <v>1</v>
      </c>
      <c r="S873" s="4" t="str">
        <f t="shared" si="22"/>
        <v>Green</v>
      </c>
      <c r="T873" s="55">
        <v>2.56</v>
      </c>
      <c r="U873" s="55">
        <v>2.65</v>
      </c>
      <c r="V873" s="55">
        <v>3.75</v>
      </c>
      <c r="W873" s="55">
        <v>3.87</v>
      </c>
      <c r="X873" s="55">
        <v>4</v>
      </c>
      <c r="Y873" s="55">
        <v>3.27</v>
      </c>
      <c r="Z873" s="55">
        <v>4.4800000000000004</v>
      </c>
      <c r="AA873" s="55">
        <v>4.79</v>
      </c>
      <c r="AB873" s="55">
        <v>2.6429999999999998</v>
      </c>
      <c r="AC873" s="55">
        <v>2.57</v>
      </c>
      <c r="AD873" s="55">
        <v>1.8</v>
      </c>
      <c r="AE873" s="55">
        <v>2.4</v>
      </c>
      <c r="AF873" s="55">
        <v>5.9</v>
      </c>
      <c r="AG873" s="55">
        <v>2.9</v>
      </c>
      <c r="AH873" s="55">
        <v>5.2</v>
      </c>
      <c r="AI873" s="55">
        <v>2.34</v>
      </c>
      <c r="AJ873" s="55">
        <v>2.96</v>
      </c>
      <c r="AK873" s="55">
        <v>6.02</v>
      </c>
      <c r="AL873" s="55">
        <v>3</v>
      </c>
      <c r="AM873" s="55">
        <v>2.98</v>
      </c>
      <c r="AN873" s="55">
        <v>3.28</v>
      </c>
      <c r="AO873" s="55">
        <v>2.6</v>
      </c>
      <c r="AP873" s="55">
        <v>2.5499999999999998</v>
      </c>
      <c r="AQ873" s="55">
        <v>2.8</v>
      </c>
      <c r="AR873" s="8">
        <v>2.2400000000000002</v>
      </c>
      <c r="AS873" s="8">
        <v>4.9000000000000004</v>
      </c>
      <c r="AT873" s="8">
        <v>3.66</v>
      </c>
      <c r="AU873" s="50">
        <v>5.22</v>
      </c>
      <c r="AV873" s="50">
        <v>3.5</v>
      </c>
      <c r="AW873" s="50">
        <v>2.73</v>
      </c>
      <c r="AX873" s="50">
        <v>3.38</v>
      </c>
      <c r="AY873" s="50">
        <v>3.34</v>
      </c>
      <c r="AZ873" s="50">
        <v>3.9</v>
      </c>
      <c r="BA873" s="50">
        <v>3.2</v>
      </c>
      <c r="BB873" s="50">
        <v>4.4000000000000004</v>
      </c>
      <c r="BC873" s="55">
        <v>2.2999999999999998</v>
      </c>
      <c r="BD873" s="55">
        <v>0</v>
      </c>
      <c r="BE873" s="11">
        <v>0.53200000000000003</v>
      </c>
      <c r="BF873" s="4">
        <v>6.2</v>
      </c>
      <c r="BG873" s="4">
        <v>2.41</v>
      </c>
      <c r="BH873" s="4">
        <v>1.776</v>
      </c>
      <c r="BI873" s="4">
        <v>0</v>
      </c>
      <c r="BJ873" s="14">
        <v>0.94299999999999995</v>
      </c>
      <c r="BK873" s="14">
        <v>0.93899999999999995</v>
      </c>
      <c r="BL873" s="4">
        <v>0.71499999999999997</v>
      </c>
      <c r="BM873" s="17">
        <v>0.82299999999999995</v>
      </c>
      <c r="BN873" s="4">
        <v>0.48699999999999999</v>
      </c>
      <c r="BO873" s="4">
        <v>0.498</v>
      </c>
      <c r="BP873" s="4">
        <v>0.46400000000000002</v>
      </c>
      <c r="BQ873" s="4">
        <v>0.45400000000000001</v>
      </c>
      <c r="BR873" s="4">
        <v>0.92100000000000004</v>
      </c>
      <c r="BS873" s="4">
        <v>0.56799999999999995</v>
      </c>
      <c r="BT873" s="4">
        <v>0.65400000000000003</v>
      </c>
      <c r="BU873" s="4">
        <v>0.59099999999999997</v>
      </c>
      <c r="BV873" s="4">
        <v>0.52400000000000002</v>
      </c>
      <c r="BW873" s="4">
        <v>0.52900000000000003</v>
      </c>
      <c r="BX873" s="4">
        <v>0.39500000000000002</v>
      </c>
      <c r="BY873" s="4">
        <v>0.5</v>
      </c>
      <c r="BZ873" s="55">
        <v>0</v>
      </c>
      <c r="CA873" s="55">
        <v>0</v>
      </c>
      <c r="CB873" s="55">
        <v>0</v>
      </c>
      <c r="CC873" s="55">
        <v>0</v>
      </c>
      <c r="CD873" s="55">
        <v>0.5</v>
      </c>
      <c r="CE873" s="19">
        <v>0</v>
      </c>
      <c r="CF873" s="19">
        <v>0</v>
      </c>
      <c r="CG873" s="4">
        <v>0</v>
      </c>
      <c r="CH873" s="4">
        <v>0.33</v>
      </c>
      <c r="CI873" s="4">
        <v>0</v>
      </c>
      <c r="CJ873" s="34">
        <v>0</v>
      </c>
      <c r="CK873" s="34">
        <v>0</v>
      </c>
      <c r="CL873" s="34">
        <v>0</v>
      </c>
      <c r="CM873" s="4">
        <v>0</v>
      </c>
      <c r="CN873" s="53">
        <v>0</v>
      </c>
      <c r="CO873" s="54">
        <v>0</v>
      </c>
      <c r="CP873" s="54">
        <v>0</v>
      </c>
      <c r="CQ873" s="4">
        <v>0</v>
      </c>
    </row>
    <row r="874" spans="1:95" s="55" customFormat="1" x14ac:dyDescent="0.35">
      <c r="A874" s="55">
        <v>873</v>
      </c>
      <c r="B874" s="55" t="s">
        <v>108</v>
      </c>
      <c r="C874" s="27" t="s">
        <v>614</v>
      </c>
      <c r="D874" s="50" t="s">
        <v>88</v>
      </c>
      <c r="E874" s="33" t="s">
        <v>89</v>
      </c>
      <c r="F874" s="4">
        <f>IFERROR(AVERAGEIF(Table1[[#This Row],[2019-Apr]:[2025-July]],"&lt;&gt;0"),0)</f>
        <v>4.4019154929577473</v>
      </c>
      <c r="G874" s="4">
        <f ca="1">IFERROR(AVERAGEIF(OFFSET(Table1[[#This Row],[Status]],0,COUNT(Table1[[#This Row],[2019-May]:[2025-July]]),1,-12),"&lt;&gt;0"),0)</f>
        <v>3.8836363636363642</v>
      </c>
      <c r="H874" s="55">
        <f>IFERROR(SMALL(Table1[[#This Row],[2019-Apr]:[2025-July]],COUNTIF(Table1[[#This Row],[2019-Apr]:[2025-July]],0)+1),0)</f>
        <v>2.6</v>
      </c>
      <c r="I874" s="55">
        <f>IFERROR(MAX(Table1[[#This Row],[2019-Apr]:[2025-July]]),0)</f>
        <v>8.6</v>
      </c>
      <c r="J874" s="4" cm="1">
        <f t="array" ref="J87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3.2948333333333331</v>
      </c>
      <c r="K874" s="4">
        <v>4.5</v>
      </c>
      <c r="L874" s="4">
        <f>IF(Table1[[#This Row],[Standard as per ISO]]&gt;=Table1[[#This Row],[Avg of best 6]],Table1[[#This Row],[Standard as per ISO]],Table1[[#This Row],[Avg of best 6]])</f>
        <v>4.5</v>
      </c>
      <c r="M874" s="4" cm="1">
        <f t="array" ref="M874">IFERROR(LOOKUP(2,1/(Table1[[#This Row],[2019-May]:[2025-July]]&lt;&gt;0),Table1[[#This Row],[2019-May]:[2025-July]]),0)</f>
        <v>3.5</v>
      </c>
      <c r="N874" s="4">
        <f>COUNTIF(Table1[[#This Row],[2019-Apr]:[2025-July]],"&gt;="&amp;Table1[[#This Row],[Target]])</f>
        <v>26</v>
      </c>
      <c r="O874" s="4">
        <f>IF(Table1[[#This Row],[Outliers 2Y]]=0,1,0)</f>
        <v>0</v>
      </c>
      <c r="P874" s="4">
        <f>IF(Table1[[#This Row],[Last value]]&gt;1.5*Table1[[#This Row],[Target]],1,0)</f>
        <v>0</v>
      </c>
      <c r="Q874" s="4">
        <f>IF(AND(1.5*Table1[[#This Row],[Target]]&gt;=Table1[[#This Row],[Last value]],Table1[[#This Row],[Last value]]&gt;Table1[[#This Row],[Target]]),1,0)</f>
        <v>0</v>
      </c>
      <c r="R874" s="4">
        <f>IF(Table1[[#This Row],[Target]]&gt;=Table1[[#This Row],[Last value]],1,0)</f>
        <v>1</v>
      </c>
      <c r="S874" s="4" t="str">
        <f t="shared" si="22"/>
        <v>Green</v>
      </c>
      <c r="T874" s="55">
        <v>4.87</v>
      </c>
      <c r="U874" s="55">
        <v>5.59</v>
      </c>
      <c r="V874" s="55">
        <v>4.25</v>
      </c>
      <c r="W874" s="55">
        <v>0</v>
      </c>
      <c r="X874" s="55">
        <v>5.0999999999999996</v>
      </c>
      <c r="Y874" s="55">
        <v>5.18</v>
      </c>
      <c r="Z874" s="55">
        <v>3.75</v>
      </c>
      <c r="AA874" s="55">
        <v>5.36</v>
      </c>
      <c r="AB874" s="55">
        <v>4.0999999999999996</v>
      </c>
      <c r="AC874" s="55">
        <v>3.89</v>
      </c>
      <c r="AD874" s="55">
        <v>3.9</v>
      </c>
      <c r="AE874" s="55">
        <v>4.2</v>
      </c>
      <c r="AF874" s="55">
        <v>4.3</v>
      </c>
      <c r="AG874" s="55">
        <v>3.5</v>
      </c>
      <c r="AH874" s="55">
        <v>4.5</v>
      </c>
      <c r="AI874" s="55">
        <v>0</v>
      </c>
      <c r="AJ874" s="55">
        <v>5.13</v>
      </c>
      <c r="AK874" s="55">
        <v>4.49</v>
      </c>
      <c r="AL874" s="55">
        <v>3.5</v>
      </c>
      <c r="AM874" s="55">
        <v>4.68</v>
      </c>
      <c r="AN874" s="55">
        <v>0</v>
      </c>
      <c r="AO874" s="55">
        <v>2.6</v>
      </c>
      <c r="AP874" s="55">
        <v>3.48</v>
      </c>
      <c r="AQ874" s="55">
        <v>3.87</v>
      </c>
      <c r="AR874" s="9">
        <v>4.38</v>
      </c>
      <c r="AS874" s="9">
        <v>5.9</v>
      </c>
      <c r="AT874" s="8">
        <v>3.81</v>
      </c>
      <c r="AU874" s="50">
        <v>3.77</v>
      </c>
      <c r="AV874" s="50">
        <v>4.08</v>
      </c>
      <c r="AW874" s="50">
        <v>4.8899999999999997</v>
      </c>
      <c r="AX874" s="50">
        <v>4.95</v>
      </c>
      <c r="AY874" s="50">
        <v>4</v>
      </c>
      <c r="AZ874" s="50">
        <v>4.53</v>
      </c>
      <c r="BA874" s="50">
        <v>8.6</v>
      </c>
      <c r="BB874" s="50">
        <v>6.1</v>
      </c>
      <c r="BC874" s="55">
        <v>4.5999999999999996</v>
      </c>
      <c r="BD874" s="55">
        <v>0</v>
      </c>
      <c r="BE874" s="11">
        <v>6.883</v>
      </c>
      <c r="BF874" s="4">
        <v>3.7</v>
      </c>
      <c r="BG874" s="4">
        <v>6.617</v>
      </c>
      <c r="BH874" s="4">
        <v>5.6619999999999999</v>
      </c>
      <c r="BI874" s="4">
        <v>3.4249999999999998</v>
      </c>
      <c r="BJ874" s="13">
        <v>3.52</v>
      </c>
      <c r="BK874" s="13">
        <v>3.8519999999999999</v>
      </c>
      <c r="BL874" s="4">
        <v>3.9809999999999999</v>
      </c>
      <c r="BM874" s="16">
        <v>3.444</v>
      </c>
      <c r="BN874" s="4">
        <v>4.7009999999999996</v>
      </c>
      <c r="BO874" s="4">
        <v>4.4939999999999998</v>
      </c>
      <c r="BP874" s="4">
        <v>3.944</v>
      </c>
      <c r="BQ874" s="4">
        <v>4.1630000000000003</v>
      </c>
      <c r="BR874" s="4">
        <v>4.3949999999999996</v>
      </c>
      <c r="BS874" s="4">
        <v>3.42</v>
      </c>
      <c r="BT874" s="4">
        <v>5.8940000000000001</v>
      </c>
      <c r="BU874" s="4">
        <v>4.8</v>
      </c>
      <c r="BV874" s="4">
        <v>5.7910000000000004</v>
      </c>
      <c r="BW874" s="4">
        <v>4.0819999999999999</v>
      </c>
      <c r="BX874" s="4">
        <v>3.988</v>
      </c>
      <c r="BY874" s="4">
        <v>3.8</v>
      </c>
      <c r="BZ874" s="55">
        <v>3.8</v>
      </c>
      <c r="CA874" s="55">
        <v>4.8600000000000003</v>
      </c>
      <c r="CB874" s="55">
        <v>4.4000000000000004</v>
      </c>
      <c r="CC874" s="55">
        <v>4.59</v>
      </c>
      <c r="CD874" s="55">
        <v>4.26</v>
      </c>
      <c r="CE874" s="19">
        <v>3.7</v>
      </c>
      <c r="CF874" s="19">
        <v>3.6</v>
      </c>
      <c r="CG874" s="4">
        <v>4.66</v>
      </c>
      <c r="CH874" s="4">
        <v>4.78</v>
      </c>
      <c r="CI874" s="4">
        <v>4.18</v>
      </c>
      <c r="CJ874" s="34">
        <v>0</v>
      </c>
      <c r="CK874" s="34">
        <v>3.4</v>
      </c>
      <c r="CL874" s="43">
        <v>4</v>
      </c>
      <c r="CM874" s="4">
        <v>3.6</v>
      </c>
      <c r="CN874" s="53">
        <v>3.6</v>
      </c>
      <c r="CO874" s="54">
        <v>3.6</v>
      </c>
      <c r="CP874" s="54">
        <v>3.6</v>
      </c>
      <c r="CQ874" s="4">
        <v>3.5</v>
      </c>
    </row>
    <row r="875" spans="1:95" s="55" customFormat="1" x14ac:dyDescent="0.35">
      <c r="A875" s="55">
        <v>874</v>
      </c>
      <c r="B875" s="55" t="s">
        <v>108</v>
      </c>
      <c r="C875" s="27" t="s">
        <v>615</v>
      </c>
      <c r="D875" s="50" t="s">
        <v>88</v>
      </c>
      <c r="E875" s="33" t="s">
        <v>89</v>
      </c>
      <c r="F875" s="4">
        <f>IFERROR(AVERAGEIF(Table1[[#This Row],[2019-Apr]:[2025-July]],"&lt;&gt;0"),0)</f>
        <v>1.1303098591549294</v>
      </c>
      <c r="G875" s="4">
        <f ca="1">IFERROR(AVERAGEIF(OFFSET(Table1[[#This Row],[Status]],0,COUNT(Table1[[#This Row],[2019-May]:[2025-July]]),1,-12),"&lt;&gt;0"),0)</f>
        <v>0.70599999999999996</v>
      </c>
      <c r="H875" s="55">
        <f>IFERROR(SMALL(Table1[[#This Row],[2019-Apr]:[2025-July]],COUNTIF(Table1[[#This Row],[2019-Apr]:[2025-July]],0)+1),0)</f>
        <v>0.55000000000000004</v>
      </c>
      <c r="I875" s="55">
        <f>IFERROR(MAX(Table1[[#This Row],[2019-Apr]:[2025-July]]),0)</f>
        <v>3.46</v>
      </c>
      <c r="J875" s="4" cm="1">
        <f t="array" ref="J87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0.64216666666666666</v>
      </c>
      <c r="K875" s="4">
        <v>4.5</v>
      </c>
      <c r="L875" s="4">
        <f>IF(Table1[[#This Row],[Standard as per ISO]]&gt;=Table1[[#This Row],[Avg of best 6]],Table1[[#This Row],[Standard as per ISO]],Table1[[#This Row],[Avg of best 6]])</f>
        <v>4.5</v>
      </c>
      <c r="M875" s="4" cm="1">
        <f t="array" ref="M875">IFERROR(LOOKUP(2,1/(Table1[[#This Row],[2019-May]:[2025-July]]&lt;&gt;0),Table1[[#This Row],[2019-May]:[2025-July]]),0)</f>
        <v>0.9</v>
      </c>
      <c r="N875" s="4">
        <f>COUNTIF(Table1[[#This Row],[2019-Apr]:[2025-July]],"&gt;="&amp;Table1[[#This Row],[Target]])</f>
        <v>0</v>
      </c>
      <c r="O875" s="4">
        <f>IF(Table1[[#This Row],[Outliers 2Y]]=0,1,0)</f>
        <v>1</v>
      </c>
      <c r="P875" s="4">
        <f>IF(Table1[[#This Row],[Last value]]&gt;1.5*Table1[[#This Row],[Target]],1,0)</f>
        <v>0</v>
      </c>
      <c r="Q875" s="4">
        <f>IF(AND(1.5*Table1[[#This Row],[Target]]&gt;=Table1[[#This Row],[Last value]],Table1[[#This Row],[Last value]]&gt;Table1[[#This Row],[Target]]),1,0)</f>
        <v>0</v>
      </c>
      <c r="R875" s="4">
        <f>IF(Table1[[#This Row],[Target]]&gt;=Table1[[#This Row],[Last value]],1,0)</f>
        <v>1</v>
      </c>
      <c r="S875" s="4" t="str">
        <f t="shared" si="22"/>
        <v>Green</v>
      </c>
      <c r="T875" s="55">
        <v>1.1000000000000001</v>
      </c>
      <c r="U875" s="55">
        <v>0.96</v>
      </c>
      <c r="V875" s="55">
        <v>1.07</v>
      </c>
      <c r="W875" s="55">
        <v>0</v>
      </c>
      <c r="X875" s="55">
        <v>0.76</v>
      </c>
      <c r="Y875" s="55">
        <v>0.78</v>
      </c>
      <c r="Z875" s="55">
        <v>1.93</v>
      </c>
      <c r="AA875" s="55">
        <v>0.9</v>
      </c>
      <c r="AB875" s="55">
        <v>1.1000000000000001</v>
      </c>
      <c r="AC875" s="55">
        <v>1.01</v>
      </c>
      <c r="AD875" s="55">
        <v>0.8</v>
      </c>
      <c r="AE875" s="55">
        <v>1.3</v>
      </c>
      <c r="AF875" s="55">
        <v>0.7</v>
      </c>
      <c r="AG875" s="55">
        <v>1.1000000000000001</v>
      </c>
      <c r="AH875" s="55">
        <v>1.22</v>
      </c>
      <c r="AI875" s="55">
        <v>0</v>
      </c>
      <c r="AJ875" s="55">
        <v>0.99</v>
      </c>
      <c r="AK875" s="55">
        <v>0.98</v>
      </c>
      <c r="AL875" s="55">
        <v>1</v>
      </c>
      <c r="AM875" s="55">
        <v>0.83</v>
      </c>
      <c r="AN875" s="55">
        <v>1.1100000000000001</v>
      </c>
      <c r="AO875" s="55">
        <v>1.1000000000000001</v>
      </c>
      <c r="AP875" s="55">
        <v>1.62</v>
      </c>
      <c r="AQ875" s="55">
        <v>0.9</v>
      </c>
      <c r="AR875" s="8">
        <v>1.5</v>
      </c>
      <c r="AS875" s="8">
        <v>0.8</v>
      </c>
      <c r="AT875" s="8">
        <v>0.99</v>
      </c>
      <c r="AU875" s="50">
        <v>1.56</v>
      </c>
      <c r="AV875" s="50">
        <v>0.84</v>
      </c>
      <c r="AW875" s="50">
        <v>1.25</v>
      </c>
      <c r="AX875" s="50">
        <v>0.72</v>
      </c>
      <c r="AY875" s="50">
        <v>0.73</v>
      </c>
      <c r="AZ875" s="50">
        <v>0.85</v>
      </c>
      <c r="BA875" s="50">
        <v>0.8</v>
      </c>
      <c r="BB875" s="50">
        <v>0.8</v>
      </c>
      <c r="BC875" s="55">
        <v>0.7</v>
      </c>
      <c r="BD875" s="55">
        <v>0</v>
      </c>
      <c r="BE875" s="11">
        <v>3.46</v>
      </c>
      <c r="BF875" s="4">
        <v>1.9</v>
      </c>
      <c r="BG875" s="4">
        <v>1.9750000000000001</v>
      </c>
      <c r="BH875" s="4">
        <v>0.84799999999999998</v>
      </c>
      <c r="BI875" s="4">
        <v>1.506</v>
      </c>
      <c r="BJ875" s="14">
        <v>1.4670000000000001</v>
      </c>
      <c r="BK875" s="14">
        <v>1.411</v>
      </c>
      <c r="BL875" s="4">
        <v>1.5580000000000001</v>
      </c>
      <c r="BM875" s="17">
        <v>1.5129999999999999</v>
      </c>
      <c r="BN875" s="4">
        <v>1.4730000000000001</v>
      </c>
      <c r="BO875" s="4">
        <v>1.294</v>
      </c>
      <c r="BP875" s="4">
        <v>0.92</v>
      </c>
      <c r="BQ875" s="4">
        <v>1.1599999999999999</v>
      </c>
      <c r="BR875" s="4">
        <v>1.1399999999999999</v>
      </c>
      <c r="BS875" s="4">
        <v>1.3009999999999999</v>
      </c>
      <c r="BT875" s="4">
        <v>1.1850000000000001</v>
      </c>
      <c r="BU875" s="4">
        <v>0.76700000000000002</v>
      </c>
      <c r="BV875" s="4">
        <v>0.64300000000000002</v>
      </c>
      <c r="BW875" s="4">
        <v>2.2410000000000001</v>
      </c>
      <c r="BX875" s="4">
        <v>1.82</v>
      </c>
      <c r="BY875" s="4">
        <v>1.29</v>
      </c>
      <c r="BZ875" s="55">
        <v>2.0299999999999998</v>
      </c>
      <c r="CA875" s="55">
        <v>0.95</v>
      </c>
      <c r="CB875" s="55">
        <v>0.85</v>
      </c>
      <c r="CC875" s="55">
        <v>2.0299999999999998</v>
      </c>
      <c r="CD875" s="55">
        <v>0.76</v>
      </c>
      <c r="CE875" s="19">
        <v>0</v>
      </c>
      <c r="CF875" s="19">
        <v>0.7</v>
      </c>
      <c r="CG875" s="4">
        <v>0.55000000000000004</v>
      </c>
      <c r="CH875" s="4">
        <v>0.66</v>
      </c>
      <c r="CI875" s="4">
        <v>0.85</v>
      </c>
      <c r="CJ875" s="34">
        <v>0</v>
      </c>
      <c r="CK875" s="34">
        <v>0.7</v>
      </c>
      <c r="CL875" s="43">
        <v>0.7</v>
      </c>
      <c r="CM875" s="4">
        <v>0.8</v>
      </c>
      <c r="CN875" s="53">
        <v>0.7</v>
      </c>
      <c r="CO875" s="54">
        <v>0.6</v>
      </c>
      <c r="CP875" s="54">
        <v>0.8</v>
      </c>
      <c r="CQ875" s="4">
        <v>0.9</v>
      </c>
    </row>
    <row r="876" spans="1:95" s="55" customFormat="1" x14ac:dyDescent="0.35">
      <c r="A876" s="55">
        <v>875</v>
      </c>
      <c r="B876" s="55" t="s">
        <v>108</v>
      </c>
      <c r="C876" s="27" t="s">
        <v>616</v>
      </c>
      <c r="D876" s="50" t="s">
        <v>88</v>
      </c>
      <c r="E876" s="33" t="s">
        <v>89</v>
      </c>
      <c r="F876" s="4">
        <f>IFERROR(AVERAGEIF(Table1[[#This Row],[2019-Apr]:[2025-July]],"&lt;&gt;0"),0)</f>
        <v>0.92017187499999986</v>
      </c>
      <c r="G876" s="4">
        <f ca="1">IFERROR(AVERAGEIF(OFFSET(Table1[[#This Row],[Status]],0,COUNT(Table1[[#This Row],[2019-May]:[2025-July]]),1,-12),"&lt;&gt;0"),0)</f>
        <v>0.81125000000000003</v>
      </c>
      <c r="H876" s="55">
        <f>IFERROR(SMALL(Table1[[#This Row],[2019-Apr]:[2025-July]],COUNTIF(Table1[[#This Row],[2019-Apr]:[2025-July]],0)+1),0)</f>
        <v>0.59</v>
      </c>
      <c r="I876" s="55">
        <f>IFERROR(MAX(Table1[[#This Row],[2019-Apr]:[2025-July]]),0)</f>
        <v>1.5</v>
      </c>
      <c r="J876" s="4" cm="1">
        <f t="array" ref="J87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0.60166666666666668</v>
      </c>
      <c r="K876" s="4">
        <v>4.5</v>
      </c>
      <c r="L876" s="4">
        <f>IF(Table1[[#This Row],[Standard as per ISO]]&gt;=Table1[[#This Row],[Avg of best 6]],Table1[[#This Row],[Standard as per ISO]],Table1[[#This Row],[Avg of best 6]])</f>
        <v>4.5</v>
      </c>
      <c r="M876" s="4" cm="1">
        <f t="array" ref="M876">IFERROR(LOOKUP(2,1/(Table1[[#This Row],[2019-May]:[2025-July]]&lt;&gt;0),Table1[[#This Row],[2019-May]:[2025-July]]),0)</f>
        <v>0.9</v>
      </c>
      <c r="N876" s="4">
        <f>COUNTIF(Table1[[#This Row],[2019-Apr]:[2025-July]],"&gt;="&amp;Table1[[#This Row],[Target]])</f>
        <v>0</v>
      </c>
      <c r="O876" s="4">
        <f>IF(Table1[[#This Row],[Outliers 2Y]]=0,1,0)</f>
        <v>1</v>
      </c>
      <c r="P876" s="4">
        <f>IF(Table1[[#This Row],[Last value]]&gt;1.5*Table1[[#This Row],[Target]],1,0)</f>
        <v>0</v>
      </c>
      <c r="Q876" s="4">
        <f>IF(AND(1.5*Table1[[#This Row],[Target]]&gt;=Table1[[#This Row],[Last value]],Table1[[#This Row],[Last value]]&gt;Table1[[#This Row],[Target]]),1,0)</f>
        <v>0</v>
      </c>
      <c r="R876" s="4">
        <f>IF(Table1[[#This Row],[Target]]&gt;=Table1[[#This Row],[Last value]],1,0)</f>
        <v>1</v>
      </c>
      <c r="S876" s="4" t="str">
        <f t="shared" si="22"/>
        <v>Green</v>
      </c>
      <c r="T876" s="55">
        <v>1.27</v>
      </c>
      <c r="U876" s="55">
        <v>0.66</v>
      </c>
      <c r="V876" s="55">
        <v>0.97</v>
      </c>
      <c r="W876" s="55">
        <v>0</v>
      </c>
      <c r="X876" s="55">
        <v>0.7</v>
      </c>
      <c r="Y876" s="55">
        <v>0.84</v>
      </c>
      <c r="Z876" s="55">
        <v>0.94</v>
      </c>
      <c r="AA876" s="55">
        <v>1.18</v>
      </c>
      <c r="AB876" s="55">
        <v>1.5</v>
      </c>
      <c r="AC876" s="55">
        <v>0.98</v>
      </c>
      <c r="AD876" s="55">
        <v>0.9</v>
      </c>
      <c r="AE876" s="55">
        <v>0.8</v>
      </c>
      <c r="AF876" s="55">
        <v>0.7</v>
      </c>
      <c r="AG876" s="55">
        <v>1.3</v>
      </c>
      <c r="AH876" s="55">
        <v>0.78800000000000003</v>
      </c>
      <c r="AI876" s="55">
        <v>0</v>
      </c>
      <c r="AJ876" s="55">
        <v>0.9</v>
      </c>
      <c r="AK876" s="55">
        <v>1.01</v>
      </c>
      <c r="AL876" s="55">
        <v>1</v>
      </c>
      <c r="AM876" s="55">
        <v>0.93</v>
      </c>
      <c r="AN876" s="55">
        <v>0.59</v>
      </c>
      <c r="AO876" s="55">
        <v>0.9</v>
      </c>
      <c r="AP876" s="55">
        <v>1.1499999999999999</v>
      </c>
      <c r="AQ876" s="55">
        <v>1.08</v>
      </c>
      <c r="AR876" s="8">
        <v>0.84</v>
      </c>
      <c r="AS876" s="8">
        <v>0.9</v>
      </c>
      <c r="AT876" s="8">
        <v>0.7</v>
      </c>
      <c r="AU876" s="50">
        <v>0.59</v>
      </c>
      <c r="AV876" s="50">
        <v>0.63</v>
      </c>
      <c r="AW876" s="50">
        <v>1.02</v>
      </c>
      <c r="AX876" s="50">
        <v>0.76</v>
      </c>
      <c r="AY876" s="50">
        <v>1.1599999999999999</v>
      </c>
      <c r="AZ876" s="50">
        <v>1.18</v>
      </c>
      <c r="BA876" s="50">
        <v>0.6</v>
      </c>
      <c r="BB876" s="50">
        <v>0.6</v>
      </c>
      <c r="BC876" s="55">
        <v>0.8</v>
      </c>
      <c r="BD876" s="55">
        <v>0</v>
      </c>
      <c r="BE876" s="11">
        <v>1.111</v>
      </c>
      <c r="BF876" s="4">
        <v>1</v>
      </c>
      <c r="BG876" s="4">
        <v>1</v>
      </c>
      <c r="BH876" s="4">
        <v>0.751</v>
      </c>
      <c r="BI876" s="4">
        <v>0.90100000000000002</v>
      </c>
      <c r="BJ876" s="13">
        <v>0.72799999999999998</v>
      </c>
      <c r="BK876" s="13">
        <v>1.1100000000000001</v>
      </c>
      <c r="BL876" s="4">
        <v>1.1100000000000001</v>
      </c>
      <c r="BM876" s="16">
        <v>1.2030000000000001</v>
      </c>
      <c r="BN876" s="4">
        <v>1.008</v>
      </c>
      <c r="BO876" s="4">
        <v>0.754</v>
      </c>
      <c r="BP876" s="4">
        <v>0.92500000000000004</v>
      </c>
      <c r="BQ876" s="4">
        <v>1.3180000000000001</v>
      </c>
      <c r="BR876" s="4">
        <v>0.92400000000000004</v>
      </c>
      <c r="BS876" s="4">
        <v>0.90900000000000003</v>
      </c>
      <c r="BT876" s="4">
        <v>1.1779999999999999</v>
      </c>
      <c r="BU876" s="4">
        <v>0.76100000000000001</v>
      </c>
      <c r="BV876" s="4">
        <v>0.79900000000000004</v>
      </c>
      <c r="BW876" s="4">
        <v>0.92</v>
      </c>
      <c r="BX876" s="4">
        <v>1.2230000000000001</v>
      </c>
      <c r="BY876" s="4">
        <v>1</v>
      </c>
      <c r="BZ876" s="55">
        <v>0</v>
      </c>
      <c r="CA876" s="55">
        <v>0</v>
      </c>
      <c r="CB876" s="55">
        <v>0</v>
      </c>
      <c r="CC876" s="55">
        <v>0</v>
      </c>
      <c r="CD876" s="55">
        <v>0</v>
      </c>
      <c r="CE876" s="19">
        <v>0.7</v>
      </c>
      <c r="CF876" s="19">
        <v>0</v>
      </c>
      <c r="CG876" s="4">
        <v>0</v>
      </c>
      <c r="CH876" s="4">
        <v>0.69</v>
      </c>
      <c r="CI876" s="4">
        <v>0</v>
      </c>
      <c r="CJ876" s="34">
        <v>0</v>
      </c>
      <c r="CK876" s="34">
        <v>0.6</v>
      </c>
      <c r="CL876" s="43">
        <v>0.8</v>
      </c>
      <c r="CM876" s="4">
        <v>1</v>
      </c>
      <c r="CN876" s="53">
        <v>0.9</v>
      </c>
      <c r="CO876" s="54">
        <v>0.8</v>
      </c>
      <c r="CP876" s="54">
        <v>1</v>
      </c>
      <c r="CQ876" s="4">
        <v>0.9</v>
      </c>
    </row>
    <row r="877" spans="1:95" s="55" customFormat="1" x14ac:dyDescent="0.35">
      <c r="A877" s="55">
        <v>876</v>
      </c>
      <c r="B877" s="55" t="s">
        <v>108</v>
      </c>
      <c r="C877" s="27" t="s">
        <v>617</v>
      </c>
      <c r="D877" s="50" t="s">
        <v>88</v>
      </c>
      <c r="E877" s="33" t="s">
        <v>91</v>
      </c>
      <c r="F877" s="4">
        <f>IFERROR(AVERAGEIF(Table1[[#This Row],[2019-Apr]:[2025-July]],"&lt;&gt;0"),0)</f>
        <v>3.2887118644067797</v>
      </c>
      <c r="G877" s="4">
        <f ca="1">IFERROR(AVERAGEIF(OFFSET(Table1[[#This Row],[Status]],0,COUNT(Table1[[#This Row],[2019-May]:[2025-July]]),1,-12),"&lt;&gt;0"),0)</f>
        <v>2.9349999999999996</v>
      </c>
      <c r="H877" s="55">
        <f>IFERROR(SMALL(Table1[[#This Row],[2019-Apr]:[2025-July]],COUNTIF(Table1[[#This Row],[2019-Apr]:[2025-July]],0)+1),0)</f>
        <v>1.2</v>
      </c>
      <c r="I877" s="55">
        <f>IFERROR(MAX(Table1[[#This Row],[2019-Apr]:[2025-July]]),0)</f>
        <v>7.34</v>
      </c>
      <c r="J877" s="4" cm="1">
        <f t="array" ref="J87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1.5970000000000002</v>
      </c>
      <c r="K877" s="4">
        <v>4.5</v>
      </c>
      <c r="L877" s="4">
        <f>IF(Table1[[#This Row],[Standard as per ISO]]&gt;=Table1[[#This Row],[Avg of best 6]],Table1[[#This Row],[Standard as per ISO]],Table1[[#This Row],[Avg of best 6]])</f>
        <v>4.5</v>
      </c>
      <c r="M877" s="4" cm="1">
        <f t="array" ref="M877">IFERROR(LOOKUP(2,1/(Table1[[#This Row],[2019-May]:[2025-July]]&lt;&gt;0),Table1[[#This Row],[2019-May]:[2025-July]]),0)</f>
        <v>3.07</v>
      </c>
      <c r="N877" s="4">
        <f>COUNTIF(Table1[[#This Row],[2019-Apr]:[2025-July]],"&gt;="&amp;Table1[[#This Row],[Target]])</f>
        <v>9</v>
      </c>
      <c r="O877" s="4">
        <f>IF(Table1[[#This Row],[Outliers 2Y]]=0,1,0)</f>
        <v>0</v>
      </c>
      <c r="P877" s="4">
        <f>IF(Table1[[#This Row],[Last value]]&gt;1.5*Table1[[#This Row],[Target]],1,0)</f>
        <v>0</v>
      </c>
      <c r="Q877" s="4">
        <f>IF(AND(1.5*Table1[[#This Row],[Target]]&gt;=Table1[[#This Row],[Last value]],Table1[[#This Row],[Last value]]&gt;Table1[[#This Row],[Target]]),1,0)</f>
        <v>0</v>
      </c>
      <c r="R877" s="4">
        <f>IF(Table1[[#This Row],[Target]]&gt;=Table1[[#This Row],[Last value]],1,0)</f>
        <v>1</v>
      </c>
      <c r="S877" s="4" t="str">
        <f t="shared" si="22"/>
        <v>Green</v>
      </c>
      <c r="T877" s="55">
        <v>5.93</v>
      </c>
      <c r="U877" s="55">
        <v>2.93</v>
      </c>
      <c r="V877" s="55">
        <v>3.9</v>
      </c>
      <c r="W877" s="55">
        <v>7.34</v>
      </c>
      <c r="X877" s="55">
        <v>4.75</v>
      </c>
      <c r="Y877" s="55">
        <v>4.95</v>
      </c>
      <c r="Z877" s="55">
        <v>5.0999999999999996</v>
      </c>
      <c r="AA877" s="55">
        <v>2.4500000000000002</v>
      </c>
      <c r="AB877" s="55">
        <v>3.27</v>
      </c>
      <c r="AC877" s="55">
        <v>2.57</v>
      </c>
      <c r="AD877" s="55">
        <v>4.3</v>
      </c>
      <c r="AE877" s="55">
        <v>2.2000000000000002</v>
      </c>
      <c r="AF877" s="55">
        <v>3.7</v>
      </c>
      <c r="AG877" s="55">
        <v>3.5</v>
      </c>
      <c r="AH877" s="55">
        <v>2.4</v>
      </c>
      <c r="AI877" s="55">
        <v>0</v>
      </c>
      <c r="AJ877" s="55">
        <v>2.4900000000000002</v>
      </c>
      <c r="AK877" s="55">
        <v>1.89</v>
      </c>
      <c r="AL877" s="55">
        <v>2.5</v>
      </c>
      <c r="AM877" s="55">
        <v>2.0499999999999998</v>
      </c>
      <c r="AN877" s="55">
        <v>3.64</v>
      </c>
      <c r="AO877" s="55">
        <v>4.1500000000000004</v>
      </c>
      <c r="AP877" s="55">
        <v>5.51</v>
      </c>
      <c r="AQ877" s="55">
        <v>5.27</v>
      </c>
      <c r="AR877" s="8">
        <v>3.14</v>
      </c>
      <c r="AS877" s="8">
        <v>3.46</v>
      </c>
      <c r="AT877" s="8">
        <v>3.05</v>
      </c>
      <c r="AU877" s="50">
        <v>3.31</v>
      </c>
      <c r="AV877" s="50">
        <v>6.62</v>
      </c>
      <c r="AW877" s="50">
        <v>1.83</v>
      </c>
      <c r="AX877" s="50">
        <v>3.85</v>
      </c>
      <c r="AY877" s="50">
        <v>3.57</v>
      </c>
      <c r="AZ877" s="50">
        <v>4</v>
      </c>
      <c r="BA877" s="50">
        <v>2.1</v>
      </c>
      <c r="BB877" s="50">
        <v>2.2000000000000002</v>
      </c>
      <c r="BC877" s="55">
        <v>1.8</v>
      </c>
      <c r="BD877" s="55">
        <v>0</v>
      </c>
      <c r="BE877" s="11">
        <v>2.464</v>
      </c>
      <c r="BF877" s="4">
        <v>2.5230000000000001</v>
      </c>
      <c r="BG877" s="4">
        <v>2.5230000000000001</v>
      </c>
      <c r="BH877" s="4">
        <v>3.371</v>
      </c>
      <c r="BI877" s="4">
        <v>3.371</v>
      </c>
      <c r="BJ877" s="14">
        <v>3.9060000000000001</v>
      </c>
      <c r="BK877" s="14">
        <v>3.4750000000000001</v>
      </c>
      <c r="BL877" s="4">
        <v>6.4379999999999997</v>
      </c>
      <c r="BM877" s="17">
        <v>2.1139999999999999</v>
      </c>
      <c r="BN877" s="4">
        <v>1.615</v>
      </c>
      <c r="BO877" s="4">
        <v>2.2810000000000001</v>
      </c>
      <c r="BP877" s="4">
        <v>2.6179999999999999</v>
      </c>
      <c r="BQ877" s="4">
        <v>2.294</v>
      </c>
      <c r="BR877" s="4">
        <v>2.9940000000000002</v>
      </c>
      <c r="BS877" s="4">
        <v>4.4930000000000003</v>
      </c>
      <c r="BT877" s="4">
        <v>2.8479999999999999</v>
      </c>
      <c r="BU877" s="4">
        <v>1.752</v>
      </c>
      <c r="BV877" s="4">
        <v>2.4510000000000001</v>
      </c>
      <c r="BW877" s="4">
        <v>4.1879999999999997</v>
      </c>
      <c r="BX877" s="4">
        <v>1.2</v>
      </c>
      <c r="BY877" s="4">
        <v>1.385</v>
      </c>
      <c r="BZ877" s="55">
        <v>2.14</v>
      </c>
      <c r="CA877" s="55">
        <v>0</v>
      </c>
      <c r="CB877" s="55">
        <v>0</v>
      </c>
      <c r="CC877" s="55">
        <v>0</v>
      </c>
      <c r="CD877" s="55">
        <v>0</v>
      </c>
      <c r="CE877" s="19">
        <v>2.8</v>
      </c>
      <c r="CF877" s="19">
        <v>0</v>
      </c>
      <c r="CG877" s="4">
        <v>0</v>
      </c>
      <c r="CH877" s="4">
        <v>3.07</v>
      </c>
      <c r="CI877" s="4">
        <v>0</v>
      </c>
      <c r="CJ877" s="34">
        <v>0</v>
      </c>
      <c r="CK877" s="34">
        <v>0</v>
      </c>
      <c r="CL877" s="34">
        <v>0</v>
      </c>
      <c r="CM877" s="4">
        <v>0</v>
      </c>
      <c r="CN877" s="53">
        <v>0</v>
      </c>
      <c r="CO877" s="54">
        <v>0</v>
      </c>
      <c r="CP877" s="54">
        <v>0</v>
      </c>
      <c r="CQ877" s="4">
        <v>0</v>
      </c>
    </row>
    <row r="878" spans="1:95" s="55" customFormat="1" x14ac:dyDescent="0.35">
      <c r="A878" s="55">
        <v>877</v>
      </c>
      <c r="B878" s="55" t="s">
        <v>108</v>
      </c>
      <c r="C878" s="27" t="s">
        <v>618</v>
      </c>
      <c r="D878" s="50" t="s">
        <v>88</v>
      </c>
      <c r="E878" s="33" t="s">
        <v>91</v>
      </c>
      <c r="F878" s="4">
        <f>IFERROR(AVERAGEIF(Table1[[#This Row],[2019-Apr]:[2025-July]],"&lt;&gt;0"),0)</f>
        <v>2.7291803278688516</v>
      </c>
      <c r="G878" s="4">
        <f ca="1">IFERROR(AVERAGEIF(OFFSET(Table1[[#This Row],[Status]],0,COUNT(Table1[[#This Row],[2019-May]:[2025-July]]),1,-12),"&lt;&gt;0"),0)</f>
        <v>2.42</v>
      </c>
      <c r="H878" s="55">
        <f>IFERROR(SMALL(Table1[[#This Row],[2019-Apr]:[2025-July]],COUNTIF(Table1[[#This Row],[2019-Apr]:[2025-July]],0)+1),0)</f>
        <v>0.96299999999999997</v>
      </c>
      <c r="I878" s="55">
        <f>IFERROR(MAX(Table1[[#This Row],[2019-Apr]:[2025-July]]),0)</f>
        <v>6.65</v>
      </c>
      <c r="J878" s="4" cm="1">
        <f t="array" ref="J87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1.4081666666666666</v>
      </c>
      <c r="K878" s="4">
        <v>4.5</v>
      </c>
      <c r="L878" s="4">
        <f>IF(Table1[[#This Row],[Standard as per ISO]]&gt;=Table1[[#This Row],[Avg of best 6]],Table1[[#This Row],[Standard as per ISO]],Table1[[#This Row],[Avg of best 6]])</f>
        <v>4.5</v>
      </c>
      <c r="M878" s="4" cm="1">
        <f t="array" ref="M878">IFERROR(LOOKUP(2,1/(Table1[[#This Row],[2019-May]:[2025-July]]&lt;&gt;0),Table1[[#This Row],[2019-May]:[2025-July]]),0)</f>
        <v>2.66</v>
      </c>
      <c r="N878" s="4">
        <f>COUNTIF(Table1[[#This Row],[2019-Apr]:[2025-July]],"&gt;="&amp;Table1[[#This Row],[Target]])</f>
        <v>2</v>
      </c>
      <c r="O878" s="4">
        <f>IF(Table1[[#This Row],[Outliers 2Y]]=0,1,0)</f>
        <v>0</v>
      </c>
      <c r="P878" s="4">
        <f>IF(Table1[[#This Row],[Last value]]&gt;1.5*Table1[[#This Row],[Target]],1,0)</f>
        <v>0</v>
      </c>
      <c r="Q878" s="4">
        <f>IF(AND(1.5*Table1[[#This Row],[Target]]&gt;=Table1[[#This Row],[Last value]],Table1[[#This Row],[Last value]]&gt;Table1[[#This Row],[Target]]),1,0)</f>
        <v>0</v>
      </c>
      <c r="R878" s="4">
        <f>IF(Table1[[#This Row],[Target]]&gt;=Table1[[#This Row],[Last value]],1,0)</f>
        <v>1</v>
      </c>
      <c r="S878" s="4" t="str">
        <f t="shared" si="22"/>
        <v>Green</v>
      </c>
      <c r="T878" s="55">
        <v>3.58</v>
      </c>
      <c r="U878" s="55">
        <v>2.48</v>
      </c>
      <c r="V878" s="55">
        <v>2.91</v>
      </c>
      <c r="W878" s="55">
        <v>3.85</v>
      </c>
      <c r="X878" s="55">
        <v>3.5</v>
      </c>
      <c r="Y878" s="55">
        <v>2.89</v>
      </c>
      <c r="Z878" s="55">
        <v>3.14</v>
      </c>
      <c r="AA878" s="55">
        <v>3.26</v>
      </c>
      <c r="AB878" s="55">
        <v>2.5</v>
      </c>
      <c r="AC878" s="55">
        <v>2.6</v>
      </c>
      <c r="AD878" s="55">
        <v>2.2999999999999998</v>
      </c>
      <c r="AE878" s="55">
        <v>2.5</v>
      </c>
      <c r="AF878" s="55">
        <v>2.8</v>
      </c>
      <c r="AG878" s="55">
        <v>2.4</v>
      </c>
      <c r="AH878" s="55">
        <v>2.89</v>
      </c>
      <c r="AI878" s="55">
        <v>3.83</v>
      </c>
      <c r="AJ878" s="55">
        <v>3.81</v>
      </c>
      <c r="AK878" s="55">
        <v>1.82</v>
      </c>
      <c r="AL878" s="55">
        <v>2.2999999999999998</v>
      </c>
      <c r="AM878" s="55">
        <v>2.16</v>
      </c>
      <c r="AN878" s="55">
        <v>3.17</v>
      </c>
      <c r="AO878" s="55">
        <v>1.6</v>
      </c>
      <c r="AP878" s="55">
        <v>6.65</v>
      </c>
      <c r="AQ878" s="55">
        <v>4.13</v>
      </c>
      <c r="AR878" s="8">
        <v>3.89</v>
      </c>
      <c r="AS878" s="8">
        <v>3.56</v>
      </c>
      <c r="AT878" s="8">
        <v>4.2699999999999996</v>
      </c>
      <c r="AU878" s="50">
        <v>3.61</v>
      </c>
      <c r="AV878" s="50">
        <v>4.78</v>
      </c>
      <c r="AW878" s="50">
        <v>2.5299999999999998</v>
      </c>
      <c r="AX878" s="50">
        <v>1.8</v>
      </c>
      <c r="AY878" s="50">
        <v>2.04</v>
      </c>
      <c r="AZ878" s="50">
        <v>2.77</v>
      </c>
      <c r="BA878" s="50">
        <v>1.4</v>
      </c>
      <c r="BB878" s="50">
        <v>2.8</v>
      </c>
      <c r="BC878" s="55">
        <v>1.8</v>
      </c>
      <c r="BD878" s="55">
        <v>0</v>
      </c>
      <c r="BE878" s="11">
        <v>2.3450000000000002</v>
      </c>
      <c r="BF878" s="4">
        <v>2.66</v>
      </c>
      <c r="BG878" s="4">
        <v>2.66</v>
      </c>
      <c r="BH878" s="4">
        <v>2.343</v>
      </c>
      <c r="BI878" s="4">
        <v>2.343</v>
      </c>
      <c r="BJ878" s="13">
        <v>2.798</v>
      </c>
      <c r="BK878" s="13">
        <v>2.4910000000000001</v>
      </c>
      <c r="BL878" s="4">
        <v>2.9039999999999999</v>
      </c>
      <c r="BM878" s="16">
        <v>3.319</v>
      </c>
      <c r="BN878" s="4">
        <v>2.3839999999999999</v>
      </c>
      <c r="BO878" s="4">
        <v>2.754</v>
      </c>
      <c r="BP878" s="4">
        <v>2.8109999999999999</v>
      </c>
      <c r="BQ878" s="4">
        <v>2.1890000000000001</v>
      </c>
      <c r="BR878" s="4">
        <v>1.4770000000000001</v>
      </c>
      <c r="BS878" s="4">
        <v>2.952</v>
      </c>
      <c r="BT878" s="4">
        <v>2.278</v>
      </c>
      <c r="BU878" s="4">
        <v>1.5089999999999999</v>
      </c>
      <c r="BV878" s="4">
        <v>0.96299999999999997</v>
      </c>
      <c r="BW878" s="4">
        <v>2.081</v>
      </c>
      <c r="BX878" s="4">
        <v>1.5</v>
      </c>
      <c r="BY878" s="4">
        <v>2.5190000000000001</v>
      </c>
      <c r="BZ878" s="55">
        <v>1.62</v>
      </c>
      <c r="CA878" s="55">
        <v>0</v>
      </c>
      <c r="CB878" s="55">
        <v>0</v>
      </c>
      <c r="CC878" s="55">
        <v>0</v>
      </c>
      <c r="CD878" s="55">
        <v>0</v>
      </c>
      <c r="CE878" s="19">
        <v>2.6</v>
      </c>
      <c r="CF878" s="19">
        <v>2</v>
      </c>
      <c r="CG878" s="4">
        <v>0</v>
      </c>
      <c r="CH878" s="4">
        <v>2.66</v>
      </c>
      <c r="CI878" s="4">
        <v>0</v>
      </c>
      <c r="CJ878" s="34">
        <v>0</v>
      </c>
      <c r="CK878" s="34">
        <v>0</v>
      </c>
      <c r="CL878" s="34">
        <v>0</v>
      </c>
      <c r="CM878" s="4">
        <v>0</v>
      </c>
      <c r="CN878" s="53">
        <v>0</v>
      </c>
      <c r="CO878" s="54">
        <v>0</v>
      </c>
      <c r="CP878" s="54">
        <v>0</v>
      </c>
      <c r="CQ878" s="4">
        <v>0</v>
      </c>
    </row>
    <row r="879" spans="1:95" s="55" customFormat="1" x14ac:dyDescent="0.35">
      <c r="A879" s="55">
        <v>878</v>
      </c>
      <c r="B879" s="55" t="s">
        <v>108</v>
      </c>
      <c r="C879" s="27" t="s">
        <v>619</v>
      </c>
      <c r="D879" s="50" t="s">
        <v>88</v>
      </c>
      <c r="E879" s="33" t="s">
        <v>91</v>
      </c>
      <c r="F879" s="4">
        <f>IFERROR(AVERAGEIF(Table1[[#This Row],[2019-Apr]:[2025-July]],"&lt;&gt;0"),0)</f>
        <v>2.7578275862068962</v>
      </c>
      <c r="G879" s="4">
        <f ca="1">IFERROR(AVERAGEIF(OFFSET(Table1[[#This Row],[Status]],0,COUNT(Table1[[#This Row],[2019-May]:[2025-July]]),1,-12),"&lt;&gt;0"),0)</f>
        <v>1.7566666666666666</v>
      </c>
      <c r="H879" s="55">
        <f>IFERROR(SMALL(Table1[[#This Row],[2019-Apr]:[2025-July]],COUNTIF(Table1[[#This Row],[2019-Apr]:[2025-July]],0)+1),0)</f>
        <v>0.79</v>
      </c>
      <c r="I879" s="55">
        <f>IFERROR(MAX(Table1[[#This Row],[2019-Apr]:[2025-July]]),0)</f>
        <v>5.38</v>
      </c>
      <c r="J879" s="4" cm="1">
        <f t="array" ref="J87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1.3560000000000001</v>
      </c>
      <c r="K879" s="4">
        <v>4.5</v>
      </c>
      <c r="L879" s="4">
        <f>IF(Table1[[#This Row],[Standard as per ISO]]&gt;=Table1[[#This Row],[Avg of best 6]],Table1[[#This Row],[Standard as per ISO]],Table1[[#This Row],[Avg of best 6]])</f>
        <v>4.5</v>
      </c>
      <c r="M879" s="4" cm="1">
        <f t="array" ref="M879">IFERROR(LOOKUP(2,1/(Table1[[#This Row],[2019-May]:[2025-July]]&lt;&gt;0),Table1[[#This Row],[2019-May]:[2025-July]]),0)</f>
        <v>1.47</v>
      </c>
      <c r="N879" s="4">
        <f>COUNTIF(Table1[[#This Row],[2019-Apr]:[2025-July]],"&gt;="&amp;Table1[[#This Row],[Target]])</f>
        <v>6</v>
      </c>
      <c r="O879" s="4">
        <f>IF(Table1[[#This Row],[Outliers 2Y]]=0,1,0)</f>
        <v>0</v>
      </c>
      <c r="P879" s="4">
        <f>IF(Table1[[#This Row],[Last value]]&gt;1.5*Table1[[#This Row],[Target]],1,0)</f>
        <v>0</v>
      </c>
      <c r="Q879" s="4">
        <f>IF(AND(1.5*Table1[[#This Row],[Target]]&gt;=Table1[[#This Row],[Last value]],Table1[[#This Row],[Last value]]&gt;Table1[[#This Row],[Target]]),1,0)</f>
        <v>0</v>
      </c>
      <c r="R879" s="4">
        <f>IF(Table1[[#This Row],[Target]]&gt;=Table1[[#This Row],[Last value]],1,0)</f>
        <v>1</v>
      </c>
      <c r="S879" s="4" t="str">
        <f t="shared" si="22"/>
        <v>Green</v>
      </c>
      <c r="T879" s="55">
        <v>4.8499999999999996</v>
      </c>
      <c r="U879" s="55">
        <v>1.49</v>
      </c>
      <c r="V879" s="55">
        <v>1.7</v>
      </c>
      <c r="W879" s="55">
        <v>2.52</v>
      </c>
      <c r="X879" s="55">
        <v>0</v>
      </c>
      <c r="Y879" s="55">
        <v>3.84</v>
      </c>
      <c r="Z879" s="55">
        <v>2.9</v>
      </c>
      <c r="AA879" s="55">
        <v>2.58</v>
      </c>
      <c r="AB879" s="55">
        <v>2.4</v>
      </c>
      <c r="AC879" s="55">
        <v>2.04</v>
      </c>
      <c r="AD879" s="55">
        <v>1.89</v>
      </c>
      <c r="AE879" s="55">
        <v>2.4</v>
      </c>
      <c r="AF879" s="55">
        <v>2</v>
      </c>
      <c r="AG879" s="55">
        <v>0</v>
      </c>
      <c r="AH879" s="55">
        <v>2.54</v>
      </c>
      <c r="AI879" s="55">
        <v>3.71</v>
      </c>
      <c r="AJ879" s="55">
        <v>4.92</v>
      </c>
      <c r="AK879" s="55">
        <v>0.79</v>
      </c>
      <c r="AL879" s="55">
        <v>3.31</v>
      </c>
      <c r="AM879" s="55">
        <v>2.02</v>
      </c>
      <c r="AN879" s="55">
        <v>3.51</v>
      </c>
      <c r="AO879" s="55">
        <v>3.46</v>
      </c>
      <c r="AP879" s="55">
        <v>4.95</v>
      </c>
      <c r="AQ879" s="55">
        <v>4.16</v>
      </c>
      <c r="AR879" s="8">
        <v>3.31</v>
      </c>
      <c r="AS879" s="8">
        <v>3.5</v>
      </c>
      <c r="AT879" s="8">
        <v>5.38</v>
      </c>
      <c r="AU879" s="50">
        <v>4.71</v>
      </c>
      <c r="AV879" s="50">
        <v>3.87</v>
      </c>
      <c r="AW879" s="50">
        <v>1.52</v>
      </c>
      <c r="AX879" s="50">
        <v>1.65</v>
      </c>
      <c r="AY879" s="50">
        <v>1.57</v>
      </c>
      <c r="AZ879" s="50">
        <v>1.93</v>
      </c>
      <c r="BA879" s="50">
        <v>3.3</v>
      </c>
      <c r="BB879" s="50">
        <v>2.2999999999999998</v>
      </c>
      <c r="BC879" s="55">
        <v>2</v>
      </c>
      <c r="BD879" s="55">
        <v>0</v>
      </c>
      <c r="BE879" s="11">
        <v>1.984</v>
      </c>
      <c r="BF879" s="4">
        <v>4.0430000000000001</v>
      </c>
      <c r="BG879" s="4">
        <v>1.5660000000000001</v>
      </c>
      <c r="BH879" s="4">
        <v>2.4609999999999999</v>
      </c>
      <c r="BI879" s="4">
        <v>2.4609999999999999</v>
      </c>
      <c r="BJ879" s="14">
        <v>4.1449999999999996</v>
      </c>
      <c r="BK879" s="14">
        <v>2.6190000000000002</v>
      </c>
      <c r="BL879" s="4">
        <v>4.8639999999999999</v>
      </c>
      <c r="BM879" s="17">
        <v>2.883</v>
      </c>
      <c r="BN879" s="4">
        <v>2.1800000000000002</v>
      </c>
      <c r="BO879" s="4">
        <v>2.198</v>
      </c>
      <c r="BP879" s="4">
        <v>2.6150000000000002</v>
      </c>
      <c r="BQ879" s="4">
        <v>2.2309999999999999</v>
      </c>
      <c r="BR879" s="4">
        <v>2.2309999999999999</v>
      </c>
      <c r="BS879" s="4">
        <v>2.2309999999999999</v>
      </c>
      <c r="BT879" s="4">
        <v>2.2309999999999999</v>
      </c>
      <c r="BU879" s="4">
        <v>2.2309999999999999</v>
      </c>
      <c r="BV879" s="4">
        <v>2.2309999999999999</v>
      </c>
      <c r="BW879" s="4">
        <v>3.59</v>
      </c>
      <c r="BX879" s="4">
        <v>1.7</v>
      </c>
      <c r="BY879" s="4">
        <v>2.9689999999999999</v>
      </c>
      <c r="BZ879" s="55">
        <v>0</v>
      </c>
      <c r="CA879" s="55">
        <v>0</v>
      </c>
      <c r="CB879" s="55">
        <v>0</v>
      </c>
      <c r="CC879" s="55">
        <v>0</v>
      </c>
      <c r="CD879" s="55">
        <v>0</v>
      </c>
      <c r="CE879" s="19">
        <v>2.5</v>
      </c>
      <c r="CF879" s="19">
        <v>1.3</v>
      </c>
      <c r="CG879" s="4">
        <v>0</v>
      </c>
      <c r="CH879" s="4">
        <v>1.47</v>
      </c>
      <c r="CI879" s="4">
        <v>0</v>
      </c>
      <c r="CJ879" s="34">
        <v>0</v>
      </c>
      <c r="CK879" s="34">
        <v>0</v>
      </c>
      <c r="CL879" s="34">
        <v>0</v>
      </c>
      <c r="CM879" s="4">
        <v>0</v>
      </c>
      <c r="CN879" s="53">
        <v>0</v>
      </c>
      <c r="CO879" s="54">
        <v>0</v>
      </c>
      <c r="CP879" s="54">
        <v>0</v>
      </c>
      <c r="CQ879" s="4">
        <v>0</v>
      </c>
    </row>
    <row r="880" spans="1:95" s="55" customFormat="1" x14ac:dyDescent="0.35">
      <c r="A880" s="55">
        <v>879</v>
      </c>
      <c r="B880" s="55" t="s">
        <v>108</v>
      </c>
      <c r="C880" s="27" t="s">
        <v>620</v>
      </c>
      <c r="D880" s="50" t="s">
        <v>88</v>
      </c>
      <c r="E880" s="33" t="s">
        <v>91</v>
      </c>
      <c r="F880" s="4">
        <f>IFERROR(AVERAGEIF(Table1[[#This Row],[2019-Apr]:[2025-July]],"&lt;&gt;0"),0)</f>
        <v>2.7409661016949154</v>
      </c>
      <c r="G880" s="4">
        <f ca="1">IFERROR(AVERAGEIF(OFFSET(Table1[[#This Row],[Status]],0,COUNT(Table1[[#This Row],[2019-May]:[2025-July]]),1,-12),"&lt;&gt;0"),0)</f>
        <v>2.97</v>
      </c>
      <c r="H880" s="55">
        <f>IFERROR(SMALL(Table1[[#This Row],[2019-Apr]:[2025-July]],COUNTIF(Table1[[#This Row],[2019-Apr]:[2025-July]],0)+1),0)</f>
        <v>0.74</v>
      </c>
      <c r="I880" s="55">
        <f>IFERROR(MAX(Table1[[#This Row],[2019-Apr]:[2025-July]]),0)</f>
        <v>5.26</v>
      </c>
      <c r="J880" s="4" cm="1">
        <f t="array" ref="J88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1.1203333333333334</v>
      </c>
      <c r="K880" s="4">
        <v>4.5</v>
      </c>
      <c r="L880" s="4">
        <f>IF(Table1[[#This Row],[Standard as per ISO]]&gt;=Table1[[#This Row],[Avg of best 6]],Table1[[#This Row],[Standard as per ISO]],Table1[[#This Row],[Avg of best 6]])</f>
        <v>4.5</v>
      </c>
      <c r="M880" s="4" cm="1">
        <f t="array" ref="M880">IFERROR(LOOKUP(2,1/(Table1[[#This Row],[2019-May]:[2025-July]]&lt;&gt;0),Table1[[#This Row],[2019-May]:[2025-July]]),0)</f>
        <v>2.97</v>
      </c>
      <c r="N880" s="4">
        <f>COUNTIF(Table1[[#This Row],[2019-Apr]:[2025-July]],"&gt;="&amp;Table1[[#This Row],[Target]])</f>
        <v>3</v>
      </c>
      <c r="O880" s="4">
        <f>IF(Table1[[#This Row],[Outliers 2Y]]=0,1,0)</f>
        <v>0</v>
      </c>
      <c r="P880" s="4">
        <f>IF(Table1[[#This Row],[Last value]]&gt;1.5*Table1[[#This Row],[Target]],1,0)</f>
        <v>0</v>
      </c>
      <c r="Q880" s="4">
        <f>IF(AND(1.5*Table1[[#This Row],[Target]]&gt;=Table1[[#This Row],[Last value]],Table1[[#This Row],[Last value]]&gt;Table1[[#This Row],[Target]]),1,0)</f>
        <v>0</v>
      </c>
      <c r="R880" s="4">
        <f>IF(Table1[[#This Row],[Target]]&gt;=Table1[[#This Row],[Last value]],1,0)</f>
        <v>1</v>
      </c>
      <c r="S880" s="4" t="str">
        <f t="shared" si="22"/>
        <v>Green</v>
      </c>
      <c r="T880" s="55">
        <v>3.59</v>
      </c>
      <c r="U880" s="55">
        <v>3.11</v>
      </c>
      <c r="V880" s="55">
        <v>2.7</v>
      </c>
      <c r="W880" s="55">
        <v>4.2</v>
      </c>
      <c r="X880" s="55">
        <v>2.9</v>
      </c>
      <c r="Y880" s="55">
        <v>4.1900000000000004</v>
      </c>
      <c r="Z880" s="55">
        <v>3.35</v>
      </c>
      <c r="AA880" s="55">
        <v>0.89</v>
      </c>
      <c r="AB880" s="55">
        <v>2.2999999999999998</v>
      </c>
      <c r="AC880" s="55">
        <v>2.0299999999999998</v>
      </c>
      <c r="AD880" s="55">
        <v>1.8</v>
      </c>
      <c r="AE880" s="55">
        <v>3.14</v>
      </c>
      <c r="AF880" s="55">
        <v>4.0999999999999996</v>
      </c>
      <c r="AG880" s="55">
        <v>2.8</v>
      </c>
      <c r="AH880" s="55">
        <v>4.5</v>
      </c>
      <c r="AI880" s="55">
        <v>3.69</v>
      </c>
      <c r="AJ880" s="55">
        <v>4.78</v>
      </c>
      <c r="AK880" s="55">
        <v>2.31</v>
      </c>
      <c r="AL880" s="55">
        <v>3.2</v>
      </c>
      <c r="AM880" s="55">
        <v>0.74</v>
      </c>
      <c r="AN880" s="55">
        <v>3</v>
      </c>
      <c r="AO880" s="55">
        <v>3.79</v>
      </c>
      <c r="AP880" s="55">
        <v>5.26</v>
      </c>
      <c r="AQ880" s="55">
        <v>3.84</v>
      </c>
      <c r="AR880" s="8">
        <v>3.75</v>
      </c>
      <c r="AS880" s="8">
        <v>3.7</v>
      </c>
      <c r="AT880" s="8">
        <v>3.43</v>
      </c>
      <c r="AU880" s="50">
        <v>3.42</v>
      </c>
      <c r="AV880" s="50">
        <v>3.35</v>
      </c>
      <c r="AW880" s="50">
        <v>2.2200000000000002</v>
      </c>
      <c r="AX880" s="50">
        <v>1.95</v>
      </c>
      <c r="AY880" s="50">
        <v>2.52</v>
      </c>
      <c r="AZ880" s="50">
        <v>2.82</v>
      </c>
      <c r="BA880" s="50">
        <v>2</v>
      </c>
      <c r="BB880" s="50">
        <v>1.6</v>
      </c>
      <c r="BC880" s="55">
        <v>2.2000000000000002</v>
      </c>
      <c r="BD880" s="55">
        <v>0</v>
      </c>
      <c r="BE880" s="11">
        <v>3.0129999999999999</v>
      </c>
      <c r="BF880" s="4">
        <v>2.806</v>
      </c>
      <c r="BG880" s="4">
        <v>1.488</v>
      </c>
      <c r="BH880" s="4">
        <v>2.028</v>
      </c>
      <c r="BI880" s="4">
        <v>2.028</v>
      </c>
      <c r="BJ880" s="13">
        <v>3.04</v>
      </c>
      <c r="BK880" s="13">
        <v>2.8</v>
      </c>
      <c r="BL880" s="4">
        <v>2.8769999999999998</v>
      </c>
      <c r="BM880" s="16">
        <v>3.762</v>
      </c>
      <c r="BN880" s="4">
        <v>1.802</v>
      </c>
      <c r="BO880" s="4">
        <v>1.994</v>
      </c>
      <c r="BP880" s="4">
        <v>2.3420000000000001</v>
      </c>
      <c r="BQ880" s="4">
        <v>1.806</v>
      </c>
      <c r="BR880" s="4">
        <v>1.9279999999999999</v>
      </c>
      <c r="BS880" s="4">
        <v>3.8620000000000001</v>
      </c>
      <c r="BT880" s="4">
        <v>1.87</v>
      </c>
      <c r="BU880" s="4">
        <v>1.569</v>
      </c>
      <c r="BV880" s="4">
        <v>0.93500000000000005</v>
      </c>
      <c r="BW880" s="4">
        <v>1.7210000000000001</v>
      </c>
      <c r="BX880" s="4">
        <v>1.1000000000000001</v>
      </c>
      <c r="BY880" s="4">
        <v>2.2959999999999998</v>
      </c>
      <c r="BZ880" s="55">
        <v>2.5099999999999998</v>
      </c>
      <c r="CA880" s="55">
        <v>0</v>
      </c>
      <c r="CB880" s="55">
        <v>0</v>
      </c>
      <c r="CC880" s="55">
        <v>0</v>
      </c>
      <c r="CD880" s="55">
        <v>0</v>
      </c>
      <c r="CE880" s="19">
        <v>0</v>
      </c>
      <c r="CF880" s="19">
        <v>0</v>
      </c>
      <c r="CG880" s="4">
        <v>0</v>
      </c>
      <c r="CH880" s="4">
        <v>2.97</v>
      </c>
      <c r="CI880" s="4">
        <v>0</v>
      </c>
      <c r="CJ880" s="34">
        <v>0</v>
      </c>
      <c r="CK880" s="34">
        <v>0</v>
      </c>
      <c r="CL880" s="34">
        <v>0</v>
      </c>
      <c r="CM880" s="4">
        <v>0</v>
      </c>
      <c r="CN880" s="53">
        <v>0</v>
      </c>
      <c r="CO880" s="54">
        <v>0</v>
      </c>
      <c r="CP880" s="54">
        <v>0</v>
      </c>
      <c r="CQ880" s="4">
        <v>0</v>
      </c>
    </row>
    <row r="881" spans="1:95" s="55" customFormat="1" x14ac:dyDescent="0.35">
      <c r="A881" s="55">
        <v>880</v>
      </c>
      <c r="B881" s="55" t="s">
        <v>108</v>
      </c>
      <c r="C881" s="27" t="s">
        <v>621</v>
      </c>
      <c r="D881" s="50" t="s">
        <v>88</v>
      </c>
      <c r="E881" s="33" t="s">
        <v>91</v>
      </c>
      <c r="F881" s="4">
        <f>IFERROR(AVERAGEIF(Table1[[#This Row],[2019-Apr]:[2025-July]],"&lt;&gt;0"),0)</f>
        <v>1.3698421052631582</v>
      </c>
      <c r="G881" s="4">
        <f ca="1">IFERROR(AVERAGEIF(OFFSET(Table1[[#This Row],[Status]],0,COUNT(Table1[[#This Row],[2019-May]:[2025-July]]),1,-12),"&lt;&gt;0"),0)</f>
        <v>0.87</v>
      </c>
      <c r="H881" s="55">
        <f>IFERROR(SMALL(Table1[[#This Row],[2019-Apr]:[2025-July]],COUNTIF(Table1[[#This Row],[2019-Apr]:[2025-July]],0)+1),0)</f>
        <v>0.5</v>
      </c>
      <c r="I881" s="55">
        <f>IFERROR(MAX(Table1[[#This Row],[2019-Apr]:[2025-July]]),0)</f>
        <v>3.4</v>
      </c>
      <c r="J881" s="4" cm="1">
        <f t="array" ref="J88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0.68533333333333335</v>
      </c>
      <c r="K881" s="4">
        <v>4.5</v>
      </c>
      <c r="L881" s="4">
        <f>IF(Table1[[#This Row],[Standard as per ISO]]&gt;=Table1[[#This Row],[Avg of best 6]],Table1[[#This Row],[Standard as per ISO]],Table1[[#This Row],[Avg of best 6]])</f>
        <v>4.5</v>
      </c>
      <c r="M881" s="4" cm="1">
        <f t="array" ref="M881">IFERROR(LOOKUP(2,1/(Table1[[#This Row],[2019-May]:[2025-July]]&lt;&gt;0),Table1[[#This Row],[2019-May]:[2025-July]]),0)</f>
        <v>0.94</v>
      </c>
      <c r="N881" s="4">
        <f>COUNTIF(Table1[[#This Row],[2019-Apr]:[2025-July]],"&gt;="&amp;Table1[[#This Row],[Target]])</f>
        <v>0</v>
      </c>
      <c r="O881" s="4">
        <f>IF(Table1[[#This Row],[Outliers 2Y]]=0,1,0)</f>
        <v>1</v>
      </c>
      <c r="P881" s="4">
        <f>IF(Table1[[#This Row],[Last value]]&gt;1.5*Table1[[#This Row],[Target]],1,0)</f>
        <v>0</v>
      </c>
      <c r="Q881" s="4">
        <f>IF(AND(1.5*Table1[[#This Row],[Target]]&gt;=Table1[[#This Row],[Last value]],Table1[[#This Row],[Last value]]&gt;Table1[[#This Row],[Target]]),1,0)</f>
        <v>0</v>
      </c>
      <c r="R881" s="4">
        <f>IF(Table1[[#This Row],[Target]]&gt;=Table1[[#This Row],[Last value]],1,0)</f>
        <v>1</v>
      </c>
      <c r="S881" s="4" t="str">
        <f t="shared" si="22"/>
        <v>Green</v>
      </c>
      <c r="T881" s="55">
        <v>2.02</v>
      </c>
      <c r="U881" s="55">
        <v>1.34</v>
      </c>
      <c r="V881" s="55">
        <v>1.22</v>
      </c>
      <c r="W881" s="55">
        <v>1.5</v>
      </c>
      <c r="X881" s="55">
        <v>3.4</v>
      </c>
      <c r="Y881" s="55">
        <v>2.36</v>
      </c>
      <c r="Z881" s="55">
        <v>1.41</v>
      </c>
      <c r="AA881" s="55">
        <v>0.93</v>
      </c>
      <c r="AB881" s="55">
        <v>1.66</v>
      </c>
      <c r="AC881" s="55">
        <v>0.91</v>
      </c>
      <c r="AD881" s="55">
        <v>1.5</v>
      </c>
      <c r="AE881" s="55">
        <v>1</v>
      </c>
      <c r="AF881" s="55">
        <v>0</v>
      </c>
      <c r="AG881" s="55">
        <v>1.7</v>
      </c>
      <c r="AH881" s="55">
        <v>0.93</v>
      </c>
      <c r="AI881" s="55">
        <v>0</v>
      </c>
      <c r="AJ881" s="55">
        <v>1.1599999999999999</v>
      </c>
      <c r="AK881" s="55">
        <v>1.84</v>
      </c>
      <c r="AL881" s="55">
        <v>1.78</v>
      </c>
      <c r="AM881" s="55">
        <v>0.87</v>
      </c>
      <c r="AN881" s="55">
        <v>1.4</v>
      </c>
      <c r="AO881" s="55">
        <v>0.79</v>
      </c>
      <c r="AP881" s="55">
        <v>2.91</v>
      </c>
      <c r="AQ881" s="55">
        <v>2.65</v>
      </c>
      <c r="AR881" s="8">
        <v>1.43</v>
      </c>
      <c r="AS881" s="8">
        <v>1.7</v>
      </c>
      <c r="AT881" s="8">
        <v>2.7</v>
      </c>
      <c r="AU881" s="50">
        <v>1.45</v>
      </c>
      <c r="AV881" s="50">
        <v>1.43</v>
      </c>
      <c r="AW881" s="50">
        <v>0.81</v>
      </c>
      <c r="AX881" s="50">
        <v>0.85</v>
      </c>
      <c r="AY881" s="50">
        <v>0.86</v>
      </c>
      <c r="AZ881" s="50">
        <v>0.79</v>
      </c>
      <c r="BA881" s="50">
        <v>0.6</v>
      </c>
      <c r="BB881" s="50">
        <v>0.5</v>
      </c>
      <c r="BC881" s="55">
        <v>0.8</v>
      </c>
      <c r="BD881" s="55">
        <v>0</v>
      </c>
      <c r="BE881" s="11">
        <v>0.84799999999999998</v>
      </c>
      <c r="BF881" s="4">
        <v>1.2729999999999999</v>
      </c>
      <c r="BG881" s="4">
        <v>1.2729999999999999</v>
      </c>
      <c r="BH881" s="4">
        <v>1.3779999999999999</v>
      </c>
      <c r="BI881" s="4">
        <v>1.3779999999999999</v>
      </c>
      <c r="BJ881" s="14">
        <v>1.7669999999999999</v>
      </c>
      <c r="BK881" s="14">
        <v>1.3240000000000001</v>
      </c>
      <c r="BL881" s="4">
        <v>2.1560000000000001</v>
      </c>
      <c r="BM881" s="17">
        <v>0.89</v>
      </c>
      <c r="BN881" s="4">
        <v>0.93500000000000005</v>
      </c>
      <c r="BO881" s="4">
        <v>1.3129999999999999</v>
      </c>
      <c r="BP881" s="4">
        <v>1.079</v>
      </c>
      <c r="BQ881" s="4">
        <v>1.1639999999999999</v>
      </c>
      <c r="BR881" s="4">
        <v>1.214</v>
      </c>
      <c r="BS881" s="4">
        <v>1.62</v>
      </c>
      <c r="BT881" s="4">
        <v>0.96199999999999997</v>
      </c>
      <c r="BU881" s="4">
        <v>0.63200000000000001</v>
      </c>
      <c r="BV881" s="4">
        <v>0.95299999999999996</v>
      </c>
      <c r="BW881" s="4">
        <v>2.1640000000000001</v>
      </c>
      <c r="BX881" s="4">
        <v>1.3</v>
      </c>
      <c r="BY881" s="4">
        <v>1.518</v>
      </c>
      <c r="BZ881" s="55">
        <v>0</v>
      </c>
      <c r="CA881" s="55">
        <v>0</v>
      </c>
      <c r="CB881" s="55">
        <v>0</v>
      </c>
      <c r="CC881" s="55">
        <v>0</v>
      </c>
      <c r="CD881" s="55">
        <v>0</v>
      </c>
      <c r="CE881" s="19">
        <v>0.8</v>
      </c>
      <c r="CF881" s="19">
        <v>0</v>
      </c>
      <c r="CG881" s="4">
        <v>0</v>
      </c>
      <c r="CH881" s="4">
        <v>0.94</v>
      </c>
      <c r="CI881" s="4">
        <v>0</v>
      </c>
      <c r="CJ881" s="34">
        <v>0</v>
      </c>
      <c r="CK881" s="34">
        <v>0</v>
      </c>
      <c r="CL881" s="34">
        <v>0</v>
      </c>
      <c r="CM881" s="4">
        <v>0</v>
      </c>
      <c r="CN881" s="53">
        <v>0</v>
      </c>
      <c r="CO881" s="54">
        <v>0</v>
      </c>
      <c r="CP881" s="54">
        <v>0</v>
      </c>
      <c r="CQ881" s="4">
        <v>0</v>
      </c>
    </row>
    <row r="882" spans="1:95" s="55" customFormat="1" x14ac:dyDescent="0.35">
      <c r="A882" s="55">
        <v>881</v>
      </c>
      <c r="B882" s="55" t="s">
        <v>108</v>
      </c>
      <c r="C882" s="27" t="s">
        <v>622</v>
      </c>
      <c r="D882" s="50" t="s">
        <v>88</v>
      </c>
      <c r="E882" s="33" t="s">
        <v>91</v>
      </c>
      <c r="F882" s="4">
        <f>IFERROR(AVERAGEIF(Table1[[#This Row],[2019-Apr]:[2025-July]],"&lt;&gt;0"),0)</f>
        <v>1.6375</v>
      </c>
      <c r="G882" s="4">
        <f ca="1">IFERROR(AVERAGEIF(OFFSET(Table1[[#This Row],[Status]],0,COUNT(Table1[[#This Row],[2019-May]:[2025-July]]),1,-12),"&lt;&gt;0"),0)</f>
        <v>1.7250000000000001</v>
      </c>
      <c r="H882" s="55">
        <f>IFERROR(SMALL(Table1[[#This Row],[2019-Apr]:[2025-July]],COUNTIF(Table1[[#This Row],[2019-Apr]:[2025-July]],0)+1),0)</f>
        <v>0.8</v>
      </c>
      <c r="I882" s="55">
        <f>IFERROR(MAX(Table1[[#This Row],[2019-Apr]:[2025-July]]),0)</f>
        <v>3.7</v>
      </c>
      <c r="J882" s="4" cm="1">
        <f t="array" ref="J88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0.91166666666666663</v>
      </c>
      <c r="K882" s="4">
        <v>4.5</v>
      </c>
      <c r="L882" s="4">
        <f>IF(Table1[[#This Row],[Standard as per ISO]]&gt;=Table1[[#This Row],[Avg of best 6]],Table1[[#This Row],[Standard as per ISO]],Table1[[#This Row],[Avg of best 6]])</f>
        <v>4.5</v>
      </c>
      <c r="M882" s="4" cm="1">
        <f t="array" ref="M882">IFERROR(LOOKUP(2,1/(Table1[[#This Row],[2019-May]:[2025-July]]&lt;&gt;0),Table1[[#This Row],[2019-May]:[2025-July]]),0)</f>
        <v>1.55</v>
      </c>
      <c r="N882" s="4">
        <f>COUNTIF(Table1[[#This Row],[2019-Apr]:[2025-July]],"&gt;="&amp;Table1[[#This Row],[Target]])</f>
        <v>0</v>
      </c>
      <c r="O882" s="4">
        <f>IF(Table1[[#This Row],[Outliers 2Y]]=0,1,0)</f>
        <v>1</v>
      </c>
      <c r="P882" s="4">
        <f>IF(Table1[[#This Row],[Last value]]&gt;1.5*Table1[[#This Row],[Target]],1,0)</f>
        <v>0</v>
      </c>
      <c r="Q882" s="4">
        <f>IF(AND(1.5*Table1[[#This Row],[Target]]&gt;=Table1[[#This Row],[Last value]],Table1[[#This Row],[Last value]]&gt;Table1[[#This Row],[Target]]),1,0)</f>
        <v>0</v>
      </c>
      <c r="R882" s="4">
        <f>IF(Table1[[#This Row],[Target]]&gt;=Table1[[#This Row],[Last value]],1,0)</f>
        <v>1</v>
      </c>
      <c r="S882" s="4" t="str">
        <f t="shared" si="22"/>
        <v>Green</v>
      </c>
      <c r="T882" s="55">
        <v>2.17</v>
      </c>
      <c r="U882" s="55">
        <v>1.74</v>
      </c>
      <c r="V882" s="55">
        <v>2.27</v>
      </c>
      <c r="W882" s="55">
        <v>2.2000000000000002</v>
      </c>
      <c r="X882" s="55">
        <v>2.4300000000000002</v>
      </c>
      <c r="Y882" s="55">
        <v>2.84</v>
      </c>
      <c r="Z882" s="55">
        <v>2.5299999999999998</v>
      </c>
      <c r="AA882" s="55">
        <v>1.1200000000000001</v>
      </c>
      <c r="AB882" s="55">
        <v>1.36</v>
      </c>
      <c r="AC882" s="55">
        <v>1.8</v>
      </c>
      <c r="AD882" s="55">
        <v>2.1</v>
      </c>
      <c r="AE882" s="55">
        <v>1.26</v>
      </c>
      <c r="AF882" s="55">
        <v>0.99</v>
      </c>
      <c r="AG882" s="55">
        <v>1.8</v>
      </c>
      <c r="AH882" s="55">
        <v>1.395</v>
      </c>
      <c r="AI882" s="55">
        <v>0</v>
      </c>
      <c r="AJ882" s="55">
        <v>1.0900000000000001</v>
      </c>
      <c r="AK882" s="55">
        <v>1.7</v>
      </c>
      <c r="AL882" s="55">
        <v>1.9</v>
      </c>
      <c r="AM882" s="55">
        <v>1.78</v>
      </c>
      <c r="AN882" s="55">
        <v>1.34</v>
      </c>
      <c r="AO882" s="55">
        <v>1.27</v>
      </c>
      <c r="AP882" s="55">
        <v>2.57</v>
      </c>
      <c r="AQ882" s="55">
        <v>3.7</v>
      </c>
      <c r="AR882" s="8">
        <v>2.5</v>
      </c>
      <c r="AS882" s="8">
        <v>1.6</v>
      </c>
      <c r="AT882" s="8">
        <v>2.36</v>
      </c>
      <c r="AU882" s="50">
        <v>1.67</v>
      </c>
      <c r="AV882" s="50">
        <v>1.72</v>
      </c>
      <c r="AW882" s="50">
        <v>0.82</v>
      </c>
      <c r="AX882" s="50">
        <v>1.78</v>
      </c>
      <c r="AY882" s="50">
        <v>1.01</v>
      </c>
      <c r="AZ882" s="50">
        <v>1.23</v>
      </c>
      <c r="BA882" s="50">
        <v>0.8</v>
      </c>
      <c r="BB882" s="50">
        <v>1.3</v>
      </c>
      <c r="BC882" s="55">
        <v>1.1000000000000001</v>
      </c>
      <c r="BD882" s="55">
        <v>0</v>
      </c>
      <c r="BE882" s="11">
        <v>1.379</v>
      </c>
      <c r="BF882" s="4">
        <v>1.357</v>
      </c>
      <c r="BG882" s="4">
        <v>0.89900000000000002</v>
      </c>
      <c r="BH882" s="4">
        <v>1.0669999999999999</v>
      </c>
      <c r="BI882" s="4">
        <v>1.0669999999999999</v>
      </c>
      <c r="BJ882" s="13">
        <v>1.671</v>
      </c>
      <c r="BK882" s="13">
        <v>1.5</v>
      </c>
      <c r="BL882" s="4">
        <v>2.52</v>
      </c>
      <c r="BM882" s="16">
        <v>1.159</v>
      </c>
      <c r="BN882" s="4">
        <v>1.56</v>
      </c>
      <c r="BO882" s="4">
        <v>1.1930000000000001</v>
      </c>
      <c r="BP882" s="4">
        <v>1.3009999999999999</v>
      </c>
      <c r="BQ882" s="4">
        <v>1.1379999999999999</v>
      </c>
      <c r="BR882" s="4">
        <v>0.95099999999999996</v>
      </c>
      <c r="BS882" s="4">
        <v>1.83</v>
      </c>
      <c r="BT882" s="4">
        <v>1.5840000000000001</v>
      </c>
      <c r="BU882" s="4">
        <v>1.639</v>
      </c>
      <c r="BV882" s="4">
        <v>1.2809999999999999</v>
      </c>
      <c r="BW882" s="4">
        <v>2.3170000000000002</v>
      </c>
      <c r="BX882" s="4">
        <v>1.2</v>
      </c>
      <c r="BY882" s="4">
        <v>1.667</v>
      </c>
      <c r="BZ882" s="55">
        <v>0</v>
      </c>
      <c r="CA882" s="55">
        <v>0</v>
      </c>
      <c r="CB882" s="55">
        <v>0</v>
      </c>
      <c r="CC882" s="55">
        <v>0</v>
      </c>
      <c r="CD882" s="55">
        <v>0</v>
      </c>
      <c r="CE882" s="19">
        <v>1.9</v>
      </c>
      <c r="CF882" s="19">
        <v>0</v>
      </c>
      <c r="CG882" s="4">
        <v>0</v>
      </c>
      <c r="CH882" s="4">
        <v>1.55</v>
      </c>
      <c r="CI882" s="4">
        <v>0</v>
      </c>
      <c r="CJ882" s="34">
        <v>0</v>
      </c>
      <c r="CK882" s="34">
        <v>0</v>
      </c>
      <c r="CL882" s="34">
        <v>0</v>
      </c>
      <c r="CM882" s="4">
        <v>0</v>
      </c>
      <c r="CN882" s="53">
        <v>0</v>
      </c>
      <c r="CO882" s="54">
        <v>0</v>
      </c>
      <c r="CP882" s="54">
        <v>0</v>
      </c>
      <c r="CQ882" s="4">
        <v>0</v>
      </c>
    </row>
    <row r="883" spans="1:95" s="55" customFormat="1" x14ac:dyDescent="0.35">
      <c r="A883" s="55">
        <v>882</v>
      </c>
      <c r="B883" s="55" t="s">
        <v>108</v>
      </c>
      <c r="C883" s="27" t="s">
        <v>623</v>
      </c>
      <c r="D883" s="50" t="s">
        <v>88</v>
      </c>
      <c r="E883" s="33" t="s">
        <v>89</v>
      </c>
      <c r="F883" s="4">
        <f>IFERROR(AVERAGEIF(Table1[[#This Row],[2019-Apr]:[2025-July]],"&lt;&gt;0"),0)</f>
        <v>2.5219855072463764</v>
      </c>
      <c r="G883" s="4">
        <f ca="1">IFERROR(AVERAGEIF(OFFSET(Table1[[#This Row],[Status]],0,COUNT(Table1[[#This Row],[2019-May]:[2025-July]]),1,-12),"&lt;&gt;0"),0)</f>
        <v>2.0366666666666666</v>
      </c>
      <c r="H883" s="55">
        <f>IFERROR(SMALL(Table1[[#This Row],[2019-Apr]:[2025-July]],COUNTIF(Table1[[#This Row],[2019-Apr]:[2025-July]],0)+1),0)</f>
        <v>0.64</v>
      </c>
      <c r="I883" s="55">
        <f>IFERROR(MAX(Table1[[#This Row],[2019-Apr]:[2025-July]]),0)</f>
        <v>5.8</v>
      </c>
      <c r="J883" s="4" cm="1">
        <f t="array" ref="J88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0.95166666666666677</v>
      </c>
      <c r="K883" s="4">
        <v>4.5</v>
      </c>
      <c r="L883" s="4">
        <f>IF(Table1[[#This Row],[Standard as per ISO]]&gt;=Table1[[#This Row],[Avg of best 6]],Table1[[#This Row],[Standard as per ISO]],Table1[[#This Row],[Avg of best 6]])</f>
        <v>4.5</v>
      </c>
      <c r="M883" s="4" cm="1">
        <f t="array" ref="M883">IFERROR(LOOKUP(2,1/(Table1[[#This Row],[2019-May]:[2025-July]]&lt;&gt;0),Table1[[#This Row],[2019-May]:[2025-July]]),0)</f>
        <v>2.4</v>
      </c>
      <c r="N883" s="4">
        <f>COUNTIF(Table1[[#This Row],[2019-Apr]:[2025-July]],"&gt;="&amp;Table1[[#This Row],[Target]])</f>
        <v>3</v>
      </c>
      <c r="O883" s="4">
        <f>IF(Table1[[#This Row],[Outliers 2Y]]=0,1,0)</f>
        <v>0</v>
      </c>
      <c r="P883" s="4">
        <f>IF(Table1[[#This Row],[Last value]]&gt;1.5*Table1[[#This Row],[Target]],1,0)</f>
        <v>0</v>
      </c>
      <c r="Q883" s="4">
        <f>IF(AND(1.5*Table1[[#This Row],[Target]]&gt;=Table1[[#This Row],[Last value]],Table1[[#This Row],[Last value]]&gt;Table1[[#This Row],[Target]]),1,0)</f>
        <v>0</v>
      </c>
      <c r="R883" s="4">
        <f>IF(Table1[[#This Row],[Target]]&gt;=Table1[[#This Row],[Last value]],1,0)</f>
        <v>1</v>
      </c>
      <c r="S883" s="4" t="str">
        <f t="shared" si="22"/>
        <v>Green</v>
      </c>
      <c r="T883" s="55">
        <v>2.78</v>
      </c>
      <c r="U883" s="55">
        <v>2.54</v>
      </c>
      <c r="V883" s="55">
        <v>2.06</v>
      </c>
      <c r="W883" s="55">
        <v>2.2999999999999998</v>
      </c>
      <c r="X883" s="55">
        <v>2.4</v>
      </c>
      <c r="Y883" s="55">
        <v>1.87</v>
      </c>
      <c r="Z883" s="55">
        <v>2.2999999999999998</v>
      </c>
      <c r="AA883" s="55">
        <v>0.64</v>
      </c>
      <c r="AB883" s="55">
        <v>3</v>
      </c>
      <c r="AC883" s="55">
        <v>3.09</v>
      </c>
      <c r="AD883" s="55">
        <v>2.9</v>
      </c>
      <c r="AE883" s="55">
        <v>1.2</v>
      </c>
      <c r="AF883" s="55">
        <v>2.65</v>
      </c>
      <c r="AG883" s="55">
        <v>2.7</v>
      </c>
      <c r="AH883" s="55">
        <v>2.8</v>
      </c>
      <c r="AI883" s="55">
        <v>0</v>
      </c>
      <c r="AJ883" s="55">
        <v>3.34</v>
      </c>
      <c r="AK883" s="55">
        <v>0.7</v>
      </c>
      <c r="AL883" s="55">
        <v>2.6</v>
      </c>
      <c r="AM883" s="55">
        <v>2.78</v>
      </c>
      <c r="AN883" s="55">
        <v>3.2</v>
      </c>
      <c r="AO883" s="55">
        <v>5.8</v>
      </c>
      <c r="AP883" s="55">
        <v>3.57</v>
      </c>
      <c r="AQ883" s="55">
        <v>2.78</v>
      </c>
      <c r="AR883" s="8">
        <v>4.6100000000000003</v>
      </c>
      <c r="AS883" s="8">
        <v>2</v>
      </c>
      <c r="AT883" s="8">
        <v>2.2000000000000002</v>
      </c>
      <c r="AU883" s="50">
        <v>2.44</v>
      </c>
      <c r="AV883" s="50">
        <v>3.05</v>
      </c>
      <c r="AW883" s="50">
        <v>2.89</v>
      </c>
      <c r="AX883" s="50">
        <v>1.27</v>
      </c>
      <c r="AY883" s="50">
        <v>2.41</v>
      </c>
      <c r="AZ883" s="50">
        <v>3.7</v>
      </c>
      <c r="BA883" s="50">
        <v>4.5</v>
      </c>
      <c r="BB883" s="50">
        <v>0.7</v>
      </c>
      <c r="BC883" s="55">
        <v>2.7</v>
      </c>
      <c r="BD883" s="55">
        <v>0</v>
      </c>
      <c r="BE883" s="11">
        <v>2.7189999999999999</v>
      </c>
      <c r="BF883" s="4">
        <v>2.7050000000000001</v>
      </c>
      <c r="BG883" s="4">
        <v>1.597</v>
      </c>
      <c r="BH883" s="4">
        <v>2.9380000000000002</v>
      </c>
      <c r="BI883" s="4">
        <v>2.673</v>
      </c>
      <c r="BJ883" s="14">
        <v>1.655</v>
      </c>
      <c r="BK883" s="14">
        <v>2.702</v>
      </c>
      <c r="BL883" s="4">
        <v>3.5960000000000001</v>
      </c>
      <c r="BM883" s="17">
        <v>1.9410000000000001</v>
      </c>
      <c r="BN883" s="4">
        <v>2.7949999999999999</v>
      </c>
      <c r="BO883" s="4">
        <v>3.0659999999999998</v>
      </c>
      <c r="BP883" s="4">
        <v>3.5659999999999998</v>
      </c>
      <c r="BQ883" s="4">
        <v>0</v>
      </c>
      <c r="BR883" s="4">
        <v>2.2589999999999999</v>
      </c>
      <c r="BS883" s="4">
        <v>2.8250000000000002</v>
      </c>
      <c r="BT883" s="4">
        <v>2.23</v>
      </c>
      <c r="BU883" s="4">
        <v>2.202</v>
      </c>
      <c r="BV883" s="4">
        <v>3.4769999999999999</v>
      </c>
      <c r="BW883" s="4">
        <v>2.1640000000000001</v>
      </c>
      <c r="BX883" s="4">
        <v>2.68</v>
      </c>
      <c r="BY883" s="4">
        <v>3.1070000000000002</v>
      </c>
      <c r="BZ883" s="55">
        <v>1.73</v>
      </c>
      <c r="CA883" s="55">
        <v>2.33</v>
      </c>
      <c r="CB883" s="55">
        <v>1.71</v>
      </c>
      <c r="CC883" s="55">
        <v>0</v>
      </c>
      <c r="CD883" s="55">
        <v>2.15</v>
      </c>
      <c r="CE883" s="19">
        <v>1.4</v>
      </c>
      <c r="CF883" s="19">
        <v>0</v>
      </c>
      <c r="CG883" s="4">
        <v>0</v>
      </c>
      <c r="CH883" s="4">
        <v>1.73</v>
      </c>
      <c r="CI883" s="4">
        <v>0</v>
      </c>
      <c r="CJ883" s="34">
        <v>2.2000000000000002</v>
      </c>
      <c r="CK883" s="34">
        <v>2.2000000000000002</v>
      </c>
      <c r="CL883" s="43">
        <v>1.2</v>
      </c>
      <c r="CM883" s="4">
        <v>2.2000000000000002</v>
      </c>
      <c r="CN883" s="53">
        <v>1.9</v>
      </c>
      <c r="CO883" s="54">
        <v>2.8</v>
      </c>
      <c r="CP883" s="54">
        <v>2.7</v>
      </c>
      <c r="CQ883" s="4">
        <v>2.4</v>
      </c>
    </row>
    <row r="884" spans="1:95" s="55" customFormat="1" x14ac:dyDescent="0.35">
      <c r="A884" s="55">
        <v>883</v>
      </c>
      <c r="B884" s="55" t="s">
        <v>108</v>
      </c>
      <c r="C884" s="27" t="s">
        <v>624</v>
      </c>
      <c r="D884" s="50" t="s">
        <v>88</v>
      </c>
      <c r="E884" s="33" t="s">
        <v>89</v>
      </c>
      <c r="F884" s="4">
        <f>IFERROR(AVERAGEIF(Table1[[#This Row],[2019-Apr]:[2025-July]],"&lt;&gt;0"),0)</f>
        <v>2.7367761194029847</v>
      </c>
      <c r="G884" s="4">
        <f ca="1">IFERROR(AVERAGEIF(OFFSET(Table1[[#This Row],[Status]],0,COUNT(Table1[[#This Row],[2019-May]:[2025-July]]),1,-12),"&lt;&gt;0"),0)</f>
        <v>2.1733333333333338</v>
      </c>
      <c r="H884" s="55">
        <f>IFERROR(SMALL(Table1[[#This Row],[2019-Apr]:[2025-July]],COUNTIF(Table1[[#This Row],[2019-Apr]:[2025-July]],0)+1),0)</f>
        <v>0.99</v>
      </c>
      <c r="I884" s="55">
        <f>IFERROR(MAX(Table1[[#This Row],[2019-Apr]:[2025-July]]),0)</f>
        <v>5.9</v>
      </c>
      <c r="J884" s="4" cm="1">
        <f t="array" ref="J88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1.1916666666666667</v>
      </c>
      <c r="K884" s="4">
        <v>4.5</v>
      </c>
      <c r="L884" s="4">
        <f>IF(Table1[[#This Row],[Standard as per ISO]]&gt;=Table1[[#This Row],[Avg of best 6]],Table1[[#This Row],[Standard as per ISO]],Table1[[#This Row],[Avg of best 6]])</f>
        <v>4.5</v>
      </c>
      <c r="M884" s="4" cm="1">
        <f t="array" ref="M884">IFERROR(LOOKUP(2,1/(Table1[[#This Row],[2019-May]:[2025-July]]&lt;&gt;0),Table1[[#This Row],[2019-May]:[2025-July]]),0)</f>
        <v>1.9</v>
      </c>
      <c r="N884" s="4">
        <f>COUNTIF(Table1[[#This Row],[2019-Apr]:[2025-July]],"&gt;="&amp;Table1[[#This Row],[Target]])</f>
        <v>4</v>
      </c>
      <c r="O884" s="4">
        <f>IF(Table1[[#This Row],[Outliers 2Y]]=0,1,0)</f>
        <v>0</v>
      </c>
      <c r="P884" s="4">
        <f>IF(Table1[[#This Row],[Last value]]&gt;1.5*Table1[[#This Row],[Target]],1,0)</f>
        <v>0</v>
      </c>
      <c r="Q884" s="4">
        <f>IF(AND(1.5*Table1[[#This Row],[Target]]&gt;=Table1[[#This Row],[Last value]],Table1[[#This Row],[Last value]]&gt;Table1[[#This Row],[Target]]),1,0)</f>
        <v>0</v>
      </c>
      <c r="R884" s="4">
        <f>IF(Table1[[#This Row],[Target]]&gt;=Table1[[#This Row],[Last value]],1,0)</f>
        <v>1</v>
      </c>
      <c r="S884" s="4" t="str">
        <f t="shared" si="22"/>
        <v>Green</v>
      </c>
      <c r="T884" s="55">
        <v>2.76</v>
      </c>
      <c r="U884" s="55">
        <v>2.9</v>
      </c>
      <c r="V884" s="55">
        <v>3.87</v>
      </c>
      <c r="W884" s="55">
        <v>0</v>
      </c>
      <c r="X884" s="55">
        <v>2.5</v>
      </c>
      <c r="Y884" s="55">
        <v>0</v>
      </c>
      <c r="Z884" s="55">
        <v>2.5</v>
      </c>
      <c r="AA884" s="55">
        <v>3.09</v>
      </c>
      <c r="AB884" s="55">
        <v>3.6</v>
      </c>
      <c r="AC884" s="55">
        <v>3.46</v>
      </c>
      <c r="AD884" s="55">
        <v>2.2999999999999998</v>
      </c>
      <c r="AE884" s="55">
        <v>1.1499999999999999</v>
      </c>
      <c r="AF884" s="55">
        <v>2.7</v>
      </c>
      <c r="AG884" s="55">
        <v>2.7</v>
      </c>
      <c r="AH884" s="55">
        <v>2.5</v>
      </c>
      <c r="AI884" s="55">
        <v>0</v>
      </c>
      <c r="AJ884" s="55">
        <v>1.26</v>
      </c>
      <c r="AK884" s="55">
        <v>0.99</v>
      </c>
      <c r="AL884" s="55">
        <v>2.5</v>
      </c>
      <c r="AM884" s="55">
        <v>1.86</v>
      </c>
      <c r="AN884" s="55">
        <v>1.63</v>
      </c>
      <c r="AO884" s="55">
        <v>3.5</v>
      </c>
      <c r="AP884" s="55">
        <v>3.36</v>
      </c>
      <c r="AQ884" s="55">
        <v>2.36</v>
      </c>
      <c r="AR884" s="9">
        <v>1.63</v>
      </c>
      <c r="AS884" s="9">
        <v>5.9</v>
      </c>
      <c r="AT884" s="9">
        <v>2.4500000000000002</v>
      </c>
      <c r="AU884" s="50">
        <v>1.79</v>
      </c>
      <c r="AV884" s="50">
        <v>2.92</v>
      </c>
      <c r="AW884" s="50">
        <v>2.58</v>
      </c>
      <c r="AX884" s="50">
        <v>1.92</v>
      </c>
      <c r="AY884" s="50">
        <v>2.3199999999999998</v>
      </c>
      <c r="AZ884" s="50">
        <v>4.3</v>
      </c>
      <c r="BA884" s="50">
        <v>4.7</v>
      </c>
      <c r="BB884" s="50">
        <v>1.3</v>
      </c>
      <c r="BC884" s="55">
        <v>4.0999999999999996</v>
      </c>
      <c r="BD884" s="55">
        <v>0</v>
      </c>
      <c r="BE884" s="11">
        <v>2.6459999999999999</v>
      </c>
      <c r="BF884" s="4">
        <v>4.8659999999999997</v>
      </c>
      <c r="BG884" s="4">
        <v>4.5730000000000004</v>
      </c>
      <c r="BH884" s="4">
        <v>4.3070000000000004</v>
      </c>
      <c r="BI884" s="4">
        <v>3.2109999999999999</v>
      </c>
      <c r="BJ884" s="13">
        <v>4.4980000000000002</v>
      </c>
      <c r="BK884" s="13">
        <v>2.8660000000000001</v>
      </c>
      <c r="BL884" s="4">
        <v>4.4980000000000002</v>
      </c>
      <c r="BM884" s="16">
        <v>2.9430000000000001</v>
      </c>
      <c r="BN884" s="4">
        <v>1.742</v>
      </c>
      <c r="BO884" s="4">
        <v>2.17</v>
      </c>
      <c r="BP884" s="4">
        <v>3.0129999999999999</v>
      </c>
      <c r="BQ884" s="4">
        <v>0</v>
      </c>
      <c r="BR884" s="4">
        <v>2.0859999999999999</v>
      </c>
      <c r="BS884" s="4">
        <v>2.734</v>
      </c>
      <c r="BT884" s="4">
        <v>2.4620000000000002</v>
      </c>
      <c r="BU884" s="4">
        <v>2.613</v>
      </c>
      <c r="BV884" s="4">
        <v>1.5649999999999999</v>
      </c>
      <c r="BW884" s="4">
        <v>3.427</v>
      </c>
      <c r="BX884" s="4">
        <v>3.23</v>
      </c>
      <c r="BY884" s="4">
        <v>3.3839999999999999</v>
      </c>
      <c r="BZ884" s="55">
        <v>1.25</v>
      </c>
      <c r="CA884" s="55">
        <v>3.38</v>
      </c>
      <c r="CB884" s="55">
        <v>2.2999999999999998</v>
      </c>
      <c r="CC884" s="55">
        <v>0</v>
      </c>
      <c r="CD884" s="55">
        <v>2.74</v>
      </c>
      <c r="CE884" s="19">
        <v>1.2</v>
      </c>
      <c r="CF884" s="19">
        <v>0</v>
      </c>
      <c r="CG884" s="4">
        <v>0</v>
      </c>
      <c r="CH884" s="4">
        <v>3.76</v>
      </c>
      <c r="CI884" s="4">
        <v>0</v>
      </c>
      <c r="CJ884" s="34">
        <v>2</v>
      </c>
      <c r="CK884" s="34">
        <v>1.9</v>
      </c>
      <c r="CL884" s="43">
        <v>2.6</v>
      </c>
      <c r="CM884" s="4">
        <v>1.9</v>
      </c>
      <c r="CN884" s="53">
        <v>1.5</v>
      </c>
      <c r="CO884" s="54">
        <v>3.1</v>
      </c>
      <c r="CP884" s="54">
        <v>1.6</v>
      </c>
      <c r="CQ884" s="4">
        <v>1.9</v>
      </c>
    </row>
    <row r="885" spans="1:95" s="55" customFormat="1" x14ac:dyDescent="0.35">
      <c r="A885" s="55">
        <v>884</v>
      </c>
      <c r="B885" s="55" t="s">
        <v>108</v>
      </c>
      <c r="C885" s="27" t="s">
        <v>625</v>
      </c>
      <c r="D885" s="50" t="s">
        <v>93</v>
      </c>
      <c r="E885" s="33" t="s">
        <v>91</v>
      </c>
      <c r="F885" s="4">
        <f>IFERROR(AVERAGEIF(Table1[[#This Row],[2019-Apr]:[2025-July]],"&lt;&gt;0"),0)</f>
        <v>4.5735294117647074</v>
      </c>
      <c r="G885" s="4">
        <f ca="1">IFERROR(AVERAGEIF(OFFSET(Table1[[#This Row],[Status]],0,COUNT(Table1[[#This Row],[2019-May]:[2025-July]]),1,-12),"&lt;&gt;0"),0)</f>
        <v>3.0666666666666664</v>
      </c>
      <c r="H885" s="55">
        <f>IFERROR(SMALL(Table1[[#This Row],[2019-Apr]:[2025-July]],COUNTIF(Table1[[#This Row],[2019-Apr]:[2025-July]],0)+1),0)</f>
        <v>2.8</v>
      </c>
      <c r="I885" s="55">
        <f>IFERROR(MAX(Table1[[#This Row],[2019-Apr]:[2025-July]]),0)</f>
        <v>7.63</v>
      </c>
      <c r="J885" s="4" cm="1">
        <f t="array" ref="J88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3.0149999999999992</v>
      </c>
      <c r="K885" s="4">
        <v>4.5</v>
      </c>
      <c r="L885" s="4">
        <f>IF(Table1[[#This Row],[Standard as per ISO]]&gt;=Table1[[#This Row],[Avg of best 6]],Table1[[#This Row],[Standard as per ISO]],Table1[[#This Row],[Avg of best 6]])</f>
        <v>4.5</v>
      </c>
      <c r="M885" s="4" cm="1">
        <f t="array" ref="M885">IFERROR(LOOKUP(2,1/(Table1[[#This Row],[2019-May]:[2025-July]]&lt;&gt;0),Table1[[#This Row],[2019-May]:[2025-July]]),0)</f>
        <v>3.2</v>
      </c>
      <c r="N885" s="4">
        <f>COUNTIF(Table1[[#This Row],[2019-Apr]:[2025-July]],"&gt;="&amp;Table1[[#This Row],[Target]])</f>
        <v>31</v>
      </c>
      <c r="O885" s="4">
        <f>IF(Table1[[#This Row],[Outliers 2Y]]=0,1,0)</f>
        <v>0</v>
      </c>
      <c r="P885" s="4">
        <f>IF(Table1[[#This Row],[Last value]]&gt;1.5*Table1[[#This Row],[Target]],1,0)</f>
        <v>0</v>
      </c>
      <c r="Q885" s="4">
        <f>IF(AND(1.5*Table1[[#This Row],[Target]]&gt;=Table1[[#This Row],[Last value]],Table1[[#This Row],[Last value]]&gt;Table1[[#This Row],[Target]]),1,0)</f>
        <v>0</v>
      </c>
      <c r="R885" s="4">
        <f>IF(Table1[[#This Row],[Target]]&gt;=Table1[[#This Row],[Last value]],1,0)</f>
        <v>1</v>
      </c>
      <c r="S885" s="4" t="str">
        <f t="shared" si="22"/>
        <v>Green</v>
      </c>
      <c r="T885" s="55">
        <v>3.72</v>
      </c>
      <c r="U885" s="55">
        <v>4.3499999999999996</v>
      </c>
      <c r="V885" s="55">
        <v>6.01</v>
      </c>
      <c r="W885" s="55">
        <v>3.44</v>
      </c>
      <c r="X885" s="55">
        <v>3.78</v>
      </c>
      <c r="Y885" s="55">
        <v>4.43</v>
      </c>
      <c r="Z885" s="55">
        <v>4.3600000000000003</v>
      </c>
      <c r="AA885" s="55">
        <v>4.66</v>
      </c>
      <c r="AB885" s="55">
        <v>5.08</v>
      </c>
      <c r="AC885" s="55">
        <v>4.3</v>
      </c>
      <c r="AD885" s="55">
        <v>5</v>
      </c>
      <c r="AE885" s="55">
        <v>5.74</v>
      </c>
      <c r="AF885" s="55">
        <v>6.1</v>
      </c>
      <c r="AG885" s="55">
        <v>5.8</v>
      </c>
      <c r="AH885" s="55">
        <v>4.4000000000000004</v>
      </c>
      <c r="AI885" s="55">
        <v>4.78</v>
      </c>
      <c r="AJ885" s="55">
        <v>4.8099999999999996</v>
      </c>
      <c r="AK885" s="55">
        <v>4.8600000000000003</v>
      </c>
      <c r="AL885" s="55">
        <v>4.3899999999999997</v>
      </c>
      <c r="AM885" s="55">
        <v>7.23</v>
      </c>
      <c r="AN885" s="55">
        <v>4.0999999999999996</v>
      </c>
      <c r="AO885" s="55">
        <v>5.09</v>
      </c>
      <c r="AP885" s="55">
        <v>5.13</v>
      </c>
      <c r="AQ885" s="55">
        <v>5.58</v>
      </c>
      <c r="AR885" s="8">
        <v>5.38</v>
      </c>
      <c r="AS885" s="8">
        <v>5.7</v>
      </c>
      <c r="AT885" s="8">
        <v>4.3600000000000003</v>
      </c>
      <c r="AU885" s="50">
        <v>7.22</v>
      </c>
      <c r="AV885" s="50">
        <v>5.18</v>
      </c>
      <c r="AW885" s="50">
        <v>7.63</v>
      </c>
      <c r="AX885" s="50">
        <v>6.47</v>
      </c>
      <c r="AY885" s="50">
        <v>6.37</v>
      </c>
      <c r="AZ885" s="50">
        <v>4.8</v>
      </c>
      <c r="BA885" s="50">
        <v>4.7</v>
      </c>
      <c r="BB885" s="50">
        <v>3.7</v>
      </c>
      <c r="BC885" s="55">
        <v>4.5</v>
      </c>
      <c r="BD885" s="55">
        <v>0</v>
      </c>
      <c r="BE885" s="11">
        <v>5.2039999999999997</v>
      </c>
      <c r="BF885" s="4">
        <v>5.234</v>
      </c>
      <c r="BG885" s="4">
        <v>4.7279999999999998</v>
      </c>
      <c r="BH885" s="4">
        <v>3.84</v>
      </c>
      <c r="BI885" s="4">
        <v>3.903</v>
      </c>
      <c r="BJ885" s="14">
        <v>3.9220000000000002</v>
      </c>
      <c r="BK885" s="14">
        <v>3.8290000000000002</v>
      </c>
      <c r="BL885" s="4">
        <v>3.7490000000000001</v>
      </c>
      <c r="BM885" s="17">
        <v>4.4450000000000003</v>
      </c>
      <c r="BN885" s="4">
        <v>4.9569999999999999</v>
      </c>
      <c r="BO885" s="4">
        <v>5.1189999999999998</v>
      </c>
      <c r="BP885" s="4">
        <v>4.9909999999999997</v>
      </c>
      <c r="BQ885" s="4">
        <v>4.5620000000000003</v>
      </c>
      <c r="BR885" s="4">
        <v>4.226</v>
      </c>
      <c r="BS885" s="4">
        <v>4.2679999999999998</v>
      </c>
      <c r="BT885" s="4">
        <v>4.1669999999999998</v>
      </c>
      <c r="BU885" s="4">
        <v>3.653</v>
      </c>
      <c r="BV885" s="4">
        <v>4.3520000000000003</v>
      </c>
      <c r="BW885" s="4">
        <v>3.956</v>
      </c>
      <c r="BX885" s="4">
        <v>3.6030000000000002</v>
      </c>
      <c r="BY885" s="4">
        <v>3.4119999999999999</v>
      </c>
      <c r="BZ885" s="55">
        <v>4.2300000000000004</v>
      </c>
      <c r="CA885" s="55">
        <v>4.2</v>
      </c>
      <c r="CB885" s="55">
        <v>4.42</v>
      </c>
      <c r="CC885" s="55">
        <v>3.35</v>
      </c>
      <c r="CD885" s="55">
        <v>3.13</v>
      </c>
      <c r="CE885" s="19">
        <v>2.8</v>
      </c>
      <c r="CF885" s="19">
        <v>3</v>
      </c>
      <c r="CG885" s="4">
        <v>2.92</v>
      </c>
      <c r="CH885" s="4">
        <v>3.04</v>
      </c>
      <c r="CI885" s="4">
        <v>3.44</v>
      </c>
      <c r="CJ885" s="34">
        <v>3.2</v>
      </c>
      <c r="CK885" s="34">
        <v>0</v>
      </c>
      <c r="CL885" s="34">
        <v>0</v>
      </c>
      <c r="CM885" s="4">
        <v>0</v>
      </c>
      <c r="CN885" s="53">
        <v>0</v>
      </c>
      <c r="CO885" s="54">
        <v>0</v>
      </c>
      <c r="CP885" s="54">
        <v>0</v>
      </c>
      <c r="CQ885" s="4">
        <v>0</v>
      </c>
    </row>
    <row r="886" spans="1:95" s="55" customFormat="1" x14ac:dyDescent="0.35">
      <c r="A886" s="55">
        <v>885</v>
      </c>
      <c r="B886" s="55" t="s">
        <v>108</v>
      </c>
      <c r="C886" s="27" t="s">
        <v>626</v>
      </c>
      <c r="D886" s="50" t="s">
        <v>93</v>
      </c>
      <c r="E886" s="33" t="s">
        <v>91</v>
      </c>
      <c r="F886" s="4">
        <f>IFERROR(AVERAGEIF(Table1[[#This Row],[2019-Apr]:[2025-July]],"&lt;&gt;0"),0)</f>
        <v>5.232313432835821</v>
      </c>
      <c r="G886" s="4">
        <f ca="1">IFERROR(AVERAGEIF(OFFSET(Table1[[#This Row],[Status]],0,COUNT(Table1[[#This Row],[2019-May]:[2025-July]]),1,-12),"&lt;&gt;0"),0)</f>
        <v>4.846000000000001</v>
      </c>
      <c r="H886" s="55">
        <f>IFERROR(SMALL(Table1[[#This Row],[2019-Apr]:[2025-July]],COUNTIF(Table1[[#This Row],[2019-Apr]:[2025-July]],0)+1),0)</f>
        <v>2.86</v>
      </c>
      <c r="I886" s="55">
        <f>IFERROR(MAX(Table1[[#This Row],[2019-Apr]:[2025-July]]),0)</f>
        <v>10.66</v>
      </c>
      <c r="J886" s="4" cm="1">
        <f t="array" ref="J88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3.1650000000000005</v>
      </c>
      <c r="K886" s="4">
        <v>4.5</v>
      </c>
      <c r="L886" s="4">
        <f>IF(Table1[[#This Row],[Standard as per ISO]]&gt;=Table1[[#This Row],[Avg of best 6]],Table1[[#This Row],[Standard as per ISO]],Table1[[#This Row],[Avg of best 6]])</f>
        <v>4.5</v>
      </c>
      <c r="M886" s="4" cm="1">
        <f t="array" ref="M886">IFERROR(LOOKUP(2,1/(Table1[[#This Row],[2019-May]:[2025-July]]&lt;&gt;0),Table1[[#This Row],[2019-May]:[2025-July]]),0)</f>
        <v>4.9000000000000004</v>
      </c>
      <c r="N886" s="4">
        <f>COUNTIF(Table1[[#This Row],[2019-Apr]:[2025-July]],"&gt;="&amp;Table1[[#This Row],[Target]])</f>
        <v>46</v>
      </c>
      <c r="O886" s="4">
        <f>IF(Table1[[#This Row],[Outliers 2Y]]=0,1,0)</f>
        <v>0</v>
      </c>
      <c r="P886" s="4">
        <f>IF(Table1[[#This Row],[Last value]]&gt;1.5*Table1[[#This Row],[Target]],1,0)</f>
        <v>0</v>
      </c>
      <c r="Q886" s="4">
        <f>IF(AND(1.5*Table1[[#This Row],[Target]]&gt;=Table1[[#This Row],[Last value]],Table1[[#This Row],[Last value]]&gt;Table1[[#This Row],[Target]]),1,0)</f>
        <v>1</v>
      </c>
      <c r="R886" s="4">
        <f>IF(Table1[[#This Row],[Target]]&gt;=Table1[[#This Row],[Last value]],1,0)</f>
        <v>0</v>
      </c>
      <c r="S886" s="4" t="str">
        <f t="shared" si="22"/>
        <v>Yellow</v>
      </c>
      <c r="T886" s="55">
        <v>4.74</v>
      </c>
      <c r="U886" s="55">
        <v>3.23</v>
      </c>
      <c r="V886" s="55">
        <v>3.2</v>
      </c>
      <c r="W886" s="55">
        <v>3.96</v>
      </c>
      <c r="X886" s="55">
        <v>4.07</v>
      </c>
      <c r="Y886" s="55">
        <v>7.37</v>
      </c>
      <c r="Z886" s="55">
        <v>3.99</v>
      </c>
      <c r="AA886" s="55">
        <v>3.97</v>
      </c>
      <c r="AB886" s="55">
        <v>3.67</v>
      </c>
      <c r="AC886" s="55">
        <v>2.9</v>
      </c>
      <c r="AD886" s="55">
        <v>3.9</v>
      </c>
      <c r="AE886" s="55">
        <v>5.9</v>
      </c>
      <c r="AF886" s="55">
        <v>7.1</v>
      </c>
      <c r="AG886" s="55">
        <v>5.9</v>
      </c>
      <c r="AH886" s="55">
        <v>5.5</v>
      </c>
      <c r="AI886" s="55">
        <v>6.98</v>
      </c>
      <c r="AJ886" s="55">
        <v>4.58</v>
      </c>
      <c r="AK886" s="55">
        <v>5.67</v>
      </c>
      <c r="AL886" s="55">
        <v>6.73</v>
      </c>
      <c r="AM886" s="55">
        <v>5.37</v>
      </c>
      <c r="AN886" s="55">
        <v>5.0199999999999996</v>
      </c>
      <c r="AO886" s="55">
        <v>3.48</v>
      </c>
      <c r="AP886" s="55">
        <v>3.72</v>
      </c>
      <c r="AQ886" s="55">
        <v>4.2300000000000004</v>
      </c>
      <c r="AR886" s="8">
        <v>3.32</v>
      </c>
      <c r="AS886" s="8">
        <v>2.86</v>
      </c>
      <c r="AT886" s="8">
        <v>3.51</v>
      </c>
      <c r="AU886" s="50">
        <v>3.94</v>
      </c>
      <c r="AV886" s="50">
        <v>4.13</v>
      </c>
      <c r="AW886" s="50">
        <v>4.49</v>
      </c>
      <c r="AX886" s="50">
        <v>4.2</v>
      </c>
      <c r="AY886" s="50">
        <v>7.43</v>
      </c>
      <c r="AZ886" s="50">
        <v>5.53</v>
      </c>
      <c r="BA886" s="50">
        <v>6</v>
      </c>
      <c r="BB886" s="50">
        <v>6</v>
      </c>
      <c r="BC886" s="55">
        <v>6.9</v>
      </c>
      <c r="BD886" s="55">
        <v>0</v>
      </c>
      <c r="BE886" s="11">
        <v>5.6420000000000003</v>
      </c>
      <c r="BF886" s="4">
        <v>4.6449999999999996</v>
      </c>
      <c r="BG886" s="4">
        <v>4.6449999999999996</v>
      </c>
      <c r="BH886" s="4">
        <v>4.66</v>
      </c>
      <c r="BI886" s="4">
        <v>5.3730000000000002</v>
      </c>
      <c r="BJ886" s="13">
        <v>4.7960000000000003</v>
      </c>
      <c r="BK886" s="13">
        <v>5.8390000000000004</v>
      </c>
      <c r="BL886" s="4">
        <v>4.9269999999999996</v>
      </c>
      <c r="BM886" s="16">
        <v>9.8160000000000007</v>
      </c>
      <c r="BN886" s="4">
        <v>7.5309999999999997</v>
      </c>
      <c r="BO886" s="4">
        <v>7.5730000000000004</v>
      </c>
      <c r="BP886" s="4">
        <v>6.1769999999999996</v>
      </c>
      <c r="BQ886" s="4">
        <v>4.8390000000000004</v>
      </c>
      <c r="BR886" s="4">
        <v>5.5789999999999997</v>
      </c>
      <c r="BS886" s="4">
        <v>4.9530000000000003</v>
      </c>
      <c r="BT886" s="4">
        <v>4.29</v>
      </c>
      <c r="BU886" s="4">
        <v>5.2489999999999997</v>
      </c>
      <c r="BV886" s="4">
        <v>7.4210000000000003</v>
      </c>
      <c r="BW886" s="4">
        <v>6.2430000000000003</v>
      </c>
      <c r="BX886" s="4">
        <v>4.8129999999999997</v>
      </c>
      <c r="BY886" s="4">
        <v>5.1840000000000002</v>
      </c>
      <c r="BZ886" s="55">
        <v>5.14</v>
      </c>
      <c r="CA886" s="55">
        <v>6.28</v>
      </c>
      <c r="CB886" s="55">
        <v>10.66</v>
      </c>
      <c r="CC886" s="55">
        <v>5.29</v>
      </c>
      <c r="CD886" s="55">
        <v>5.28</v>
      </c>
      <c r="CE886" s="20">
        <v>0</v>
      </c>
      <c r="CF886" s="19">
        <v>6.2</v>
      </c>
      <c r="CG886" s="4">
        <v>4.78</v>
      </c>
      <c r="CH886" s="4">
        <v>4.6900000000000004</v>
      </c>
      <c r="CI886" s="4">
        <v>3.66</v>
      </c>
      <c r="CJ886" s="34">
        <v>4.9000000000000004</v>
      </c>
      <c r="CK886" s="34">
        <v>0</v>
      </c>
      <c r="CL886" s="34">
        <v>0</v>
      </c>
      <c r="CM886" s="4">
        <v>0</v>
      </c>
      <c r="CN886" s="53">
        <v>0</v>
      </c>
      <c r="CO886" s="54">
        <v>0</v>
      </c>
      <c r="CP886" s="54">
        <v>0</v>
      </c>
      <c r="CQ886" s="4">
        <v>0</v>
      </c>
    </row>
    <row r="887" spans="1:95" s="55" customFormat="1" x14ac:dyDescent="0.35">
      <c r="A887" s="55">
        <v>886</v>
      </c>
      <c r="B887" s="55" t="s">
        <v>108</v>
      </c>
      <c r="C887" s="27" t="s">
        <v>627</v>
      </c>
      <c r="D887" s="50" t="s">
        <v>93</v>
      </c>
      <c r="E887" s="33" t="s">
        <v>91</v>
      </c>
      <c r="F887" s="4">
        <f>IFERROR(AVERAGEIF(Table1[[#This Row],[2019-Apr]:[2025-July]],"&lt;&gt;0"),0)</f>
        <v>3.9230303030303033</v>
      </c>
      <c r="G887" s="4">
        <f ca="1">IFERROR(AVERAGEIF(OFFSET(Table1[[#This Row],[Status]],0,COUNT(Table1[[#This Row],[2019-May]:[2025-July]]),1,-12),"&lt;&gt;0"),0)</f>
        <v>2.3260000000000001</v>
      </c>
      <c r="H887" s="55">
        <f>IFERROR(SMALL(Table1[[#This Row],[2019-Apr]:[2025-July]],COUNTIF(Table1[[#This Row],[2019-Apr]:[2025-July]],0)+1),0)</f>
        <v>1.67</v>
      </c>
      <c r="I887" s="55">
        <f>IFERROR(MAX(Table1[[#This Row],[2019-Apr]:[2025-July]]),0)</f>
        <v>22</v>
      </c>
      <c r="J887" s="4" cm="1">
        <f t="array" ref="J88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1.9509999999999998</v>
      </c>
      <c r="K887" s="4">
        <v>4.5</v>
      </c>
      <c r="L887" s="4">
        <f>IF(Table1[[#This Row],[Standard as per ISO]]&gt;=Table1[[#This Row],[Avg of best 6]],Table1[[#This Row],[Standard as per ISO]],Table1[[#This Row],[Avg of best 6]])</f>
        <v>4.5</v>
      </c>
      <c r="M887" s="4" cm="1">
        <f t="array" ref="M887">IFERROR(LOOKUP(2,1/(Table1[[#This Row],[2019-May]:[2025-July]]&lt;&gt;0),Table1[[#This Row],[2019-May]:[2025-July]]),0)</f>
        <v>2</v>
      </c>
      <c r="N887" s="4">
        <f>COUNTIF(Table1[[#This Row],[2019-Apr]:[2025-July]],"&gt;="&amp;Table1[[#This Row],[Target]])</f>
        <v>14</v>
      </c>
      <c r="O887" s="4">
        <f>IF(Table1[[#This Row],[Outliers 2Y]]=0,1,0)</f>
        <v>0</v>
      </c>
      <c r="P887" s="4">
        <f>IF(Table1[[#This Row],[Last value]]&gt;1.5*Table1[[#This Row],[Target]],1,0)</f>
        <v>0</v>
      </c>
      <c r="Q887" s="4">
        <f>IF(AND(1.5*Table1[[#This Row],[Target]]&gt;=Table1[[#This Row],[Last value]],Table1[[#This Row],[Last value]]&gt;Table1[[#This Row],[Target]]),1,0)</f>
        <v>0</v>
      </c>
      <c r="R887" s="4">
        <f>IF(Table1[[#This Row],[Target]]&gt;=Table1[[#This Row],[Last value]],1,0)</f>
        <v>1</v>
      </c>
      <c r="S887" s="4" t="str">
        <f t="shared" si="22"/>
        <v>Green</v>
      </c>
      <c r="T887" s="55">
        <v>5.72</v>
      </c>
      <c r="U887" s="55">
        <v>22</v>
      </c>
      <c r="V887" s="55">
        <v>3</v>
      </c>
      <c r="W887" s="55">
        <v>3.06</v>
      </c>
      <c r="X887" s="55">
        <v>3.18</v>
      </c>
      <c r="Y887" s="55">
        <v>2.6</v>
      </c>
      <c r="Z887" s="55">
        <v>2.9</v>
      </c>
      <c r="AA887" s="55">
        <v>0</v>
      </c>
      <c r="AB887" s="55">
        <v>3.28</v>
      </c>
      <c r="AC887" s="55">
        <v>2.9</v>
      </c>
      <c r="AD887" s="55">
        <v>2.8</v>
      </c>
      <c r="AE887" s="55">
        <v>3.25</v>
      </c>
      <c r="AF887" s="55">
        <v>2.9</v>
      </c>
      <c r="AG887" s="55">
        <v>2.8</v>
      </c>
      <c r="AH887" s="55">
        <v>2.4</v>
      </c>
      <c r="AI887" s="55">
        <v>5.94</v>
      </c>
      <c r="AJ887" s="55">
        <v>2.86</v>
      </c>
      <c r="AK887" s="55">
        <v>5.16</v>
      </c>
      <c r="AL887" s="55">
        <v>3.44</v>
      </c>
      <c r="AM887" s="55">
        <v>4.83</v>
      </c>
      <c r="AN887" s="55">
        <v>5.82</v>
      </c>
      <c r="AO887" s="55">
        <v>4.1900000000000004</v>
      </c>
      <c r="AP887" s="55">
        <v>4.71</v>
      </c>
      <c r="AQ887" s="55">
        <v>5.46</v>
      </c>
      <c r="AR887" s="8">
        <v>5.14</v>
      </c>
      <c r="AS887" s="8">
        <v>3.2</v>
      </c>
      <c r="AT887" s="8">
        <v>3.65</v>
      </c>
      <c r="AU887" s="50">
        <v>4.3</v>
      </c>
      <c r="AV887" s="50">
        <v>3.67</v>
      </c>
      <c r="AW887" s="50">
        <v>4.4000000000000004</v>
      </c>
      <c r="AX887" s="50">
        <v>4.0599999999999996</v>
      </c>
      <c r="AY887" s="50">
        <v>6.24</v>
      </c>
      <c r="AZ887" s="50">
        <v>6.1</v>
      </c>
      <c r="BA887" s="50">
        <v>3.2</v>
      </c>
      <c r="BB887" s="50">
        <v>3.4</v>
      </c>
      <c r="BC887" s="55">
        <v>3.1</v>
      </c>
      <c r="BD887" s="55">
        <v>0</v>
      </c>
      <c r="BE887" s="11">
        <v>2.9119999999999999</v>
      </c>
      <c r="BF887" s="4">
        <v>3.36</v>
      </c>
      <c r="BG887" s="4">
        <v>3.36</v>
      </c>
      <c r="BH887" s="4">
        <v>4.4219999999999997</v>
      </c>
      <c r="BI887" s="4">
        <v>3.91</v>
      </c>
      <c r="BJ887" s="14">
        <v>4.0830000000000002</v>
      </c>
      <c r="BK887" s="14">
        <v>3.871</v>
      </c>
      <c r="BL887" s="4">
        <v>5.1189999999999998</v>
      </c>
      <c r="BM887" s="17">
        <v>3.7759999999999998</v>
      </c>
      <c r="BN887" s="4">
        <v>8.9350000000000005</v>
      </c>
      <c r="BO887" s="4">
        <v>8.423</v>
      </c>
      <c r="BP887" s="4">
        <v>2.298</v>
      </c>
      <c r="BQ887" s="4">
        <v>2.2309999999999999</v>
      </c>
      <c r="BR887" s="4">
        <v>4.0019999999999998</v>
      </c>
      <c r="BS887" s="4">
        <v>3.4319999999999999</v>
      </c>
      <c r="BT887" s="4">
        <v>2.7679999999999998</v>
      </c>
      <c r="BU887" s="4">
        <v>2.2389999999999999</v>
      </c>
      <c r="BV887" s="4">
        <v>2.6110000000000002</v>
      </c>
      <c r="BW887" s="4">
        <v>1.8360000000000001</v>
      </c>
      <c r="BX887" s="4">
        <v>2.8420000000000001</v>
      </c>
      <c r="BY887" s="4">
        <v>2.6</v>
      </c>
      <c r="BZ887" s="55">
        <v>2.6</v>
      </c>
      <c r="CA887" s="55">
        <v>2.48</v>
      </c>
      <c r="CB887" s="55">
        <v>2.57</v>
      </c>
      <c r="CC887" s="55">
        <v>2.69</v>
      </c>
      <c r="CD887" s="55">
        <v>2.2599999999999998</v>
      </c>
      <c r="CE887" s="20">
        <v>0</v>
      </c>
      <c r="CF887" s="19">
        <v>2.4</v>
      </c>
      <c r="CG887" s="4">
        <v>3.83</v>
      </c>
      <c r="CH887" s="4">
        <v>1.67</v>
      </c>
      <c r="CI887" s="4">
        <v>1.73</v>
      </c>
      <c r="CJ887" s="34">
        <v>2</v>
      </c>
      <c r="CK887" s="34">
        <v>0</v>
      </c>
      <c r="CL887" s="34">
        <v>0</v>
      </c>
      <c r="CM887" s="4">
        <v>0</v>
      </c>
      <c r="CN887" s="53">
        <v>0</v>
      </c>
      <c r="CO887" s="54">
        <v>0</v>
      </c>
      <c r="CP887" s="54">
        <v>0</v>
      </c>
      <c r="CQ887" s="4">
        <v>0</v>
      </c>
    </row>
    <row r="888" spans="1:95" s="55" customFormat="1" x14ac:dyDescent="0.35">
      <c r="A888" s="55">
        <v>887</v>
      </c>
      <c r="B888" s="55" t="s">
        <v>108</v>
      </c>
      <c r="C888" s="27" t="s">
        <v>628</v>
      </c>
      <c r="D888" s="50" t="s">
        <v>93</v>
      </c>
      <c r="E888" s="33" t="s">
        <v>91</v>
      </c>
      <c r="F888" s="4">
        <f>IFERROR(AVERAGEIF(Table1[[#This Row],[2019-Apr]:[2025-July]],"&lt;&gt;0"),0)</f>
        <v>3.9683230769230766</v>
      </c>
      <c r="G888" s="4">
        <f ca="1">IFERROR(AVERAGEIF(OFFSET(Table1[[#This Row],[Status]],0,COUNT(Table1[[#This Row],[2019-May]:[2025-July]]),1,-12),"&lt;&gt;0"),0)</f>
        <v>3.45</v>
      </c>
      <c r="H888" s="55">
        <f>IFERROR(SMALL(Table1[[#This Row],[2019-Apr]:[2025-July]],COUNTIF(Table1[[#This Row],[2019-Apr]:[2025-July]],0)+1),0)</f>
        <v>1.4</v>
      </c>
      <c r="I888" s="55">
        <f>IFERROR(MAX(Table1[[#This Row],[2019-Apr]:[2025-July]]),0)</f>
        <v>8.3000000000000007</v>
      </c>
      <c r="J888" s="4" cm="1">
        <f t="array" ref="J88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2.2479999999999998</v>
      </c>
      <c r="K888" s="4">
        <v>4.5</v>
      </c>
      <c r="L888" s="4">
        <f>IF(Table1[[#This Row],[Standard as per ISO]]&gt;=Table1[[#This Row],[Avg of best 6]],Table1[[#This Row],[Standard as per ISO]],Table1[[#This Row],[Avg of best 6]])</f>
        <v>4.5</v>
      </c>
      <c r="M888" s="4" cm="1">
        <f t="array" ref="M888">IFERROR(LOOKUP(2,1/(Table1[[#This Row],[2019-May]:[2025-July]]&lt;&gt;0),Table1[[#This Row],[2019-May]:[2025-July]]),0)</f>
        <v>3.37</v>
      </c>
      <c r="N888" s="4">
        <f>COUNTIF(Table1[[#This Row],[2019-Apr]:[2025-July]],"&gt;="&amp;Table1[[#This Row],[Target]])</f>
        <v>20</v>
      </c>
      <c r="O888" s="4">
        <f>IF(Table1[[#This Row],[Outliers 2Y]]=0,1,0)</f>
        <v>0</v>
      </c>
      <c r="P888" s="4">
        <f>IF(Table1[[#This Row],[Last value]]&gt;1.5*Table1[[#This Row],[Target]],1,0)</f>
        <v>0</v>
      </c>
      <c r="Q888" s="4">
        <f>IF(AND(1.5*Table1[[#This Row],[Target]]&gt;=Table1[[#This Row],[Last value]],Table1[[#This Row],[Last value]]&gt;Table1[[#This Row],[Target]]),1,0)</f>
        <v>0</v>
      </c>
      <c r="R888" s="4">
        <f>IF(Table1[[#This Row],[Target]]&gt;=Table1[[#This Row],[Last value]],1,0)</f>
        <v>1</v>
      </c>
      <c r="S888" s="4" t="str">
        <f t="shared" si="22"/>
        <v>Green</v>
      </c>
      <c r="T888" s="55">
        <v>4.2699999999999996</v>
      </c>
      <c r="U888" s="55">
        <v>5.76</v>
      </c>
      <c r="V888" s="55">
        <v>5.43</v>
      </c>
      <c r="W888" s="55">
        <v>5.7</v>
      </c>
      <c r="X888" s="55">
        <v>6.11</v>
      </c>
      <c r="Y888" s="55">
        <v>5.23</v>
      </c>
      <c r="Z888" s="55">
        <v>3.97</v>
      </c>
      <c r="AA888" s="55">
        <v>3.61</v>
      </c>
      <c r="AB888" s="55">
        <v>3.5</v>
      </c>
      <c r="AC888" s="55">
        <v>3</v>
      </c>
      <c r="AD888" s="55">
        <v>3</v>
      </c>
      <c r="AE888" s="55">
        <v>3.8</v>
      </c>
      <c r="AF888" s="55">
        <v>4.8</v>
      </c>
      <c r="AG888" s="55">
        <v>3.2</v>
      </c>
      <c r="AH888" s="55">
        <v>3.6</v>
      </c>
      <c r="AI888" s="55">
        <v>0</v>
      </c>
      <c r="AJ888" s="55">
        <v>3.03</v>
      </c>
      <c r="AK888" s="55">
        <v>4.5199999999999996</v>
      </c>
      <c r="AL888" s="55">
        <v>4.75</v>
      </c>
      <c r="AM888" s="55">
        <v>5.01</v>
      </c>
      <c r="AN888" s="55">
        <v>5.4</v>
      </c>
      <c r="AO888" s="55">
        <v>5.6</v>
      </c>
      <c r="AP888" s="55">
        <v>4.78</v>
      </c>
      <c r="AQ888" s="55">
        <v>4.97</v>
      </c>
      <c r="AR888" s="8">
        <v>4.25</v>
      </c>
      <c r="AS888" s="8">
        <v>5.5</v>
      </c>
      <c r="AT888" s="8">
        <v>3.65</v>
      </c>
      <c r="AU888" s="50">
        <v>4.54</v>
      </c>
      <c r="AV888" s="50">
        <v>5.93</v>
      </c>
      <c r="AW888" s="50">
        <v>4.9000000000000004</v>
      </c>
      <c r="AX888" s="50">
        <v>8.3000000000000007</v>
      </c>
      <c r="AY888" s="50">
        <v>5.83</v>
      </c>
      <c r="AZ888" s="50">
        <v>5.96</v>
      </c>
      <c r="BA888" s="50">
        <v>2.5</v>
      </c>
      <c r="BB888" s="50">
        <v>1.4</v>
      </c>
      <c r="BC888" s="55">
        <v>2.6</v>
      </c>
      <c r="BD888" s="55">
        <v>0</v>
      </c>
      <c r="BE888" s="11">
        <v>2.56</v>
      </c>
      <c r="BF888" s="4">
        <v>2.5659999999999998</v>
      </c>
      <c r="BG888" s="4">
        <v>2.4540000000000002</v>
      </c>
      <c r="BH888" s="4">
        <v>2.7810000000000001</v>
      </c>
      <c r="BI888" s="4">
        <v>2.8809999999999998</v>
      </c>
      <c r="BJ888" s="13">
        <v>2.9119999999999999</v>
      </c>
      <c r="BK888" s="13">
        <v>3.403</v>
      </c>
      <c r="BL888" s="4">
        <v>3.5779999999999998</v>
      </c>
      <c r="BM888" s="16">
        <v>3.681</v>
      </c>
      <c r="BN888" s="4">
        <v>3.6059999999999999</v>
      </c>
      <c r="BO888" s="4">
        <v>3.8570000000000002</v>
      </c>
      <c r="BP888" s="4">
        <v>3.7759999999999998</v>
      </c>
      <c r="BQ888" s="4">
        <v>3.548</v>
      </c>
      <c r="BR888" s="4">
        <v>2.008</v>
      </c>
      <c r="BS888" s="4">
        <v>3.64</v>
      </c>
      <c r="BT888" s="4">
        <v>3.5960000000000001</v>
      </c>
      <c r="BU888" s="4">
        <v>3.79</v>
      </c>
      <c r="BV888" s="4">
        <v>3.6349999999999998</v>
      </c>
      <c r="BW888" s="4">
        <v>3.39</v>
      </c>
      <c r="BX888" s="4">
        <v>3.1190000000000002</v>
      </c>
      <c r="BY888" s="4">
        <v>3</v>
      </c>
      <c r="BZ888" s="55">
        <v>3</v>
      </c>
      <c r="CA888" s="55">
        <v>3.54</v>
      </c>
      <c r="CB888" s="55">
        <v>3.39</v>
      </c>
      <c r="CC888" s="55">
        <v>4.12</v>
      </c>
      <c r="CD888" s="55">
        <v>3.91</v>
      </c>
      <c r="CE888" s="20">
        <v>0</v>
      </c>
      <c r="CF888" s="19">
        <v>3.6</v>
      </c>
      <c r="CG888" s="4">
        <v>2.91</v>
      </c>
      <c r="CH888" s="4">
        <v>3.92</v>
      </c>
      <c r="CI888" s="4">
        <v>3.37</v>
      </c>
      <c r="CJ888" s="34">
        <v>0</v>
      </c>
      <c r="CK888" s="34">
        <v>0</v>
      </c>
      <c r="CL888" s="34">
        <v>0</v>
      </c>
      <c r="CM888" s="4">
        <v>0</v>
      </c>
      <c r="CN888" s="53">
        <v>0</v>
      </c>
      <c r="CO888" s="54">
        <v>0</v>
      </c>
      <c r="CP888" s="54">
        <v>0</v>
      </c>
      <c r="CQ888" s="4">
        <v>0</v>
      </c>
    </row>
    <row r="889" spans="1:95" s="55" customFormat="1" x14ac:dyDescent="0.35">
      <c r="A889" s="55">
        <v>888</v>
      </c>
      <c r="B889" s="55" t="s">
        <v>108</v>
      </c>
      <c r="C889" s="27" t="s">
        <v>629</v>
      </c>
      <c r="D889" s="50" t="s">
        <v>93</v>
      </c>
      <c r="E889" s="33" t="s">
        <v>91</v>
      </c>
      <c r="F889" s="4">
        <f>IFERROR(AVERAGEIF(Table1[[#This Row],[2019-Apr]:[2025-July]],"&lt;&gt;0"),0)</f>
        <v>4.4271111111111114</v>
      </c>
      <c r="G889" s="4">
        <f ca="1">IFERROR(AVERAGEIF(OFFSET(Table1[[#This Row],[Status]],0,COUNT(Table1[[#This Row],[2019-May]:[2025-July]]),1,-12),"&lt;&gt;0"),0)</f>
        <v>3.1950000000000003</v>
      </c>
      <c r="H889" s="55">
        <f>IFERROR(SMALL(Table1[[#This Row],[2019-Apr]:[2025-July]],COUNTIF(Table1[[#This Row],[2019-Apr]:[2025-July]],0)+1),0)</f>
        <v>1.2</v>
      </c>
      <c r="I889" s="55">
        <f>IFERROR(MAX(Table1[[#This Row],[2019-Apr]:[2025-July]]),0)</f>
        <v>10.1</v>
      </c>
      <c r="J889" s="4" cm="1">
        <f t="array" ref="J88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1.4710000000000001</v>
      </c>
      <c r="K889" s="4">
        <v>4.5</v>
      </c>
      <c r="L889" s="4">
        <f>IF(Table1[[#This Row],[Standard as per ISO]]&gt;=Table1[[#This Row],[Avg of best 6]],Table1[[#This Row],[Standard as per ISO]],Table1[[#This Row],[Avg of best 6]])</f>
        <v>4.5</v>
      </c>
      <c r="M889" s="4" cm="1">
        <f t="array" ref="M889">IFERROR(LOOKUP(2,1/(Table1[[#This Row],[2019-May]:[2025-July]]&lt;&gt;0),Table1[[#This Row],[2019-May]:[2025-July]]),0)</f>
        <v>3.59</v>
      </c>
      <c r="N889" s="4">
        <f>COUNTIF(Table1[[#This Row],[2019-Apr]:[2025-July]],"&gt;="&amp;Table1[[#This Row],[Target]])</f>
        <v>25</v>
      </c>
      <c r="O889" s="4">
        <f>IF(Table1[[#This Row],[Outliers 2Y]]=0,1,0)</f>
        <v>0</v>
      </c>
      <c r="P889" s="4">
        <f>IF(Table1[[#This Row],[Last value]]&gt;1.5*Table1[[#This Row],[Target]],1,0)</f>
        <v>0</v>
      </c>
      <c r="Q889" s="4">
        <f>IF(AND(1.5*Table1[[#This Row],[Target]]&gt;=Table1[[#This Row],[Last value]],Table1[[#This Row],[Last value]]&gt;Table1[[#This Row],[Target]]),1,0)</f>
        <v>0</v>
      </c>
      <c r="R889" s="4">
        <f>IF(Table1[[#This Row],[Target]]&gt;=Table1[[#This Row],[Last value]],1,0)</f>
        <v>1</v>
      </c>
      <c r="S889" s="4" t="str">
        <f t="shared" si="22"/>
        <v>Green</v>
      </c>
      <c r="T889" s="55">
        <v>4.46</v>
      </c>
      <c r="U889" s="55">
        <v>4.29</v>
      </c>
      <c r="V889" s="55">
        <v>1.94</v>
      </c>
      <c r="W889" s="55">
        <v>0</v>
      </c>
      <c r="X889" s="55">
        <v>5.4</v>
      </c>
      <c r="Y889" s="55">
        <v>3.23</v>
      </c>
      <c r="Z889" s="55">
        <v>4.62</v>
      </c>
      <c r="AA889" s="55">
        <v>5.9</v>
      </c>
      <c r="AB889" s="55">
        <v>4.0999999999999996</v>
      </c>
      <c r="AC889" s="55">
        <v>4.4000000000000004</v>
      </c>
      <c r="AD889" s="55">
        <v>2.8</v>
      </c>
      <c r="AE889" s="55">
        <v>5.2</v>
      </c>
      <c r="AF889" s="55">
        <v>5.3</v>
      </c>
      <c r="AG889" s="55">
        <v>5.6</v>
      </c>
      <c r="AH889" s="55">
        <v>6</v>
      </c>
      <c r="AI889" s="55">
        <v>0</v>
      </c>
      <c r="AJ889" s="55">
        <v>8.4600000000000009</v>
      </c>
      <c r="AK889" s="55">
        <v>8.4600000000000009</v>
      </c>
      <c r="AL889" s="55">
        <v>9.4</v>
      </c>
      <c r="AM889" s="55">
        <v>9.48</v>
      </c>
      <c r="AN889" s="55">
        <v>7</v>
      </c>
      <c r="AO889" s="55">
        <v>6.7</v>
      </c>
      <c r="AP889" s="55">
        <v>10.1</v>
      </c>
      <c r="AQ889" s="55">
        <v>6.96</v>
      </c>
      <c r="AR889" s="9">
        <v>9.0500000000000007</v>
      </c>
      <c r="AS889" s="9">
        <v>9.3000000000000007</v>
      </c>
      <c r="AT889" s="9">
        <v>8.23</v>
      </c>
      <c r="AU889" s="50">
        <v>6.53</v>
      </c>
      <c r="AV889" s="50">
        <v>7.42</v>
      </c>
      <c r="AW889" s="50">
        <v>6.38</v>
      </c>
      <c r="AX889" s="50">
        <v>5.74</v>
      </c>
      <c r="AY889" s="50">
        <v>6.66</v>
      </c>
      <c r="AZ889" s="50">
        <v>7.2</v>
      </c>
      <c r="BA889" s="50">
        <v>1.5</v>
      </c>
      <c r="BB889" s="50">
        <v>1.5</v>
      </c>
      <c r="BC889" s="55">
        <v>1.2</v>
      </c>
      <c r="BD889" s="55">
        <v>0</v>
      </c>
      <c r="BE889" s="11">
        <v>2.1160000000000001</v>
      </c>
      <c r="BF889" s="4">
        <v>1.621</v>
      </c>
      <c r="BG889" s="4">
        <v>1.4319999999999999</v>
      </c>
      <c r="BH889" s="4">
        <v>1.6870000000000001</v>
      </c>
      <c r="BI889" s="4">
        <v>1.573</v>
      </c>
      <c r="BJ889" s="14">
        <v>1.8680000000000001</v>
      </c>
      <c r="BK889" s="14">
        <v>2.2989999999999999</v>
      </c>
      <c r="BL889" s="4">
        <v>2.0790000000000002</v>
      </c>
      <c r="BM889" s="17">
        <v>2.335</v>
      </c>
      <c r="BN889" s="4">
        <v>2.536</v>
      </c>
      <c r="BO889" s="4">
        <v>1.95</v>
      </c>
      <c r="BP889" s="4">
        <v>1.9139999999999999</v>
      </c>
      <c r="BQ889" s="4">
        <v>1.849</v>
      </c>
      <c r="BR889" s="4">
        <v>3.6440000000000001</v>
      </c>
      <c r="BS889" s="4">
        <v>1.986</v>
      </c>
      <c r="BT889" s="4">
        <v>2.6389999999999998</v>
      </c>
      <c r="BU889" s="4">
        <v>3.3039999999999998</v>
      </c>
      <c r="BV889" s="4">
        <v>3.1560000000000001</v>
      </c>
      <c r="BW889" s="4">
        <v>3.238</v>
      </c>
      <c r="BX889" s="4">
        <v>3.198</v>
      </c>
      <c r="BY889" s="4">
        <v>3.3540000000000001</v>
      </c>
      <c r="BZ889" s="55">
        <v>4.1900000000000004</v>
      </c>
      <c r="CA889" s="55">
        <v>3.75</v>
      </c>
      <c r="CB889" s="55">
        <v>4.8099999999999996</v>
      </c>
      <c r="CC889" s="55">
        <v>3.09</v>
      </c>
      <c r="CD889" s="55">
        <v>0</v>
      </c>
      <c r="CE889" s="20">
        <v>0</v>
      </c>
      <c r="CF889" s="19">
        <v>3.5</v>
      </c>
      <c r="CG889" s="4">
        <v>2.64</v>
      </c>
      <c r="CH889" s="4">
        <v>3.05</v>
      </c>
      <c r="CI889" s="4">
        <v>3.59</v>
      </c>
      <c r="CJ889" s="34">
        <v>0</v>
      </c>
      <c r="CK889" s="34">
        <v>0</v>
      </c>
      <c r="CL889" s="34">
        <v>0</v>
      </c>
      <c r="CM889" s="4">
        <v>0</v>
      </c>
      <c r="CN889" s="53">
        <v>0</v>
      </c>
      <c r="CO889" s="54">
        <v>0</v>
      </c>
      <c r="CP889" s="54">
        <v>0</v>
      </c>
      <c r="CQ889" s="4">
        <v>0</v>
      </c>
    </row>
    <row r="890" spans="1:95" s="55" customFormat="1" x14ac:dyDescent="0.35">
      <c r="A890" s="55">
        <v>889</v>
      </c>
      <c r="B890" s="55" t="s">
        <v>108</v>
      </c>
      <c r="C890" s="27" t="s">
        <v>630</v>
      </c>
      <c r="D890" s="25" t="s">
        <v>124</v>
      </c>
      <c r="E890" s="33" t="s">
        <v>91</v>
      </c>
      <c r="F890" s="4">
        <f>IFERROR(AVERAGEIF(Table1[[#This Row],[2019-Apr]:[2025-July]],"&lt;&gt;0"),0)</f>
        <v>19.397222222222226</v>
      </c>
      <c r="G890" s="4">
        <f ca="1">IFERROR(AVERAGEIF(OFFSET(Table1[[#This Row],[Status]],0,COUNT(Table1[[#This Row],[2019-May]:[2025-July]]),1,-12),"&lt;&gt;0"),0)</f>
        <v>12</v>
      </c>
      <c r="H890" s="55">
        <f>IFERROR(SMALL(Table1[[#This Row],[2019-Apr]:[2025-July]],COUNTIF(Table1[[#This Row],[2019-Apr]:[2025-July]],0)+1),0)</f>
        <v>10.65</v>
      </c>
      <c r="I890" s="55">
        <f>IFERROR(MAX(Table1[[#This Row],[2019-Apr]:[2025-July]]),0)</f>
        <v>35.450000000000003</v>
      </c>
      <c r="J890" s="4" cm="1">
        <f t="array" ref="J89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12.718333333333334</v>
      </c>
      <c r="K890" s="4">
        <v>4.5</v>
      </c>
      <c r="L890" s="4">
        <f>IF(Table1[[#This Row],[Standard as per ISO]]&gt;=Table1[[#This Row],[Avg of best 6]],Table1[[#This Row],[Standard as per ISO]],Table1[[#This Row],[Avg of best 6]])</f>
        <v>12.718333333333334</v>
      </c>
      <c r="M890" s="4" cm="1">
        <f t="array" ref="M890">IFERROR(LOOKUP(2,1/(Table1[[#This Row],[2019-May]:[2025-July]]&lt;&gt;0),Table1[[#This Row],[2019-May]:[2025-July]]),0)</f>
        <v>12</v>
      </c>
      <c r="N890" s="4">
        <f>COUNTIF(Table1[[#This Row],[2019-Apr]:[2025-July]],"&gt;="&amp;Table1[[#This Row],[Target]])</f>
        <v>15</v>
      </c>
      <c r="O890" s="4">
        <f>IF(Table1[[#This Row],[Outliers 2Y]]=0,1,0)</f>
        <v>0</v>
      </c>
      <c r="P890" s="4">
        <f>IF(Table1[[#This Row],[Last value]]&gt;1.5*Table1[[#This Row],[Target]],1,0)</f>
        <v>0</v>
      </c>
      <c r="Q890" s="4">
        <f>IF(AND(1.5*Table1[[#This Row],[Target]]&gt;=Table1[[#This Row],[Last value]],Table1[[#This Row],[Last value]]&gt;Table1[[#This Row],[Target]]),1,0)</f>
        <v>0</v>
      </c>
      <c r="R890" s="4">
        <f>IF(Table1[[#This Row],[Target]]&gt;=Table1[[#This Row],[Last value]],1,0)</f>
        <v>1</v>
      </c>
      <c r="S890" s="4" t="str">
        <f>IF(P890=1, "Red", IF(Q890=1, "Yellow", "Green"))</f>
        <v>Green</v>
      </c>
      <c r="T890" s="55">
        <v>0</v>
      </c>
      <c r="U890" s="55">
        <v>0</v>
      </c>
      <c r="V890" s="55">
        <v>0</v>
      </c>
      <c r="W890" s="55">
        <v>0</v>
      </c>
      <c r="X890" s="55">
        <v>0</v>
      </c>
      <c r="Y890" s="55">
        <v>0</v>
      </c>
      <c r="Z890" s="55">
        <v>0</v>
      </c>
      <c r="AA890" s="55">
        <v>0</v>
      </c>
      <c r="AB890" s="55">
        <v>0</v>
      </c>
      <c r="AC890" s="55">
        <v>0</v>
      </c>
      <c r="AD890" s="55">
        <v>0</v>
      </c>
      <c r="AE890" s="55">
        <v>0</v>
      </c>
      <c r="AF890" s="55">
        <v>0</v>
      </c>
      <c r="AG890" s="55">
        <v>0</v>
      </c>
      <c r="AH890" s="55">
        <v>0</v>
      </c>
      <c r="AI890" s="55">
        <v>0</v>
      </c>
      <c r="AJ890" s="55">
        <v>0</v>
      </c>
      <c r="AK890" s="55">
        <v>0</v>
      </c>
      <c r="AL890" s="55">
        <v>0</v>
      </c>
      <c r="AM890" s="55">
        <v>0</v>
      </c>
      <c r="AN890" s="55">
        <v>0</v>
      </c>
      <c r="AO890" s="55">
        <v>0</v>
      </c>
      <c r="AP890" s="55">
        <v>0</v>
      </c>
      <c r="AQ890" s="55">
        <v>0</v>
      </c>
      <c r="AR890" s="55">
        <v>0</v>
      </c>
      <c r="AS890" s="55">
        <v>0</v>
      </c>
      <c r="AT890" s="55">
        <v>0</v>
      </c>
      <c r="AU890" s="55">
        <v>0</v>
      </c>
      <c r="AV890" s="55">
        <v>0</v>
      </c>
      <c r="AW890" s="55">
        <v>0</v>
      </c>
      <c r="AX890" s="55">
        <v>0</v>
      </c>
      <c r="AY890" s="55">
        <v>0</v>
      </c>
      <c r="AZ890" s="55">
        <v>0</v>
      </c>
      <c r="BA890" s="50">
        <v>13.9</v>
      </c>
      <c r="BB890" s="50">
        <v>14.96</v>
      </c>
      <c r="BC890" s="55">
        <v>16.149999999999999</v>
      </c>
      <c r="BD890" s="55">
        <v>0</v>
      </c>
      <c r="BE890" s="11">
        <v>20.84</v>
      </c>
      <c r="BF890" s="4">
        <v>21.36</v>
      </c>
      <c r="BG890" s="4">
        <v>20.2</v>
      </c>
      <c r="BH890" s="4">
        <v>18.03</v>
      </c>
      <c r="BI890" s="4">
        <v>25.9</v>
      </c>
      <c r="BJ890" s="14">
        <v>11.27</v>
      </c>
      <c r="BK890" s="14">
        <v>16.14</v>
      </c>
      <c r="BL890" s="4">
        <v>13.53</v>
      </c>
      <c r="BM890" s="16">
        <v>17.48</v>
      </c>
      <c r="BN890" s="4">
        <v>10.65</v>
      </c>
      <c r="BO890" s="4">
        <v>0</v>
      </c>
      <c r="BP890" s="4">
        <v>35.450000000000003</v>
      </c>
      <c r="BQ890" s="4">
        <v>32.36</v>
      </c>
      <c r="BR890" s="4">
        <v>31.99</v>
      </c>
      <c r="BS890" s="4">
        <v>0</v>
      </c>
      <c r="BT890" s="4">
        <v>0</v>
      </c>
      <c r="BU890" s="4">
        <v>0</v>
      </c>
      <c r="BV890" s="4">
        <v>0</v>
      </c>
      <c r="BW890" s="4">
        <v>16.940000000000001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26">
        <v>12</v>
      </c>
      <c r="CF890" s="24">
        <v>0</v>
      </c>
      <c r="CG890" s="24">
        <v>0</v>
      </c>
      <c r="CH890" s="24">
        <v>0</v>
      </c>
      <c r="CI890" s="24">
        <v>0</v>
      </c>
      <c r="CJ890" s="34">
        <v>0</v>
      </c>
      <c r="CK890" s="34">
        <v>0</v>
      </c>
      <c r="CL890" s="34">
        <v>0</v>
      </c>
      <c r="CM890" s="4">
        <v>0</v>
      </c>
      <c r="CN890" s="53">
        <v>0</v>
      </c>
      <c r="CO890" s="54">
        <v>0</v>
      </c>
      <c r="CP890" s="54">
        <v>0</v>
      </c>
      <c r="CQ890" s="4">
        <v>0</v>
      </c>
    </row>
    <row r="891" spans="1:95" s="55" customFormat="1" x14ac:dyDescent="0.35">
      <c r="A891" s="55">
        <v>890</v>
      </c>
      <c r="B891" s="55" t="s">
        <v>108</v>
      </c>
      <c r="C891" s="27" t="s">
        <v>631</v>
      </c>
      <c r="D891" s="25" t="s">
        <v>124</v>
      </c>
      <c r="E891" s="33" t="s">
        <v>91</v>
      </c>
      <c r="F891" s="4">
        <f>IFERROR(AVERAGEIF(Table1[[#This Row],[2019-Apr]:[2025-July]],"&lt;&gt;0"),0)</f>
        <v>48.601999999999997</v>
      </c>
      <c r="G891" s="4">
        <f ca="1">IFERROR(AVERAGEIF(OFFSET(Table1[[#This Row],[Status]],0,COUNT(Table1[[#This Row],[2019-May]:[2025-July]]),1,-12),"&lt;&gt;0"),0)</f>
        <v>0</v>
      </c>
      <c r="H891" s="55">
        <f>IFERROR(SMALL(Table1[[#This Row],[2019-Apr]:[2025-July]],COUNTIF(Table1[[#This Row],[2019-Apr]:[2025-July]],0)+1),0)</f>
        <v>32.43</v>
      </c>
      <c r="I891" s="55">
        <f>IFERROR(MAX(Table1[[#This Row],[2019-Apr]:[2025-July]]),0)</f>
        <v>69.5</v>
      </c>
      <c r="J891" s="4" cm="1">
        <f t="array" ref="J89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38.82833333333334</v>
      </c>
      <c r="K891" s="4">
        <v>4.5</v>
      </c>
      <c r="L891" s="4">
        <f>IF(Table1[[#This Row],[Standard as per ISO]]&gt;=Table1[[#This Row],[Avg of best 6]],Table1[[#This Row],[Standard as per ISO]],Table1[[#This Row],[Avg of best 6]])</f>
        <v>38.82833333333334</v>
      </c>
      <c r="M891" s="4" cm="1">
        <f t="array" ref="M891">IFERROR(LOOKUP(2,1/(Table1[[#This Row],[2019-May]:[2025-July]]&lt;&gt;0),Table1[[#This Row],[2019-May]:[2025-July]]),0)</f>
        <v>32.43</v>
      </c>
      <c r="N891" s="4">
        <f>COUNTIF(Table1[[#This Row],[2019-Apr]:[2025-July]],"&gt;="&amp;Table1[[#This Row],[Target]])</f>
        <v>12</v>
      </c>
      <c r="O891" s="4">
        <f>IF(Table1[[#This Row],[Outliers 2Y]]=0,1,0)</f>
        <v>0</v>
      </c>
      <c r="P891" s="4">
        <f>IF(Table1[[#This Row],[Last value]]&gt;1.5*Table1[[#This Row],[Target]],1,0)</f>
        <v>0</v>
      </c>
      <c r="Q891" s="4">
        <f>IF(AND(1.5*Table1[[#This Row],[Target]]&gt;=Table1[[#This Row],[Last value]],Table1[[#This Row],[Last value]]&gt;Table1[[#This Row],[Target]]),1,0)</f>
        <v>0</v>
      </c>
      <c r="R891" s="4">
        <f>IF(Table1[[#This Row],[Target]]&gt;=Table1[[#This Row],[Last value]],1,0)</f>
        <v>1</v>
      </c>
      <c r="S891" s="4" t="str">
        <f>IF(P891=1, "Red", IF(Q891=1, "Yellow", "Green"))</f>
        <v>Green</v>
      </c>
      <c r="T891" s="55">
        <v>0</v>
      </c>
      <c r="U891" s="55">
        <v>0</v>
      </c>
      <c r="V891" s="55">
        <v>0</v>
      </c>
      <c r="W891" s="55">
        <v>0</v>
      </c>
      <c r="X891" s="55">
        <v>0</v>
      </c>
      <c r="Y891" s="55">
        <v>0</v>
      </c>
      <c r="Z891" s="55">
        <v>0</v>
      </c>
      <c r="AA891" s="55">
        <v>0</v>
      </c>
      <c r="AB891" s="55">
        <v>0</v>
      </c>
      <c r="AC891" s="55">
        <v>0</v>
      </c>
      <c r="AD891" s="55">
        <v>0</v>
      </c>
      <c r="AE891" s="55">
        <v>0</v>
      </c>
      <c r="AF891" s="55">
        <v>0</v>
      </c>
      <c r="AG891" s="55">
        <v>0</v>
      </c>
      <c r="AH891" s="55">
        <v>0</v>
      </c>
      <c r="AI891" s="55">
        <v>0</v>
      </c>
      <c r="AJ891" s="55">
        <v>0</v>
      </c>
      <c r="AK891" s="55">
        <v>0</v>
      </c>
      <c r="AL891" s="55">
        <v>0</v>
      </c>
      <c r="AM891" s="55">
        <v>0</v>
      </c>
      <c r="AN891" s="55">
        <v>0</v>
      </c>
      <c r="AO891" s="55">
        <v>0</v>
      </c>
      <c r="AP891" s="55">
        <v>0</v>
      </c>
      <c r="AQ891" s="55">
        <v>0</v>
      </c>
      <c r="AR891" s="55">
        <v>0</v>
      </c>
      <c r="AS891" s="55">
        <v>0</v>
      </c>
      <c r="AT891" s="55">
        <v>0</v>
      </c>
      <c r="AU891" s="55">
        <v>0</v>
      </c>
      <c r="AV891" s="55">
        <v>0</v>
      </c>
      <c r="AW891" s="55">
        <v>0</v>
      </c>
      <c r="AX891" s="55">
        <v>0</v>
      </c>
      <c r="AY891" s="55">
        <v>0</v>
      </c>
      <c r="AZ891" s="55">
        <v>0</v>
      </c>
      <c r="BA891" s="50">
        <v>69.5</v>
      </c>
      <c r="BB891" s="50">
        <v>37.69</v>
      </c>
      <c r="BC891" s="55">
        <v>45.3</v>
      </c>
      <c r="BD891" s="55">
        <v>54</v>
      </c>
      <c r="BE891" s="11">
        <v>51.4</v>
      </c>
      <c r="BF891" s="4">
        <v>45.79</v>
      </c>
      <c r="BG891" s="4">
        <v>64.89</v>
      </c>
      <c r="BH891" s="4">
        <v>49.8</v>
      </c>
      <c r="BI891" s="4">
        <v>43.96</v>
      </c>
      <c r="BJ891" s="14">
        <v>49.53</v>
      </c>
      <c r="BK891" s="14">
        <v>65.849999999999994</v>
      </c>
      <c r="BL891" s="4">
        <v>42.07</v>
      </c>
      <c r="BM891" s="16">
        <v>0</v>
      </c>
      <c r="BN891" s="4">
        <v>44.39</v>
      </c>
      <c r="BO891" s="4">
        <v>32.43</v>
      </c>
      <c r="BP891" s="4">
        <v>0</v>
      </c>
      <c r="BQ891" s="4">
        <v>0</v>
      </c>
      <c r="BR891" s="4">
        <v>0</v>
      </c>
      <c r="BS891" s="4">
        <v>32.43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26">
        <v>0</v>
      </c>
      <c r="CF891" s="24">
        <v>0</v>
      </c>
      <c r="CG891" s="24">
        <v>0</v>
      </c>
      <c r="CH891" s="24">
        <v>0</v>
      </c>
      <c r="CI891" s="24">
        <v>0</v>
      </c>
      <c r="CJ891" s="34">
        <v>0</v>
      </c>
      <c r="CK891" s="34">
        <v>0</v>
      </c>
      <c r="CL891" s="34">
        <v>0</v>
      </c>
      <c r="CM891" s="4">
        <v>0</v>
      </c>
      <c r="CN891" s="53">
        <v>0</v>
      </c>
      <c r="CO891" s="54">
        <v>0</v>
      </c>
      <c r="CP891" s="54">
        <v>0</v>
      </c>
      <c r="CQ891" s="4">
        <v>0</v>
      </c>
    </row>
    <row r="892" spans="1:95" s="55" customFormat="1" x14ac:dyDescent="0.35">
      <c r="A892" s="55">
        <v>891</v>
      </c>
      <c r="B892" s="55" t="s">
        <v>108</v>
      </c>
      <c r="C892" s="27" t="s">
        <v>632</v>
      </c>
      <c r="D892" s="25" t="s">
        <v>124</v>
      </c>
      <c r="E892" s="33" t="s">
        <v>91</v>
      </c>
      <c r="F892" s="4">
        <f>IFERROR(AVERAGEIF(Table1[[#This Row],[2019-Apr]:[2025-July]],"&lt;&gt;0"),0)</f>
        <v>24.432000000000006</v>
      </c>
      <c r="G892" s="4">
        <f ca="1">IFERROR(AVERAGEIF(OFFSET(Table1[[#This Row],[Status]],0,COUNT(Table1[[#This Row],[2019-May]:[2025-July]]),1,-12),"&lt;&gt;0"),0)</f>
        <v>0</v>
      </c>
      <c r="H892" s="55">
        <f>IFERROR(SMALL(Table1[[#This Row],[2019-Apr]:[2025-July]],COUNTIF(Table1[[#This Row],[2019-Apr]:[2025-July]],0)+1),0)</f>
        <v>18.43</v>
      </c>
      <c r="I892" s="55">
        <f>IFERROR(MAX(Table1[[#This Row],[2019-Apr]:[2025-July]]),0)</f>
        <v>33.74</v>
      </c>
      <c r="J892" s="4" cm="1">
        <f t="array" ref="J89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24.432000000000006</v>
      </c>
      <c r="K892" s="4">
        <v>4.5</v>
      </c>
      <c r="L892" s="4">
        <f>IF(Table1[[#This Row],[Standard as per ISO]]&gt;=Table1[[#This Row],[Avg of best 6]],Table1[[#This Row],[Standard as per ISO]],Table1[[#This Row],[Avg of best 6]])</f>
        <v>24.432000000000006</v>
      </c>
      <c r="M892" s="4" cm="1">
        <f t="array" ref="M892">IFERROR(LOOKUP(2,1/(Table1[[#This Row],[2019-May]:[2025-July]]&lt;&gt;0),Table1[[#This Row],[2019-May]:[2025-July]]),0)</f>
        <v>33.74</v>
      </c>
      <c r="N892" s="4">
        <f>COUNTIF(Table1[[#This Row],[2019-Apr]:[2025-July]],"&gt;="&amp;Table1[[#This Row],[Target]])</f>
        <v>2</v>
      </c>
      <c r="O892" s="4">
        <f>IF(Table1[[#This Row],[Outliers 2Y]]=0,1,0)</f>
        <v>0</v>
      </c>
      <c r="P892" s="4">
        <f>IF(Table1[[#This Row],[Last value]]&gt;1.5*Table1[[#This Row],[Target]],1,0)</f>
        <v>0</v>
      </c>
      <c r="Q892" s="4">
        <f>IF(AND(1.5*Table1[[#This Row],[Target]]&gt;=Table1[[#This Row],[Last value]],Table1[[#This Row],[Last value]]&gt;Table1[[#This Row],[Target]]),1,0)</f>
        <v>1</v>
      </c>
      <c r="R892" s="4">
        <f>IF(Table1[[#This Row],[Target]]&gt;=Table1[[#This Row],[Last value]],1,0)</f>
        <v>0</v>
      </c>
      <c r="S892" s="4" t="str">
        <f>IF(P892=1, "Red", IF(Q892=1, "Yellow", "Green"))</f>
        <v>Yellow</v>
      </c>
      <c r="T892" s="55">
        <v>0</v>
      </c>
      <c r="U892" s="55">
        <v>0</v>
      </c>
      <c r="V892" s="55">
        <v>0</v>
      </c>
      <c r="W892" s="55">
        <v>0</v>
      </c>
      <c r="X892" s="55">
        <v>0</v>
      </c>
      <c r="Y892" s="55">
        <v>0</v>
      </c>
      <c r="Z892" s="55">
        <v>0</v>
      </c>
      <c r="AA892" s="55">
        <v>0</v>
      </c>
      <c r="AB892" s="55">
        <v>0</v>
      </c>
      <c r="AC892" s="55">
        <v>0</v>
      </c>
      <c r="AD892" s="55">
        <v>0</v>
      </c>
      <c r="AE892" s="55">
        <v>0</v>
      </c>
      <c r="AF892" s="55">
        <v>0</v>
      </c>
      <c r="AG892" s="55">
        <v>0</v>
      </c>
      <c r="AH892" s="55">
        <v>0</v>
      </c>
      <c r="AI892" s="55">
        <v>0</v>
      </c>
      <c r="AJ892" s="55">
        <v>0</v>
      </c>
      <c r="AK892" s="55">
        <v>0</v>
      </c>
      <c r="AL892" s="55">
        <v>0</v>
      </c>
      <c r="AM892" s="55">
        <v>0</v>
      </c>
      <c r="AN892" s="55">
        <v>0</v>
      </c>
      <c r="AO892" s="55">
        <v>0</v>
      </c>
      <c r="AP892" s="55">
        <v>0</v>
      </c>
      <c r="AQ892" s="55">
        <v>0</v>
      </c>
      <c r="AR892" s="55">
        <v>0</v>
      </c>
      <c r="AS892" s="55">
        <v>0</v>
      </c>
      <c r="AT892" s="55">
        <v>0</v>
      </c>
      <c r="AU892" s="55">
        <v>0</v>
      </c>
      <c r="AV892" s="55">
        <v>0</v>
      </c>
      <c r="AW892" s="55">
        <v>0</v>
      </c>
      <c r="AX892" s="55">
        <v>0</v>
      </c>
      <c r="AY892" s="55">
        <v>0</v>
      </c>
      <c r="AZ892" s="55">
        <v>0</v>
      </c>
      <c r="BA892" s="55">
        <v>0</v>
      </c>
      <c r="BB892" s="55">
        <v>0</v>
      </c>
      <c r="BC892" s="55">
        <v>0</v>
      </c>
      <c r="BD892" s="55">
        <v>0</v>
      </c>
      <c r="BE892" s="55">
        <v>0</v>
      </c>
      <c r="BF892" s="55">
        <v>0</v>
      </c>
      <c r="BG892" s="55">
        <v>0</v>
      </c>
      <c r="BH892" s="55">
        <v>0</v>
      </c>
      <c r="BI892" s="55">
        <v>0</v>
      </c>
      <c r="BJ892" s="14">
        <v>19.39</v>
      </c>
      <c r="BK892" s="14">
        <v>21.23</v>
      </c>
      <c r="BL892" s="4">
        <v>0</v>
      </c>
      <c r="BM892" s="16">
        <v>0</v>
      </c>
      <c r="BN892" s="4">
        <v>29.37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18.43</v>
      </c>
      <c r="BU892" s="4">
        <v>0</v>
      </c>
      <c r="BV892" s="4">
        <v>0</v>
      </c>
      <c r="BW892" s="4">
        <v>0</v>
      </c>
      <c r="BX892" s="4">
        <v>0</v>
      </c>
      <c r="BY892" s="4">
        <v>33.74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34">
        <v>0</v>
      </c>
      <c r="CK892" s="34">
        <v>0</v>
      </c>
      <c r="CL892" s="34">
        <v>0</v>
      </c>
      <c r="CM892" s="4">
        <v>0</v>
      </c>
      <c r="CN892" s="53">
        <v>0</v>
      </c>
      <c r="CO892" s="54">
        <v>0</v>
      </c>
      <c r="CP892" s="54">
        <v>0</v>
      </c>
      <c r="CQ892" s="4">
        <v>0</v>
      </c>
    </row>
    <row r="893" spans="1:95" s="55" customFormat="1" x14ac:dyDescent="0.35">
      <c r="A893" s="55">
        <v>892</v>
      </c>
      <c r="B893" s="55" t="s">
        <v>108</v>
      </c>
      <c r="C893" s="27" t="s">
        <v>633</v>
      </c>
      <c r="D893" s="25" t="s">
        <v>124</v>
      </c>
      <c r="E893" s="33" t="s">
        <v>91</v>
      </c>
      <c r="F893" s="4">
        <f>IFERROR(AVERAGEIF(Table1[[#This Row],[2019-Apr]:[2025-July]],"&lt;&gt;0"),0)</f>
        <v>25.574864864864871</v>
      </c>
      <c r="G893" s="4">
        <f ca="1">IFERROR(AVERAGEIF(OFFSET(Table1[[#This Row],[Status]],0,COUNT(Table1[[#This Row],[2019-May]:[2025-July]]),1,-12),"&lt;&gt;0"),0)</f>
        <v>22.08</v>
      </c>
      <c r="H893" s="55">
        <f>IFERROR(SMALL(Table1[[#This Row],[2019-Apr]:[2025-July]],COUNTIF(Table1[[#This Row],[2019-Apr]:[2025-July]],0)+1),0)</f>
        <v>4.2699999999999996</v>
      </c>
      <c r="I893" s="55">
        <f>IFERROR(MAX(Table1[[#This Row],[2019-Apr]:[2025-July]]),0)</f>
        <v>41.5</v>
      </c>
      <c r="J893" s="4" cm="1">
        <f t="array" ref="J89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16.253333333333334</v>
      </c>
      <c r="K893" s="4">
        <v>4.5</v>
      </c>
      <c r="L893" s="4">
        <f>IF(Table1[[#This Row],[Standard as per ISO]]&gt;=Table1[[#This Row],[Avg of best 6]],Table1[[#This Row],[Standard as per ISO]],Table1[[#This Row],[Avg of best 6]])</f>
        <v>16.253333333333334</v>
      </c>
      <c r="M893" s="4" cm="1">
        <f t="array" ref="M893">IFERROR(LOOKUP(2,1/(Table1[[#This Row],[2019-May]:[2025-July]]&lt;&gt;0),Table1[[#This Row],[2019-May]:[2025-July]]),0)</f>
        <v>22.08</v>
      </c>
      <c r="N893" s="4">
        <f>COUNTIF(Table1[[#This Row],[2019-Apr]:[2025-July]],"&gt;="&amp;Table1[[#This Row],[Target]])</f>
        <v>34</v>
      </c>
      <c r="O893" s="4">
        <f>IF(Table1[[#This Row],[Outliers 2Y]]=0,1,0)</f>
        <v>0</v>
      </c>
      <c r="P893" s="4">
        <f>IF(Table1[[#This Row],[Last value]]&gt;1.5*Table1[[#This Row],[Target]],1,0)</f>
        <v>0</v>
      </c>
      <c r="Q893" s="4">
        <f>IF(AND(1.5*Table1[[#This Row],[Target]]&gt;=Table1[[#This Row],[Last value]],Table1[[#This Row],[Last value]]&gt;Table1[[#This Row],[Target]]),1,0)</f>
        <v>1</v>
      </c>
      <c r="R893" s="4">
        <f>IF(Table1[[#This Row],[Target]]&gt;=Table1[[#This Row],[Last value]],1,0)</f>
        <v>0</v>
      </c>
      <c r="S893" s="4" t="str">
        <f t="shared" ref="S893" si="23">IF(P893=1, "Red", IF(Q893=1, "Yellow", "Green"))</f>
        <v>Yellow</v>
      </c>
      <c r="T893" s="55">
        <v>4.2699999999999996</v>
      </c>
      <c r="U893" s="55">
        <v>5.76</v>
      </c>
      <c r="V893" s="55">
        <v>0</v>
      </c>
      <c r="W893" s="55">
        <v>0</v>
      </c>
      <c r="X893" s="55">
        <v>0</v>
      </c>
      <c r="Y893" s="55">
        <v>0</v>
      </c>
      <c r="Z893" s="55">
        <v>0</v>
      </c>
      <c r="AA893" s="55">
        <v>19.2</v>
      </c>
      <c r="AB893" s="55">
        <v>16.5</v>
      </c>
      <c r="AC893" s="55">
        <v>15</v>
      </c>
      <c r="AD893" s="55">
        <v>28.2</v>
      </c>
      <c r="AE893" s="55">
        <v>26.7</v>
      </c>
      <c r="AF893" s="55">
        <v>22.8</v>
      </c>
      <c r="AG893" s="55">
        <v>22.4</v>
      </c>
      <c r="AH893" s="55">
        <v>24.3</v>
      </c>
      <c r="AI893" s="55">
        <v>22.9</v>
      </c>
      <c r="AJ893" s="55">
        <v>0</v>
      </c>
      <c r="AK893" s="55">
        <v>25.1</v>
      </c>
      <c r="AL893" s="55">
        <v>18.98</v>
      </c>
      <c r="AM893" s="55">
        <v>25.5</v>
      </c>
      <c r="AN893" s="55">
        <v>32.299999999999997</v>
      </c>
      <c r="AO893" s="55">
        <v>25.1</v>
      </c>
      <c r="AP893" s="55">
        <v>23.1</v>
      </c>
      <c r="AQ893" s="55">
        <v>0</v>
      </c>
      <c r="AR893" s="8">
        <v>0</v>
      </c>
      <c r="AS893" s="8">
        <v>0</v>
      </c>
      <c r="AT893" s="8">
        <v>41.5</v>
      </c>
      <c r="AU893" s="50">
        <v>27.5</v>
      </c>
      <c r="AV893" s="50">
        <v>26.2</v>
      </c>
      <c r="AW893" s="50">
        <v>28.3</v>
      </c>
      <c r="AX893" s="50">
        <v>31.5</v>
      </c>
      <c r="AY893" s="50">
        <v>0</v>
      </c>
      <c r="AZ893" s="50">
        <v>0</v>
      </c>
      <c r="BA893" s="50">
        <v>24.7</v>
      </c>
      <c r="BB893" s="50">
        <v>26.9</v>
      </c>
      <c r="BC893" s="50">
        <v>0</v>
      </c>
      <c r="BD893" s="55">
        <v>0</v>
      </c>
      <c r="BE893" s="11">
        <v>27.5</v>
      </c>
      <c r="BF893" s="4">
        <v>27.73</v>
      </c>
      <c r="BG893" s="4">
        <v>0</v>
      </c>
      <c r="BH893" s="4">
        <v>23.6</v>
      </c>
      <c r="BI893" s="4">
        <v>26.63</v>
      </c>
      <c r="BJ893" s="13">
        <v>0</v>
      </c>
      <c r="BK893" s="13">
        <v>0</v>
      </c>
      <c r="BL893" s="4">
        <v>24.66</v>
      </c>
      <c r="BM893" s="16">
        <v>24.66</v>
      </c>
      <c r="BN893" s="4">
        <v>0</v>
      </c>
      <c r="BO893" s="4">
        <v>0</v>
      </c>
      <c r="BP893" s="4">
        <v>30.09</v>
      </c>
      <c r="BQ893" s="4">
        <v>0</v>
      </c>
      <c r="BR893" s="4">
        <v>38.53</v>
      </c>
      <c r="BS893" s="4">
        <v>30.47</v>
      </c>
      <c r="BT893" s="4">
        <v>0</v>
      </c>
      <c r="BU893" s="4">
        <v>0</v>
      </c>
      <c r="BV893" s="4">
        <v>39.01</v>
      </c>
      <c r="BW893" s="4">
        <v>34.9</v>
      </c>
      <c r="BX893" s="4">
        <v>31.7</v>
      </c>
      <c r="BY893" s="4">
        <v>0</v>
      </c>
      <c r="BZ893" s="55">
        <v>0</v>
      </c>
      <c r="CA893" s="55">
        <v>0</v>
      </c>
      <c r="CB893" s="55">
        <v>0</v>
      </c>
      <c r="CC893" s="55">
        <v>0</v>
      </c>
      <c r="CD893" s="55">
        <v>0</v>
      </c>
      <c r="CE893" s="20">
        <v>0</v>
      </c>
      <c r="CF893" s="20">
        <v>0</v>
      </c>
      <c r="CG893" s="4">
        <v>0</v>
      </c>
      <c r="CH893" s="4">
        <v>22.08</v>
      </c>
      <c r="CI893" s="4">
        <v>0</v>
      </c>
      <c r="CJ893" s="34">
        <v>0</v>
      </c>
      <c r="CK893" s="34">
        <v>0</v>
      </c>
      <c r="CL893" s="34">
        <v>0</v>
      </c>
      <c r="CM893" s="4">
        <v>0</v>
      </c>
      <c r="CN893" s="53">
        <v>0</v>
      </c>
      <c r="CO893" s="54">
        <v>0</v>
      </c>
      <c r="CP893" s="54">
        <v>0</v>
      </c>
      <c r="CQ893" s="4">
        <v>0</v>
      </c>
    </row>
    <row r="894" spans="1:95" s="55" customFormat="1" x14ac:dyDescent="0.35">
      <c r="A894" s="55">
        <v>893</v>
      </c>
      <c r="B894" s="55" t="s">
        <v>108</v>
      </c>
      <c r="C894" s="27" t="s">
        <v>634</v>
      </c>
      <c r="D894" s="25" t="s">
        <v>124</v>
      </c>
      <c r="E894" s="33" t="s">
        <v>91</v>
      </c>
      <c r="F894" s="4">
        <f>IFERROR(AVERAGEIF(Table1[[#This Row],[2019-Apr]:[2025-July]],"&lt;&gt;0"),0)</f>
        <v>19.717777777777776</v>
      </c>
      <c r="G894" s="4">
        <f ca="1">IFERROR(AVERAGEIF(OFFSET(Table1[[#This Row],[Status]],0,COUNT(Table1[[#This Row],[2019-May]:[2025-July]]),1,-12),"&lt;&gt;0"),0)</f>
        <v>14.455</v>
      </c>
      <c r="H894" s="55">
        <f>IFERROR(SMALL(Table1[[#This Row],[2019-Apr]:[2025-July]],COUNTIF(Table1[[#This Row],[2019-Apr]:[2025-July]],0)+1),0)</f>
        <v>12.43</v>
      </c>
      <c r="I894" s="55">
        <f>IFERROR(MAX(Table1[[#This Row],[2019-Apr]:[2025-July]]),0)</f>
        <v>31.99</v>
      </c>
      <c r="J894" s="4" cm="1">
        <f t="array" ref="J89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15.135</v>
      </c>
      <c r="K894" s="4">
        <v>4.5</v>
      </c>
      <c r="L894" s="4">
        <f>IF(Table1[[#This Row],[Standard as per ISO]]&gt;=Table1[[#This Row],[Avg of best 6]],Table1[[#This Row],[Standard as per ISO]],Table1[[#This Row],[Avg of best 6]])</f>
        <v>15.135</v>
      </c>
      <c r="M894" s="4" cm="1">
        <f t="array" ref="M894">IFERROR(LOOKUP(2,1/(Table1[[#This Row],[2019-May]:[2025-July]]&lt;&gt;0),Table1[[#This Row],[2019-May]:[2025-July]]),0)</f>
        <v>13</v>
      </c>
      <c r="N894" s="4">
        <f>COUNTIF(Table1[[#This Row],[2019-Apr]:[2025-July]],"&gt;="&amp;Table1[[#This Row],[Target]])</f>
        <v>6</v>
      </c>
      <c r="O894" s="4">
        <f>IF(Table1[[#This Row],[Outliers 2Y]]=0,1,0)</f>
        <v>0</v>
      </c>
      <c r="P894" s="4">
        <f>IF(Table1[[#This Row],[Last value]]&gt;1.5*Table1[[#This Row],[Target]],1,0)</f>
        <v>0</v>
      </c>
      <c r="Q894" s="4">
        <f>IF(AND(1.5*Table1[[#This Row],[Target]]&gt;=Table1[[#This Row],[Last value]],Table1[[#This Row],[Last value]]&gt;Table1[[#This Row],[Target]]),1,0)</f>
        <v>0</v>
      </c>
      <c r="R894" s="4">
        <f>IF(Table1[[#This Row],[Target]]&gt;=Table1[[#This Row],[Last value]],1,0)</f>
        <v>1</v>
      </c>
      <c r="S894" s="4" t="str">
        <f>IF(P894=1, "Red", IF(Q894=1, "Yellow", "Green"))</f>
        <v>Green</v>
      </c>
      <c r="T894" s="55">
        <v>0</v>
      </c>
      <c r="U894" s="55">
        <v>0</v>
      </c>
      <c r="V894" s="55">
        <v>0</v>
      </c>
      <c r="W894" s="55">
        <v>0</v>
      </c>
      <c r="X894" s="55">
        <v>0</v>
      </c>
      <c r="Y894" s="55">
        <v>0</v>
      </c>
      <c r="Z894" s="55">
        <v>0</v>
      </c>
      <c r="AA894" s="55">
        <v>0</v>
      </c>
      <c r="AB894" s="55">
        <v>0</v>
      </c>
      <c r="AC894" s="55">
        <v>0</v>
      </c>
      <c r="AD894" s="55">
        <v>0</v>
      </c>
      <c r="AE894" s="55">
        <v>0</v>
      </c>
      <c r="AF894" s="55">
        <v>0</v>
      </c>
      <c r="AG894" s="55">
        <v>0</v>
      </c>
      <c r="AH894" s="55">
        <v>0</v>
      </c>
      <c r="AI894" s="55">
        <v>0</v>
      </c>
      <c r="AJ894" s="55">
        <v>0</v>
      </c>
      <c r="AK894" s="55">
        <v>0</v>
      </c>
      <c r="AL894" s="55">
        <v>0</v>
      </c>
      <c r="AM894" s="55">
        <v>0</v>
      </c>
      <c r="AN894" s="55">
        <v>0</v>
      </c>
      <c r="AO894" s="55">
        <v>0</v>
      </c>
      <c r="AP894" s="55">
        <v>0</v>
      </c>
      <c r="AQ894" s="55">
        <v>0</v>
      </c>
      <c r="AR894" s="55">
        <v>0</v>
      </c>
      <c r="AS894" s="55">
        <v>0</v>
      </c>
      <c r="AT894" s="55">
        <v>0</v>
      </c>
      <c r="AU894" s="55">
        <v>0</v>
      </c>
      <c r="AV894" s="55">
        <v>0</v>
      </c>
      <c r="AW894" s="55">
        <v>0</v>
      </c>
      <c r="AX894" s="55">
        <v>0</v>
      </c>
      <c r="AY894" s="55">
        <v>0</v>
      </c>
      <c r="AZ894" s="55">
        <v>0</v>
      </c>
      <c r="BA894" s="55">
        <v>0</v>
      </c>
      <c r="BB894" s="55">
        <v>0</v>
      </c>
      <c r="BC894" s="55">
        <v>0</v>
      </c>
      <c r="BD894" s="55">
        <v>0</v>
      </c>
      <c r="BE894" s="55">
        <v>0</v>
      </c>
      <c r="BF894" s="55">
        <v>0</v>
      </c>
      <c r="BG894" s="55">
        <v>0</v>
      </c>
      <c r="BH894" s="55">
        <v>0</v>
      </c>
      <c r="BI894" s="55">
        <v>0</v>
      </c>
      <c r="BJ894" s="13">
        <v>0</v>
      </c>
      <c r="BK894" s="13">
        <v>12.43</v>
      </c>
      <c r="BL894" s="4">
        <v>0</v>
      </c>
      <c r="BM894" s="16">
        <v>31.99</v>
      </c>
      <c r="BN894" s="4">
        <v>25.21</v>
      </c>
      <c r="BO894" s="4">
        <v>0</v>
      </c>
      <c r="BP894" s="4">
        <v>0</v>
      </c>
      <c r="BQ894" s="4">
        <v>0</v>
      </c>
      <c r="BR894" s="4">
        <v>0</v>
      </c>
      <c r="BS894" s="4">
        <v>14.59</v>
      </c>
      <c r="BT894" s="4">
        <v>17.78</v>
      </c>
      <c r="BU894" s="4">
        <v>0</v>
      </c>
      <c r="BV894" s="4">
        <v>0</v>
      </c>
      <c r="BW894" s="4">
        <v>29.45</v>
      </c>
      <c r="BX894" s="4">
        <v>17.100000000000001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15.91</v>
      </c>
      <c r="CH894" s="4">
        <v>13</v>
      </c>
      <c r="CI894" s="4">
        <v>0</v>
      </c>
      <c r="CJ894" s="34">
        <v>0</v>
      </c>
      <c r="CK894" s="34">
        <v>0</v>
      </c>
      <c r="CL894" s="34">
        <v>0</v>
      </c>
      <c r="CM894" s="4">
        <v>0</v>
      </c>
      <c r="CN894" s="53">
        <v>0</v>
      </c>
      <c r="CO894" s="54">
        <v>0</v>
      </c>
      <c r="CP894" s="54">
        <v>0</v>
      </c>
      <c r="CQ894" s="4">
        <v>0</v>
      </c>
    </row>
    <row r="895" spans="1:95" s="55" customFormat="1" x14ac:dyDescent="0.35">
      <c r="A895" s="55">
        <v>894</v>
      </c>
      <c r="B895" s="55" t="s">
        <v>108</v>
      </c>
      <c r="C895" s="27" t="s">
        <v>635</v>
      </c>
      <c r="D895" s="25" t="s">
        <v>124</v>
      </c>
      <c r="E895" s="33" t="s">
        <v>91</v>
      </c>
      <c r="F895" s="4">
        <f>IFERROR(AVERAGEIF(Table1[[#This Row],[2019-Apr]:[2025-July]],"&lt;&gt;0"),0)</f>
        <v>27.501333333333328</v>
      </c>
      <c r="G895" s="4">
        <f ca="1">IFERROR(AVERAGEIF(OFFSET(Table1[[#This Row],[Status]],0,COUNT(Table1[[#This Row],[2019-May]:[2025-July]]),1,-12),"&lt;&gt;0"),0)</f>
        <v>35.6</v>
      </c>
      <c r="H895" s="55">
        <f>IFERROR(SMALL(Table1[[#This Row],[2019-Apr]:[2025-July]],COUNTIF(Table1[[#This Row],[2019-Apr]:[2025-July]],0)+1),0)</f>
        <v>3.39</v>
      </c>
      <c r="I895" s="55">
        <f>IFERROR(MAX(Table1[[#This Row],[2019-Apr]:[2025-July]]),0)</f>
        <v>73.099999999999994</v>
      </c>
      <c r="J895" s="4" cm="1">
        <f t="array" ref="J89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13.121666666666668</v>
      </c>
      <c r="K895" s="4">
        <v>4.5</v>
      </c>
      <c r="L895" s="4">
        <f>IF(Table1[[#This Row],[Standard as per ISO]]&gt;=Table1[[#This Row],[Avg of best 6]],Table1[[#This Row],[Standard as per ISO]],Table1[[#This Row],[Avg of best 6]])</f>
        <v>13.121666666666668</v>
      </c>
      <c r="M895" s="4" cm="1">
        <f t="array" ref="M895">IFERROR(LOOKUP(2,1/(Table1[[#This Row],[2019-May]:[2025-July]]&lt;&gt;0),Table1[[#This Row],[2019-May]:[2025-July]]),0)</f>
        <v>35.6</v>
      </c>
      <c r="N895" s="4">
        <f>COUNTIF(Table1[[#This Row],[2019-Apr]:[2025-July]],"&gt;="&amp;Table1[[#This Row],[Target]])</f>
        <v>27</v>
      </c>
      <c r="O895" s="4">
        <f>IF(Table1[[#This Row],[Outliers 2Y]]=0,1,0)</f>
        <v>0</v>
      </c>
      <c r="P895" s="4">
        <f>IF(Table1[[#This Row],[Last value]]&gt;1.5*Table1[[#This Row],[Target]],1,0)</f>
        <v>1</v>
      </c>
      <c r="Q895" s="4">
        <f>IF(AND(1.5*Table1[[#This Row],[Target]]&gt;=Table1[[#This Row],[Last value]],Table1[[#This Row],[Last value]]&gt;Table1[[#This Row],[Target]]),1,0)</f>
        <v>0</v>
      </c>
      <c r="R895" s="4">
        <f>IF(Table1[[#This Row],[Target]]&gt;=Table1[[#This Row],[Last value]],1,0)</f>
        <v>0</v>
      </c>
      <c r="S895" s="4" t="str">
        <f t="shared" ref="S895:S908" si="24">IF(P895=1, "Red", IF(Q895=1, "Yellow", "Green"))</f>
        <v>Red</v>
      </c>
      <c r="T895" s="55">
        <v>4.46</v>
      </c>
      <c r="U895" s="55">
        <v>3.39</v>
      </c>
      <c r="V895" s="55">
        <v>0</v>
      </c>
      <c r="W895" s="55">
        <v>0</v>
      </c>
      <c r="X895" s="55">
        <v>0</v>
      </c>
      <c r="Y895" s="55">
        <v>0</v>
      </c>
      <c r="Z895" s="55">
        <v>0</v>
      </c>
      <c r="AA895" s="55">
        <v>30.2</v>
      </c>
      <c r="AB895" s="55">
        <v>55.6</v>
      </c>
      <c r="AC895" s="55">
        <v>73.099999999999994</v>
      </c>
      <c r="AD895" s="55">
        <v>34.9</v>
      </c>
      <c r="AE895" s="55">
        <v>37.4</v>
      </c>
      <c r="AF895" s="55">
        <v>29.3</v>
      </c>
      <c r="AG895" s="55">
        <v>21.5</v>
      </c>
      <c r="AH895" s="55">
        <v>33.799999999999997</v>
      </c>
      <c r="AI895" s="55">
        <v>0</v>
      </c>
      <c r="AJ895" s="55">
        <v>16.3</v>
      </c>
      <c r="AK895" s="55">
        <v>20.7</v>
      </c>
      <c r="AL895" s="55">
        <v>21.8</v>
      </c>
      <c r="AM895" s="55">
        <v>21.5</v>
      </c>
      <c r="AN895" s="55">
        <v>13.8</v>
      </c>
      <c r="AO895" s="55">
        <v>14.6</v>
      </c>
      <c r="AP895" s="55">
        <v>18.3</v>
      </c>
      <c r="AQ895" s="55">
        <v>52.8</v>
      </c>
      <c r="AR895" s="8">
        <v>35.1</v>
      </c>
      <c r="AS895" s="8">
        <v>0</v>
      </c>
      <c r="AT895" s="8">
        <v>0</v>
      </c>
      <c r="AU895" s="50">
        <v>0</v>
      </c>
      <c r="AV895" s="50">
        <v>35</v>
      </c>
      <c r="AW895" s="50">
        <v>0</v>
      </c>
      <c r="AX895" s="50">
        <v>0</v>
      </c>
      <c r="AY895" s="50">
        <v>0</v>
      </c>
      <c r="AZ895" s="50">
        <v>33.9</v>
      </c>
      <c r="BA895" s="50">
        <v>22.3</v>
      </c>
      <c r="BB895" s="50">
        <v>20.100000000000001</v>
      </c>
      <c r="BC895" s="50">
        <v>0</v>
      </c>
      <c r="BD895" s="55">
        <v>0</v>
      </c>
      <c r="BE895" s="11">
        <v>0</v>
      </c>
      <c r="BF895" s="4">
        <v>18.420000000000002</v>
      </c>
      <c r="BG895" s="4">
        <v>0</v>
      </c>
      <c r="BH895" s="4">
        <v>24.68</v>
      </c>
      <c r="BI895" s="4">
        <v>0</v>
      </c>
      <c r="BJ895" s="14">
        <v>0</v>
      </c>
      <c r="BK895" s="14">
        <v>0</v>
      </c>
      <c r="BL895" s="4">
        <v>12.38</v>
      </c>
      <c r="BM895" s="17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31.92</v>
      </c>
      <c r="BW895" s="4">
        <v>0</v>
      </c>
      <c r="BX895" s="4">
        <v>0</v>
      </c>
      <c r="BY895" s="4">
        <v>18.260000000000002</v>
      </c>
      <c r="BZ895" s="55">
        <v>33.93</v>
      </c>
      <c r="CA895" s="55">
        <v>0</v>
      </c>
      <c r="CB895" s="55">
        <v>0</v>
      </c>
      <c r="CC895" s="55">
        <v>0</v>
      </c>
      <c r="CD895" s="55">
        <v>0</v>
      </c>
      <c r="CE895" s="20">
        <v>35.6</v>
      </c>
      <c r="CF895" s="20">
        <v>0</v>
      </c>
      <c r="CG895" s="4">
        <v>0</v>
      </c>
      <c r="CH895" s="4">
        <v>0</v>
      </c>
      <c r="CI895" s="4">
        <v>0</v>
      </c>
      <c r="CJ895" s="34">
        <v>0</v>
      </c>
      <c r="CK895" s="34">
        <v>0</v>
      </c>
      <c r="CL895" s="34">
        <v>0</v>
      </c>
      <c r="CM895" s="4">
        <v>0</v>
      </c>
      <c r="CN895" s="53">
        <v>0</v>
      </c>
      <c r="CO895" s="54">
        <v>0</v>
      </c>
      <c r="CP895" s="54">
        <v>0</v>
      </c>
      <c r="CQ895" s="4">
        <v>0</v>
      </c>
    </row>
    <row r="896" spans="1:95" s="55" customFormat="1" x14ac:dyDescent="0.35">
      <c r="A896" s="55">
        <v>895</v>
      </c>
      <c r="B896" s="55" t="s">
        <v>108</v>
      </c>
      <c r="C896" s="27" t="s">
        <v>636</v>
      </c>
      <c r="D896" s="50" t="s">
        <v>88</v>
      </c>
      <c r="E896" s="33" t="s">
        <v>91</v>
      </c>
      <c r="F896" s="4">
        <f>IFERROR(AVERAGEIF(Table1[[#This Row],[2019-Apr]:[2025-July]],"&lt;&gt;0"),0)</f>
        <v>0</v>
      </c>
      <c r="G896" s="4">
        <f ca="1">IFERROR(AVERAGEIF(OFFSET(Table1[[#This Row],[Status]],0,COUNT(Table1[[#This Row],[2019-May]:[2025-July]]),1,-12),"&lt;&gt;0"),0)</f>
        <v>0</v>
      </c>
      <c r="H896" s="55">
        <f>IFERROR(SMALL(Table1[[#This Row],[2019-Apr]:[2025-July]],COUNTIF(Table1[[#This Row],[2019-Apr]:[2025-July]],0)+1),0)</f>
        <v>0</v>
      </c>
      <c r="I896" s="55">
        <f>IFERROR(MAX(Table1[[#This Row],[2019-Apr]:[2025-July]]),0)</f>
        <v>0</v>
      </c>
      <c r="J896" s="4" cm="1">
        <f t="array" ref="J89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896" s="4">
        <v>4.5</v>
      </c>
      <c r="L896" s="4">
        <f>IF(Table1[[#This Row],[Standard as per ISO]]&gt;=Table1[[#This Row],[Avg of best 6]],Table1[[#This Row],[Standard as per ISO]],Table1[[#This Row],[Avg of best 6]])</f>
        <v>4.5</v>
      </c>
      <c r="M896" s="4" cm="1">
        <f t="array" ref="M896">IFERROR(LOOKUP(2,1/(Table1[[#This Row],[2019-May]:[2025-July]]&lt;&gt;0),Table1[[#This Row],[2019-May]:[2025-July]]),0)</f>
        <v>0</v>
      </c>
      <c r="N896" s="4">
        <f>COUNTIF(Table1[[#This Row],[2019-Apr]:[2025-July]],"&gt;="&amp;Table1[[#This Row],[Target]])</f>
        <v>0</v>
      </c>
      <c r="O896" s="4">
        <f>IF(Table1[[#This Row],[Outliers 2Y]]=0,1,0)</f>
        <v>1</v>
      </c>
      <c r="P896" s="4">
        <f>IF(Table1[[#This Row],[Last value]]&gt;1.5*Table1[[#This Row],[Target]],1,0)</f>
        <v>0</v>
      </c>
      <c r="Q896" s="4">
        <f>IF(AND(1.5*Table1[[#This Row],[Target]]&gt;=Table1[[#This Row],[Last value]],Table1[[#This Row],[Last value]]&gt;Table1[[#This Row],[Target]]),1,0)</f>
        <v>0</v>
      </c>
      <c r="R896" s="4">
        <f>IF(Table1[[#This Row],[Target]]&gt;=Table1[[#This Row],[Last value]],1,0)</f>
        <v>1</v>
      </c>
      <c r="S896" s="4" t="str">
        <f t="shared" si="24"/>
        <v>Green</v>
      </c>
      <c r="T896" s="55">
        <v>0</v>
      </c>
      <c r="U896" s="55">
        <v>0</v>
      </c>
      <c r="V896" s="55">
        <v>0</v>
      </c>
      <c r="W896" s="55">
        <v>0</v>
      </c>
      <c r="X896" s="55">
        <v>0</v>
      </c>
      <c r="Y896" s="55">
        <v>0</v>
      </c>
      <c r="Z896" s="55">
        <v>0</v>
      </c>
      <c r="AA896" s="55">
        <v>0</v>
      </c>
      <c r="AB896" s="55">
        <v>0</v>
      </c>
      <c r="AC896" s="55">
        <v>0</v>
      </c>
      <c r="AD896" s="55">
        <v>0</v>
      </c>
      <c r="AE896" s="55">
        <v>0</v>
      </c>
      <c r="AF896" s="55">
        <v>0</v>
      </c>
      <c r="AG896" s="55">
        <v>0</v>
      </c>
      <c r="AH896" s="55">
        <v>0</v>
      </c>
      <c r="AI896" s="55">
        <v>0</v>
      </c>
      <c r="AJ896" s="55">
        <v>0</v>
      </c>
      <c r="AK896" s="55">
        <v>0</v>
      </c>
      <c r="AL896" s="55">
        <v>0</v>
      </c>
      <c r="AM896" s="55">
        <v>0</v>
      </c>
      <c r="AN896" s="55">
        <v>0</v>
      </c>
      <c r="AO896" s="55">
        <v>0</v>
      </c>
      <c r="AP896" s="55">
        <v>0</v>
      </c>
      <c r="AQ896" s="55">
        <v>0</v>
      </c>
      <c r="AR896" s="55">
        <v>0</v>
      </c>
      <c r="AS896" s="55">
        <v>0</v>
      </c>
      <c r="AT896" s="55">
        <v>0</v>
      </c>
      <c r="AU896" s="55">
        <v>0</v>
      </c>
      <c r="AV896" s="55">
        <v>0</v>
      </c>
      <c r="AW896" s="55">
        <v>0</v>
      </c>
      <c r="AX896" s="55">
        <v>0</v>
      </c>
      <c r="AY896" s="55">
        <v>0</v>
      </c>
      <c r="AZ896" s="55">
        <v>0</v>
      </c>
      <c r="BA896" s="55">
        <v>0</v>
      </c>
      <c r="BB896" s="55">
        <v>0</v>
      </c>
      <c r="BC896" s="55">
        <v>0</v>
      </c>
      <c r="BD896" s="55">
        <v>0</v>
      </c>
      <c r="BE896" s="55">
        <v>0</v>
      </c>
      <c r="BF896" s="55">
        <v>0</v>
      </c>
      <c r="BG896" s="55">
        <v>0</v>
      </c>
      <c r="BH896" s="55">
        <v>0</v>
      </c>
      <c r="BI896" s="55">
        <v>0</v>
      </c>
      <c r="BJ896" s="55">
        <v>0</v>
      </c>
      <c r="BK896" s="55">
        <v>0</v>
      </c>
      <c r="BL896" s="55">
        <v>0</v>
      </c>
      <c r="BM896" s="55">
        <v>0</v>
      </c>
      <c r="BN896" s="55">
        <v>0</v>
      </c>
      <c r="BO896" s="55">
        <v>0</v>
      </c>
      <c r="BP896" s="55">
        <v>0</v>
      </c>
      <c r="BQ896" s="55">
        <v>0</v>
      </c>
      <c r="BR896" s="55">
        <v>0</v>
      </c>
      <c r="BS896" s="55">
        <v>0</v>
      </c>
      <c r="BT896" s="55">
        <v>0</v>
      </c>
      <c r="BU896" s="55">
        <v>0</v>
      </c>
      <c r="BV896" s="55">
        <v>0</v>
      </c>
      <c r="BW896" s="55">
        <v>0</v>
      </c>
      <c r="BX896" s="55">
        <v>0</v>
      </c>
      <c r="BY896" s="55">
        <v>0</v>
      </c>
      <c r="BZ896" s="55">
        <v>0</v>
      </c>
      <c r="CA896" s="55">
        <v>0</v>
      </c>
      <c r="CB896" s="55">
        <v>0</v>
      </c>
      <c r="CC896" s="55">
        <v>0</v>
      </c>
      <c r="CD896" s="55">
        <v>0</v>
      </c>
      <c r="CE896" s="55">
        <v>0</v>
      </c>
      <c r="CF896" s="55">
        <v>0</v>
      </c>
      <c r="CG896" s="55">
        <v>0</v>
      </c>
      <c r="CH896" s="55">
        <v>0</v>
      </c>
      <c r="CI896" s="55">
        <v>0</v>
      </c>
      <c r="CJ896" s="34">
        <v>0</v>
      </c>
      <c r="CK896" s="34">
        <v>0</v>
      </c>
      <c r="CL896" s="34">
        <v>0</v>
      </c>
      <c r="CM896" s="4">
        <v>0</v>
      </c>
      <c r="CN896" s="53">
        <v>0</v>
      </c>
      <c r="CO896" s="54">
        <v>0</v>
      </c>
      <c r="CP896" s="54">
        <v>0</v>
      </c>
      <c r="CQ896" s="4">
        <v>0</v>
      </c>
    </row>
    <row r="897" spans="1:95" s="55" customFormat="1" x14ac:dyDescent="0.35">
      <c r="A897" s="55">
        <v>896</v>
      </c>
      <c r="B897" s="55" t="s">
        <v>108</v>
      </c>
      <c r="C897" s="27" t="s">
        <v>637</v>
      </c>
      <c r="D897" s="50" t="s">
        <v>88</v>
      </c>
      <c r="E897" s="33" t="s">
        <v>95</v>
      </c>
      <c r="F897" s="4">
        <f>IFERROR(AVERAGEIF(Table1[[#This Row],[2019-Apr]:[2025-July]],"&lt;&gt;0"),0)</f>
        <v>0</v>
      </c>
      <c r="G897" s="4">
        <f ca="1">IFERROR(AVERAGEIF(OFFSET(Table1[[#This Row],[Status]],0,COUNT(Table1[[#This Row],[2019-May]:[2025-July]]),1,-12),"&lt;&gt;0"),0)</f>
        <v>0</v>
      </c>
      <c r="H897" s="55">
        <f>IFERROR(SMALL(Table1[[#This Row],[2019-Apr]:[2025-July]],COUNTIF(Table1[[#This Row],[2019-Apr]:[2025-July]],0)+1),0)</f>
        <v>0</v>
      </c>
      <c r="I897" s="55">
        <f>IFERROR(MAX(Table1[[#This Row],[2019-Apr]:[2025-July]]),0)</f>
        <v>0</v>
      </c>
      <c r="J897" s="4" cm="1">
        <f t="array" ref="J89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897" s="4">
        <v>4.5</v>
      </c>
      <c r="L897" s="4">
        <f>IF(Table1[[#This Row],[Standard as per ISO]]&gt;=Table1[[#This Row],[Avg of best 6]],Table1[[#This Row],[Standard as per ISO]],Table1[[#This Row],[Avg of best 6]])</f>
        <v>4.5</v>
      </c>
      <c r="M897" s="4" cm="1">
        <f t="array" ref="M897">IFERROR(LOOKUP(2,1/(Table1[[#This Row],[2019-May]:[2025-July]]&lt;&gt;0),Table1[[#This Row],[2019-May]:[2025-July]]),0)</f>
        <v>0</v>
      </c>
      <c r="N897" s="4">
        <f>COUNTIF(Table1[[#This Row],[2019-Apr]:[2025-July]],"&gt;="&amp;Table1[[#This Row],[Target]])</f>
        <v>0</v>
      </c>
      <c r="O897" s="4">
        <f>IF(Table1[[#This Row],[Outliers 2Y]]=0,1,0)</f>
        <v>1</v>
      </c>
      <c r="P897" s="4">
        <f>IF(Table1[[#This Row],[Last value]]&gt;1.5*Table1[[#This Row],[Target]],1,0)</f>
        <v>0</v>
      </c>
      <c r="Q897" s="4">
        <f>IF(AND(1.5*Table1[[#This Row],[Target]]&gt;=Table1[[#This Row],[Last value]],Table1[[#This Row],[Last value]]&gt;Table1[[#This Row],[Target]]),1,0)</f>
        <v>0</v>
      </c>
      <c r="R897" s="4">
        <f>IF(Table1[[#This Row],[Target]]&gt;=Table1[[#This Row],[Last value]],1,0)</f>
        <v>1</v>
      </c>
      <c r="S897" s="4" t="str">
        <f t="shared" si="24"/>
        <v>Green</v>
      </c>
      <c r="T897" s="55">
        <v>0</v>
      </c>
      <c r="U897" s="55">
        <v>0</v>
      </c>
      <c r="V897" s="55">
        <v>0</v>
      </c>
      <c r="W897" s="55">
        <v>0</v>
      </c>
      <c r="X897" s="55">
        <v>0</v>
      </c>
      <c r="Y897" s="55">
        <v>0</v>
      </c>
      <c r="Z897" s="55">
        <v>0</v>
      </c>
      <c r="AA897" s="55">
        <v>0</v>
      </c>
      <c r="AB897" s="55">
        <v>0</v>
      </c>
      <c r="AC897" s="55">
        <v>0</v>
      </c>
      <c r="AD897" s="55">
        <v>0</v>
      </c>
      <c r="AE897" s="55">
        <v>0</v>
      </c>
      <c r="AF897" s="55">
        <v>0</v>
      </c>
      <c r="AG897" s="55">
        <v>0</v>
      </c>
      <c r="AH897" s="55">
        <v>0</v>
      </c>
      <c r="AI897" s="55">
        <v>0</v>
      </c>
      <c r="AJ897" s="55">
        <v>0</v>
      </c>
      <c r="AK897" s="55">
        <v>0</v>
      </c>
      <c r="AL897" s="55">
        <v>0</v>
      </c>
      <c r="AM897" s="55">
        <v>0</v>
      </c>
      <c r="AN897" s="55">
        <v>0</v>
      </c>
      <c r="AO897" s="55">
        <v>0</v>
      </c>
      <c r="AP897" s="55">
        <v>0</v>
      </c>
      <c r="AQ897" s="55">
        <v>0</v>
      </c>
      <c r="AR897" s="55">
        <v>0</v>
      </c>
      <c r="AS897" s="55">
        <v>0</v>
      </c>
      <c r="AT897" s="55">
        <v>0</v>
      </c>
      <c r="AU897" s="55">
        <v>0</v>
      </c>
      <c r="AV897" s="55">
        <v>0</v>
      </c>
      <c r="AW897" s="55">
        <v>0</v>
      </c>
      <c r="AX897" s="55">
        <v>0</v>
      </c>
      <c r="AY897" s="55">
        <v>0</v>
      </c>
      <c r="AZ897" s="55">
        <v>0</v>
      </c>
      <c r="BA897" s="55">
        <v>0</v>
      </c>
      <c r="BB897" s="55">
        <v>0</v>
      </c>
      <c r="BC897" s="55">
        <v>0</v>
      </c>
      <c r="BD897" s="55">
        <v>0</v>
      </c>
      <c r="BE897" s="55">
        <v>0</v>
      </c>
      <c r="BF897" s="55">
        <v>0</v>
      </c>
      <c r="BG897" s="55">
        <v>0</v>
      </c>
      <c r="BH897" s="55">
        <v>0</v>
      </c>
      <c r="BI897" s="55">
        <v>0</v>
      </c>
      <c r="BJ897" s="55">
        <v>0</v>
      </c>
      <c r="BK897" s="55">
        <v>0</v>
      </c>
      <c r="BL897" s="55">
        <v>0</v>
      </c>
      <c r="BM897" s="55">
        <v>0</v>
      </c>
      <c r="BN897" s="55">
        <v>0</v>
      </c>
      <c r="BO897" s="55">
        <v>0</v>
      </c>
      <c r="BP897" s="55">
        <v>0</v>
      </c>
      <c r="BQ897" s="55">
        <v>0</v>
      </c>
      <c r="BR897" s="55">
        <v>0</v>
      </c>
      <c r="BS897" s="55">
        <v>0</v>
      </c>
      <c r="BT897" s="55">
        <v>0</v>
      </c>
      <c r="BU897" s="55">
        <v>0</v>
      </c>
      <c r="BV897" s="55">
        <v>0</v>
      </c>
      <c r="BW897" s="55">
        <v>0</v>
      </c>
      <c r="BX897" s="55">
        <v>0</v>
      </c>
      <c r="BY897" s="55">
        <v>0</v>
      </c>
      <c r="BZ897" s="55">
        <v>0</v>
      </c>
      <c r="CA897" s="55">
        <v>0</v>
      </c>
      <c r="CB897" s="55">
        <v>0</v>
      </c>
      <c r="CC897" s="55">
        <v>0</v>
      </c>
      <c r="CD897" s="55">
        <v>0</v>
      </c>
      <c r="CE897" s="55">
        <v>0</v>
      </c>
      <c r="CF897" s="55">
        <v>0</v>
      </c>
      <c r="CG897" s="55">
        <v>0</v>
      </c>
      <c r="CH897" s="55">
        <v>0</v>
      </c>
      <c r="CI897" s="55">
        <v>0</v>
      </c>
      <c r="CJ897" s="34">
        <v>0</v>
      </c>
      <c r="CK897" s="34">
        <v>0</v>
      </c>
      <c r="CL897" s="34">
        <v>0</v>
      </c>
      <c r="CM897" s="4">
        <v>0</v>
      </c>
      <c r="CN897" s="53">
        <v>0</v>
      </c>
      <c r="CO897" s="54">
        <v>0</v>
      </c>
      <c r="CP897" s="54">
        <v>0</v>
      </c>
      <c r="CQ897" s="4">
        <v>0</v>
      </c>
    </row>
    <row r="898" spans="1:95" s="55" customFormat="1" x14ac:dyDescent="0.35">
      <c r="A898" s="55">
        <v>897</v>
      </c>
      <c r="B898" s="55" t="s">
        <v>108</v>
      </c>
      <c r="C898" s="27" t="s">
        <v>1499</v>
      </c>
      <c r="D898" s="50" t="s">
        <v>102</v>
      </c>
      <c r="E898" s="25" t="s">
        <v>91</v>
      </c>
      <c r="F898" s="4">
        <f>IFERROR(AVERAGEIF(Table1[[#This Row],[2019-Apr]:[2025-July]],"&lt;&gt;0"),0)</f>
        <v>7.7333333333333343</v>
      </c>
      <c r="G898" s="4">
        <f ca="1">IFERROR(AVERAGEIF(OFFSET(Table1[[#This Row],[Status]],0,COUNT(Table1[[#This Row],[2019-May]:[2025-July]]),1,-12),"&lt;&gt;0"),0)</f>
        <v>7.3500000000000005</v>
      </c>
      <c r="H898" s="55">
        <f>IFERROR(SMALL(Table1[[#This Row],[2019-Apr]:[2025-July]],COUNTIF(Table1[[#This Row],[2019-Apr]:[2025-July]],0)+1),0)</f>
        <v>5.4</v>
      </c>
      <c r="I898" s="55">
        <f>IFERROR(MAX(Table1[[#This Row],[2019-Apr]:[2025-July]]),0)</f>
        <v>9.3000000000000007</v>
      </c>
      <c r="J898" s="4" cm="1">
        <f t="array" ref="J89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7.7333333333333343</v>
      </c>
      <c r="K898" s="4">
        <v>4.5</v>
      </c>
      <c r="L898" s="4">
        <f>IF(Table1[[#This Row],[Standard as per ISO]]&gt;=Table1[[#This Row],[Avg of best 6]],Table1[[#This Row],[Standard as per ISO]],Table1[[#This Row],[Avg of best 6]])</f>
        <v>7.7333333333333343</v>
      </c>
      <c r="M898" s="4" cm="1">
        <f t="array" ref="M898">IFERROR(LOOKUP(2,1/(Table1[[#This Row],[2019-May]:[2025-July]]&lt;&gt;0),Table1[[#This Row],[2019-May]:[2025-July]]),0)</f>
        <v>8.5</v>
      </c>
      <c r="N898" s="4">
        <f>COUNTIF(Table1[[#This Row],[2019-Apr]:[2025-July]],"&gt;="&amp;Table1[[#This Row],[Target]])</f>
        <v>2</v>
      </c>
      <c r="O898" s="4">
        <f>IF(Table1[[#This Row],[Outliers 2Y]]=0,1,0)</f>
        <v>0</v>
      </c>
      <c r="P898" s="4">
        <f>IF(Table1[[#This Row],[Last value]]&gt;1.5*Table1[[#This Row],[Target]],1,0)</f>
        <v>0</v>
      </c>
      <c r="Q898" s="4">
        <f>IF(AND(1.5*Table1[[#This Row],[Target]]&gt;=Table1[[#This Row],[Last value]],Table1[[#This Row],[Last value]]&gt;Table1[[#This Row],[Target]]),1,0)</f>
        <v>1</v>
      </c>
      <c r="R898" s="4">
        <f>IF(Table1[[#This Row],[Target]]&gt;=Table1[[#This Row],[Last value]],1,0)</f>
        <v>0</v>
      </c>
      <c r="S898" s="4" t="str">
        <f t="shared" si="24"/>
        <v>Yellow</v>
      </c>
      <c r="T898" s="55">
        <v>0</v>
      </c>
      <c r="U898" s="55">
        <v>0</v>
      </c>
      <c r="V898" s="55">
        <v>0</v>
      </c>
      <c r="W898" s="55">
        <v>0</v>
      </c>
      <c r="X898" s="55">
        <v>0</v>
      </c>
      <c r="Y898" s="55">
        <v>0</v>
      </c>
      <c r="Z898" s="55">
        <v>0</v>
      </c>
      <c r="AA898" s="55">
        <v>0</v>
      </c>
      <c r="AB898" s="55">
        <v>0</v>
      </c>
      <c r="AC898" s="55">
        <v>0</v>
      </c>
      <c r="AD898" s="55">
        <v>0</v>
      </c>
      <c r="AE898" s="55">
        <v>0</v>
      </c>
      <c r="AF898" s="55">
        <v>0</v>
      </c>
      <c r="AG898" s="55">
        <v>0</v>
      </c>
      <c r="AH898" s="55">
        <v>0</v>
      </c>
      <c r="AI898" s="55">
        <v>0</v>
      </c>
      <c r="AJ898" s="55">
        <v>0</v>
      </c>
      <c r="AK898" s="55">
        <v>0</v>
      </c>
      <c r="AL898" s="55">
        <v>0</v>
      </c>
      <c r="AM898" s="55">
        <v>0</v>
      </c>
      <c r="AN898" s="55">
        <v>0</v>
      </c>
      <c r="AO898" s="55">
        <v>0</v>
      </c>
      <c r="AP898" s="55">
        <v>0</v>
      </c>
      <c r="AQ898" s="55">
        <v>0</v>
      </c>
      <c r="AR898" s="55">
        <v>0</v>
      </c>
      <c r="AS898" s="55">
        <v>0</v>
      </c>
      <c r="AT898" s="55">
        <v>0</v>
      </c>
      <c r="AU898" s="55">
        <v>0</v>
      </c>
      <c r="AV898" s="55">
        <v>0</v>
      </c>
      <c r="AW898" s="55">
        <v>0</v>
      </c>
      <c r="AX898" s="55">
        <v>0</v>
      </c>
      <c r="AY898" s="55">
        <v>0</v>
      </c>
      <c r="AZ898" s="55">
        <v>0</v>
      </c>
      <c r="BA898" s="55">
        <v>0</v>
      </c>
      <c r="BB898" s="55">
        <v>0</v>
      </c>
      <c r="BC898" s="55">
        <v>0</v>
      </c>
      <c r="BD898" s="55">
        <v>0</v>
      </c>
      <c r="BE898" s="55">
        <v>0</v>
      </c>
      <c r="BF898" s="55">
        <v>0</v>
      </c>
      <c r="BG898" s="55">
        <v>0</v>
      </c>
      <c r="BH898" s="55">
        <v>0</v>
      </c>
      <c r="BI898" s="55">
        <v>0</v>
      </c>
      <c r="BJ898" s="55">
        <v>0</v>
      </c>
      <c r="BK898" s="55">
        <v>0</v>
      </c>
      <c r="BL898" s="55">
        <v>0</v>
      </c>
      <c r="BM898" s="55">
        <v>0</v>
      </c>
      <c r="BN898" s="55">
        <v>0</v>
      </c>
      <c r="BO898" s="55">
        <v>0</v>
      </c>
      <c r="BP898" s="55">
        <v>0</v>
      </c>
      <c r="BQ898" s="55">
        <v>0</v>
      </c>
      <c r="BR898" s="55">
        <v>0</v>
      </c>
      <c r="BS898" s="55">
        <v>0</v>
      </c>
      <c r="BT898" s="55">
        <v>0</v>
      </c>
      <c r="BU898" s="55">
        <v>0</v>
      </c>
      <c r="BV898" s="55">
        <v>0</v>
      </c>
      <c r="BW898" s="55">
        <v>0</v>
      </c>
      <c r="BX898" s="55">
        <v>0</v>
      </c>
      <c r="BY898" s="55">
        <v>0</v>
      </c>
      <c r="BZ898" s="55">
        <v>0</v>
      </c>
      <c r="CA898" s="55">
        <v>0</v>
      </c>
      <c r="CB898" s="55">
        <v>0</v>
      </c>
      <c r="CC898" s="55">
        <v>0</v>
      </c>
      <c r="CD898" s="55">
        <v>0</v>
      </c>
      <c r="CE898" s="55">
        <v>0</v>
      </c>
      <c r="CF898" s="55">
        <v>0</v>
      </c>
      <c r="CG898" s="55">
        <v>0</v>
      </c>
      <c r="CH898" s="55">
        <v>0</v>
      </c>
      <c r="CI898" s="55">
        <v>0</v>
      </c>
      <c r="CJ898" s="55">
        <v>0</v>
      </c>
      <c r="CK898" s="55">
        <v>0</v>
      </c>
      <c r="CL898" s="55">
        <v>0</v>
      </c>
      <c r="CM898" s="55">
        <v>0</v>
      </c>
      <c r="CN898" s="53">
        <v>0</v>
      </c>
      <c r="CO898" s="54">
        <v>9.3000000000000007</v>
      </c>
      <c r="CP898" s="54">
        <v>5.4</v>
      </c>
      <c r="CQ898" s="4">
        <v>8.5</v>
      </c>
    </row>
    <row r="899" spans="1:95" s="55" customFormat="1" x14ac:dyDescent="0.35">
      <c r="A899" s="55">
        <v>898</v>
      </c>
      <c r="B899" s="55" t="s">
        <v>108</v>
      </c>
      <c r="C899" s="27" t="s">
        <v>1500</v>
      </c>
      <c r="D899" s="50" t="s">
        <v>102</v>
      </c>
      <c r="E899" s="25" t="s">
        <v>89</v>
      </c>
      <c r="F899" s="4">
        <f>IFERROR(AVERAGEIF(Table1[[#This Row],[2019-Apr]:[2025-July]],"&lt;&gt;0"),0)</f>
        <v>15.1</v>
      </c>
      <c r="G899" s="4">
        <f ca="1">IFERROR(AVERAGEIF(OFFSET(Table1[[#This Row],[Status]],0,COUNT(Table1[[#This Row],[2019-May]:[2025-July]]),1,-12),"&lt;&gt;0"),0)</f>
        <v>14.45</v>
      </c>
      <c r="H899" s="55">
        <f>IFERROR(SMALL(Table1[[#This Row],[2019-Apr]:[2025-July]],COUNTIF(Table1[[#This Row],[2019-Apr]:[2025-July]],0)+1),0)</f>
        <v>13.2</v>
      </c>
      <c r="I899" s="55">
        <f>IFERROR(MAX(Table1[[#This Row],[2019-Apr]:[2025-July]]),0)</f>
        <v>16.399999999999999</v>
      </c>
      <c r="J899" s="4" cm="1">
        <f t="array" ref="J89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15.1</v>
      </c>
      <c r="K899" s="4">
        <v>4.5</v>
      </c>
      <c r="L899" s="4">
        <f>IF(Table1[[#This Row],[Standard as per ISO]]&gt;=Table1[[#This Row],[Avg of best 6]],Table1[[#This Row],[Standard as per ISO]],Table1[[#This Row],[Avg of best 6]])</f>
        <v>15.1</v>
      </c>
      <c r="M899" s="4" cm="1">
        <f t="array" ref="M899">IFERROR(LOOKUP(2,1/(Table1[[#This Row],[2019-May]:[2025-July]]&lt;&gt;0),Table1[[#This Row],[2019-May]:[2025-July]]),0)</f>
        <v>16.399999999999999</v>
      </c>
      <c r="N899" s="4">
        <f>COUNTIF(Table1[[#This Row],[2019-Apr]:[2025-July]],"&gt;="&amp;Table1[[#This Row],[Target]])</f>
        <v>2</v>
      </c>
      <c r="O899" s="4">
        <f>IF(Table1[[#This Row],[Outliers 2Y]]=0,1,0)</f>
        <v>0</v>
      </c>
      <c r="P899" s="4">
        <f>IF(Table1[[#This Row],[Last value]]&gt;1.5*Table1[[#This Row],[Target]],1,0)</f>
        <v>0</v>
      </c>
      <c r="Q899" s="4">
        <f>IF(AND(1.5*Table1[[#This Row],[Target]]&gt;=Table1[[#This Row],[Last value]],Table1[[#This Row],[Last value]]&gt;Table1[[#This Row],[Target]]),1,0)</f>
        <v>1</v>
      </c>
      <c r="R899" s="4">
        <f>IF(Table1[[#This Row],[Target]]&gt;=Table1[[#This Row],[Last value]],1,0)</f>
        <v>0</v>
      </c>
      <c r="S899" s="4" t="str">
        <f t="shared" si="24"/>
        <v>Yellow</v>
      </c>
      <c r="T899" s="55">
        <v>0</v>
      </c>
      <c r="U899" s="55">
        <v>0</v>
      </c>
      <c r="V899" s="55">
        <v>0</v>
      </c>
      <c r="W899" s="55">
        <v>0</v>
      </c>
      <c r="X899" s="55">
        <v>0</v>
      </c>
      <c r="Y899" s="55">
        <v>0</v>
      </c>
      <c r="Z899" s="55">
        <v>0</v>
      </c>
      <c r="AA899" s="55">
        <v>0</v>
      </c>
      <c r="AB899" s="55">
        <v>0</v>
      </c>
      <c r="AC899" s="55">
        <v>0</v>
      </c>
      <c r="AD899" s="55">
        <v>0</v>
      </c>
      <c r="AE899" s="55">
        <v>0</v>
      </c>
      <c r="AF899" s="55">
        <v>0</v>
      </c>
      <c r="AG899" s="55">
        <v>0</v>
      </c>
      <c r="AH899" s="55">
        <v>0</v>
      </c>
      <c r="AI899" s="55">
        <v>0</v>
      </c>
      <c r="AJ899" s="55">
        <v>0</v>
      </c>
      <c r="AK899" s="55">
        <v>0</v>
      </c>
      <c r="AL899" s="55">
        <v>0</v>
      </c>
      <c r="AM899" s="55">
        <v>0</v>
      </c>
      <c r="AN899" s="55">
        <v>0</v>
      </c>
      <c r="AO899" s="55">
        <v>0</v>
      </c>
      <c r="AP899" s="55">
        <v>0</v>
      </c>
      <c r="AQ899" s="55">
        <v>0</v>
      </c>
      <c r="AR899" s="55">
        <v>0</v>
      </c>
      <c r="AS899" s="55">
        <v>0</v>
      </c>
      <c r="AT899" s="55">
        <v>0</v>
      </c>
      <c r="AU899" s="55">
        <v>0</v>
      </c>
      <c r="AV899" s="55">
        <v>0</v>
      </c>
      <c r="AW899" s="55">
        <v>0</v>
      </c>
      <c r="AX899" s="55">
        <v>0</v>
      </c>
      <c r="AY899" s="55">
        <v>0</v>
      </c>
      <c r="AZ899" s="55">
        <v>0</v>
      </c>
      <c r="BA899" s="55">
        <v>0</v>
      </c>
      <c r="BB899" s="55">
        <v>0</v>
      </c>
      <c r="BC899" s="55">
        <v>0</v>
      </c>
      <c r="BD899" s="55">
        <v>0</v>
      </c>
      <c r="BE899" s="55">
        <v>0</v>
      </c>
      <c r="BF899" s="55">
        <v>0</v>
      </c>
      <c r="BG899" s="55">
        <v>0</v>
      </c>
      <c r="BH899" s="55">
        <v>0</v>
      </c>
      <c r="BI899" s="55">
        <v>0</v>
      </c>
      <c r="BJ899" s="55">
        <v>0</v>
      </c>
      <c r="BK899" s="55">
        <v>0</v>
      </c>
      <c r="BL899" s="55">
        <v>0</v>
      </c>
      <c r="BM899" s="55">
        <v>0</v>
      </c>
      <c r="BN899" s="55">
        <v>0</v>
      </c>
      <c r="BO899" s="55">
        <v>0</v>
      </c>
      <c r="BP899" s="55">
        <v>0</v>
      </c>
      <c r="BQ899" s="55">
        <v>0</v>
      </c>
      <c r="BR899" s="55">
        <v>0</v>
      </c>
      <c r="BS899" s="55">
        <v>0</v>
      </c>
      <c r="BT899" s="55">
        <v>0</v>
      </c>
      <c r="BU899" s="55">
        <v>0</v>
      </c>
      <c r="BV899" s="55">
        <v>0</v>
      </c>
      <c r="BW899" s="55">
        <v>0</v>
      </c>
      <c r="BX899" s="55">
        <v>0</v>
      </c>
      <c r="BY899" s="55">
        <v>0</v>
      </c>
      <c r="BZ899" s="55">
        <v>0</v>
      </c>
      <c r="CA899" s="55">
        <v>0</v>
      </c>
      <c r="CB899" s="55">
        <v>0</v>
      </c>
      <c r="CC899" s="55">
        <v>0</v>
      </c>
      <c r="CD899" s="55">
        <v>0</v>
      </c>
      <c r="CE899" s="55">
        <v>0</v>
      </c>
      <c r="CF899" s="55">
        <v>0</v>
      </c>
      <c r="CG899" s="55">
        <v>0</v>
      </c>
      <c r="CH899" s="55">
        <v>0</v>
      </c>
      <c r="CI899" s="55">
        <v>0</v>
      </c>
      <c r="CJ899" s="55">
        <v>0</v>
      </c>
      <c r="CK899" s="55">
        <v>0</v>
      </c>
      <c r="CL899" s="55">
        <v>0</v>
      </c>
      <c r="CM899" s="55">
        <v>0</v>
      </c>
      <c r="CN899" s="53">
        <v>0</v>
      </c>
      <c r="CO899" s="54">
        <v>13.2</v>
      </c>
      <c r="CP899" s="54">
        <v>15.7</v>
      </c>
      <c r="CQ899" s="4">
        <v>16.399999999999999</v>
      </c>
    </row>
    <row r="900" spans="1:95" s="55" customFormat="1" x14ac:dyDescent="0.35">
      <c r="A900" s="55">
        <v>899</v>
      </c>
      <c r="B900" s="55" t="s">
        <v>108</v>
      </c>
      <c r="C900" s="27" t="s">
        <v>1501</v>
      </c>
      <c r="D900" s="50" t="s">
        <v>102</v>
      </c>
      <c r="E900" s="25" t="s">
        <v>89</v>
      </c>
      <c r="F900" s="4">
        <f>IFERROR(AVERAGEIF(Table1[[#This Row],[2019-Apr]:[2025-July]],"&lt;&gt;0"),0)</f>
        <v>11.075000000000001</v>
      </c>
      <c r="G900" s="4">
        <f ca="1">IFERROR(AVERAGEIF(OFFSET(Table1[[#This Row],[Status]],0,COUNT(Table1[[#This Row],[2019-May]:[2025-July]]),1,-12),"&lt;&gt;0"),0)</f>
        <v>10.3</v>
      </c>
      <c r="H900" s="55">
        <f>IFERROR(SMALL(Table1[[#This Row],[2019-Apr]:[2025-July]],COUNTIF(Table1[[#This Row],[2019-Apr]:[2025-July]],0)+1),0)</f>
        <v>8.5</v>
      </c>
      <c r="I900" s="55">
        <f>IFERROR(MAX(Table1[[#This Row],[2019-Apr]:[2025-July]]),0)</f>
        <v>13.4</v>
      </c>
      <c r="J900" s="4" cm="1">
        <f t="array" ref="J90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11.075000000000001</v>
      </c>
      <c r="K900" s="4">
        <v>4.5</v>
      </c>
      <c r="L900" s="4">
        <f>IF(Table1[[#This Row],[Standard as per ISO]]&gt;=Table1[[#This Row],[Avg of best 6]],Table1[[#This Row],[Standard as per ISO]],Table1[[#This Row],[Avg of best 6]])</f>
        <v>11.075000000000001</v>
      </c>
      <c r="M900" s="4" cm="1">
        <f t="array" ref="M900">IFERROR(LOOKUP(2,1/(Table1[[#This Row],[2019-May]:[2025-July]]&lt;&gt;0),Table1[[#This Row],[2019-May]:[2025-July]]),0)</f>
        <v>13.4</v>
      </c>
      <c r="N900" s="4">
        <f>COUNTIF(Table1[[#This Row],[2019-Apr]:[2025-July]],"&gt;="&amp;Table1[[#This Row],[Target]])</f>
        <v>2</v>
      </c>
      <c r="O900" s="4">
        <f>IF(Table1[[#This Row],[Outliers 2Y]]=0,1,0)</f>
        <v>0</v>
      </c>
      <c r="P900" s="4">
        <f>IF(Table1[[#This Row],[Last value]]&gt;1.5*Table1[[#This Row],[Target]],1,0)</f>
        <v>0</v>
      </c>
      <c r="Q900" s="4">
        <f>IF(AND(1.5*Table1[[#This Row],[Target]]&gt;=Table1[[#This Row],[Last value]],Table1[[#This Row],[Last value]]&gt;Table1[[#This Row],[Target]]),1,0)</f>
        <v>1</v>
      </c>
      <c r="R900" s="4">
        <f>IF(Table1[[#This Row],[Target]]&gt;=Table1[[#This Row],[Last value]],1,0)</f>
        <v>0</v>
      </c>
      <c r="S900" s="4" t="str">
        <f t="shared" si="24"/>
        <v>Yellow</v>
      </c>
      <c r="T900" s="55">
        <v>0</v>
      </c>
      <c r="U900" s="55">
        <v>0</v>
      </c>
      <c r="V900" s="55">
        <v>0</v>
      </c>
      <c r="W900" s="55">
        <v>0</v>
      </c>
      <c r="X900" s="55">
        <v>0</v>
      </c>
      <c r="Y900" s="55">
        <v>0</v>
      </c>
      <c r="Z900" s="55">
        <v>0</v>
      </c>
      <c r="AA900" s="55">
        <v>0</v>
      </c>
      <c r="AB900" s="55">
        <v>0</v>
      </c>
      <c r="AC900" s="55">
        <v>0</v>
      </c>
      <c r="AD900" s="55">
        <v>0</v>
      </c>
      <c r="AE900" s="55">
        <v>0</v>
      </c>
      <c r="AF900" s="55">
        <v>0</v>
      </c>
      <c r="AG900" s="55">
        <v>0</v>
      </c>
      <c r="AH900" s="55">
        <v>0</v>
      </c>
      <c r="AI900" s="55">
        <v>0</v>
      </c>
      <c r="AJ900" s="55">
        <v>0</v>
      </c>
      <c r="AK900" s="55">
        <v>0</v>
      </c>
      <c r="AL900" s="55">
        <v>0</v>
      </c>
      <c r="AM900" s="55">
        <v>0</v>
      </c>
      <c r="AN900" s="55">
        <v>0</v>
      </c>
      <c r="AO900" s="55">
        <v>0</v>
      </c>
      <c r="AP900" s="55">
        <v>0</v>
      </c>
      <c r="AQ900" s="55">
        <v>0</v>
      </c>
      <c r="AR900" s="55">
        <v>0</v>
      </c>
      <c r="AS900" s="55">
        <v>0</v>
      </c>
      <c r="AT900" s="55">
        <v>0</v>
      </c>
      <c r="AU900" s="55">
        <v>0</v>
      </c>
      <c r="AV900" s="55">
        <v>0</v>
      </c>
      <c r="AW900" s="55">
        <v>0</v>
      </c>
      <c r="AX900" s="55">
        <v>0</v>
      </c>
      <c r="AY900" s="55">
        <v>0</v>
      </c>
      <c r="AZ900" s="55">
        <v>0</v>
      </c>
      <c r="BA900" s="55">
        <v>0</v>
      </c>
      <c r="BB900" s="55">
        <v>0</v>
      </c>
      <c r="BC900" s="55">
        <v>0</v>
      </c>
      <c r="BD900" s="55">
        <v>0</v>
      </c>
      <c r="BE900" s="55">
        <v>0</v>
      </c>
      <c r="BF900" s="55">
        <v>0</v>
      </c>
      <c r="BG900" s="55">
        <v>0</v>
      </c>
      <c r="BH900" s="55">
        <v>0</v>
      </c>
      <c r="BI900" s="55">
        <v>0</v>
      </c>
      <c r="BJ900" s="55">
        <v>0</v>
      </c>
      <c r="BK900" s="55">
        <v>0</v>
      </c>
      <c r="BL900" s="55">
        <v>0</v>
      </c>
      <c r="BM900" s="55">
        <v>0</v>
      </c>
      <c r="BN900" s="55">
        <v>0</v>
      </c>
      <c r="BO900" s="55">
        <v>0</v>
      </c>
      <c r="BP900" s="55">
        <v>0</v>
      </c>
      <c r="BQ900" s="55">
        <v>0</v>
      </c>
      <c r="BR900" s="55">
        <v>0</v>
      </c>
      <c r="BS900" s="55">
        <v>0</v>
      </c>
      <c r="BT900" s="55">
        <v>0</v>
      </c>
      <c r="BU900" s="55">
        <v>0</v>
      </c>
      <c r="BV900" s="55">
        <v>0</v>
      </c>
      <c r="BW900" s="55">
        <v>0</v>
      </c>
      <c r="BX900" s="55">
        <v>0</v>
      </c>
      <c r="BY900" s="55">
        <v>0</v>
      </c>
      <c r="BZ900" s="55">
        <v>0</v>
      </c>
      <c r="CA900" s="55">
        <v>0</v>
      </c>
      <c r="CB900" s="55">
        <v>0</v>
      </c>
      <c r="CC900" s="55">
        <v>0</v>
      </c>
      <c r="CD900" s="55">
        <v>0</v>
      </c>
      <c r="CE900" s="55">
        <v>0</v>
      </c>
      <c r="CF900" s="55">
        <v>0</v>
      </c>
      <c r="CG900" s="55">
        <v>0</v>
      </c>
      <c r="CH900" s="55">
        <v>0</v>
      </c>
      <c r="CI900" s="55">
        <v>0</v>
      </c>
      <c r="CJ900" s="55">
        <v>0</v>
      </c>
      <c r="CK900" s="55">
        <v>0</v>
      </c>
      <c r="CL900" s="55">
        <v>0</v>
      </c>
      <c r="CM900" s="55">
        <v>0</v>
      </c>
      <c r="CN900" s="11">
        <v>12.1</v>
      </c>
      <c r="CO900" s="54">
        <v>8.5</v>
      </c>
      <c r="CP900" s="54">
        <v>10.3</v>
      </c>
      <c r="CQ900" s="4">
        <v>13.4</v>
      </c>
    </row>
    <row r="901" spans="1:95" s="55" customFormat="1" x14ac:dyDescent="0.35">
      <c r="A901" s="55">
        <v>900</v>
      </c>
      <c r="B901" s="55" t="s">
        <v>108</v>
      </c>
      <c r="C901" s="27" t="s">
        <v>1502</v>
      </c>
      <c r="D901" s="50" t="s">
        <v>102</v>
      </c>
      <c r="E901" s="25" t="s">
        <v>89</v>
      </c>
      <c r="F901" s="4">
        <f>IFERROR(AVERAGEIF(Table1[[#This Row],[2019-Apr]:[2025-July]],"&lt;&gt;0"),0)</f>
        <v>11.649999999999999</v>
      </c>
      <c r="G901" s="4">
        <f ca="1">IFERROR(AVERAGEIF(OFFSET(Table1[[#This Row],[Status]],0,COUNT(Table1[[#This Row],[2019-May]:[2025-July]]),1,-12),"&lt;&gt;0"),0)</f>
        <v>11.066666666666665</v>
      </c>
      <c r="H901" s="55">
        <f>IFERROR(SMALL(Table1[[#This Row],[2019-Apr]:[2025-July]],COUNTIF(Table1[[#This Row],[2019-Apr]:[2025-July]],0)+1),0)</f>
        <v>9.1</v>
      </c>
      <c r="I901" s="55">
        <f>IFERROR(MAX(Table1[[#This Row],[2019-Apr]:[2025-July]]),0)</f>
        <v>13.4</v>
      </c>
      <c r="J901" s="4" cm="1">
        <f t="array" ref="J90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11.649999999999999</v>
      </c>
      <c r="K901" s="4">
        <v>4.5</v>
      </c>
      <c r="L901" s="4">
        <f>IF(Table1[[#This Row],[Standard as per ISO]]&gt;=Table1[[#This Row],[Avg of best 6]],Table1[[#This Row],[Standard as per ISO]],Table1[[#This Row],[Avg of best 6]])</f>
        <v>11.649999999999999</v>
      </c>
      <c r="M901" s="4" cm="1">
        <f t="array" ref="M901">IFERROR(LOOKUP(2,1/(Table1[[#This Row],[2019-May]:[2025-July]]&lt;&gt;0),Table1[[#This Row],[2019-May]:[2025-July]]),0)</f>
        <v>13.4</v>
      </c>
      <c r="N901" s="4">
        <f>COUNTIF(Table1[[#This Row],[2019-Apr]:[2025-July]],"&gt;="&amp;Table1[[#This Row],[Target]])</f>
        <v>2</v>
      </c>
      <c r="O901" s="4">
        <f>IF(Table1[[#This Row],[Outliers 2Y]]=0,1,0)</f>
        <v>0</v>
      </c>
      <c r="P901" s="4">
        <f>IF(Table1[[#This Row],[Last value]]&gt;1.5*Table1[[#This Row],[Target]],1,0)</f>
        <v>0</v>
      </c>
      <c r="Q901" s="4">
        <f>IF(AND(1.5*Table1[[#This Row],[Target]]&gt;=Table1[[#This Row],[Last value]],Table1[[#This Row],[Last value]]&gt;Table1[[#This Row],[Target]]),1,0)</f>
        <v>1</v>
      </c>
      <c r="R901" s="4">
        <f>IF(Table1[[#This Row],[Target]]&gt;=Table1[[#This Row],[Last value]],1,0)</f>
        <v>0</v>
      </c>
      <c r="S901" s="4" t="str">
        <f t="shared" si="24"/>
        <v>Yellow</v>
      </c>
      <c r="T901" s="55">
        <v>0</v>
      </c>
      <c r="U901" s="55">
        <v>0</v>
      </c>
      <c r="V901" s="55">
        <v>0</v>
      </c>
      <c r="W901" s="55">
        <v>0</v>
      </c>
      <c r="X901" s="55">
        <v>0</v>
      </c>
      <c r="Y901" s="55">
        <v>0</v>
      </c>
      <c r="Z901" s="55">
        <v>0</v>
      </c>
      <c r="AA901" s="55">
        <v>0</v>
      </c>
      <c r="AB901" s="55">
        <v>0</v>
      </c>
      <c r="AC901" s="55">
        <v>0</v>
      </c>
      <c r="AD901" s="55">
        <v>0</v>
      </c>
      <c r="AE901" s="55">
        <v>0</v>
      </c>
      <c r="AF901" s="55">
        <v>0</v>
      </c>
      <c r="AG901" s="55">
        <v>0</v>
      </c>
      <c r="AH901" s="55">
        <v>0</v>
      </c>
      <c r="AI901" s="55">
        <v>0</v>
      </c>
      <c r="AJ901" s="55">
        <v>0</v>
      </c>
      <c r="AK901" s="55">
        <v>0</v>
      </c>
      <c r="AL901" s="55">
        <v>0</v>
      </c>
      <c r="AM901" s="55">
        <v>0</v>
      </c>
      <c r="AN901" s="55">
        <v>0</v>
      </c>
      <c r="AO901" s="55">
        <v>0</v>
      </c>
      <c r="AP901" s="55">
        <v>0</v>
      </c>
      <c r="AQ901" s="55">
        <v>0</v>
      </c>
      <c r="AR901" s="55">
        <v>0</v>
      </c>
      <c r="AS901" s="55">
        <v>0</v>
      </c>
      <c r="AT901" s="55">
        <v>0</v>
      </c>
      <c r="AU901" s="55">
        <v>0</v>
      </c>
      <c r="AV901" s="55">
        <v>0</v>
      </c>
      <c r="AW901" s="55">
        <v>0</v>
      </c>
      <c r="AX901" s="55">
        <v>0</v>
      </c>
      <c r="AY901" s="55">
        <v>0</v>
      </c>
      <c r="AZ901" s="55">
        <v>0</v>
      </c>
      <c r="BA901" s="55">
        <v>0</v>
      </c>
      <c r="BB901" s="55">
        <v>0</v>
      </c>
      <c r="BC901" s="55">
        <v>0</v>
      </c>
      <c r="BD901" s="55">
        <v>0</v>
      </c>
      <c r="BE901" s="55">
        <v>0</v>
      </c>
      <c r="BF901" s="55">
        <v>0</v>
      </c>
      <c r="BG901" s="55">
        <v>0</v>
      </c>
      <c r="BH901" s="55">
        <v>0</v>
      </c>
      <c r="BI901" s="55">
        <v>0</v>
      </c>
      <c r="BJ901" s="55">
        <v>0</v>
      </c>
      <c r="BK901" s="55">
        <v>0</v>
      </c>
      <c r="BL901" s="55">
        <v>0</v>
      </c>
      <c r="BM901" s="55">
        <v>0</v>
      </c>
      <c r="BN901" s="55">
        <v>0</v>
      </c>
      <c r="BO901" s="55">
        <v>0</v>
      </c>
      <c r="BP901" s="55">
        <v>0</v>
      </c>
      <c r="BQ901" s="55">
        <v>0</v>
      </c>
      <c r="BR901" s="55">
        <v>0</v>
      </c>
      <c r="BS901" s="55">
        <v>0</v>
      </c>
      <c r="BT901" s="55">
        <v>0</v>
      </c>
      <c r="BU901" s="55">
        <v>0</v>
      </c>
      <c r="BV901" s="55">
        <v>0</v>
      </c>
      <c r="BW901" s="55">
        <v>0</v>
      </c>
      <c r="BX901" s="55">
        <v>0</v>
      </c>
      <c r="BY901" s="55">
        <v>0</v>
      </c>
      <c r="BZ901" s="55">
        <v>0</v>
      </c>
      <c r="CA901" s="55">
        <v>0</v>
      </c>
      <c r="CB901" s="55">
        <v>0</v>
      </c>
      <c r="CC901" s="55">
        <v>0</v>
      </c>
      <c r="CD901" s="55">
        <v>0</v>
      </c>
      <c r="CE901" s="55">
        <v>0</v>
      </c>
      <c r="CF901" s="55">
        <v>0</v>
      </c>
      <c r="CG901" s="55">
        <v>0</v>
      </c>
      <c r="CH901" s="55">
        <v>0</v>
      </c>
      <c r="CI901" s="55">
        <v>0</v>
      </c>
      <c r="CJ901" s="55">
        <v>0</v>
      </c>
      <c r="CK901" s="55">
        <v>0</v>
      </c>
      <c r="CL901" s="55">
        <v>0</v>
      </c>
      <c r="CM901" s="55">
        <v>0</v>
      </c>
      <c r="CN901" s="11">
        <v>11.2</v>
      </c>
      <c r="CO901" s="54">
        <v>9.1</v>
      </c>
      <c r="CP901" s="54">
        <v>12.9</v>
      </c>
      <c r="CQ901" s="4">
        <v>13.4</v>
      </c>
    </row>
    <row r="902" spans="1:95" s="55" customFormat="1" x14ac:dyDescent="0.35">
      <c r="A902" s="55">
        <v>901</v>
      </c>
      <c r="B902" s="55" t="s">
        <v>108</v>
      </c>
      <c r="C902" s="27" t="s">
        <v>1503</v>
      </c>
      <c r="D902" s="50" t="s">
        <v>102</v>
      </c>
      <c r="E902" s="25" t="s">
        <v>89</v>
      </c>
      <c r="F902" s="4">
        <f>IFERROR(AVERAGEIF(Table1[[#This Row],[2019-Apr]:[2025-July]],"&lt;&gt;0"),0)</f>
        <v>13.05</v>
      </c>
      <c r="G902" s="4">
        <f ca="1">IFERROR(AVERAGEIF(OFFSET(Table1[[#This Row],[Status]],0,COUNT(Table1[[#This Row],[2019-May]:[2025-July]]),1,-12),"&lt;&gt;0"),0)</f>
        <v>11.700000000000001</v>
      </c>
      <c r="H902" s="55">
        <f>IFERROR(SMALL(Table1[[#This Row],[2019-Apr]:[2025-July]],COUNTIF(Table1[[#This Row],[2019-Apr]:[2025-July]],0)+1),0)</f>
        <v>10.5</v>
      </c>
      <c r="I902" s="55">
        <f>IFERROR(MAX(Table1[[#This Row],[2019-Apr]:[2025-July]]),0)</f>
        <v>17.100000000000001</v>
      </c>
      <c r="J902" s="4" cm="1">
        <f t="array" ref="J90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13.05</v>
      </c>
      <c r="K902" s="4">
        <v>4.5</v>
      </c>
      <c r="L902" s="4">
        <f>IF(Table1[[#This Row],[Standard as per ISO]]&gt;=Table1[[#This Row],[Avg of best 6]],Table1[[#This Row],[Standard as per ISO]],Table1[[#This Row],[Avg of best 6]])</f>
        <v>13.05</v>
      </c>
      <c r="M902" s="4" cm="1">
        <f t="array" ref="M902">IFERROR(LOOKUP(2,1/(Table1[[#This Row],[2019-May]:[2025-July]]&lt;&gt;0),Table1[[#This Row],[2019-May]:[2025-July]]),0)</f>
        <v>17.100000000000001</v>
      </c>
      <c r="N902" s="4">
        <f>COUNTIF(Table1[[#This Row],[2019-Apr]:[2025-July]],"&gt;="&amp;Table1[[#This Row],[Target]])</f>
        <v>1</v>
      </c>
      <c r="O902" s="4">
        <f>IF(Table1[[#This Row],[Outliers 2Y]]=0,1,0)</f>
        <v>0</v>
      </c>
      <c r="P902" s="4">
        <f>IF(Table1[[#This Row],[Last value]]&gt;1.5*Table1[[#This Row],[Target]],1,0)</f>
        <v>0</v>
      </c>
      <c r="Q902" s="4">
        <f>IF(AND(1.5*Table1[[#This Row],[Target]]&gt;=Table1[[#This Row],[Last value]],Table1[[#This Row],[Last value]]&gt;Table1[[#This Row],[Target]]),1,0)</f>
        <v>1</v>
      </c>
      <c r="R902" s="4">
        <f>IF(Table1[[#This Row],[Target]]&gt;=Table1[[#This Row],[Last value]],1,0)</f>
        <v>0</v>
      </c>
      <c r="S902" s="4" t="str">
        <f t="shared" si="24"/>
        <v>Yellow</v>
      </c>
      <c r="T902" s="55">
        <v>0</v>
      </c>
      <c r="U902" s="55">
        <v>0</v>
      </c>
      <c r="V902" s="55">
        <v>0</v>
      </c>
      <c r="W902" s="55">
        <v>0</v>
      </c>
      <c r="X902" s="55">
        <v>0</v>
      </c>
      <c r="Y902" s="55">
        <v>0</v>
      </c>
      <c r="Z902" s="55">
        <v>0</v>
      </c>
      <c r="AA902" s="55">
        <v>0</v>
      </c>
      <c r="AB902" s="55">
        <v>0</v>
      </c>
      <c r="AC902" s="55">
        <v>0</v>
      </c>
      <c r="AD902" s="55">
        <v>0</v>
      </c>
      <c r="AE902" s="55">
        <v>0</v>
      </c>
      <c r="AF902" s="55">
        <v>0</v>
      </c>
      <c r="AG902" s="55">
        <v>0</v>
      </c>
      <c r="AH902" s="55">
        <v>0</v>
      </c>
      <c r="AI902" s="55">
        <v>0</v>
      </c>
      <c r="AJ902" s="55">
        <v>0</v>
      </c>
      <c r="AK902" s="55">
        <v>0</v>
      </c>
      <c r="AL902" s="55">
        <v>0</v>
      </c>
      <c r="AM902" s="55">
        <v>0</v>
      </c>
      <c r="AN902" s="55">
        <v>0</v>
      </c>
      <c r="AO902" s="55">
        <v>0</v>
      </c>
      <c r="AP902" s="55">
        <v>0</v>
      </c>
      <c r="AQ902" s="55">
        <v>0</v>
      </c>
      <c r="AR902" s="55">
        <v>0</v>
      </c>
      <c r="AS902" s="55">
        <v>0</v>
      </c>
      <c r="AT902" s="55">
        <v>0</v>
      </c>
      <c r="AU902" s="55">
        <v>0</v>
      </c>
      <c r="AV902" s="55">
        <v>0</v>
      </c>
      <c r="AW902" s="55">
        <v>0</v>
      </c>
      <c r="AX902" s="55">
        <v>0</v>
      </c>
      <c r="AY902" s="55">
        <v>0</v>
      </c>
      <c r="AZ902" s="55">
        <v>0</v>
      </c>
      <c r="BA902" s="55">
        <v>0</v>
      </c>
      <c r="BB902" s="55">
        <v>0</v>
      </c>
      <c r="BC902" s="55">
        <v>0</v>
      </c>
      <c r="BD902" s="55">
        <v>0</v>
      </c>
      <c r="BE902" s="55">
        <v>0</v>
      </c>
      <c r="BF902" s="55">
        <v>0</v>
      </c>
      <c r="BG902" s="55">
        <v>0</v>
      </c>
      <c r="BH902" s="55">
        <v>0</v>
      </c>
      <c r="BI902" s="55">
        <v>0</v>
      </c>
      <c r="BJ902" s="55">
        <v>0</v>
      </c>
      <c r="BK902" s="55">
        <v>0</v>
      </c>
      <c r="BL902" s="55">
        <v>0</v>
      </c>
      <c r="BM902" s="55">
        <v>0</v>
      </c>
      <c r="BN902" s="55">
        <v>0</v>
      </c>
      <c r="BO902" s="55">
        <v>0</v>
      </c>
      <c r="BP902" s="55">
        <v>0</v>
      </c>
      <c r="BQ902" s="55">
        <v>0</v>
      </c>
      <c r="BR902" s="55">
        <v>0</v>
      </c>
      <c r="BS902" s="55">
        <v>0</v>
      </c>
      <c r="BT902" s="55">
        <v>0</v>
      </c>
      <c r="BU902" s="55">
        <v>0</v>
      </c>
      <c r="BV902" s="55">
        <v>0</v>
      </c>
      <c r="BW902" s="55">
        <v>0</v>
      </c>
      <c r="BX902" s="55">
        <v>0</v>
      </c>
      <c r="BY902" s="55">
        <v>0</v>
      </c>
      <c r="BZ902" s="55">
        <v>0</v>
      </c>
      <c r="CA902" s="55">
        <v>0</v>
      </c>
      <c r="CB902" s="55">
        <v>0</v>
      </c>
      <c r="CC902" s="55">
        <v>0</v>
      </c>
      <c r="CD902" s="55">
        <v>0</v>
      </c>
      <c r="CE902" s="55">
        <v>0</v>
      </c>
      <c r="CF902" s="55">
        <v>0</v>
      </c>
      <c r="CG902" s="55">
        <v>0</v>
      </c>
      <c r="CH902" s="55">
        <v>0</v>
      </c>
      <c r="CI902" s="55">
        <v>0</v>
      </c>
      <c r="CJ902" s="55">
        <v>0</v>
      </c>
      <c r="CK902" s="55">
        <v>0</v>
      </c>
      <c r="CL902" s="55">
        <v>0</v>
      </c>
      <c r="CM902" s="55">
        <v>0</v>
      </c>
      <c r="CN902" s="11">
        <v>12.3</v>
      </c>
      <c r="CO902" s="54">
        <v>10.5</v>
      </c>
      <c r="CP902" s="54">
        <v>12.3</v>
      </c>
      <c r="CQ902" s="4">
        <v>17.100000000000001</v>
      </c>
    </row>
    <row r="903" spans="1:95" s="55" customFormat="1" x14ac:dyDescent="0.35">
      <c r="A903" s="55">
        <v>902</v>
      </c>
      <c r="B903" s="55" t="s">
        <v>108</v>
      </c>
      <c r="C903" s="27" t="s">
        <v>1504</v>
      </c>
      <c r="D903" s="50" t="s">
        <v>102</v>
      </c>
      <c r="E903" s="25" t="s">
        <v>91</v>
      </c>
      <c r="F903" s="4">
        <f>IFERROR(AVERAGEIF(Table1[[#This Row],[2019-Apr]:[2025-July]],"&lt;&gt;0"),0)</f>
        <v>12.149999999999999</v>
      </c>
      <c r="G903" s="4">
        <f ca="1">IFERROR(AVERAGEIF(OFFSET(Table1[[#This Row],[Status]],0,COUNT(Table1[[#This Row],[2019-May]:[2025-July]]),1,-12),"&lt;&gt;0"),0)</f>
        <v>12.149999999999999</v>
      </c>
      <c r="H903" s="55">
        <f>IFERROR(SMALL(Table1[[#This Row],[2019-Apr]:[2025-July]],COUNTIF(Table1[[#This Row],[2019-Apr]:[2025-July]],0)+1),0)</f>
        <v>12.1</v>
      </c>
      <c r="I903" s="55">
        <f>IFERROR(MAX(Table1[[#This Row],[2019-Apr]:[2025-July]]),0)</f>
        <v>12.2</v>
      </c>
      <c r="J903" s="4" cm="1">
        <f t="array" ref="J90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12.149999999999999</v>
      </c>
      <c r="K903" s="4">
        <v>4.5</v>
      </c>
      <c r="L903" s="4">
        <f>IF(Table1[[#This Row],[Standard as per ISO]]&gt;=Table1[[#This Row],[Avg of best 6]],Table1[[#This Row],[Standard as per ISO]],Table1[[#This Row],[Avg of best 6]])</f>
        <v>12.149999999999999</v>
      </c>
      <c r="M903" s="4" cm="1">
        <f t="array" ref="M903">IFERROR(LOOKUP(2,1/(Table1[[#This Row],[2019-May]:[2025-July]]&lt;&gt;0),Table1[[#This Row],[2019-May]:[2025-July]]),0)</f>
        <v>12.1</v>
      </c>
      <c r="N903" s="4">
        <f>COUNTIF(Table1[[#This Row],[2019-Apr]:[2025-July]],"&gt;="&amp;Table1[[#This Row],[Target]])</f>
        <v>1</v>
      </c>
      <c r="O903" s="4">
        <f>IF(Table1[[#This Row],[Outliers 2Y]]=0,1,0)</f>
        <v>0</v>
      </c>
      <c r="P903" s="4">
        <f>IF(Table1[[#This Row],[Last value]]&gt;1.5*Table1[[#This Row],[Target]],1,0)</f>
        <v>0</v>
      </c>
      <c r="Q903" s="4">
        <f>IF(AND(1.5*Table1[[#This Row],[Target]]&gt;=Table1[[#This Row],[Last value]],Table1[[#This Row],[Last value]]&gt;Table1[[#This Row],[Target]]),1,0)</f>
        <v>0</v>
      </c>
      <c r="R903" s="4">
        <f>IF(Table1[[#This Row],[Target]]&gt;=Table1[[#This Row],[Last value]],1,0)</f>
        <v>1</v>
      </c>
      <c r="S903" s="4" t="str">
        <f t="shared" si="24"/>
        <v>Green</v>
      </c>
      <c r="T903" s="55">
        <v>0</v>
      </c>
      <c r="U903" s="55">
        <v>0</v>
      </c>
      <c r="V903" s="55">
        <v>0</v>
      </c>
      <c r="W903" s="55">
        <v>0</v>
      </c>
      <c r="X903" s="55">
        <v>0</v>
      </c>
      <c r="Y903" s="55">
        <v>0</v>
      </c>
      <c r="Z903" s="55">
        <v>0</v>
      </c>
      <c r="AA903" s="55">
        <v>0</v>
      </c>
      <c r="AB903" s="55">
        <v>0</v>
      </c>
      <c r="AC903" s="55">
        <v>0</v>
      </c>
      <c r="AD903" s="55">
        <v>0</v>
      </c>
      <c r="AE903" s="55">
        <v>0</v>
      </c>
      <c r="AF903" s="55">
        <v>0</v>
      </c>
      <c r="AG903" s="55">
        <v>0</v>
      </c>
      <c r="AH903" s="55">
        <v>0</v>
      </c>
      <c r="AI903" s="55">
        <v>0</v>
      </c>
      <c r="AJ903" s="55">
        <v>0</v>
      </c>
      <c r="AK903" s="55">
        <v>0</v>
      </c>
      <c r="AL903" s="55">
        <v>0</v>
      </c>
      <c r="AM903" s="55">
        <v>0</v>
      </c>
      <c r="AN903" s="55">
        <v>0</v>
      </c>
      <c r="AO903" s="55">
        <v>0</v>
      </c>
      <c r="AP903" s="55">
        <v>0</v>
      </c>
      <c r="AQ903" s="55">
        <v>0</v>
      </c>
      <c r="AR903" s="55">
        <v>0</v>
      </c>
      <c r="AS903" s="55">
        <v>0</v>
      </c>
      <c r="AT903" s="55">
        <v>0</v>
      </c>
      <c r="AU903" s="55">
        <v>0</v>
      </c>
      <c r="AV903" s="55">
        <v>0</v>
      </c>
      <c r="AW903" s="55">
        <v>0</v>
      </c>
      <c r="AX903" s="55">
        <v>0</v>
      </c>
      <c r="AY903" s="55">
        <v>0</v>
      </c>
      <c r="AZ903" s="55">
        <v>0</v>
      </c>
      <c r="BA903" s="55">
        <v>0</v>
      </c>
      <c r="BB903" s="55">
        <v>0</v>
      </c>
      <c r="BC903" s="55">
        <v>0</v>
      </c>
      <c r="BD903" s="55">
        <v>0</v>
      </c>
      <c r="BE903" s="55">
        <v>0</v>
      </c>
      <c r="BF903" s="55">
        <v>0</v>
      </c>
      <c r="BG903" s="55">
        <v>0</v>
      </c>
      <c r="BH903" s="55">
        <v>0</v>
      </c>
      <c r="BI903" s="55">
        <v>0</v>
      </c>
      <c r="BJ903" s="55">
        <v>0</v>
      </c>
      <c r="BK903" s="55">
        <v>0</v>
      </c>
      <c r="BL903" s="55">
        <v>0</v>
      </c>
      <c r="BM903" s="55">
        <v>0</v>
      </c>
      <c r="BN903" s="55">
        <v>0</v>
      </c>
      <c r="BO903" s="55">
        <v>0</v>
      </c>
      <c r="BP903" s="55">
        <v>0</v>
      </c>
      <c r="BQ903" s="55">
        <v>0</v>
      </c>
      <c r="BR903" s="55">
        <v>0</v>
      </c>
      <c r="BS903" s="55">
        <v>0</v>
      </c>
      <c r="BT903" s="55">
        <v>0</v>
      </c>
      <c r="BU903" s="55">
        <v>0</v>
      </c>
      <c r="BV903" s="55">
        <v>0</v>
      </c>
      <c r="BW903" s="55">
        <v>0</v>
      </c>
      <c r="BX903" s="55">
        <v>0</v>
      </c>
      <c r="BY903" s="55">
        <v>0</v>
      </c>
      <c r="BZ903" s="55">
        <v>0</v>
      </c>
      <c r="CA903" s="55">
        <v>0</v>
      </c>
      <c r="CB903" s="55">
        <v>0</v>
      </c>
      <c r="CC903" s="55">
        <v>0</v>
      </c>
      <c r="CD903" s="55">
        <v>0</v>
      </c>
      <c r="CE903" s="55">
        <v>0</v>
      </c>
      <c r="CF903" s="55">
        <v>0</v>
      </c>
      <c r="CG903" s="55">
        <v>0</v>
      </c>
      <c r="CH903" s="55">
        <v>0</v>
      </c>
      <c r="CI903" s="55">
        <v>0</v>
      </c>
      <c r="CJ903" s="55">
        <v>0</v>
      </c>
      <c r="CK903" s="55">
        <v>0</v>
      </c>
      <c r="CL903" s="55">
        <v>0</v>
      </c>
      <c r="CM903" s="55">
        <v>0</v>
      </c>
      <c r="CN903" s="53">
        <v>0</v>
      </c>
      <c r="CO903" s="54">
        <v>12.2</v>
      </c>
      <c r="CP903" s="54">
        <v>12.1</v>
      </c>
      <c r="CQ903" s="4">
        <v>0</v>
      </c>
    </row>
    <row r="904" spans="1:95" s="55" customFormat="1" x14ac:dyDescent="0.35">
      <c r="A904" s="55">
        <v>903</v>
      </c>
      <c r="B904" s="55" t="s">
        <v>108</v>
      </c>
      <c r="C904" s="27" t="s">
        <v>1505</v>
      </c>
      <c r="D904" s="50" t="s">
        <v>109</v>
      </c>
      <c r="E904" s="25" t="s">
        <v>91</v>
      </c>
      <c r="F904" s="4">
        <f>IFERROR(AVERAGEIF(Table1[[#This Row],[2019-Apr]:[2025-July]],"&lt;&gt;0"),0)</f>
        <v>1.125</v>
      </c>
      <c r="G904" s="4">
        <f ca="1">IFERROR(AVERAGEIF(OFFSET(Table1[[#This Row],[Status]],0,COUNT(Table1[[#This Row],[2019-May]:[2025-July]]),1,-12),"&lt;&gt;0"),0)</f>
        <v>1.1666666666666665</v>
      </c>
      <c r="H904" s="55">
        <f>IFERROR(SMALL(Table1[[#This Row],[2019-Apr]:[2025-July]],COUNTIF(Table1[[#This Row],[2019-Apr]:[2025-July]],0)+1),0)</f>
        <v>0.9</v>
      </c>
      <c r="I904" s="55">
        <f>IFERROR(MAX(Table1[[#This Row],[2019-Apr]:[2025-July]]),0)</f>
        <v>1.4</v>
      </c>
      <c r="J904" s="4" cm="1">
        <f t="array" ref="J90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1.125</v>
      </c>
      <c r="K904" s="4">
        <v>4.5</v>
      </c>
      <c r="L904" s="4">
        <f>IF(Table1[[#This Row],[Standard as per ISO]]&gt;=Table1[[#This Row],[Avg of best 6]],Table1[[#This Row],[Standard as per ISO]],Table1[[#This Row],[Avg of best 6]])</f>
        <v>4.5</v>
      </c>
      <c r="M904" s="4" cm="1">
        <f t="array" ref="M904">IFERROR(LOOKUP(2,1/(Table1[[#This Row],[2019-May]:[2025-July]]&lt;&gt;0),Table1[[#This Row],[2019-May]:[2025-July]]),0)</f>
        <v>1</v>
      </c>
      <c r="N904" s="4">
        <f>COUNTIF(Table1[[#This Row],[2019-Apr]:[2025-July]],"&gt;="&amp;Table1[[#This Row],[Target]])</f>
        <v>0</v>
      </c>
      <c r="O904" s="4">
        <f>IF(Table1[[#This Row],[Outliers 2Y]]=0,1,0)</f>
        <v>1</v>
      </c>
      <c r="P904" s="4">
        <f>IF(Table1[[#This Row],[Last value]]&gt;1.5*Table1[[#This Row],[Target]],1,0)</f>
        <v>0</v>
      </c>
      <c r="Q904" s="4">
        <f>IF(AND(1.5*Table1[[#This Row],[Target]]&gt;=Table1[[#This Row],[Last value]],Table1[[#This Row],[Last value]]&gt;Table1[[#This Row],[Target]]),1,0)</f>
        <v>0</v>
      </c>
      <c r="R904" s="4">
        <f>IF(Table1[[#This Row],[Target]]&gt;=Table1[[#This Row],[Last value]],1,0)</f>
        <v>1</v>
      </c>
      <c r="S904" s="4" t="str">
        <f t="shared" si="24"/>
        <v>Green</v>
      </c>
      <c r="T904" s="55">
        <v>0</v>
      </c>
      <c r="U904" s="55">
        <v>0</v>
      </c>
      <c r="V904" s="55">
        <v>0</v>
      </c>
      <c r="W904" s="55">
        <v>0</v>
      </c>
      <c r="X904" s="55">
        <v>0</v>
      </c>
      <c r="Y904" s="55">
        <v>0</v>
      </c>
      <c r="Z904" s="55">
        <v>0</v>
      </c>
      <c r="AA904" s="55">
        <v>0</v>
      </c>
      <c r="AB904" s="55">
        <v>0</v>
      </c>
      <c r="AC904" s="55">
        <v>0</v>
      </c>
      <c r="AD904" s="55">
        <v>0</v>
      </c>
      <c r="AE904" s="55">
        <v>0</v>
      </c>
      <c r="AF904" s="55">
        <v>0</v>
      </c>
      <c r="AG904" s="55">
        <v>0</v>
      </c>
      <c r="AH904" s="55">
        <v>0</v>
      </c>
      <c r="AI904" s="55">
        <v>0</v>
      </c>
      <c r="AJ904" s="55">
        <v>0</v>
      </c>
      <c r="AK904" s="55">
        <v>0</v>
      </c>
      <c r="AL904" s="55">
        <v>0</v>
      </c>
      <c r="AM904" s="55">
        <v>0</v>
      </c>
      <c r="AN904" s="55">
        <v>0</v>
      </c>
      <c r="AO904" s="55">
        <v>0</v>
      </c>
      <c r="AP904" s="55">
        <v>0</v>
      </c>
      <c r="AQ904" s="55">
        <v>0</v>
      </c>
      <c r="AR904" s="55">
        <v>0</v>
      </c>
      <c r="AS904" s="55">
        <v>0</v>
      </c>
      <c r="AT904" s="55">
        <v>0</v>
      </c>
      <c r="AU904" s="55">
        <v>0</v>
      </c>
      <c r="AV904" s="55">
        <v>0</v>
      </c>
      <c r="AW904" s="55">
        <v>0</v>
      </c>
      <c r="AX904" s="55">
        <v>0</v>
      </c>
      <c r="AY904" s="55">
        <v>0</v>
      </c>
      <c r="AZ904" s="55">
        <v>0</v>
      </c>
      <c r="BA904" s="55">
        <v>0</v>
      </c>
      <c r="BB904" s="55">
        <v>0</v>
      </c>
      <c r="BC904" s="55">
        <v>0</v>
      </c>
      <c r="BD904" s="55">
        <v>0</v>
      </c>
      <c r="BE904" s="55">
        <v>0</v>
      </c>
      <c r="BF904" s="55">
        <v>0</v>
      </c>
      <c r="BG904" s="55">
        <v>0</v>
      </c>
      <c r="BH904" s="55">
        <v>0</v>
      </c>
      <c r="BI904" s="55">
        <v>0</v>
      </c>
      <c r="BJ904" s="55">
        <v>0</v>
      </c>
      <c r="BK904" s="55">
        <v>0</v>
      </c>
      <c r="BL904" s="55">
        <v>0</v>
      </c>
      <c r="BM904" s="55">
        <v>0</v>
      </c>
      <c r="BN904" s="55">
        <v>0</v>
      </c>
      <c r="BO904" s="55">
        <v>0</v>
      </c>
      <c r="BP904" s="55">
        <v>0</v>
      </c>
      <c r="BQ904" s="55">
        <v>0</v>
      </c>
      <c r="BR904" s="55">
        <v>0</v>
      </c>
      <c r="BS904" s="55">
        <v>0</v>
      </c>
      <c r="BT904" s="55">
        <v>0</v>
      </c>
      <c r="BU904" s="55">
        <v>0</v>
      </c>
      <c r="BV904" s="55">
        <v>0</v>
      </c>
      <c r="BW904" s="55">
        <v>0</v>
      </c>
      <c r="BX904" s="55">
        <v>0</v>
      </c>
      <c r="BY904" s="55">
        <v>0</v>
      </c>
      <c r="BZ904" s="55">
        <v>0</v>
      </c>
      <c r="CA904" s="55">
        <v>0</v>
      </c>
      <c r="CB904" s="55">
        <v>0</v>
      </c>
      <c r="CC904" s="55">
        <v>0</v>
      </c>
      <c r="CD904" s="55">
        <v>0</v>
      </c>
      <c r="CE904" s="55">
        <v>0</v>
      </c>
      <c r="CF904" s="55">
        <v>0</v>
      </c>
      <c r="CG904" s="55">
        <v>0</v>
      </c>
      <c r="CH904" s="55">
        <v>0</v>
      </c>
      <c r="CI904" s="55">
        <v>0</v>
      </c>
      <c r="CJ904" s="55">
        <v>0</v>
      </c>
      <c r="CK904" s="55">
        <v>0</v>
      </c>
      <c r="CL904" s="55">
        <v>0</v>
      </c>
      <c r="CM904" s="55">
        <v>0</v>
      </c>
      <c r="CN904" s="11">
        <v>1.2</v>
      </c>
      <c r="CO904" s="54">
        <v>1.4</v>
      </c>
      <c r="CP904" s="54">
        <v>0.9</v>
      </c>
      <c r="CQ904" s="4">
        <v>1</v>
      </c>
    </row>
    <row r="905" spans="1:95" s="55" customFormat="1" x14ac:dyDescent="0.35">
      <c r="A905" s="55">
        <v>904</v>
      </c>
      <c r="B905" s="55" t="s">
        <v>108</v>
      </c>
      <c r="C905" s="27" t="s">
        <v>1506</v>
      </c>
      <c r="D905" s="50" t="s">
        <v>109</v>
      </c>
      <c r="E905" s="25" t="s">
        <v>91</v>
      </c>
      <c r="F905" s="4">
        <f>IFERROR(AVERAGEIF(Table1[[#This Row],[2019-Apr]:[2025-July]],"&lt;&gt;0"),0)</f>
        <v>1.7333333333333332</v>
      </c>
      <c r="G905" s="4">
        <f ca="1">IFERROR(AVERAGEIF(OFFSET(Table1[[#This Row],[Status]],0,COUNT(Table1[[#This Row],[2019-May]:[2025-July]]),1,-12),"&lt;&gt;0"),0)</f>
        <v>1.7333333333333332</v>
      </c>
      <c r="H905" s="55">
        <f>IFERROR(SMALL(Table1[[#This Row],[2019-Apr]:[2025-July]],COUNTIF(Table1[[#This Row],[2019-Apr]:[2025-July]],0)+1),0)</f>
        <v>0.6</v>
      </c>
      <c r="I905" s="55">
        <f>IFERROR(MAX(Table1[[#This Row],[2019-Apr]:[2025-July]]),0)</f>
        <v>3</v>
      </c>
      <c r="J905" s="4" cm="1">
        <f t="array" ref="J90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1.7333333333333332</v>
      </c>
      <c r="K905" s="4">
        <v>4.5</v>
      </c>
      <c r="L905" s="4">
        <f>IF(Table1[[#This Row],[Standard as per ISO]]&gt;=Table1[[#This Row],[Avg of best 6]],Table1[[#This Row],[Standard as per ISO]],Table1[[#This Row],[Avg of best 6]])</f>
        <v>4.5</v>
      </c>
      <c r="M905" s="4" cm="1">
        <f t="array" ref="M905">IFERROR(LOOKUP(2,1/(Table1[[#This Row],[2019-May]:[2025-July]]&lt;&gt;0),Table1[[#This Row],[2019-May]:[2025-July]]),0)</f>
        <v>0.6</v>
      </c>
      <c r="N905" s="4">
        <f>COUNTIF(Table1[[#This Row],[2019-Apr]:[2025-July]],"&gt;="&amp;Table1[[#This Row],[Target]])</f>
        <v>0</v>
      </c>
      <c r="O905" s="4">
        <f>IF(Table1[[#This Row],[Outliers 2Y]]=0,1,0)</f>
        <v>1</v>
      </c>
      <c r="P905" s="4">
        <f>IF(Table1[[#This Row],[Last value]]&gt;1.5*Table1[[#This Row],[Target]],1,0)</f>
        <v>0</v>
      </c>
      <c r="Q905" s="4">
        <f>IF(AND(1.5*Table1[[#This Row],[Target]]&gt;=Table1[[#This Row],[Last value]],Table1[[#This Row],[Last value]]&gt;Table1[[#This Row],[Target]]),1,0)</f>
        <v>0</v>
      </c>
      <c r="R905" s="4">
        <f>IF(Table1[[#This Row],[Target]]&gt;=Table1[[#This Row],[Last value]],1,0)</f>
        <v>1</v>
      </c>
      <c r="S905" s="4" t="str">
        <f t="shared" si="24"/>
        <v>Green</v>
      </c>
      <c r="T905" s="55">
        <v>0</v>
      </c>
      <c r="U905" s="55">
        <v>0</v>
      </c>
      <c r="V905" s="55">
        <v>0</v>
      </c>
      <c r="W905" s="55">
        <v>0</v>
      </c>
      <c r="X905" s="55">
        <v>0</v>
      </c>
      <c r="Y905" s="55">
        <v>0</v>
      </c>
      <c r="Z905" s="55">
        <v>0</v>
      </c>
      <c r="AA905" s="55">
        <v>0</v>
      </c>
      <c r="AB905" s="55">
        <v>0</v>
      </c>
      <c r="AC905" s="55">
        <v>0</v>
      </c>
      <c r="AD905" s="55">
        <v>0</v>
      </c>
      <c r="AE905" s="55">
        <v>0</v>
      </c>
      <c r="AF905" s="55">
        <v>0</v>
      </c>
      <c r="AG905" s="55">
        <v>0</v>
      </c>
      <c r="AH905" s="55">
        <v>0</v>
      </c>
      <c r="AI905" s="55">
        <v>0</v>
      </c>
      <c r="AJ905" s="55">
        <v>0</v>
      </c>
      <c r="AK905" s="55">
        <v>0</v>
      </c>
      <c r="AL905" s="55">
        <v>0</v>
      </c>
      <c r="AM905" s="55">
        <v>0</v>
      </c>
      <c r="AN905" s="55">
        <v>0</v>
      </c>
      <c r="AO905" s="55">
        <v>0</v>
      </c>
      <c r="AP905" s="55">
        <v>0</v>
      </c>
      <c r="AQ905" s="55">
        <v>0</v>
      </c>
      <c r="AR905" s="55">
        <v>0</v>
      </c>
      <c r="AS905" s="55">
        <v>0</v>
      </c>
      <c r="AT905" s="55">
        <v>0</v>
      </c>
      <c r="AU905" s="55">
        <v>0</v>
      </c>
      <c r="AV905" s="55">
        <v>0</v>
      </c>
      <c r="AW905" s="55">
        <v>0</v>
      </c>
      <c r="AX905" s="55">
        <v>0</v>
      </c>
      <c r="AY905" s="55">
        <v>0</v>
      </c>
      <c r="AZ905" s="55">
        <v>0</v>
      </c>
      <c r="BA905" s="55">
        <v>0</v>
      </c>
      <c r="BB905" s="55">
        <v>0</v>
      </c>
      <c r="BC905" s="55">
        <v>0</v>
      </c>
      <c r="BD905" s="55">
        <v>0</v>
      </c>
      <c r="BE905" s="55">
        <v>0</v>
      </c>
      <c r="BF905" s="55">
        <v>0</v>
      </c>
      <c r="BG905" s="55">
        <v>0</v>
      </c>
      <c r="BH905" s="55">
        <v>0</v>
      </c>
      <c r="BI905" s="55">
        <v>0</v>
      </c>
      <c r="BJ905" s="55">
        <v>0</v>
      </c>
      <c r="BK905" s="55">
        <v>0</v>
      </c>
      <c r="BL905" s="55">
        <v>0</v>
      </c>
      <c r="BM905" s="55">
        <v>0</v>
      </c>
      <c r="BN905" s="55">
        <v>0</v>
      </c>
      <c r="BO905" s="55">
        <v>0</v>
      </c>
      <c r="BP905" s="55">
        <v>0</v>
      </c>
      <c r="BQ905" s="55">
        <v>0</v>
      </c>
      <c r="BR905" s="55">
        <v>0</v>
      </c>
      <c r="BS905" s="55">
        <v>0</v>
      </c>
      <c r="BT905" s="55">
        <v>0</v>
      </c>
      <c r="BU905" s="55">
        <v>0</v>
      </c>
      <c r="BV905" s="55">
        <v>0</v>
      </c>
      <c r="BW905" s="55">
        <v>0</v>
      </c>
      <c r="BX905" s="55">
        <v>0</v>
      </c>
      <c r="BY905" s="55">
        <v>0</v>
      </c>
      <c r="BZ905" s="55">
        <v>0</v>
      </c>
      <c r="CA905" s="55">
        <v>0</v>
      </c>
      <c r="CB905" s="55">
        <v>0</v>
      </c>
      <c r="CC905" s="55">
        <v>0</v>
      </c>
      <c r="CD905" s="55">
        <v>0</v>
      </c>
      <c r="CE905" s="55">
        <v>0</v>
      </c>
      <c r="CF905" s="55">
        <v>0</v>
      </c>
      <c r="CG905" s="55">
        <v>0</v>
      </c>
      <c r="CH905" s="55">
        <v>0</v>
      </c>
      <c r="CI905" s="55">
        <v>0</v>
      </c>
      <c r="CJ905" s="55">
        <v>0</v>
      </c>
      <c r="CK905" s="55">
        <v>0</v>
      </c>
      <c r="CL905" s="55">
        <v>0</v>
      </c>
      <c r="CM905" s="55">
        <v>0</v>
      </c>
      <c r="CN905" s="11">
        <v>1.6</v>
      </c>
      <c r="CO905" s="54">
        <v>3</v>
      </c>
      <c r="CP905" s="54">
        <v>0.6</v>
      </c>
      <c r="CQ905" s="4">
        <v>0</v>
      </c>
    </row>
    <row r="906" spans="1:95" s="55" customFormat="1" x14ac:dyDescent="0.35">
      <c r="A906" s="55">
        <v>905</v>
      </c>
      <c r="B906" s="55" t="s">
        <v>108</v>
      </c>
      <c r="C906" s="27" t="s">
        <v>1507</v>
      </c>
      <c r="D906" s="50" t="s">
        <v>109</v>
      </c>
      <c r="E906" s="25" t="s">
        <v>91</v>
      </c>
      <c r="F906" s="4">
        <f>IFERROR(AVERAGEIF(Table1[[#This Row],[2019-Apr]:[2025-July]],"&lt;&gt;0"),0)</f>
        <v>1.3</v>
      </c>
      <c r="G906" s="4">
        <f ca="1">IFERROR(AVERAGEIF(OFFSET(Table1[[#This Row],[Status]],0,COUNT(Table1[[#This Row],[2019-May]:[2025-July]]),1,-12),"&lt;&gt;0"),0)</f>
        <v>0</v>
      </c>
      <c r="H906" s="55">
        <f>IFERROR(SMALL(Table1[[#This Row],[2019-Apr]:[2025-July]],COUNTIF(Table1[[#This Row],[2019-Apr]:[2025-July]],0)+1),0)</f>
        <v>1.3</v>
      </c>
      <c r="I906" s="55">
        <f>IFERROR(MAX(Table1[[#This Row],[2019-Apr]:[2025-July]]),0)</f>
        <v>1.3</v>
      </c>
      <c r="J906" s="4" cm="1">
        <f t="array" ref="J90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</v>
      </c>
      <c r="K906" s="4">
        <v>4.5</v>
      </c>
      <c r="L906" s="4">
        <f>IF(Table1[[#This Row],[Standard as per ISO]]&gt;=Table1[[#This Row],[Avg of best 6]],Table1[[#This Row],[Standard as per ISO]],Table1[[#This Row],[Avg of best 6]])</f>
        <v>4.5</v>
      </c>
      <c r="M906" s="4" cm="1">
        <f t="array" ref="M906">IFERROR(LOOKUP(2,1/(Table1[[#This Row],[2019-May]:[2025-July]]&lt;&gt;0),Table1[[#This Row],[2019-May]:[2025-July]]),0)</f>
        <v>1.3</v>
      </c>
      <c r="N906" s="4">
        <f>COUNTIF(Table1[[#This Row],[2019-Apr]:[2025-July]],"&gt;="&amp;Table1[[#This Row],[Target]])</f>
        <v>0</v>
      </c>
      <c r="O906" s="4">
        <f>IF(Table1[[#This Row],[Outliers 2Y]]=0,1,0)</f>
        <v>1</v>
      </c>
      <c r="P906" s="4">
        <f>IF(Table1[[#This Row],[Last value]]&gt;1.5*Table1[[#This Row],[Target]],1,0)</f>
        <v>0</v>
      </c>
      <c r="Q906" s="4">
        <f>IF(AND(1.5*Table1[[#This Row],[Target]]&gt;=Table1[[#This Row],[Last value]],Table1[[#This Row],[Last value]]&gt;Table1[[#This Row],[Target]]),1,0)</f>
        <v>0</v>
      </c>
      <c r="R906" s="4">
        <f>IF(Table1[[#This Row],[Target]]&gt;=Table1[[#This Row],[Last value]],1,0)</f>
        <v>1</v>
      </c>
      <c r="S906" s="4" t="str">
        <f t="shared" si="24"/>
        <v>Green</v>
      </c>
      <c r="T906" s="55">
        <v>0</v>
      </c>
      <c r="U906" s="55">
        <v>0</v>
      </c>
      <c r="V906" s="55">
        <v>0</v>
      </c>
      <c r="W906" s="55">
        <v>0</v>
      </c>
      <c r="X906" s="55">
        <v>0</v>
      </c>
      <c r="Y906" s="55">
        <v>0</v>
      </c>
      <c r="Z906" s="55">
        <v>0</v>
      </c>
      <c r="AA906" s="55">
        <v>0</v>
      </c>
      <c r="AB906" s="55">
        <v>0</v>
      </c>
      <c r="AC906" s="55">
        <v>0</v>
      </c>
      <c r="AD906" s="55">
        <v>0</v>
      </c>
      <c r="AE906" s="55">
        <v>0</v>
      </c>
      <c r="AF906" s="55">
        <v>0</v>
      </c>
      <c r="AG906" s="55">
        <v>0</v>
      </c>
      <c r="AH906" s="55">
        <v>0</v>
      </c>
      <c r="AI906" s="55">
        <v>0</v>
      </c>
      <c r="AJ906" s="55">
        <v>0</v>
      </c>
      <c r="AK906" s="55">
        <v>0</v>
      </c>
      <c r="AL906" s="55">
        <v>0</v>
      </c>
      <c r="AM906" s="55">
        <v>0</v>
      </c>
      <c r="AN906" s="55">
        <v>0</v>
      </c>
      <c r="AO906" s="55">
        <v>0</v>
      </c>
      <c r="AP906" s="55">
        <v>0</v>
      </c>
      <c r="AQ906" s="55">
        <v>0</v>
      </c>
      <c r="AR906" s="55">
        <v>0</v>
      </c>
      <c r="AS906" s="55">
        <v>0</v>
      </c>
      <c r="AT906" s="55">
        <v>0</v>
      </c>
      <c r="AU906" s="55">
        <v>0</v>
      </c>
      <c r="AV906" s="55">
        <v>0</v>
      </c>
      <c r="AW906" s="55">
        <v>0</v>
      </c>
      <c r="AX906" s="55">
        <v>0</v>
      </c>
      <c r="AY906" s="55">
        <v>0</v>
      </c>
      <c r="AZ906" s="55">
        <v>0</v>
      </c>
      <c r="BA906" s="55">
        <v>0</v>
      </c>
      <c r="BB906" s="55">
        <v>0</v>
      </c>
      <c r="BC906" s="55">
        <v>0</v>
      </c>
      <c r="BD906" s="55">
        <v>0</v>
      </c>
      <c r="BE906" s="55">
        <v>0</v>
      </c>
      <c r="BF906" s="55">
        <v>0</v>
      </c>
      <c r="BG906" s="55">
        <v>0</v>
      </c>
      <c r="BH906" s="55">
        <v>0</v>
      </c>
      <c r="BI906" s="55">
        <v>0</v>
      </c>
      <c r="BJ906" s="55">
        <v>0</v>
      </c>
      <c r="BK906" s="55">
        <v>0</v>
      </c>
      <c r="BL906" s="55">
        <v>0</v>
      </c>
      <c r="BM906" s="55">
        <v>0</v>
      </c>
      <c r="BN906" s="55">
        <v>0</v>
      </c>
      <c r="BO906" s="55">
        <v>0</v>
      </c>
      <c r="BP906" s="55">
        <v>0</v>
      </c>
      <c r="BQ906" s="55">
        <v>0</v>
      </c>
      <c r="BR906" s="55">
        <v>0</v>
      </c>
      <c r="BS906" s="55">
        <v>0</v>
      </c>
      <c r="BT906" s="55">
        <v>0</v>
      </c>
      <c r="BU906" s="55">
        <v>0</v>
      </c>
      <c r="BV906" s="55">
        <v>0</v>
      </c>
      <c r="BW906" s="55">
        <v>0</v>
      </c>
      <c r="BX906" s="55">
        <v>0</v>
      </c>
      <c r="BY906" s="55">
        <v>0</v>
      </c>
      <c r="BZ906" s="55">
        <v>0</v>
      </c>
      <c r="CA906" s="55">
        <v>0</v>
      </c>
      <c r="CB906" s="55">
        <v>0</v>
      </c>
      <c r="CC906" s="55">
        <v>0</v>
      </c>
      <c r="CD906" s="55">
        <v>0</v>
      </c>
      <c r="CE906" s="55">
        <v>0</v>
      </c>
      <c r="CF906" s="55">
        <v>0</v>
      </c>
      <c r="CG906" s="55">
        <v>0</v>
      </c>
      <c r="CH906" s="55">
        <v>0</v>
      </c>
      <c r="CI906" s="55">
        <v>0</v>
      </c>
      <c r="CJ906" s="55">
        <v>0</v>
      </c>
      <c r="CK906" s="55">
        <v>0</v>
      </c>
      <c r="CL906" s="55">
        <v>0</v>
      </c>
      <c r="CM906" s="55">
        <v>0</v>
      </c>
      <c r="CN906" s="53">
        <v>0</v>
      </c>
      <c r="CO906" s="54">
        <v>0</v>
      </c>
      <c r="CP906" s="54">
        <v>0</v>
      </c>
      <c r="CQ906" s="4">
        <v>1.3</v>
      </c>
    </row>
    <row r="907" spans="1:95" s="55" customFormat="1" x14ac:dyDescent="0.35">
      <c r="A907" s="55">
        <v>906</v>
      </c>
      <c r="B907" s="55" t="s">
        <v>108</v>
      </c>
      <c r="C907" s="27" t="s">
        <v>1508</v>
      </c>
      <c r="D907" s="50" t="s">
        <v>110</v>
      </c>
      <c r="E907" s="25" t="s">
        <v>89</v>
      </c>
      <c r="F907" s="4">
        <f>IFERROR(AVERAGEIF(Table1[[#This Row],[2019-Apr]:[2025-July]],"&lt;&gt;0"),0)</f>
        <v>0.44999999999999996</v>
      </c>
      <c r="G907" s="4">
        <f ca="1">IFERROR(AVERAGEIF(OFFSET(Table1[[#This Row],[Status]],0,COUNT(Table1[[#This Row],[2019-May]:[2025-July]]),1,-12),"&lt;&gt;0"),0)</f>
        <v>0.39999999999999997</v>
      </c>
      <c r="H907" s="55">
        <f>IFERROR(SMALL(Table1[[#This Row],[2019-Apr]:[2025-July]],COUNTIF(Table1[[#This Row],[2019-Apr]:[2025-July]],0)+1),0)</f>
        <v>0.3</v>
      </c>
      <c r="I907" s="55">
        <f>IFERROR(MAX(Table1[[#This Row],[2019-Apr]:[2025-July]]),0)</f>
        <v>0.6</v>
      </c>
      <c r="J907" s="4" cm="1">
        <f t="array" ref="J90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0.44999999999999996</v>
      </c>
      <c r="K907" s="4">
        <v>4.5</v>
      </c>
      <c r="L907" s="4">
        <f>IF(Table1[[#This Row],[Standard as per ISO]]&gt;=Table1[[#This Row],[Avg of best 6]],Table1[[#This Row],[Standard as per ISO]],Table1[[#This Row],[Avg of best 6]])</f>
        <v>4.5</v>
      </c>
      <c r="M907" s="4" cm="1">
        <f t="array" ref="M907">IFERROR(LOOKUP(2,1/(Table1[[#This Row],[2019-May]:[2025-July]]&lt;&gt;0),Table1[[#This Row],[2019-May]:[2025-July]]),0)</f>
        <v>0.6</v>
      </c>
      <c r="N907" s="4">
        <f>COUNTIF(Table1[[#This Row],[2019-Apr]:[2025-July]],"&gt;="&amp;Table1[[#This Row],[Target]])</f>
        <v>0</v>
      </c>
      <c r="O907" s="4">
        <f>IF(Table1[[#This Row],[Outliers 2Y]]=0,1,0)</f>
        <v>1</v>
      </c>
      <c r="P907" s="4">
        <f>IF(Table1[[#This Row],[Last value]]&gt;1.5*Table1[[#This Row],[Target]],1,0)</f>
        <v>0</v>
      </c>
      <c r="Q907" s="4">
        <f>IF(AND(1.5*Table1[[#This Row],[Target]]&gt;=Table1[[#This Row],[Last value]],Table1[[#This Row],[Last value]]&gt;Table1[[#This Row],[Target]]),1,0)</f>
        <v>0</v>
      </c>
      <c r="R907" s="4">
        <f>IF(Table1[[#This Row],[Target]]&gt;=Table1[[#This Row],[Last value]],1,0)</f>
        <v>1</v>
      </c>
      <c r="S907" s="4" t="str">
        <f t="shared" si="24"/>
        <v>Green</v>
      </c>
      <c r="T907" s="55">
        <v>0</v>
      </c>
      <c r="U907" s="55">
        <v>0</v>
      </c>
      <c r="V907" s="55">
        <v>0</v>
      </c>
      <c r="W907" s="55">
        <v>0</v>
      </c>
      <c r="X907" s="55">
        <v>0</v>
      </c>
      <c r="Y907" s="55">
        <v>0</v>
      </c>
      <c r="Z907" s="55">
        <v>0</v>
      </c>
      <c r="AA907" s="55">
        <v>0</v>
      </c>
      <c r="AB907" s="55">
        <v>0</v>
      </c>
      <c r="AC907" s="55">
        <v>0</v>
      </c>
      <c r="AD907" s="55">
        <v>0</v>
      </c>
      <c r="AE907" s="55">
        <v>0</v>
      </c>
      <c r="AF907" s="55">
        <v>0</v>
      </c>
      <c r="AG907" s="55">
        <v>0</v>
      </c>
      <c r="AH907" s="55">
        <v>0</v>
      </c>
      <c r="AI907" s="55">
        <v>0</v>
      </c>
      <c r="AJ907" s="55">
        <v>0</v>
      </c>
      <c r="AK907" s="55">
        <v>0</v>
      </c>
      <c r="AL907" s="55">
        <v>0</v>
      </c>
      <c r="AM907" s="55">
        <v>0</v>
      </c>
      <c r="AN907" s="55">
        <v>0</v>
      </c>
      <c r="AO907" s="55">
        <v>0</v>
      </c>
      <c r="AP907" s="55">
        <v>0</v>
      </c>
      <c r="AQ907" s="55">
        <v>0</v>
      </c>
      <c r="AR907" s="55">
        <v>0</v>
      </c>
      <c r="AS907" s="55">
        <v>0</v>
      </c>
      <c r="AT907" s="55">
        <v>0</v>
      </c>
      <c r="AU907" s="55">
        <v>0</v>
      </c>
      <c r="AV907" s="55">
        <v>0</v>
      </c>
      <c r="AW907" s="55">
        <v>0</v>
      </c>
      <c r="AX907" s="55">
        <v>0</v>
      </c>
      <c r="AY907" s="55">
        <v>0</v>
      </c>
      <c r="AZ907" s="55">
        <v>0</v>
      </c>
      <c r="BA907" s="55">
        <v>0</v>
      </c>
      <c r="BB907" s="55">
        <v>0</v>
      </c>
      <c r="BC907" s="55">
        <v>0</v>
      </c>
      <c r="BD907" s="55">
        <v>0</v>
      </c>
      <c r="BE907" s="55">
        <v>0</v>
      </c>
      <c r="BF907" s="55">
        <v>0</v>
      </c>
      <c r="BG907" s="55">
        <v>0</v>
      </c>
      <c r="BH907" s="55">
        <v>0</v>
      </c>
      <c r="BI907" s="55">
        <v>0</v>
      </c>
      <c r="BJ907" s="55">
        <v>0</v>
      </c>
      <c r="BK907" s="55">
        <v>0</v>
      </c>
      <c r="BL907" s="55">
        <v>0</v>
      </c>
      <c r="BM907" s="55">
        <v>0</v>
      </c>
      <c r="BN907" s="55">
        <v>0</v>
      </c>
      <c r="BO907" s="55">
        <v>0</v>
      </c>
      <c r="BP907" s="55">
        <v>0</v>
      </c>
      <c r="BQ907" s="55">
        <v>0</v>
      </c>
      <c r="BR907" s="55">
        <v>0</v>
      </c>
      <c r="BS907" s="55">
        <v>0</v>
      </c>
      <c r="BT907" s="55">
        <v>0</v>
      </c>
      <c r="BU907" s="55">
        <v>0</v>
      </c>
      <c r="BV907" s="55">
        <v>0</v>
      </c>
      <c r="BW907" s="55">
        <v>0</v>
      </c>
      <c r="BX907" s="55">
        <v>0</v>
      </c>
      <c r="BY907" s="55">
        <v>0</v>
      </c>
      <c r="BZ907" s="55">
        <v>0</v>
      </c>
      <c r="CA907" s="55">
        <v>0</v>
      </c>
      <c r="CB907" s="55">
        <v>0</v>
      </c>
      <c r="CC907" s="55">
        <v>0</v>
      </c>
      <c r="CD907" s="55">
        <v>0</v>
      </c>
      <c r="CE907" s="55">
        <v>0</v>
      </c>
      <c r="CF907" s="55">
        <v>0</v>
      </c>
      <c r="CG907" s="55">
        <v>0</v>
      </c>
      <c r="CH907" s="55">
        <v>0</v>
      </c>
      <c r="CI907" s="55">
        <v>0</v>
      </c>
      <c r="CJ907" s="55">
        <v>0</v>
      </c>
      <c r="CK907" s="55">
        <v>0</v>
      </c>
      <c r="CL907" s="55">
        <v>0</v>
      </c>
      <c r="CM907" s="55">
        <v>0</v>
      </c>
      <c r="CN907" s="11">
        <v>0.3</v>
      </c>
      <c r="CO907" s="54">
        <v>0.4</v>
      </c>
      <c r="CP907" s="54">
        <v>0.5</v>
      </c>
      <c r="CQ907" s="4">
        <v>0.6</v>
      </c>
    </row>
    <row r="908" spans="1:95" s="55" customFormat="1" x14ac:dyDescent="0.35">
      <c r="A908" s="55">
        <v>907</v>
      </c>
      <c r="B908" s="55" t="s">
        <v>108</v>
      </c>
      <c r="C908" s="27" t="s">
        <v>1509</v>
      </c>
      <c r="D908" s="50" t="s">
        <v>93</v>
      </c>
      <c r="E908" s="25" t="s">
        <v>89</v>
      </c>
      <c r="F908" s="4">
        <f>IFERROR(AVERAGEIF(Table1[[#This Row],[2019-Apr]:[2025-July]],"&lt;&gt;0"),0)</f>
        <v>5.15</v>
      </c>
      <c r="G908" s="4">
        <f ca="1">IFERROR(AVERAGEIF(OFFSET(Table1[[#This Row],[Status]],0,COUNT(Table1[[#This Row],[2019-May]:[2025-July]]),1,-12),"&lt;&gt;0"),0)</f>
        <v>6.333333333333333</v>
      </c>
      <c r="H908" s="55">
        <f>IFERROR(SMALL(Table1[[#This Row],[2019-Apr]:[2025-July]],COUNTIF(Table1[[#This Row],[2019-Apr]:[2025-July]],0)+1),0)</f>
        <v>1.6</v>
      </c>
      <c r="I908" s="55">
        <f>IFERROR(MAX(Table1[[#This Row],[2019-Apr]:[2025-July]]),0)</f>
        <v>8.5</v>
      </c>
      <c r="J908" s="4" cm="1">
        <f t="array" ref="J90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5.15</v>
      </c>
      <c r="K908" s="4">
        <v>4.5</v>
      </c>
      <c r="L908" s="4">
        <f>IF(Table1[[#This Row],[Standard as per ISO]]&gt;=Table1[[#This Row],[Avg of best 6]],Table1[[#This Row],[Standard as per ISO]],Table1[[#This Row],[Avg of best 6]])</f>
        <v>5.15</v>
      </c>
      <c r="M908" s="4" cm="1">
        <f t="array" ref="M908">IFERROR(LOOKUP(2,1/(Table1[[#This Row],[2019-May]:[2025-July]]&lt;&gt;0),Table1[[#This Row],[2019-May]:[2025-July]]),0)</f>
        <v>1.6</v>
      </c>
      <c r="N908" s="4">
        <f>COUNTIF(Table1[[#This Row],[2019-Apr]:[2025-July]],"&gt;="&amp;Table1[[#This Row],[Target]])</f>
        <v>2</v>
      </c>
      <c r="O908" s="4">
        <f>IF(Table1[[#This Row],[Outliers 2Y]]=0,1,0)</f>
        <v>0</v>
      </c>
      <c r="P908" s="4">
        <f>IF(Table1[[#This Row],[Last value]]&gt;1.5*Table1[[#This Row],[Target]],1,0)</f>
        <v>0</v>
      </c>
      <c r="Q908" s="4">
        <f>IF(AND(1.5*Table1[[#This Row],[Target]]&gt;=Table1[[#This Row],[Last value]],Table1[[#This Row],[Last value]]&gt;Table1[[#This Row],[Target]]),1,0)</f>
        <v>0</v>
      </c>
      <c r="R908" s="4">
        <f>IF(Table1[[#This Row],[Target]]&gt;=Table1[[#This Row],[Last value]],1,0)</f>
        <v>1</v>
      </c>
      <c r="S908" s="4" t="str">
        <f t="shared" si="24"/>
        <v>Green</v>
      </c>
      <c r="T908" s="55">
        <v>0</v>
      </c>
      <c r="U908" s="55">
        <v>0</v>
      </c>
      <c r="V908" s="55">
        <v>0</v>
      </c>
      <c r="W908" s="55">
        <v>0</v>
      </c>
      <c r="X908" s="55">
        <v>0</v>
      </c>
      <c r="Y908" s="55">
        <v>0</v>
      </c>
      <c r="Z908" s="55">
        <v>0</v>
      </c>
      <c r="AA908" s="55">
        <v>0</v>
      </c>
      <c r="AB908" s="55">
        <v>0</v>
      </c>
      <c r="AC908" s="55">
        <v>0</v>
      </c>
      <c r="AD908" s="55">
        <v>0</v>
      </c>
      <c r="AE908" s="55">
        <v>0</v>
      </c>
      <c r="AF908" s="55">
        <v>0</v>
      </c>
      <c r="AG908" s="55">
        <v>0</v>
      </c>
      <c r="AH908" s="55">
        <v>0</v>
      </c>
      <c r="AI908" s="55">
        <v>0</v>
      </c>
      <c r="AJ908" s="55">
        <v>0</v>
      </c>
      <c r="AK908" s="55">
        <v>0</v>
      </c>
      <c r="AL908" s="55">
        <v>0</v>
      </c>
      <c r="AM908" s="55">
        <v>0</v>
      </c>
      <c r="AN908" s="55">
        <v>0</v>
      </c>
      <c r="AO908" s="55">
        <v>0</v>
      </c>
      <c r="AP908" s="55">
        <v>0</v>
      </c>
      <c r="AQ908" s="55">
        <v>0</v>
      </c>
      <c r="AR908" s="55">
        <v>0</v>
      </c>
      <c r="AS908" s="55">
        <v>0</v>
      </c>
      <c r="AT908" s="55">
        <v>0</v>
      </c>
      <c r="AU908" s="55">
        <v>0</v>
      </c>
      <c r="AV908" s="55">
        <v>0</v>
      </c>
      <c r="AW908" s="55">
        <v>0</v>
      </c>
      <c r="AX908" s="55">
        <v>0</v>
      </c>
      <c r="AY908" s="55">
        <v>0</v>
      </c>
      <c r="AZ908" s="55">
        <v>0</v>
      </c>
      <c r="BA908" s="55">
        <v>0</v>
      </c>
      <c r="BB908" s="55">
        <v>0</v>
      </c>
      <c r="BC908" s="55">
        <v>0</v>
      </c>
      <c r="BD908" s="55">
        <v>0</v>
      </c>
      <c r="BE908" s="55">
        <v>0</v>
      </c>
      <c r="BF908" s="55">
        <v>0</v>
      </c>
      <c r="BG908" s="55">
        <v>0</v>
      </c>
      <c r="BH908" s="55">
        <v>0</v>
      </c>
      <c r="BI908" s="55">
        <v>0</v>
      </c>
      <c r="BJ908" s="55">
        <v>0</v>
      </c>
      <c r="BK908" s="55">
        <v>0</v>
      </c>
      <c r="BL908" s="55">
        <v>0</v>
      </c>
      <c r="BM908" s="55">
        <v>0</v>
      </c>
      <c r="BN908" s="55">
        <v>0</v>
      </c>
      <c r="BO908" s="55">
        <v>0</v>
      </c>
      <c r="BP908" s="55">
        <v>0</v>
      </c>
      <c r="BQ908" s="55">
        <v>0</v>
      </c>
      <c r="BR908" s="55">
        <v>0</v>
      </c>
      <c r="BS908" s="55">
        <v>0</v>
      </c>
      <c r="BT908" s="55">
        <v>0</v>
      </c>
      <c r="BU908" s="55">
        <v>0</v>
      </c>
      <c r="BV908" s="55">
        <v>0</v>
      </c>
      <c r="BW908" s="55">
        <v>0</v>
      </c>
      <c r="BX908" s="55">
        <v>0</v>
      </c>
      <c r="BY908" s="55">
        <v>0</v>
      </c>
      <c r="BZ908" s="55">
        <v>0</v>
      </c>
      <c r="CA908" s="55">
        <v>0</v>
      </c>
      <c r="CB908" s="55">
        <v>0</v>
      </c>
      <c r="CC908" s="55">
        <v>0</v>
      </c>
      <c r="CD908" s="55">
        <v>0</v>
      </c>
      <c r="CE908" s="55">
        <v>0</v>
      </c>
      <c r="CF908" s="55">
        <v>0</v>
      </c>
      <c r="CG908" s="55">
        <v>0</v>
      </c>
      <c r="CH908" s="55">
        <v>0</v>
      </c>
      <c r="CI908" s="55">
        <v>0</v>
      </c>
      <c r="CJ908" s="55">
        <v>0</v>
      </c>
      <c r="CK908" s="55">
        <v>0</v>
      </c>
      <c r="CL908" s="55">
        <v>0</v>
      </c>
      <c r="CM908" s="55">
        <v>0</v>
      </c>
      <c r="CN908" s="11">
        <v>8.5</v>
      </c>
      <c r="CO908" s="54">
        <v>4.5999999999999996</v>
      </c>
      <c r="CP908" s="54">
        <v>5.9</v>
      </c>
      <c r="CQ908" s="4">
        <v>1.6</v>
      </c>
    </row>
    <row r="909" spans="1:95" x14ac:dyDescent="0.35">
      <c r="A909" s="55">
        <v>908</v>
      </c>
      <c r="B909" t="s">
        <v>120</v>
      </c>
      <c r="C909" s="27" t="s">
        <v>989</v>
      </c>
      <c r="D909" s="3" t="s">
        <v>93</v>
      </c>
      <c r="E909" s="33" t="s">
        <v>89</v>
      </c>
      <c r="F909" s="4">
        <f>IFERROR(AVERAGEIF(Table1[[#This Row],[2019-Apr]:[2025-July]],"&lt;&gt;0"),0)</f>
        <v>3.0280526315789476</v>
      </c>
      <c r="G909" s="4">
        <f ca="1">IFERROR(AVERAGEIF(OFFSET(Table1[[#This Row],[Status]],0,COUNT(Table1[[#This Row],[2019-May]:[2025-July]]),1,-12),"&lt;&gt;0"),0)</f>
        <v>3.8844444444444446</v>
      </c>
      <c r="H909" s="55">
        <f>IFERROR(SMALL(Table1[[#This Row],[2019-Apr]:[2025-July]],COUNTIF(Table1[[#This Row],[2019-Apr]:[2025-July]],0)+1),0)</f>
        <v>1.641</v>
      </c>
      <c r="I909" s="56">
        <f>IFERROR(MAX(Table1[[#This Row],[2019-Apr]:[2025-July]]),0)</f>
        <v>5.6</v>
      </c>
      <c r="J909" s="4" cm="1">
        <f t="array" ref="J90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1.8168333333333333</v>
      </c>
      <c r="K909" s="4">
        <v>4.5</v>
      </c>
      <c r="L909" s="4">
        <f>IF(Table1[[#This Row],[Standard as per ISO]]&gt;=Table1[[#This Row],[Avg of best 6]],Table1[[#This Row],[Standard as per ISO]],Table1[[#This Row],[Avg of best 6]])</f>
        <v>4.5</v>
      </c>
      <c r="M909" s="4" cm="1">
        <f t="array" ref="M909">IFERROR(LOOKUP(2,1/(Table1[[#This Row],[2019-May]:[2025-July]]&lt;&gt;0),Table1[[#This Row],[2019-May]:[2025-July]]),0)</f>
        <v>3.8</v>
      </c>
      <c r="N909" s="4">
        <f>COUNTIF(Table1[[#This Row],[2019-Apr]:[2025-July]],"&gt;="&amp;Table1[[#This Row],[Target]])</f>
        <v>2</v>
      </c>
      <c r="O909" s="4">
        <f>IF(Table1[[#This Row],[Outliers 2Y]]=0,1,0)</f>
        <v>0</v>
      </c>
      <c r="P909" s="4">
        <f>IF(Table1[[#This Row],[Last value]]&gt;1.5*Table1[[#This Row],[Target]],1,0)</f>
        <v>0</v>
      </c>
      <c r="Q909" s="4">
        <f>IF(AND(1.5*Table1[[#This Row],[Target]]&gt;=Table1[[#This Row],[Last value]],Table1[[#This Row],[Last value]]&gt;Table1[[#This Row],[Target]]),1,0)</f>
        <v>0</v>
      </c>
      <c r="R909" s="4">
        <f>IF(Table1[[#This Row],[Target]]&gt;=Table1[[#This Row],[Last value]],1,0)</f>
        <v>1</v>
      </c>
      <c r="S909" s="4" t="str">
        <f t="shared" si="17"/>
        <v>Green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2.2000000000000002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 s="8">
        <v>0</v>
      </c>
      <c r="AS909" s="8">
        <v>2.67</v>
      </c>
      <c r="AT909" s="8">
        <v>0</v>
      </c>
      <c r="AU909" s="3">
        <v>3.67</v>
      </c>
      <c r="AV909" s="3">
        <v>3.4</v>
      </c>
      <c r="AW909" s="3">
        <v>0</v>
      </c>
      <c r="AX909" s="3">
        <v>0</v>
      </c>
      <c r="AY909" s="3">
        <v>3.82</v>
      </c>
      <c r="AZ909" s="3">
        <v>1.91</v>
      </c>
      <c r="BA909" s="3">
        <v>3.6</v>
      </c>
      <c r="BB909" s="3">
        <v>2</v>
      </c>
      <c r="BC909" s="3">
        <v>0</v>
      </c>
      <c r="BD909">
        <v>0</v>
      </c>
      <c r="BE909" s="11">
        <v>0</v>
      </c>
      <c r="BF909" s="4">
        <v>2.5499999999999998</v>
      </c>
      <c r="BG909" s="4">
        <v>0</v>
      </c>
      <c r="BH909" s="4">
        <v>2.1120000000000001</v>
      </c>
      <c r="BI909" s="4">
        <v>1.9930000000000001</v>
      </c>
      <c r="BJ909" s="13">
        <v>0</v>
      </c>
      <c r="BK909" s="13">
        <v>2.8109999999999999</v>
      </c>
      <c r="BL909" s="4">
        <v>2.7810000000000001</v>
      </c>
      <c r="BM909" s="16">
        <v>2.4500000000000002</v>
      </c>
      <c r="BN909" s="4">
        <v>1.641</v>
      </c>
      <c r="BO909" s="4">
        <v>1.716</v>
      </c>
      <c r="BP909" s="4">
        <v>1.641</v>
      </c>
      <c r="BQ909" s="4">
        <v>2.3620000000000001</v>
      </c>
      <c r="BR909" s="4">
        <v>0</v>
      </c>
      <c r="BS909" s="4">
        <v>2.56</v>
      </c>
      <c r="BT909" s="4">
        <v>3.375</v>
      </c>
      <c r="BU909" s="4">
        <v>0</v>
      </c>
      <c r="BV909" s="4">
        <v>3.0680000000000001</v>
      </c>
      <c r="BW909" s="4">
        <v>0</v>
      </c>
      <c r="BX909" s="4">
        <v>2.5339999999999998</v>
      </c>
      <c r="BY909" s="4">
        <v>2.7519999999999998</v>
      </c>
      <c r="BZ909">
        <v>3.5</v>
      </c>
      <c r="CA909">
        <v>3.27</v>
      </c>
      <c r="CB909">
        <v>3.01</v>
      </c>
      <c r="CC909">
        <v>3.11</v>
      </c>
      <c r="CD909">
        <v>3.8</v>
      </c>
      <c r="CE909" s="20">
        <v>0</v>
      </c>
      <c r="CF909" s="20">
        <v>2.6</v>
      </c>
      <c r="CG909" s="4">
        <v>0</v>
      </c>
      <c r="CH909" s="4">
        <v>0</v>
      </c>
      <c r="CI909" s="4">
        <v>3.86</v>
      </c>
      <c r="CJ909" s="34">
        <v>4.0999999999999996</v>
      </c>
      <c r="CK909" s="34">
        <v>5.3</v>
      </c>
      <c r="CL909" s="43">
        <v>5.6</v>
      </c>
      <c r="CM909" s="4">
        <v>3.7</v>
      </c>
      <c r="CN909" s="53">
        <v>3.2</v>
      </c>
      <c r="CO909" s="54">
        <v>3.2</v>
      </c>
      <c r="CP909" s="54">
        <v>3.4</v>
      </c>
      <c r="CQ909" s="4">
        <v>3.8</v>
      </c>
    </row>
    <row r="910" spans="1:95" x14ac:dyDescent="0.35">
      <c r="A910" s="55">
        <v>909</v>
      </c>
      <c r="B910" t="s">
        <v>120</v>
      </c>
      <c r="C910" s="27" t="s">
        <v>990</v>
      </c>
      <c r="D910" s="3" t="s">
        <v>93</v>
      </c>
      <c r="E910" s="33" t="s">
        <v>89</v>
      </c>
      <c r="F910" s="4">
        <f>IFERROR(AVERAGEIF(Table1[[#This Row],[2019-Apr]:[2025-July]],"&lt;&gt;0"),0)</f>
        <v>2.2327586206896548</v>
      </c>
      <c r="G910" s="4">
        <f ca="1">IFERROR(AVERAGEIF(OFFSET(Table1[[#This Row],[Status]],0,COUNT(Table1[[#This Row],[2019-May]:[2025-July]]),1,-12),"&lt;&gt;0"),0)</f>
        <v>2.6539999999999999</v>
      </c>
      <c r="H910" s="55">
        <f>IFERROR(SMALL(Table1[[#This Row],[2019-Apr]:[2025-July]],COUNTIF(Table1[[#This Row],[2019-Apr]:[2025-July]],0)+1),0)</f>
        <v>1.26</v>
      </c>
      <c r="I910" s="56">
        <f>IFERROR(MAX(Table1[[#This Row],[2019-Apr]:[2025-July]]),0)</f>
        <v>3.47</v>
      </c>
      <c r="J910" s="4" cm="1">
        <f t="array" ref="J91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1.3646666666666667</v>
      </c>
      <c r="K910" s="4">
        <v>4.5</v>
      </c>
      <c r="L910" s="4">
        <f>IF(Table1[[#This Row],[Standard as per ISO]]&gt;=Table1[[#This Row],[Avg of best 6]],Table1[[#This Row],[Standard as per ISO]],Table1[[#This Row],[Avg of best 6]])</f>
        <v>4.5</v>
      </c>
      <c r="M910" s="4" cm="1">
        <f t="array" ref="M910">IFERROR(LOOKUP(2,1/(Table1[[#This Row],[2019-May]:[2025-July]]&lt;&gt;0),Table1[[#This Row],[2019-May]:[2025-July]]),0)</f>
        <v>1.7</v>
      </c>
      <c r="N910" s="4">
        <f>COUNTIF(Table1[[#This Row],[2019-Apr]:[2025-July]],"&gt;="&amp;Table1[[#This Row],[Target]])</f>
        <v>0</v>
      </c>
      <c r="O910" s="4">
        <f>IF(Table1[[#This Row],[Outliers 2Y]]=0,1,0)</f>
        <v>1</v>
      </c>
      <c r="P910" s="4">
        <f>IF(Table1[[#This Row],[Last value]]&gt;1.5*Table1[[#This Row],[Target]],1,0)</f>
        <v>0</v>
      </c>
      <c r="Q910" s="4">
        <f>IF(AND(1.5*Table1[[#This Row],[Target]]&gt;=Table1[[#This Row],[Last value]],Table1[[#This Row],[Last value]]&gt;Table1[[#This Row],[Target]]),1,0)</f>
        <v>0</v>
      </c>
      <c r="R910" s="4">
        <f>IF(Table1[[#This Row],[Target]]&gt;=Table1[[#This Row],[Last value]],1,0)</f>
        <v>1</v>
      </c>
      <c r="S910" s="4" t="str">
        <f t="shared" si="17"/>
        <v>Green</v>
      </c>
      <c r="T910">
        <v>2.27</v>
      </c>
      <c r="U910">
        <v>2.59</v>
      </c>
      <c r="V910">
        <v>2.7</v>
      </c>
      <c r="W910">
        <v>0</v>
      </c>
      <c r="X910">
        <v>0</v>
      </c>
      <c r="Y910">
        <v>2.15</v>
      </c>
      <c r="Z910">
        <v>2.4</v>
      </c>
      <c r="AA910">
        <v>1.9</v>
      </c>
      <c r="AB910">
        <v>1.86</v>
      </c>
      <c r="AC910">
        <v>2.5</v>
      </c>
      <c r="AD910">
        <v>2.8</v>
      </c>
      <c r="AE910">
        <v>2.5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2.2200000000000002</v>
      </c>
      <c r="AN910">
        <v>0</v>
      </c>
      <c r="AO910">
        <v>1.36</v>
      </c>
      <c r="AP910">
        <v>1.34</v>
      </c>
      <c r="AQ910">
        <v>1.36</v>
      </c>
      <c r="AR910" s="8">
        <v>1.39</v>
      </c>
      <c r="AS910" s="8">
        <v>0</v>
      </c>
      <c r="AT910" s="8">
        <v>1.26</v>
      </c>
      <c r="AU910" s="3">
        <v>0</v>
      </c>
      <c r="AV910" s="3">
        <v>0</v>
      </c>
      <c r="AW910" s="3">
        <v>0</v>
      </c>
      <c r="AX910" s="3">
        <v>0</v>
      </c>
      <c r="AY910" s="3">
        <v>2.54</v>
      </c>
      <c r="AZ910" s="3">
        <v>0</v>
      </c>
      <c r="BA910" s="3">
        <v>0</v>
      </c>
      <c r="BB910" s="3">
        <v>2.2000000000000002</v>
      </c>
      <c r="BC910">
        <v>1.8</v>
      </c>
      <c r="BD910">
        <v>0</v>
      </c>
      <c r="BE910" s="11">
        <v>0</v>
      </c>
      <c r="BF910" s="4">
        <v>0</v>
      </c>
      <c r="BG910" s="4">
        <v>0</v>
      </c>
      <c r="BH910" s="4">
        <v>0</v>
      </c>
      <c r="BI910" s="4">
        <v>0</v>
      </c>
      <c r="BJ910" s="14">
        <v>0</v>
      </c>
      <c r="BK910" s="14">
        <v>0</v>
      </c>
      <c r="BL910" s="4">
        <v>0</v>
      </c>
      <c r="BM910" s="17">
        <v>0</v>
      </c>
      <c r="BN910" s="4">
        <v>0</v>
      </c>
      <c r="BO910" s="4">
        <v>0</v>
      </c>
      <c r="BP910" s="4">
        <v>0</v>
      </c>
      <c r="BQ910" s="4">
        <v>2.5169999999999999</v>
      </c>
      <c r="BR910" s="4">
        <v>2.37</v>
      </c>
      <c r="BS910" s="4">
        <v>1.478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3.0950000000000002</v>
      </c>
      <c r="BZ910">
        <v>0</v>
      </c>
      <c r="CA910">
        <v>0</v>
      </c>
      <c r="CB910">
        <v>2.88</v>
      </c>
      <c r="CC910">
        <v>0</v>
      </c>
      <c r="CD910">
        <v>0</v>
      </c>
      <c r="CE910" s="20">
        <v>0</v>
      </c>
      <c r="CF910" s="20">
        <v>0</v>
      </c>
      <c r="CG910" s="4">
        <v>0</v>
      </c>
      <c r="CH910" s="4">
        <v>0</v>
      </c>
      <c r="CI910" s="4">
        <v>3.47</v>
      </c>
      <c r="CJ910" s="34">
        <v>2.8</v>
      </c>
      <c r="CK910" s="34">
        <v>2.9</v>
      </c>
      <c r="CL910" s="43">
        <v>0</v>
      </c>
      <c r="CM910" s="4">
        <v>0</v>
      </c>
      <c r="CN910" s="53">
        <v>2.4</v>
      </c>
      <c r="CO910" s="54">
        <v>1.7</v>
      </c>
      <c r="CP910" s="54">
        <v>0</v>
      </c>
      <c r="CQ910" s="4">
        <v>0</v>
      </c>
    </row>
    <row r="911" spans="1:95" x14ac:dyDescent="0.35">
      <c r="A911" s="55">
        <v>910</v>
      </c>
      <c r="B911" t="s">
        <v>120</v>
      </c>
      <c r="C911" s="27" t="s">
        <v>991</v>
      </c>
      <c r="D911" s="3" t="s">
        <v>93</v>
      </c>
      <c r="E911" s="33" t="s">
        <v>89</v>
      </c>
      <c r="F911" s="4">
        <f>IFERROR(AVERAGEIF(Table1[[#This Row],[2019-Apr]:[2025-July]],"&lt;&gt;0"),0)</f>
        <v>2.8236829268292682</v>
      </c>
      <c r="G911" s="4">
        <f ca="1">IFERROR(AVERAGEIF(OFFSET(Table1[[#This Row],[Status]],0,COUNT(Table1[[#This Row],[2019-May]:[2025-July]]),1,-12),"&lt;&gt;0"),0)</f>
        <v>2.9</v>
      </c>
      <c r="H911" s="55">
        <f>IFERROR(SMALL(Table1[[#This Row],[2019-Apr]:[2025-July]],COUNTIF(Table1[[#This Row],[2019-Apr]:[2025-July]],0)+1),0)</f>
        <v>0.78</v>
      </c>
      <c r="I911" s="56">
        <f>IFERROR(MAX(Table1[[#This Row],[2019-Apr]:[2025-July]]),0)</f>
        <v>7.62</v>
      </c>
      <c r="J911" s="4" cm="1">
        <f t="array" ref="J91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1.5004999999999999</v>
      </c>
      <c r="K911" s="4">
        <v>4.5</v>
      </c>
      <c r="L911" s="4">
        <f>IF(Table1[[#This Row],[Standard as per ISO]]&gt;=Table1[[#This Row],[Avg of best 6]],Table1[[#This Row],[Standard as per ISO]],Table1[[#This Row],[Avg of best 6]])</f>
        <v>4.5</v>
      </c>
      <c r="M911" s="4" cm="1">
        <f t="array" ref="M911">IFERROR(LOOKUP(2,1/(Table1[[#This Row],[2019-May]:[2025-July]]&lt;&gt;0),Table1[[#This Row],[2019-May]:[2025-July]]),0)</f>
        <v>4</v>
      </c>
      <c r="N911" s="4">
        <f>COUNTIF(Table1[[#This Row],[2019-Apr]:[2025-July]],"&gt;="&amp;Table1[[#This Row],[Target]])</f>
        <v>1</v>
      </c>
      <c r="O911" s="4">
        <f>IF(Table1[[#This Row],[Outliers 2Y]]=0,1,0)</f>
        <v>0</v>
      </c>
      <c r="P911" s="4">
        <f>IF(Table1[[#This Row],[Last value]]&gt;1.5*Table1[[#This Row],[Target]],1,0)</f>
        <v>0</v>
      </c>
      <c r="Q911" s="4">
        <f>IF(AND(1.5*Table1[[#This Row],[Target]]&gt;=Table1[[#This Row],[Last value]],Table1[[#This Row],[Last value]]&gt;Table1[[#This Row],[Target]]),1,0)</f>
        <v>0</v>
      </c>
      <c r="R911" s="4">
        <f>IF(Table1[[#This Row],[Target]]&gt;=Table1[[#This Row],[Last value]],1,0)</f>
        <v>1</v>
      </c>
      <c r="S911" s="4" t="str">
        <f t="shared" si="17"/>
        <v>Green</v>
      </c>
      <c r="T911">
        <v>0</v>
      </c>
      <c r="U911">
        <v>0</v>
      </c>
      <c r="V911">
        <v>0</v>
      </c>
      <c r="W911">
        <v>2.62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1.38</v>
      </c>
      <c r="AO911">
        <v>0</v>
      </c>
      <c r="AP911">
        <v>2.3199999999999998</v>
      </c>
      <c r="AQ911">
        <v>0</v>
      </c>
      <c r="AR911" s="8">
        <v>0</v>
      </c>
      <c r="AS911" s="8">
        <v>1.48</v>
      </c>
      <c r="AT911" s="8">
        <v>0</v>
      </c>
      <c r="AU911" s="3">
        <v>2.8</v>
      </c>
      <c r="AV911" s="3">
        <v>3.01</v>
      </c>
      <c r="AW911" s="3">
        <v>2.16</v>
      </c>
      <c r="AX911" s="3">
        <v>2.99</v>
      </c>
      <c r="AY911" s="3">
        <v>0</v>
      </c>
      <c r="AZ911" s="3">
        <v>3.31</v>
      </c>
      <c r="BA911" s="3">
        <v>2.2000000000000002</v>
      </c>
      <c r="BB911" s="3">
        <v>2.4</v>
      </c>
      <c r="BC911" s="3">
        <v>0</v>
      </c>
      <c r="BD911">
        <v>0</v>
      </c>
      <c r="BE911" s="11">
        <v>2.5680000000000001</v>
      </c>
      <c r="BF911" s="4">
        <v>2.3540000000000001</v>
      </c>
      <c r="BG911" s="4">
        <v>2.798</v>
      </c>
      <c r="BH911" s="4">
        <v>2.9319999999999999</v>
      </c>
      <c r="BI911" s="4">
        <v>2.89</v>
      </c>
      <c r="BJ911" s="13">
        <v>2.1179999999999999</v>
      </c>
      <c r="BK911" s="13">
        <v>3.8820000000000001</v>
      </c>
      <c r="BL911" s="4">
        <v>2.8250000000000002</v>
      </c>
      <c r="BM911" s="16">
        <v>2.98</v>
      </c>
      <c r="BN911" s="4">
        <v>2.944</v>
      </c>
      <c r="BO911" s="4">
        <v>3.47</v>
      </c>
      <c r="BP911" s="4">
        <v>1.7030000000000001</v>
      </c>
      <c r="BQ911" s="4">
        <v>0</v>
      </c>
      <c r="BR911" s="4">
        <v>1.7709999999999999</v>
      </c>
      <c r="BS911" s="4">
        <v>0</v>
      </c>
      <c r="BT911" s="4">
        <v>1.889</v>
      </c>
      <c r="BU911" s="4">
        <v>2.2080000000000002</v>
      </c>
      <c r="BV911" s="4">
        <v>3.093</v>
      </c>
      <c r="BW911" s="4">
        <v>3.125</v>
      </c>
      <c r="BX911" s="4">
        <v>3.7109999999999999</v>
      </c>
      <c r="BY911" s="4">
        <v>0</v>
      </c>
      <c r="BZ911">
        <v>0.78</v>
      </c>
      <c r="CA911">
        <v>3.8</v>
      </c>
      <c r="CB911">
        <v>7.62</v>
      </c>
      <c r="CC911">
        <v>3.22</v>
      </c>
      <c r="CD911">
        <v>3.02</v>
      </c>
      <c r="CE911" s="20">
        <v>2.9</v>
      </c>
      <c r="CF911" s="20">
        <v>2.7</v>
      </c>
      <c r="CG911" s="4">
        <v>0</v>
      </c>
      <c r="CH911" s="4">
        <v>0</v>
      </c>
      <c r="CI911" s="4">
        <v>0</v>
      </c>
      <c r="CJ911" s="34">
        <v>0</v>
      </c>
      <c r="CK911" s="34">
        <v>0</v>
      </c>
      <c r="CL911" s="43">
        <v>3.6</v>
      </c>
      <c r="CM911" s="4">
        <v>2.8</v>
      </c>
      <c r="CN911" s="53">
        <v>2.6</v>
      </c>
      <c r="CO911" s="54">
        <v>0</v>
      </c>
      <c r="CP911" s="54">
        <v>2.8</v>
      </c>
      <c r="CQ911" s="4">
        <v>4</v>
      </c>
    </row>
    <row r="912" spans="1:95" x14ac:dyDescent="0.35">
      <c r="A912" s="55">
        <v>911</v>
      </c>
      <c r="B912" t="s">
        <v>120</v>
      </c>
      <c r="C912" s="27" t="s">
        <v>992</v>
      </c>
      <c r="D912" s="3" t="s">
        <v>93</v>
      </c>
      <c r="E912" s="33" t="s">
        <v>89</v>
      </c>
      <c r="F912" s="4">
        <f>IFERROR(AVERAGEIF(Table1[[#This Row],[2019-Apr]:[2025-July]],"&lt;&gt;0"),0)</f>
        <v>3.8519999999999999</v>
      </c>
      <c r="G912" s="4">
        <f ca="1">IFERROR(AVERAGEIF(OFFSET(Table1[[#This Row],[Status]],0,COUNT(Table1[[#This Row],[2019-May]:[2025-July]]),1,-12),"&lt;&gt;0"),0)</f>
        <v>2.6399999999999997</v>
      </c>
      <c r="H912" s="55">
        <f>IFERROR(SMALL(Table1[[#This Row],[2019-Apr]:[2025-July]],COUNTIF(Table1[[#This Row],[2019-Apr]:[2025-July]],0)+1),0)</f>
        <v>1.694</v>
      </c>
      <c r="I912" s="56">
        <f>IFERROR(MAX(Table1[[#This Row],[2019-Apr]:[2025-July]]),0)</f>
        <v>8.2349999999999994</v>
      </c>
      <c r="J912" s="4" cm="1">
        <f t="array" ref="J91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1.9504999999999999</v>
      </c>
      <c r="K912" s="4">
        <v>4.5</v>
      </c>
      <c r="L912" s="4">
        <f>IF(Table1[[#This Row],[Standard as per ISO]]&gt;=Table1[[#This Row],[Avg of best 6]],Table1[[#This Row],[Standard as per ISO]],Table1[[#This Row],[Avg of best 6]])</f>
        <v>4.5</v>
      </c>
      <c r="M912" s="4" cm="1">
        <f t="array" ref="M912">IFERROR(LOOKUP(2,1/(Table1[[#This Row],[2019-May]:[2025-July]]&lt;&gt;0),Table1[[#This Row],[2019-May]:[2025-July]]),0)</f>
        <v>3.5</v>
      </c>
      <c r="N912" s="4">
        <f>COUNTIF(Table1[[#This Row],[2019-Apr]:[2025-July]],"&gt;="&amp;Table1[[#This Row],[Target]])</f>
        <v>18</v>
      </c>
      <c r="O912" s="4">
        <f>IF(Table1[[#This Row],[Outliers 2Y]]=0,1,0)</f>
        <v>0</v>
      </c>
      <c r="P912" s="4">
        <f>IF(Table1[[#This Row],[Last value]]&gt;1.5*Table1[[#This Row],[Target]],1,0)</f>
        <v>0</v>
      </c>
      <c r="Q912" s="4">
        <f>IF(AND(1.5*Table1[[#This Row],[Target]]&gt;=Table1[[#This Row],[Last value]],Table1[[#This Row],[Last value]]&gt;Table1[[#This Row],[Target]]),1,0)</f>
        <v>0</v>
      </c>
      <c r="R912" s="4">
        <f>IF(Table1[[#This Row],[Target]]&gt;=Table1[[#This Row],[Last value]],1,0)</f>
        <v>1</v>
      </c>
      <c r="S912" s="4" t="str">
        <f t="shared" si="17"/>
        <v>Green</v>
      </c>
      <c r="T912">
        <v>3.9</v>
      </c>
      <c r="U912">
        <v>3.09</v>
      </c>
      <c r="V912">
        <v>2.89</v>
      </c>
      <c r="W912">
        <v>2.95</v>
      </c>
      <c r="X912">
        <v>5.15</v>
      </c>
      <c r="Y912">
        <v>3.36</v>
      </c>
      <c r="Z912">
        <v>2.2999999999999998</v>
      </c>
      <c r="AA912">
        <v>2.2999999999999998</v>
      </c>
      <c r="AB912">
        <v>3.7</v>
      </c>
      <c r="AC912">
        <v>3.8</v>
      </c>
      <c r="AD912">
        <v>3.7</v>
      </c>
      <c r="AE912">
        <v>0</v>
      </c>
      <c r="AF912">
        <v>0</v>
      </c>
      <c r="AG912">
        <v>5.7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3.86</v>
      </c>
      <c r="AN912">
        <v>2.7</v>
      </c>
      <c r="AO912">
        <v>6.37</v>
      </c>
      <c r="AP912">
        <v>3.2</v>
      </c>
      <c r="AQ912">
        <v>5.26</v>
      </c>
      <c r="AR912" s="9">
        <v>6.13</v>
      </c>
      <c r="AS912" s="9">
        <v>3.8</v>
      </c>
      <c r="AT912" s="9">
        <v>6.86</v>
      </c>
      <c r="AU912" s="3">
        <v>5.7</v>
      </c>
      <c r="AV912" s="3">
        <v>4.66</v>
      </c>
      <c r="AW912" s="3">
        <v>7.09</v>
      </c>
      <c r="AX912" s="3">
        <v>4.8600000000000003</v>
      </c>
      <c r="AY912" s="3">
        <v>6.19</v>
      </c>
      <c r="AZ912" s="3">
        <v>6.1</v>
      </c>
      <c r="BA912" s="3">
        <v>3.2</v>
      </c>
      <c r="BB912" s="3">
        <v>6</v>
      </c>
      <c r="BC912">
        <v>2.9</v>
      </c>
      <c r="BD912">
        <v>0</v>
      </c>
      <c r="BE912" s="11">
        <v>1.978</v>
      </c>
      <c r="BF912" s="4">
        <v>0</v>
      </c>
      <c r="BG912" s="4">
        <v>2.9079999999999999</v>
      </c>
      <c r="BH912" s="4">
        <v>0</v>
      </c>
      <c r="BI912" s="4">
        <v>0</v>
      </c>
      <c r="BJ912" s="14">
        <v>8.2349999999999994</v>
      </c>
      <c r="BK912" s="14">
        <v>0</v>
      </c>
      <c r="BL912" s="4">
        <v>0</v>
      </c>
      <c r="BM912" s="17">
        <v>8.0909999999999993</v>
      </c>
      <c r="BN912" s="4">
        <v>5.5</v>
      </c>
      <c r="BO912" s="4">
        <v>5.57</v>
      </c>
      <c r="BP912" s="4">
        <v>0</v>
      </c>
      <c r="BQ912" s="4">
        <v>0</v>
      </c>
      <c r="BR912" s="4">
        <v>1.79</v>
      </c>
      <c r="BS912" s="4">
        <v>0</v>
      </c>
      <c r="BT912" s="4">
        <v>0</v>
      </c>
      <c r="BU912" s="4">
        <v>1.694</v>
      </c>
      <c r="BV912" s="4">
        <v>2.0409999999999999</v>
      </c>
      <c r="BW912" s="4">
        <v>2.64</v>
      </c>
      <c r="BX912" s="4">
        <v>2.2989999999999999</v>
      </c>
      <c r="BY912" s="4">
        <v>4.6059999999999999</v>
      </c>
      <c r="BZ912">
        <v>4.22</v>
      </c>
      <c r="CA912">
        <v>2.54</v>
      </c>
      <c r="CB912">
        <v>2.21</v>
      </c>
      <c r="CC912">
        <v>2.21</v>
      </c>
      <c r="CD912">
        <v>2.2000000000000002</v>
      </c>
      <c r="CE912" s="19">
        <v>2.2999999999999998</v>
      </c>
      <c r="CF912" s="19">
        <v>2.5</v>
      </c>
      <c r="CG912" s="4">
        <v>0</v>
      </c>
      <c r="CH912" s="4">
        <v>0</v>
      </c>
      <c r="CI912" s="4">
        <v>2.76</v>
      </c>
      <c r="CJ912" s="34">
        <v>0</v>
      </c>
      <c r="CK912" s="34">
        <v>2.4</v>
      </c>
      <c r="CL912" s="43">
        <v>2</v>
      </c>
      <c r="CM912" s="4">
        <v>2.6</v>
      </c>
      <c r="CN912" s="53">
        <v>3.5</v>
      </c>
      <c r="CO912" s="54">
        <v>2.9</v>
      </c>
      <c r="CP912" s="54">
        <v>2.8</v>
      </c>
      <c r="CQ912" s="4">
        <v>3.5</v>
      </c>
    </row>
    <row r="913" spans="1:95" x14ac:dyDescent="0.35">
      <c r="A913" s="55">
        <v>912</v>
      </c>
      <c r="B913" t="s">
        <v>120</v>
      </c>
      <c r="C913" s="27" t="s">
        <v>993</v>
      </c>
      <c r="D913" s="3" t="s">
        <v>93</v>
      </c>
      <c r="E913" s="33" t="s">
        <v>89</v>
      </c>
      <c r="F913" s="4">
        <f>IFERROR(AVERAGEIF(Table1[[#This Row],[2019-Apr]:[2025-July]],"&lt;&gt;0"),0)</f>
        <v>3.0604146341463414</v>
      </c>
      <c r="G913" s="4">
        <f ca="1">IFERROR(AVERAGEIF(OFFSET(Table1[[#This Row],[Status]],0,COUNT(Table1[[#This Row],[2019-May]:[2025-July]]),1,-12),"&lt;&gt;0"),0)</f>
        <v>2.9950000000000006</v>
      </c>
      <c r="H913" s="55">
        <f>IFERROR(SMALL(Table1[[#This Row],[2019-Apr]:[2025-July]],COUNTIF(Table1[[#This Row],[2019-Apr]:[2025-July]],0)+1),0)</f>
        <v>2.12</v>
      </c>
      <c r="I913" s="56">
        <f>IFERROR(MAX(Table1[[#This Row],[2019-Apr]:[2025-July]]),0)</f>
        <v>6.2</v>
      </c>
      <c r="J913" s="4" cm="1">
        <f t="array" ref="J91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2.214</v>
      </c>
      <c r="K913" s="4">
        <v>4.5</v>
      </c>
      <c r="L913" s="4">
        <f>IF(Table1[[#This Row],[Standard as per ISO]]&gt;=Table1[[#This Row],[Avg of best 6]],Table1[[#This Row],[Standard as per ISO]],Table1[[#This Row],[Avg of best 6]])</f>
        <v>4.5</v>
      </c>
      <c r="M913" s="4" cm="1">
        <f t="array" ref="M913">IFERROR(LOOKUP(2,1/(Table1[[#This Row],[2019-May]:[2025-July]]&lt;&gt;0),Table1[[#This Row],[2019-May]:[2025-July]]),0)</f>
        <v>2.9</v>
      </c>
      <c r="N913" s="4">
        <f>COUNTIF(Table1[[#This Row],[2019-Apr]:[2025-July]],"&gt;="&amp;Table1[[#This Row],[Target]])</f>
        <v>1</v>
      </c>
      <c r="O913" s="4">
        <f>IF(Table1[[#This Row],[Outliers 2Y]]=0,1,0)</f>
        <v>0</v>
      </c>
      <c r="P913" s="4">
        <f>IF(Table1[[#This Row],[Last value]]&gt;1.5*Table1[[#This Row],[Target]],1,0)</f>
        <v>0</v>
      </c>
      <c r="Q913" s="4">
        <f>IF(AND(1.5*Table1[[#This Row],[Target]]&gt;=Table1[[#This Row],[Last value]],Table1[[#This Row],[Last value]]&gt;Table1[[#This Row],[Target]]),1,0)</f>
        <v>0</v>
      </c>
      <c r="R913" s="4">
        <f>IF(Table1[[#This Row],[Target]]&gt;=Table1[[#This Row],[Last value]],1,0)</f>
        <v>1</v>
      </c>
      <c r="S913" s="4" t="str">
        <f t="shared" si="17"/>
        <v>Green</v>
      </c>
      <c r="T913">
        <v>2.59</v>
      </c>
      <c r="U913">
        <v>3.04</v>
      </c>
      <c r="V913">
        <v>2.69</v>
      </c>
      <c r="W913">
        <v>2.2000000000000002</v>
      </c>
      <c r="X913">
        <v>0</v>
      </c>
      <c r="Y913">
        <v>0</v>
      </c>
      <c r="Z913">
        <v>2.4</v>
      </c>
      <c r="AA913">
        <v>2.2999999999999998</v>
      </c>
      <c r="AB913">
        <v>3.9</v>
      </c>
      <c r="AC913">
        <v>4.08</v>
      </c>
      <c r="AD913">
        <v>0</v>
      </c>
      <c r="AE913">
        <v>4.2</v>
      </c>
      <c r="AF913">
        <v>3.7</v>
      </c>
      <c r="AG913">
        <v>0</v>
      </c>
      <c r="AH913">
        <v>0</v>
      </c>
      <c r="AI913">
        <v>2.57</v>
      </c>
      <c r="AJ913">
        <v>0</v>
      </c>
      <c r="AK913">
        <v>0</v>
      </c>
      <c r="AL913">
        <v>0</v>
      </c>
      <c r="AM913">
        <v>2.14</v>
      </c>
      <c r="AN913">
        <v>0</v>
      </c>
      <c r="AO913">
        <v>0</v>
      </c>
      <c r="AP913">
        <v>6.2</v>
      </c>
      <c r="AQ913">
        <v>0</v>
      </c>
      <c r="AR913" s="8">
        <v>0</v>
      </c>
      <c r="AS913" s="8">
        <v>3.4</v>
      </c>
      <c r="AT913" s="8">
        <v>0</v>
      </c>
      <c r="AU913" s="3">
        <v>2.91</v>
      </c>
      <c r="AV913" s="3">
        <v>3.41</v>
      </c>
      <c r="AW913" s="3">
        <v>3.58</v>
      </c>
      <c r="AX913" s="3">
        <v>3.79</v>
      </c>
      <c r="AY913" s="3">
        <v>2.89</v>
      </c>
      <c r="AZ913" s="3">
        <v>0</v>
      </c>
      <c r="BA913" s="3">
        <v>3</v>
      </c>
      <c r="BB913" s="3">
        <v>3.4</v>
      </c>
      <c r="BC913" s="3">
        <v>0</v>
      </c>
      <c r="BD913">
        <v>0</v>
      </c>
      <c r="BE913" s="11">
        <v>2.9</v>
      </c>
      <c r="BF913" s="4">
        <v>2.9980000000000002</v>
      </c>
      <c r="BG913" s="4">
        <v>0</v>
      </c>
      <c r="BH913" s="4">
        <v>2.948</v>
      </c>
      <c r="BI913" s="4">
        <v>0</v>
      </c>
      <c r="BJ913" s="13">
        <v>0</v>
      </c>
      <c r="BK913" s="13">
        <v>2.419</v>
      </c>
      <c r="BL913" s="4">
        <v>2.12</v>
      </c>
      <c r="BM913" s="16">
        <v>2.7050000000000001</v>
      </c>
      <c r="BN913" s="4">
        <v>2.1240000000000001</v>
      </c>
      <c r="BO913" s="4">
        <v>2.8039999999999998</v>
      </c>
      <c r="BP913" s="4">
        <v>2.8039999999999998</v>
      </c>
      <c r="BQ913" s="4">
        <v>2.8039999999999998</v>
      </c>
      <c r="BR913" s="4">
        <v>0</v>
      </c>
      <c r="BS913" s="4">
        <v>3.3180000000000001</v>
      </c>
      <c r="BT913" s="4">
        <v>2.7029999999999998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>
        <v>0</v>
      </c>
      <c r="CA913">
        <v>0</v>
      </c>
      <c r="CB913">
        <v>3.57</v>
      </c>
      <c r="CC913">
        <v>0</v>
      </c>
      <c r="CD913">
        <v>0</v>
      </c>
      <c r="CE913" s="19">
        <v>0</v>
      </c>
      <c r="CF913" s="19">
        <v>3</v>
      </c>
      <c r="CG913" s="4">
        <v>0</v>
      </c>
      <c r="CH913" s="4">
        <v>0</v>
      </c>
      <c r="CI913" s="4">
        <v>3.07</v>
      </c>
      <c r="CJ913" s="34">
        <v>3.4</v>
      </c>
      <c r="CK913" s="34">
        <v>0</v>
      </c>
      <c r="CL913" s="43">
        <v>3.2</v>
      </c>
      <c r="CM913" s="4">
        <v>0</v>
      </c>
      <c r="CN913" s="53">
        <v>0</v>
      </c>
      <c r="CO913" s="54">
        <v>2.5</v>
      </c>
      <c r="CP913" s="54">
        <v>2.8</v>
      </c>
      <c r="CQ913" s="4">
        <v>2.9</v>
      </c>
    </row>
    <row r="914" spans="1:95" x14ac:dyDescent="0.35">
      <c r="A914" s="55">
        <v>913</v>
      </c>
      <c r="B914" t="s">
        <v>120</v>
      </c>
      <c r="C914" s="27" t="s">
        <v>994</v>
      </c>
      <c r="D914" s="3" t="s">
        <v>93</v>
      </c>
      <c r="E914" s="33" t="s">
        <v>89</v>
      </c>
      <c r="F914" s="4">
        <f>IFERROR(AVERAGEIF(Table1[[#This Row],[2019-Apr]:[2025-July]],"&lt;&gt;0"),0)</f>
        <v>3.2855961538461544</v>
      </c>
      <c r="G914" s="4">
        <f ca="1">IFERROR(AVERAGEIF(OFFSET(Table1[[#This Row],[Status]],0,COUNT(Table1[[#This Row],[2019-May]:[2025-July]]),1,-12),"&lt;&gt;0"),0)</f>
        <v>2.3142857142857141</v>
      </c>
      <c r="H914" s="55">
        <f>IFERROR(SMALL(Table1[[#This Row],[2019-Apr]:[2025-July]],COUNTIF(Table1[[#This Row],[2019-Apr]:[2025-July]],0)+1),0)</f>
        <v>1.2</v>
      </c>
      <c r="I914" s="56">
        <f>IFERROR(MAX(Table1[[#This Row],[2019-Apr]:[2025-July]]),0)</f>
        <v>8.8330000000000002</v>
      </c>
      <c r="J914" s="4" cm="1">
        <f t="array" ref="J91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1.6846666666666665</v>
      </c>
      <c r="K914" s="4">
        <v>4.5</v>
      </c>
      <c r="L914" s="4">
        <f>IF(Table1[[#This Row],[Standard as per ISO]]&gt;=Table1[[#This Row],[Avg of best 6]],Table1[[#This Row],[Standard as per ISO]],Table1[[#This Row],[Avg of best 6]])</f>
        <v>4.5</v>
      </c>
      <c r="M914" s="4" cm="1">
        <f t="array" ref="M914">IFERROR(LOOKUP(2,1/(Table1[[#This Row],[2019-May]:[2025-July]]&lt;&gt;0),Table1[[#This Row],[2019-May]:[2025-July]]),0)</f>
        <v>2.5</v>
      </c>
      <c r="N914" s="4">
        <f>COUNTIF(Table1[[#This Row],[2019-Apr]:[2025-July]],"&gt;="&amp;Table1[[#This Row],[Target]])</f>
        <v>7</v>
      </c>
      <c r="O914" s="4">
        <f>IF(Table1[[#This Row],[Outliers 2Y]]=0,1,0)</f>
        <v>0</v>
      </c>
      <c r="P914" s="4">
        <f>IF(Table1[[#This Row],[Last value]]&gt;1.5*Table1[[#This Row],[Target]],1,0)</f>
        <v>0</v>
      </c>
      <c r="Q914" s="4">
        <f>IF(AND(1.5*Table1[[#This Row],[Target]]&gt;=Table1[[#This Row],[Last value]],Table1[[#This Row],[Last value]]&gt;Table1[[#This Row],[Target]]),1,0)</f>
        <v>0</v>
      </c>
      <c r="R914" s="4">
        <f>IF(Table1[[#This Row],[Target]]&gt;=Table1[[#This Row],[Last value]],1,0)</f>
        <v>1</v>
      </c>
      <c r="S914" s="4" t="str">
        <f t="shared" si="17"/>
        <v>Green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2.75</v>
      </c>
      <c r="Z914">
        <v>2.04</v>
      </c>
      <c r="AA914">
        <v>2.7</v>
      </c>
      <c r="AB914">
        <v>3.1</v>
      </c>
      <c r="AC914">
        <v>0</v>
      </c>
      <c r="AD914">
        <v>3.2</v>
      </c>
      <c r="AE914">
        <v>3.3</v>
      </c>
      <c r="AF914">
        <v>2.1</v>
      </c>
      <c r="AG914">
        <v>0</v>
      </c>
      <c r="AH914">
        <v>0</v>
      </c>
      <c r="AI914">
        <v>2.79</v>
      </c>
      <c r="AJ914">
        <v>0</v>
      </c>
      <c r="AK914">
        <v>0</v>
      </c>
      <c r="AL914">
        <v>0</v>
      </c>
      <c r="AM914">
        <v>2.1</v>
      </c>
      <c r="AN914">
        <v>2.5</v>
      </c>
      <c r="AO914">
        <v>2.14</v>
      </c>
      <c r="AP914">
        <v>0</v>
      </c>
      <c r="AQ914">
        <v>2.91</v>
      </c>
      <c r="AR914" s="8">
        <v>1.86</v>
      </c>
      <c r="AS914" s="8">
        <v>0</v>
      </c>
      <c r="AT914" s="8">
        <v>2.4</v>
      </c>
      <c r="AU914" s="3">
        <v>2.15</v>
      </c>
      <c r="AV914" s="3">
        <v>2.25</v>
      </c>
      <c r="AW914" s="3">
        <v>2.27</v>
      </c>
      <c r="AX914" s="3">
        <v>1.93</v>
      </c>
      <c r="AY914" s="3">
        <v>0</v>
      </c>
      <c r="AZ914" s="3">
        <v>3</v>
      </c>
      <c r="BA914" s="3">
        <v>4.4000000000000004</v>
      </c>
      <c r="BB914" s="3">
        <v>0</v>
      </c>
      <c r="BC914">
        <v>2.2999999999999998</v>
      </c>
      <c r="BD914">
        <v>0</v>
      </c>
      <c r="BE914" s="11">
        <v>1.9179999999999999</v>
      </c>
      <c r="BF914" s="4">
        <v>2.508</v>
      </c>
      <c r="BG914" s="4">
        <v>3.238</v>
      </c>
      <c r="BH914" s="4">
        <v>3.1440000000000001</v>
      </c>
      <c r="BI914" s="4">
        <v>0</v>
      </c>
      <c r="BJ914" s="14">
        <v>5.5419999999999998</v>
      </c>
      <c r="BK914" s="14">
        <v>5.8369999999999997</v>
      </c>
      <c r="BL914" s="4">
        <v>4.67</v>
      </c>
      <c r="BM914" s="17">
        <v>4.609</v>
      </c>
      <c r="BN914" s="4">
        <v>4.9359999999999999</v>
      </c>
      <c r="BO914" s="4">
        <v>0</v>
      </c>
      <c r="BP914" s="4">
        <v>4.2960000000000003</v>
      </c>
      <c r="BQ914" s="4">
        <v>8.8330000000000002</v>
      </c>
      <c r="BR914" s="4">
        <v>8.6129999999999995</v>
      </c>
      <c r="BS914" s="4">
        <v>2.5569999999999999</v>
      </c>
      <c r="BT914" s="4">
        <v>3.4089999999999998</v>
      </c>
      <c r="BU914" s="4">
        <v>3.0640000000000001</v>
      </c>
      <c r="BV914" s="4">
        <v>4.4539999999999997</v>
      </c>
      <c r="BW914" s="4">
        <v>4.08</v>
      </c>
      <c r="BX914" s="4">
        <v>3.1749999999999998</v>
      </c>
      <c r="BY914" s="4">
        <v>2.8079999999999998</v>
      </c>
      <c r="BZ914">
        <v>4.3</v>
      </c>
      <c r="CA914">
        <v>3.93</v>
      </c>
      <c r="CB914">
        <v>0</v>
      </c>
      <c r="CC914">
        <v>4.07</v>
      </c>
      <c r="CD914">
        <v>3.97</v>
      </c>
      <c r="CE914" s="19">
        <v>3.5</v>
      </c>
      <c r="CF914" s="19">
        <v>1.9</v>
      </c>
      <c r="CG914" s="4">
        <v>0</v>
      </c>
      <c r="CH914" s="4">
        <v>0</v>
      </c>
      <c r="CI914" s="4">
        <v>0</v>
      </c>
      <c r="CJ914" s="34">
        <v>1.2</v>
      </c>
      <c r="CK914" s="34">
        <v>3.2</v>
      </c>
      <c r="CL914" s="43">
        <v>2.2000000000000002</v>
      </c>
      <c r="CM914" s="4">
        <v>1.3</v>
      </c>
      <c r="CN914" s="53">
        <v>2.9</v>
      </c>
      <c r="CO914" s="54">
        <v>0</v>
      </c>
      <c r="CP914" s="54">
        <v>0</v>
      </c>
      <c r="CQ914" s="4">
        <v>2.5</v>
      </c>
    </row>
    <row r="915" spans="1:95" x14ac:dyDescent="0.35">
      <c r="A915" s="55">
        <v>914</v>
      </c>
      <c r="B915" t="s">
        <v>120</v>
      </c>
      <c r="C915" s="27" t="s">
        <v>995</v>
      </c>
      <c r="D915" s="3" t="s">
        <v>93</v>
      </c>
      <c r="E915" s="33" t="s">
        <v>90</v>
      </c>
      <c r="F915" s="4">
        <f>IFERROR(AVERAGEIF(Table1[[#This Row],[2019-Apr]:[2025-July]],"&lt;&gt;0"),0)</f>
        <v>1.1625666666666665</v>
      </c>
      <c r="G915" s="4">
        <f ca="1">IFERROR(AVERAGEIF(OFFSET(Table1[[#This Row],[Status]],0,COUNT(Table1[[#This Row],[2019-May]:[2025-July]]),1,-12),"&lt;&gt;0"),0)</f>
        <v>1.2689999999999999</v>
      </c>
      <c r="H915" s="55">
        <f>IFERROR(SMALL(Table1[[#This Row],[2019-Apr]:[2025-July]],COUNTIF(Table1[[#This Row],[2019-Apr]:[2025-July]],0)+1),0)</f>
        <v>0.4</v>
      </c>
      <c r="I915" s="56">
        <f>IFERROR(MAX(Table1[[#This Row],[2019-Apr]:[2025-July]]),0)</f>
        <v>4.08</v>
      </c>
      <c r="J915" s="4" cm="1">
        <f t="array" ref="J91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0.61716666666666675</v>
      </c>
      <c r="K915" s="4">
        <v>4.5</v>
      </c>
      <c r="L915" s="4">
        <f>IF(Table1[[#This Row],[Standard as per ISO]]&gt;=Table1[[#This Row],[Avg of best 6]],Table1[[#This Row],[Standard as per ISO]],Table1[[#This Row],[Avg of best 6]])</f>
        <v>4.5</v>
      </c>
      <c r="M915" s="4" cm="1">
        <f t="array" ref="M915">IFERROR(LOOKUP(2,1/(Table1[[#This Row],[2019-May]:[2025-July]]&lt;&gt;0),Table1[[#This Row],[2019-May]:[2025-July]]),0)</f>
        <v>1.76</v>
      </c>
      <c r="N915" s="4">
        <f>COUNTIF(Table1[[#This Row],[2019-Apr]:[2025-July]],"&gt;="&amp;Table1[[#This Row],[Target]])</f>
        <v>0</v>
      </c>
      <c r="O915" s="4">
        <f>IF(Table1[[#This Row],[Outliers 2Y]]=0,1,0)</f>
        <v>1</v>
      </c>
      <c r="P915" s="4">
        <f>IF(Table1[[#This Row],[Last value]]&gt;1.5*Table1[[#This Row],[Target]],1,0)</f>
        <v>0</v>
      </c>
      <c r="Q915" s="4">
        <f>IF(AND(1.5*Table1[[#This Row],[Target]]&gt;=Table1[[#This Row],[Last value]],Table1[[#This Row],[Last value]]&gt;Table1[[#This Row],[Target]]),1,0)</f>
        <v>0</v>
      </c>
      <c r="R915" s="4">
        <f>IF(Table1[[#This Row],[Target]]&gt;=Table1[[#This Row],[Last value]],1,0)</f>
        <v>1</v>
      </c>
      <c r="S915" s="4" t="str">
        <f t="shared" si="17"/>
        <v>Green</v>
      </c>
      <c r="T915">
        <v>0</v>
      </c>
      <c r="U915">
        <v>0.67</v>
      </c>
      <c r="V915">
        <v>0</v>
      </c>
      <c r="W915">
        <v>4.08</v>
      </c>
      <c r="X915">
        <v>0</v>
      </c>
      <c r="Y915">
        <v>0.63300000000000001</v>
      </c>
      <c r="Z915">
        <v>0.92</v>
      </c>
      <c r="AA915">
        <v>0</v>
      </c>
      <c r="AB915">
        <v>0.6</v>
      </c>
      <c r="AC915">
        <v>1.1599999999999999</v>
      </c>
      <c r="AD915">
        <v>1</v>
      </c>
      <c r="AE915">
        <v>0.9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1.17</v>
      </c>
      <c r="AN915">
        <v>0</v>
      </c>
      <c r="AO915">
        <v>0.7</v>
      </c>
      <c r="AP915">
        <v>1.3</v>
      </c>
      <c r="AQ915">
        <v>1.18</v>
      </c>
      <c r="AR915" s="8">
        <v>0.97</v>
      </c>
      <c r="AS915" s="8">
        <v>1.2</v>
      </c>
      <c r="AT915" s="8">
        <v>1.07</v>
      </c>
      <c r="AU915" s="3">
        <v>0.78</v>
      </c>
      <c r="AV915" s="3">
        <v>0.93</v>
      </c>
      <c r="AW915" s="3">
        <v>0.4</v>
      </c>
      <c r="AX915" s="3">
        <v>1.07</v>
      </c>
      <c r="AY915" s="3">
        <v>0.72</v>
      </c>
      <c r="AZ915" s="3">
        <v>1</v>
      </c>
      <c r="BA915" s="3">
        <v>0.9</v>
      </c>
      <c r="BB915" s="3">
        <v>0.8</v>
      </c>
      <c r="BC915">
        <v>1.7</v>
      </c>
      <c r="BD915">
        <v>0</v>
      </c>
      <c r="BE915" s="11">
        <v>1.2769999999999999</v>
      </c>
      <c r="BF915" s="4">
        <v>1.4750000000000001</v>
      </c>
      <c r="BG915" s="4">
        <v>1.4870000000000001</v>
      </c>
      <c r="BH915" s="4">
        <v>1.331</v>
      </c>
      <c r="BI915" s="4">
        <v>1.2</v>
      </c>
      <c r="BJ915" s="13">
        <v>1.361</v>
      </c>
      <c r="BK915" s="13">
        <v>1.147</v>
      </c>
      <c r="BL915" s="4">
        <v>0.96899999999999997</v>
      </c>
      <c r="BM915" s="16">
        <v>0.81899999999999995</v>
      </c>
      <c r="BN915" s="4">
        <v>1.2270000000000001</v>
      </c>
      <c r="BO915" s="4">
        <v>0.85399999999999998</v>
      </c>
      <c r="BP915" s="4">
        <v>0.85399999999999998</v>
      </c>
      <c r="BQ915" s="4">
        <v>0.85399999999999998</v>
      </c>
      <c r="BR915" s="4">
        <v>0.85399999999999998</v>
      </c>
      <c r="BS915" s="4">
        <v>0.85399999999999998</v>
      </c>
      <c r="BT915" s="4">
        <v>1.167</v>
      </c>
      <c r="BU915" s="4">
        <v>1.1870000000000001</v>
      </c>
      <c r="BV915" s="4">
        <v>1.3260000000000001</v>
      </c>
      <c r="BW915" s="4">
        <v>1.56</v>
      </c>
      <c r="BX915" s="4">
        <v>1.1419999999999999</v>
      </c>
      <c r="BY915" s="4">
        <v>1.546</v>
      </c>
      <c r="BZ915">
        <v>0</v>
      </c>
      <c r="CA915">
        <v>1.37</v>
      </c>
      <c r="CB915">
        <v>1.71</v>
      </c>
      <c r="CC915">
        <v>0.94</v>
      </c>
      <c r="CD915">
        <v>0.94</v>
      </c>
      <c r="CE915">
        <v>0</v>
      </c>
      <c r="CF915">
        <v>1.1000000000000001</v>
      </c>
      <c r="CG915" s="4">
        <v>1.1599999999999999</v>
      </c>
      <c r="CH915" s="4">
        <v>1.42</v>
      </c>
      <c r="CI915" s="4">
        <v>1.1599999999999999</v>
      </c>
      <c r="CJ915" s="34">
        <v>1.3</v>
      </c>
      <c r="CK915" s="34">
        <v>1.7</v>
      </c>
      <c r="CL915" s="43">
        <v>0</v>
      </c>
      <c r="CM915" s="4">
        <v>1.3</v>
      </c>
      <c r="CN915" s="53">
        <v>1.25</v>
      </c>
      <c r="CO915" s="54">
        <v>1.6</v>
      </c>
      <c r="CP915" s="54">
        <v>0.7</v>
      </c>
      <c r="CQ915" s="4">
        <v>1.76</v>
      </c>
    </row>
    <row r="916" spans="1:95" x14ac:dyDescent="0.35">
      <c r="A916" s="55">
        <v>915</v>
      </c>
      <c r="B916" t="s">
        <v>120</v>
      </c>
      <c r="C916" s="27" t="s">
        <v>996</v>
      </c>
      <c r="D916" s="3" t="s">
        <v>94</v>
      </c>
      <c r="E916" s="33" t="s">
        <v>89</v>
      </c>
      <c r="F916" s="4">
        <f>IFERROR(AVERAGEIF(Table1[[#This Row],[2019-Apr]:[2025-July]],"&lt;&gt;0"),0)</f>
        <v>1.9464285714285714</v>
      </c>
      <c r="G916" s="4">
        <f ca="1">IFERROR(AVERAGEIF(OFFSET(Table1[[#This Row],[Status]],0,COUNT(Table1[[#This Row],[2019-May]:[2025-July]]),1,-12),"&lt;&gt;0"),0)</f>
        <v>0</v>
      </c>
      <c r="H916" s="55">
        <f>IFERROR(SMALL(Table1[[#This Row],[2019-Apr]:[2025-July]],COUNTIF(Table1[[#This Row],[2019-Apr]:[2025-July]],0)+1),0)</f>
        <v>1.51</v>
      </c>
      <c r="I916" s="56">
        <f>IFERROR(MAX(Table1[[#This Row],[2019-Apr]:[2025-July]]),0)</f>
        <v>2.39</v>
      </c>
      <c r="J916" s="4" cm="1">
        <f t="array" ref="J91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1.7466666666666668</v>
      </c>
      <c r="K916" s="4">
        <v>4.5</v>
      </c>
      <c r="L916" s="4">
        <f>IF(Table1[[#This Row],[Standard as per ISO]]&gt;=Table1[[#This Row],[Avg of best 6]],Table1[[#This Row],[Standard as per ISO]],Table1[[#This Row],[Avg of best 6]])</f>
        <v>4.5</v>
      </c>
      <c r="M916" s="4" cm="1">
        <f t="array" ref="M916">IFERROR(LOOKUP(2,1/(Table1[[#This Row],[2019-May]:[2025-July]]&lt;&gt;0),Table1[[#This Row],[2019-May]:[2025-July]]),0)</f>
        <v>2.19</v>
      </c>
      <c r="N916" s="4">
        <f>COUNTIF(Table1[[#This Row],[2019-Apr]:[2025-July]],"&gt;="&amp;Table1[[#This Row],[Target]])</f>
        <v>0</v>
      </c>
      <c r="O916" s="4">
        <f>IF(Table1[[#This Row],[Outliers 2Y]]=0,1,0)</f>
        <v>1</v>
      </c>
      <c r="P916" s="4">
        <f>IF(Table1[[#This Row],[Last value]]&gt;1.5*Table1[[#This Row],[Target]],1,0)</f>
        <v>0</v>
      </c>
      <c r="Q916" s="4">
        <f>IF(AND(1.5*Table1[[#This Row],[Target]]&gt;=Table1[[#This Row],[Last value]],Table1[[#This Row],[Last value]]&gt;Table1[[#This Row],[Target]]),1,0)</f>
        <v>0</v>
      </c>
      <c r="R916" s="4">
        <f>IF(Table1[[#This Row],[Target]]&gt;=Table1[[#This Row],[Last value]],1,0)</f>
        <v>1</v>
      </c>
      <c r="S916" s="4" t="str">
        <f>IF(P916=1, "Red", IF(Q916=1, "Yellow", "Green"))</f>
        <v>Green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 s="3">
        <v>0</v>
      </c>
      <c r="BB916" s="3">
        <v>2</v>
      </c>
      <c r="BC916">
        <v>0</v>
      </c>
      <c r="BD916">
        <v>1.8</v>
      </c>
      <c r="BE916" s="11">
        <v>0</v>
      </c>
      <c r="BF916" s="4">
        <v>1.92</v>
      </c>
      <c r="BG916" s="4">
        <v>2.23</v>
      </c>
      <c r="BH916" s="4">
        <v>0</v>
      </c>
      <c r="BI916" s="4">
        <v>1.8</v>
      </c>
      <c r="BJ916" s="13">
        <v>1.7</v>
      </c>
      <c r="BK916" s="13">
        <v>1.51</v>
      </c>
      <c r="BL916" s="4">
        <v>0</v>
      </c>
      <c r="BM916" s="16">
        <v>2.08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2.06</v>
      </c>
      <c r="BT916" s="4">
        <v>0</v>
      </c>
      <c r="BU916" s="4">
        <v>0</v>
      </c>
      <c r="BV916" s="4">
        <v>1.9</v>
      </c>
      <c r="BW916" s="4">
        <v>0</v>
      </c>
      <c r="BX916" s="4">
        <v>1.78</v>
      </c>
      <c r="BY916" s="4">
        <v>1.89</v>
      </c>
      <c r="BZ916" s="4">
        <v>0</v>
      </c>
      <c r="CA916" s="4">
        <v>0</v>
      </c>
      <c r="CB916" s="4">
        <v>2.39</v>
      </c>
      <c r="CC916" s="4">
        <v>0</v>
      </c>
      <c r="CD916" s="4">
        <v>2.19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34">
        <v>0</v>
      </c>
      <c r="CK916" s="34">
        <v>0</v>
      </c>
      <c r="CL916" s="43">
        <v>0</v>
      </c>
      <c r="CM916" s="4">
        <v>0</v>
      </c>
      <c r="CN916" s="53">
        <v>0</v>
      </c>
      <c r="CO916" s="54">
        <v>0</v>
      </c>
      <c r="CP916" s="54">
        <v>0</v>
      </c>
      <c r="CQ916" s="4">
        <v>0</v>
      </c>
    </row>
    <row r="917" spans="1:95" x14ac:dyDescent="0.35">
      <c r="A917" s="55">
        <v>916</v>
      </c>
      <c r="B917" t="s">
        <v>120</v>
      </c>
      <c r="C917" s="27" t="s">
        <v>997</v>
      </c>
      <c r="D917" s="3" t="s">
        <v>94</v>
      </c>
      <c r="E917" s="33" t="s">
        <v>89</v>
      </c>
      <c r="F917" s="4">
        <f>IFERROR(AVERAGEIF(Table1[[#This Row],[2019-Apr]:[2025-July]],"&lt;&gt;0"),0)</f>
        <v>1.9968750000000002</v>
      </c>
      <c r="G917" s="4">
        <f ca="1">IFERROR(AVERAGEIF(OFFSET(Table1[[#This Row],[Status]],0,COUNT(Table1[[#This Row],[2019-May]:[2025-July]]),1,-12),"&lt;&gt;0"),0)</f>
        <v>2.33</v>
      </c>
      <c r="H917" s="55">
        <f>IFERROR(SMALL(Table1[[#This Row],[2019-Apr]:[2025-July]],COUNTIF(Table1[[#This Row],[2019-Apr]:[2025-July]],0)+1),0)</f>
        <v>1.77</v>
      </c>
      <c r="I917" s="56">
        <f>IFERROR(MAX(Table1[[#This Row],[2019-Apr]:[2025-July]]),0)</f>
        <v>2.33</v>
      </c>
      <c r="J917" s="4" cm="1">
        <f t="array" ref="J91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1.8533333333333333</v>
      </c>
      <c r="K917" s="4">
        <v>4.5</v>
      </c>
      <c r="L917" s="4">
        <f>IF(Table1[[#This Row],[Standard as per ISO]]&gt;=Table1[[#This Row],[Avg of best 6]],Table1[[#This Row],[Standard as per ISO]],Table1[[#This Row],[Avg of best 6]])</f>
        <v>4.5</v>
      </c>
      <c r="M917" s="4" cm="1">
        <f t="array" ref="M917">IFERROR(LOOKUP(2,1/(Table1[[#This Row],[2019-May]:[2025-July]]&lt;&gt;0),Table1[[#This Row],[2019-May]:[2025-July]]),0)</f>
        <v>2.33</v>
      </c>
      <c r="N917" s="4">
        <f>COUNTIF(Table1[[#This Row],[2019-Apr]:[2025-July]],"&gt;="&amp;Table1[[#This Row],[Target]])</f>
        <v>0</v>
      </c>
      <c r="O917" s="4">
        <f>IF(Table1[[#This Row],[Outliers 2Y]]=0,1,0)</f>
        <v>1</v>
      </c>
      <c r="P917" s="4">
        <f>IF(Table1[[#This Row],[Last value]]&gt;1.5*Table1[[#This Row],[Target]],1,0)</f>
        <v>0</v>
      </c>
      <c r="Q917" s="4">
        <f>IF(AND(1.5*Table1[[#This Row],[Target]]&gt;=Table1[[#This Row],[Last value]],Table1[[#This Row],[Last value]]&gt;Table1[[#This Row],[Target]]),1,0)</f>
        <v>0</v>
      </c>
      <c r="R917" s="4">
        <f>IF(Table1[[#This Row],[Target]]&gt;=Table1[[#This Row],[Last value]],1,0)</f>
        <v>1</v>
      </c>
      <c r="S917" s="4" t="str">
        <f>IF(P917=1, "Red", IF(Q917=1, "Yellow", "Green"))</f>
        <v>Green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 s="3">
        <v>1.8</v>
      </c>
      <c r="BB917" s="3">
        <v>0</v>
      </c>
      <c r="BC917">
        <v>1.77</v>
      </c>
      <c r="BD917">
        <v>0</v>
      </c>
      <c r="BE917" s="11">
        <v>1.89</v>
      </c>
      <c r="BF917" s="4">
        <v>0</v>
      </c>
      <c r="BG917" s="4">
        <v>0</v>
      </c>
      <c r="BH917" s="4">
        <v>1.93</v>
      </c>
      <c r="BI917" s="4">
        <v>0</v>
      </c>
      <c r="BJ917" s="13">
        <v>0</v>
      </c>
      <c r="BK917" s="13">
        <v>0</v>
      </c>
      <c r="BL917" s="4">
        <v>1.93</v>
      </c>
      <c r="BM917" s="16">
        <v>0</v>
      </c>
      <c r="BN917" s="4">
        <v>2.0299999999999998</v>
      </c>
      <c r="BO917" s="4">
        <v>1.92</v>
      </c>
      <c r="BP917" s="4">
        <v>1.98</v>
      </c>
      <c r="BQ917" s="4">
        <v>1.85</v>
      </c>
      <c r="BR917" s="4">
        <v>2.16</v>
      </c>
      <c r="BS917" s="4">
        <v>0</v>
      </c>
      <c r="BT917" s="4">
        <v>1.89</v>
      </c>
      <c r="BU917" s="4">
        <v>2.23</v>
      </c>
      <c r="BV917" s="4">
        <v>0</v>
      </c>
      <c r="BW917" s="4">
        <v>2.12</v>
      </c>
      <c r="BX917" s="4">
        <v>0</v>
      </c>
      <c r="BY917" s="4">
        <v>0</v>
      </c>
      <c r="BZ917" s="4">
        <v>0</v>
      </c>
      <c r="CA917" s="4">
        <v>2.02</v>
      </c>
      <c r="CB917" s="4">
        <v>0</v>
      </c>
      <c r="CC917" s="4">
        <v>2.1</v>
      </c>
      <c r="CD917" s="4">
        <v>0</v>
      </c>
      <c r="CE917" s="4">
        <v>0</v>
      </c>
      <c r="CF917" s="4">
        <v>0</v>
      </c>
      <c r="CG917" s="4">
        <v>2.33</v>
      </c>
      <c r="CH917" s="4">
        <v>0</v>
      </c>
      <c r="CI917" s="4">
        <v>0</v>
      </c>
      <c r="CJ917" s="34">
        <v>0</v>
      </c>
      <c r="CK917" s="34">
        <v>0</v>
      </c>
      <c r="CL917" s="43">
        <v>0</v>
      </c>
      <c r="CM917" s="4">
        <v>0</v>
      </c>
      <c r="CN917" s="53">
        <v>0</v>
      </c>
      <c r="CO917" s="54">
        <v>0</v>
      </c>
      <c r="CP917" s="54">
        <v>0</v>
      </c>
      <c r="CQ917" s="4">
        <v>0</v>
      </c>
    </row>
    <row r="918" spans="1:95" x14ac:dyDescent="0.35">
      <c r="A918" s="55">
        <v>917</v>
      </c>
      <c r="B918" t="s">
        <v>120</v>
      </c>
      <c r="C918" s="27" t="s">
        <v>998</v>
      </c>
      <c r="D918" s="3" t="s">
        <v>121</v>
      </c>
      <c r="E918" s="33" t="s">
        <v>89</v>
      </c>
      <c r="F918" s="4">
        <f>IFERROR(AVERAGEIF(Table1[[#This Row],[2019-Apr]:[2025-July]],"&lt;&gt;0"),0)</f>
        <v>2.2077105263157901</v>
      </c>
      <c r="G918" s="4">
        <f ca="1">IFERROR(AVERAGEIF(OFFSET(Table1[[#This Row],[Status]],0,COUNT(Table1[[#This Row],[2019-May]:[2025-July]]),1,-12),"&lt;&gt;0"),0)</f>
        <v>2.698571428571428</v>
      </c>
      <c r="H918" s="55">
        <f>IFERROR(SMALL(Table1[[#This Row],[2019-Apr]:[2025-July]],COUNTIF(Table1[[#This Row],[2019-Apr]:[2025-July]],0)+1),0)</f>
        <v>0.4</v>
      </c>
      <c r="I918" s="56">
        <f>IFERROR(MAX(Table1[[#This Row],[2019-Apr]:[2025-July]]),0)</f>
        <v>6.7</v>
      </c>
      <c r="J918" s="4" cm="1">
        <f t="array" ref="J91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0.95050000000000001</v>
      </c>
      <c r="K918" s="4">
        <v>4.5</v>
      </c>
      <c r="L918" s="4">
        <f>IF(Table1[[#This Row],[Standard as per ISO]]&gt;=Table1[[#This Row],[Avg of best 6]],Table1[[#This Row],[Standard as per ISO]],Table1[[#This Row],[Avg of best 6]])</f>
        <v>4.5</v>
      </c>
      <c r="M918" s="4" cm="1">
        <f t="array" ref="M918">IFERROR(LOOKUP(2,1/(Table1[[#This Row],[2019-May]:[2025-July]]&lt;&gt;0),Table1[[#This Row],[2019-May]:[2025-July]]),0)</f>
        <v>1.2</v>
      </c>
      <c r="N918" s="4">
        <f>COUNTIF(Table1[[#This Row],[2019-Apr]:[2025-July]],"&gt;="&amp;Table1[[#This Row],[Target]])</f>
        <v>2</v>
      </c>
      <c r="O918" s="4">
        <f>IF(Table1[[#This Row],[Outliers 2Y]]=0,1,0)</f>
        <v>0</v>
      </c>
      <c r="P918" s="4">
        <f>IF(Table1[[#This Row],[Last value]]&gt;1.5*Table1[[#This Row],[Target]],1,0)</f>
        <v>0</v>
      </c>
      <c r="Q918" s="4">
        <f>IF(AND(1.5*Table1[[#This Row],[Target]]&gt;=Table1[[#This Row],[Last value]],Table1[[#This Row],[Last value]]&gt;Table1[[#This Row],[Target]]),1,0)</f>
        <v>0</v>
      </c>
      <c r="R918" s="4">
        <f>IF(Table1[[#This Row],[Target]]&gt;=Table1[[#This Row],[Last value]],1,0)</f>
        <v>1</v>
      </c>
      <c r="S918" s="4" t="str">
        <f t="shared" ref="S918:S924" si="25">IF(P918=1, "Red", IF(Q918=1, "Yellow", "Green"))</f>
        <v>Green</v>
      </c>
      <c r="T918">
        <v>6.7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1.5</v>
      </c>
      <c r="AA918">
        <v>2.2999999999999998</v>
      </c>
      <c r="AB918">
        <v>4.5999999999999996</v>
      </c>
      <c r="AC918">
        <v>0</v>
      </c>
      <c r="AD918">
        <v>2.7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1.83</v>
      </c>
      <c r="AN918">
        <v>0</v>
      </c>
      <c r="AO918">
        <v>1.1299999999999999</v>
      </c>
      <c r="AP918">
        <v>1</v>
      </c>
      <c r="AQ918">
        <v>0</v>
      </c>
      <c r="AR918" s="8">
        <v>0</v>
      </c>
      <c r="AS918" s="8">
        <v>3.03</v>
      </c>
      <c r="AT918" s="8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1.52</v>
      </c>
      <c r="AZ918" s="3">
        <v>0</v>
      </c>
      <c r="BA918" s="3">
        <v>0</v>
      </c>
      <c r="BB918" s="3">
        <v>0.4</v>
      </c>
      <c r="BC918" s="3">
        <v>0</v>
      </c>
      <c r="BD918">
        <v>0</v>
      </c>
      <c r="BE918" s="11">
        <v>1.274</v>
      </c>
      <c r="BF918" s="4">
        <v>0</v>
      </c>
      <c r="BG918" s="4">
        <v>1.9970000000000001</v>
      </c>
      <c r="BH918" s="4">
        <v>1.8720000000000001</v>
      </c>
      <c r="BI918" s="4">
        <v>1.7549999999999999</v>
      </c>
      <c r="BJ918" s="14">
        <v>0</v>
      </c>
      <c r="BK918" s="14">
        <v>2.661</v>
      </c>
      <c r="BL918" s="4">
        <v>1.5049999999999999</v>
      </c>
      <c r="BM918" s="17">
        <v>1.129</v>
      </c>
      <c r="BN918" s="4">
        <v>0.84399999999999997</v>
      </c>
      <c r="BO918" s="4">
        <v>1.85</v>
      </c>
      <c r="BP918" s="4">
        <v>1.85</v>
      </c>
      <c r="BQ918" s="4">
        <v>1.85</v>
      </c>
      <c r="BR918" s="4">
        <v>1.304</v>
      </c>
      <c r="BS918" s="4">
        <v>2.99</v>
      </c>
      <c r="BT918" s="4">
        <v>2.96</v>
      </c>
      <c r="BU918" s="4">
        <v>0</v>
      </c>
      <c r="BV918" s="4">
        <v>0</v>
      </c>
      <c r="BW918" s="4">
        <v>0</v>
      </c>
      <c r="BX918" s="4">
        <v>0</v>
      </c>
      <c r="BY918" s="4">
        <v>1.452</v>
      </c>
      <c r="BZ918">
        <v>0</v>
      </c>
      <c r="CA918">
        <v>2.2200000000000002</v>
      </c>
      <c r="CB918">
        <v>2.78</v>
      </c>
      <c r="CC918">
        <v>3.55</v>
      </c>
      <c r="CD918">
        <v>1.25</v>
      </c>
      <c r="CE918">
        <v>0</v>
      </c>
      <c r="CF918">
        <v>1.8</v>
      </c>
      <c r="CG918" s="4">
        <v>0</v>
      </c>
      <c r="CH918" s="4">
        <v>0</v>
      </c>
      <c r="CI918" s="4">
        <v>3.99</v>
      </c>
      <c r="CJ918" s="34">
        <v>3.9</v>
      </c>
      <c r="CK918" s="34">
        <v>2.7</v>
      </c>
      <c r="CL918" s="43">
        <v>1.2</v>
      </c>
      <c r="CM918" s="4">
        <v>0</v>
      </c>
      <c r="CN918" s="53">
        <v>0</v>
      </c>
      <c r="CO918" s="54">
        <v>3.4</v>
      </c>
      <c r="CP918" s="54">
        <v>1.9</v>
      </c>
      <c r="CQ918" s="4">
        <v>1.2</v>
      </c>
    </row>
    <row r="919" spans="1:95" x14ac:dyDescent="0.35">
      <c r="A919" s="55">
        <v>918</v>
      </c>
      <c r="B919" t="s">
        <v>120</v>
      </c>
      <c r="C919" s="27" t="s">
        <v>999</v>
      </c>
      <c r="D919" s="3" t="s">
        <v>121</v>
      </c>
      <c r="E919" s="33" t="s">
        <v>89</v>
      </c>
      <c r="F919" s="4">
        <f>IFERROR(AVERAGEIF(Table1[[#This Row],[2019-Apr]:[2025-July]],"&lt;&gt;0"),0)</f>
        <v>2.6494285714285715</v>
      </c>
      <c r="G919" s="4">
        <f ca="1">IFERROR(AVERAGEIF(OFFSET(Table1[[#This Row],[Status]],0,COUNT(Table1[[#This Row],[2019-May]:[2025-July]]),1,-12),"&lt;&gt;0"),0)</f>
        <v>2.7333333333333329</v>
      </c>
      <c r="H919" s="55">
        <f>IFERROR(SMALL(Table1[[#This Row],[2019-Apr]:[2025-July]],COUNTIF(Table1[[#This Row],[2019-Apr]:[2025-July]],0)+1),0)</f>
        <v>1.075</v>
      </c>
      <c r="I919" s="56">
        <f>IFERROR(MAX(Table1[[#This Row],[2019-Apr]:[2025-July]]),0)</f>
        <v>6.7</v>
      </c>
      <c r="J919" s="4" cm="1">
        <f t="array" ref="J91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1.2075</v>
      </c>
      <c r="K919" s="4">
        <v>4.5</v>
      </c>
      <c r="L919" s="4">
        <f>IF(Table1[[#This Row],[Standard as per ISO]]&gt;=Table1[[#This Row],[Avg of best 6]],Table1[[#This Row],[Standard as per ISO]],Table1[[#This Row],[Avg of best 6]])</f>
        <v>4.5</v>
      </c>
      <c r="M919" s="4" cm="1">
        <f t="array" ref="M919">IFERROR(LOOKUP(2,1/(Table1[[#This Row],[2019-May]:[2025-July]]&lt;&gt;0),Table1[[#This Row],[2019-May]:[2025-July]]),0)</f>
        <v>3.3</v>
      </c>
      <c r="N919" s="4">
        <f>COUNTIF(Table1[[#This Row],[2019-Apr]:[2025-July]],"&gt;="&amp;Table1[[#This Row],[Target]])</f>
        <v>2</v>
      </c>
      <c r="O919" s="4">
        <f>IF(Table1[[#This Row],[Outliers 2Y]]=0,1,0)</f>
        <v>0</v>
      </c>
      <c r="P919" s="4">
        <f>IF(Table1[[#This Row],[Last value]]&gt;1.5*Table1[[#This Row],[Target]],1,0)</f>
        <v>0</v>
      </c>
      <c r="Q919" s="4">
        <f>IF(AND(1.5*Table1[[#This Row],[Target]]&gt;=Table1[[#This Row],[Last value]],Table1[[#This Row],[Last value]]&gt;Table1[[#This Row],[Target]]),1,0)</f>
        <v>0</v>
      </c>
      <c r="R919" s="4">
        <f>IF(Table1[[#This Row],[Target]]&gt;=Table1[[#This Row],[Last value]],1,0)</f>
        <v>1</v>
      </c>
      <c r="S919" s="4" t="str">
        <f t="shared" si="25"/>
        <v>Green</v>
      </c>
      <c r="T919">
        <v>6.7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2.66</v>
      </c>
      <c r="AB919">
        <v>4.0999999999999996</v>
      </c>
      <c r="AC919">
        <v>2.92</v>
      </c>
      <c r="AD919">
        <v>0</v>
      </c>
      <c r="AE919">
        <v>2.2999999999999998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1.1000000000000001</v>
      </c>
      <c r="AP919">
        <v>0</v>
      </c>
      <c r="AQ919">
        <v>1.33</v>
      </c>
      <c r="AR919" s="8">
        <v>1.73</v>
      </c>
      <c r="AS919" s="8">
        <v>0</v>
      </c>
      <c r="AT919" s="8">
        <v>1.5</v>
      </c>
      <c r="AU919" s="3">
        <v>0</v>
      </c>
      <c r="AV919" s="3">
        <v>2</v>
      </c>
      <c r="AW919" s="3">
        <v>3.06</v>
      </c>
      <c r="AX919" s="3">
        <v>1.41</v>
      </c>
      <c r="AY919" s="3">
        <v>0</v>
      </c>
      <c r="AZ919" s="3">
        <v>2.2000000000000002</v>
      </c>
      <c r="BA919" s="3">
        <v>2.5</v>
      </c>
      <c r="BB919" s="3">
        <v>0</v>
      </c>
      <c r="BC919" s="3">
        <v>0</v>
      </c>
      <c r="BD919">
        <v>0</v>
      </c>
      <c r="BE919" s="11">
        <v>3.863</v>
      </c>
      <c r="BF919" s="4">
        <v>0</v>
      </c>
      <c r="BG919" s="4">
        <v>3.484</v>
      </c>
      <c r="BH919" s="4">
        <v>4.6900000000000004</v>
      </c>
      <c r="BI919" s="4">
        <v>2.0990000000000002</v>
      </c>
      <c r="BJ919" s="13">
        <v>1.48</v>
      </c>
      <c r="BK919" s="13">
        <v>0</v>
      </c>
      <c r="BL919" s="4">
        <v>3.0979999999999999</v>
      </c>
      <c r="BM919" s="16">
        <v>3.2589999999999999</v>
      </c>
      <c r="BN919" s="4">
        <v>1.411</v>
      </c>
      <c r="BO919" s="4">
        <v>2.202</v>
      </c>
      <c r="BP919" s="4">
        <v>0</v>
      </c>
      <c r="BQ919" s="4">
        <v>2.202</v>
      </c>
      <c r="BR919" s="4">
        <v>3.1539999999999999</v>
      </c>
      <c r="BS919" s="4">
        <v>3.6789999999999998</v>
      </c>
      <c r="BT919" s="4">
        <v>2.9260000000000002</v>
      </c>
      <c r="BU919" s="4">
        <v>4.0339999999999998</v>
      </c>
      <c r="BV919" s="4">
        <v>0</v>
      </c>
      <c r="BW919" s="4">
        <v>3.7759999999999998</v>
      </c>
      <c r="BX919" s="4">
        <v>1.075</v>
      </c>
      <c r="BY919" s="4">
        <v>3.8140000000000001</v>
      </c>
      <c r="BZ919">
        <v>0</v>
      </c>
      <c r="CA919">
        <v>1.42</v>
      </c>
      <c r="CB919">
        <v>1.34</v>
      </c>
      <c r="CC919">
        <v>1.34</v>
      </c>
      <c r="CD919">
        <v>1.72</v>
      </c>
      <c r="CE919">
        <v>0</v>
      </c>
      <c r="CF919">
        <v>1.3</v>
      </c>
      <c r="CG919" s="4">
        <v>0</v>
      </c>
      <c r="CH919" s="4">
        <v>0</v>
      </c>
      <c r="CI919" s="4">
        <v>1.1000000000000001</v>
      </c>
      <c r="CJ919" s="34">
        <v>0</v>
      </c>
      <c r="CK919" s="34">
        <v>3.8</v>
      </c>
      <c r="CL919" s="43">
        <v>3.3</v>
      </c>
      <c r="CM919" s="4">
        <v>0</v>
      </c>
      <c r="CN919" s="53">
        <v>0</v>
      </c>
      <c r="CO919" s="54">
        <v>3.5</v>
      </c>
      <c r="CP919" s="54">
        <v>3.4</v>
      </c>
      <c r="CQ919" s="4">
        <v>3.3</v>
      </c>
    </row>
    <row r="920" spans="1:95" x14ac:dyDescent="0.35">
      <c r="A920" s="55">
        <v>919</v>
      </c>
      <c r="B920" t="s">
        <v>120</v>
      </c>
      <c r="C920" s="27" t="s">
        <v>1000</v>
      </c>
      <c r="D920" s="3" t="s">
        <v>94</v>
      </c>
      <c r="E920" s="33" t="s">
        <v>91</v>
      </c>
      <c r="F920" s="4">
        <f>IFERROR(AVERAGEIF(Table1[[#This Row],[2019-Apr]:[2025-July]],"&lt;&gt;0"),0)</f>
        <v>3.5982272727272719</v>
      </c>
      <c r="G920" s="4">
        <f ca="1">IFERROR(AVERAGEIF(OFFSET(Table1[[#This Row],[Status]],0,COUNT(Table1[[#This Row],[2019-May]:[2025-July]]),1,-12),"&lt;&gt;0"),0)</f>
        <v>1.5</v>
      </c>
      <c r="H920" s="55">
        <f>IFERROR(SMALL(Table1[[#This Row],[2019-Apr]:[2025-July]],COUNTIF(Table1[[#This Row],[2019-Apr]:[2025-July]],0)+1),0)</f>
        <v>1.107</v>
      </c>
      <c r="I920" s="56">
        <f>IFERROR(MAX(Table1[[#This Row],[2019-Apr]:[2025-July]]),0)</f>
        <v>7.2</v>
      </c>
      <c r="J920" s="4" cm="1">
        <f t="array" ref="J92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1.8225000000000005</v>
      </c>
      <c r="K920" s="4">
        <v>4.5</v>
      </c>
      <c r="L920" s="4">
        <f>IF(Table1[[#This Row],[Standard as per ISO]]&gt;=Table1[[#This Row],[Avg of best 6]],Table1[[#This Row],[Standard as per ISO]],Table1[[#This Row],[Avg of best 6]])</f>
        <v>4.5</v>
      </c>
      <c r="M920" s="4" cm="1">
        <f t="array" ref="M920">IFERROR(LOOKUP(2,1/(Table1[[#This Row],[2019-May]:[2025-July]]&lt;&gt;0),Table1[[#This Row],[2019-May]:[2025-July]]),0)</f>
        <v>1.5</v>
      </c>
      <c r="N920" s="4">
        <f>COUNTIF(Table1[[#This Row],[2019-Apr]:[2025-July]],"&gt;="&amp;Table1[[#This Row],[Target]])</f>
        <v>7</v>
      </c>
      <c r="O920" s="4">
        <f>IF(Table1[[#This Row],[Outliers 2Y]]=0,1,0)</f>
        <v>0</v>
      </c>
      <c r="P920" s="4">
        <f>IF(Table1[[#This Row],[Last value]]&gt;1.5*Table1[[#This Row],[Target]],1,0)</f>
        <v>0</v>
      </c>
      <c r="Q920" s="4">
        <f>IF(AND(1.5*Table1[[#This Row],[Target]]&gt;=Table1[[#This Row],[Last value]],Table1[[#This Row],[Last value]]&gt;Table1[[#This Row],[Target]]),1,0)</f>
        <v>0</v>
      </c>
      <c r="R920" s="4">
        <f>IF(Table1[[#This Row],[Target]]&gt;=Table1[[#This Row],[Last value]],1,0)</f>
        <v>1</v>
      </c>
      <c r="S920" s="4" t="str">
        <f t="shared" si="25"/>
        <v>Green</v>
      </c>
      <c r="T920">
        <v>6.7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4.8</v>
      </c>
      <c r="AA920">
        <v>3.6</v>
      </c>
      <c r="AB920">
        <v>3.8</v>
      </c>
      <c r="AC920">
        <v>0</v>
      </c>
      <c r="AD920">
        <v>5.9</v>
      </c>
      <c r="AE920">
        <v>7.2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5.68</v>
      </c>
      <c r="AN920">
        <v>0</v>
      </c>
      <c r="AO920">
        <v>5.4</v>
      </c>
      <c r="AP920">
        <v>4.4000000000000004</v>
      </c>
      <c r="AQ920">
        <v>5.04</v>
      </c>
      <c r="AR920" s="8">
        <v>0</v>
      </c>
      <c r="AS920" s="8">
        <v>3.61</v>
      </c>
      <c r="AT920" s="8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2.5</v>
      </c>
      <c r="BA920" s="3">
        <v>0</v>
      </c>
      <c r="BB920" s="3">
        <v>2.2999999999999998</v>
      </c>
      <c r="BC920">
        <v>2.2000000000000002</v>
      </c>
      <c r="BD920">
        <v>0</v>
      </c>
      <c r="BE920" s="11">
        <v>2.6240000000000001</v>
      </c>
      <c r="BF920" s="4">
        <v>2.3420000000000001</v>
      </c>
      <c r="BG920" s="4">
        <v>2.327</v>
      </c>
      <c r="BH920" s="4">
        <v>2.1579999999999999</v>
      </c>
      <c r="BI920" s="4">
        <v>2.3029999999999999</v>
      </c>
      <c r="BJ920" s="14">
        <v>0</v>
      </c>
      <c r="BK920" s="14">
        <v>0</v>
      </c>
      <c r="BL920" s="4">
        <v>0</v>
      </c>
      <c r="BM920" s="17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1.107</v>
      </c>
      <c r="BY920" s="4">
        <v>0</v>
      </c>
      <c r="BZ920">
        <v>0</v>
      </c>
      <c r="CA920">
        <v>0</v>
      </c>
      <c r="CB920">
        <v>0</v>
      </c>
      <c r="CC920">
        <v>0</v>
      </c>
      <c r="CD920">
        <v>1.67</v>
      </c>
      <c r="CE920">
        <v>0</v>
      </c>
      <c r="CF920">
        <v>1.5</v>
      </c>
      <c r="CG920" s="4">
        <v>0</v>
      </c>
      <c r="CH920" s="4">
        <v>0</v>
      </c>
      <c r="CI920" s="4">
        <v>0</v>
      </c>
      <c r="CJ920" s="34">
        <v>0</v>
      </c>
      <c r="CK920" s="34">
        <v>0</v>
      </c>
      <c r="CL920" s="34">
        <v>0</v>
      </c>
      <c r="CM920" s="4">
        <v>0</v>
      </c>
      <c r="CN920" s="53">
        <v>0</v>
      </c>
      <c r="CO920" s="54">
        <v>0</v>
      </c>
      <c r="CP920" s="54">
        <v>0</v>
      </c>
      <c r="CQ920" s="4">
        <v>0</v>
      </c>
    </row>
    <row r="921" spans="1:95" x14ac:dyDescent="0.35">
      <c r="A921" s="55">
        <v>920</v>
      </c>
      <c r="B921" t="s">
        <v>120</v>
      </c>
      <c r="C921" s="27" t="s">
        <v>1001</v>
      </c>
      <c r="D921" s="3" t="s">
        <v>94</v>
      </c>
      <c r="E921" s="33" t="s">
        <v>91</v>
      </c>
      <c r="F921" s="4">
        <f>IFERROR(AVERAGEIF(Table1[[#This Row],[2019-Apr]:[2025-July]],"&lt;&gt;0"),0)</f>
        <v>6.4950416666666664</v>
      </c>
      <c r="G921" s="4">
        <f ca="1">IFERROR(AVERAGEIF(OFFSET(Table1[[#This Row],[Status]],0,COUNT(Table1[[#This Row],[2019-May]:[2025-July]]),1,-12),"&lt;&gt;0"),0)</f>
        <v>4.9000000000000004</v>
      </c>
      <c r="H921" s="55">
        <f>IFERROR(SMALL(Table1[[#This Row],[2019-Apr]:[2025-July]],COUNTIF(Table1[[#This Row],[2019-Apr]:[2025-July]],0)+1),0)</f>
        <v>2.31</v>
      </c>
      <c r="I921" s="56">
        <f>IFERROR(MAX(Table1[[#This Row],[2019-Apr]:[2025-July]]),0)</f>
        <v>12.4</v>
      </c>
      <c r="J921" s="4" cm="1">
        <f t="array" ref="J92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4.0049999999999999</v>
      </c>
      <c r="K921" s="4">
        <v>4.5</v>
      </c>
      <c r="L921" s="4">
        <f>IF(Table1[[#This Row],[Standard as per ISO]]&gt;=Table1[[#This Row],[Avg of best 6]],Table1[[#This Row],[Standard as per ISO]],Table1[[#This Row],[Avg of best 6]])</f>
        <v>4.5</v>
      </c>
      <c r="M921" s="4" cm="1">
        <f t="array" ref="M921">IFERROR(LOOKUP(2,1/(Table1[[#This Row],[2019-May]:[2025-July]]&lt;&gt;0),Table1[[#This Row],[2019-May]:[2025-July]]),0)</f>
        <v>4.9000000000000004</v>
      </c>
      <c r="N921" s="4">
        <f>COUNTIF(Table1[[#This Row],[2019-Apr]:[2025-July]],"&gt;="&amp;Table1[[#This Row],[Target]])</f>
        <v>20</v>
      </c>
      <c r="O921" s="4">
        <f>IF(Table1[[#This Row],[Outliers 2Y]]=0,1,0)</f>
        <v>0</v>
      </c>
      <c r="P921" s="4">
        <f>IF(Table1[[#This Row],[Last value]]&gt;1.5*Table1[[#This Row],[Target]],1,0)</f>
        <v>0</v>
      </c>
      <c r="Q921" s="4">
        <f>IF(AND(1.5*Table1[[#This Row],[Target]]&gt;=Table1[[#This Row],[Last value]],Table1[[#This Row],[Last value]]&gt;Table1[[#This Row],[Target]]),1,0)</f>
        <v>1</v>
      </c>
      <c r="R921" s="4">
        <f>IF(Table1[[#This Row],[Target]]&gt;=Table1[[#This Row],[Last value]],1,0)</f>
        <v>0</v>
      </c>
      <c r="S921" s="4" t="str">
        <f t="shared" si="25"/>
        <v>Yellow</v>
      </c>
      <c r="T921">
        <v>6.7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7.2</v>
      </c>
      <c r="AA921">
        <v>4.7</v>
      </c>
      <c r="AB921">
        <v>4.4000000000000004</v>
      </c>
      <c r="AC921">
        <v>7.43</v>
      </c>
      <c r="AD921">
        <v>0</v>
      </c>
      <c r="AE921">
        <v>7.95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 s="8">
        <v>4.82</v>
      </c>
      <c r="AS921" s="8">
        <v>0</v>
      </c>
      <c r="AT921" s="8">
        <v>4.92</v>
      </c>
      <c r="AU921" s="3">
        <v>0</v>
      </c>
      <c r="AV921" s="3">
        <v>8.06</v>
      </c>
      <c r="AW921" s="3">
        <v>9.27</v>
      </c>
      <c r="AX921" s="3">
        <v>6.64</v>
      </c>
      <c r="AY921" s="3">
        <v>5.23</v>
      </c>
      <c r="AZ921" s="3">
        <v>12.4</v>
      </c>
      <c r="BA921" s="3">
        <v>3.5</v>
      </c>
      <c r="BB921" s="3">
        <v>5.6</v>
      </c>
      <c r="BC921">
        <v>4.3</v>
      </c>
      <c r="BD921">
        <v>0</v>
      </c>
      <c r="BE921" s="11">
        <v>8.0830000000000002</v>
      </c>
      <c r="BF921" s="4">
        <v>8.1750000000000007</v>
      </c>
      <c r="BG921" s="4">
        <v>7.399</v>
      </c>
      <c r="BH921" s="4">
        <v>6.1719999999999997</v>
      </c>
      <c r="BI921" s="4">
        <v>7.5810000000000004</v>
      </c>
      <c r="BJ921" s="13">
        <v>0</v>
      </c>
      <c r="BK921" s="13">
        <v>0</v>
      </c>
      <c r="BL921" s="4">
        <v>0</v>
      </c>
      <c r="BM921" s="16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8.141</v>
      </c>
      <c r="BV921" s="4">
        <v>0</v>
      </c>
      <c r="BW921" s="4">
        <v>0</v>
      </c>
      <c r="BX921" s="4">
        <v>0</v>
      </c>
      <c r="BY921" s="4">
        <v>0</v>
      </c>
      <c r="BZ921">
        <v>0</v>
      </c>
      <c r="CA921">
        <v>0</v>
      </c>
      <c r="CB921">
        <v>0</v>
      </c>
      <c r="CC921">
        <v>0</v>
      </c>
      <c r="CD921">
        <v>2.31</v>
      </c>
      <c r="CE921">
        <v>0</v>
      </c>
      <c r="CF921">
        <v>4.9000000000000004</v>
      </c>
      <c r="CG921" s="4">
        <v>0</v>
      </c>
      <c r="CH921" s="4">
        <v>0</v>
      </c>
      <c r="CI921" s="4">
        <v>0</v>
      </c>
      <c r="CJ921" s="34">
        <v>0</v>
      </c>
      <c r="CK921" s="34">
        <v>0</v>
      </c>
      <c r="CL921" s="34">
        <v>0</v>
      </c>
      <c r="CM921" s="4">
        <v>0</v>
      </c>
      <c r="CN921" s="53">
        <v>0</v>
      </c>
      <c r="CO921" s="54">
        <v>0</v>
      </c>
      <c r="CP921" s="54">
        <v>0</v>
      </c>
      <c r="CQ921" s="4">
        <v>0</v>
      </c>
    </row>
    <row r="922" spans="1:95" x14ac:dyDescent="0.35">
      <c r="A922" s="55">
        <v>921</v>
      </c>
      <c r="B922" t="s">
        <v>120</v>
      </c>
      <c r="C922" s="27" t="s">
        <v>1002</v>
      </c>
      <c r="D922" s="3" t="s">
        <v>94</v>
      </c>
      <c r="E922" s="33" t="s">
        <v>89</v>
      </c>
      <c r="F922" s="4">
        <f>IFERROR(AVERAGEIF(Table1[[#This Row],[2019-Apr]:[2025-July]],"&lt;&gt;0"),0)</f>
        <v>7.0598000000000001</v>
      </c>
      <c r="G922" s="4">
        <f ca="1">IFERROR(AVERAGEIF(OFFSET(Table1[[#This Row],[Status]],0,COUNT(Table1[[#This Row],[2019-May]:[2025-July]]),1,-12),"&lt;&gt;0"),0)</f>
        <v>8.2799999999999994</v>
      </c>
      <c r="H922" s="55">
        <f>IFERROR(SMALL(Table1[[#This Row],[2019-Apr]:[2025-July]],COUNTIF(Table1[[#This Row],[2019-Apr]:[2025-July]],0)+1),0)</f>
        <v>6.2649999999999997</v>
      </c>
      <c r="I922" s="56">
        <f>IFERROR(MAX(Table1[[#This Row],[2019-Apr]:[2025-July]]),0)</f>
        <v>8.36</v>
      </c>
      <c r="J922" s="4" cm="1">
        <f t="array" ref="J92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6.575166666666667</v>
      </c>
      <c r="K922" s="4">
        <v>4.5</v>
      </c>
      <c r="L922" s="4">
        <f>IF(Table1[[#This Row],[Standard as per ISO]]&gt;=Table1[[#This Row],[Avg of best 6]],Table1[[#This Row],[Standard as per ISO]],Table1[[#This Row],[Avg of best 6]])</f>
        <v>6.575166666666667</v>
      </c>
      <c r="M922" s="4" cm="1">
        <f t="array" ref="M922">IFERROR(LOOKUP(2,1/(Table1[[#This Row],[2019-May]:[2025-July]]&lt;&gt;0),Table1[[#This Row],[2019-May]:[2025-July]]),0)</f>
        <v>8.2799999999999994</v>
      </c>
      <c r="N922" s="4">
        <f>COUNTIF(Table1[[#This Row],[2019-Apr]:[2025-July]],"&gt;="&amp;Table1[[#This Row],[Target]])</f>
        <v>6</v>
      </c>
      <c r="O922" s="4">
        <f>IF(Table1[[#This Row],[Outliers 2Y]]=0,1,0)</f>
        <v>0</v>
      </c>
      <c r="P922" s="4">
        <f>IF(Table1[[#This Row],[Last value]]&gt;1.5*Table1[[#This Row],[Target]],1,0)</f>
        <v>0</v>
      </c>
      <c r="Q922" s="4">
        <f>IF(AND(1.5*Table1[[#This Row],[Target]]&gt;=Table1[[#This Row],[Last value]],Table1[[#This Row],[Last value]]&gt;Table1[[#This Row],[Target]]),1,0)</f>
        <v>1</v>
      </c>
      <c r="R922" s="4">
        <f>IF(Table1[[#This Row],[Target]]&gt;=Table1[[#This Row],[Last value]],1,0)</f>
        <v>0</v>
      </c>
      <c r="S922" s="4" t="str">
        <f>IF(P922=1, "Red", IF(Q922=1, "Yellow", "Green"))</f>
        <v>Yellow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 s="8">
        <v>0</v>
      </c>
      <c r="AS922" s="8">
        <v>0</v>
      </c>
      <c r="AT922" s="8">
        <v>0</v>
      </c>
      <c r="AU922" s="3">
        <v>8.36</v>
      </c>
      <c r="AV922" s="3">
        <v>6.44</v>
      </c>
      <c r="AW922" s="3">
        <v>7.2</v>
      </c>
      <c r="AX922" s="3">
        <v>6.87</v>
      </c>
      <c r="AY922" s="3">
        <v>0</v>
      </c>
      <c r="AZ922" s="3">
        <v>6.4</v>
      </c>
      <c r="BA922" s="3">
        <v>7.1</v>
      </c>
      <c r="BB922" s="3">
        <v>0</v>
      </c>
      <c r="BC922" s="3">
        <v>0</v>
      </c>
      <c r="BD922">
        <v>0</v>
      </c>
      <c r="BE922" s="11">
        <v>0</v>
      </c>
      <c r="BF922" s="4">
        <v>7.3070000000000004</v>
      </c>
      <c r="BG922" s="4">
        <v>0</v>
      </c>
      <c r="BH922" s="4">
        <v>0</v>
      </c>
      <c r="BI922" s="4">
        <v>6.3760000000000003</v>
      </c>
      <c r="BJ922" s="13">
        <v>0</v>
      </c>
      <c r="BK922" s="13">
        <v>0</v>
      </c>
      <c r="BL922" s="4">
        <v>0</v>
      </c>
      <c r="BM922" s="16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6.2649999999999997</v>
      </c>
      <c r="BY922" s="4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 s="4">
        <v>8.2799999999999994</v>
      </c>
      <c r="CH922" s="4">
        <v>0</v>
      </c>
      <c r="CI922" s="4">
        <v>0</v>
      </c>
      <c r="CJ922" s="34">
        <v>0</v>
      </c>
      <c r="CK922" s="34">
        <v>0</v>
      </c>
      <c r="CL922" s="43">
        <v>0</v>
      </c>
      <c r="CM922" s="4">
        <v>0</v>
      </c>
      <c r="CN922" s="53">
        <v>0</v>
      </c>
      <c r="CO922" s="54">
        <v>0</v>
      </c>
      <c r="CP922" s="54">
        <v>0</v>
      </c>
      <c r="CQ922" s="4">
        <v>0</v>
      </c>
    </row>
    <row r="923" spans="1:95" x14ac:dyDescent="0.35">
      <c r="A923" s="55">
        <v>922</v>
      </c>
      <c r="B923" t="s">
        <v>120</v>
      </c>
      <c r="C923" s="27" t="s">
        <v>1003</v>
      </c>
      <c r="D923" s="3" t="s">
        <v>94</v>
      </c>
      <c r="E923" s="33" t="s">
        <v>89</v>
      </c>
      <c r="F923" s="4">
        <f>IFERROR(AVERAGEIF(Table1[[#This Row],[2019-Apr]:[2025-July]],"&lt;&gt;0"),0)</f>
        <v>6.6662500000000007</v>
      </c>
      <c r="G923" s="4">
        <f ca="1">IFERROR(AVERAGEIF(OFFSET(Table1[[#This Row],[Status]],0,COUNT(Table1[[#This Row],[2019-May]:[2025-July]]),1,-12),"&lt;&gt;0"),0)</f>
        <v>9.76</v>
      </c>
      <c r="H923" s="55">
        <f>IFERROR(SMALL(Table1[[#This Row],[2019-Apr]:[2025-July]],COUNTIF(Table1[[#This Row],[2019-Apr]:[2025-July]],0)+1),0)</f>
        <v>4.76</v>
      </c>
      <c r="I923" s="56">
        <f>IFERROR(MAX(Table1[[#This Row],[2019-Apr]:[2025-July]]),0)</f>
        <v>11.02</v>
      </c>
      <c r="J923" s="4" cm="1">
        <f t="array" ref="J92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5.3646666666666674</v>
      </c>
      <c r="K923" s="4">
        <v>4.5</v>
      </c>
      <c r="L923" s="4">
        <f>IF(Table1[[#This Row],[Standard as per ISO]]&gt;=Table1[[#This Row],[Avg of best 6]],Table1[[#This Row],[Standard as per ISO]],Table1[[#This Row],[Avg of best 6]])</f>
        <v>5.3646666666666674</v>
      </c>
      <c r="M923" s="4" cm="1">
        <f t="array" ref="M923">IFERROR(LOOKUP(2,1/(Table1[[#This Row],[2019-May]:[2025-July]]&lt;&gt;0),Table1[[#This Row],[2019-May]:[2025-July]]),0)</f>
        <v>9.76</v>
      </c>
      <c r="N923" s="4">
        <f>COUNTIF(Table1[[#This Row],[2019-Apr]:[2025-July]],"&gt;="&amp;Table1[[#This Row],[Target]])</f>
        <v>9</v>
      </c>
      <c r="O923" s="4">
        <f>IF(Table1[[#This Row],[Outliers 2Y]]=0,1,0)</f>
        <v>0</v>
      </c>
      <c r="P923" s="4">
        <f>IF(Table1[[#This Row],[Last value]]&gt;1.5*Table1[[#This Row],[Target]],1,0)</f>
        <v>1</v>
      </c>
      <c r="Q923" s="4">
        <f>IF(AND(1.5*Table1[[#This Row],[Target]]&gt;=Table1[[#This Row],[Last value]],Table1[[#This Row],[Last value]]&gt;Table1[[#This Row],[Target]]),1,0)</f>
        <v>0</v>
      </c>
      <c r="R923" s="4">
        <f>IF(Table1[[#This Row],[Target]]&gt;=Table1[[#This Row],[Last value]],1,0)</f>
        <v>0</v>
      </c>
      <c r="S923" s="4" t="str">
        <f>IF(P923=1, "Red", IF(Q923=1, "Yellow", "Green"))</f>
        <v>Red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5.64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6.02</v>
      </c>
      <c r="AN923">
        <v>4.76</v>
      </c>
      <c r="AO923">
        <v>5.77</v>
      </c>
      <c r="AP923">
        <v>5.3</v>
      </c>
      <c r="AQ923">
        <v>8.32</v>
      </c>
      <c r="AR923" s="8">
        <v>0</v>
      </c>
      <c r="AS923" s="8">
        <v>0</v>
      </c>
      <c r="AT923" s="8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5.63</v>
      </c>
      <c r="AZ923" s="3">
        <v>0</v>
      </c>
      <c r="BA923" s="3">
        <v>6.4</v>
      </c>
      <c r="BB923" s="3">
        <v>0</v>
      </c>
      <c r="BC923" s="3">
        <v>0</v>
      </c>
      <c r="BD923">
        <v>0</v>
      </c>
      <c r="BE923" s="11">
        <v>6.2869999999999999</v>
      </c>
      <c r="BF923" s="4">
        <v>0</v>
      </c>
      <c r="BG923" s="4">
        <v>5.0880000000000001</v>
      </c>
      <c r="BH923" s="4">
        <v>0</v>
      </c>
      <c r="BI923" s="4">
        <v>0</v>
      </c>
      <c r="BJ923" s="13">
        <v>0</v>
      </c>
      <c r="BK923" s="13">
        <v>0</v>
      </c>
      <c r="BL923" s="4">
        <v>0</v>
      </c>
      <c r="BM923" s="16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11.02</v>
      </c>
      <c r="BV923" s="4">
        <v>0</v>
      </c>
      <c r="BW923" s="4">
        <v>0</v>
      </c>
      <c r="BX923" s="4">
        <v>0</v>
      </c>
      <c r="BY923" s="4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 s="4">
        <v>9.76</v>
      </c>
      <c r="CH923" s="4">
        <v>0</v>
      </c>
      <c r="CI923" s="4">
        <v>0</v>
      </c>
      <c r="CJ923" s="34">
        <v>0</v>
      </c>
      <c r="CK923" s="34">
        <v>0</v>
      </c>
      <c r="CL923" s="43">
        <v>0</v>
      </c>
      <c r="CM923" s="4">
        <v>0</v>
      </c>
      <c r="CN923" s="53">
        <v>0</v>
      </c>
      <c r="CO923" s="54">
        <v>0</v>
      </c>
      <c r="CP923" s="54">
        <v>0</v>
      </c>
      <c r="CQ923" s="4">
        <v>0</v>
      </c>
    </row>
    <row r="924" spans="1:95" x14ac:dyDescent="0.35">
      <c r="A924" s="55">
        <v>923</v>
      </c>
      <c r="B924" t="s">
        <v>120</v>
      </c>
      <c r="C924" s="27" t="s">
        <v>1004</v>
      </c>
      <c r="D924" s="3" t="s">
        <v>93</v>
      </c>
      <c r="E924" s="33" t="s">
        <v>89</v>
      </c>
      <c r="F924" s="4">
        <f>IFERROR(AVERAGEIF(Table1[[#This Row],[2019-Apr]:[2025-July]],"&lt;&gt;0"),0)</f>
        <v>4.2812222222222225</v>
      </c>
      <c r="G924" s="4">
        <f ca="1">IFERROR(AVERAGEIF(OFFSET(Table1[[#This Row],[Status]],0,COUNT(Table1[[#This Row],[2019-May]:[2025-July]]),1,-12),"&lt;&gt;0"),0)</f>
        <v>3.7</v>
      </c>
      <c r="H924" s="55">
        <f>IFERROR(SMALL(Table1[[#This Row],[2019-Apr]:[2025-July]],COUNTIF(Table1[[#This Row],[2019-Apr]:[2025-July]],0)+1),0)</f>
        <v>2.23</v>
      </c>
      <c r="I924" s="56">
        <f>IFERROR(MAX(Table1[[#This Row],[2019-Apr]:[2025-July]]),0)</f>
        <v>8.1199999999999992</v>
      </c>
      <c r="J924" s="4" cm="1">
        <f t="array" ref="J92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2.3766666666666665</v>
      </c>
      <c r="K924" s="4">
        <v>4.5</v>
      </c>
      <c r="L924" s="4">
        <f>IF(Table1[[#This Row],[Standard as per ISO]]&gt;=Table1[[#This Row],[Avg of best 6]],Table1[[#This Row],[Standard as per ISO]],Table1[[#This Row],[Avg of best 6]])</f>
        <v>4.5</v>
      </c>
      <c r="M924" s="4" cm="1">
        <f t="array" ref="M924">IFERROR(LOOKUP(2,1/(Table1[[#This Row],[2019-May]:[2025-July]]&lt;&gt;0),Table1[[#This Row],[2019-May]:[2025-July]]),0)</f>
        <v>4.4000000000000004</v>
      </c>
      <c r="N924" s="4">
        <f>COUNTIF(Table1[[#This Row],[2019-Apr]:[2025-July]],"&gt;="&amp;Table1[[#This Row],[Target]])</f>
        <v>9</v>
      </c>
      <c r="O924" s="4">
        <f>IF(Table1[[#This Row],[Outliers 2Y]]=0,1,0)</f>
        <v>0</v>
      </c>
      <c r="P924" s="4">
        <f>IF(Table1[[#This Row],[Last value]]&gt;1.5*Table1[[#This Row],[Target]],1,0)</f>
        <v>0</v>
      </c>
      <c r="Q924" s="4">
        <f>IF(AND(1.5*Table1[[#This Row],[Target]]&gt;=Table1[[#This Row],[Last value]],Table1[[#This Row],[Last value]]&gt;Table1[[#This Row],[Target]]),1,0)</f>
        <v>0</v>
      </c>
      <c r="R924" s="4">
        <f>IF(Table1[[#This Row],[Target]]&gt;=Table1[[#This Row],[Last value]],1,0)</f>
        <v>1</v>
      </c>
      <c r="S924" s="4" t="str">
        <f t="shared" si="25"/>
        <v>Green</v>
      </c>
      <c r="T924">
        <v>2.2999999999999998</v>
      </c>
      <c r="U924">
        <v>3.2</v>
      </c>
      <c r="V924">
        <v>4.07</v>
      </c>
      <c r="W924">
        <v>3.8</v>
      </c>
      <c r="X924">
        <v>0</v>
      </c>
      <c r="Y924">
        <v>6.94</v>
      </c>
      <c r="Z924">
        <v>2.4</v>
      </c>
      <c r="AA924">
        <v>0</v>
      </c>
      <c r="AB924">
        <v>2.2999999999999998</v>
      </c>
      <c r="AC924">
        <v>2.8</v>
      </c>
      <c r="AD924">
        <v>2.4</v>
      </c>
      <c r="AE924">
        <v>2.2999999999999998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8.1199999999999992</v>
      </c>
      <c r="AN924">
        <v>0</v>
      </c>
      <c r="AO924">
        <v>2.63</v>
      </c>
      <c r="AP924">
        <v>0</v>
      </c>
      <c r="AQ924">
        <v>7.44</v>
      </c>
      <c r="AR924" s="8">
        <v>2.23</v>
      </c>
      <c r="AS924" s="8">
        <v>0</v>
      </c>
      <c r="AT924" s="8">
        <v>6</v>
      </c>
      <c r="AU924" s="3">
        <v>7.12</v>
      </c>
      <c r="AV924" s="3">
        <v>4.8499999999999996</v>
      </c>
      <c r="AW924" s="3">
        <v>5.51</v>
      </c>
      <c r="AX924" s="3">
        <v>4.55</v>
      </c>
      <c r="AY924" s="3">
        <v>0</v>
      </c>
      <c r="AZ924" s="3">
        <v>0</v>
      </c>
      <c r="BA924" s="3">
        <v>0</v>
      </c>
      <c r="BB924" s="3">
        <v>0</v>
      </c>
      <c r="BC924">
        <v>6.9</v>
      </c>
      <c r="BD924">
        <v>0</v>
      </c>
      <c r="BE924" s="11">
        <v>3.7749999999999999</v>
      </c>
      <c r="BF924" s="4">
        <v>0</v>
      </c>
      <c r="BG924" s="4">
        <v>4.0519999999999996</v>
      </c>
      <c r="BH924" s="4">
        <v>0</v>
      </c>
      <c r="BI924" s="4">
        <v>0</v>
      </c>
      <c r="BJ924" s="14">
        <v>4.0860000000000003</v>
      </c>
      <c r="BK924" s="14">
        <v>0</v>
      </c>
      <c r="BL924" s="4">
        <v>0</v>
      </c>
      <c r="BM924" s="17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4.0679999999999996</v>
      </c>
      <c r="BS924" s="4">
        <v>0</v>
      </c>
      <c r="BT924" s="4">
        <v>0</v>
      </c>
      <c r="BU924" s="4">
        <v>0</v>
      </c>
      <c r="BV924" s="4">
        <v>0</v>
      </c>
      <c r="BW924" s="4">
        <v>3.6520000000000001</v>
      </c>
      <c r="BX924" s="4">
        <v>0</v>
      </c>
      <c r="BY924" s="4">
        <v>0</v>
      </c>
      <c r="BZ924" s="18">
        <v>0</v>
      </c>
      <c r="CA924" s="18">
        <v>0</v>
      </c>
      <c r="CB924">
        <v>0</v>
      </c>
      <c r="CC924" s="18">
        <v>0</v>
      </c>
      <c r="CD92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34">
        <v>3.7</v>
      </c>
      <c r="CK924" s="34">
        <v>0</v>
      </c>
      <c r="CL924" s="43">
        <v>0</v>
      </c>
      <c r="CM924" s="4">
        <v>0</v>
      </c>
      <c r="CN924" s="53">
        <v>0</v>
      </c>
      <c r="CO924" s="54">
        <v>0</v>
      </c>
      <c r="CP924" s="54">
        <v>0</v>
      </c>
      <c r="CQ924" s="4">
        <v>4.4000000000000004</v>
      </c>
    </row>
    <row r="925" spans="1:95" x14ac:dyDescent="0.35">
      <c r="A925" s="55">
        <v>924</v>
      </c>
      <c r="B925" t="s">
        <v>120</v>
      </c>
      <c r="C925" s="27" t="s">
        <v>1005</v>
      </c>
      <c r="D925" s="3" t="s">
        <v>94</v>
      </c>
      <c r="E925" s="33" t="s">
        <v>91</v>
      </c>
      <c r="F925" s="4">
        <f>IFERROR(AVERAGEIF(Table1[[#This Row],[2019-Apr]:[2025-July]],"&lt;&gt;0"),0)</f>
        <v>3.0750000000000006</v>
      </c>
      <c r="G925" s="4">
        <f ca="1">IFERROR(AVERAGEIF(OFFSET(Table1[[#This Row],[Status]],0,COUNT(Table1[[#This Row],[2019-May]:[2025-July]]),1,-12),"&lt;&gt;0"),0)</f>
        <v>1.84</v>
      </c>
      <c r="H925" s="55">
        <f>IFERROR(SMALL(Table1[[#This Row],[2019-Apr]:[2025-July]],COUNTIF(Table1[[#This Row],[2019-Apr]:[2025-July]],0)+1),0)</f>
        <v>1.6930000000000001</v>
      </c>
      <c r="I925" s="56">
        <f>IFERROR(MAX(Table1[[#This Row],[2019-Apr]:[2025-July]]),0)</f>
        <v>4.99</v>
      </c>
      <c r="J925" s="4" cm="1">
        <f t="array" ref="J92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2.0295000000000001</v>
      </c>
      <c r="K925" s="4">
        <v>4.5</v>
      </c>
      <c r="L925" s="4">
        <f>IF(Table1[[#This Row],[Standard as per ISO]]&gt;=Table1[[#This Row],[Avg of best 6]],Table1[[#This Row],[Standard as per ISO]],Table1[[#This Row],[Avg of best 6]])</f>
        <v>4.5</v>
      </c>
      <c r="M925" s="4" cm="1">
        <f t="array" ref="M925">IFERROR(LOOKUP(2,1/(Table1[[#This Row],[2019-May]:[2025-July]]&lt;&gt;0),Table1[[#This Row],[2019-May]:[2025-July]]),0)</f>
        <v>1.84</v>
      </c>
      <c r="N925" s="4">
        <f>COUNTIF(Table1[[#This Row],[2019-Apr]:[2025-July]],"&gt;="&amp;Table1[[#This Row],[Target]])</f>
        <v>1</v>
      </c>
      <c r="O925" s="4">
        <f>IF(Table1[[#This Row],[Outliers 2Y]]=0,1,0)</f>
        <v>0</v>
      </c>
      <c r="P925" s="4">
        <f>IF(Table1[[#This Row],[Last value]]&gt;1.5*Table1[[#This Row],[Target]],1,0)</f>
        <v>0</v>
      </c>
      <c r="Q925" s="4">
        <f>IF(AND(1.5*Table1[[#This Row],[Target]]&gt;=Table1[[#This Row],[Last value]],Table1[[#This Row],[Last value]]&gt;Table1[[#This Row],[Target]]),1,0)</f>
        <v>0</v>
      </c>
      <c r="R925" s="4">
        <f>IF(Table1[[#This Row],[Target]]&gt;=Table1[[#This Row],[Last value]],1,0)</f>
        <v>1</v>
      </c>
      <c r="S925" s="4" t="str">
        <f t="shared" si="17"/>
        <v>Green</v>
      </c>
      <c r="T925">
        <v>2.21</v>
      </c>
      <c r="U925">
        <v>3.26</v>
      </c>
      <c r="V925">
        <v>3.23</v>
      </c>
      <c r="W925">
        <v>3.28</v>
      </c>
      <c r="X925">
        <v>3.6</v>
      </c>
      <c r="Y925">
        <v>3.05</v>
      </c>
      <c r="Z925">
        <v>2.9</v>
      </c>
      <c r="AA925">
        <v>3.6</v>
      </c>
      <c r="AB925">
        <v>3.71</v>
      </c>
      <c r="AC925">
        <v>3.3</v>
      </c>
      <c r="AD925">
        <v>3.1</v>
      </c>
      <c r="AE925">
        <v>2.2200000000000002</v>
      </c>
      <c r="AF925">
        <v>3.2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4.99</v>
      </c>
      <c r="AN925">
        <v>0</v>
      </c>
      <c r="AO925">
        <v>2.1</v>
      </c>
      <c r="AP925">
        <v>2.69</v>
      </c>
      <c r="AQ925">
        <v>3.16</v>
      </c>
      <c r="AR925" s="8">
        <v>0</v>
      </c>
      <c r="AS925" s="8">
        <v>0</v>
      </c>
      <c r="AT925" s="8">
        <v>0</v>
      </c>
      <c r="AU925" s="3">
        <v>3.38</v>
      </c>
      <c r="AV925" s="3">
        <v>4.01</v>
      </c>
      <c r="AW925" s="3">
        <v>4.37</v>
      </c>
      <c r="AX925" s="3">
        <v>0</v>
      </c>
      <c r="AY925" s="3">
        <v>3.72</v>
      </c>
      <c r="AZ925" s="3">
        <v>2.38</v>
      </c>
      <c r="BA925" s="3">
        <v>0</v>
      </c>
      <c r="BB925" s="3">
        <v>2.7</v>
      </c>
      <c r="BC925">
        <v>2.9</v>
      </c>
      <c r="BD925">
        <v>0</v>
      </c>
      <c r="BE925" s="11">
        <v>3.3380000000000001</v>
      </c>
      <c r="BF925" s="4">
        <v>3.26</v>
      </c>
      <c r="BG925" s="4">
        <v>2.5569999999999999</v>
      </c>
      <c r="BH925" s="4">
        <v>0</v>
      </c>
      <c r="BI925" s="4">
        <v>1.6930000000000001</v>
      </c>
      <c r="BJ925" s="13">
        <v>0</v>
      </c>
      <c r="BK925" s="13">
        <v>0</v>
      </c>
      <c r="BL925" s="4">
        <v>0</v>
      </c>
      <c r="BM925" s="16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4.032</v>
      </c>
      <c r="BS925" s="4">
        <v>0</v>
      </c>
      <c r="BT925" s="4">
        <v>0</v>
      </c>
      <c r="BU925" s="4">
        <v>2.6760000000000002</v>
      </c>
      <c r="BV925" s="4">
        <v>0</v>
      </c>
      <c r="BW925" s="4">
        <v>0</v>
      </c>
      <c r="BX925" s="4">
        <v>1.944</v>
      </c>
      <c r="BY925" s="4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 s="4">
        <v>0</v>
      </c>
      <c r="CH925" s="4">
        <v>0</v>
      </c>
      <c r="CI925" s="4">
        <v>1.84</v>
      </c>
      <c r="CJ925" s="34">
        <v>0</v>
      </c>
      <c r="CK925" s="34">
        <v>0</v>
      </c>
      <c r="CL925" s="34">
        <v>0</v>
      </c>
      <c r="CM925" s="4">
        <v>0</v>
      </c>
      <c r="CN925" s="53">
        <v>0</v>
      </c>
      <c r="CO925" s="54">
        <v>0</v>
      </c>
      <c r="CP925" s="54">
        <v>0</v>
      </c>
      <c r="CQ925" s="4">
        <v>0</v>
      </c>
    </row>
    <row r="926" spans="1:95" x14ac:dyDescent="0.35">
      <c r="A926" s="55">
        <v>925</v>
      </c>
      <c r="B926" t="s">
        <v>120</v>
      </c>
      <c r="C926" s="27" t="s">
        <v>1006</v>
      </c>
      <c r="D926" s="3" t="s">
        <v>94</v>
      </c>
      <c r="E926" s="33" t="s">
        <v>91</v>
      </c>
      <c r="F926" s="4">
        <f>IFERROR(AVERAGEIF(Table1[[#This Row],[2019-Apr]:[2025-July]],"&lt;&gt;0"),0)</f>
        <v>1.5402058823529412</v>
      </c>
      <c r="G926" s="4">
        <f ca="1">IFERROR(AVERAGEIF(OFFSET(Table1[[#This Row],[Status]],0,COUNT(Table1[[#This Row],[2019-May]:[2025-July]]),1,-12),"&lt;&gt;0"),0)</f>
        <v>1.18</v>
      </c>
      <c r="H926" s="55">
        <f>IFERROR(SMALL(Table1[[#This Row],[2019-Apr]:[2025-July]],COUNTIF(Table1[[#This Row],[2019-Apr]:[2025-July]],0)+1),0)</f>
        <v>0.92</v>
      </c>
      <c r="I926" s="56">
        <f>IFERROR(MAX(Table1[[#This Row],[2019-Apr]:[2025-July]]),0)</f>
        <v>5.75</v>
      </c>
      <c r="J926" s="4" cm="1">
        <f t="array" ref="J92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1.0433333333333332</v>
      </c>
      <c r="K926" s="4">
        <v>4.5</v>
      </c>
      <c r="L926" s="4">
        <f>IF(Table1[[#This Row],[Standard as per ISO]]&gt;=Table1[[#This Row],[Avg of best 6]],Table1[[#This Row],[Standard as per ISO]],Table1[[#This Row],[Avg of best 6]])</f>
        <v>4.5</v>
      </c>
      <c r="M926" s="4" cm="1">
        <f t="array" ref="M926">IFERROR(LOOKUP(2,1/(Table1[[#This Row],[2019-May]:[2025-July]]&lt;&gt;0),Table1[[#This Row],[2019-May]:[2025-July]]),0)</f>
        <v>1.18</v>
      </c>
      <c r="N926" s="4">
        <f>COUNTIF(Table1[[#This Row],[2019-Apr]:[2025-July]],"&gt;="&amp;Table1[[#This Row],[Target]])</f>
        <v>1</v>
      </c>
      <c r="O926" s="4">
        <f>IF(Table1[[#This Row],[Outliers 2Y]]=0,1,0)</f>
        <v>0</v>
      </c>
      <c r="P926" s="4">
        <f>IF(Table1[[#This Row],[Last value]]&gt;1.5*Table1[[#This Row],[Target]],1,0)</f>
        <v>0</v>
      </c>
      <c r="Q926" s="4">
        <f>IF(AND(1.5*Table1[[#This Row],[Target]]&gt;=Table1[[#This Row],[Last value]],Table1[[#This Row],[Last value]]&gt;Table1[[#This Row],[Target]]),1,0)</f>
        <v>0</v>
      </c>
      <c r="R926" s="4">
        <f>IF(Table1[[#This Row],[Target]]&gt;=Table1[[#This Row],[Last value]],1,0)</f>
        <v>1</v>
      </c>
      <c r="S926" s="4" t="str">
        <f t="shared" si="17"/>
        <v>Green</v>
      </c>
      <c r="T926">
        <v>1.07</v>
      </c>
      <c r="U926">
        <v>1.19</v>
      </c>
      <c r="V926">
        <v>0</v>
      </c>
      <c r="W926">
        <v>5.75</v>
      </c>
      <c r="X926">
        <v>2.2000000000000002</v>
      </c>
      <c r="Y926">
        <v>2.29</v>
      </c>
      <c r="Z926">
        <v>2.1</v>
      </c>
      <c r="AA926">
        <v>1.1000000000000001</v>
      </c>
      <c r="AB926">
        <v>1.41</v>
      </c>
      <c r="AC926">
        <v>1.66</v>
      </c>
      <c r="AD926">
        <v>1.5</v>
      </c>
      <c r="AE926">
        <v>1.3</v>
      </c>
      <c r="AF926">
        <v>1.98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1.1100000000000001</v>
      </c>
      <c r="AN926">
        <v>1.1000000000000001</v>
      </c>
      <c r="AO926">
        <v>1.35</v>
      </c>
      <c r="AP926">
        <v>1.75</v>
      </c>
      <c r="AQ926">
        <v>0</v>
      </c>
      <c r="AR926" s="9">
        <v>1.24</v>
      </c>
      <c r="AS926" s="9">
        <v>1.54</v>
      </c>
      <c r="AT926" s="8">
        <v>0</v>
      </c>
      <c r="AU926" s="3">
        <v>1.33</v>
      </c>
      <c r="AV926" s="3">
        <v>1.18</v>
      </c>
      <c r="AW926" s="3">
        <v>0.92</v>
      </c>
      <c r="AX926" s="3">
        <v>1.1100000000000001</v>
      </c>
      <c r="AY926" s="3">
        <v>1.63</v>
      </c>
      <c r="AZ926" s="3">
        <v>0</v>
      </c>
      <c r="BA926" s="3">
        <v>1.1000000000000001</v>
      </c>
      <c r="BB926" s="3">
        <v>1.3</v>
      </c>
      <c r="BC926">
        <v>1.1000000000000001</v>
      </c>
      <c r="BD926">
        <v>0</v>
      </c>
      <c r="BE926" s="11">
        <v>1.512</v>
      </c>
      <c r="BF926" s="4">
        <v>1.171</v>
      </c>
      <c r="BG926" s="4">
        <v>2.3170000000000002</v>
      </c>
      <c r="BH926" s="4">
        <v>0</v>
      </c>
      <c r="BI926" s="4">
        <v>1.637</v>
      </c>
      <c r="BJ926" s="14">
        <v>0</v>
      </c>
      <c r="BK926" s="14">
        <v>0</v>
      </c>
      <c r="BL926" s="4">
        <v>0</v>
      </c>
      <c r="BM926" s="17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0.94899999999999995</v>
      </c>
      <c r="BS926" s="4">
        <v>0</v>
      </c>
      <c r="BT926" s="4">
        <v>0</v>
      </c>
      <c r="BU926" s="4">
        <v>1.091</v>
      </c>
      <c r="BV926" s="4">
        <v>0</v>
      </c>
      <c r="BW926" s="4">
        <v>0</v>
      </c>
      <c r="BX926" s="4">
        <v>1.2</v>
      </c>
      <c r="BY926" s="4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 s="4">
        <v>0</v>
      </c>
      <c r="CH926" s="4">
        <v>0</v>
      </c>
      <c r="CI926" s="4">
        <v>1.18</v>
      </c>
      <c r="CJ926" s="34">
        <v>0</v>
      </c>
      <c r="CK926" s="34">
        <v>0</v>
      </c>
      <c r="CL926" s="34">
        <v>0</v>
      </c>
      <c r="CM926" s="4">
        <v>0</v>
      </c>
      <c r="CN926" s="53">
        <v>0</v>
      </c>
      <c r="CO926" s="54">
        <v>0</v>
      </c>
      <c r="CP926" s="54">
        <v>0</v>
      </c>
      <c r="CQ926" s="4">
        <v>0</v>
      </c>
    </row>
    <row r="927" spans="1:95" x14ac:dyDescent="0.35">
      <c r="A927" s="55">
        <v>926</v>
      </c>
      <c r="B927" t="s">
        <v>120</v>
      </c>
      <c r="C927" s="27" t="s">
        <v>1007</v>
      </c>
      <c r="D927" s="3" t="s">
        <v>94</v>
      </c>
      <c r="E927" s="33" t="s">
        <v>91</v>
      </c>
      <c r="F927" s="4">
        <f>IFERROR(AVERAGEIF(Table1[[#This Row],[2019-Apr]:[2025-July]],"&lt;&gt;0"),0)</f>
        <v>5.0220909090909096</v>
      </c>
      <c r="G927" s="4">
        <f ca="1">IFERROR(AVERAGEIF(OFFSET(Table1[[#This Row],[Status]],0,COUNT(Table1[[#This Row],[2019-May]:[2025-July]]),1,-12),"&lt;&gt;0"),0)</f>
        <v>1.65</v>
      </c>
      <c r="H927" s="55">
        <f>IFERROR(SMALL(Table1[[#This Row],[2019-Apr]:[2025-July]],COUNTIF(Table1[[#This Row],[2019-Apr]:[2025-July]],0)+1),0)</f>
        <v>1.163</v>
      </c>
      <c r="I927" s="56">
        <f>IFERROR(MAX(Table1[[#This Row],[2019-Apr]:[2025-July]]),0)</f>
        <v>9.4</v>
      </c>
      <c r="J927" s="4" cm="1">
        <f t="array" ref="J92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1.7171666666666665</v>
      </c>
      <c r="K927" s="4">
        <v>4.5</v>
      </c>
      <c r="L927" s="4">
        <f>IF(Table1[[#This Row],[Standard as per ISO]]&gt;=Table1[[#This Row],[Avg of best 6]],Table1[[#This Row],[Standard as per ISO]],Table1[[#This Row],[Avg of best 6]])</f>
        <v>4.5</v>
      </c>
      <c r="M927" s="4" cm="1">
        <f t="array" ref="M927">IFERROR(LOOKUP(2,1/(Table1[[#This Row],[2019-May]:[2025-July]]&lt;&gt;0),Table1[[#This Row],[2019-May]:[2025-July]]),0)</f>
        <v>1.65</v>
      </c>
      <c r="N927" s="4">
        <f>COUNTIF(Table1[[#This Row],[2019-Apr]:[2025-July]],"&gt;="&amp;Table1[[#This Row],[Target]])</f>
        <v>19</v>
      </c>
      <c r="O927" s="4">
        <f>IF(Table1[[#This Row],[Outliers 2Y]]=0,1,0)</f>
        <v>0</v>
      </c>
      <c r="P927" s="4">
        <f>IF(Table1[[#This Row],[Last value]]&gt;1.5*Table1[[#This Row],[Target]],1,0)</f>
        <v>0</v>
      </c>
      <c r="Q927" s="4">
        <f>IF(AND(1.5*Table1[[#This Row],[Target]]&gt;=Table1[[#This Row],[Last value]],Table1[[#This Row],[Last value]]&gt;Table1[[#This Row],[Target]]),1,0)</f>
        <v>0</v>
      </c>
      <c r="R927" s="4">
        <f>IF(Table1[[#This Row],[Target]]&gt;=Table1[[#This Row],[Last value]],1,0)</f>
        <v>1</v>
      </c>
      <c r="S927" s="4" t="str">
        <f t="shared" si="17"/>
        <v>Green</v>
      </c>
      <c r="T927">
        <v>8.16</v>
      </c>
      <c r="U927">
        <v>4.7300000000000004</v>
      </c>
      <c r="V927">
        <v>8.1</v>
      </c>
      <c r="W927">
        <v>8.6999999999999993</v>
      </c>
      <c r="X927">
        <v>3.9</v>
      </c>
      <c r="Y927">
        <v>2.37</v>
      </c>
      <c r="Z927">
        <v>3.3</v>
      </c>
      <c r="AA927">
        <v>3.1</v>
      </c>
      <c r="AB927">
        <v>8.8000000000000007</v>
      </c>
      <c r="AC927">
        <v>4.92</v>
      </c>
      <c r="AD927">
        <v>3.7</v>
      </c>
      <c r="AE927">
        <v>3.5</v>
      </c>
      <c r="AF927">
        <v>3.9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1.88</v>
      </c>
      <c r="AN927">
        <v>1.84</v>
      </c>
      <c r="AO927">
        <v>1.4</v>
      </c>
      <c r="AP927">
        <v>3.75</v>
      </c>
      <c r="AQ927">
        <v>0</v>
      </c>
      <c r="AR927" s="9">
        <v>2.65</v>
      </c>
      <c r="AS927" s="9">
        <v>5.27</v>
      </c>
      <c r="AT927" s="8">
        <v>0</v>
      </c>
      <c r="AU927" s="3">
        <v>4.79</v>
      </c>
      <c r="AV927" s="3">
        <v>5.09</v>
      </c>
      <c r="AW927" s="3">
        <v>6.49</v>
      </c>
      <c r="AX927" s="3">
        <v>5.0199999999999996</v>
      </c>
      <c r="AY927" s="3">
        <v>6.6</v>
      </c>
      <c r="AZ927" s="3">
        <v>8.77</v>
      </c>
      <c r="BA927" s="3">
        <v>9.4</v>
      </c>
      <c r="BB927" s="3">
        <v>5.8</v>
      </c>
      <c r="BC927" s="3">
        <v>0</v>
      </c>
      <c r="BD927">
        <v>0</v>
      </c>
      <c r="BE927" s="11">
        <v>7.79</v>
      </c>
      <c r="BF927" s="4">
        <v>4.9059999999999997</v>
      </c>
      <c r="BG927" s="4">
        <v>5.367</v>
      </c>
      <c r="BH927" s="4">
        <v>0</v>
      </c>
      <c r="BI927" s="4">
        <v>8.923</v>
      </c>
      <c r="BJ927" s="13">
        <v>0</v>
      </c>
      <c r="BK927" s="13">
        <v>0</v>
      </c>
      <c r="BL927" s="4">
        <v>0</v>
      </c>
      <c r="BM927" s="16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1.163</v>
      </c>
      <c r="BV927" s="4">
        <v>0</v>
      </c>
      <c r="BW927" s="4">
        <v>0</v>
      </c>
      <c r="BX927" s="4">
        <v>0</v>
      </c>
      <c r="BY927" s="4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 s="4">
        <v>0</v>
      </c>
      <c r="CH927" s="4">
        <v>0</v>
      </c>
      <c r="CI927" s="4">
        <v>1.65</v>
      </c>
      <c r="CJ927" s="34">
        <v>0</v>
      </c>
      <c r="CK927" s="34">
        <v>0</v>
      </c>
      <c r="CL927" s="34">
        <v>0</v>
      </c>
      <c r="CM927" s="4">
        <v>0</v>
      </c>
      <c r="CN927" s="53">
        <v>0</v>
      </c>
      <c r="CO927" s="54">
        <v>0</v>
      </c>
      <c r="CP927" s="54">
        <v>0</v>
      </c>
      <c r="CQ927" s="4">
        <v>0</v>
      </c>
    </row>
    <row r="928" spans="1:95" x14ac:dyDescent="0.35">
      <c r="A928" s="55">
        <v>927</v>
      </c>
      <c r="B928" t="s">
        <v>120</v>
      </c>
      <c r="C928" s="27" t="s">
        <v>1008</v>
      </c>
      <c r="D928" s="3" t="s">
        <v>94</v>
      </c>
      <c r="E928" s="33" t="s">
        <v>91</v>
      </c>
      <c r="F928" s="4">
        <f>IFERROR(AVERAGEIF(Table1[[#This Row],[2019-Apr]:[2025-July]],"&lt;&gt;0"),0)</f>
        <v>5.0978518518518516</v>
      </c>
      <c r="G928" s="4">
        <f ca="1">IFERROR(AVERAGEIF(OFFSET(Table1[[#This Row],[Status]],0,COUNT(Table1[[#This Row],[2019-May]:[2025-July]]),1,-12),"&lt;&gt;0"),0)</f>
        <v>0</v>
      </c>
      <c r="H928" s="55">
        <f>IFERROR(SMALL(Table1[[#This Row],[2019-Apr]:[2025-July]],COUNTIF(Table1[[#This Row],[2019-Apr]:[2025-July]],0)+1),0)</f>
        <v>1.7</v>
      </c>
      <c r="I928" s="56">
        <f>IFERROR(MAX(Table1[[#This Row],[2019-Apr]:[2025-July]]),0)</f>
        <v>18.600000000000001</v>
      </c>
      <c r="J928" s="4" cm="1">
        <f t="array" ref="J92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2.508833333333333</v>
      </c>
      <c r="K928" s="4">
        <v>4.5</v>
      </c>
      <c r="L928" s="4">
        <f>IF(Table1[[#This Row],[Standard as per ISO]]&gt;=Table1[[#This Row],[Avg of best 6]],Table1[[#This Row],[Standard as per ISO]],Table1[[#This Row],[Avg of best 6]])</f>
        <v>4.5</v>
      </c>
      <c r="M928" s="4" cm="1">
        <f t="array" ref="M928">IFERROR(LOOKUP(2,1/(Table1[[#This Row],[2019-May]:[2025-July]]&lt;&gt;0),Table1[[#This Row],[2019-May]:[2025-July]]),0)</f>
        <v>4.58</v>
      </c>
      <c r="N928" s="4">
        <f>COUNTIF(Table1[[#This Row],[2019-Apr]:[2025-July]],"&gt;="&amp;Table1[[#This Row],[Target]])</f>
        <v>11</v>
      </c>
      <c r="O928" s="4">
        <f>IF(Table1[[#This Row],[Outliers 2Y]]=0,1,0)</f>
        <v>0</v>
      </c>
      <c r="P928" s="4">
        <f>IF(Table1[[#This Row],[Last value]]&gt;1.5*Table1[[#This Row],[Target]],1,0)</f>
        <v>0</v>
      </c>
      <c r="Q928" s="4">
        <f>IF(AND(1.5*Table1[[#This Row],[Target]]&gt;=Table1[[#This Row],[Last value]],Table1[[#This Row],[Last value]]&gt;Table1[[#This Row],[Target]]),1,0)</f>
        <v>1</v>
      </c>
      <c r="R928" s="4">
        <f>IF(Table1[[#This Row],[Target]]&gt;=Table1[[#This Row],[Last value]],1,0)</f>
        <v>0</v>
      </c>
      <c r="S928" s="4" t="str">
        <f t="shared" si="17"/>
        <v>Yellow</v>
      </c>
      <c r="T928">
        <v>4.04</v>
      </c>
      <c r="U928">
        <v>3.03</v>
      </c>
      <c r="V928">
        <v>0</v>
      </c>
      <c r="W928">
        <v>2.0499999999999998</v>
      </c>
      <c r="X928">
        <v>1.7</v>
      </c>
      <c r="Y928">
        <v>0</v>
      </c>
      <c r="Z928">
        <v>0</v>
      </c>
      <c r="AA928">
        <v>4.0999999999999996</v>
      </c>
      <c r="AB928">
        <v>3.14</v>
      </c>
      <c r="AC928">
        <v>3.58</v>
      </c>
      <c r="AD928">
        <v>3.2</v>
      </c>
      <c r="AE928">
        <v>3.9</v>
      </c>
      <c r="AF928">
        <v>4.5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4.04</v>
      </c>
      <c r="AN928">
        <v>0</v>
      </c>
      <c r="AO928">
        <v>0</v>
      </c>
      <c r="AP928">
        <v>6.79</v>
      </c>
      <c r="AQ928">
        <v>2.2999999999999998</v>
      </c>
      <c r="AR928" s="8">
        <v>3.8</v>
      </c>
      <c r="AS928" s="8">
        <v>0</v>
      </c>
      <c r="AT928" s="8">
        <v>0</v>
      </c>
      <c r="AU928" s="3">
        <v>0</v>
      </c>
      <c r="AV928" s="3">
        <v>6.85</v>
      </c>
      <c r="AW928" s="3">
        <v>7.82</v>
      </c>
      <c r="AX928" s="3">
        <v>0</v>
      </c>
      <c r="AY928" s="3">
        <v>0</v>
      </c>
      <c r="AZ928" s="3">
        <v>6.01</v>
      </c>
      <c r="BA928" s="3">
        <v>18.600000000000001</v>
      </c>
      <c r="BB928" s="3">
        <v>3.5</v>
      </c>
      <c r="BC928">
        <v>3.7</v>
      </c>
      <c r="BD928">
        <v>0</v>
      </c>
      <c r="BE928" s="11">
        <v>2.8330000000000002</v>
      </c>
      <c r="BF928" s="4">
        <v>9.2850000000000001</v>
      </c>
      <c r="BG928" s="4">
        <v>7.8719999999999999</v>
      </c>
      <c r="BH928" s="4">
        <v>0</v>
      </c>
      <c r="BI928" s="4">
        <v>6.9889999999999999</v>
      </c>
      <c r="BJ928" s="14">
        <v>0</v>
      </c>
      <c r="BK928" s="14">
        <v>0</v>
      </c>
      <c r="BL928" s="4">
        <v>0</v>
      </c>
      <c r="BM928" s="17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6.0350000000000001</v>
      </c>
      <c r="BS928" s="4">
        <v>0</v>
      </c>
      <c r="BT928" s="4">
        <v>0</v>
      </c>
      <c r="BU928" s="4">
        <v>3.3980000000000001</v>
      </c>
      <c r="BV928" s="4">
        <v>0</v>
      </c>
      <c r="BW928" s="4">
        <v>0</v>
      </c>
      <c r="BX928" s="4">
        <v>4.58</v>
      </c>
      <c r="BY928" s="4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 s="4">
        <v>0</v>
      </c>
      <c r="CH928" s="4">
        <v>0</v>
      </c>
      <c r="CI928" s="4">
        <v>0</v>
      </c>
      <c r="CJ928" s="34">
        <v>0</v>
      </c>
      <c r="CK928" s="34">
        <v>0</v>
      </c>
      <c r="CL928" s="34">
        <v>0</v>
      </c>
      <c r="CM928" s="4">
        <v>0</v>
      </c>
      <c r="CN928" s="53">
        <v>0</v>
      </c>
      <c r="CO928" s="54">
        <v>0</v>
      </c>
      <c r="CP928" s="54">
        <v>0</v>
      </c>
      <c r="CQ928" s="4">
        <v>0</v>
      </c>
    </row>
    <row r="929" spans="1:95" x14ac:dyDescent="0.35">
      <c r="A929" s="55">
        <v>928</v>
      </c>
      <c r="B929" t="s">
        <v>120</v>
      </c>
      <c r="C929" s="27" t="s">
        <v>1009</v>
      </c>
      <c r="D929" s="3" t="s">
        <v>94</v>
      </c>
      <c r="E929" s="33" t="s">
        <v>91</v>
      </c>
      <c r="F929" s="4">
        <f>IFERROR(AVERAGEIF(Table1[[#This Row],[2019-Apr]:[2025-July]],"&lt;&gt;0"),0)</f>
        <v>1.7967741935483872</v>
      </c>
      <c r="G929" s="4">
        <f ca="1">IFERROR(AVERAGEIF(OFFSET(Table1[[#This Row],[Status]],0,COUNT(Table1[[#This Row],[2019-May]:[2025-July]]),1,-12),"&lt;&gt;0"),0)</f>
        <v>0</v>
      </c>
      <c r="H929" s="55">
        <f>IFERROR(SMALL(Table1[[#This Row],[2019-Apr]:[2025-July]],COUNTIF(Table1[[#This Row],[2019-Apr]:[2025-July]],0)+1),0)</f>
        <v>0.8</v>
      </c>
      <c r="I929" s="56">
        <f>IFERROR(MAX(Table1[[#This Row],[2019-Apr]:[2025-July]]),0)</f>
        <v>2.9</v>
      </c>
      <c r="J929" s="4" cm="1">
        <f t="array" ref="J92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0.8566666666666668</v>
      </c>
      <c r="K929" s="4">
        <v>4.5</v>
      </c>
      <c r="L929" s="4">
        <f>IF(Table1[[#This Row],[Standard as per ISO]]&gt;=Table1[[#This Row],[Avg of best 6]],Table1[[#This Row],[Standard as per ISO]],Table1[[#This Row],[Avg of best 6]])</f>
        <v>4.5</v>
      </c>
      <c r="M929" s="4" cm="1">
        <f t="array" ref="M929">IFERROR(LOOKUP(2,1/(Table1[[#This Row],[2019-May]:[2025-July]]&lt;&gt;0),Table1[[#This Row],[2019-May]:[2025-July]]),0)</f>
        <v>1.671</v>
      </c>
      <c r="N929" s="4">
        <f>COUNTIF(Table1[[#This Row],[2019-Apr]:[2025-July]],"&gt;="&amp;Table1[[#This Row],[Target]])</f>
        <v>0</v>
      </c>
      <c r="O929" s="4">
        <f>IF(Table1[[#This Row],[Outliers 2Y]]=0,1,0)</f>
        <v>1</v>
      </c>
      <c r="P929" s="4">
        <f>IF(Table1[[#This Row],[Last value]]&gt;1.5*Table1[[#This Row],[Target]],1,0)</f>
        <v>0</v>
      </c>
      <c r="Q929" s="4">
        <f>IF(AND(1.5*Table1[[#This Row],[Target]]&gt;=Table1[[#This Row],[Last value]],Table1[[#This Row],[Last value]]&gt;Table1[[#This Row],[Target]]),1,0)</f>
        <v>0</v>
      </c>
      <c r="R929" s="4">
        <f>IF(Table1[[#This Row],[Target]]&gt;=Table1[[#This Row],[Last value]],1,0)</f>
        <v>1</v>
      </c>
      <c r="S929" s="4" t="str">
        <f t="shared" si="17"/>
        <v>Green</v>
      </c>
      <c r="T929">
        <v>2.67</v>
      </c>
      <c r="U929">
        <v>2.1800000000000002</v>
      </c>
      <c r="V929">
        <v>2.81</v>
      </c>
      <c r="W929">
        <v>2.31</v>
      </c>
      <c r="X929">
        <v>2.9</v>
      </c>
      <c r="Y929">
        <v>1.83</v>
      </c>
      <c r="Z929">
        <v>2.1</v>
      </c>
      <c r="AA929">
        <v>1.9</v>
      </c>
      <c r="AB929">
        <v>1.69</v>
      </c>
      <c r="AC929">
        <v>0.87</v>
      </c>
      <c r="AD929">
        <v>1.3</v>
      </c>
      <c r="AE929">
        <v>0.82</v>
      </c>
      <c r="AF929">
        <v>0.9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2.63</v>
      </c>
      <c r="AN929">
        <v>2.44</v>
      </c>
      <c r="AO929">
        <v>0</v>
      </c>
      <c r="AP929">
        <v>0.9</v>
      </c>
      <c r="AQ929">
        <v>0.99</v>
      </c>
      <c r="AR929" s="8">
        <v>0</v>
      </c>
      <c r="AS929" s="8">
        <v>1.64</v>
      </c>
      <c r="AT929" s="8">
        <v>0</v>
      </c>
      <c r="AU929" s="3">
        <v>0</v>
      </c>
      <c r="AV929" s="3">
        <v>2.76</v>
      </c>
      <c r="AW929" s="3">
        <v>1.32</v>
      </c>
      <c r="AX929" s="3">
        <v>2.81</v>
      </c>
      <c r="AY929" s="3">
        <v>0</v>
      </c>
      <c r="AZ929" s="3">
        <v>0.85</v>
      </c>
      <c r="BA929" s="3">
        <v>0.8</v>
      </c>
      <c r="BB929" s="3">
        <v>1.2</v>
      </c>
      <c r="BC929">
        <v>1.1000000000000001</v>
      </c>
      <c r="BD929">
        <v>0</v>
      </c>
      <c r="BE929" s="11">
        <v>1.6739999999999999</v>
      </c>
      <c r="BF929" s="4">
        <v>2.1240000000000001</v>
      </c>
      <c r="BG929" s="4">
        <v>1.8160000000000001</v>
      </c>
      <c r="BH929" s="4">
        <v>0</v>
      </c>
      <c r="BI929" s="4">
        <v>2.1970000000000001</v>
      </c>
      <c r="BJ929" s="13">
        <v>0</v>
      </c>
      <c r="BK929" s="13">
        <v>0</v>
      </c>
      <c r="BL929" s="4">
        <v>0</v>
      </c>
      <c r="BM929" s="16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2.4980000000000002</v>
      </c>
      <c r="BS929" s="4">
        <v>0</v>
      </c>
      <c r="BT929" s="4">
        <v>0</v>
      </c>
      <c r="BU929" s="4">
        <v>1.671</v>
      </c>
      <c r="BV929" s="4">
        <v>0</v>
      </c>
      <c r="BW929" s="4">
        <v>0</v>
      </c>
      <c r="BX929" s="4">
        <v>0</v>
      </c>
      <c r="BY929" s="4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 s="4">
        <v>0</v>
      </c>
      <c r="CH929" s="4">
        <v>0</v>
      </c>
      <c r="CI929" s="4">
        <v>0</v>
      </c>
      <c r="CJ929" s="34">
        <v>0</v>
      </c>
      <c r="CK929" s="34">
        <v>0</v>
      </c>
      <c r="CL929" s="34">
        <v>0</v>
      </c>
      <c r="CM929" s="4">
        <v>0</v>
      </c>
      <c r="CN929" s="53">
        <v>0</v>
      </c>
      <c r="CO929" s="54">
        <v>0</v>
      </c>
      <c r="CP929" s="54">
        <v>0</v>
      </c>
      <c r="CQ929" s="4">
        <v>0</v>
      </c>
    </row>
    <row r="930" spans="1:95" x14ac:dyDescent="0.35">
      <c r="A930" s="55">
        <v>929</v>
      </c>
      <c r="B930" t="s">
        <v>120</v>
      </c>
      <c r="C930" s="27" t="s">
        <v>1010</v>
      </c>
      <c r="D930" s="3" t="s">
        <v>94</v>
      </c>
      <c r="E930" s="33" t="s">
        <v>91</v>
      </c>
      <c r="F930" s="4">
        <f>IFERROR(AVERAGEIF(Table1[[#This Row],[2019-Apr]:[2025-July]],"&lt;&gt;0"),0)</f>
        <v>1.4571935483870966</v>
      </c>
      <c r="G930" s="4">
        <f ca="1">IFERROR(AVERAGEIF(OFFSET(Table1[[#This Row],[Status]],0,COUNT(Table1[[#This Row],[2019-May]:[2025-July]]),1,-12),"&lt;&gt;0"),0)</f>
        <v>0.93</v>
      </c>
      <c r="H930" s="55">
        <f>IFERROR(SMALL(Table1[[#This Row],[2019-Apr]:[2025-July]],COUNTIF(Table1[[#This Row],[2019-Apr]:[2025-July]],0)+1),0)</f>
        <v>0.7</v>
      </c>
      <c r="I930" s="56">
        <f>IFERROR(MAX(Table1[[#This Row],[2019-Apr]:[2025-July]]),0)</f>
        <v>3.39</v>
      </c>
      <c r="J930" s="4" cm="1">
        <f t="array" ref="J93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0.82033333333333325</v>
      </c>
      <c r="K930" s="4">
        <v>4.5</v>
      </c>
      <c r="L930" s="4">
        <f>IF(Table1[[#This Row],[Standard as per ISO]]&gt;=Table1[[#This Row],[Avg of best 6]],Table1[[#This Row],[Standard as per ISO]],Table1[[#This Row],[Avg of best 6]])</f>
        <v>4.5</v>
      </c>
      <c r="M930" s="4" cm="1">
        <f t="array" ref="M930">IFERROR(LOOKUP(2,1/(Table1[[#This Row],[2019-May]:[2025-July]]&lt;&gt;0),Table1[[#This Row],[2019-May]:[2025-July]]),0)</f>
        <v>0.93</v>
      </c>
      <c r="N930" s="4">
        <f>COUNTIF(Table1[[#This Row],[2019-Apr]:[2025-July]],"&gt;="&amp;Table1[[#This Row],[Target]])</f>
        <v>0</v>
      </c>
      <c r="O930" s="4">
        <f>IF(Table1[[#This Row],[Outliers 2Y]]=0,1,0)</f>
        <v>1</v>
      </c>
      <c r="P930" s="4">
        <f>IF(Table1[[#This Row],[Last value]]&gt;1.5*Table1[[#This Row],[Target]],1,0)</f>
        <v>0</v>
      </c>
      <c r="Q930" s="4">
        <f>IF(AND(1.5*Table1[[#This Row],[Target]]&gt;=Table1[[#This Row],[Last value]],Table1[[#This Row],[Last value]]&gt;Table1[[#This Row],[Target]]),1,0)</f>
        <v>0</v>
      </c>
      <c r="R930" s="4">
        <f>IF(Table1[[#This Row],[Target]]&gt;=Table1[[#This Row],[Last value]],1,0)</f>
        <v>1</v>
      </c>
      <c r="S930" s="4" t="str">
        <f t="shared" si="17"/>
        <v>Green</v>
      </c>
      <c r="T930">
        <v>0.9</v>
      </c>
      <c r="U930">
        <v>0</v>
      </c>
      <c r="V930">
        <v>0</v>
      </c>
      <c r="W930">
        <v>0</v>
      </c>
      <c r="X930">
        <v>0</v>
      </c>
      <c r="Y930">
        <v>3.39</v>
      </c>
      <c r="Z930">
        <v>1.4</v>
      </c>
      <c r="AA930">
        <v>1.2</v>
      </c>
      <c r="AB930">
        <v>1.04</v>
      </c>
      <c r="AC930">
        <v>2.86</v>
      </c>
      <c r="AD930">
        <v>2.6</v>
      </c>
      <c r="AE930">
        <v>1.2</v>
      </c>
      <c r="AF930">
        <v>1.2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0.99</v>
      </c>
      <c r="AN930">
        <v>2.6</v>
      </c>
      <c r="AO930">
        <v>2.98</v>
      </c>
      <c r="AP930">
        <v>2.35</v>
      </c>
      <c r="AQ930">
        <v>1.5</v>
      </c>
      <c r="AR930" s="9">
        <v>1.03</v>
      </c>
      <c r="AS930" s="9">
        <v>1.21</v>
      </c>
      <c r="AT930" s="8">
        <v>0</v>
      </c>
      <c r="AU930" s="3">
        <v>1.18</v>
      </c>
      <c r="AV930" s="3">
        <v>0.99</v>
      </c>
      <c r="AW930" s="3">
        <v>1.17</v>
      </c>
      <c r="AX930" s="3">
        <v>0</v>
      </c>
      <c r="AY930" s="3">
        <v>2.5099999999999998</v>
      </c>
      <c r="AZ930" s="3">
        <v>1.17</v>
      </c>
      <c r="BA930" s="3">
        <v>0</v>
      </c>
      <c r="BB930" s="3">
        <v>1.1000000000000001</v>
      </c>
      <c r="BC930">
        <v>0.7</v>
      </c>
      <c r="BD930">
        <v>0</v>
      </c>
      <c r="BE930" s="11">
        <v>0.89400000000000002</v>
      </c>
      <c r="BF930" s="4">
        <v>0.75800000000000001</v>
      </c>
      <c r="BG930" s="4">
        <v>1.1060000000000001</v>
      </c>
      <c r="BH930" s="4">
        <v>0</v>
      </c>
      <c r="BI930" s="4">
        <v>1.583</v>
      </c>
      <c r="BJ930" s="14">
        <v>0</v>
      </c>
      <c r="BK930" s="14">
        <v>0</v>
      </c>
      <c r="BL930" s="4">
        <v>0</v>
      </c>
      <c r="BM930" s="17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0.99199999999999999</v>
      </c>
      <c r="BS930" s="4">
        <v>0</v>
      </c>
      <c r="BT930" s="4">
        <v>0</v>
      </c>
      <c r="BU930" s="4">
        <v>0.73299999999999998</v>
      </c>
      <c r="BV930" s="4">
        <v>0</v>
      </c>
      <c r="BW930" s="4">
        <v>0</v>
      </c>
      <c r="BX930" s="4">
        <v>0.90700000000000003</v>
      </c>
      <c r="BY930" s="4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 s="4">
        <v>0</v>
      </c>
      <c r="CH930" s="4">
        <v>0</v>
      </c>
      <c r="CI930" s="4">
        <v>0.93</v>
      </c>
      <c r="CJ930" s="34">
        <v>0</v>
      </c>
      <c r="CK930" s="34">
        <v>0</v>
      </c>
      <c r="CL930" s="34">
        <v>0</v>
      </c>
      <c r="CM930" s="4">
        <v>0</v>
      </c>
      <c r="CN930" s="53">
        <v>0</v>
      </c>
      <c r="CO930" s="54">
        <v>0</v>
      </c>
      <c r="CP930" s="54">
        <v>0</v>
      </c>
      <c r="CQ930" s="4">
        <v>0</v>
      </c>
    </row>
    <row r="931" spans="1:95" x14ac:dyDescent="0.35">
      <c r="A931" s="55">
        <v>930</v>
      </c>
      <c r="B931" t="s">
        <v>120</v>
      </c>
      <c r="C931" s="27" t="s">
        <v>1011</v>
      </c>
      <c r="D931" s="3" t="s">
        <v>94</v>
      </c>
      <c r="E931" s="33" t="s">
        <v>91</v>
      </c>
      <c r="F931" s="4">
        <f>IFERROR(AVERAGEIF(Table1[[#This Row],[2019-Apr]:[2025-July]],"&lt;&gt;0"),0)</f>
        <v>1.9329999999999998</v>
      </c>
      <c r="G931" s="4">
        <f ca="1">IFERROR(AVERAGEIF(OFFSET(Table1[[#This Row],[Status]],0,COUNT(Table1[[#This Row],[2019-May]:[2025-July]]),1,-12),"&lt;&gt;0"),0)</f>
        <v>0</v>
      </c>
      <c r="H931" s="55">
        <f>IFERROR(SMALL(Table1[[#This Row],[2019-Apr]:[2025-July]],COUNTIF(Table1[[#This Row],[2019-Apr]:[2025-July]],0)+1),0)</f>
        <v>1.18</v>
      </c>
      <c r="I931" s="56">
        <f>IFERROR(MAX(Table1[[#This Row],[2019-Apr]:[2025-July]]),0)</f>
        <v>3.06</v>
      </c>
      <c r="J931" s="4" cm="1">
        <f t="array" ref="J93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1.2850000000000001</v>
      </c>
      <c r="K931" s="4">
        <v>4.5</v>
      </c>
      <c r="L931" s="4">
        <f>IF(Table1[[#This Row],[Standard as per ISO]]&gt;=Table1[[#This Row],[Avg of best 6]],Table1[[#This Row],[Standard as per ISO]],Table1[[#This Row],[Avg of best 6]])</f>
        <v>4.5</v>
      </c>
      <c r="M931" s="4" cm="1">
        <f t="array" ref="M931">IFERROR(LOOKUP(2,1/(Table1[[#This Row],[2019-May]:[2025-July]]&lt;&gt;0),Table1[[#This Row],[2019-May]:[2025-July]]),0)</f>
        <v>1.57</v>
      </c>
      <c r="N931" s="4">
        <f>COUNTIF(Table1[[#This Row],[2019-Apr]:[2025-July]],"&gt;="&amp;Table1[[#This Row],[Target]])</f>
        <v>0</v>
      </c>
      <c r="O931" s="4">
        <f>IF(Table1[[#This Row],[Outliers 2Y]]=0,1,0)</f>
        <v>1</v>
      </c>
      <c r="P931" s="4">
        <f>IF(Table1[[#This Row],[Last value]]&gt;1.5*Table1[[#This Row],[Target]],1,0)</f>
        <v>0</v>
      </c>
      <c r="Q931" s="4">
        <f>IF(AND(1.5*Table1[[#This Row],[Target]]&gt;=Table1[[#This Row],[Last value]],Table1[[#This Row],[Last value]]&gt;Table1[[#This Row],[Target]]),1,0)</f>
        <v>0</v>
      </c>
      <c r="R931" s="4">
        <f>IF(Table1[[#This Row],[Target]]&gt;=Table1[[#This Row],[Last value]],1,0)</f>
        <v>1</v>
      </c>
      <c r="S931" s="4" t="str">
        <f t="shared" si="17"/>
        <v>Green</v>
      </c>
      <c r="T931">
        <v>1.35</v>
      </c>
      <c r="U931">
        <v>1.48</v>
      </c>
      <c r="V931">
        <v>1.35</v>
      </c>
      <c r="W931">
        <v>1.18</v>
      </c>
      <c r="X931">
        <v>1.2</v>
      </c>
      <c r="Y931">
        <v>3.06</v>
      </c>
      <c r="Z931">
        <v>1.2</v>
      </c>
      <c r="AA931">
        <v>1.7</v>
      </c>
      <c r="AB931">
        <v>1.7</v>
      </c>
      <c r="AC931">
        <v>1.5</v>
      </c>
      <c r="AD931">
        <v>2.2000000000000002</v>
      </c>
      <c r="AE931">
        <v>1.5</v>
      </c>
      <c r="AF931">
        <v>1.3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2.7</v>
      </c>
      <c r="AP931">
        <v>1.56</v>
      </c>
      <c r="AQ931">
        <v>2.2999999999999998</v>
      </c>
      <c r="AR931" s="9">
        <v>2.0699999999999998</v>
      </c>
      <c r="AS931" s="9">
        <v>2.6</v>
      </c>
      <c r="AT931" s="8">
        <v>0</v>
      </c>
      <c r="AU931" s="3">
        <v>2.19</v>
      </c>
      <c r="AV931" s="3">
        <v>2.31</v>
      </c>
      <c r="AW931" s="3">
        <v>1.49</v>
      </c>
      <c r="AX931" s="3">
        <v>1.48</v>
      </c>
      <c r="AY931" s="3">
        <v>1.72</v>
      </c>
      <c r="AZ931" s="3">
        <v>0</v>
      </c>
      <c r="BA931" s="3">
        <v>1.9</v>
      </c>
      <c r="BB931" s="3">
        <v>2.4</v>
      </c>
      <c r="BC931">
        <v>2.5</v>
      </c>
      <c r="BD931">
        <v>0</v>
      </c>
      <c r="BE931" s="11">
        <v>2.7989999999999999</v>
      </c>
      <c r="BF931" s="4">
        <v>2.2949999999999999</v>
      </c>
      <c r="BG931" s="4">
        <v>2.528</v>
      </c>
      <c r="BH931" s="4">
        <v>0</v>
      </c>
      <c r="BI931" s="4">
        <v>2.5219999999999998</v>
      </c>
      <c r="BJ931" s="13">
        <v>0</v>
      </c>
      <c r="BK931" s="13">
        <v>0</v>
      </c>
      <c r="BL931" s="4">
        <v>0</v>
      </c>
      <c r="BM931" s="16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2.202</v>
      </c>
      <c r="BS931" s="4">
        <v>0</v>
      </c>
      <c r="BT931" s="4">
        <v>0</v>
      </c>
      <c r="BU931" s="4">
        <v>1.57</v>
      </c>
      <c r="BV931" s="4">
        <v>0</v>
      </c>
      <c r="BW931" s="4">
        <v>0</v>
      </c>
      <c r="BX931" s="4">
        <v>0</v>
      </c>
      <c r="BY931" s="4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 s="4">
        <v>0</v>
      </c>
      <c r="CH931" s="4">
        <v>0</v>
      </c>
      <c r="CI931" s="4">
        <v>0</v>
      </c>
      <c r="CJ931" s="34">
        <v>0</v>
      </c>
      <c r="CK931" s="34">
        <v>0</v>
      </c>
      <c r="CL931" s="34">
        <v>0</v>
      </c>
      <c r="CM931" s="4">
        <v>0</v>
      </c>
      <c r="CN931" s="53">
        <v>0</v>
      </c>
      <c r="CO931" s="54">
        <v>0</v>
      </c>
      <c r="CP931" s="54">
        <v>0</v>
      </c>
      <c r="CQ931" s="4">
        <v>0</v>
      </c>
    </row>
    <row r="932" spans="1:95" x14ac:dyDescent="0.35">
      <c r="A932" s="55">
        <v>931</v>
      </c>
      <c r="B932" t="s">
        <v>120</v>
      </c>
      <c r="C932" s="27" t="s">
        <v>1012</v>
      </c>
      <c r="D932" s="3" t="s">
        <v>94</v>
      </c>
      <c r="E932" s="33" t="s">
        <v>91</v>
      </c>
      <c r="F932" s="4">
        <f>IFERROR(AVERAGEIF(Table1[[#This Row],[2019-Apr]:[2025-July]],"&lt;&gt;0"),0)</f>
        <v>1.5193225806451613</v>
      </c>
      <c r="G932" s="4">
        <f ca="1">IFERROR(AVERAGEIF(OFFSET(Table1[[#This Row],[Status]],0,COUNT(Table1[[#This Row],[2019-May]:[2025-July]]),1,-12),"&lt;&gt;0"),0)</f>
        <v>1.2</v>
      </c>
      <c r="H932" s="55">
        <f>IFERROR(SMALL(Table1[[#This Row],[2019-Apr]:[2025-July]],COUNTIF(Table1[[#This Row],[2019-Apr]:[2025-July]],0)+1),0)</f>
        <v>0.39600000000000002</v>
      </c>
      <c r="I932" s="56">
        <f>IFERROR(MAX(Table1[[#This Row],[2019-Apr]:[2025-July]]),0)</f>
        <v>2.75</v>
      </c>
      <c r="J932" s="4" cm="1">
        <f t="array" ref="J93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0.91016666666666657</v>
      </c>
      <c r="K932" s="4">
        <v>4.5</v>
      </c>
      <c r="L932" s="4">
        <f>IF(Table1[[#This Row],[Standard as per ISO]]&gt;=Table1[[#This Row],[Avg of best 6]],Table1[[#This Row],[Standard as per ISO]],Table1[[#This Row],[Avg of best 6]])</f>
        <v>4.5</v>
      </c>
      <c r="M932" s="4" cm="1">
        <f t="array" ref="M932">IFERROR(LOOKUP(2,1/(Table1[[#This Row],[2019-May]:[2025-July]]&lt;&gt;0),Table1[[#This Row],[2019-May]:[2025-July]]),0)</f>
        <v>1.2</v>
      </c>
      <c r="N932" s="4">
        <f>COUNTIF(Table1[[#This Row],[2019-Apr]:[2025-July]],"&gt;="&amp;Table1[[#This Row],[Target]])</f>
        <v>0</v>
      </c>
      <c r="O932" s="4">
        <f>IF(Table1[[#This Row],[Outliers 2Y]]=0,1,0)</f>
        <v>1</v>
      </c>
      <c r="P932" s="4">
        <f>IF(Table1[[#This Row],[Last value]]&gt;1.5*Table1[[#This Row],[Target]],1,0)</f>
        <v>0</v>
      </c>
      <c r="Q932" s="4">
        <f>IF(AND(1.5*Table1[[#This Row],[Target]]&gt;=Table1[[#This Row],[Last value]],Table1[[#This Row],[Last value]]&gt;Table1[[#This Row],[Target]]),1,0)</f>
        <v>0</v>
      </c>
      <c r="R932" s="4">
        <f>IF(Table1[[#This Row],[Target]]&gt;=Table1[[#This Row],[Last value]],1,0)</f>
        <v>1</v>
      </c>
      <c r="S932" s="4" t="str">
        <f t="shared" si="17"/>
        <v>Green</v>
      </c>
      <c r="T932">
        <v>1.24</v>
      </c>
      <c r="U932">
        <v>1.72</v>
      </c>
      <c r="V932">
        <v>1.35</v>
      </c>
      <c r="W932">
        <v>1.39</v>
      </c>
      <c r="X932">
        <v>1.2</v>
      </c>
      <c r="Y932">
        <v>2.23</v>
      </c>
      <c r="Z932">
        <v>1.9</v>
      </c>
      <c r="AA932">
        <v>1.8</v>
      </c>
      <c r="AB932">
        <v>1.63</v>
      </c>
      <c r="AC932">
        <v>2.16</v>
      </c>
      <c r="AD932">
        <v>0</v>
      </c>
      <c r="AE932">
        <v>1.7</v>
      </c>
      <c r="AF932">
        <v>1.47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2.75</v>
      </c>
      <c r="AN932">
        <v>0</v>
      </c>
      <c r="AO932">
        <v>2.2000000000000002</v>
      </c>
      <c r="AP932">
        <v>1.58</v>
      </c>
      <c r="AQ932">
        <v>0</v>
      </c>
      <c r="AR932" s="9">
        <v>0</v>
      </c>
      <c r="AS932" s="9">
        <v>0</v>
      </c>
      <c r="AT932" s="8">
        <v>0</v>
      </c>
      <c r="AU932" s="3">
        <v>1.49</v>
      </c>
      <c r="AV932" s="3">
        <v>1.55</v>
      </c>
      <c r="AW932" s="3">
        <v>1.05</v>
      </c>
      <c r="AX932" s="3">
        <v>0.99</v>
      </c>
      <c r="AY932" s="3">
        <v>0</v>
      </c>
      <c r="AZ932" s="3">
        <v>1.77</v>
      </c>
      <c r="BA932" s="3">
        <v>1.2</v>
      </c>
      <c r="BB932" s="3">
        <v>1.4</v>
      </c>
      <c r="BC932">
        <v>1</v>
      </c>
      <c r="BD932">
        <v>0</v>
      </c>
      <c r="BE932" s="11">
        <v>1.5640000000000001</v>
      </c>
      <c r="BF932" s="4">
        <v>1.069</v>
      </c>
      <c r="BG932" s="4">
        <v>1.867</v>
      </c>
      <c r="BH932" s="4">
        <v>0</v>
      </c>
      <c r="BI932" s="4">
        <v>1.8520000000000001</v>
      </c>
      <c r="BJ932" s="14">
        <v>0</v>
      </c>
      <c r="BK932" s="14">
        <v>0</v>
      </c>
      <c r="BL932" s="4">
        <v>0</v>
      </c>
      <c r="BM932" s="17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0.39600000000000002</v>
      </c>
      <c r="BS932" s="4">
        <v>0</v>
      </c>
      <c r="BT932" s="4">
        <v>0</v>
      </c>
      <c r="BU932" s="4">
        <v>0.95599999999999996</v>
      </c>
      <c r="BV932" s="4">
        <v>0</v>
      </c>
      <c r="BW932" s="4">
        <v>0</v>
      </c>
      <c r="BX932" s="4">
        <v>1.425</v>
      </c>
      <c r="BY932" s="4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 s="4">
        <v>0</v>
      </c>
      <c r="CH932" s="4">
        <v>0</v>
      </c>
      <c r="CI932" s="4">
        <v>1.2</v>
      </c>
      <c r="CJ932" s="34">
        <v>0</v>
      </c>
      <c r="CK932" s="34">
        <v>0</v>
      </c>
      <c r="CL932" s="34">
        <v>0</v>
      </c>
      <c r="CM932" s="4">
        <v>0</v>
      </c>
      <c r="CN932" s="53">
        <v>0</v>
      </c>
      <c r="CO932" s="54">
        <v>0</v>
      </c>
      <c r="CP932" s="54">
        <v>0</v>
      </c>
      <c r="CQ932" s="4">
        <v>0</v>
      </c>
    </row>
    <row r="933" spans="1:95" x14ac:dyDescent="0.35">
      <c r="A933" s="55">
        <v>932</v>
      </c>
      <c r="B933" t="s">
        <v>120</v>
      </c>
      <c r="C933" s="27" t="s">
        <v>1013</v>
      </c>
      <c r="D933" s="3" t="s">
        <v>94</v>
      </c>
      <c r="E933" s="33" t="s">
        <v>91</v>
      </c>
      <c r="F933" s="4">
        <f>IFERROR(AVERAGEIF(Table1[[#This Row],[2019-Apr]:[2025-July]],"&lt;&gt;0"),0)</f>
        <v>2.9662962962962958</v>
      </c>
      <c r="G933" s="4">
        <f ca="1">IFERROR(AVERAGEIF(OFFSET(Table1[[#This Row],[Status]],0,COUNT(Table1[[#This Row],[2019-May]:[2025-July]]),1,-12),"&lt;&gt;0"),0)</f>
        <v>3.85</v>
      </c>
      <c r="H933" s="55">
        <f>IFERROR(SMALL(Table1[[#This Row],[2019-Apr]:[2025-July]],COUNTIF(Table1[[#This Row],[2019-Apr]:[2025-July]],0)+1),0)</f>
        <v>2.17</v>
      </c>
      <c r="I933" s="56">
        <f>IFERROR(MAX(Table1[[#This Row],[2019-Apr]:[2025-July]]),0)</f>
        <v>4.6399999999999997</v>
      </c>
      <c r="J933" s="4" cm="1">
        <f t="array" ref="J93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2.2401666666666666</v>
      </c>
      <c r="K933" s="4">
        <v>4.5</v>
      </c>
      <c r="L933" s="4">
        <f>IF(Table1[[#This Row],[Standard as per ISO]]&gt;=Table1[[#This Row],[Avg of best 6]],Table1[[#This Row],[Standard as per ISO]],Table1[[#This Row],[Avg of best 6]])</f>
        <v>4.5</v>
      </c>
      <c r="M933" s="4" cm="1">
        <f t="array" ref="M933">IFERROR(LOOKUP(2,1/(Table1[[#This Row],[2019-May]:[2025-July]]&lt;&gt;0),Table1[[#This Row],[2019-May]:[2025-July]]),0)</f>
        <v>3.85</v>
      </c>
      <c r="N933" s="4">
        <f>COUNTIF(Table1[[#This Row],[2019-Apr]:[2025-July]],"&gt;="&amp;Table1[[#This Row],[Target]])</f>
        <v>2</v>
      </c>
      <c r="O933" s="4">
        <f>IF(Table1[[#This Row],[Outliers 2Y]]=0,1,0)</f>
        <v>0</v>
      </c>
      <c r="P933" s="4">
        <f>IF(Table1[[#This Row],[Last value]]&gt;1.5*Table1[[#This Row],[Target]],1,0)</f>
        <v>0</v>
      </c>
      <c r="Q933" s="4">
        <f>IF(AND(1.5*Table1[[#This Row],[Target]]&gt;=Table1[[#This Row],[Last value]],Table1[[#This Row],[Last value]]&gt;Table1[[#This Row],[Target]]),1,0)</f>
        <v>0</v>
      </c>
      <c r="R933" s="4">
        <f>IF(Table1[[#This Row],[Target]]&gt;=Table1[[#This Row],[Last value]],1,0)</f>
        <v>1</v>
      </c>
      <c r="S933" s="4" t="str">
        <f t="shared" si="17"/>
        <v>Green</v>
      </c>
      <c r="T933">
        <v>3.62</v>
      </c>
      <c r="U933">
        <v>0</v>
      </c>
      <c r="V933">
        <v>2.29</v>
      </c>
      <c r="W933">
        <v>2.2599999999999998</v>
      </c>
      <c r="X933">
        <v>2.2999999999999998</v>
      </c>
      <c r="Y933">
        <v>2.17</v>
      </c>
      <c r="Z933">
        <v>2.9</v>
      </c>
      <c r="AA933">
        <v>2.8</v>
      </c>
      <c r="AB933">
        <v>2.5499999999999998</v>
      </c>
      <c r="AC933">
        <v>4.07</v>
      </c>
      <c r="AD933">
        <v>3.3</v>
      </c>
      <c r="AE933">
        <v>2.8</v>
      </c>
      <c r="AF933">
        <v>3.62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2.57</v>
      </c>
      <c r="AN933">
        <v>2.8</v>
      </c>
      <c r="AO933">
        <v>4.6399999999999997</v>
      </c>
      <c r="AP933">
        <v>2.2999999999999998</v>
      </c>
      <c r="AQ933">
        <v>2.2999999999999998</v>
      </c>
      <c r="AR933" s="8">
        <v>2.2400000000000002</v>
      </c>
      <c r="AS933" s="9">
        <v>0</v>
      </c>
      <c r="AT933" s="8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4.5</v>
      </c>
      <c r="BB933" s="3">
        <v>2.9</v>
      </c>
      <c r="BC933">
        <v>3.2</v>
      </c>
      <c r="BD933">
        <v>0</v>
      </c>
      <c r="BE933" s="11">
        <v>0</v>
      </c>
      <c r="BF933" s="4">
        <v>2.4580000000000002</v>
      </c>
      <c r="BG933" s="4">
        <v>3.3519999999999999</v>
      </c>
      <c r="BH933" s="4">
        <v>0</v>
      </c>
      <c r="BI933" s="4">
        <v>3.36</v>
      </c>
      <c r="BJ933" s="13">
        <v>0</v>
      </c>
      <c r="BK933" s="13">
        <v>0</v>
      </c>
      <c r="BL933" s="4">
        <v>0</v>
      </c>
      <c r="BM933" s="16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2.7589999999999999</v>
      </c>
      <c r="BS933" s="4">
        <v>0</v>
      </c>
      <c r="BT933" s="4">
        <v>0</v>
      </c>
      <c r="BU933" s="4">
        <v>2.181</v>
      </c>
      <c r="BV933" s="4">
        <v>0</v>
      </c>
      <c r="BW933" s="4">
        <v>0</v>
      </c>
      <c r="BX933" s="4">
        <v>0</v>
      </c>
      <c r="BY933" s="4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 s="4">
        <v>0</v>
      </c>
      <c r="CH933" s="4">
        <v>0</v>
      </c>
      <c r="CI933" s="4">
        <v>3.85</v>
      </c>
      <c r="CJ933" s="34">
        <v>0</v>
      </c>
      <c r="CK933" s="34">
        <v>0</v>
      </c>
      <c r="CL933" s="34">
        <v>0</v>
      </c>
      <c r="CM933" s="4">
        <v>0</v>
      </c>
      <c r="CN933" s="53">
        <v>0</v>
      </c>
      <c r="CO933" s="54">
        <v>0</v>
      </c>
      <c r="CP933" s="54">
        <v>0</v>
      </c>
      <c r="CQ933" s="4">
        <v>0</v>
      </c>
    </row>
    <row r="934" spans="1:95" x14ac:dyDescent="0.35">
      <c r="A934" s="55">
        <v>933</v>
      </c>
      <c r="B934" t="s">
        <v>120</v>
      </c>
      <c r="C934" s="27" t="s">
        <v>1014</v>
      </c>
      <c r="D934" s="3" t="s">
        <v>94</v>
      </c>
      <c r="E934" s="33" t="s">
        <v>91</v>
      </c>
      <c r="F934" s="4">
        <f>IFERROR(AVERAGEIF(Table1[[#This Row],[2019-Apr]:[2025-July]],"&lt;&gt;0"),0)</f>
        <v>2.9535142857142858</v>
      </c>
      <c r="G934" s="4">
        <f ca="1">IFERROR(AVERAGEIF(OFFSET(Table1[[#This Row],[Status]],0,COUNT(Table1[[#This Row],[2019-May]:[2025-July]]),1,-12),"&lt;&gt;0"),0)</f>
        <v>0</v>
      </c>
      <c r="H934" s="55">
        <f>IFERROR(SMALL(Table1[[#This Row],[2019-Apr]:[2025-July]],COUNTIF(Table1[[#This Row],[2019-Apr]:[2025-July]],0)+1),0)</f>
        <v>1.3720000000000001</v>
      </c>
      <c r="I934" s="56">
        <f>IFERROR(MAX(Table1[[#This Row],[2019-Apr]:[2025-July]]),0)</f>
        <v>7.25</v>
      </c>
      <c r="J934" s="4" cm="1">
        <f t="array" ref="J93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1.679</v>
      </c>
      <c r="K934" s="4">
        <v>4.5</v>
      </c>
      <c r="L934" s="4">
        <f>IF(Table1[[#This Row],[Standard as per ISO]]&gt;=Table1[[#This Row],[Avg of best 6]],Table1[[#This Row],[Standard as per ISO]],Table1[[#This Row],[Avg of best 6]])</f>
        <v>4.5</v>
      </c>
      <c r="M934" s="4" cm="1">
        <f t="array" ref="M934">IFERROR(LOOKUP(2,1/(Table1[[#This Row],[2019-May]:[2025-July]]&lt;&gt;0),Table1[[#This Row],[2019-May]:[2025-July]]),0)</f>
        <v>1.593</v>
      </c>
      <c r="N934" s="4">
        <f>COUNTIF(Table1[[#This Row],[2019-Apr]:[2025-July]],"&gt;="&amp;Table1[[#This Row],[Target]])</f>
        <v>6</v>
      </c>
      <c r="O934" s="4">
        <f>IF(Table1[[#This Row],[Outliers 2Y]]=0,1,0)</f>
        <v>0</v>
      </c>
      <c r="P934" s="4">
        <f>IF(Table1[[#This Row],[Last value]]&gt;1.5*Table1[[#This Row],[Target]],1,0)</f>
        <v>0</v>
      </c>
      <c r="Q934" s="4">
        <f>IF(AND(1.5*Table1[[#This Row],[Target]]&gt;=Table1[[#This Row],[Last value]],Table1[[#This Row],[Last value]]&gt;Table1[[#This Row],[Target]]),1,0)</f>
        <v>0</v>
      </c>
      <c r="R934" s="4">
        <f>IF(Table1[[#This Row],[Target]]&gt;=Table1[[#This Row],[Last value]],1,0)</f>
        <v>1</v>
      </c>
      <c r="S934" s="4" t="str">
        <f t="shared" si="17"/>
        <v>Green</v>
      </c>
      <c r="T934">
        <v>7.25</v>
      </c>
      <c r="U934">
        <v>6.5</v>
      </c>
      <c r="V934">
        <v>4.8899999999999997</v>
      </c>
      <c r="W934">
        <v>5.89</v>
      </c>
      <c r="X934">
        <v>4.9000000000000004</v>
      </c>
      <c r="Y934">
        <v>4.79</v>
      </c>
      <c r="Z934">
        <v>2.2999999999999998</v>
      </c>
      <c r="AA934">
        <v>2.2000000000000002</v>
      </c>
      <c r="AB934">
        <v>2.48</v>
      </c>
      <c r="AC934">
        <v>2.6</v>
      </c>
      <c r="AD934">
        <v>2.5</v>
      </c>
      <c r="AE934">
        <v>2.1</v>
      </c>
      <c r="AF934">
        <v>1.9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2.4900000000000002</v>
      </c>
      <c r="AN934">
        <v>2.76</v>
      </c>
      <c r="AO934">
        <v>2.5</v>
      </c>
      <c r="AP934">
        <v>2.17</v>
      </c>
      <c r="AQ934">
        <v>2.2200000000000002</v>
      </c>
      <c r="AR934" s="9">
        <v>2.222</v>
      </c>
      <c r="AS934" s="9">
        <v>2.5299999999999998</v>
      </c>
      <c r="AT934" s="8">
        <v>0</v>
      </c>
      <c r="AU934" s="3">
        <v>2.44</v>
      </c>
      <c r="AV934" s="3">
        <v>3.6</v>
      </c>
      <c r="AW934" s="3">
        <v>3.25</v>
      </c>
      <c r="AX934" s="3">
        <v>3.08</v>
      </c>
      <c r="AY934" s="3">
        <v>2.83</v>
      </c>
      <c r="AZ934" s="3">
        <v>1.8</v>
      </c>
      <c r="BA934" s="3">
        <v>1.9</v>
      </c>
      <c r="BB934" s="3">
        <v>3.3</v>
      </c>
      <c r="BC934">
        <v>1.9</v>
      </c>
      <c r="BD934">
        <v>0</v>
      </c>
      <c r="BE934" s="11">
        <v>2.1259999999999999</v>
      </c>
      <c r="BF934" s="4">
        <v>1.6279999999999999</v>
      </c>
      <c r="BG934" s="4">
        <v>1.7809999999999999</v>
      </c>
      <c r="BH934" s="4">
        <v>0</v>
      </c>
      <c r="BI934" s="4">
        <v>1.3720000000000001</v>
      </c>
      <c r="BJ934" s="14">
        <v>0</v>
      </c>
      <c r="BK934" s="14">
        <v>0</v>
      </c>
      <c r="BL934" s="4">
        <v>0</v>
      </c>
      <c r="BM934" s="17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3.581</v>
      </c>
      <c r="BV934" s="4">
        <v>0</v>
      </c>
      <c r="BW934" s="4">
        <v>0</v>
      </c>
      <c r="BX934" s="4">
        <v>1.593</v>
      </c>
      <c r="BY934" s="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 s="4">
        <v>0</v>
      </c>
      <c r="CH934" s="4">
        <v>0</v>
      </c>
      <c r="CI934" s="4">
        <v>0</v>
      </c>
      <c r="CJ934" s="34">
        <v>0</v>
      </c>
      <c r="CK934" s="34">
        <v>0</v>
      </c>
      <c r="CL934" s="34">
        <v>0</v>
      </c>
      <c r="CM934" s="4">
        <v>0</v>
      </c>
      <c r="CN934" s="53">
        <v>0</v>
      </c>
      <c r="CO934" s="54">
        <v>0</v>
      </c>
      <c r="CP934" s="54">
        <v>0</v>
      </c>
      <c r="CQ934" s="4">
        <v>0</v>
      </c>
    </row>
    <row r="935" spans="1:95" x14ac:dyDescent="0.35">
      <c r="A935" s="55">
        <v>934</v>
      </c>
      <c r="B935" t="s">
        <v>120</v>
      </c>
      <c r="C935" s="27" t="s">
        <v>1015</v>
      </c>
      <c r="D935" s="3" t="s">
        <v>94</v>
      </c>
      <c r="E935" s="33" t="s">
        <v>91</v>
      </c>
      <c r="F935" s="4">
        <f>IFERROR(AVERAGEIF(Table1[[#This Row],[2019-Apr]:[2025-July]],"&lt;&gt;0"),0)</f>
        <v>2.6588484848484848</v>
      </c>
      <c r="G935" s="4">
        <f ca="1">IFERROR(AVERAGEIF(OFFSET(Table1[[#This Row],[Status]],0,COUNT(Table1[[#This Row],[2019-May]:[2025-July]]),1,-12),"&lt;&gt;0"),0)</f>
        <v>3.96</v>
      </c>
      <c r="H935" s="55">
        <f>IFERROR(SMALL(Table1[[#This Row],[2019-Apr]:[2025-July]],COUNTIF(Table1[[#This Row],[2019-Apr]:[2025-July]],0)+1),0)</f>
        <v>1.73</v>
      </c>
      <c r="I935" s="56">
        <f>IFERROR(MAX(Table1[[#This Row],[2019-Apr]:[2025-July]]),0)</f>
        <v>6.27</v>
      </c>
      <c r="J935" s="4" cm="1">
        <f t="array" ref="J93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1.9463333333333332</v>
      </c>
      <c r="K935" s="4">
        <v>4.5</v>
      </c>
      <c r="L935" s="4">
        <f>IF(Table1[[#This Row],[Standard as per ISO]]&gt;=Table1[[#This Row],[Avg of best 6]],Table1[[#This Row],[Standard as per ISO]],Table1[[#This Row],[Avg of best 6]])</f>
        <v>4.5</v>
      </c>
      <c r="M935" s="4" cm="1">
        <f t="array" ref="M935">IFERROR(LOOKUP(2,1/(Table1[[#This Row],[2019-May]:[2025-July]]&lt;&gt;0),Table1[[#This Row],[2019-May]:[2025-July]]),0)</f>
        <v>3.96</v>
      </c>
      <c r="N935" s="4">
        <f>COUNTIF(Table1[[#This Row],[2019-Apr]:[2025-July]],"&gt;="&amp;Table1[[#This Row],[Target]])</f>
        <v>1</v>
      </c>
      <c r="O935" s="4">
        <f>IF(Table1[[#This Row],[Outliers 2Y]]=0,1,0)</f>
        <v>0</v>
      </c>
      <c r="P935" s="4">
        <f>IF(Table1[[#This Row],[Last value]]&gt;1.5*Table1[[#This Row],[Target]],1,0)</f>
        <v>0</v>
      </c>
      <c r="Q935" s="4">
        <f>IF(AND(1.5*Table1[[#This Row],[Target]]&gt;=Table1[[#This Row],[Last value]],Table1[[#This Row],[Last value]]&gt;Table1[[#This Row],[Target]]),1,0)</f>
        <v>0</v>
      </c>
      <c r="R935" s="4">
        <f>IF(Table1[[#This Row],[Target]]&gt;=Table1[[#This Row],[Last value]],1,0)</f>
        <v>1</v>
      </c>
      <c r="S935" s="4" t="str">
        <f t="shared" si="17"/>
        <v>Green</v>
      </c>
      <c r="T935">
        <v>3.03</v>
      </c>
      <c r="U935">
        <v>2.5299999999999998</v>
      </c>
      <c r="V935">
        <v>2.17</v>
      </c>
      <c r="W935">
        <v>1.77</v>
      </c>
      <c r="X935">
        <v>2.2999999999999998</v>
      </c>
      <c r="Y935">
        <v>2.34</v>
      </c>
      <c r="Z935">
        <v>2</v>
      </c>
      <c r="AA935">
        <v>2.6</v>
      </c>
      <c r="AB935">
        <v>3.09</v>
      </c>
      <c r="AC935">
        <v>3.03</v>
      </c>
      <c r="AD935">
        <v>2.5</v>
      </c>
      <c r="AE935">
        <v>2.4</v>
      </c>
      <c r="AF935">
        <v>2.9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6.27</v>
      </c>
      <c r="AN935">
        <v>0</v>
      </c>
      <c r="AO935">
        <v>3.13</v>
      </c>
      <c r="AP935">
        <v>1.73</v>
      </c>
      <c r="AQ935">
        <v>0</v>
      </c>
      <c r="AR935" s="9">
        <v>0</v>
      </c>
      <c r="AS935" s="9">
        <v>2.0299999999999998</v>
      </c>
      <c r="AT935" s="8">
        <v>0</v>
      </c>
      <c r="AU935" s="3">
        <v>2.91</v>
      </c>
      <c r="AV935" s="3">
        <v>2.67</v>
      </c>
      <c r="AW935" s="3">
        <v>3.13</v>
      </c>
      <c r="AX935" s="3">
        <v>2.67</v>
      </c>
      <c r="AY935" s="3">
        <v>2.4500000000000002</v>
      </c>
      <c r="AZ935" s="3">
        <v>2.2000000000000002</v>
      </c>
      <c r="BA935" s="3">
        <v>0</v>
      </c>
      <c r="BB935" s="3">
        <v>2.6</v>
      </c>
      <c r="BC935">
        <v>2</v>
      </c>
      <c r="BD935">
        <v>0</v>
      </c>
      <c r="BE935" s="11">
        <v>2.448</v>
      </c>
      <c r="BF935" s="4">
        <v>2.15</v>
      </c>
      <c r="BG935" s="4">
        <v>2.1480000000000001</v>
      </c>
      <c r="BH935" s="4">
        <v>0</v>
      </c>
      <c r="BI935" s="4">
        <v>2.2909999999999999</v>
      </c>
      <c r="BJ935" s="13">
        <v>0</v>
      </c>
      <c r="BK935" s="13">
        <v>0</v>
      </c>
      <c r="BL935" s="4">
        <v>0</v>
      </c>
      <c r="BM935" s="16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3.2410000000000001</v>
      </c>
      <c r="BS935" s="4">
        <v>0</v>
      </c>
      <c r="BT935" s="4">
        <v>0</v>
      </c>
      <c r="BU935" s="4">
        <v>2.6179999999999999</v>
      </c>
      <c r="BV935" s="4">
        <v>0</v>
      </c>
      <c r="BW935" s="4">
        <v>0</v>
      </c>
      <c r="BX935" s="4">
        <v>2.4359999999999999</v>
      </c>
      <c r="BY935" s="4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 s="4">
        <v>0</v>
      </c>
      <c r="CH935" s="4">
        <v>0</v>
      </c>
      <c r="CI935" s="4">
        <v>3.96</v>
      </c>
      <c r="CJ935" s="34">
        <v>0</v>
      </c>
      <c r="CK935" s="34">
        <v>0</v>
      </c>
      <c r="CL935" s="34">
        <v>0</v>
      </c>
      <c r="CM935" s="4">
        <v>0</v>
      </c>
      <c r="CN935" s="53">
        <v>0</v>
      </c>
      <c r="CO935" s="54">
        <v>0</v>
      </c>
      <c r="CP935" s="54">
        <v>0</v>
      </c>
      <c r="CQ935" s="4">
        <v>0</v>
      </c>
    </row>
    <row r="936" spans="1:95" x14ac:dyDescent="0.35">
      <c r="A936" s="55">
        <v>935</v>
      </c>
      <c r="B936" t="s">
        <v>120</v>
      </c>
      <c r="C936" s="27" t="s">
        <v>1016</v>
      </c>
      <c r="D936" s="3" t="s">
        <v>94</v>
      </c>
      <c r="E936" s="33" t="s">
        <v>91</v>
      </c>
      <c r="F936" s="4">
        <f>IFERROR(AVERAGEIF(Table1[[#This Row],[2019-Apr]:[2025-July]],"&lt;&gt;0"),0)</f>
        <v>1.4959722222222223</v>
      </c>
      <c r="G936" s="4">
        <f ca="1">IFERROR(AVERAGEIF(OFFSET(Table1[[#This Row],[Status]],0,COUNT(Table1[[#This Row],[2019-May]:[2025-July]]),1,-12),"&lt;&gt;0"),0)</f>
        <v>1.31</v>
      </c>
      <c r="H936" s="55">
        <f>IFERROR(SMALL(Table1[[#This Row],[2019-Apr]:[2025-July]],COUNTIF(Table1[[#This Row],[2019-Apr]:[2025-July]],0)+1),0)</f>
        <v>0.7</v>
      </c>
      <c r="I936" s="56">
        <f>IFERROR(MAX(Table1[[#This Row],[2019-Apr]:[2025-July]]),0)</f>
        <v>2.8</v>
      </c>
      <c r="J936" s="4" cm="1">
        <f t="array" ref="J93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0.8224999999999999</v>
      </c>
      <c r="K936" s="4">
        <v>4.5</v>
      </c>
      <c r="L936" s="4">
        <f>IF(Table1[[#This Row],[Standard as per ISO]]&gt;=Table1[[#This Row],[Avg of best 6]],Table1[[#This Row],[Standard as per ISO]],Table1[[#This Row],[Avg of best 6]])</f>
        <v>4.5</v>
      </c>
      <c r="M936" s="4" cm="1">
        <f t="array" ref="M936">IFERROR(LOOKUP(2,1/(Table1[[#This Row],[2019-May]:[2025-July]]&lt;&gt;0),Table1[[#This Row],[2019-May]:[2025-July]]),0)</f>
        <v>1.31</v>
      </c>
      <c r="N936" s="4">
        <f>COUNTIF(Table1[[#This Row],[2019-Apr]:[2025-July]],"&gt;="&amp;Table1[[#This Row],[Target]])</f>
        <v>0</v>
      </c>
      <c r="O936" s="4">
        <f>IF(Table1[[#This Row],[Outliers 2Y]]=0,1,0)</f>
        <v>1</v>
      </c>
      <c r="P936" s="4">
        <f>IF(Table1[[#This Row],[Last value]]&gt;1.5*Table1[[#This Row],[Target]],1,0)</f>
        <v>0</v>
      </c>
      <c r="Q936" s="4">
        <f>IF(AND(1.5*Table1[[#This Row],[Target]]&gt;=Table1[[#This Row],[Last value]],Table1[[#This Row],[Last value]]&gt;Table1[[#This Row],[Target]]),1,0)</f>
        <v>0</v>
      </c>
      <c r="R936" s="4">
        <f>IF(Table1[[#This Row],[Target]]&gt;=Table1[[#This Row],[Last value]],1,0)</f>
        <v>1</v>
      </c>
      <c r="S936" s="4" t="str">
        <f t="shared" si="17"/>
        <v>Green</v>
      </c>
      <c r="T936">
        <v>0.92</v>
      </c>
      <c r="U936">
        <v>0.85</v>
      </c>
      <c r="V936">
        <v>1.59</v>
      </c>
      <c r="W936">
        <v>1.35</v>
      </c>
      <c r="X936">
        <v>0.9</v>
      </c>
      <c r="Y936">
        <v>1.33</v>
      </c>
      <c r="Z936">
        <v>1.5</v>
      </c>
      <c r="AA936">
        <v>1.2</v>
      </c>
      <c r="AB936">
        <v>1.2</v>
      </c>
      <c r="AC936">
        <v>1.21</v>
      </c>
      <c r="AD936">
        <v>1.9</v>
      </c>
      <c r="AE936">
        <v>1</v>
      </c>
      <c r="AF936">
        <v>0.7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1.76</v>
      </c>
      <c r="AN936">
        <v>0</v>
      </c>
      <c r="AO936">
        <v>1.58</v>
      </c>
      <c r="AP936">
        <v>1.7</v>
      </c>
      <c r="AQ936">
        <v>1.95</v>
      </c>
      <c r="AR936" s="9">
        <v>1.47</v>
      </c>
      <c r="AS936" s="9">
        <v>1.38</v>
      </c>
      <c r="AT936" s="8">
        <v>0</v>
      </c>
      <c r="AU936" s="3">
        <v>1.68</v>
      </c>
      <c r="AV936" s="3">
        <v>1.54</v>
      </c>
      <c r="AW936" s="3">
        <v>2.4500000000000002</v>
      </c>
      <c r="AX936" s="3">
        <v>1.93</v>
      </c>
      <c r="AY936" s="3">
        <v>2.52</v>
      </c>
      <c r="AZ936" s="3">
        <v>2.8</v>
      </c>
      <c r="BA936" s="3">
        <v>2.2999999999999998</v>
      </c>
      <c r="BB936" s="3">
        <v>1.2</v>
      </c>
      <c r="BC936">
        <v>0.7</v>
      </c>
      <c r="BD936">
        <v>0</v>
      </c>
      <c r="BE936" s="11">
        <v>1.5169999999999999</v>
      </c>
      <c r="BF936" s="4">
        <v>2.23</v>
      </c>
      <c r="BG936" s="4">
        <v>1.3640000000000001</v>
      </c>
      <c r="BH936" s="4">
        <v>0</v>
      </c>
      <c r="BI936" s="4">
        <v>1.472</v>
      </c>
      <c r="BJ936" s="14">
        <v>0</v>
      </c>
      <c r="BK936" s="14">
        <v>0</v>
      </c>
      <c r="BL936" s="4">
        <v>0</v>
      </c>
      <c r="BM936" s="17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1.5669999999999999</v>
      </c>
      <c r="BS936" s="4">
        <v>0</v>
      </c>
      <c r="BT936" s="4">
        <v>0</v>
      </c>
      <c r="BU936" s="4">
        <v>0.82199999999999995</v>
      </c>
      <c r="BV936" s="4">
        <v>0</v>
      </c>
      <c r="BW936" s="4">
        <v>0</v>
      </c>
      <c r="BX936" s="4">
        <v>0.96299999999999997</v>
      </c>
      <c r="BY936" s="4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 s="4">
        <v>0</v>
      </c>
      <c r="CH936" s="4">
        <v>0</v>
      </c>
      <c r="CI936" s="4">
        <v>1.31</v>
      </c>
      <c r="CJ936" s="34">
        <v>0</v>
      </c>
      <c r="CK936" s="34">
        <v>0</v>
      </c>
      <c r="CL936" s="34">
        <v>0</v>
      </c>
      <c r="CM936" s="4">
        <v>0</v>
      </c>
      <c r="CN936" s="53">
        <v>0</v>
      </c>
      <c r="CO936" s="54">
        <v>0</v>
      </c>
      <c r="CP936" s="54">
        <v>0</v>
      </c>
      <c r="CQ936" s="4">
        <v>0</v>
      </c>
    </row>
    <row r="937" spans="1:95" x14ac:dyDescent="0.35">
      <c r="A937" s="55">
        <v>936</v>
      </c>
      <c r="B937" t="s">
        <v>120</v>
      </c>
      <c r="C937" s="27" t="s">
        <v>1017</v>
      </c>
      <c r="D937" s="3" t="s">
        <v>94</v>
      </c>
      <c r="E937" s="33" t="s">
        <v>91</v>
      </c>
      <c r="F937" s="4">
        <f>IFERROR(AVERAGEIF(Table1[[#This Row],[2019-Apr]:[2025-July]],"&lt;&gt;0"),0)</f>
        <v>1.8027272727272727</v>
      </c>
      <c r="G937" s="4">
        <f ca="1">IFERROR(AVERAGEIF(OFFSET(Table1[[#This Row],[Status]],0,COUNT(Table1[[#This Row],[2019-May]:[2025-July]]),1,-12),"&lt;&gt;0"),0)</f>
        <v>1.63</v>
      </c>
      <c r="H937" s="55">
        <f>IFERROR(SMALL(Table1[[#This Row],[2019-Apr]:[2025-July]],COUNTIF(Table1[[#This Row],[2019-Apr]:[2025-July]],0)+1),0)</f>
        <v>0.6</v>
      </c>
      <c r="I937" s="56">
        <f>IFERROR(MAX(Table1[[#This Row],[2019-Apr]:[2025-July]]),0)</f>
        <v>3.98</v>
      </c>
      <c r="J937" s="4" cm="1">
        <f t="array" ref="J93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0.84149999999999991</v>
      </c>
      <c r="K937" s="4">
        <v>4.5</v>
      </c>
      <c r="L937" s="4">
        <f>IF(Table1[[#This Row],[Standard as per ISO]]&gt;=Table1[[#This Row],[Avg of best 6]],Table1[[#This Row],[Standard as per ISO]],Table1[[#This Row],[Avg of best 6]])</f>
        <v>4.5</v>
      </c>
      <c r="M937" s="4" cm="1">
        <f t="array" ref="M937">IFERROR(LOOKUP(2,1/(Table1[[#This Row],[2019-May]:[2025-July]]&lt;&gt;0),Table1[[#This Row],[2019-May]:[2025-July]]),0)</f>
        <v>1.63</v>
      </c>
      <c r="N937" s="4">
        <f>COUNTIF(Table1[[#This Row],[2019-Apr]:[2025-July]],"&gt;="&amp;Table1[[#This Row],[Target]])</f>
        <v>0</v>
      </c>
      <c r="O937" s="4">
        <f>IF(Table1[[#This Row],[Outliers 2Y]]=0,1,0)</f>
        <v>1</v>
      </c>
      <c r="P937" s="4">
        <f>IF(Table1[[#This Row],[Last value]]&gt;1.5*Table1[[#This Row],[Target]],1,0)</f>
        <v>0</v>
      </c>
      <c r="Q937" s="4">
        <f>IF(AND(1.5*Table1[[#This Row],[Target]]&gt;=Table1[[#This Row],[Last value]],Table1[[#This Row],[Last value]]&gt;Table1[[#This Row],[Target]]),1,0)</f>
        <v>0</v>
      </c>
      <c r="R937" s="4">
        <f>IF(Table1[[#This Row],[Target]]&gt;=Table1[[#This Row],[Last value]],1,0)</f>
        <v>1</v>
      </c>
      <c r="S937" s="4" t="str">
        <f t="shared" si="17"/>
        <v>Green</v>
      </c>
      <c r="T937">
        <v>0.91</v>
      </c>
      <c r="U937">
        <v>3.76</v>
      </c>
      <c r="V937">
        <v>3.56</v>
      </c>
      <c r="W937">
        <v>2.76</v>
      </c>
      <c r="X937">
        <v>3.72</v>
      </c>
      <c r="Y937">
        <v>3.81</v>
      </c>
      <c r="Z937">
        <v>1.2</v>
      </c>
      <c r="AA937">
        <v>3.8</v>
      </c>
      <c r="AB937">
        <v>3.98</v>
      </c>
      <c r="AC937">
        <v>2.8</v>
      </c>
      <c r="AD937">
        <v>2.8</v>
      </c>
      <c r="AE937">
        <v>0.6</v>
      </c>
      <c r="AF937">
        <v>0.79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1.1100000000000001</v>
      </c>
      <c r="AN937">
        <v>1.1399999999999999</v>
      </c>
      <c r="AO937">
        <v>1.052</v>
      </c>
      <c r="AP937">
        <v>1.1000000000000001</v>
      </c>
      <c r="AQ937">
        <v>0</v>
      </c>
      <c r="AR937" s="8">
        <v>0</v>
      </c>
      <c r="AS937" s="9">
        <v>1.26</v>
      </c>
      <c r="AT937" s="8">
        <v>0</v>
      </c>
      <c r="AU937" s="3">
        <v>1.17</v>
      </c>
      <c r="AV937" s="3">
        <v>1.24</v>
      </c>
      <c r="AW937" s="3">
        <v>1.91</v>
      </c>
      <c r="AX937" s="3">
        <v>1.55</v>
      </c>
      <c r="AY937" s="3">
        <v>1.29</v>
      </c>
      <c r="AZ937" s="3">
        <v>1.42</v>
      </c>
      <c r="BA937" s="3">
        <v>1.1000000000000001</v>
      </c>
      <c r="BB937" s="3">
        <v>0.9</v>
      </c>
      <c r="BC937">
        <v>0.9</v>
      </c>
      <c r="BD937">
        <v>0</v>
      </c>
      <c r="BE937" s="11">
        <v>0.80700000000000005</v>
      </c>
      <c r="BF937" s="4">
        <v>1.2809999999999999</v>
      </c>
      <c r="BG937" s="4">
        <v>1.401</v>
      </c>
      <c r="BH937" s="4">
        <v>0</v>
      </c>
      <c r="BI937" s="4">
        <v>0</v>
      </c>
      <c r="BJ937" s="13">
        <v>0</v>
      </c>
      <c r="BK937" s="13">
        <v>0</v>
      </c>
      <c r="BL937" s="4">
        <v>0</v>
      </c>
      <c r="BM937" s="16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1.2589999999999999</v>
      </c>
      <c r="BS937" s="4">
        <v>0</v>
      </c>
      <c r="BT937" s="4">
        <v>0</v>
      </c>
      <c r="BU937" s="4">
        <v>1.48</v>
      </c>
      <c r="BV937" s="4">
        <v>0</v>
      </c>
      <c r="BW937" s="4">
        <v>0</v>
      </c>
      <c r="BX937" s="4">
        <v>0</v>
      </c>
      <c r="BY937" s="4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 s="4">
        <v>0</v>
      </c>
      <c r="CH937" s="4">
        <v>0</v>
      </c>
      <c r="CI937" s="4">
        <v>1.63</v>
      </c>
      <c r="CJ937" s="34">
        <v>0</v>
      </c>
      <c r="CK937" s="34">
        <v>0</v>
      </c>
      <c r="CL937" s="34">
        <v>0</v>
      </c>
      <c r="CM937" s="4">
        <v>0</v>
      </c>
      <c r="CN937" s="53">
        <v>0</v>
      </c>
      <c r="CO937" s="54">
        <v>0</v>
      </c>
      <c r="CP937" s="54">
        <v>0</v>
      </c>
      <c r="CQ937" s="4">
        <v>0</v>
      </c>
    </row>
    <row r="938" spans="1:95" x14ac:dyDescent="0.35">
      <c r="A938" s="55">
        <v>937</v>
      </c>
      <c r="B938" t="s">
        <v>120</v>
      </c>
      <c r="C938" s="27" t="s">
        <v>1018</v>
      </c>
      <c r="D938" s="3" t="s">
        <v>94</v>
      </c>
      <c r="E938" s="33" t="s">
        <v>91</v>
      </c>
      <c r="F938" s="4">
        <f>IFERROR(AVERAGEIF(Table1[[#This Row],[2019-Apr]:[2025-July]],"&lt;&gt;0"),0)</f>
        <v>2.9313448275862073</v>
      </c>
      <c r="G938" s="4">
        <f ca="1">IFERROR(AVERAGEIF(OFFSET(Table1[[#This Row],[Status]],0,COUNT(Table1[[#This Row],[2019-May]:[2025-July]]),1,-12),"&lt;&gt;0"),0)</f>
        <v>2.89</v>
      </c>
      <c r="H938" s="55">
        <f>IFERROR(SMALL(Table1[[#This Row],[2019-Apr]:[2025-July]],COUNTIF(Table1[[#This Row],[2019-Apr]:[2025-July]],0)+1),0)</f>
        <v>0.67</v>
      </c>
      <c r="I938" s="56">
        <f>IFERROR(MAX(Table1[[#This Row],[2019-Apr]:[2025-July]]),0)</f>
        <v>4.5</v>
      </c>
      <c r="J938" s="4" cm="1">
        <f t="array" ref="J93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1.1616666666666668</v>
      </c>
      <c r="K938" s="4">
        <v>4.5</v>
      </c>
      <c r="L938" s="4">
        <f>IF(Table1[[#This Row],[Standard as per ISO]]&gt;=Table1[[#This Row],[Avg of best 6]],Table1[[#This Row],[Standard as per ISO]],Table1[[#This Row],[Avg of best 6]])</f>
        <v>4.5</v>
      </c>
      <c r="M938" s="4" cm="1">
        <f t="array" ref="M938">IFERROR(LOOKUP(2,1/(Table1[[#This Row],[2019-May]:[2025-July]]&lt;&gt;0),Table1[[#This Row],[2019-May]:[2025-July]]),0)</f>
        <v>2.89</v>
      </c>
      <c r="N938" s="4">
        <f>COUNTIF(Table1[[#This Row],[2019-Apr]:[2025-July]],"&gt;="&amp;Table1[[#This Row],[Target]])</f>
        <v>1</v>
      </c>
      <c r="O938" s="4">
        <f>IF(Table1[[#This Row],[Outliers 2Y]]=0,1,0)</f>
        <v>0</v>
      </c>
      <c r="P938" s="4">
        <f>IF(Table1[[#This Row],[Last value]]&gt;1.5*Table1[[#This Row],[Target]],1,0)</f>
        <v>0</v>
      </c>
      <c r="Q938" s="4">
        <f>IF(AND(1.5*Table1[[#This Row],[Target]]&gt;=Table1[[#This Row],[Last value]],Table1[[#This Row],[Last value]]&gt;Table1[[#This Row],[Target]]),1,0)</f>
        <v>0</v>
      </c>
      <c r="R938" s="4">
        <f>IF(Table1[[#This Row],[Target]]&gt;=Table1[[#This Row],[Last value]],1,0)</f>
        <v>1</v>
      </c>
      <c r="S938" s="4" t="str">
        <f t="shared" si="17"/>
        <v>Green</v>
      </c>
      <c r="T938">
        <v>3.24</v>
      </c>
      <c r="U938">
        <v>0</v>
      </c>
      <c r="V938">
        <v>4.0999999999999996</v>
      </c>
      <c r="W938">
        <v>2.63</v>
      </c>
      <c r="X938">
        <v>3.2</v>
      </c>
      <c r="Y938">
        <v>3.51</v>
      </c>
      <c r="Z938">
        <v>0</v>
      </c>
      <c r="AA938">
        <v>3.5</v>
      </c>
      <c r="AB938">
        <v>3.48</v>
      </c>
      <c r="AC938">
        <v>3.46</v>
      </c>
      <c r="AD938">
        <v>0</v>
      </c>
      <c r="AE938">
        <v>1.56</v>
      </c>
      <c r="AF938">
        <v>0.7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3.48</v>
      </c>
      <c r="AN938">
        <v>3.9</v>
      </c>
      <c r="AO938">
        <v>4.5</v>
      </c>
      <c r="AP938">
        <v>4.2</v>
      </c>
      <c r="AQ938">
        <v>1.31</v>
      </c>
      <c r="AR938" s="9">
        <v>3.91</v>
      </c>
      <c r="AS938" s="9">
        <v>0</v>
      </c>
      <c r="AT938" s="8">
        <v>0</v>
      </c>
      <c r="AU938" s="3">
        <v>3.97</v>
      </c>
      <c r="AV938" s="3">
        <v>0.67</v>
      </c>
      <c r="AW938" s="3">
        <v>3.68</v>
      </c>
      <c r="AX938" s="3">
        <v>0</v>
      </c>
      <c r="AY938" s="3">
        <v>0</v>
      </c>
      <c r="AZ938" s="3">
        <v>0</v>
      </c>
      <c r="BA938" s="3">
        <v>0</v>
      </c>
      <c r="BB938" s="3">
        <v>2.2999999999999998</v>
      </c>
      <c r="BC938">
        <v>0.9</v>
      </c>
      <c r="BD938">
        <v>0</v>
      </c>
      <c r="BE938" s="11">
        <v>1.83</v>
      </c>
      <c r="BF938" s="4">
        <v>2.859</v>
      </c>
      <c r="BG938" s="4">
        <v>2.9209999999999998</v>
      </c>
      <c r="BH938" s="4">
        <v>0</v>
      </c>
      <c r="BI938" s="4">
        <v>2.91</v>
      </c>
      <c r="BJ938" s="14">
        <v>0</v>
      </c>
      <c r="BK938" s="14">
        <v>0</v>
      </c>
      <c r="BL938" s="4">
        <v>0</v>
      </c>
      <c r="BM938" s="17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2.6680000000000001</v>
      </c>
      <c r="BS938" s="4">
        <v>0</v>
      </c>
      <c r="BT938" s="4">
        <v>0</v>
      </c>
      <c r="BU938" s="4">
        <v>3.1739999999999999</v>
      </c>
      <c r="BV938" s="4">
        <v>0</v>
      </c>
      <c r="BW938" s="4">
        <v>0</v>
      </c>
      <c r="BX938" s="4">
        <v>3.5569999999999999</v>
      </c>
      <c r="BY938" s="4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 s="4">
        <v>0</v>
      </c>
      <c r="CH938" s="4">
        <v>0</v>
      </c>
      <c r="CI938" s="4">
        <v>2.89</v>
      </c>
      <c r="CJ938" s="34">
        <v>0</v>
      </c>
      <c r="CK938" s="34">
        <v>0</v>
      </c>
      <c r="CL938" s="34">
        <v>0</v>
      </c>
      <c r="CM938" s="4">
        <v>0</v>
      </c>
      <c r="CN938" s="53">
        <v>0</v>
      </c>
      <c r="CO938" s="54">
        <v>0</v>
      </c>
      <c r="CP938" s="54">
        <v>0</v>
      </c>
      <c r="CQ938" s="4">
        <v>0</v>
      </c>
    </row>
    <row r="939" spans="1:95" x14ac:dyDescent="0.35">
      <c r="A939" s="55">
        <v>938</v>
      </c>
      <c r="B939" t="s">
        <v>120</v>
      </c>
      <c r="C939" s="27" t="s">
        <v>1019</v>
      </c>
      <c r="D939" s="3" t="s">
        <v>94</v>
      </c>
      <c r="E939" s="33" t="s">
        <v>91</v>
      </c>
      <c r="F939" s="4">
        <f>IFERROR(AVERAGEIF(Table1[[#This Row],[2019-Apr]:[2025-July]],"&lt;&gt;0"),0)</f>
        <v>1.6391176470588233</v>
      </c>
      <c r="G939" s="4">
        <f ca="1">IFERROR(AVERAGEIF(OFFSET(Table1[[#This Row],[Status]],0,COUNT(Table1[[#This Row],[2019-May]:[2025-July]]),1,-12),"&lt;&gt;0"),0)</f>
        <v>1.48</v>
      </c>
      <c r="H939" s="55">
        <f>IFERROR(SMALL(Table1[[#This Row],[2019-Apr]:[2025-July]],COUNTIF(Table1[[#This Row],[2019-Apr]:[2025-July]],0)+1),0)</f>
        <v>0.84</v>
      </c>
      <c r="I939" s="56">
        <f>IFERROR(MAX(Table1[[#This Row],[2019-Apr]:[2025-July]]),0)</f>
        <v>2.7</v>
      </c>
      <c r="J939" s="4" cm="1">
        <f t="array" ref="J93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1.0591666666666668</v>
      </c>
      <c r="K939" s="4">
        <v>4.5</v>
      </c>
      <c r="L939" s="4">
        <f>IF(Table1[[#This Row],[Standard as per ISO]]&gt;=Table1[[#This Row],[Avg of best 6]],Table1[[#This Row],[Standard as per ISO]],Table1[[#This Row],[Avg of best 6]])</f>
        <v>4.5</v>
      </c>
      <c r="M939" s="4" cm="1">
        <f t="array" ref="M939">IFERROR(LOOKUP(2,1/(Table1[[#This Row],[2019-May]:[2025-July]]&lt;&gt;0),Table1[[#This Row],[2019-May]:[2025-July]]),0)</f>
        <v>1.48</v>
      </c>
      <c r="N939" s="4">
        <f>COUNTIF(Table1[[#This Row],[2019-Apr]:[2025-July]],"&gt;="&amp;Table1[[#This Row],[Target]])</f>
        <v>0</v>
      </c>
      <c r="O939" s="4">
        <f>IF(Table1[[#This Row],[Outliers 2Y]]=0,1,0)</f>
        <v>1</v>
      </c>
      <c r="P939" s="4">
        <f>IF(Table1[[#This Row],[Last value]]&gt;1.5*Table1[[#This Row],[Target]],1,0)</f>
        <v>0</v>
      </c>
      <c r="Q939" s="4">
        <f>IF(AND(1.5*Table1[[#This Row],[Target]]&gt;=Table1[[#This Row],[Last value]],Table1[[#This Row],[Last value]]&gt;Table1[[#This Row],[Target]]),1,0)</f>
        <v>0</v>
      </c>
      <c r="R939" s="4">
        <f>IF(Table1[[#This Row],[Target]]&gt;=Table1[[#This Row],[Last value]],1,0)</f>
        <v>1</v>
      </c>
      <c r="S939" s="4" t="str">
        <f t="shared" si="17"/>
        <v>Green</v>
      </c>
      <c r="T939">
        <v>1.79</v>
      </c>
      <c r="U939">
        <v>0</v>
      </c>
      <c r="V939">
        <v>1.98</v>
      </c>
      <c r="W939">
        <v>1.87</v>
      </c>
      <c r="X939">
        <v>1.5</v>
      </c>
      <c r="Y939">
        <v>1.64</v>
      </c>
      <c r="Z939">
        <v>0.84</v>
      </c>
      <c r="AA939">
        <v>2.7</v>
      </c>
      <c r="AB939">
        <v>1.96</v>
      </c>
      <c r="AC939">
        <v>1.43</v>
      </c>
      <c r="AD939">
        <v>1.2</v>
      </c>
      <c r="AE939">
        <v>1.8</v>
      </c>
      <c r="AF939">
        <v>1.4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2.2400000000000002</v>
      </c>
      <c r="AN939">
        <v>0</v>
      </c>
      <c r="AO939">
        <v>2.2000000000000002</v>
      </c>
      <c r="AP939">
        <v>1.4</v>
      </c>
      <c r="AQ939">
        <v>0.92</v>
      </c>
      <c r="AR939" s="9">
        <v>2.02</v>
      </c>
      <c r="AS939" s="9">
        <v>1.91</v>
      </c>
      <c r="AT939" s="8">
        <v>0</v>
      </c>
      <c r="AU939" s="3">
        <v>2.41</v>
      </c>
      <c r="AV939" s="3">
        <v>2.4</v>
      </c>
      <c r="AW939" s="3">
        <v>1.1000000000000001</v>
      </c>
      <c r="AX939" s="3">
        <v>0</v>
      </c>
      <c r="AY939" s="3">
        <v>2.0299999999999998</v>
      </c>
      <c r="AZ939" s="3">
        <v>2</v>
      </c>
      <c r="BA939" s="3">
        <v>1.1000000000000001</v>
      </c>
      <c r="BB939" s="3">
        <v>1.2</v>
      </c>
      <c r="BC939">
        <v>1.3</v>
      </c>
      <c r="BD939">
        <v>0</v>
      </c>
      <c r="BE939" s="11">
        <v>1.7230000000000001</v>
      </c>
      <c r="BF939" s="4">
        <v>1.6679999999999999</v>
      </c>
      <c r="BG939" s="4">
        <v>1.37</v>
      </c>
      <c r="BH939" s="4">
        <v>0</v>
      </c>
      <c r="BI939" s="4">
        <v>1.27</v>
      </c>
      <c r="BJ939" s="13">
        <v>0</v>
      </c>
      <c r="BK939" s="13">
        <v>0</v>
      </c>
      <c r="BL939" s="4">
        <v>0</v>
      </c>
      <c r="BM939" s="16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1.484</v>
      </c>
      <c r="BS939" s="4">
        <v>0</v>
      </c>
      <c r="BT939" s="4">
        <v>0</v>
      </c>
      <c r="BU939" s="4">
        <v>1.196</v>
      </c>
      <c r="BV939" s="4">
        <v>0</v>
      </c>
      <c r="BW939" s="4">
        <v>0</v>
      </c>
      <c r="BX939" s="4">
        <v>1.1990000000000001</v>
      </c>
      <c r="BY939" s="4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 s="4">
        <v>0</v>
      </c>
      <c r="CH939" s="4">
        <v>0</v>
      </c>
      <c r="CI939" s="4">
        <v>1.48</v>
      </c>
      <c r="CJ939" s="34">
        <v>0</v>
      </c>
      <c r="CK939" s="34">
        <v>0</v>
      </c>
      <c r="CL939" s="34">
        <v>0</v>
      </c>
      <c r="CM939" s="4">
        <v>0</v>
      </c>
      <c r="CN939" s="53">
        <v>0</v>
      </c>
      <c r="CO939" s="54">
        <v>0</v>
      </c>
      <c r="CP939" s="54">
        <v>0</v>
      </c>
      <c r="CQ939" s="4">
        <v>0</v>
      </c>
    </row>
    <row r="940" spans="1:95" x14ac:dyDescent="0.35">
      <c r="A940" s="55">
        <v>939</v>
      </c>
      <c r="B940" t="s">
        <v>120</v>
      </c>
      <c r="C940" s="27" t="s">
        <v>1020</v>
      </c>
      <c r="D940" s="3" t="s">
        <v>94</v>
      </c>
      <c r="E940" s="33" t="s">
        <v>91</v>
      </c>
      <c r="F940" s="4">
        <f>IFERROR(AVERAGEIF(Table1[[#This Row],[2019-Apr]:[2025-July]],"&lt;&gt;0"),0)</f>
        <v>1.6118399999999997</v>
      </c>
      <c r="G940" s="4">
        <f ca="1">IFERROR(AVERAGEIF(OFFSET(Table1[[#This Row],[Status]],0,COUNT(Table1[[#This Row],[2019-May]:[2025-July]]),1,-12),"&lt;&gt;0"),0)</f>
        <v>1.1200000000000001</v>
      </c>
      <c r="H940" s="55">
        <f>IFERROR(SMALL(Table1[[#This Row],[2019-Apr]:[2025-July]],COUNTIF(Table1[[#This Row],[2019-Apr]:[2025-July]],0)+1),0)</f>
        <v>0.626</v>
      </c>
      <c r="I940" s="56">
        <f>IFERROR(MAX(Table1[[#This Row],[2019-Apr]:[2025-July]]),0)</f>
        <v>3.39</v>
      </c>
      <c r="J940" s="4" cm="1">
        <f t="array" ref="J94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0.85366666666666668</v>
      </c>
      <c r="K940" s="4">
        <v>4.5</v>
      </c>
      <c r="L940" s="4">
        <f>IF(Table1[[#This Row],[Standard as per ISO]]&gt;=Table1[[#This Row],[Avg of best 6]],Table1[[#This Row],[Standard as per ISO]],Table1[[#This Row],[Avg of best 6]])</f>
        <v>4.5</v>
      </c>
      <c r="M940" s="4" cm="1">
        <f t="array" ref="M940">IFERROR(LOOKUP(2,1/(Table1[[#This Row],[2019-May]:[2025-July]]&lt;&gt;0),Table1[[#This Row],[2019-May]:[2025-July]]),0)</f>
        <v>1.1200000000000001</v>
      </c>
      <c r="N940" s="4">
        <f>COUNTIF(Table1[[#This Row],[2019-Apr]:[2025-July]],"&gt;="&amp;Table1[[#This Row],[Target]])</f>
        <v>0</v>
      </c>
      <c r="O940" s="4">
        <f>IF(Table1[[#This Row],[Outliers 2Y]]=0,1,0)</f>
        <v>1</v>
      </c>
      <c r="P940" s="4">
        <f>IF(Table1[[#This Row],[Last value]]&gt;1.5*Table1[[#This Row],[Target]],1,0)</f>
        <v>0</v>
      </c>
      <c r="Q940" s="4">
        <f>IF(AND(1.5*Table1[[#This Row],[Target]]&gt;=Table1[[#This Row],[Last value]],Table1[[#This Row],[Last value]]&gt;Table1[[#This Row],[Target]]),1,0)</f>
        <v>0</v>
      </c>
      <c r="R940" s="4">
        <f>IF(Table1[[#This Row],[Target]]&gt;=Table1[[#This Row],[Last value]],1,0)</f>
        <v>1</v>
      </c>
      <c r="S940" s="4" t="str">
        <f t="shared" si="17"/>
        <v>Green</v>
      </c>
      <c r="T940">
        <v>0</v>
      </c>
      <c r="U940">
        <v>0</v>
      </c>
      <c r="V940">
        <v>3.39</v>
      </c>
      <c r="W940">
        <v>1.49</v>
      </c>
      <c r="X940">
        <v>0.8</v>
      </c>
      <c r="Y940">
        <v>1.37</v>
      </c>
      <c r="Z940">
        <v>2.9</v>
      </c>
      <c r="AA940">
        <v>1.1000000000000001</v>
      </c>
      <c r="AB940">
        <v>0.92</v>
      </c>
      <c r="AC940">
        <v>2.0699999999999998</v>
      </c>
      <c r="AD940">
        <v>3.2</v>
      </c>
      <c r="AE940">
        <v>3.1</v>
      </c>
      <c r="AF940">
        <v>2.8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1.24</v>
      </c>
      <c r="AN940">
        <v>0</v>
      </c>
      <c r="AO940">
        <v>1.5</v>
      </c>
      <c r="AP940">
        <v>0</v>
      </c>
      <c r="AQ940">
        <v>0</v>
      </c>
      <c r="AR940" s="8">
        <v>0</v>
      </c>
      <c r="AS940" s="9">
        <v>0</v>
      </c>
      <c r="AT940" s="8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2.02</v>
      </c>
      <c r="AZ940" s="3">
        <v>1.33</v>
      </c>
      <c r="BA940" s="3">
        <v>1.5</v>
      </c>
      <c r="BB940" s="3">
        <v>1.2</v>
      </c>
      <c r="BC940">
        <v>1.2</v>
      </c>
      <c r="BD940">
        <v>0</v>
      </c>
      <c r="BE940" s="11">
        <v>1.1100000000000001</v>
      </c>
      <c r="BF940" s="4">
        <v>0.98399999999999999</v>
      </c>
      <c r="BG940" s="4">
        <v>1.4</v>
      </c>
      <c r="BH940" s="4">
        <v>0</v>
      </c>
      <c r="BI940" s="4">
        <v>1.234</v>
      </c>
      <c r="BJ940" s="14">
        <v>0</v>
      </c>
      <c r="BK940" s="14">
        <v>0</v>
      </c>
      <c r="BL940" s="4">
        <v>0</v>
      </c>
      <c r="BM940" s="17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0.69199999999999995</v>
      </c>
      <c r="BS940" s="4">
        <v>0</v>
      </c>
      <c r="BT940" s="4">
        <v>0</v>
      </c>
      <c r="BU940" s="4">
        <v>0.626</v>
      </c>
      <c r="BV940" s="4">
        <v>0</v>
      </c>
      <c r="BW940" s="4">
        <v>0</v>
      </c>
      <c r="BX940" s="4">
        <v>0</v>
      </c>
      <c r="BY940" s="4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 s="4">
        <v>0</v>
      </c>
      <c r="CH940" s="4">
        <v>0</v>
      </c>
      <c r="CI940" s="4">
        <v>1.1200000000000001</v>
      </c>
      <c r="CJ940" s="34">
        <v>0</v>
      </c>
      <c r="CK940" s="34">
        <v>0</v>
      </c>
      <c r="CL940" s="34">
        <v>0</v>
      </c>
      <c r="CM940" s="4">
        <v>0</v>
      </c>
      <c r="CN940" s="53">
        <v>0</v>
      </c>
      <c r="CO940" s="54">
        <v>0</v>
      </c>
      <c r="CP940" s="54">
        <v>0</v>
      </c>
      <c r="CQ940" s="4">
        <v>0</v>
      </c>
    </row>
    <row r="941" spans="1:95" x14ac:dyDescent="0.35">
      <c r="A941" s="55">
        <v>940</v>
      </c>
      <c r="B941" t="s">
        <v>120</v>
      </c>
      <c r="C941" s="27" t="s">
        <v>1021</v>
      </c>
      <c r="D941" s="3" t="s">
        <v>94</v>
      </c>
      <c r="E941" s="33" t="s">
        <v>91</v>
      </c>
      <c r="F941" s="4">
        <f>IFERROR(AVERAGEIF(Table1[[#This Row],[2019-Apr]:[2025-July]],"&lt;&gt;0"),0)</f>
        <v>1.4517666666666671</v>
      </c>
      <c r="G941" s="4">
        <f ca="1">IFERROR(AVERAGEIF(OFFSET(Table1[[#This Row],[Status]],0,COUNT(Table1[[#This Row],[2019-May]:[2025-July]]),1,-12),"&lt;&gt;0"),0)</f>
        <v>0</v>
      </c>
      <c r="H941" s="55">
        <f>IFERROR(SMALL(Table1[[#This Row],[2019-Apr]:[2025-July]],COUNTIF(Table1[[#This Row],[2019-Apr]:[2025-July]],0)+1),0)</f>
        <v>0.84</v>
      </c>
      <c r="I941" s="56">
        <f>IFERROR(MAX(Table1[[#This Row],[2019-Apr]:[2025-July]]),0)</f>
        <v>2.8</v>
      </c>
      <c r="J941" s="4" cm="1">
        <f t="array" ref="J94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0.92016666666666647</v>
      </c>
      <c r="K941" s="4">
        <v>4.5</v>
      </c>
      <c r="L941" s="4">
        <f>IF(Table1[[#This Row],[Standard as per ISO]]&gt;=Table1[[#This Row],[Avg of best 6]],Table1[[#This Row],[Standard as per ISO]],Table1[[#This Row],[Avg of best 6]])</f>
        <v>4.5</v>
      </c>
      <c r="M941" s="4" cm="1">
        <f t="array" ref="M941">IFERROR(LOOKUP(2,1/(Table1[[#This Row],[2019-May]:[2025-July]]&lt;&gt;0),Table1[[#This Row],[2019-May]:[2025-July]]),0)</f>
        <v>0.90400000000000003</v>
      </c>
      <c r="N941" s="4">
        <f>COUNTIF(Table1[[#This Row],[2019-Apr]:[2025-July]],"&gt;="&amp;Table1[[#This Row],[Target]])</f>
        <v>0</v>
      </c>
      <c r="O941" s="4">
        <f>IF(Table1[[#This Row],[Outliers 2Y]]=0,1,0)</f>
        <v>1</v>
      </c>
      <c r="P941" s="4">
        <f>IF(Table1[[#This Row],[Last value]]&gt;1.5*Table1[[#This Row],[Target]],1,0)</f>
        <v>0</v>
      </c>
      <c r="Q941" s="4">
        <f>IF(AND(1.5*Table1[[#This Row],[Target]]&gt;=Table1[[#This Row],[Last value]],Table1[[#This Row],[Last value]]&gt;Table1[[#This Row],[Target]]),1,0)</f>
        <v>0</v>
      </c>
      <c r="R941" s="4">
        <f>IF(Table1[[#This Row],[Target]]&gt;=Table1[[#This Row],[Last value]],1,0)</f>
        <v>1</v>
      </c>
      <c r="S941" s="4" t="str">
        <f t="shared" si="17"/>
        <v>Green</v>
      </c>
      <c r="T941">
        <v>0</v>
      </c>
      <c r="U941">
        <v>0</v>
      </c>
      <c r="V941">
        <v>1.33</v>
      </c>
      <c r="W941">
        <v>2.74</v>
      </c>
      <c r="X941">
        <v>1.35</v>
      </c>
      <c r="Y941">
        <v>1.49</v>
      </c>
      <c r="Z941">
        <v>2.8</v>
      </c>
      <c r="AA941">
        <v>1.6</v>
      </c>
      <c r="AB941">
        <v>2.4</v>
      </c>
      <c r="AC941">
        <v>1.25</v>
      </c>
      <c r="AD941">
        <v>0.9</v>
      </c>
      <c r="AE941">
        <v>0.84</v>
      </c>
      <c r="AF941">
        <v>1.1000000000000001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0.92</v>
      </c>
      <c r="AN941">
        <v>1.4</v>
      </c>
      <c r="AO941">
        <v>1.45</v>
      </c>
      <c r="AP941">
        <v>1.5</v>
      </c>
      <c r="AQ941">
        <v>1.1000000000000001</v>
      </c>
      <c r="AR941" s="8">
        <v>0</v>
      </c>
      <c r="AS941" s="8">
        <v>0</v>
      </c>
      <c r="AT941" s="8">
        <v>0</v>
      </c>
      <c r="AU941" s="3">
        <v>1.57</v>
      </c>
      <c r="AV941" s="3">
        <v>0</v>
      </c>
      <c r="AW941" s="3">
        <v>0</v>
      </c>
      <c r="AX941" s="3">
        <v>1.19</v>
      </c>
      <c r="AY941" s="3">
        <v>1.1299999999999999</v>
      </c>
      <c r="AZ941" s="3">
        <v>0.94</v>
      </c>
      <c r="BA941" s="3">
        <v>1.2</v>
      </c>
      <c r="BB941" s="3">
        <v>1.8</v>
      </c>
      <c r="BC941">
        <v>1.5</v>
      </c>
      <c r="BD941">
        <v>0</v>
      </c>
      <c r="BE941" s="11">
        <v>1.726</v>
      </c>
      <c r="BF941" s="4">
        <v>1.7829999999999999</v>
      </c>
      <c r="BG941" s="4">
        <v>2.2240000000000002</v>
      </c>
      <c r="BH941" s="4">
        <v>0</v>
      </c>
      <c r="BI941" s="4">
        <v>1.0169999999999999</v>
      </c>
      <c r="BJ941" s="13">
        <v>0</v>
      </c>
      <c r="BK941" s="13">
        <v>0</v>
      </c>
      <c r="BL941" s="4">
        <v>0</v>
      </c>
      <c r="BM941" s="16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1.07</v>
      </c>
      <c r="BS941" s="4">
        <v>0</v>
      </c>
      <c r="BT941" s="4">
        <v>0</v>
      </c>
      <c r="BU941" s="4">
        <v>1.329</v>
      </c>
      <c r="BV941" s="4">
        <v>0</v>
      </c>
      <c r="BW941" s="4">
        <v>0</v>
      </c>
      <c r="BX941" s="4">
        <v>0.90400000000000003</v>
      </c>
      <c r="BY941" s="4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 s="4">
        <v>0</v>
      </c>
      <c r="CH941" s="4">
        <v>0</v>
      </c>
      <c r="CI941" s="4">
        <v>0</v>
      </c>
      <c r="CJ941" s="34">
        <v>0</v>
      </c>
      <c r="CK941" s="34">
        <v>0</v>
      </c>
      <c r="CL941" s="34">
        <v>0</v>
      </c>
      <c r="CM941" s="4">
        <v>0</v>
      </c>
      <c r="CN941" s="53">
        <v>0</v>
      </c>
      <c r="CO941" s="54">
        <v>0</v>
      </c>
      <c r="CP941" s="54">
        <v>0</v>
      </c>
      <c r="CQ941" s="4">
        <v>0</v>
      </c>
    </row>
    <row r="942" spans="1:95" x14ac:dyDescent="0.35">
      <c r="A942" s="55">
        <v>941</v>
      </c>
      <c r="B942" t="s">
        <v>120</v>
      </c>
      <c r="C942" s="27" t="s">
        <v>1022</v>
      </c>
      <c r="D942" s="3" t="s">
        <v>94</v>
      </c>
      <c r="E942" s="33" t="s">
        <v>91</v>
      </c>
      <c r="F942" s="4">
        <f>IFERROR(AVERAGEIF(Table1[[#This Row],[2019-Apr]:[2025-July]],"&lt;&gt;0"),0)</f>
        <v>1.2936363636363639</v>
      </c>
      <c r="G942" s="4">
        <f ca="1">IFERROR(AVERAGEIF(OFFSET(Table1[[#This Row],[Status]],0,COUNT(Table1[[#This Row],[2019-May]:[2025-July]]),1,-12),"&lt;&gt;0"),0)</f>
        <v>0.87</v>
      </c>
      <c r="H942" s="55">
        <f>IFERROR(SMALL(Table1[[#This Row],[2019-Apr]:[2025-July]],COUNTIF(Table1[[#This Row],[2019-Apr]:[2025-July]],0)+1),0)</f>
        <v>0.76300000000000001</v>
      </c>
      <c r="I942" s="56">
        <f>IFERROR(MAX(Table1[[#This Row],[2019-Apr]:[2025-July]]),0)</f>
        <v>2.9</v>
      </c>
      <c r="J942" s="4" cm="1">
        <f t="array" ref="J94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0.8536666666666668</v>
      </c>
      <c r="K942" s="4">
        <v>4.5</v>
      </c>
      <c r="L942" s="4">
        <f>IF(Table1[[#This Row],[Standard as per ISO]]&gt;=Table1[[#This Row],[Avg of best 6]],Table1[[#This Row],[Standard as per ISO]],Table1[[#This Row],[Avg of best 6]])</f>
        <v>4.5</v>
      </c>
      <c r="M942" s="4" cm="1">
        <f t="array" ref="M942">IFERROR(LOOKUP(2,1/(Table1[[#This Row],[2019-May]:[2025-July]]&lt;&gt;0),Table1[[#This Row],[2019-May]:[2025-July]]),0)</f>
        <v>0.87</v>
      </c>
      <c r="N942" s="4">
        <f>COUNTIF(Table1[[#This Row],[2019-Apr]:[2025-July]],"&gt;="&amp;Table1[[#This Row],[Target]])</f>
        <v>0</v>
      </c>
      <c r="O942" s="4">
        <f>IF(Table1[[#This Row],[Outliers 2Y]]=0,1,0)</f>
        <v>1</v>
      </c>
      <c r="P942" s="4">
        <f>IF(Table1[[#This Row],[Last value]]&gt;1.5*Table1[[#This Row],[Target]],1,0)</f>
        <v>0</v>
      </c>
      <c r="Q942" s="4">
        <f>IF(AND(1.5*Table1[[#This Row],[Target]]&gt;=Table1[[#This Row],[Last value]],Table1[[#This Row],[Last value]]&gt;Table1[[#This Row],[Target]]),1,0)</f>
        <v>0</v>
      </c>
      <c r="R942" s="4">
        <f>IF(Table1[[#This Row],[Target]]&gt;=Table1[[#This Row],[Last value]],1,0)</f>
        <v>1</v>
      </c>
      <c r="S942" s="4" t="str">
        <f t="shared" si="17"/>
        <v>Green</v>
      </c>
      <c r="T942">
        <v>1.55</v>
      </c>
      <c r="U942">
        <v>1.66</v>
      </c>
      <c r="V942">
        <v>1.19</v>
      </c>
      <c r="W942">
        <v>2.39</v>
      </c>
      <c r="X942">
        <v>1.5</v>
      </c>
      <c r="Y942">
        <v>1.81</v>
      </c>
      <c r="Z942">
        <v>2.9</v>
      </c>
      <c r="AA942">
        <v>1.44</v>
      </c>
      <c r="AB942">
        <v>1.3</v>
      </c>
      <c r="AC942">
        <v>1.04</v>
      </c>
      <c r="AD942">
        <v>1.2</v>
      </c>
      <c r="AE942">
        <v>1.1000000000000001</v>
      </c>
      <c r="AF942">
        <v>1.3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1.21</v>
      </c>
      <c r="AN942">
        <v>1</v>
      </c>
      <c r="AO942">
        <v>1.33</v>
      </c>
      <c r="AP942">
        <v>0.8</v>
      </c>
      <c r="AQ942">
        <v>0</v>
      </c>
      <c r="AR942" s="9">
        <v>0.86</v>
      </c>
      <c r="AS942" s="9">
        <v>1.23</v>
      </c>
      <c r="AT942" s="8">
        <v>0</v>
      </c>
      <c r="AU942" s="3">
        <v>1.07</v>
      </c>
      <c r="AV942" s="3">
        <v>1.55</v>
      </c>
      <c r="AW942" s="3">
        <v>1.08</v>
      </c>
      <c r="AX942" s="3">
        <v>1.23</v>
      </c>
      <c r="AY942" s="3">
        <v>0</v>
      </c>
      <c r="AZ942" s="3">
        <v>0</v>
      </c>
      <c r="BA942" s="3">
        <v>0.9</v>
      </c>
      <c r="BB942" s="3">
        <v>1.2</v>
      </c>
      <c r="BC942">
        <v>1.5</v>
      </c>
      <c r="BD942">
        <v>0</v>
      </c>
      <c r="BE942" s="11">
        <v>1.0389999999999999</v>
      </c>
      <c r="BF942" s="4">
        <v>0.92900000000000005</v>
      </c>
      <c r="BG942" s="4">
        <v>1.3939999999999999</v>
      </c>
      <c r="BH942" s="4">
        <v>0</v>
      </c>
      <c r="BI942" s="4">
        <v>1.2250000000000001</v>
      </c>
      <c r="BJ942" s="14">
        <v>0</v>
      </c>
      <c r="BK942" s="14">
        <v>0</v>
      </c>
      <c r="BL942" s="4">
        <v>0</v>
      </c>
      <c r="BM942" s="17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0.76300000000000001</v>
      </c>
      <c r="BS942" s="4">
        <v>0</v>
      </c>
      <c r="BT942" s="4">
        <v>0</v>
      </c>
      <c r="BU942" s="4">
        <v>1.1299999999999999</v>
      </c>
      <c r="BV942" s="4">
        <v>0</v>
      </c>
      <c r="BW942" s="4">
        <v>0</v>
      </c>
      <c r="BX942" s="4">
        <v>0</v>
      </c>
      <c r="BY942" s="4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 s="4">
        <v>0</v>
      </c>
      <c r="CH942" s="4">
        <v>0</v>
      </c>
      <c r="CI942" s="4">
        <v>0.87</v>
      </c>
      <c r="CJ942" s="34">
        <v>0</v>
      </c>
      <c r="CK942" s="34">
        <v>0</v>
      </c>
      <c r="CL942" s="34">
        <v>0</v>
      </c>
      <c r="CM942" s="4">
        <v>0</v>
      </c>
      <c r="CN942" s="53">
        <v>0</v>
      </c>
      <c r="CO942" s="54">
        <v>0</v>
      </c>
      <c r="CP942" s="54">
        <v>0</v>
      </c>
      <c r="CQ942" s="4">
        <v>0</v>
      </c>
    </row>
    <row r="943" spans="1:95" x14ac:dyDescent="0.35">
      <c r="A943" s="55">
        <v>942</v>
      </c>
      <c r="B943" t="s">
        <v>120</v>
      </c>
      <c r="C943" s="27" t="s">
        <v>1023</v>
      </c>
      <c r="D943" s="3" t="s">
        <v>94</v>
      </c>
      <c r="E943" s="33" t="s">
        <v>91</v>
      </c>
      <c r="F943" s="4">
        <f>IFERROR(AVERAGEIF(Table1[[#This Row],[2019-Apr]:[2025-July]],"&lt;&gt;0"),0)</f>
        <v>1.6310571428571434</v>
      </c>
      <c r="G943" s="4">
        <f ca="1">IFERROR(AVERAGEIF(OFFSET(Table1[[#This Row],[Status]],0,COUNT(Table1[[#This Row],[2019-May]:[2025-July]]),1,-12),"&lt;&gt;0"),0)</f>
        <v>3.88</v>
      </c>
      <c r="H943" s="55">
        <f>IFERROR(SMALL(Table1[[#This Row],[2019-Apr]:[2025-July]],COUNTIF(Table1[[#This Row],[2019-Apr]:[2025-July]],0)+1),0)</f>
        <v>1</v>
      </c>
      <c r="I943" s="56">
        <f>IFERROR(MAX(Table1[[#This Row],[2019-Apr]:[2025-July]]),0)</f>
        <v>3.88</v>
      </c>
      <c r="J943" s="4" cm="1">
        <f t="array" ref="J94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1.0536666666666665</v>
      </c>
      <c r="K943" s="4">
        <v>4.5</v>
      </c>
      <c r="L943" s="4">
        <f>IF(Table1[[#This Row],[Standard as per ISO]]&gt;=Table1[[#This Row],[Avg of best 6]],Table1[[#This Row],[Standard as per ISO]],Table1[[#This Row],[Avg of best 6]])</f>
        <v>4.5</v>
      </c>
      <c r="M943" s="4" cm="1">
        <f t="array" ref="M943">IFERROR(LOOKUP(2,1/(Table1[[#This Row],[2019-May]:[2025-July]]&lt;&gt;0),Table1[[#This Row],[2019-May]:[2025-July]]),0)</f>
        <v>3.88</v>
      </c>
      <c r="N943" s="4">
        <f>COUNTIF(Table1[[#This Row],[2019-Apr]:[2025-July]],"&gt;="&amp;Table1[[#This Row],[Target]])</f>
        <v>0</v>
      </c>
      <c r="O943" s="4">
        <f>IF(Table1[[#This Row],[Outliers 2Y]]=0,1,0)</f>
        <v>1</v>
      </c>
      <c r="P943" s="4">
        <f>IF(Table1[[#This Row],[Last value]]&gt;1.5*Table1[[#This Row],[Target]],1,0)</f>
        <v>0</v>
      </c>
      <c r="Q943" s="4">
        <f>IF(AND(1.5*Table1[[#This Row],[Target]]&gt;=Table1[[#This Row],[Last value]],Table1[[#This Row],[Last value]]&gt;Table1[[#This Row],[Target]]),1,0)</f>
        <v>0</v>
      </c>
      <c r="R943" s="4">
        <f>IF(Table1[[#This Row],[Target]]&gt;=Table1[[#This Row],[Last value]],1,0)</f>
        <v>1</v>
      </c>
      <c r="S943" s="4" t="str">
        <f t="shared" si="17"/>
        <v>Green</v>
      </c>
      <c r="T943">
        <v>3.25</v>
      </c>
      <c r="U943">
        <v>1.34</v>
      </c>
      <c r="V943">
        <v>2.73</v>
      </c>
      <c r="W943">
        <v>1.06</v>
      </c>
      <c r="X943">
        <v>2.6</v>
      </c>
      <c r="Y943">
        <v>1.82</v>
      </c>
      <c r="Z943">
        <v>1.1000000000000001</v>
      </c>
      <c r="AA943">
        <v>1.9</v>
      </c>
      <c r="AB943">
        <v>1.3</v>
      </c>
      <c r="AC943">
        <v>2.5</v>
      </c>
      <c r="AD943">
        <v>2.1</v>
      </c>
      <c r="AE943">
        <v>1.1000000000000001</v>
      </c>
      <c r="AF943">
        <v>1.1000000000000001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1.1000000000000001</v>
      </c>
      <c r="AN943">
        <v>1.1000000000000001</v>
      </c>
      <c r="AO943">
        <v>1.7</v>
      </c>
      <c r="AP943">
        <v>1</v>
      </c>
      <c r="AQ943">
        <v>1.73</v>
      </c>
      <c r="AR943" s="9">
        <v>1.23</v>
      </c>
      <c r="AS943" s="9">
        <v>1.69</v>
      </c>
      <c r="AT943" s="8">
        <v>0</v>
      </c>
      <c r="AU943" s="3">
        <v>1.38</v>
      </c>
      <c r="AV943" s="3">
        <v>1.35</v>
      </c>
      <c r="AW943" s="3">
        <v>2.2000000000000002</v>
      </c>
      <c r="AX943" s="3">
        <v>1.64</v>
      </c>
      <c r="AY943" s="3">
        <v>0</v>
      </c>
      <c r="AZ943" s="3">
        <v>0</v>
      </c>
      <c r="BA943" s="3">
        <v>1.7</v>
      </c>
      <c r="BB943" s="3">
        <v>1</v>
      </c>
      <c r="BC943">
        <v>1.2</v>
      </c>
      <c r="BD943">
        <v>0</v>
      </c>
      <c r="BE943" s="11">
        <v>1.3460000000000001</v>
      </c>
      <c r="BF943" s="4">
        <v>1.179</v>
      </c>
      <c r="BG943" s="4">
        <v>1.0620000000000001</v>
      </c>
      <c r="BH943" s="4">
        <v>0</v>
      </c>
      <c r="BI943" s="4">
        <v>1.1180000000000001</v>
      </c>
      <c r="BJ943" s="13">
        <v>0</v>
      </c>
      <c r="BK943" s="13">
        <v>0</v>
      </c>
      <c r="BL943" s="4">
        <v>0</v>
      </c>
      <c r="BM943" s="16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1.6950000000000001</v>
      </c>
      <c r="BS943" s="4">
        <v>0</v>
      </c>
      <c r="BT943" s="4">
        <v>0</v>
      </c>
      <c r="BU943" s="4">
        <v>1.66</v>
      </c>
      <c r="BV943" s="4">
        <v>0</v>
      </c>
      <c r="BW943" s="4">
        <v>0</v>
      </c>
      <c r="BX943" s="4">
        <v>1.2270000000000001</v>
      </c>
      <c r="BY943" s="4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 s="4">
        <v>0</v>
      </c>
      <c r="CH943" s="4">
        <v>0</v>
      </c>
      <c r="CI943" s="4">
        <v>3.88</v>
      </c>
      <c r="CJ943" s="34">
        <v>0</v>
      </c>
      <c r="CK943" s="34">
        <v>0</v>
      </c>
      <c r="CL943" s="34">
        <v>0</v>
      </c>
      <c r="CM943" s="4">
        <v>0</v>
      </c>
      <c r="CN943" s="53">
        <v>0</v>
      </c>
      <c r="CO943" s="54">
        <v>0</v>
      </c>
      <c r="CP943" s="54">
        <v>0</v>
      </c>
      <c r="CQ943" s="4">
        <v>0</v>
      </c>
    </row>
    <row r="944" spans="1:95" x14ac:dyDescent="0.35">
      <c r="A944" s="55">
        <v>943</v>
      </c>
      <c r="B944" t="s">
        <v>120</v>
      </c>
      <c r="C944" s="27" t="s">
        <v>1024</v>
      </c>
      <c r="D944" s="3" t="s">
        <v>94</v>
      </c>
      <c r="E944" s="33" t="s">
        <v>91</v>
      </c>
      <c r="F944" s="4">
        <f>IFERROR(AVERAGEIF(Table1[[#This Row],[2019-Apr]:[2025-July]],"&lt;&gt;0"),0)</f>
        <v>3.5283793103448269</v>
      </c>
      <c r="G944" s="4">
        <f ca="1">IFERROR(AVERAGEIF(OFFSET(Table1[[#This Row],[Status]],0,COUNT(Table1[[#This Row],[2019-May]:[2025-July]]),1,-12),"&lt;&gt;0"),0)</f>
        <v>4.1399999999999997</v>
      </c>
      <c r="H944" s="55">
        <f>IFERROR(SMALL(Table1[[#This Row],[2019-Apr]:[2025-July]],COUNTIF(Table1[[#This Row],[2019-Apr]:[2025-July]],0)+1),0)</f>
        <v>1.4</v>
      </c>
      <c r="I944" s="56">
        <f>IFERROR(MAX(Table1[[#This Row],[2019-Apr]:[2025-July]]),0)</f>
        <v>10.1</v>
      </c>
      <c r="J944" s="4" cm="1">
        <f t="array" ref="J94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1.8081666666666667</v>
      </c>
      <c r="K944" s="4">
        <v>4.5</v>
      </c>
      <c r="L944" s="4">
        <f>IF(Table1[[#This Row],[Standard as per ISO]]&gt;=Table1[[#This Row],[Avg of best 6]],Table1[[#This Row],[Standard as per ISO]],Table1[[#This Row],[Avg of best 6]])</f>
        <v>4.5</v>
      </c>
      <c r="M944" s="4" cm="1">
        <f t="array" ref="M944">IFERROR(LOOKUP(2,1/(Table1[[#This Row],[2019-May]:[2025-July]]&lt;&gt;0),Table1[[#This Row],[2019-May]:[2025-July]]),0)</f>
        <v>4.1399999999999997</v>
      </c>
      <c r="N944" s="4">
        <f>COUNTIF(Table1[[#This Row],[2019-Apr]:[2025-July]],"&gt;="&amp;Table1[[#This Row],[Target]])</f>
        <v>7</v>
      </c>
      <c r="O944" s="4">
        <f>IF(Table1[[#This Row],[Outliers 2Y]]=0,1,0)</f>
        <v>0</v>
      </c>
      <c r="P944" s="4">
        <f>IF(Table1[[#This Row],[Last value]]&gt;1.5*Table1[[#This Row],[Target]],1,0)</f>
        <v>0</v>
      </c>
      <c r="Q944" s="4">
        <f>IF(AND(1.5*Table1[[#This Row],[Target]]&gt;=Table1[[#This Row],[Last value]],Table1[[#This Row],[Last value]]&gt;Table1[[#This Row],[Target]]),1,0)</f>
        <v>0</v>
      </c>
      <c r="R944" s="4">
        <f>IF(Table1[[#This Row],[Target]]&gt;=Table1[[#This Row],[Last value]],1,0)</f>
        <v>1</v>
      </c>
      <c r="S944" s="4" t="str">
        <f t="shared" si="17"/>
        <v>Green</v>
      </c>
      <c r="T944">
        <v>5</v>
      </c>
      <c r="U944">
        <v>4.49</v>
      </c>
      <c r="V944">
        <v>0</v>
      </c>
      <c r="W944">
        <v>5.3</v>
      </c>
      <c r="X944">
        <v>0</v>
      </c>
      <c r="Y944">
        <v>2.35</v>
      </c>
      <c r="Z944">
        <v>2.7</v>
      </c>
      <c r="AA944">
        <v>2.6</v>
      </c>
      <c r="AB944">
        <v>2.4300000000000002</v>
      </c>
      <c r="AC944">
        <v>2.1</v>
      </c>
      <c r="AD944">
        <v>2.2999999999999998</v>
      </c>
      <c r="AE944">
        <v>2.74</v>
      </c>
      <c r="AF944">
        <v>2.7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6.94</v>
      </c>
      <c r="AN944">
        <v>0</v>
      </c>
      <c r="AO944">
        <v>5.5</v>
      </c>
      <c r="AP944">
        <v>6.04</v>
      </c>
      <c r="AQ944">
        <v>0</v>
      </c>
      <c r="AR944" s="9">
        <v>0</v>
      </c>
      <c r="AS944" s="9">
        <v>0</v>
      </c>
      <c r="AT944" s="8">
        <v>0</v>
      </c>
      <c r="AU944" s="3">
        <v>10.1</v>
      </c>
      <c r="AV944" s="3">
        <v>4.5</v>
      </c>
      <c r="AW944" s="3">
        <v>3.69</v>
      </c>
      <c r="AX944" s="3">
        <v>0</v>
      </c>
      <c r="AY944" s="3">
        <v>1.64</v>
      </c>
      <c r="AZ944" s="3">
        <v>0</v>
      </c>
      <c r="BA944" s="3">
        <v>1.4</v>
      </c>
      <c r="BB944" s="3">
        <v>1.6</v>
      </c>
      <c r="BC944">
        <v>2</v>
      </c>
      <c r="BD944">
        <v>0</v>
      </c>
      <c r="BE944" s="11">
        <v>3.125</v>
      </c>
      <c r="BF944" s="4">
        <v>2.99</v>
      </c>
      <c r="BG944" s="4">
        <v>2.109</v>
      </c>
      <c r="BH944" s="4">
        <v>0</v>
      </c>
      <c r="BI944" s="4">
        <v>2.508</v>
      </c>
      <c r="BJ944" s="14">
        <v>0</v>
      </c>
      <c r="BK944" s="14">
        <v>0</v>
      </c>
      <c r="BL944" s="4">
        <v>0</v>
      </c>
      <c r="BM944" s="17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2.71</v>
      </c>
      <c r="BS944" s="4">
        <v>0</v>
      </c>
      <c r="BT944" s="4">
        <v>0</v>
      </c>
      <c r="BU944" s="4">
        <v>3.67</v>
      </c>
      <c r="BV944" s="4">
        <v>0</v>
      </c>
      <c r="BW944" s="4">
        <v>0</v>
      </c>
      <c r="BX944" s="4">
        <v>2.9510000000000001</v>
      </c>
      <c r="BY944" s="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 s="4">
        <v>0</v>
      </c>
      <c r="CH944" s="4">
        <v>0</v>
      </c>
      <c r="CI944" s="4">
        <v>4.1399999999999997</v>
      </c>
      <c r="CJ944" s="34">
        <v>0</v>
      </c>
      <c r="CK944" s="34">
        <v>0</v>
      </c>
      <c r="CL944" s="34">
        <v>0</v>
      </c>
      <c r="CM944" s="4">
        <v>0</v>
      </c>
      <c r="CN944" s="53">
        <v>0</v>
      </c>
      <c r="CO944" s="54">
        <v>0</v>
      </c>
      <c r="CP944" s="54">
        <v>0</v>
      </c>
      <c r="CQ944" s="4">
        <v>0</v>
      </c>
    </row>
    <row r="945" spans="1:95" x14ac:dyDescent="0.35">
      <c r="A945" s="55">
        <v>944</v>
      </c>
      <c r="B945" t="s">
        <v>120</v>
      </c>
      <c r="C945" s="27" t="s">
        <v>1025</v>
      </c>
      <c r="D945" s="3" t="s">
        <v>94</v>
      </c>
      <c r="E945" s="33" t="s">
        <v>91</v>
      </c>
      <c r="F945" s="4">
        <f>IFERROR(AVERAGEIF(Table1[[#This Row],[2019-Apr]:[2025-July]],"&lt;&gt;0"),0)</f>
        <v>1.7227272727272729</v>
      </c>
      <c r="G945" s="4">
        <f ca="1">IFERROR(AVERAGEIF(OFFSET(Table1[[#This Row],[Status]],0,COUNT(Table1[[#This Row],[2019-May]:[2025-July]]),1,-12),"&lt;&gt;0"),0)</f>
        <v>1.41</v>
      </c>
      <c r="H945" s="55">
        <f>IFERROR(SMALL(Table1[[#This Row],[2019-Apr]:[2025-July]],COUNTIF(Table1[[#This Row],[2019-Apr]:[2025-July]],0)+1),0)</f>
        <v>0.6</v>
      </c>
      <c r="I945" s="56">
        <f>IFERROR(MAX(Table1[[#This Row],[2019-Apr]:[2025-July]]),0)</f>
        <v>6.32</v>
      </c>
      <c r="J945" s="4" cm="1">
        <f t="array" ref="J94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0.78883333333333328</v>
      </c>
      <c r="K945" s="4">
        <v>4.5</v>
      </c>
      <c r="L945" s="4">
        <f>IF(Table1[[#This Row],[Standard as per ISO]]&gt;=Table1[[#This Row],[Avg of best 6]],Table1[[#This Row],[Standard as per ISO]],Table1[[#This Row],[Avg of best 6]])</f>
        <v>4.5</v>
      </c>
      <c r="M945" s="4" cm="1">
        <f t="array" ref="M945">IFERROR(LOOKUP(2,1/(Table1[[#This Row],[2019-May]:[2025-July]]&lt;&gt;0),Table1[[#This Row],[2019-May]:[2025-July]]),0)</f>
        <v>1.41</v>
      </c>
      <c r="N945" s="4">
        <f>COUNTIF(Table1[[#This Row],[2019-Apr]:[2025-July]],"&gt;="&amp;Table1[[#This Row],[Target]])</f>
        <v>4</v>
      </c>
      <c r="O945" s="4">
        <f>IF(Table1[[#This Row],[Outliers 2Y]]=0,1,0)</f>
        <v>0</v>
      </c>
      <c r="P945" s="4">
        <f>IF(Table1[[#This Row],[Last value]]&gt;1.5*Table1[[#This Row],[Target]],1,0)</f>
        <v>0</v>
      </c>
      <c r="Q945" s="4">
        <f>IF(AND(1.5*Table1[[#This Row],[Target]]&gt;=Table1[[#This Row],[Last value]],Table1[[#This Row],[Last value]]&gt;Table1[[#This Row],[Target]]),1,0)</f>
        <v>0</v>
      </c>
      <c r="R945" s="4">
        <f>IF(Table1[[#This Row],[Target]]&gt;=Table1[[#This Row],[Last value]],1,0)</f>
        <v>1</v>
      </c>
      <c r="S945" s="4" t="str">
        <f t="shared" si="17"/>
        <v>Green</v>
      </c>
      <c r="T945">
        <v>6.01</v>
      </c>
      <c r="U945">
        <v>6.04</v>
      </c>
      <c r="V945">
        <v>6.32</v>
      </c>
      <c r="W945">
        <v>5.89</v>
      </c>
      <c r="X945">
        <v>0</v>
      </c>
      <c r="Y945">
        <v>1.46</v>
      </c>
      <c r="Z945">
        <v>1.8</v>
      </c>
      <c r="AA945">
        <v>1.1000000000000001</v>
      </c>
      <c r="AB945">
        <v>0.86</v>
      </c>
      <c r="AC945">
        <v>1.4</v>
      </c>
      <c r="AD945">
        <v>0.9</v>
      </c>
      <c r="AE945">
        <v>1.35</v>
      </c>
      <c r="AF945">
        <v>0.9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1.2</v>
      </c>
      <c r="AP945">
        <v>0.9</v>
      </c>
      <c r="AQ945">
        <v>1.19</v>
      </c>
      <c r="AR945" s="9">
        <v>1.1399999999999999</v>
      </c>
      <c r="AS945" s="9">
        <v>1.33</v>
      </c>
      <c r="AT945" s="8">
        <v>0</v>
      </c>
      <c r="AU945" s="3">
        <v>0.99</v>
      </c>
      <c r="AV945" s="3">
        <v>1.2</v>
      </c>
      <c r="AW945" s="3">
        <v>1.23</v>
      </c>
      <c r="AX945" s="3">
        <v>1.04</v>
      </c>
      <c r="AY945" s="3">
        <v>0</v>
      </c>
      <c r="AZ945" s="3">
        <v>1.18</v>
      </c>
      <c r="BA945" s="3">
        <v>0.7</v>
      </c>
      <c r="BB945" s="3">
        <v>0.6</v>
      </c>
      <c r="BC945">
        <v>0.9</v>
      </c>
      <c r="BD945">
        <v>0</v>
      </c>
      <c r="BE945" s="11">
        <v>1.258</v>
      </c>
      <c r="BF945" s="4">
        <v>0.871</v>
      </c>
      <c r="BG945" s="4">
        <v>0.83099999999999996</v>
      </c>
      <c r="BH945" s="4">
        <v>0</v>
      </c>
      <c r="BI945" s="4">
        <v>1.367</v>
      </c>
      <c r="BJ945" s="13">
        <v>0</v>
      </c>
      <c r="BK945" s="13">
        <v>0</v>
      </c>
      <c r="BL945" s="4">
        <v>0</v>
      </c>
      <c r="BM945" s="16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1.0569999999999999</v>
      </c>
      <c r="BS945" s="4">
        <v>0</v>
      </c>
      <c r="BT945" s="4">
        <v>0</v>
      </c>
      <c r="BU945" s="4">
        <v>0.871</v>
      </c>
      <c r="BV945" s="4">
        <v>0</v>
      </c>
      <c r="BW945" s="4">
        <v>0</v>
      </c>
      <c r="BX945" s="4">
        <v>1.5549999999999999</v>
      </c>
      <c r="BY945" s="4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 s="4">
        <v>0</v>
      </c>
      <c r="CH945" s="4">
        <v>0</v>
      </c>
      <c r="CI945" s="4">
        <v>1.41</v>
      </c>
      <c r="CJ945" s="34">
        <v>0</v>
      </c>
      <c r="CK945" s="34">
        <v>0</v>
      </c>
      <c r="CL945" s="34">
        <v>0</v>
      </c>
      <c r="CM945" s="4">
        <v>0</v>
      </c>
      <c r="CN945" s="53">
        <v>0</v>
      </c>
      <c r="CO945" s="54">
        <v>0</v>
      </c>
      <c r="CP945" s="54">
        <v>0</v>
      </c>
      <c r="CQ945" s="4">
        <v>0</v>
      </c>
    </row>
    <row r="946" spans="1:95" x14ac:dyDescent="0.35">
      <c r="A946" s="55">
        <v>945</v>
      </c>
      <c r="B946" t="s">
        <v>120</v>
      </c>
      <c r="C946" s="27" t="s">
        <v>1026</v>
      </c>
      <c r="D946" s="3" t="s">
        <v>94</v>
      </c>
      <c r="E946" s="33" t="s">
        <v>91</v>
      </c>
      <c r="F946" s="4">
        <f>IFERROR(AVERAGEIF(Table1[[#This Row],[2019-Apr]:[2025-July]],"&lt;&gt;0"),0)</f>
        <v>2.4718947368421058</v>
      </c>
      <c r="G946" s="4">
        <f ca="1">IFERROR(AVERAGEIF(OFFSET(Table1[[#This Row],[Status]],0,COUNT(Table1[[#This Row],[2019-May]:[2025-July]]),1,-12),"&lt;&gt;0"),0)</f>
        <v>0</v>
      </c>
      <c r="H946" s="55">
        <f>IFERROR(SMALL(Table1[[#This Row],[2019-Apr]:[2025-July]],COUNTIF(Table1[[#This Row],[2019-Apr]:[2025-July]],0)+1),0)</f>
        <v>1.0620000000000001</v>
      </c>
      <c r="I946" s="56">
        <f>IFERROR(MAX(Table1[[#This Row],[2019-Apr]:[2025-July]]),0)</f>
        <v>5.21</v>
      </c>
      <c r="J946" s="4" cm="1">
        <f t="array" ref="J94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1.4986666666666668</v>
      </c>
      <c r="K946" s="4">
        <v>4.5</v>
      </c>
      <c r="L946" s="4">
        <f>IF(Table1[[#This Row],[Standard as per ISO]]&gt;=Table1[[#This Row],[Avg of best 6]],Table1[[#This Row],[Standard as per ISO]],Table1[[#This Row],[Avg of best 6]])</f>
        <v>4.5</v>
      </c>
      <c r="M946" s="4" cm="1">
        <f t="array" ref="M946">IFERROR(LOOKUP(2,1/(Table1[[#This Row],[2019-May]:[2025-July]]&lt;&gt;0),Table1[[#This Row],[2019-May]:[2025-July]]),0)</f>
        <v>3.1139999999999999</v>
      </c>
      <c r="N946" s="4">
        <f>COUNTIF(Table1[[#This Row],[2019-Apr]:[2025-July]],"&gt;="&amp;Table1[[#This Row],[Target]])</f>
        <v>1</v>
      </c>
      <c r="O946" s="4">
        <f>IF(Table1[[#This Row],[Outliers 2Y]]=0,1,0)</f>
        <v>0</v>
      </c>
      <c r="P946" s="4">
        <f>IF(Table1[[#This Row],[Last value]]&gt;1.5*Table1[[#This Row],[Target]],1,0)</f>
        <v>0</v>
      </c>
      <c r="Q946" s="4">
        <f>IF(AND(1.5*Table1[[#This Row],[Target]]&gt;=Table1[[#This Row],[Last value]],Table1[[#This Row],[Last value]]&gt;Table1[[#This Row],[Target]]),1,0)</f>
        <v>0</v>
      </c>
      <c r="R946" s="4">
        <f>IF(Table1[[#This Row],[Target]]&gt;=Table1[[#This Row],[Last value]],1,0)</f>
        <v>1</v>
      </c>
      <c r="S946" s="4" t="str">
        <f t="shared" si="17"/>
        <v>Green</v>
      </c>
      <c r="T946">
        <v>4</v>
      </c>
      <c r="U946">
        <v>2.85</v>
      </c>
      <c r="V946">
        <v>3.26</v>
      </c>
      <c r="W946">
        <v>5.21</v>
      </c>
      <c r="X946">
        <v>0</v>
      </c>
      <c r="Y946">
        <v>2.87</v>
      </c>
      <c r="Z946">
        <v>1.2</v>
      </c>
      <c r="AA946">
        <v>2.1</v>
      </c>
      <c r="AB946">
        <v>3.23</v>
      </c>
      <c r="AC946">
        <v>1.7</v>
      </c>
      <c r="AD946">
        <v>2.5</v>
      </c>
      <c r="AE946">
        <v>2.2000000000000002</v>
      </c>
      <c r="AF946">
        <v>1.5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1.43</v>
      </c>
      <c r="AN946">
        <v>2.2000000000000002</v>
      </c>
      <c r="AO946">
        <v>2.2000000000000002</v>
      </c>
      <c r="AP946">
        <v>2.1</v>
      </c>
      <c r="AQ946">
        <v>2.2400000000000002</v>
      </c>
      <c r="AR946" s="9">
        <v>0</v>
      </c>
      <c r="AS946" s="9">
        <v>0</v>
      </c>
      <c r="AT946" s="8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  <c r="BD946">
        <v>0</v>
      </c>
      <c r="BE946" s="11">
        <v>0</v>
      </c>
      <c r="BF946" s="4">
        <v>0</v>
      </c>
      <c r="BG946" s="4">
        <v>0</v>
      </c>
      <c r="BH946" s="4">
        <v>0</v>
      </c>
      <c r="BI946" s="4">
        <v>1.0620000000000001</v>
      </c>
      <c r="BJ946" s="14">
        <v>0</v>
      </c>
      <c r="BK946" s="14">
        <v>0</v>
      </c>
      <c r="BL946" s="4">
        <v>0</v>
      </c>
      <c r="BM946" s="17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3.1139999999999999</v>
      </c>
      <c r="BV946" s="4">
        <v>0</v>
      </c>
      <c r="BW946" s="4">
        <v>0</v>
      </c>
      <c r="BX946" s="4">
        <v>0</v>
      </c>
      <c r="BY946" s="4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 s="4">
        <v>0</v>
      </c>
      <c r="CH946" s="4">
        <v>0</v>
      </c>
      <c r="CI946" s="4">
        <v>0</v>
      </c>
      <c r="CJ946" s="34">
        <v>0</v>
      </c>
      <c r="CK946" s="34">
        <v>0</v>
      </c>
      <c r="CL946" s="34">
        <v>0</v>
      </c>
      <c r="CM946" s="4">
        <v>0</v>
      </c>
      <c r="CN946" s="53">
        <v>0</v>
      </c>
      <c r="CO946" s="54">
        <v>0</v>
      </c>
      <c r="CP946" s="54">
        <v>0</v>
      </c>
      <c r="CQ946" s="4">
        <v>0</v>
      </c>
    </row>
    <row r="947" spans="1:95" x14ac:dyDescent="0.35">
      <c r="A947" s="55">
        <v>946</v>
      </c>
      <c r="B947" t="s">
        <v>120</v>
      </c>
      <c r="C947" s="27" t="s">
        <v>1027</v>
      </c>
      <c r="D947" s="3" t="s">
        <v>94</v>
      </c>
      <c r="E947" s="33" t="s">
        <v>91</v>
      </c>
      <c r="F947" s="4">
        <f>IFERROR(AVERAGEIF(Table1[[#This Row],[2019-Apr]:[2025-July]],"&lt;&gt;0"),0)</f>
        <v>2.3530967741935487</v>
      </c>
      <c r="G947" s="4">
        <f ca="1">IFERROR(AVERAGEIF(OFFSET(Table1[[#This Row],[Status]],0,COUNT(Table1[[#This Row],[2019-May]:[2025-July]]),1,-12),"&lt;&gt;0"),0)</f>
        <v>0</v>
      </c>
      <c r="H947" s="55">
        <f>IFERROR(SMALL(Table1[[#This Row],[2019-Apr]:[2025-July]],COUNTIF(Table1[[#This Row],[2019-Apr]:[2025-July]],0)+1),0)</f>
        <v>0.88</v>
      </c>
      <c r="I947" s="56">
        <f>IFERROR(MAX(Table1[[#This Row],[2019-Apr]:[2025-July]]),0)</f>
        <v>7.5990000000000002</v>
      </c>
      <c r="J947" s="4" cm="1">
        <f t="array" ref="J94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1.0966666666666665</v>
      </c>
      <c r="K947" s="4">
        <v>4.5</v>
      </c>
      <c r="L947" s="4">
        <f>IF(Table1[[#This Row],[Standard as per ISO]]&gt;=Table1[[#This Row],[Avg of best 6]],Table1[[#This Row],[Standard as per ISO]],Table1[[#This Row],[Avg of best 6]])</f>
        <v>4.5</v>
      </c>
      <c r="M947" s="4" cm="1">
        <f t="array" ref="M947">IFERROR(LOOKUP(2,1/(Table1[[#This Row],[2019-May]:[2025-July]]&lt;&gt;0),Table1[[#This Row],[2019-May]:[2025-July]]),0)</f>
        <v>7.5990000000000002</v>
      </c>
      <c r="N947" s="4">
        <f>COUNTIF(Table1[[#This Row],[2019-Apr]:[2025-July]],"&gt;="&amp;Table1[[#This Row],[Target]])</f>
        <v>1</v>
      </c>
      <c r="O947" s="4">
        <f>IF(Table1[[#This Row],[Outliers 2Y]]=0,1,0)</f>
        <v>0</v>
      </c>
      <c r="P947" s="4">
        <f>IF(Table1[[#This Row],[Last value]]&gt;1.5*Table1[[#This Row],[Target]],1,0)</f>
        <v>1</v>
      </c>
      <c r="Q947" s="4">
        <f>IF(AND(1.5*Table1[[#This Row],[Target]]&gt;=Table1[[#This Row],[Last value]],Table1[[#This Row],[Last value]]&gt;Table1[[#This Row],[Target]]),1,0)</f>
        <v>0</v>
      </c>
      <c r="R947" s="4">
        <f>IF(Table1[[#This Row],[Target]]&gt;=Table1[[#This Row],[Last value]],1,0)</f>
        <v>0</v>
      </c>
      <c r="S947" s="4" t="str">
        <f t="shared" si="17"/>
        <v>Red</v>
      </c>
      <c r="T947">
        <v>1.99</v>
      </c>
      <c r="U947">
        <v>2.48</v>
      </c>
      <c r="V947">
        <v>0</v>
      </c>
      <c r="W947">
        <v>3.54</v>
      </c>
      <c r="X947">
        <v>0</v>
      </c>
      <c r="Y947">
        <v>3.33</v>
      </c>
      <c r="Z947">
        <v>2.4</v>
      </c>
      <c r="AA947">
        <v>2.5</v>
      </c>
      <c r="AB947">
        <v>3.03</v>
      </c>
      <c r="AC947">
        <v>1.6</v>
      </c>
      <c r="AD947">
        <v>1.4</v>
      </c>
      <c r="AE947">
        <v>1.25</v>
      </c>
      <c r="AF947">
        <v>1.3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1.92</v>
      </c>
      <c r="AN947">
        <v>1.8</v>
      </c>
      <c r="AO947">
        <v>1.1000000000000001</v>
      </c>
      <c r="AP947">
        <v>1.33</v>
      </c>
      <c r="AQ947">
        <v>1.66</v>
      </c>
      <c r="AR947" s="9">
        <v>3.59</v>
      </c>
      <c r="AS947" s="9">
        <v>3.03</v>
      </c>
      <c r="AT947" s="8">
        <v>0</v>
      </c>
      <c r="AU947" s="3">
        <v>3.38</v>
      </c>
      <c r="AV947" s="3">
        <v>4</v>
      </c>
      <c r="AW947" s="3">
        <v>1.1499999999999999</v>
      </c>
      <c r="AX947" s="3">
        <v>0.88</v>
      </c>
      <c r="AY947" s="3">
        <v>3.67</v>
      </c>
      <c r="AZ947" s="3">
        <v>4.22</v>
      </c>
      <c r="BA947" s="3">
        <v>0</v>
      </c>
      <c r="BB947" s="3">
        <v>1.7</v>
      </c>
      <c r="BC947">
        <v>0.9</v>
      </c>
      <c r="BD947">
        <v>0</v>
      </c>
      <c r="BE947" s="11">
        <v>1.31</v>
      </c>
      <c r="BF947" s="4">
        <v>1.748</v>
      </c>
      <c r="BG947" s="4">
        <v>0</v>
      </c>
      <c r="BH947" s="4">
        <v>0</v>
      </c>
      <c r="BI947" s="4">
        <v>1.569</v>
      </c>
      <c r="BJ947" s="13">
        <v>0</v>
      </c>
      <c r="BK947" s="13">
        <v>0</v>
      </c>
      <c r="BL947" s="4">
        <v>0</v>
      </c>
      <c r="BM947" s="16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1.57</v>
      </c>
      <c r="BS947" s="4">
        <v>0</v>
      </c>
      <c r="BT947" s="4">
        <v>0</v>
      </c>
      <c r="BU947" s="4">
        <v>7.5990000000000002</v>
      </c>
      <c r="BV947" s="4">
        <v>0</v>
      </c>
      <c r="BW947" s="4">
        <v>0</v>
      </c>
      <c r="BX947" s="4">
        <v>0</v>
      </c>
      <c r="BY947" s="4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 s="4">
        <v>0</v>
      </c>
      <c r="CH947" s="4">
        <v>0</v>
      </c>
      <c r="CI947" s="4">
        <v>0</v>
      </c>
      <c r="CJ947" s="34">
        <v>0</v>
      </c>
      <c r="CK947" s="34">
        <v>0</v>
      </c>
      <c r="CL947" s="34">
        <v>0</v>
      </c>
      <c r="CM947" s="4">
        <v>0</v>
      </c>
      <c r="CN947" s="53">
        <v>0</v>
      </c>
      <c r="CO947" s="54">
        <v>0</v>
      </c>
      <c r="CP947" s="54">
        <v>0</v>
      </c>
      <c r="CQ947" s="4">
        <v>0</v>
      </c>
    </row>
    <row r="948" spans="1:95" x14ac:dyDescent="0.35">
      <c r="A948" s="55">
        <v>947</v>
      </c>
      <c r="B948" t="s">
        <v>120</v>
      </c>
      <c r="C948" s="27" t="s">
        <v>1028</v>
      </c>
      <c r="D948" s="3" t="s">
        <v>94</v>
      </c>
      <c r="E948" s="33" t="s">
        <v>91</v>
      </c>
      <c r="F948" s="4">
        <f>IFERROR(AVERAGEIF(Table1[[#This Row],[2019-Apr]:[2025-July]],"&lt;&gt;0"),0)</f>
        <v>1.9563749999999998</v>
      </c>
      <c r="G948" s="4">
        <f ca="1">IFERROR(AVERAGEIF(OFFSET(Table1[[#This Row],[Status]],0,COUNT(Table1[[#This Row],[2019-May]:[2025-July]]),1,-12),"&lt;&gt;0"),0)</f>
        <v>0</v>
      </c>
      <c r="H948" s="55">
        <f>IFERROR(SMALL(Table1[[#This Row],[2019-Apr]:[2025-July]],COUNTIF(Table1[[#This Row],[2019-Apr]:[2025-July]],0)+1),0)</f>
        <v>0.9</v>
      </c>
      <c r="I948" s="56">
        <f>IFERROR(MAX(Table1[[#This Row],[2019-Apr]:[2025-July]]),0)</f>
        <v>4.8</v>
      </c>
      <c r="J948" s="4" cm="1">
        <f t="array" ref="J94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1.0533333333333335</v>
      </c>
      <c r="K948" s="4">
        <v>4.5</v>
      </c>
      <c r="L948" s="4">
        <f>IF(Table1[[#This Row],[Standard as per ISO]]&gt;=Table1[[#This Row],[Avg of best 6]],Table1[[#This Row],[Standard as per ISO]],Table1[[#This Row],[Avg of best 6]])</f>
        <v>4.5</v>
      </c>
      <c r="M948" s="4" cm="1">
        <f t="array" ref="M948">IFERROR(LOOKUP(2,1/(Table1[[#This Row],[2019-May]:[2025-July]]&lt;&gt;0),Table1[[#This Row],[2019-May]:[2025-July]]),0)</f>
        <v>1.5629999999999999</v>
      </c>
      <c r="N948" s="4">
        <f>COUNTIF(Table1[[#This Row],[2019-Apr]:[2025-July]],"&gt;="&amp;Table1[[#This Row],[Target]])</f>
        <v>1</v>
      </c>
      <c r="O948" s="4">
        <f>IF(Table1[[#This Row],[Outliers 2Y]]=0,1,0)</f>
        <v>0</v>
      </c>
      <c r="P948" s="4">
        <f>IF(Table1[[#This Row],[Last value]]&gt;1.5*Table1[[#This Row],[Target]],1,0)</f>
        <v>0</v>
      </c>
      <c r="Q948" s="4">
        <f>IF(AND(1.5*Table1[[#This Row],[Target]]&gt;=Table1[[#This Row],[Last value]],Table1[[#This Row],[Last value]]&gt;Table1[[#This Row],[Target]]),1,0)</f>
        <v>0</v>
      </c>
      <c r="R948" s="4">
        <f>IF(Table1[[#This Row],[Target]]&gt;=Table1[[#This Row],[Last value]],1,0)</f>
        <v>1</v>
      </c>
      <c r="S948" s="4" t="str">
        <f t="shared" si="17"/>
        <v>Green</v>
      </c>
      <c r="T948">
        <v>2.8</v>
      </c>
      <c r="U948">
        <v>2.8</v>
      </c>
      <c r="V948">
        <v>3.82</v>
      </c>
      <c r="W948">
        <v>3.46</v>
      </c>
      <c r="X948">
        <v>0</v>
      </c>
      <c r="Y948">
        <v>3.5</v>
      </c>
      <c r="Z948">
        <v>3.6</v>
      </c>
      <c r="AA948">
        <v>4.8</v>
      </c>
      <c r="AB948">
        <v>1.4</v>
      </c>
      <c r="AC948">
        <v>1.3</v>
      </c>
      <c r="AD948">
        <v>1.8</v>
      </c>
      <c r="AE948">
        <v>1.2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1.66</v>
      </c>
      <c r="AN948">
        <v>1.4</v>
      </c>
      <c r="AO948">
        <v>1.46</v>
      </c>
      <c r="AP948">
        <v>1.3</v>
      </c>
      <c r="AQ948">
        <v>0</v>
      </c>
      <c r="AR948" s="9">
        <v>1.1000000000000001</v>
      </c>
      <c r="AS948" s="9">
        <v>1.65</v>
      </c>
      <c r="AT948" s="8">
        <v>0</v>
      </c>
      <c r="AU948" s="3">
        <v>0</v>
      </c>
      <c r="AV948" s="3">
        <v>1.99</v>
      </c>
      <c r="AW948" s="3">
        <v>2.23</v>
      </c>
      <c r="AX948" s="3">
        <v>1.75</v>
      </c>
      <c r="AY948" s="3">
        <v>1.5</v>
      </c>
      <c r="AZ948" s="3">
        <v>0.92</v>
      </c>
      <c r="BA948" s="3">
        <v>0.9</v>
      </c>
      <c r="BB948" s="3">
        <v>1.2</v>
      </c>
      <c r="BC948">
        <v>1.3</v>
      </c>
      <c r="BD948">
        <v>0</v>
      </c>
      <c r="BE948" s="11">
        <v>1.6319999999999999</v>
      </c>
      <c r="BF948" s="4">
        <v>1.2130000000000001</v>
      </c>
      <c r="BG948" s="4">
        <v>2.09</v>
      </c>
      <c r="BH948" s="4">
        <v>0</v>
      </c>
      <c r="BI948" s="4">
        <v>2.2160000000000002</v>
      </c>
      <c r="BJ948" s="14">
        <v>0</v>
      </c>
      <c r="BK948" s="14">
        <v>0</v>
      </c>
      <c r="BL948" s="4">
        <v>0</v>
      </c>
      <c r="BM948" s="17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2.0499999999999998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1.5629999999999999</v>
      </c>
      <c r="BY948" s="4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 s="4">
        <v>0</v>
      </c>
      <c r="CH948" s="4">
        <v>0</v>
      </c>
      <c r="CI948" s="4">
        <v>0</v>
      </c>
      <c r="CJ948" s="34">
        <v>0</v>
      </c>
      <c r="CK948" s="34">
        <v>0</v>
      </c>
      <c r="CL948" s="34">
        <v>0</v>
      </c>
      <c r="CM948" s="4">
        <v>0</v>
      </c>
      <c r="CN948" s="53">
        <v>0</v>
      </c>
      <c r="CO948" s="54">
        <v>0</v>
      </c>
      <c r="CP948" s="54">
        <v>0</v>
      </c>
      <c r="CQ948" s="4">
        <v>0</v>
      </c>
    </row>
    <row r="949" spans="1:95" x14ac:dyDescent="0.35">
      <c r="A949" s="55">
        <v>948</v>
      </c>
      <c r="B949" t="s">
        <v>120</v>
      </c>
      <c r="C949" s="27" t="s">
        <v>1029</v>
      </c>
      <c r="D949" s="3" t="s">
        <v>94</v>
      </c>
      <c r="E949" s="33" t="s">
        <v>91</v>
      </c>
      <c r="F949" s="4">
        <f>IFERROR(AVERAGEIF(Table1[[#This Row],[2019-Apr]:[2025-July]],"&lt;&gt;0"),0)</f>
        <v>4.8259090909090903</v>
      </c>
      <c r="G949" s="4">
        <f ca="1">IFERROR(AVERAGEIF(OFFSET(Table1[[#This Row],[Status]],0,COUNT(Table1[[#This Row],[2019-May]:[2025-July]]),1,-12),"&lt;&gt;0"),0)</f>
        <v>0</v>
      </c>
      <c r="H949" s="55">
        <f>IFERROR(SMALL(Table1[[#This Row],[2019-Apr]:[2025-July]],COUNTIF(Table1[[#This Row],[2019-Apr]:[2025-July]],0)+1),0)</f>
        <v>2.82</v>
      </c>
      <c r="I949" s="56">
        <f>IFERROR(MAX(Table1[[#This Row],[2019-Apr]:[2025-July]]),0)</f>
        <v>7.226</v>
      </c>
      <c r="J949" s="4" cm="1">
        <f t="array" ref="J94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3.6266666666666669</v>
      </c>
      <c r="K949" s="4">
        <v>4.5</v>
      </c>
      <c r="L949" s="4">
        <f>IF(Table1[[#This Row],[Standard as per ISO]]&gt;=Table1[[#This Row],[Avg of best 6]],Table1[[#This Row],[Standard as per ISO]],Table1[[#This Row],[Avg of best 6]])</f>
        <v>4.5</v>
      </c>
      <c r="M949" s="4" cm="1">
        <f t="array" ref="M949">IFERROR(LOOKUP(2,1/(Table1[[#This Row],[2019-May]:[2025-July]]&lt;&gt;0),Table1[[#This Row],[2019-May]:[2025-July]]),0)</f>
        <v>7.2140000000000004</v>
      </c>
      <c r="N949" s="4">
        <f>COUNTIF(Table1[[#This Row],[2019-Apr]:[2025-July]],"&gt;="&amp;Table1[[#This Row],[Target]])</f>
        <v>11</v>
      </c>
      <c r="O949" s="4">
        <f>IF(Table1[[#This Row],[Outliers 2Y]]=0,1,0)</f>
        <v>0</v>
      </c>
      <c r="P949" s="4">
        <f>IF(Table1[[#This Row],[Last value]]&gt;1.5*Table1[[#This Row],[Target]],1,0)</f>
        <v>1</v>
      </c>
      <c r="Q949" s="4">
        <f>IF(AND(1.5*Table1[[#This Row],[Target]]&gt;=Table1[[#This Row],[Last value]],Table1[[#This Row],[Last value]]&gt;Table1[[#This Row],[Target]]),1,0)</f>
        <v>0</v>
      </c>
      <c r="R949" s="4">
        <f>IF(Table1[[#This Row],[Target]]&gt;=Table1[[#This Row],[Last value]],1,0)</f>
        <v>0</v>
      </c>
      <c r="S949" s="4" t="str">
        <f t="shared" si="17"/>
        <v>Red</v>
      </c>
      <c r="T949">
        <v>4.3600000000000003</v>
      </c>
      <c r="U949">
        <v>0</v>
      </c>
      <c r="V949">
        <v>4.41</v>
      </c>
      <c r="W949">
        <v>5.66</v>
      </c>
      <c r="X949">
        <v>0</v>
      </c>
      <c r="Y949">
        <v>4.4000000000000004</v>
      </c>
      <c r="Z949">
        <v>0</v>
      </c>
      <c r="AA949">
        <v>0</v>
      </c>
      <c r="AB949">
        <v>4</v>
      </c>
      <c r="AC949">
        <v>5.2</v>
      </c>
      <c r="AD949">
        <v>4.2</v>
      </c>
      <c r="AE949">
        <v>3.8</v>
      </c>
      <c r="AF949">
        <v>4.3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4.4000000000000004</v>
      </c>
      <c r="AO949">
        <v>5.0999999999999996</v>
      </c>
      <c r="AP949">
        <v>6.42</v>
      </c>
      <c r="AQ949">
        <v>5.54</v>
      </c>
      <c r="AR949" s="9">
        <v>0</v>
      </c>
      <c r="AS949" s="9">
        <v>4.9800000000000004</v>
      </c>
      <c r="AT949" s="9">
        <v>3.7</v>
      </c>
      <c r="AU949" s="3">
        <v>4.93</v>
      </c>
      <c r="AV949" s="3">
        <v>2.82</v>
      </c>
      <c r="AW949" s="3">
        <v>0</v>
      </c>
      <c r="AX949" s="3">
        <v>3.24</v>
      </c>
      <c r="AY949" s="3">
        <v>4.67</v>
      </c>
      <c r="AZ949" s="3">
        <v>0</v>
      </c>
      <c r="BA949" s="3">
        <v>5.6</v>
      </c>
      <c r="BB949" s="3">
        <v>0</v>
      </c>
      <c r="BC949" s="3">
        <v>0</v>
      </c>
      <c r="BD949">
        <v>0</v>
      </c>
      <c r="BE949" s="11">
        <v>0</v>
      </c>
      <c r="BF949" s="4">
        <v>7.226</v>
      </c>
      <c r="BG949" s="4">
        <v>7.2140000000000004</v>
      </c>
      <c r="BH949" s="4">
        <v>0</v>
      </c>
      <c r="BI949" s="4">
        <v>0</v>
      </c>
      <c r="BJ949" s="13">
        <v>0</v>
      </c>
      <c r="BK949" s="13">
        <v>0</v>
      </c>
      <c r="BL949" s="4">
        <v>0</v>
      </c>
      <c r="BM949" s="16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 s="4">
        <v>0</v>
      </c>
      <c r="CH949" s="4">
        <v>0</v>
      </c>
      <c r="CI949" s="4">
        <v>0</v>
      </c>
      <c r="CJ949" s="34">
        <v>0</v>
      </c>
      <c r="CK949" s="34">
        <v>0</v>
      </c>
      <c r="CL949" s="34">
        <v>0</v>
      </c>
      <c r="CM949" s="4">
        <v>0</v>
      </c>
      <c r="CN949" s="53">
        <v>0</v>
      </c>
      <c r="CO949" s="54">
        <v>0</v>
      </c>
      <c r="CP949" s="54">
        <v>0</v>
      </c>
      <c r="CQ949" s="4">
        <v>0</v>
      </c>
    </row>
    <row r="950" spans="1:95" x14ac:dyDescent="0.35">
      <c r="A950" s="55">
        <v>949</v>
      </c>
      <c r="B950" t="s">
        <v>120</v>
      </c>
      <c r="C950" s="27" t="s">
        <v>1030</v>
      </c>
      <c r="D950" s="3" t="s">
        <v>94</v>
      </c>
      <c r="E950" s="33" t="s">
        <v>91</v>
      </c>
      <c r="F950" s="4">
        <f>IFERROR(AVERAGEIF(Table1[[#This Row],[2019-Apr]:[2025-July]],"&lt;&gt;0"),0)</f>
        <v>5.5985499999999995</v>
      </c>
      <c r="G950" s="4">
        <f ca="1">IFERROR(AVERAGEIF(OFFSET(Table1[[#This Row],[Status]],0,COUNT(Table1[[#This Row],[2019-May]:[2025-July]]),1,-12),"&lt;&gt;0"),0)</f>
        <v>0</v>
      </c>
      <c r="H950" s="55">
        <f>IFERROR(SMALL(Table1[[#This Row],[2019-Apr]:[2025-July]],COUNTIF(Table1[[#This Row],[2019-Apr]:[2025-July]],0)+1),0)</f>
        <v>2.718</v>
      </c>
      <c r="I950" s="56">
        <f>IFERROR(MAX(Table1[[#This Row],[2019-Apr]:[2025-July]]),0)</f>
        <v>9.6999999999999993</v>
      </c>
      <c r="J950" s="4" cm="1">
        <f t="array" ref="J95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3.4818333333333338</v>
      </c>
      <c r="K950" s="4">
        <v>4.5</v>
      </c>
      <c r="L950" s="4">
        <f>IF(Table1[[#This Row],[Standard as per ISO]]&gt;=Table1[[#This Row],[Avg of best 6]],Table1[[#This Row],[Standard as per ISO]],Table1[[#This Row],[Avg of best 6]])</f>
        <v>4.5</v>
      </c>
      <c r="M950" s="4" cm="1">
        <f t="array" ref="M950">IFERROR(LOOKUP(2,1/(Table1[[#This Row],[2019-May]:[2025-July]]&lt;&gt;0),Table1[[#This Row],[2019-May]:[2025-July]]),0)</f>
        <v>2.718</v>
      </c>
      <c r="N950" s="4">
        <f>COUNTIF(Table1[[#This Row],[2019-Apr]:[2025-July]],"&gt;="&amp;Table1[[#This Row],[Target]])</f>
        <v>13</v>
      </c>
      <c r="O950" s="4">
        <f>IF(Table1[[#This Row],[Outliers 2Y]]=0,1,0)</f>
        <v>0</v>
      </c>
      <c r="P950" s="4">
        <f>IF(Table1[[#This Row],[Last value]]&gt;1.5*Table1[[#This Row],[Target]],1,0)</f>
        <v>0</v>
      </c>
      <c r="Q950" s="4">
        <f>IF(AND(1.5*Table1[[#This Row],[Target]]&gt;=Table1[[#This Row],[Last value]],Table1[[#This Row],[Last value]]&gt;Table1[[#This Row],[Target]]),1,0)</f>
        <v>0</v>
      </c>
      <c r="R950" s="4">
        <f>IF(Table1[[#This Row],[Target]]&gt;=Table1[[#This Row],[Last value]],1,0)</f>
        <v>1</v>
      </c>
      <c r="S950" s="4" t="str">
        <f t="shared" si="17"/>
        <v>Green</v>
      </c>
      <c r="T950">
        <v>0</v>
      </c>
      <c r="U950">
        <v>9.18</v>
      </c>
      <c r="V950">
        <v>0</v>
      </c>
      <c r="W950">
        <v>7.6</v>
      </c>
      <c r="X950">
        <v>0</v>
      </c>
      <c r="Y950">
        <v>5.44</v>
      </c>
      <c r="Z950">
        <v>9.6999999999999993</v>
      </c>
      <c r="AA950">
        <v>6.7</v>
      </c>
      <c r="AB950">
        <v>7.4</v>
      </c>
      <c r="AC950">
        <v>0</v>
      </c>
      <c r="AD950">
        <v>0</v>
      </c>
      <c r="AE950">
        <v>9.5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4.5</v>
      </c>
      <c r="AO950">
        <v>0</v>
      </c>
      <c r="AP950">
        <v>0</v>
      </c>
      <c r="AQ950">
        <v>0</v>
      </c>
      <c r="AR950" s="9">
        <v>3.35</v>
      </c>
      <c r="AS950" s="9">
        <v>0</v>
      </c>
      <c r="AT950" s="8">
        <v>3.62</v>
      </c>
      <c r="AU950" s="3">
        <v>0</v>
      </c>
      <c r="AV950" s="3">
        <v>3.54</v>
      </c>
      <c r="AW950" s="3">
        <v>4.5199999999999996</v>
      </c>
      <c r="AX950" s="3">
        <v>0</v>
      </c>
      <c r="AY950" s="3">
        <v>0</v>
      </c>
      <c r="AZ950" s="3">
        <v>3.97</v>
      </c>
      <c r="BA950" s="3">
        <v>0</v>
      </c>
      <c r="BB950" s="3">
        <v>6</v>
      </c>
      <c r="BC950">
        <v>4.5999999999999996</v>
      </c>
      <c r="BD950">
        <v>0</v>
      </c>
      <c r="BE950" s="11">
        <v>6.4039999999999999</v>
      </c>
      <c r="BF950" s="4">
        <v>0</v>
      </c>
      <c r="BG950" s="4">
        <v>0</v>
      </c>
      <c r="BH950" s="4">
        <v>0</v>
      </c>
      <c r="BI950" s="4">
        <v>4.4450000000000003</v>
      </c>
      <c r="BJ950" s="14">
        <v>0</v>
      </c>
      <c r="BK950" s="14">
        <v>0</v>
      </c>
      <c r="BL950" s="4">
        <v>0</v>
      </c>
      <c r="BM950" s="17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5.0910000000000002</v>
      </c>
      <c r="BS950" s="4">
        <v>0</v>
      </c>
      <c r="BT950" s="4">
        <v>0</v>
      </c>
      <c r="BU950" s="4">
        <v>3.6930000000000001</v>
      </c>
      <c r="BV950" s="4">
        <v>0</v>
      </c>
      <c r="BW950" s="4">
        <v>0</v>
      </c>
      <c r="BX950" s="4">
        <v>2.718</v>
      </c>
      <c r="BY950" s="4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 s="4">
        <v>0</v>
      </c>
      <c r="CH950" s="4">
        <v>0</v>
      </c>
      <c r="CI950" s="4">
        <v>0</v>
      </c>
      <c r="CJ950" s="34">
        <v>0</v>
      </c>
      <c r="CK950" s="34">
        <v>0</v>
      </c>
      <c r="CL950" s="34">
        <v>0</v>
      </c>
      <c r="CM950" s="4">
        <v>0</v>
      </c>
      <c r="CN950" s="53">
        <v>0</v>
      </c>
      <c r="CO950" s="54">
        <v>0</v>
      </c>
      <c r="CP950" s="54">
        <v>0</v>
      </c>
      <c r="CQ950" s="4">
        <v>0</v>
      </c>
    </row>
    <row r="951" spans="1:95" x14ac:dyDescent="0.35">
      <c r="A951" s="55">
        <v>950</v>
      </c>
      <c r="B951" t="s">
        <v>120</v>
      </c>
      <c r="C951" s="27" t="s">
        <v>1031</v>
      </c>
      <c r="D951" s="3" t="s">
        <v>94</v>
      </c>
      <c r="E951" s="33" t="s">
        <v>91</v>
      </c>
      <c r="F951" s="4">
        <f>IFERROR(AVERAGEIF(Table1[[#This Row],[2019-Apr]:[2025-July]],"&lt;&gt;0"),0)</f>
        <v>4.8852105263157899</v>
      </c>
      <c r="G951" s="4">
        <f ca="1">IFERROR(AVERAGEIF(OFFSET(Table1[[#This Row],[Status]],0,COUNT(Table1[[#This Row],[2019-May]:[2025-July]]),1,-12),"&lt;&gt;0"),0)</f>
        <v>0</v>
      </c>
      <c r="H951" s="55">
        <f>IFERROR(SMALL(Table1[[#This Row],[2019-Apr]:[2025-July]],COUNTIF(Table1[[#This Row],[2019-Apr]:[2025-July]],0)+1),0)</f>
        <v>2.64</v>
      </c>
      <c r="I951" s="56">
        <f>IFERROR(MAX(Table1[[#This Row],[2019-Apr]:[2025-July]]),0)</f>
        <v>7.89</v>
      </c>
      <c r="J951" s="4" cm="1">
        <f t="array" ref="J95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3.6716666666666669</v>
      </c>
      <c r="K951" s="4">
        <v>4.5</v>
      </c>
      <c r="L951" s="4">
        <f>IF(Table1[[#This Row],[Standard as per ISO]]&gt;=Table1[[#This Row],[Avg of best 6]],Table1[[#This Row],[Standard as per ISO]],Table1[[#This Row],[Avg of best 6]])</f>
        <v>4.5</v>
      </c>
      <c r="M951" s="4" cm="1">
        <f t="array" ref="M951">IFERROR(LOOKUP(2,1/(Table1[[#This Row],[2019-May]:[2025-July]]&lt;&gt;0),Table1[[#This Row],[2019-May]:[2025-July]]),0)</f>
        <v>3.97</v>
      </c>
      <c r="N951" s="4">
        <f>COUNTIF(Table1[[#This Row],[2019-Apr]:[2025-July]],"&gt;="&amp;Table1[[#This Row],[Target]])</f>
        <v>9</v>
      </c>
      <c r="O951" s="4">
        <f>IF(Table1[[#This Row],[Outliers 2Y]]=0,1,0)</f>
        <v>0</v>
      </c>
      <c r="P951" s="4">
        <f>IF(Table1[[#This Row],[Last value]]&gt;1.5*Table1[[#This Row],[Target]],1,0)</f>
        <v>0</v>
      </c>
      <c r="Q951" s="4">
        <f>IF(AND(1.5*Table1[[#This Row],[Target]]&gt;=Table1[[#This Row],[Last value]],Table1[[#This Row],[Last value]]&gt;Table1[[#This Row],[Target]]),1,0)</f>
        <v>0</v>
      </c>
      <c r="R951" s="4">
        <f>IF(Table1[[#This Row],[Target]]&gt;=Table1[[#This Row],[Last value]],1,0)</f>
        <v>1</v>
      </c>
      <c r="S951" s="4" t="str">
        <f t="shared" si="17"/>
        <v>Green</v>
      </c>
      <c r="T951">
        <v>0</v>
      </c>
      <c r="U951">
        <v>0</v>
      </c>
      <c r="V951">
        <v>5.95</v>
      </c>
      <c r="W951">
        <v>0</v>
      </c>
      <c r="X951">
        <v>0</v>
      </c>
      <c r="Y951">
        <v>7.89</v>
      </c>
      <c r="Z951">
        <v>0</v>
      </c>
      <c r="AA951">
        <v>0</v>
      </c>
      <c r="AB951">
        <v>6</v>
      </c>
      <c r="AC951">
        <v>4.4000000000000004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5.08</v>
      </c>
      <c r="AN951">
        <v>0</v>
      </c>
      <c r="AO951">
        <v>4.3</v>
      </c>
      <c r="AP951">
        <v>4.91</v>
      </c>
      <c r="AQ951">
        <v>5.63</v>
      </c>
      <c r="AR951" s="9">
        <v>0</v>
      </c>
      <c r="AS951" s="9">
        <v>4.2</v>
      </c>
      <c r="AT951" s="8">
        <v>5.38</v>
      </c>
      <c r="AU951" s="3">
        <v>3.75</v>
      </c>
      <c r="AV951" s="3">
        <v>2.64</v>
      </c>
      <c r="AW951" s="3">
        <v>0</v>
      </c>
      <c r="AX951" s="3">
        <v>3.9</v>
      </c>
      <c r="AY951" s="3">
        <v>0</v>
      </c>
      <c r="AZ951" s="3">
        <v>0</v>
      </c>
      <c r="BA951" s="3">
        <v>0</v>
      </c>
      <c r="BB951" s="3">
        <v>6.6</v>
      </c>
      <c r="BC951">
        <v>3.8</v>
      </c>
      <c r="BD951">
        <v>0</v>
      </c>
      <c r="BE951" s="11">
        <v>0</v>
      </c>
      <c r="BF951" s="4">
        <v>0</v>
      </c>
      <c r="BG951" s="4">
        <v>6.2709999999999999</v>
      </c>
      <c r="BH951" s="4">
        <v>0</v>
      </c>
      <c r="BI951" s="4">
        <v>4.1779999999999999</v>
      </c>
      <c r="BJ951" s="13">
        <v>0</v>
      </c>
      <c r="BK951" s="13">
        <v>0</v>
      </c>
      <c r="BL951" s="4">
        <v>0</v>
      </c>
      <c r="BM951" s="16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3.97</v>
      </c>
      <c r="BS951" s="4">
        <v>3.97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 s="4">
        <v>0</v>
      </c>
      <c r="CH951" s="4">
        <v>0</v>
      </c>
      <c r="CI951" s="4">
        <v>0</v>
      </c>
      <c r="CJ951" s="34">
        <v>0</v>
      </c>
      <c r="CK951" s="34">
        <v>0</v>
      </c>
      <c r="CL951" s="34">
        <v>0</v>
      </c>
      <c r="CM951" s="4">
        <v>0</v>
      </c>
      <c r="CN951" s="53">
        <v>0</v>
      </c>
      <c r="CO951" s="54">
        <v>0</v>
      </c>
      <c r="CP951" s="54">
        <v>0</v>
      </c>
      <c r="CQ951" s="4">
        <v>0</v>
      </c>
    </row>
    <row r="952" spans="1:95" x14ac:dyDescent="0.35">
      <c r="A952" s="55">
        <v>951</v>
      </c>
      <c r="B952" t="s">
        <v>120</v>
      </c>
      <c r="C952" s="27" t="s">
        <v>1032</v>
      </c>
      <c r="D952" s="3" t="s">
        <v>94</v>
      </c>
      <c r="E952" s="33" t="s">
        <v>91</v>
      </c>
      <c r="F952" s="4">
        <f>IFERROR(AVERAGEIF(Table1[[#This Row],[2019-Apr]:[2025-July]],"&lt;&gt;0"),0)</f>
        <v>4.3423181818181824</v>
      </c>
      <c r="G952" s="4">
        <f ca="1">IFERROR(AVERAGEIF(OFFSET(Table1[[#This Row],[Status]],0,COUNT(Table1[[#This Row],[2019-May]:[2025-July]]),1,-12),"&lt;&gt;0"),0)</f>
        <v>0</v>
      </c>
      <c r="H952" s="55">
        <f>IFERROR(SMALL(Table1[[#This Row],[2019-Apr]:[2025-July]],COUNTIF(Table1[[#This Row],[2019-Apr]:[2025-July]],0)+1),0)</f>
        <v>2.5</v>
      </c>
      <c r="I952" s="56">
        <f>IFERROR(MAX(Table1[[#This Row],[2019-Apr]:[2025-July]]),0)</f>
        <v>6.91</v>
      </c>
      <c r="J952" s="4" cm="1">
        <f t="array" ref="J95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3.4203333333333332</v>
      </c>
      <c r="K952" s="4">
        <v>4.5</v>
      </c>
      <c r="L952" s="4">
        <f>IF(Table1[[#This Row],[Standard as per ISO]]&gt;=Table1[[#This Row],[Avg of best 6]],Table1[[#This Row],[Standard as per ISO]],Table1[[#This Row],[Avg of best 6]])</f>
        <v>4.5</v>
      </c>
      <c r="M952" s="4" cm="1">
        <f t="array" ref="M952">IFERROR(LOOKUP(2,1/(Table1[[#This Row],[2019-May]:[2025-July]]&lt;&gt;0),Table1[[#This Row],[2019-May]:[2025-July]]),0)</f>
        <v>2.754</v>
      </c>
      <c r="N952" s="4">
        <f>COUNTIF(Table1[[#This Row],[2019-Apr]:[2025-July]],"&gt;="&amp;Table1[[#This Row],[Target]])</f>
        <v>8</v>
      </c>
      <c r="O952" s="4">
        <f>IF(Table1[[#This Row],[Outliers 2Y]]=0,1,0)</f>
        <v>0</v>
      </c>
      <c r="P952" s="4">
        <f>IF(Table1[[#This Row],[Last value]]&gt;1.5*Table1[[#This Row],[Target]],1,0)</f>
        <v>0</v>
      </c>
      <c r="Q952" s="4">
        <f>IF(AND(1.5*Table1[[#This Row],[Target]]&gt;=Table1[[#This Row],[Last value]],Table1[[#This Row],[Last value]]&gt;Table1[[#This Row],[Target]]),1,0)</f>
        <v>0</v>
      </c>
      <c r="R952" s="4">
        <f>IF(Table1[[#This Row],[Target]]&gt;=Table1[[#This Row],[Last value]],1,0)</f>
        <v>1</v>
      </c>
      <c r="S952" s="4" t="str">
        <f t="shared" si="17"/>
        <v>Green</v>
      </c>
      <c r="T952">
        <v>2.5</v>
      </c>
      <c r="U952">
        <v>6.91</v>
      </c>
      <c r="V952">
        <v>0</v>
      </c>
      <c r="W952">
        <v>3.53</v>
      </c>
      <c r="X952">
        <v>0</v>
      </c>
      <c r="Y952">
        <v>4.57</v>
      </c>
      <c r="Z952">
        <v>4.5</v>
      </c>
      <c r="AA952">
        <v>3.9</v>
      </c>
      <c r="AB952">
        <v>0</v>
      </c>
      <c r="AC952">
        <v>0</v>
      </c>
      <c r="AD952">
        <v>3.7</v>
      </c>
      <c r="AE952">
        <v>4</v>
      </c>
      <c r="AF952">
        <v>4.2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5.47</v>
      </c>
      <c r="AN952">
        <v>0</v>
      </c>
      <c r="AO952">
        <v>0</v>
      </c>
      <c r="AP952">
        <v>0</v>
      </c>
      <c r="AQ952">
        <v>0</v>
      </c>
      <c r="AR952" s="9">
        <v>3.59</v>
      </c>
      <c r="AS952" s="9">
        <v>0</v>
      </c>
      <c r="AT952" s="8">
        <v>4.42</v>
      </c>
      <c r="AU952" s="3">
        <v>0</v>
      </c>
      <c r="AV952" s="3">
        <v>3.9</v>
      </c>
      <c r="AW952" s="3">
        <v>4.25</v>
      </c>
      <c r="AX952" s="3">
        <v>3.42</v>
      </c>
      <c r="AY952" s="3">
        <v>5.18</v>
      </c>
      <c r="AZ952" s="3">
        <v>5.18</v>
      </c>
      <c r="BA952" s="3">
        <v>0</v>
      </c>
      <c r="BB952" s="3">
        <v>0</v>
      </c>
      <c r="BC952" s="3">
        <v>0</v>
      </c>
      <c r="BD952">
        <v>0</v>
      </c>
      <c r="BE952" s="11">
        <v>4.49</v>
      </c>
      <c r="BF952" s="4">
        <v>6.69</v>
      </c>
      <c r="BG952" s="4">
        <v>0</v>
      </c>
      <c r="BH952" s="4">
        <v>0</v>
      </c>
      <c r="BI952" s="4">
        <v>0</v>
      </c>
      <c r="BJ952" s="14">
        <v>0</v>
      </c>
      <c r="BK952" s="14">
        <v>0</v>
      </c>
      <c r="BL952" s="4">
        <v>0</v>
      </c>
      <c r="BM952" s="17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4.8490000000000002</v>
      </c>
      <c r="BS952" s="4">
        <v>0</v>
      </c>
      <c r="BT952" s="4">
        <v>0</v>
      </c>
      <c r="BU952" s="4">
        <v>3.528</v>
      </c>
      <c r="BV952" s="4">
        <v>0</v>
      </c>
      <c r="BW952" s="4">
        <v>0</v>
      </c>
      <c r="BX952" s="4">
        <v>2.754</v>
      </c>
      <c r="BY952" s="4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 s="4">
        <v>0</v>
      </c>
      <c r="CH952" s="4">
        <v>0</v>
      </c>
      <c r="CI952" s="4">
        <v>0</v>
      </c>
      <c r="CJ952" s="34">
        <v>0</v>
      </c>
      <c r="CK952" s="34">
        <v>0</v>
      </c>
      <c r="CL952" s="34">
        <v>0</v>
      </c>
      <c r="CM952" s="4">
        <v>0</v>
      </c>
      <c r="CN952" s="53">
        <v>0</v>
      </c>
      <c r="CO952" s="54">
        <v>0</v>
      </c>
      <c r="CP952" s="54">
        <v>0</v>
      </c>
      <c r="CQ952" s="4">
        <v>0</v>
      </c>
    </row>
    <row r="953" spans="1:95" x14ac:dyDescent="0.35">
      <c r="A953" s="55">
        <v>952</v>
      </c>
      <c r="B953" t="s">
        <v>120</v>
      </c>
      <c r="C953" s="27" t="s">
        <v>1033</v>
      </c>
      <c r="D953" s="3" t="s">
        <v>94</v>
      </c>
      <c r="E953" s="33" t="s">
        <v>91</v>
      </c>
      <c r="F953" s="4">
        <f>IFERROR(AVERAGEIF(Table1[[#This Row],[2019-Apr]:[2025-July]],"&lt;&gt;0"),0)</f>
        <v>2.2405384615384616</v>
      </c>
      <c r="G953" s="4">
        <f ca="1">IFERROR(AVERAGEIF(OFFSET(Table1[[#This Row],[Status]],0,COUNT(Table1[[#This Row],[2019-May]:[2025-July]]),1,-12),"&lt;&gt;0"),0)</f>
        <v>0</v>
      </c>
      <c r="H953" s="55">
        <f>IFERROR(SMALL(Table1[[#This Row],[2019-Apr]:[2025-July]],COUNTIF(Table1[[#This Row],[2019-Apr]:[2025-July]],0)+1),0)</f>
        <v>0.82</v>
      </c>
      <c r="I953" s="56">
        <f>IFERROR(MAX(Table1[[#This Row],[2019-Apr]:[2025-July]]),0)</f>
        <v>5.3</v>
      </c>
      <c r="J953" s="4" cm="1">
        <f t="array" ref="J95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1.1366666666666665</v>
      </c>
      <c r="K953" s="4">
        <v>4.5</v>
      </c>
      <c r="L953" s="4">
        <f>IF(Table1[[#This Row],[Standard as per ISO]]&gt;=Table1[[#This Row],[Avg of best 6]],Table1[[#This Row],[Standard as per ISO]],Table1[[#This Row],[Avg of best 6]])</f>
        <v>4.5</v>
      </c>
      <c r="M953" s="4" cm="1">
        <f t="array" ref="M953">IFERROR(LOOKUP(2,1/(Table1[[#This Row],[2019-May]:[2025-July]]&lt;&gt;0),Table1[[#This Row],[2019-May]:[2025-July]]),0)</f>
        <v>1.83</v>
      </c>
      <c r="N953" s="4">
        <f>COUNTIF(Table1[[#This Row],[2019-Apr]:[2025-July]],"&gt;="&amp;Table1[[#This Row],[Target]])</f>
        <v>2</v>
      </c>
      <c r="O953" s="4">
        <f>IF(Table1[[#This Row],[Outliers 2Y]]=0,1,0)</f>
        <v>0</v>
      </c>
      <c r="P953" s="4">
        <f>IF(Table1[[#This Row],[Last value]]&gt;1.5*Table1[[#This Row],[Target]],1,0)</f>
        <v>0</v>
      </c>
      <c r="Q953" s="4">
        <f>IF(AND(1.5*Table1[[#This Row],[Target]]&gt;=Table1[[#This Row],[Last value]],Table1[[#This Row],[Last value]]&gt;Table1[[#This Row],[Target]]),1,0)</f>
        <v>0</v>
      </c>
      <c r="R953" s="4">
        <f>IF(Table1[[#This Row],[Target]]&gt;=Table1[[#This Row],[Last value]],1,0)</f>
        <v>1</v>
      </c>
      <c r="S953" s="4" t="str">
        <f t="shared" si="17"/>
        <v>Green</v>
      </c>
      <c r="T953">
        <v>1.17</v>
      </c>
      <c r="U953">
        <v>0</v>
      </c>
      <c r="V953">
        <v>0</v>
      </c>
      <c r="W953">
        <v>3.7</v>
      </c>
      <c r="X953">
        <v>0</v>
      </c>
      <c r="Y953">
        <v>2.38</v>
      </c>
      <c r="Z953">
        <v>0</v>
      </c>
      <c r="AA953">
        <v>0</v>
      </c>
      <c r="AB953">
        <v>1.5</v>
      </c>
      <c r="AC953">
        <v>1.1000000000000001</v>
      </c>
      <c r="AD953">
        <v>1.3</v>
      </c>
      <c r="AE953">
        <v>2</v>
      </c>
      <c r="AF953">
        <v>1.46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1.27</v>
      </c>
      <c r="AN953">
        <v>0</v>
      </c>
      <c r="AO953">
        <v>3.4</v>
      </c>
      <c r="AP953">
        <v>1.64</v>
      </c>
      <c r="AQ953">
        <v>0</v>
      </c>
      <c r="AR953" s="8">
        <v>0</v>
      </c>
      <c r="AS953" s="9">
        <v>0</v>
      </c>
      <c r="AT953" s="8">
        <v>0.82</v>
      </c>
      <c r="AU953" s="3">
        <v>1.1100000000000001</v>
      </c>
      <c r="AV953" s="3">
        <v>5.3</v>
      </c>
      <c r="AW953" s="3">
        <v>1.69</v>
      </c>
      <c r="AX953" s="3">
        <v>3.8</v>
      </c>
      <c r="AY953" s="3">
        <v>0</v>
      </c>
      <c r="AZ953" s="3">
        <v>1.22</v>
      </c>
      <c r="BA953" s="3">
        <v>1.6</v>
      </c>
      <c r="BB953" s="3">
        <v>4.7</v>
      </c>
      <c r="BC953">
        <v>1.6</v>
      </c>
      <c r="BD953">
        <v>0</v>
      </c>
      <c r="BE953" s="11">
        <v>2.9420000000000002</v>
      </c>
      <c r="BF953" s="4">
        <v>0</v>
      </c>
      <c r="BG953" s="4">
        <v>3.1829999999999998</v>
      </c>
      <c r="BH953" s="4">
        <v>0</v>
      </c>
      <c r="BI953" s="4">
        <v>2.65</v>
      </c>
      <c r="BJ953" s="13">
        <v>0</v>
      </c>
      <c r="BK953" s="13">
        <v>0</v>
      </c>
      <c r="BL953" s="4">
        <v>0</v>
      </c>
      <c r="BM953" s="16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3.1269999999999998</v>
      </c>
      <c r="BS953" s="4">
        <v>0</v>
      </c>
      <c r="BT953" s="4">
        <v>0</v>
      </c>
      <c r="BU953" s="4">
        <v>1.762</v>
      </c>
      <c r="BV953" s="4">
        <v>0</v>
      </c>
      <c r="BW953" s="4">
        <v>0</v>
      </c>
      <c r="BX953" s="4">
        <v>1.83</v>
      </c>
      <c r="BY953" s="4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 s="4">
        <v>0</v>
      </c>
      <c r="CH953" s="4">
        <v>0</v>
      </c>
      <c r="CI953" s="4">
        <v>0</v>
      </c>
      <c r="CJ953" s="34">
        <v>0</v>
      </c>
      <c r="CK953" s="34">
        <v>0</v>
      </c>
      <c r="CL953" s="34">
        <v>0</v>
      </c>
      <c r="CM953" s="4">
        <v>0</v>
      </c>
      <c r="CN953" s="53">
        <v>0</v>
      </c>
      <c r="CO953" s="54">
        <v>0</v>
      </c>
      <c r="CP953" s="54">
        <v>0</v>
      </c>
      <c r="CQ953" s="4">
        <v>0</v>
      </c>
    </row>
    <row r="954" spans="1:95" x14ac:dyDescent="0.35">
      <c r="A954" s="55">
        <v>953</v>
      </c>
      <c r="B954" t="s">
        <v>120</v>
      </c>
      <c r="C954" s="27" t="s">
        <v>1034</v>
      </c>
      <c r="D954" s="3" t="s">
        <v>94</v>
      </c>
      <c r="E954" s="33" t="s">
        <v>91</v>
      </c>
      <c r="F954" s="4">
        <f>IFERROR(AVERAGEIF(Table1[[#This Row],[2019-Apr]:[2025-July]],"&lt;&gt;0"),0)</f>
        <v>2.0700000000000003</v>
      </c>
      <c r="G954" s="4">
        <f ca="1">IFERROR(AVERAGEIF(OFFSET(Table1[[#This Row],[Status]],0,COUNT(Table1[[#This Row],[2019-May]:[2025-July]]),1,-12),"&lt;&gt;0"),0)</f>
        <v>0</v>
      </c>
      <c r="H954" s="55">
        <f>IFERROR(SMALL(Table1[[#This Row],[2019-Apr]:[2025-July]],COUNTIF(Table1[[#This Row],[2019-Apr]:[2025-July]],0)+1),0)</f>
        <v>0.8</v>
      </c>
      <c r="I954" s="56">
        <f>IFERROR(MAX(Table1[[#This Row],[2019-Apr]:[2025-July]]),0)</f>
        <v>5.3</v>
      </c>
      <c r="J954" s="4" cm="1">
        <f t="array" ref="J95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1.0835000000000001</v>
      </c>
      <c r="K954" s="4">
        <v>4.5</v>
      </c>
      <c r="L954" s="4">
        <f>IF(Table1[[#This Row],[Standard as per ISO]]&gt;=Table1[[#This Row],[Avg of best 6]],Table1[[#This Row],[Standard as per ISO]],Table1[[#This Row],[Avg of best 6]])</f>
        <v>4.5</v>
      </c>
      <c r="M954" s="4" cm="1">
        <f t="array" ref="M954">IFERROR(LOOKUP(2,1/(Table1[[#This Row],[2019-May]:[2025-July]]&lt;&gt;0),Table1[[#This Row],[2019-May]:[2025-July]]),0)</f>
        <v>1.091</v>
      </c>
      <c r="N954" s="4">
        <f>COUNTIF(Table1[[#This Row],[2019-Apr]:[2025-July]],"&gt;="&amp;Table1[[#This Row],[Target]])</f>
        <v>1</v>
      </c>
      <c r="O954" s="4">
        <f>IF(Table1[[#This Row],[Outliers 2Y]]=0,1,0)</f>
        <v>0</v>
      </c>
      <c r="P954" s="4">
        <f>IF(Table1[[#This Row],[Last value]]&gt;1.5*Table1[[#This Row],[Target]],1,0)</f>
        <v>0</v>
      </c>
      <c r="Q954" s="4">
        <f>IF(AND(1.5*Table1[[#This Row],[Target]]&gt;=Table1[[#This Row],[Last value]],Table1[[#This Row],[Last value]]&gt;Table1[[#This Row],[Target]]),1,0)</f>
        <v>0</v>
      </c>
      <c r="R954" s="4">
        <f>IF(Table1[[#This Row],[Target]]&gt;=Table1[[#This Row],[Last value]],1,0)</f>
        <v>1</v>
      </c>
      <c r="S954" s="4" t="str">
        <f t="shared" ref="S954:S1018" si="26">IF(P954=1, "Red", IF(Q954=1, "Yellow", "Green"))</f>
        <v>Green</v>
      </c>
      <c r="T954">
        <v>1.26</v>
      </c>
      <c r="U954">
        <v>0</v>
      </c>
      <c r="V954">
        <v>0</v>
      </c>
      <c r="W954">
        <v>3.6</v>
      </c>
      <c r="X954">
        <v>0</v>
      </c>
      <c r="Y954">
        <v>1.04</v>
      </c>
      <c r="Z954">
        <v>0</v>
      </c>
      <c r="AA954">
        <v>0</v>
      </c>
      <c r="AB954">
        <v>3.08</v>
      </c>
      <c r="AC954">
        <v>5.3</v>
      </c>
      <c r="AD954">
        <v>1.3</v>
      </c>
      <c r="AE954">
        <v>1.2</v>
      </c>
      <c r="AF954">
        <v>1.9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2.94</v>
      </c>
      <c r="AN954">
        <v>0</v>
      </c>
      <c r="AO954">
        <v>1.5</v>
      </c>
      <c r="AP954">
        <v>2.5299999999999998</v>
      </c>
      <c r="AQ954">
        <v>3.22</v>
      </c>
      <c r="AR954" s="8">
        <v>3.12</v>
      </c>
      <c r="AS954" s="9">
        <v>0</v>
      </c>
      <c r="AT954" s="8">
        <v>1.32</v>
      </c>
      <c r="AU954" s="3">
        <v>1.27</v>
      </c>
      <c r="AV954" s="3">
        <v>1.27</v>
      </c>
      <c r="AW954" s="3">
        <v>2.0299999999999998</v>
      </c>
      <c r="AX954" s="3">
        <v>1.39</v>
      </c>
      <c r="AY954" s="3">
        <v>1.4</v>
      </c>
      <c r="AZ954" s="3">
        <v>0.8</v>
      </c>
      <c r="BA954" s="3">
        <v>0</v>
      </c>
      <c r="BB954" s="3">
        <v>1.1000000000000001</v>
      </c>
      <c r="BC954">
        <v>2.9</v>
      </c>
      <c r="BD954">
        <v>0</v>
      </c>
      <c r="BE954" s="11">
        <v>1.5840000000000001</v>
      </c>
      <c r="BF954" s="4">
        <v>0</v>
      </c>
      <c r="BG954" s="4">
        <v>4.3170000000000002</v>
      </c>
      <c r="BH954" s="4">
        <v>0</v>
      </c>
      <c r="BI954" s="4">
        <v>1.907</v>
      </c>
      <c r="BJ954" s="14">
        <v>0</v>
      </c>
      <c r="BK954" s="14">
        <v>0</v>
      </c>
      <c r="BL954" s="4">
        <v>0</v>
      </c>
      <c r="BM954" s="17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1.5209999999999999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1.091</v>
      </c>
      <c r="BY954" s="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 s="4">
        <v>0</v>
      </c>
      <c r="CH954" s="4">
        <v>0</v>
      </c>
      <c r="CI954" s="4">
        <v>0</v>
      </c>
      <c r="CJ954" s="34">
        <v>0</v>
      </c>
      <c r="CK954" s="34">
        <v>0</v>
      </c>
      <c r="CL954" s="34">
        <v>0</v>
      </c>
      <c r="CM954" s="4">
        <v>0</v>
      </c>
      <c r="CN954" s="53">
        <v>0</v>
      </c>
      <c r="CO954" s="54">
        <v>0</v>
      </c>
      <c r="CP954" s="54">
        <v>0</v>
      </c>
      <c r="CQ954" s="4">
        <v>0</v>
      </c>
    </row>
    <row r="955" spans="1:95" x14ac:dyDescent="0.35">
      <c r="A955" s="55">
        <v>954</v>
      </c>
      <c r="B955" t="s">
        <v>120</v>
      </c>
      <c r="C955" s="27" t="s">
        <v>1035</v>
      </c>
      <c r="D955" s="3" t="s">
        <v>94</v>
      </c>
      <c r="E955" s="33" t="s">
        <v>91</v>
      </c>
      <c r="F955" s="4">
        <f>IFERROR(AVERAGEIF(Table1[[#This Row],[2019-Apr]:[2025-July]],"&lt;&gt;0"),0)</f>
        <v>2.2194736842105258</v>
      </c>
      <c r="G955" s="4">
        <f ca="1">IFERROR(AVERAGEIF(OFFSET(Table1[[#This Row],[Status]],0,COUNT(Table1[[#This Row],[2019-May]:[2025-July]]),1,-12),"&lt;&gt;0"),0)</f>
        <v>1.7</v>
      </c>
      <c r="H955" s="55">
        <f>IFERROR(SMALL(Table1[[#This Row],[2019-Apr]:[2025-July]],COUNTIF(Table1[[#This Row],[2019-Apr]:[2025-July]],0)+1),0)</f>
        <v>0.97</v>
      </c>
      <c r="I955" s="56">
        <f>IFERROR(MAX(Table1[[#This Row],[2019-Apr]:[2025-July]]),0)</f>
        <v>5.01</v>
      </c>
      <c r="J955" s="4" cm="1">
        <f t="array" ref="J95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1.2686666666666666</v>
      </c>
      <c r="K955" s="4">
        <v>4.5</v>
      </c>
      <c r="L955" s="4">
        <f>IF(Table1[[#This Row],[Standard as per ISO]]&gt;=Table1[[#This Row],[Avg of best 6]],Table1[[#This Row],[Standard as per ISO]],Table1[[#This Row],[Avg of best 6]])</f>
        <v>4.5</v>
      </c>
      <c r="M955" s="4" cm="1">
        <f t="array" ref="M955">IFERROR(LOOKUP(2,1/(Table1[[#This Row],[2019-May]:[2025-July]]&lt;&gt;0),Table1[[#This Row],[2019-May]:[2025-July]]),0)</f>
        <v>1.7</v>
      </c>
      <c r="N955" s="4">
        <f>COUNTIF(Table1[[#This Row],[2019-Apr]:[2025-July]],"&gt;="&amp;Table1[[#This Row],[Target]])</f>
        <v>1</v>
      </c>
      <c r="O955" s="4">
        <f>IF(Table1[[#This Row],[Outliers 2Y]]=0,1,0)</f>
        <v>0</v>
      </c>
      <c r="P955" s="4">
        <f>IF(Table1[[#This Row],[Last value]]&gt;1.5*Table1[[#This Row],[Target]],1,0)</f>
        <v>0</v>
      </c>
      <c r="Q955" s="4">
        <f>IF(AND(1.5*Table1[[#This Row],[Target]]&gt;=Table1[[#This Row],[Last value]],Table1[[#This Row],[Last value]]&gt;Table1[[#This Row],[Target]]),1,0)</f>
        <v>0</v>
      </c>
      <c r="R955" s="4">
        <f>IF(Table1[[#This Row],[Target]]&gt;=Table1[[#This Row],[Last value]],1,0)</f>
        <v>1</v>
      </c>
      <c r="S955" s="4" t="str">
        <f t="shared" si="26"/>
        <v>Green</v>
      </c>
      <c r="T955">
        <v>5.01</v>
      </c>
      <c r="U955">
        <v>0</v>
      </c>
      <c r="V955">
        <v>0</v>
      </c>
      <c r="W955">
        <v>1.2</v>
      </c>
      <c r="X955">
        <v>0</v>
      </c>
      <c r="Y955">
        <v>1.64</v>
      </c>
      <c r="Z955">
        <v>0</v>
      </c>
      <c r="AA955">
        <v>0</v>
      </c>
      <c r="AB955">
        <v>1.5</v>
      </c>
      <c r="AC955">
        <v>0</v>
      </c>
      <c r="AD955">
        <v>2.1</v>
      </c>
      <c r="AE955">
        <v>1.8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1.83</v>
      </c>
      <c r="AR955" s="8">
        <v>1.62</v>
      </c>
      <c r="AS955" s="9">
        <v>0</v>
      </c>
      <c r="AT955" s="8">
        <v>1.06</v>
      </c>
      <c r="AU955" s="3">
        <v>0</v>
      </c>
      <c r="AV955" s="3">
        <v>0.97</v>
      </c>
      <c r="AW955" s="3">
        <v>2.23</v>
      </c>
      <c r="AX955" s="3">
        <v>0</v>
      </c>
      <c r="AY955" s="3">
        <v>3.31</v>
      </c>
      <c r="AZ955" s="3">
        <v>0</v>
      </c>
      <c r="BA955" s="3">
        <v>2</v>
      </c>
      <c r="BB955" s="3">
        <v>1.5</v>
      </c>
      <c r="BC955">
        <v>3.9</v>
      </c>
      <c r="BD955">
        <v>0</v>
      </c>
      <c r="BE955" s="11">
        <v>0</v>
      </c>
      <c r="BF955" s="4">
        <v>0</v>
      </c>
      <c r="BG955" s="4">
        <v>1.3819999999999999</v>
      </c>
      <c r="BH955" s="4">
        <v>0</v>
      </c>
      <c r="BI955" s="4">
        <v>2.9489999999999998</v>
      </c>
      <c r="BJ955" s="13">
        <v>0</v>
      </c>
      <c r="BK955" s="13">
        <v>0</v>
      </c>
      <c r="BL955" s="4">
        <v>0</v>
      </c>
      <c r="BM955" s="16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4.4690000000000003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 s="4">
        <v>0</v>
      </c>
      <c r="CH955" s="4">
        <v>0</v>
      </c>
      <c r="CI955" s="4">
        <v>1.7</v>
      </c>
      <c r="CJ955" s="34">
        <v>0</v>
      </c>
      <c r="CK955" s="34">
        <v>0</v>
      </c>
      <c r="CL955" s="34">
        <v>0</v>
      </c>
      <c r="CM955" s="4">
        <v>0</v>
      </c>
      <c r="CN955" s="53">
        <v>0</v>
      </c>
      <c r="CO955" s="54">
        <v>0</v>
      </c>
      <c r="CP955" s="54">
        <v>0</v>
      </c>
      <c r="CQ955" s="4">
        <v>0</v>
      </c>
    </row>
    <row r="956" spans="1:95" x14ac:dyDescent="0.35">
      <c r="A956" s="55">
        <v>955</v>
      </c>
      <c r="B956" t="s">
        <v>120</v>
      </c>
      <c r="C956" s="27" t="s">
        <v>1036</v>
      </c>
      <c r="D956" s="3" t="s">
        <v>94</v>
      </c>
      <c r="E956" s="33" t="s">
        <v>91</v>
      </c>
      <c r="F956" s="4">
        <f>IFERROR(AVERAGEIF(Table1[[#This Row],[2019-Apr]:[2025-July]],"&lt;&gt;0"),0)</f>
        <v>1.8957352941176471</v>
      </c>
      <c r="G956" s="4">
        <f ca="1">IFERROR(AVERAGEIF(OFFSET(Table1[[#This Row],[Status]],0,COUNT(Table1[[#This Row],[2019-May]:[2025-July]]),1,-12),"&lt;&gt;0"),0)</f>
        <v>0</v>
      </c>
      <c r="H956" s="55">
        <f>IFERROR(SMALL(Table1[[#This Row],[2019-Apr]:[2025-July]],COUNTIF(Table1[[#This Row],[2019-Apr]:[2025-July]],0)+1),0)</f>
        <v>1.3</v>
      </c>
      <c r="I956" s="56">
        <f>IFERROR(MAX(Table1[[#This Row],[2019-Apr]:[2025-July]]),0)</f>
        <v>4.8099999999999996</v>
      </c>
      <c r="J956" s="4" cm="1">
        <f t="array" ref="J95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1.3523333333333334</v>
      </c>
      <c r="K956" s="4">
        <v>4.5</v>
      </c>
      <c r="L956" s="4">
        <f>IF(Table1[[#This Row],[Standard as per ISO]]&gt;=Table1[[#This Row],[Avg of best 6]],Table1[[#This Row],[Standard as per ISO]],Table1[[#This Row],[Avg of best 6]])</f>
        <v>4.5</v>
      </c>
      <c r="M956" s="4" cm="1">
        <f t="array" ref="M956">IFERROR(LOOKUP(2,1/(Table1[[#This Row],[2019-May]:[2025-July]]&lt;&gt;0),Table1[[#This Row],[2019-May]:[2025-July]]),0)</f>
        <v>1.339</v>
      </c>
      <c r="N956" s="4">
        <f>COUNTIF(Table1[[#This Row],[2019-Apr]:[2025-July]],"&gt;="&amp;Table1[[#This Row],[Target]])</f>
        <v>1</v>
      </c>
      <c r="O956" s="4">
        <f>IF(Table1[[#This Row],[Outliers 2Y]]=0,1,0)</f>
        <v>0</v>
      </c>
      <c r="P956" s="4">
        <f>IF(Table1[[#This Row],[Last value]]&gt;1.5*Table1[[#This Row],[Target]],1,0)</f>
        <v>0</v>
      </c>
      <c r="Q956" s="4">
        <f>IF(AND(1.5*Table1[[#This Row],[Target]]&gt;=Table1[[#This Row],[Last value]],Table1[[#This Row],[Last value]]&gt;Table1[[#This Row],[Target]]),1,0)</f>
        <v>0</v>
      </c>
      <c r="R956" s="4">
        <f>IF(Table1[[#This Row],[Target]]&gt;=Table1[[#This Row],[Last value]],1,0)</f>
        <v>1</v>
      </c>
      <c r="S956" s="4" t="str">
        <f t="shared" si="26"/>
        <v>Green</v>
      </c>
      <c r="T956">
        <v>1.8</v>
      </c>
      <c r="U956">
        <v>1.34</v>
      </c>
      <c r="V956">
        <v>2.2200000000000002</v>
      </c>
      <c r="W956">
        <v>1.76</v>
      </c>
      <c r="X956">
        <v>1.6</v>
      </c>
      <c r="Y956">
        <v>3.21</v>
      </c>
      <c r="Z956">
        <v>2.1</v>
      </c>
      <c r="AA956">
        <v>1.9</v>
      </c>
      <c r="AB956">
        <v>1.34</v>
      </c>
      <c r="AC956">
        <v>1.6</v>
      </c>
      <c r="AD956">
        <v>1.6</v>
      </c>
      <c r="AE956">
        <v>1.47</v>
      </c>
      <c r="AF956">
        <v>1.9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1.4</v>
      </c>
      <c r="AO956">
        <v>1.8</v>
      </c>
      <c r="AP956">
        <v>0</v>
      </c>
      <c r="AQ956">
        <v>2.59</v>
      </c>
      <c r="AR956" s="9">
        <v>2.2000000000000002</v>
      </c>
      <c r="AS956" s="9">
        <v>2.31</v>
      </c>
      <c r="AT956" s="9">
        <v>4.8099999999999996</v>
      </c>
      <c r="AU956" s="3">
        <v>0</v>
      </c>
      <c r="AV956" s="3">
        <v>3.4</v>
      </c>
      <c r="AW956" s="3">
        <v>1.65</v>
      </c>
      <c r="AX956" s="3">
        <v>1.55</v>
      </c>
      <c r="AY956" s="3">
        <v>1.46</v>
      </c>
      <c r="AZ956" s="3">
        <v>1.61</v>
      </c>
      <c r="BA956" s="3">
        <v>1.6</v>
      </c>
      <c r="BB956" s="3">
        <v>1.9</v>
      </c>
      <c r="BC956">
        <v>1.3</v>
      </c>
      <c r="BD956">
        <v>0</v>
      </c>
      <c r="BE956" s="11">
        <v>1.4610000000000001</v>
      </c>
      <c r="BF956" s="4">
        <v>1.772</v>
      </c>
      <c r="BG956" s="4">
        <v>1.5660000000000001</v>
      </c>
      <c r="BH956" s="4">
        <v>0</v>
      </c>
      <c r="BI956" s="4">
        <v>1.54</v>
      </c>
      <c r="BJ956" s="14">
        <v>0</v>
      </c>
      <c r="BK956" s="14">
        <v>0</v>
      </c>
      <c r="BL956" s="4">
        <v>0</v>
      </c>
      <c r="BM956" s="17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1.962</v>
      </c>
      <c r="BS956" s="4">
        <v>0</v>
      </c>
      <c r="BT956" s="4">
        <v>0</v>
      </c>
      <c r="BU956" s="4">
        <v>1.395</v>
      </c>
      <c r="BV956" s="4">
        <v>0</v>
      </c>
      <c r="BW956" s="4">
        <v>0</v>
      </c>
      <c r="BX956" s="4">
        <v>1.339</v>
      </c>
      <c r="BY956" s="4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 s="4">
        <v>0</v>
      </c>
      <c r="CH956" s="4">
        <v>0</v>
      </c>
      <c r="CI956" s="4">
        <v>0</v>
      </c>
      <c r="CJ956" s="34">
        <v>0</v>
      </c>
      <c r="CK956" s="34">
        <v>0</v>
      </c>
      <c r="CL956" s="34">
        <v>0</v>
      </c>
      <c r="CM956" s="4">
        <v>0</v>
      </c>
      <c r="CN956" s="53">
        <v>0</v>
      </c>
      <c r="CO956" s="54">
        <v>0</v>
      </c>
      <c r="CP956" s="54">
        <v>0</v>
      </c>
      <c r="CQ956" s="4">
        <v>0</v>
      </c>
    </row>
    <row r="957" spans="1:95" x14ac:dyDescent="0.35">
      <c r="A957" s="55">
        <v>956</v>
      </c>
      <c r="B957" t="s">
        <v>120</v>
      </c>
      <c r="C957" s="27" t="s">
        <v>1037</v>
      </c>
      <c r="D957" s="3" t="s">
        <v>94</v>
      </c>
      <c r="E957" s="33" t="s">
        <v>91</v>
      </c>
      <c r="F957" s="4">
        <f>IFERROR(AVERAGEIF(Table1[[#This Row],[2019-Apr]:[2025-July]],"&lt;&gt;0"),0)</f>
        <v>2.2952432432432435</v>
      </c>
      <c r="G957" s="4">
        <f ca="1">IFERROR(AVERAGEIF(OFFSET(Table1[[#This Row],[Status]],0,COUNT(Table1[[#This Row],[2019-May]:[2025-July]]),1,-12),"&lt;&gt;0"),0)</f>
        <v>0</v>
      </c>
      <c r="H957" s="55">
        <f>IFERROR(SMALL(Table1[[#This Row],[2019-Apr]:[2025-July]],COUNTIF(Table1[[#This Row],[2019-Apr]:[2025-July]],0)+1),0)</f>
        <v>1.4</v>
      </c>
      <c r="I957" s="56">
        <f>IFERROR(MAX(Table1[[#This Row],[2019-Apr]:[2025-July]]),0)</f>
        <v>4.66</v>
      </c>
      <c r="J957" s="4" cm="1">
        <f t="array" ref="J95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1.5608333333333333</v>
      </c>
      <c r="K957" s="4">
        <v>4.5</v>
      </c>
      <c r="L957" s="4">
        <f>IF(Table1[[#This Row],[Standard as per ISO]]&gt;=Table1[[#This Row],[Avg of best 6]],Table1[[#This Row],[Standard as per ISO]],Table1[[#This Row],[Avg of best 6]])</f>
        <v>4.5</v>
      </c>
      <c r="M957" s="4" cm="1">
        <f t="array" ref="M957">IFERROR(LOOKUP(2,1/(Table1[[#This Row],[2019-May]:[2025-July]]&lt;&gt;0),Table1[[#This Row],[2019-May]:[2025-July]]),0)</f>
        <v>1.476</v>
      </c>
      <c r="N957" s="4">
        <f>COUNTIF(Table1[[#This Row],[2019-Apr]:[2025-July]],"&gt;="&amp;Table1[[#This Row],[Target]])</f>
        <v>1</v>
      </c>
      <c r="O957" s="4">
        <f>IF(Table1[[#This Row],[Outliers 2Y]]=0,1,0)</f>
        <v>0</v>
      </c>
      <c r="P957" s="4">
        <f>IF(Table1[[#This Row],[Last value]]&gt;1.5*Table1[[#This Row],[Target]],1,0)</f>
        <v>0</v>
      </c>
      <c r="Q957" s="4">
        <f>IF(AND(1.5*Table1[[#This Row],[Target]]&gt;=Table1[[#This Row],[Last value]],Table1[[#This Row],[Last value]]&gt;Table1[[#This Row],[Target]]),1,0)</f>
        <v>0</v>
      </c>
      <c r="R957" s="4">
        <f>IF(Table1[[#This Row],[Target]]&gt;=Table1[[#This Row],[Last value]],1,0)</f>
        <v>1</v>
      </c>
      <c r="S957" s="4" t="str">
        <f t="shared" si="26"/>
        <v>Green</v>
      </c>
      <c r="T957">
        <v>1.5</v>
      </c>
      <c r="U957">
        <v>1.59</v>
      </c>
      <c r="V957">
        <v>2.15</v>
      </c>
      <c r="W957">
        <v>1.96</v>
      </c>
      <c r="X957">
        <v>2</v>
      </c>
      <c r="Y957">
        <v>2.4900000000000002</v>
      </c>
      <c r="Z957">
        <v>2.2999999999999998</v>
      </c>
      <c r="AA957">
        <v>2.8</v>
      </c>
      <c r="AB957">
        <v>3</v>
      </c>
      <c r="AC957">
        <v>4.0999999999999996</v>
      </c>
      <c r="AD957">
        <v>1.9</v>
      </c>
      <c r="AE957">
        <v>2.7</v>
      </c>
      <c r="AF957">
        <v>2.4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2.14</v>
      </c>
      <c r="AN957">
        <v>1.98</v>
      </c>
      <c r="AO957">
        <v>2</v>
      </c>
      <c r="AP957">
        <v>1.71</v>
      </c>
      <c r="AQ957">
        <v>2.13</v>
      </c>
      <c r="AR957" s="9">
        <v>2.2599999999999998</v>
      </c>
      <c r="AS957" s="9">
        <v>2.14</v>
      </c>
      <c r="AT957" s="9">
        <v>4.66</v>
      </c>
      <c r="AU957" s="3">
        <v>2.19</v>
      </c>
      <c r="AV957" s="3">
        <v>2.78</v>
      </c>
      <c r="AW957" s="3">
        <v>2.62</v>
      </c>
      <c r="AX957" s="3">
        <v>2.08</v>
      </c>
      <c r="AY957" s="3">
        <v>1.85</v>
      </c>
      <c r="AZ957" s="3">
        <v>2.4900000000000002</v>
      </c>
      <c r="BA957" s="3">
        <v>1.6</v>
      </c>
      <c r="BB957" s="3">
        <v>1.7</v>
      </c>
      <c r="BC957">
        <v>1.4</v>
      </c>
      <c r="BD957">
        <v>0</v>
      </c>
      <c r="BE957" s="11">
        <v>2.8809999999999998</v>
      </c>
      <c r="BF957" s="4">
        <v>2.9609999999999999</v>
      </c>
      <c r="BG957" s="4">
        <v>2.3759999999999999</v>
      </c>
      <c r="BH957" s="4">
        <v>0</v>
      </c>
      <c r="BI957" s="4">
        <v>3.048</v>
      </c>
      <c r="BJ957" s="13">
        <v>0</v>
      </c>
      <c r="BK957" s="13">
        <v>0</v>
      </c>
      <c r="BL957" s="4">
        <v>0</v>
      </c>
      <c r="BM957" s="16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1.9630000000000001</v>
      </c>
      <c r="BS957" s="4">
        <v>0</v>
      </c>
      <c r="BT957" s="4">
        <v>0</v>
      </c>
      <c r="BU957" s="4">
        <v>1.599</v>
      </c>
      <c r="BV957" s="4">
        <v>0</v>
      </c>
      <c r="BW957" s="4">
        <v>0</v>
      </c>
      <c r="BX957" s="4">
        <v>1.476</v>
      </c>
      <c r="BY957" s="4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 s="4">
        <v>0</v>
      </c>
      <c r="CH957" s="4">
        <v>0</v>
      </c>
      <c r="CI957" s="4">
        <v>0</v>
      </c>
      <c r="CJ957" s="34">
        <v>0</v>
      </c>
      <c r="CK957" s="34">
        <v>0</v>
      </c>
      <c r="CL957" s="34">
        <v>0</v>
      </c>
      <c r="CM957" s="4">
        <v>0</v>
      </c>
      <c r="CN957" s="53">
        <v>0</v>
      </c>
      <c r="CO957" s="54">
        <v>0</v>
      </c>
      <c r="CP957" s="54">
        <v>0</v>
      </c>
      <c r="CQ957" s="4">
        <v>0</v>
      </c>
    </row>
    <row r="958" spans="1:95" x14ac:dyDescent="0.35">
      <c r="A958" s="55">
        <v>957</v>
      </c>
      <c r="B958" t="s">
        <v>120</v>
      </c>
      <c r="C958" s="27" t="s">
        <v>1038</v>
      </c>
      <c r="D958" s="3" t="s">
        <v>94</v>
      </c>
      <c r="E958" s="33" t="s">
        <v>91</v>
      </c>
      <c r="F958" s="4">
        <f>IFERROR(AVERAGEIF(Table1[[#This Row],[2019-Apr]:[2025-July]],"&lt;&gt;0"),0)</f>
        <v>4.1563225806451625</v>
      </c>
      <c r="G958" s="4">
        <f ca="1">IFERROR(AVERAGEIF(OFFSET(Table1[[#This Row],[Status]],0,COUNT(Table1[[#This Row],[2019-May]:[2025-July]]),1,-12),"&lt;&gt;0"),0)</f>
        <v>0</v>
      </c>
      <c r="H958" s="55">
        <f>IFERROR(SMALL(Table1[[#This Row],[2019-Apr]:[2025-July]],COUNTIF(Table1[[#This Row],[2019-Apr]:[2025-July]],0)+1),0)</f>
        <v>2.4</v>
      </c>
      <c r="I958" s="56">
        <f>IFERROR(MAX(Table1[[#This Row],[2019-Apr]:[2025-July]]),0)</f>
        <v>6.4</v>
      </c>
      <c r="J958" s="4" cm="1">
        <f t="array" ref="J95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2.5921666666666665</v>
      </c>
      <c r="K958" s="4">
        <v>4.5</v>
      </c>
      <c r="L958" s="4">
        <f>IF(Table1[[#This Row],[Standard as per ISO]]&gt;=Table1[[#This Row],[Avg of best 6]],Table1[[#This Row],[Standard as per ISO]],Table1[[#This Row],[Avg of best 6]])</f>
        <v>4.5</v>
      </c>
      <c r="M958" s="4" cm="1">
        <f t="array" ref="M958">IFERROR(LOOKUP(2,1/(Table1[[#This Row],[2019-May]:[2025-July]]&lt;&gt;0),Table1[[#This Row],[2019-May]:[2025-July]]),0)</f>
        <v>2.6749999999999998</v>
      </c>
      <c r="N958" s="4">
        <f>COUNTIF(Table1[[#This Row],[2019-Apr]:[2025-July]],"&gt;="&amp;Table1[[#This Row],[Target]])</f>
        <v>11</v>
      </c>
      <c r="O958" s="4">
        <f>IF(Table1[[#This Row],[Outliers 2Y]]=0,1,0)</f>
        <v>0</v>
      </c>
      <c r="P958" s="4">
        <f>IF(Table1[[#This Row],[Last value]]&gt;1.5*Table1[[#This Row],[Target]],1,0)</f>
        <v>0</v>
      </c>
      <c r="Q958" s="4">
        <f>IF(AND(1.5*Table1[[#This Row],[Target]]&gt;=Table1[[#This Row],[Last value]],Table1[[#This Row],[Last value]]&gt;Table1[[#This Row],[Target]]),1,0)</f>
        <v>0</v>
      </c>
      <c r="R958" s="4">
        <f>IF(Table1[[#This Row],[Target]]&gt;=Table1[[#This Row],[Last value]],1,0)</f>
        <v>1</v>
      </c>
      <c r="S958" s="4" t="str">
        <f t="shared" si="26"/>
        <v>Green</v>
      </c>
      <c r="T958">
        <v>4.2699999999999996</v>
      </c>
      <c r="U958">
        <v>3.86</v>
      </c>
      <c r="V958">
        <v>6.21</v>
      </c>
      <c r="W958">
        <v>4.62</v>
      </c>
      <c r="X958">
        <v>4.8499999999999996</v>
      </c>
      <c r="Y958">
        <v>5.1100000000000003</v>
      </c>
      <c r="Z958">
        <v>3.3</v>
      </c>
      <c r="AA958">
        <v>4.3</v>
      </c>
      <c r="AB958">
        <v>3.8</v>
      </c>
      <c r="AC958">
        <v>4.3</v>
      </c>
      <c r="AD958">
        <v>2.5</v>
      </c>
      <c r="AE958">
        <v>2.6</v>
      </c>
      <c r="AF958">
        <v>2.4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2.95</v>
      </c>
      <c r="AN958">
        <v>4.5999999999999996</v>
      </c>
      <c r="AO958">
        <v>2.6</v>
      </c>
      <c r="AP958">
        <v>4.6500000000000004</v>
      </c>
      <c r="AQ958">
        <v>4.4400000000000004</v>
      </c>
      <c r="AR958" s="8">
        <v>5.25</v>
      </c>
      <c r="AS958" s="8">
        <v>0</v>
      </c>
      <c r="AT958" s="8">
        <v>4.42</v>
      </c>
      <c r="AU958" s="3">
        <v>4.26</v>
      </c>
      <c r="AV958" s="3">
        <v>0</v>
      </c>
      <c r="AW958" s="3">
        <v>4.28</v>
      </c>
      <c r="AX958" s="3">
        <v>4.6500000000000004</v>
      </c>
      <c r="AY958" s="3">
        <v>0</v>
      </c>
      <c r="AZ958" s="3">
        <v>0</v>
      </c>
      <c r="BA958" s="3">
        <v>0</v>
      </c>
      <c r="BB958" s="3">
        <v>0</v>
      </c>
      <c r="BC958">
        <v>6.4</v>
      </c>
      <c r="BD958">
        <v>0</v>
      </c>
      <c r="BE958" s="11">
        <v>5.0629999999999997</v>
      </c>
      <c r="BF958" s="4">
        <v>4.2889999999999997</v>
      </c>
      <c r="BG958" s="4">
        <v>4.47</v>
      </c>
      <c r="BH958" s="4">
        <v>0</v>
      </c>
      <c r="BI958" s="4">
        <v>4.92</v>
      </c>
      <c r="BJ958" s="14">
        <v>0</v>
      </c>
      <c r="BK958" s="14">
        <v>0</v>
      </c>
      <c r="BL958" s="4">
        <v>0</v>
      </c>
      <c r="BM958" s="17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2.778</v>
      </c>
      <c r="BS958" s="4">
        <v>0</v>
      </c>
      <c r="BT958" s="4">
        <v>0</v>
      </c>
      <c r="BU958" s="4">
        <v>4.0309999999999997</v>
      </c>
      <c r="BV958" s="4">
        <v>0</v>
      </c>
      <c r="BW958" s="4">
        <v>0</v>
      </c>
      <c r="BX958" s="4">
        <v>2.6749999999999998</v>
      </c>
      <c r="BY958" s="4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 s="4">
        <v>0</v>
      </c>
      <c r="CH958" s="4">
        <v>0</v>
      </c>
      <c r="CI958" s="4">
        <v>0</v>
      </c>
      <c r="CJ958" s="34">
        <v>0</v>
      </c>
      <c r="CK958" s="34">
        <v>0</v>
      </c>
      <c r="CL958" s="34">
        <v>0</v>
      </c>
      <c r="CM958" s="4">
        <v>0</v>
      </c>
      <c r="CN958" s="53">
        <v>0</v>
      </c>
      <c r="CO958" s="54">
        <v>0</v>
      </c>
      <c r="CP958" s="54">
        <v>0</v>
      </c>
      <c r="CQ958" s="4">
        <v>0</v>
      </c>
    </row>
    <row r="959" spans="1:95" x14ac:dyDescent="0.35">
      <c r="A959" s="55">
        <v>958</v>
      </c>
      <c r="B959" t="s">
        <v>120</v>
      </c>
      <c r="C959" s="27" t="s">
        <v>1039</v>
      </c>
      <c r="D959" s="3" t="s">
        <v>94</v>
      </c>
      <c r="E959" s="33" t="s">
        <v>91</v>
      </c>
      <c r="F959" s="4">
        <f>IFERROR(AVERAGEIF(Table1[[#This Row],[2019-Apr]:[2025-July]],"&lt;&gt;0"),0)</f>
        <v>2.3027083333333338</v>
      </c>
      <c r="G959" s="4">
        <f ca="1">IFERROR(AVERAGEIF(OFFSET(Table1[[#This Row],[Status]],0,COUNT(Table1[[#This Row],[2019-May]:[2025-July]]),1,-12),"&lt;&gt;0"),0)</f>
        <v>0</v>
      </c>
      <c r="H959" s="55">
        <f>IFERROR(SMALL(Table1[[#This Row],[2019-Apr]:[2025-July]],COUNTIF(Table1[[#This Row],[2019-Apr]:[2025-July]],0)+1),0)</f>
        <v>1.3879999999999999</v>
      </c>
      <c r="I959" s="56">
        <f>IFERROR(MAX(Table1[[#This Row],[2019-Apr]:[2025-July]]),0)</f>
        <v>3.8260000000000001</v>
      </c>
      <c r="J959" s="4" cm="1">
        <f t="array" ref="J95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1.6723333333333334</v>
      </c>
      <c r="K959" s="4">
        <v>4.5</v>
      </c>
      <c r="L959" s="4">
        <f>IF(Table1[[#This Row],[Standard as per ISO]]&gt;=Table1[[#This Row],[Avg of best 6]],Table1[[#This Row],[Standard as per ISO]],Table1[[#This Row],[Avg of best 6]])</f>
        <v>4.5</v>
      </c>
      <c r="M959" s="4" cm="1">
        <f t="array" ref="M959">IFERROR(LOOKUP(2,1/(Table1[[#This Row],[2019-May]:[2025-July]]&lt;&gt;0),Table1[[#This Row],[2019-May]:[2025-July]]),0)</f>
        <v>2.7069999999999999</v>
      </c>
      <c r="N959" s="4">
        <f>COUNTIF(Table1[[#This Row],[2019-Apr]:[2025-July]],"&gt;="&amp;Table1[[#This Row],[Target]])</f>
        <v>0</v>
      </c>
      <c r="O959" s="4">
        <f>IF(Table1[[#This Row],[Outliers 2Y]]=0,1,0)</f>
        <v>1</v>
      </c>
      <c r="P959" s="4">
        <f>IF(Table1[[#This Row],[Last value]]&gt;1.5*Table1[[#This Row],[Target]],1,0)</f>
        <v>0</v>
      </c>
      <c r="Q959" s="4">
        <f>IF(AND(1.5*Table1[[#This Row],[Target]]&gt;=Table1[[#This Row],[Last value]],Table1[[#This Row],[Last value]]&gt;Table1[[#This Row],[Target]]),1,0)</f>
        <v>0</v>
      </c>
      <c r="R959" s="4">
        <f>IF(Table1[[#This Row],[Target]]&gt;=Table1[[#This Row],[Last value]],1,0)</f>
        <v>1</v>
      </c>
      <c r="S959" s="4" t="str">
        <f t="shared" si="26"/>
        <v>Green</v>
      </c>
      <c r="T959">
        <v>2.27</v>
      </c>
      <c r="U959">
        <v>2.17</v>
      </c>
      <c r="V959">
        <v>2.31</v>
      </c>
      <c r="W959">
        <v>2.14</v>
      </c>
      <c r="X959">
        <v>0</v>
      </c>
      <c r="Y959">
        <v>2.5299999999999998</v>
      </c>
      <c r="Z959">
        <v>2.2000000000000002</v>
      </c>
      <c r="AA959">
        <v>2.2999999999999998</v>
      </c>
      <c r="AB959">
        <v>2.5</v>
      </c>
      <c r="AC959">
        <v>2.5</v>
      </c>
      <c r="AD959">
        <v>1.8</v>
      </c>
      <c r="AE959">
        <v>1.9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1.8</v>
      </c>
      <c r="AN959">
        <v>0</v>
      </c>
      <c r="AO959">
        <v>1.6</v>
      </c>
      <c r="AP959">
        <v>0</v>
      </c>
      <c r="AQ959">
        <v>2.34</v>
      </c>
      <c r="AR959" s="8">
        <v>0</v>
      </c>
      <c r="AS959" s="8">
        <v>0</v>
      </c>
      <c r="AT959" s="8">
        <v>3.76</v>
      </c>
      <c r="AU959" s="3">
        <v>2.1</v>
      </c>
      <c r="AV959" s="3">
        <v>0</v>
      </c>
      <c r="AW959" s="3">
        <v>0</v>
      </c>
      <c r="AX959" s="3">
        <v>0</v>
      </c>
      <c r="AY959" s="3">
        <v>0</v>
      </c>
      <c r="AZ959" s="3">
        <v>2.41</v>
      </c>
      <c r="BA959" s="3">
        <v>0</v>
      </c>
      <c r="BB959" s="3">
        <v>0</v>
      </c>
      <c r="BC959">
        <v>1.8</v>
      </c>
      <c r="BD959">
        <v>0</v>
      </c>
      <c r="BE959" s="11">
        <v>2.669</v>
      </c>
      <c r="BF959" s="4">
        <v>1.6459999999999999</v>
      </c>
      <c r="BG959" s="4">
        <v>2.5990000000000002</v>
      </c>
      <c r="BH959" s="4">
        <v>0</v>
      </c>
      <c r="BI959" s="4">
        <v>3.8260000000000001</v>
      </c>
      <c r="BJ959" s="13">
        <v>0</v>
      </c>
      <c r="BK959" s="13">
        <v>0</v>
      </c>
      <c r="BL959" s="4">
        <v>0</v>
      </c>
      <c r="BM959" s="16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1.3879999999999999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2.7069999999999999</v>
      </c>
      <c r="BY959" s="4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 s="4">
        <v>0</v>
      </c>
      <c r="CH959" s="4">
        <v>0</v>
      </c>
      <c r="CI959" s="4">
        <v>0</v>
      </c>
      <c r="CJ959" s="34">
        <v>0</v>
      </c>
      <c r="CK959" s="34">
        <v>0</v>
      </c>
      <c r="CL959" s="34">
        <v>0</v>
      </c>
      <c r="CM959" s="4">
        <v>0</v>
      </c>
      <c r="CN959" s="53">
        <v>0</v>
      </c>
      <c r="CO959" s="54">
        <v>0</v>
      </c>
      <c r="CP959" s="54">
        <v>0</v>
      </c>
      <c r="CQ959" s="4">
        <v>0</v>
      </c>
    </row>
    <row r="960" spans="1:95" x14ac:dyDescent="0.35">
      <c r="A960" s="55">
        <v>959</v>
      </c>
      <c r="B960" t="s">
        <v>120</v>
      </c>
      <c r="C960" s="27" t="s">
        <v>1040</v>
      </c>
      <c r="D960" s="3" t="s">
        <v>94</v>
      </c>
      <c r="E960" s="33" t="s">
        <v>91</v>
      </c>
      <c r="F960" s="4">
        <f>IFERROR(AVERAGEIF(Table1[[#This Row],[2019-Apr]:[2025-July]],"&lt;&gt;0"),0)</f>
        <v>1.5015625000000001</v>
      </c>
      <c r="G960" s="4">
        <f ca="1">IFERROR(AVERAGEIF(OFFSET(Table1[[#This Row],[Status]],0,COUNT(Table1[[#This Row],[2019-May]:[2025-July]]),1,-12),"&lt;&gt;0"),0)</f>
        <v>0</v>
      </c>
      <c r="H960" s="55">
        <f>IFERROR(SMALL(Table1[[#This Row],[2019-Apr]:[2025-July]],COUNTIF(Table1[[#This Row],[2019-Apr]:[2025-July]],0)+1),0)</f>
        <v>0.48</v>
      </c>
      <c r="I960" s="56">
        <f>IFERROR(MAX(Table1[[#This Row],[2019-Apr]:[2025-July]]),0)</f>
        <v>3.1</v>
      </c>
      <c r="J960" s="4" cm="1">
        <f t="array" ref="J96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0.8656666666666667</v>
      </c>
      <c r="K960" s="4">
        <v>4.5</v>
      </c>
      <c r="L960" s="4">
        <f>IF(Table1[[#This Row],[Standard as per ISO]]&gt;=Table1[[#This Row],[Avg of best 6]],Table1[[#This Row],[Standard as per ISO]],Table1[[#This Row],[Avg of best 6]])</f>
        <v>4.5</v>
      </c>
      <c r="M960" s="4" cm="1">
        <f t="array" ref="M960">IFERROR(LOOKUP(2,1/(Table1[[#This Row],[2019-May]:[2025-July]]&lt;&gt;0),Table1[[#This Row],[2019-May]:[2025-July]]),0)</f>
        <v>1.7989999999999999</v>
      </c>
      <c r="N960" s="4">
        <f>COUNTIF(Table1[[#This Row],[2019-Apr]:[2025-July]],"&gt;="&amp;Table1[[#This Row],[Target]])</f>
        <v>0</v>
      </c>
      <c r="O960" s="4">
        <f>IF(Table1[[#This Row],[Outliers 2Y]]=0,1,0)</f>
        <v>1</v>
      </c>
      <c r="P960" s="4">
        <f>IF(Table1[[#This Row],[Last value]]&gt;1.5*Table1[[#This Row],[Target]],1,0)</f>
        <v>0</v>
      </c>
      <c r="Q960" s="4">
        <f>IF(AND(1.5*Table1[[#This Row],[Target]]&gt;=Table1[[#This Row],[Last value]],Table1[[#This Row],[Last value]]&gt;Table1[[#This Row],[Target]]),1,0)</f>
        <v>0</v>
      </c>
      <c r="R960" s="4">
        <f>IF(Table1[[#This Row],[Target]]&gt;=Table1[[#This Row],[Last value]],1,0)</f>
        <v>1</v>
      </c>
      <c r="S960" s="4" t="str">
        <f t="shared" si="26"/>
        <v>Green</v>
      </c>
      <c r="T960">
        <v>1.56</v>
      </c>
      <c r="U960">
        <v>1.76</v>
      </c>
      <c r="V960">
        <v>1.71</v>
      </c>
      <c r="W960">
        <v>1.29</v>
      </c>
      <c r="X960">
        <v>0</v>
      </c>
      <c r="Y960">
        <v>1.78</v>
      </c>
      <c r="Z960">
        <v>1.4</v>
      </c>
      <c r="AA960">
        <v>1.6</v>
      </c>
      <c r="AB960">
        <v>1.2</v>
      </c>
      <c r="AC960">
        <v>1.6</v>
      </c>
      <c r="AD960">
        <v>1.8</v>
      </c>
      <c r="AE960">
        <v>1.0900000000000001</v>
      </c>
      <c r="AF960">
        <v>1.6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1.9</v>
      </c>
      <c r="AN960">
        <v>0</v>
      </c>
      <c r="AO960">
        <v>3.1</v>
      </c>
      <c r="AP960">
        <v>2.75</v>
      </c>
      <c r="AQ960">
        <v>0.48</v>
      </c>
      <c r="AR960" s="8">
        <v>0</v>
      </c>
      <c r="AS960" s="8">
        <v>1.18</v>
      </c>
      <c r="AT960" s="8">
        <v>0</v>
      </c>
      <c r="AU960" s="3">
        <v>0</v>
      </c>
      <c r="AV960" s="3">
        <v>1.7</v>
      </c>
      <c r="AW960" s="3">
        <v>0.9</v>
      </c>
      <c r="AX960" s="3">
        <v>1.91</v>
      </c>
      <c r="AY960" s="3">
        <v>0.77</v>
      </c>
      <c r="AZ960" s="3">
        <v>1</v>
      </c>
      <c r="BA960" s="3">
        <v>1.1000000000000001</v>
      </c>
      <c r="BB960" s="3">
        <v>1.2</v>
      </c>
      <c r="BC960">
        <v>1.9</v>
      </c>
      <c r="BD960">
        <v>0</v>
      </c>
      <c r="BE960" s="11">
        <v>1.3</v>
      </c>
      <c r="BF960" s="4">
        <v>1.1479999999999999</v>
      </c>
      <c r="BG960" s="4">
        <v>0.95399999999999996</v>
      </c>
      <c r="BH960" s="4">
        <v>0</v>
      </c>
      <c r="BI960" s="4">
        <v>1.1140000000000001</v>
      </c>
      <c r="BJ960" s="14">
        <v>0</v>
      </c>
      <c r="BK960" s="14">
        <v>0</v>
      </c>
      <c r="BL960" s="4">
        <v>0</v>
      </c>
      <c r="BM960" s="17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1.8680000000000001</v>
      </c>
      <c r="BS960" s="4">
        <v>0</v>
      </c>
      <c r="BT960" s="4">
        <v>0</v>
      </c>
      <c r="BU960" s="4">
        <v>1.587</v>
      </c>
      <c r="BV960" s="4">
        <v>0</v>
      </c>
      <c r="BW960" s="4">
        <v>0</v>
      </c>
      <c r="BX960" s="4">
        <v>1.7989999999999999</v>
      </c>
      <c r="BY960" s="4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 s="4">
        <v>0</v>
      </c>
      <c r="CH960" s="4">
        <v>0</v>
      </c>
      <c r="CI960" s="4">
        <v>0</v>
      </c>
      <c r="CJ960" s="34">
        <v>0</v>
      </c>
      <c r="CK960" s="34">
        <v>0</v>
      </c>
      <c r="CL960" s="34">
        <v>0</v>
      </c>
      <c r="CM960" s="4">
        <v>0</v>
      </c>
      <c r="CN960" s="53">
        <v>0</v>
      </c>
      <c r="CO960" s="54">
        <v>0</v>
      </c>
      <c r="CP960" s="54">
        <v>0</v>
      </c>
      <c r="CQ960" s="4">
        <v>0</v>
      </c>
    </row>
    <row r="961" spans="1:95" x14ac:dyDescent="0.35">
      <c r="A961" s="55">
        <v>960</v>
      </c>
      <c r="B961" t="s">
        <v>120</v>
      </c>
      <c r="C961" s="27" t="s">
        <v>1041</v>
      </c>
      <c r="D961" s="3" t="s">
        <v>94</v>
      </c>
      <c r="E961" s="33" t="s">
        <v>91</v>
      </c>
      <c r="F961" s="4">
        <f>IFERROR(AVERAGEIF(Table1[[#This Row],[2019-Apr]:[2025-July]],"&lt;&gt;0"),0)</f>
        <v>2.2301290322580645</v>
      </c>
      <c r="G961" s="4">
        <f ca="1">IFERROR(AVERAGEIF(OFFSET(Table1[[#This Row],[Status]],0,COUNT(Table1[[#This Row],[2019-May]:[2025-July]]),1,-12),"&lt;&gt;0"),0)</f>
        <v>0</v>
      </c>
      <c r="H961" s="55">
        <f>IFERROR(SMALL(Table1[[#This Row],[2019-Apr]:[2025-July]],COUNTIF(Table1[[#This Row],[2019-Apr]:[2025-July]],0)+1),0)</f>
        <v>1.3</v>
      </c>
      <c r="I961" s="56">
        <f>IFERROR(MAX(Table1[[#This Row],[2019-Apr]:[2025-July]]),0)</f>
        <v>3.9</v>
      </c>
      <c r="J961" s="4" cm="1">
        <f t="array" ref="J96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1.4416666666666667</v>
      </c>
      <c r="K961" s="4">
        <v>4.5</v>
      </c>
      <c r="L961" s="4">
        <f>IF(Table1[[#This Row],[Standard as per ISO]]&gt;=Table1[[#This Row],[Avg of best 6]],Table1[[#This Row],[Standard as per ISO]],Table1[[#This Row],[Avg of best 6]])</f>
        <v>4.5</v>
      </c>
      <c r="M961" s="4" cm="1">
        <f t="array" ref="M961">IFERROR(LOOKUP(2,1/(Table1[[#This Row],[2019-May]:[2025-July]]&lt;&gt;0),Table1[[#This Row],[2019-May]:[2025-July]]),0)</f>
        <v>2.6760000000000002</v>
      </c>
      <c r="N961" s="4">
        <f>COUNTIF(Table1[[#This Row],[2019-Apr]:[2025-July]],"&gt;="&amp;Table1[[#This Row],[Target]])</f>
        <v>0</v>
      </c>
      <c r="O961" s="4">
        <f>IF(Table1[[#This Row],[Outliers 2Y]]=0,1,0)</f>
        <v>1</v>
      </c>
      <c r="P961" s="4">
        <f>IF(Table1[[#This Row],[Last value]]&gt;1.5*Table1[[#This Row],[Target]],1,0)</f>
        <v>0</v>
      </c>
      <c r="Q961" s="4">
        <f>IF(AND(1.5*Table1[[#This Row],[Target]]&gt;=Table1[[#This Row],[Last value]],Table1[[#This Row],[Last value]]&gt;Table1[[#This Row],[Target]]),1,0)</f>
        <v>0</v>
      </c>
      <c r="R961" s="4">
        <f>IF(Table1[[#This Row],[Target]]&gt;=Table1[[#This Row],[Last value]],1,0)</f>
        <v>1</v>
      </c>
      <c r="S961" s="4" t="str">
        <f t="shared" si="26"/>
        <v>Green</v>
      </c>
      <c r="T961">
        <v>1.31</v>
      </c>
      <c r="U961">
        <v>3.9</v>
      </c>
      <c r="V961">
        <v>2.27</v>
      </c>
      <c r="W961">
        <v>3.14</v>
      </c>
      <c r="X961">
        <v>0</v>
      </c>
      <c r="Y961">
        <v>2.48</v>
      </c>
      <c r="Z961">
        <v>1.43</v>
      </c>
      <c r="AA961">
        <v>2.6</v>
      </c>
      <c r="AB961">
        <v>1.3</v>
      </c>
      <c r="AC961">
        <v>1.9</v>
      </c>
      <c r="AD961">
        <v>2.9</v>
      </c>
      <c r="AE961">
        <v>3.44</v>
      </c>
      <c r="AF961">
        <v>2.6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3.2</v>
      </c>
      <c r="AN961">
        <v>1.5</v>
      </c>
      <c r="AO961">
        <v>2.1</v>
      </c>
      <c r="AP961">
        <v>2.42</v>
      </c>
      <c r="AQ961">
        <v>1.36</v>
      </c>
      <c r="AR961" s="8">
        <v>0</v>
      </c>
      <c r="AS961" s="8">
        <v>2.58</v>
      </c>
      <c r="AT961" s="8">
        <v>0</v>
      </c>
      <c r="AU961" s="3">
        <v>0</v>
      </c>
      <c r="AV961" s="3">
        <v>1.6</v>
      </c>
      <c r="AW961" s="3">
        <v>2.35</v>
      </c>
      <c r="AX961" s="3">
        <v>1.73</v>
      </c>
      <c r="AY961" s="3">
        <v>1.56</v>
      </c>
      <c r="AZ961" s="3">
        <v>3.51</v>
      </c>
      <c r="BA961" s="3">
        <v>1.5</v>
      </c>
      <c r="BB961" s="3">
        <v>1.9</v>
      </c>
      <c r="BC961" s="3">
        <v>0</v>
      </c>
      <c r="BD961">
        <v>0</v>
      </c>
      <c r="BE961" s="11">
        <v>2.536</v>
      </c>
      <c r="BF961" s="4">
        <v>1.5880000000000001</v>
      </c>
      <c r="BG961" s="4">
        <v>1.7450000000000001</v>
      </c>
      <c r="BH961" s="4">
        <v>0</v>
      </c>
      <c r="BI961" s="4">
        <v>1.7450000000000001</v>
      </c>
      <c r="BJ961" s="13">
        <v>0</v>
      </c>
      <c r="BK961" s="13">
        <v>0</v>
      </c>
      <c r="BL961" s="4">
        <v>0</v>
      </c>
      <c r="BM961" s="16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2.2639999999999998</v>
      </c>
      <c r="BS961" s="4">
        <v>0</v>
      </c>
      <c r="BT961" s="4">
        <v>0</v>
      </c>
      <c r="BU961" s="4">
        <v>2.6760000000000002</v>
      </c>
      <c r="BV961" s="4">
        <v>0</v>
      </c>
      <c r="BW961" s="4">
        <v>0</v>
      </c>
      <c r="BX961" s="4">
        <v>0</v>
      </c>
      <c r="BY961" s="4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 s="4">
        <v>0</v>
      </c>
      <c r="CH961" s="4">
        <v>0</v>
      </c>
      <c r="CI961" s="4">
        <v>0</v>
      </c>
      <c r="CJ961" s="34">
        <v>0</v>
      </c>
      <c r="CK961" s="34">
        <v>0</v>
      </c>
      <c r="CL961" s="34">
        <v>0</v>
      </c>
      <c r="CM961" s="4">
        <v>0</v>
      </c>
      <c r="CN961" s="53">
        <v>0</v>
      </c>
      <c r="CO961" s="54">
        <v>0</v>
      </c>
      <c r="CP961" s="54">
        <v>0</v>
      </c>
      <c r="CQ961" s="4">
        <v>0</v>
      </c>
    </row>
    <row r="962" spans="1:95" ht="13.5" customHeight="1" x14ac:dyDescent="0.35">
      <c r="A962" s="55">
        <v>961</v>
      </c>
      <c r="B962" t="s">
        <v>120</v>
      </c>
      <c r="C962" s="27" t="s">
        <v>1042</v>
      </c>
      <c r="D962" s="3" t="s">
        <v>94</v>
      </c>
      <c r="E962" s="33" t="s">
        <v>89</v>
      </c>
      <c r="F962" s="4">
        <f>IFERROR(AVERAGEIF(Table1[[#This Row],[2019-Apr]:[2025-July]],"&lt;&gt;0"),0)</f>
        <v>0.72711111111111104</v>
      </c>
      <c r="G962" s="4">
        <f ca="1">IFERROR(AVERAGEIF(OFFSET(Table1[[#This Row],[Status]],0,COUNT(Table1[[#This Row],[2019-May]:[2025-July]]),1,-12),"&lt;&gt;0"),0)</f>
        <v>1.7</v>
      </c>
      <c r="H962" s="55">
        <f>IFERROR(SMALL(Table1[[#This Row],[2019-Apr]:[2025-July]],COUNTIF(Table1[[#This Row],[2019-Apr]:[2025-July]],0)+1),0)</f>
        <v>0.31</v>
      </c>
      <c r="I962" s="56">
        <f>IFERROR(MAX(Table1[[#This Row],[2019-Apr]:[2025-July]]),0)</f>
        <v>1.7</v>
      </c>
      <c r="J962" s="4" cm="1">
        <f t="array" ref="J96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0.41749999999999998</v>
      </c>
      <c r="K962" s="4">
        <v>4.5</v>
      </c>
      <c r="L962" s="4">
        <f>IF(Table1[[#This Row],[Standard as per ISO]]&gt;=Table1[[#This Row],[Avg of best 6]],Table1[[#This Row],[Standard as per ISO]],Table1[[#This Row],[Avg of best 6]])</f>
        <v>4.5</v>
      </c>
      <c r="M962" s="4" cm="1">
        <f t="array" ref="M962">IFERROR(LOOKUP(2,1/(Table1[[#This Row],[2019-May]:[2025-July]]&lt;&gt;0),Table1[[#This Row],[2019-May]:[2025-July]]),0)</f>
        <v>1.7</v>
      </c>
      <c r="N962" s="4">
        <f>COUNTIF(Table1[[#This Row],[2019-Apr]:[2025-July]],"&gt;="&amp;Table1[[#This Row],[Target]])</f>
        <v>0</v>
      </c>
      <c r="O962" s="4">
        <f>IF(Table1[[#This Row],[Outliers 2Y]]=0,1,0)</f>
        <v>1</v>
      </c>
      <c r="P962" s="4">
        <f>IF(Table1[[#This Row],[Last value]]&gt;1.5*Table1[[#This Row],[Target]],1,0)</f>
        <v>0</v>
      </c>
      <c r="Q962" s="4">
        <f>IF(AND(1.5*Table1[[#This Row],[Target]]&gt;=Table1[[#This Row],[Last value]],Table1[[#This Row],[Last value]]&gt;Table1[[#This Row],[Target]]),1,0)</f>
        <v>0</v>
      </c>
      <c r="R962" s="4">
        <f>IF(Table1[[#This Row],[Target]]&gt;=Table1[[#This Row],[Last value]],1,0)</f>
        <v>1</v>
      </c>
      <c r="S962" s="4" t="str">
        <f t="shared" si="26"/>
        <v>Green</v>
      </c>
      <c r="T962">
        <v>0.51</v>
      </c>
      <c r="U962">
        <v>0.31</v>
      </c>
      <c r="V962">
        <v>0.43</v>
      </c>
      <c r="W962">
        <v>0.6</v>
      </c>
      <c r="X962">
        <v>0.68</v>
      </c>
      <c r="Y962">
        <v>0.75</v>
      </c>
      <c r="Z962">
        <v>0.6</v>
      </c>
      <c r="AA962">
        <v>0.9</v>
      </c>
      <c r="AB962">
        <v>0.52</v>
      </c>
      <c r="AC962">
        <v>0.82</v>
      </c>
      <c r="AD962">
        <v>0.4</v>
      </c>
      <c r="AE962">
        <v>0.81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0.81</v>
      </c>
      <c r="AN962">
        <v>0.77</v>
      </c>
      <c r="AO962">
        <v>0.7</v>
      </c>
      <c r="AP962">
        <v>0.74</v>
      </c>
      <c r="AQ962">
        <v>1.07</v>
      </c>
      <c r="AR962" s="8">
        <v>1</v>
      </c>
      <c r="AS962" s="8">
        <v>0</v>
      </c>
      <c r="AT962" s="8">
        <v>0.59</v>
      </c>
      <c r="AU962" s="3">
        <v>0.49</v>
      </c>
      <c r="AV962" s="3">
        <v>0.57999999999999996</v>
      </c>
      <c r="AW962" s="3">
        <v>0.64</v>
      </c>
      <c r="AX962" s="3">
        <v>0.42</v>
      </c>
      <c r="AY962" s="3">
        <v>0.76</v>
      </c>
      <c r="AZ962" s="3">
        <v>1.4</v>
      </c>
      <c r="BA962" s="3">
        <v>0.7</v>
      </c>
      <c r="BB962" s="3">
        <v>0.7</v>
      </c>
      <c r="BC962">
        <v>0.6</v>
      </c>
      <c r="BD962">
        <v>0</v>
      </c>
      <c r="BE962" s="11">
        <v>0.64</v>
      </c>
      <c r="BF962" s="4">
        <v>0.49</v>
      </c>
      <c r="BG962" s="4">
        <v>0.45500000000000002</v>
      </c>
      <c r="BH962" s="4">
        <v>0</v>
      </c>
      <c r="BI962" s="4">
        <v>0.94599999999999995</v>
      </c>
      <c r="BJ962" s="14">
        <v>0</v>
      </c>
      <c r="BK962" s="14">
        <v>0</v>
      </c>
      <c r="BL962" s="4">
        <v>0</v>
      </c>
      <c r="BM962" s="17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0.79</v>
      </c>
      <c r="BS962" s="4">
        <v>0</v>
      </c>
      <c r="BT962" s="4">
        <v>0</v>
      </c>
      <c r="BU962" s="4">
        <v>0.80800000000000005</v>
      </c>
      <c r="BV962" s="4">
        <v>0</v>
      </c>
      <c r="BW962" s="4">
        <v>0</v>
      </c>
      <c r="BX962" s="4">
        <v>1.0469999999999999</v>
      </c>
      <c r="BY962" s="4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 s="4">
        <v>0</v>
      </c>
      <c r="CH962" s="4">
        <v>0</v>
      </c>
      <c r="CI962" s="4">
        <v>0</v>
      </c>
      <c r="CJ962" s="34">
        <v>0</v>
      </c>
      <c r="CK962" s="34">
        <v>1.7</v>
      </c>
      <c r="CL962" s="43">
        <v>0</v>
      </c>
      <c r="CM962" s="4">
        <v>0</v>
      </c>
      <c r="CN962" s="53">
        <v>0</v>
      </c>
      <c r="CO962" s="54">
        <v>0</v>
      </c>
      <c r="CP962" s="54">
        <v>0</v>
      </c>
      <c r="CQ962" s="4">
        <v>0</v>
      </c>
    </row>
    <row r="963" spans="1:95" x14ac:dyDescent="0.35">
      <c r="A963" s="55">
        <v>962</v>
      </c>
      <c r="B963" t="s">
        <v>120</v>
      </c>
      <c r="C963" s="27" t="s">
        <v>1043</v>
      </c>
      <c r="D963" s="3" t="s">
        <v>94</v>
      </c>
      <c r="E963" s="33" t="s">
        <v>89</v>
      </c>
      <c r="F963" s="4">
        <f>IFERROR(AVERAGEIF(Table1[[#This Row],[2019-Apr]:[2025-July]],"&lt;&gt;0"),0)</f>
        <v>1.2702727272727274</v>
      </c>
      <c r="G963" s="4">
        <f ca="1">IFERROR(AVERAGEIF(OFFSET(Table1[[#This Row],[Status]],0,COUNT(Table1[[#This Row],[2019-May]:[2025-July]]),1,-12),"&lt;&gt;0"),0)</f>
        <v>0</v>
      </c>
      <c r="H963" s="55">
        <f>IFERROR(SMALL(Table1[[#This Row],[2019-Apr]:[2025-July]],COUNTIF(Table1[[#This Row],[2019-Apr]:[2025-July]],0)+1),0)</f>
        <v>0.39</v>
      </c>
      <c r="I963" s="56">
        <f>IFERROR(MAX(Table1[[#This Row],[2019-Apr]:[2025-July]]),0)</f>
        <v>3.2</v>
      </c>
      <c r="J963" s="4" cm="1">
        <f t="array" ref="J96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0.54533333333333334</v>
      </c>
      <c r="K963" s="4">
        <v>4.5</v>
      </c>
      <c r="L963" s="4">
        <f>IF(Table1[[#This Row],[Standard as per ISO]]&gt;=Table1[[#This Row],[Avg of best 6]],Table1[[#This Row],[Standard as per ISO]],Table1[[#This Row],[Avg of best 6]])</f>
        <v>4.5</v>
      </c>
      <c r="M963" s="4" cm="1">
        <f t="array" ref="M963">IFERROR(LOOKUP(2,1/(Table1[[#This Row],[2019-May]:[2025-July]]&lt;&gt;0),Table1[[#This Row],[2019-May]:[2025-July]]),0)</f>
        <v>1.0329999999999999</v>
      </c>
      <c r="N963" s="4">
        <f>COUNTIF(Table1[[#This Row],[2019-Apr]:[2025-July]],"&gt;="&amp;Table1[[#This Row],[Target]])</f>
        <v>0</v>
      </c>
      <c r="O963" s="4">
        <f>IF(Table1[[#This Row],[Outliers 2Y]]=0,1,0)</f>
        <v>1</v>
      </c>
      <c r="P963" s="4">
        <f>IF(Table1[[#This Row],[Last value]]&gt;1.5*Table1[[#This Row],[Target]],1,0)</f>
        <v>0</v>
      </c>
      <c r="Q963" s="4">
        <f>IF(AND(1.5*Table1[[#This Row],[Target]]&gt;=Table1[[#This Row],[Last value]],Table1[[#This Row],[Last value]]&gt;Table1[[#This Row],[Target]]),1,0)</f>
        <v>0</v>
      </c>
      <c r="R963" s="4">
        <f>IF(Table1[[#This Row],[Target]]&gt;=Table1[[#This Row],[Last value]],1,0)</f>
        <v>1</v>
      </c>
      <c r="S963" s="4" t="str">
        <f t="shared" si="26"/>
        <v>Green</v>
      </c>
      <c r="T963">
        <v>0.69</v>
      </c>
      <c r="U963">
        <v>0.39</v>
      </c>
      <c r="V963">
        <v>1.67</v>
      </c>
      <c r="W963">
        <v>1.4</v>
      </c>
      <c r="X963">
        <v>2.4700000000000002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0.65</v>
      </c>
      <c r="AQ963">
        <v>0</v>
      </c>
      <c r="AR963" s="9">
        <v>0.54400000000000004</v>
      </c>
      <c r="AS963" s="9">
        <v>0.57999999999999996</v>
      </c>
      <c r="AT963" s="9">
        <v>0.76</v>
      </c>
      <c r="AU963" s="3">
        <v>0.81</v>
      </c>
      <c r="AV963" s="3">
        <v>0.75</v>
      </c>
      <c r="AW963" s="3">
        <v>0.56999999999999995</v>
      </c>
      <c r="AX963" s="3">
        <v>1.35</v>
      </c>
      <c r="AY963" s="3">
        <v>0</v>
      </c>
      <c r="AZ963" s="3">
        <v>1.03</v>
      </c>
      <c r="BA963" s="3">
        <v>2.5</v>
      </c>
      <c r="BB963" s="3">
        <v>3.2</v>
      </c>
      <c r="BC963">
        <v>0.8</v>
      </c>
      <c r="BD963">
        <v>0</v>
      </c>
      <c r="BE963" s="11">
        <v>2.3610000000000002</v>
      </c>
      <c r="BF963" s="4">
        <v>2.2650000000000001</v>
      </c>
      <c r="BG963" s="4">
        <v>1.585</v>
      </c>
      <c r="BH963" s="4">
        <v>0</v>
      </c>
      <c r="BI963" s="4">
        <v>0</v>
      </c>
      <c r="BJ963" s="13">
        <v>0</v>
      </c>
      <c r="BK963" s="13">
        <v>0</v>
      </c>
      <c r="BL963" s="4">
        <v>0</v>
      </c>
      <c r="BM963" s="16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0.53800000000000003</v>
      </c>
      <c r="BS963" s="4">
        <v>0</v>
      </c>
      <c r="BT963" s="4">
        <v>0</v>
      </c>
      <c r="BU963" s="4">
        <v>1.0329999999999999</v>
      </c>
      <c r="BV963" s="4">
        <v>0</v>
      </c>
      <c r="BW963" s="4">
        <v>0</v>
      </c>
      <c r="BX963" s="4">
        <v>0</v>
      </c>
      <c r="BY963" s="4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 s="4">
        <v>0</v>
      </c>
      <c r="CH963" s="4">
        <v>0</v>
      </c>
      <c r="CI963" s="4">
        <v>0</v>
      </c>
      <c r="CJ963" s="34">
        <v>0</v>
      </c>
      <c r="CK963" s="34">
        <v>0</v>
      </c>
      <c r="CL963" s="43">
        <v>0</v>
      </c>
      <c r="CM963" s="4">
        <v>0</v>
      </c>
      <c r="CN963" s="53">
        <v>0</v>
      </c>
      <c r="CO963" s="54">
        <v>0</v>
      </c>
      <c r="CP963" s="54">
        <v>0</v>
      </c>
      <c r="CQ963" s="4">
        <v>0</v>
      </c>
    </row>
    <row r="964" spans="1:95" x14ac:dyDescent="0.35">
      <c r="A964" s="55">
        <v>963</v>
      </c>
      <c r="B964" t="s">
        <v>120</v>
      </c>
      <c r="C964" s="27" t="s">
        <v>1044</v>
      </c>
      <c r="D964" s="3" t="s">
        <v>94</v>
      </c>
      <c r="E964" s="33" t="s">
        <v>89</v>
      </c>
      <c r="F964" s="4">
        <f>IFERROR(AVERAGEIF(Table1[[#This Row],[2019-Apr]:[2025-July]],"&lt;&gt;0"),0)</f>
        <v>0.87125806451612897</v>
      </c>
      <c r="G964" s="4">
        <f ca="1">IFERROR(AVERAGEIF(OFFSET(Table1[[#This Row],[Status]],0,COUNT(Table1[[#This Row],[2019-May]:[2025-July]]),1,-12),"&lt;&gt;0"),0)</f>
        <v>0</v>
      </c>
      <c r="H964" s="55">
        <f>IFERROR(SMALL(Table1[[#This Row],[2019-Apr]:[2025-July]],COUNTIF(Table1[[#This Row],[2019-Apr]:[2025-July]],0)+1),0)</f>
        <v>0.32</v>
      </c>
      <c r="I964" s="56">
        <f>IFERROR(MAX(Table1[[#This Row],[2019-Apr]:[2025-July]]),0)</f>
        <v>1.6439999999999999</v>
      </c>
      <c r="J964" s="4" cm="1">
        <f t="array" ref="J96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0.44166666666666665</v>
      </c>
      <c r="K964" s="4">
        <v>4.5</v>
      </c>
      <c r="L964" s="4">
        <f>IF(Table1[[#This Row],[Standard as per ISO]]&gt;=Table1[[#This Row],[Avg of best 6]],Table1[[#This Row],[Standard as per ISO]],Table1[[#This Row],[Avg of best 6]])</f>
        <v>4.5</v>
      </c>
      <c r="M964" s="4" cm="1">
        <f t="array" ref="M964">IFERROR(LOOKUP(2,1/(Table1[[#This Row],[2019-May]:[2025-July]]&lt;&gt;0),Table1[[#This Row],[2019-May]:[2025-July]]),0)</f>
        <v>1.2310000000000001</v>
      </c>
      <c r="N964" s="4">
        <f>COUNTIF(Table1[[#This Row],[2019-Apr]:[2025-July]],"&gt;="&amp;Table1[[#This Row],[Target]])</f>
        <v>0</v>
      </c>
      <c r="O964" s="4">
        <f>IF(Table1[[#This Row],[Outliers 2Y]]=0,1,0)</f>
        <v>1</v>
      </c>
      <c r="P964" s="4">
        <f>IF(Table1[[#This Row],[Last value]]&gt;1.5*Table1[[#This Row],[Target]],1,0)</f>
        <v>0</v>
      </c>
      <c r="Q964" s="4">
        <f>IF(AND(1.5*Table1[[#This Row],[Target]]&gt;=Table1[[#This Row],[Last value]],Table1[[#This Row],[Last value]]&gt;Table1[[#This Row],[Target]]),1,0)</f>
        <v>0</v>
      </c>
      <c r="R964" s="4">
        <f>IF(Table1[[#This Row],[Target]]&gt;=Table1[[#This Row],[Last value]],1,0)</f>
        <v>1</v>
      </c>
      <c r="S964" s="4" t="str">
        <f t="shared" si="26"/>
        <v>Green</v>
      </c>
      <c r="T964">
        <v>0.47</v>
      </c>
      <c r="U964">
        <v>0.32</v>
      </c>
      <c r="V964">
        <v>0.55000000000000004</v>
      </c>
      <c r="W964">
        <v>0.5</v>
      </c>
      <c r="X964">
        <v>0.51</v>
      </c>
      <c r="Y964">
        <v>0.45</v>
      </c>
      <c r="Z964">
        <v>0.5</v>
      </c>
      <c r="AA964">
        <v>0.54</v>
      </c>
      <c r="AB964">
        <v>1.1000000000000001</v>
      </c>
      <c r="AC964">
        <v>0.4</v>
      </c>
      <c r="AD964">
        <v>0.5</v>
      </c>
      <c r="AE964">
        <v>1.22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1.06</v>
      </c>
      <c r="AN964">
        <v>0.48</v>
      </c>
      <c r="AO964">
        <v>0.8</v>
      </c>
      <c r="AP964">
        <v>0</v>
      </c>
      <c r="AQ964">
        <v>0</v>
      </c>
      <c r="AR964" s="8">
        <v>0</v>
      </c>
      <c r="AS964" s="8">
        <v>0</v>
      </c>
      <c r="AT964" s="8">
        <v>0.68</v>
      </c>
      <c r="AU964" s="3">
        <v>0.65</v>
      </c>
      <c r="AV964" s="3">
        <v>1</v>
      </c>
      <c r="AW964" s="3">
        <v>1.08</v>
      </c>
      <c r="AX964" s="3">
        <v>0.98</v>
      </c>
      <c r="AY964" s="3">
        <v>1.19</v>
      </c>
      <c r="AZ964" s="3">
        <v>1.47</v>
      </c>
      <c r="BA964" s="3">
        <v>1.4</v>
      </c>
      <c r="BB964" s="3">
        <v>1.2</v>
      </c>
      <c r="BC964">
        <v>1.2</v>
      </c>
      <c r="BD964">
        <v>0</v>
      </c>
      <c r="BE964" s="11">
        <v>1.127</v>
      </c>
      <c r="BF964" s="4">
        <v>1.6439999999999999</v>
      </c>
      <c r="BG964" s="4">
        <v>0</v>
      </c>
      <c r="BH964" s="4">
        <v>0</v>
      </c>
      <c r="BI964" s="4">
        <v>1.462</v>
      </c>
      <c r="BJ964" s="14">
        <v>0</v>
      </c>
      <c r="BK964" s="14">
        <v>0</v>
      </c>
      <c r="BL964" s="4">
        <v>0</v>
      </c>
      <c r="BM964" s="17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0.73499999999999999</v>
      </c>
      <c r="BS964" s="4">
        <v>0</v>
      </c>
      <c r="BT964" s="4">
        <v>0</v>
      </c>
      <c r="BU964" s="4">
        <v>0.56000000000000005</v>
      </c>
      <c r="BV964" s="4">
        <v>0</v>
      </c>
      <c r="BW964" s="4">
        <v>0</v>
      </c>
      <c r="BX964" s="4">
        <v>1.2310000000000001</v>
      </c>
      <c r="BY964" s="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 s="4">
        <v>0</v>
      </c>
      <c r="CH964" s="4">
        <v>0</v>
      </c>
      <c r="CI964" s="4">
        <v>0</v>
      </c>
      <c r="CJ964" s="34">
        <v>0</v>
      </c>
      <c r="CK964" s="34">
        <v>0</v>
      </c>
      <c r="CL964" s="43">
        <v>0</v>
      </c>
      <c r="CM964" s="4">
        <v>0</v>
      </c>
      <c r="CN964" s="53">
        <v>0</v>
      </c>
      <c r="CO964" s="54">
        <v>0</v>
      </c>
      <c r="CP964" s="54">
        <v>0</v>
      </c>
      <c r="CQ964" s="4">
        <v>0</v>
      </c>
    </row>
    <row r="965" spans="1:95" x14ac:dyDescent="0.35">
      <c r="A965" s="55">
        <v>964</v>
      </c>
      <c r="B965" t="s">
        <v>120</v>
      </c>
      <c r="C965" s="27" t="s">
        <v>1045</v>
      </c>
      <c r="D965" s="3" t="s">
        <v>94</v>
      </c>
      <c r="E965" s="33" t="s">
        <v>89</v>
      </c>
      <c r="F965" s="4">
        <f>IFERROR(AVERAGEIF(Table1[[#This Row],[2019-Apr]:[2025-July]],"&lt;&gt;0"),0)</f>
        <v>0.83244117647058824</v>
      </c>
      <c r="G965" s="4">
        <f ca="1">IFERROR(AVERAGEIF(OFFSET(Table1[[#This Row],[Status]],0,COUNT(Table1[[#This Row],[2019-May]:[2025-July]]),1,-12),"&lt;&gt;0"),0)</f>
        <v>1.8</v>
      </c>
      <c r="H965" s="55">
        <f>IFERROR(SMALL(Table1[[#This Row],[2019-Apr]:[2025-July]],COUNTIF(Table1[[#This Row],[2019-Apr]:[2025-July]],0)+1),0)</f>
        <v>0.4</v>
      </c>
      <c r="I965" s="56">
        <f>IFERROR(MAX(Table1[[#This Row],[2019-Apr]:[2025-July]]),0)</f>
        <v>1.8</v>
      </c>
      <c r="J965" s="4" cm="1">
        <f t="array" ref="J96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0.44500000000000001</v>
      </c>
      <c r="K965" s="4">
        <v>4.5</v>
      </c>
      <c r="L965" s="4">
        <f>IF(Table1[[#This Row],[Standard as per ISO]]&gt;=Table1[[#This Row],[Avg of best 6]],Table1[[#This Row],[Standard as per ISO]],Table1[[#This Row],[Avg of best 6]])</f>
        <v>4.5</v>
      </c>
      <c r="M965" s="4" cm="1">
        <f t="array" ref="M965">IFERROR(LOOKUP(2,1/(Table1[[#This Row],[2019-May]:[2025-July]]&lt;&gt;0),Table1[[#This Row],[2019-May]:[2025-July]]),0)</f>
        <v>1.8</v>
      </c>
      <c r="N965" s="4">
        <f>COUNTIF(Table1[[#This Row],[2019-Apr]:[2025-July]],"&gt;="&amp;Table1[[#This Row],[Target]])</f>
        <v>0</v>
      </c>
      <c r="O965" s="4">
        <f>IF(Table1[[#This Row],[Outliers 2Y]]=0,1,0)</f>
        <v>1</v>
      </c>
      <c r="P965" s="4">
        <f>IF(Table1[[#This Row],[Last value]]&gt;1.5*Table1[[#This Row],[Target]],1,0)</f>
        <v>0</v>
      </c>
      <c r="Q965" s="4">
        <f>IF(AND(1.5*Table1[[#This Row],[Target]]&gt;=Table1[[#This Row],[Last value]],Table1[[#This Row],[Last value]]&gt;Table1[[#This Row],[Target]]),1,0)</f>
        <v>0</v>
      </c>
      <c r="R965" s="4">
        <f>IF(Table1[[#This Row],[Target]]&gt;=Table1[[#This Row],[Last value]],1,0)</f>
        <v>1</v>
      </c>
      <c r="S965" s="4" t="str">
        <f t="shared" si="26"/>
        <v>Green</v>
      </c>
      <c r="T965">
        <v>0.54</v>
      </c>
      <c r="U965">
        <v>0.4</v>
      </c>
      <c r="V965">
        <v>0</v>
      </c>
      <c r="W965">
        <v>0.45</v>
      </c>
      <c r="X965">
        <v>0.44</v>
      </c>
      <c r="Y965">
        <v>1.21</v>
      </c>
      <c r="Z965">
        <v>1.3</v>
      </c>
      <c r="AA965">
        <v>0.4</v>
      </c>
      <c r="AB965">
        <v>0.88</v>
      </c>
      <c r="AC965">
        <v>0.84</v>
      </c>
      <c r="AD965">
        <v>0.5</v>
      </c>
      <c r="AE965">
        <v>0.54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0.48</v>
      </c>
      <c r="AN965">
        <v>0.79</v>
      </c>
      <c r="AO965">
        <v>0.61</v>
      </c>
      <c r="AP965">
        <v>0.95</v>
      </c>
      <c r="AQ965">
        <v>0.63</v>
      </c>
      <c r="AR965" s="8">
        <v>0</v>
      </c>
      <c r="AS965" s="9">
        <v>0.86</v>
      </c>
      <c r="AT965" s="9">
        <v>0.51</v>
      </c>
      <c r="AU965" s="3">
        <v>0.7</v>
      </c>
      <c r="AV965" s="3">
        <v>0.86</v>
      </c>
      <c r="AW965" s="3">
        <v>0.6</v>
      </c>
      <c r="AX965" s="3">
        <v>0.91</v>
      </c>
      <c r="AY965" s="3">
        <v>1.01</v>
      </c>
      <c r="AZ965" s="3">
        <v>0.98</v>
      </c>
      <c r="BA965" s="3">
        <v>1.4</v>
      </c>
      <c r="BB965" s="3">
        <v>0.8</v>
      </c>
      <c r="BC965">
        <v>1.4</v>
      </c>
      <c r="BD965">
        <v>0</v>
      </c>
      <c r="BE965" s="11">
        <v>0.93400000000000005</v>
      </c>
      <c r="BF965" s="4">
        <v>1.169</v>
      </c>
      <c r="BG965" s="4">
        <v>0.72099999999999997</v>
      </c>
      <c r="BH965" s="4">
        <v>0</v>
      </c>
      <c r="BI965" s="4">
        <v>0.70199999999999996</v>
      </c>
      <c r="BJ965" s="13">
        <v>0</v>
      </c>
      <c r="BK965" s="13">
        <v>0</v>
      </c>
      <c r="BL965" s="4">
        <v>0</v>
      </c>
      <c r="BM965" s="16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0.90800000000000003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1.079</v>
      </c>
      <c r="BY965" s="4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 s="4">
        <v>0</v>
      </c>
      <c r="CH965" s="4">
        <v>0</v>
      </c>
      <c r="CI965" s="4">
        <v>0</v>
      </c>
      <c r="CJ965" s="34">
        <v>0</v>
      </c>
      <c r="CK965" s="34">
        <v>1.8</v>
      </c>
      <c r="CL965" s="43">
        <v>0</v>
      </c>
      <c r="CM965" s="4">
        <v>0</v>
      </c>
      <c r="CN965" s="53">
        <v>0</v>
      </c>
      <c r="CO965" s="54">
        <v>0</v>
      </c>
      <c r="CP965" s="54">
        <v>0</v>
      </c>
      <c r="CQ965" s="4">
        <v>0</v>
      </c>
    </row>
    <row r="966" spans="1:95" x14ac:dyDescent="0.35">
      <c r="A966" s="55">
        <v>965</v>
      </c>
      <c r="B966" t="s">
        <v>120</v>
      </c>
      <c r="C966" s="27" t="s">
        <v>1046</v>
      </c>
      <c r="D966" s="3" t="s">
        <v>94</v>
      </c>
      <c r="E966" s="33" t="s">
        <v>91</v>
      </c>
      <c r="F966" s="4">
        <f>IFERROR(AVERAGEIF(Table1[[#This Row],[2019-Apr]:[2025-July]],"&lt;&gt;0"),0)</f>
        <v>2.4461111111111111</v>
      </c>
      <c r="G966" s="4">
        <f ca="1">IFERROR(AVERAGEIF(OFFSET(Table1[[#This Row],[Status]],0,COUNT(Table1[[#This Row],[2019-May]:[2025-July]]),1,-12),"&lt;&gt;0"),0)</f>
        <v>0</v>
      </c>
      <c r="H966" s="55">
        <f>IFERROR(SMALL(Table1[[#This Row],[2019-Apr]:[2025-July]],COUNTIF(Table1[[#This Row],[2019-Apr]:[2025-July]],0)+1),0)</f>
        <v>1.339</v>
      </c>
      <c r="I966" s="56">
        <f>IFERROR(MAX(Table1[[#This Row],[2019-Apr]:[2025-July]]),0)</f>
        <v>3.4</v>
      </c>
      <c r="J966" s="4" cm="1">
        <f t="array" ref="J96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1.8929999999999998</v>
      </c>
      <c r="K966" s="4">
        <v>4.5</v>
      </c>
      <c r="L966" s="4">
        <f>IF(Table1[[#This Row],[Standard as per ISO]]&gt;=Table1[[#This Row],[Avg of best 6]],Table1[[#This Row],[Standard as per ISO]],Table1[[#This Row],[Avg of best 6]])</f>
        <v>4.5</v>
      </c>
      <c r="M966" s="4" cm="1">
        <f t="array" ref="M966">IFERROR(LOOKUP(2,1/(Table1[[#This Row],[2019-May]:[2025-July]]&lt;&gt;0),Table1[[#This Row],[2019-May]:[2025-July]]),0)</f>
        <v>2.8319999999999999</v>
      </c>
      <c r="N966" s="4">
        <f>COUNTIF(Table1[[#This Row],[2019-Apr]:[2025-July]],"&gt;="&amp;Table1[[#This Row],[Target]])</f>
        <v>0</v>
      </c>
      <c r="O966" s="4">
        <f>IF(Table1[[#This Row],[Outliers 2Y]]=0,1,0)</f>
        <v>1</v>
      </c>
      <c r="P966" s="4">
        <f>IF(Table1[[#This Row],[Last value]]&gt;1.5*Table1[[#This Row],[Target]],1,0)</f>
        <v>0</v>
      </c>
      <c r="Q966" s="4">
        <f>IF(AND(1.5*Table1[[#This Row],[Target]]&gt;=Table1[[#This Row],[Last value]],Table1[[#This Row],[Last value]]&gt;Table1[[#This Row],[Target]]),1,0)</f>
        <v>0</v>
      </c>
      <c r="R966" s="4">
        <f>IF(Table1[[#This Row],[Target]]&gt;=Table1[[#This Row],[Last value]],1,0)</f>
        <v>1</v>
      </c>
      <c r="S966" s="4" t="str">
        <f t="shared" si="26"/>
        <v>Green</v>
      </c>
      <c r="T966">
        <v>2.86</v>
      </c>
      <c r="U966">
        <v>2.12</v>
      </c>
      <c r="V966">
        <v>2.66</v>
      </c>
      <c r="W966">
        <v>1.9</v>
      </c>
      <c r="X966">
        <v>0</v>
      </c>
      <c r="Y966">
        <v>2.2400000000000002</v>
      </c>
      <c r="Z966">
        <v>3.4</v>
      </c>
      <c r="AA966">
        <v>0</v>
      </c>
      <c r="AB966">
        <v>2.2999999999999998</v>
      </c>
      <c r="AC966">
        <v>3.1</v>
      </c>
      <c r="AD966">
        <v>0</v>
      </c>
      <c r="AE966">
        <v>3.2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2.17</v>
      </c>
      <c r="AN966">
        <v>2.85</v>
      </c>
      <c r="AO966">
        <v>0</v>
      </c>
      <c r="AP966">
        <v>2.4</v>
      </c>
      <c r="AQ966">
        <v>2.58</v>
      </c>
      <c r="AR966" s="8">
        <v>0</v>
      </c>
      <c r="AS966" s="8">
        <v>0</v>
      </c>
      <c r="AT966" s="8">
        <v>0</v>
      </c>
      <c r="AU966" s="3">
        <v>0</v>
      </c>
      <c r="AV966" s="3">
        <v>0</v>
      </c>
      <c r="AW966" s="3">
        <v>0</v>
      </c>
      <c r="AX966" s="3">
        <v>2.25</v>
      </c>
      <c r="AY966" s="3">
        <v>0</v>
      </c>
      <c r="AZ966" s="3">
        <v>0</v>
      </c>
      <c r="BA966" s="3">
        <v>2.1</v>
      </c>
      <c r="BB966" s="3">
        <v>0</v>
      </c>
      <c r="BC966" s="3">
        <v>0</v>
      </c>
      <c r="BD966">
        <v>0</v>
      </c>
      <c r="BE966" s="11">
        <v>0</v>
      </c>
      <c r="BF966" s="4">
        <v>0</v>
      </c>
      <c r="BG966" s="4">
        <v>0</v>
      </c>
      <c r="BH966" s="4">
        <v>0</v>
      </c>
      <c r="BI966" s="4">
        <v>0</v>
      </c>
      <c r="BJ966" s="14">
        <v>0</v>
      </c>
      <c r="BK966" s="14">
        <v>0</v>
      </c>
      <c r="BL966" s="4">
        <v>0</v>
      </c>
      <c r="BM966" s="17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1.7290000000000001</v>
      </c>
      <c r="BS966" s="4">
        <v>0</v>
      </c>
      <c r="BT966" s="4">
        <v>0</v>
      </c>
      <c r="BU966" s="4">
        <v>1.339</v>
      </c>
      <c r="BV966" s="4">
        <v>0</v>
      </c>
      <c r="BW966" s="4">
        <v>0</v>
      </c>
      <c r="BX966" s="4">
        <v>2.8319999999999999</v>
      </c>
      <c r="BY966" s="4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 s="4">
        <v>0</v>
      </c>
      <c r="CH966" s="4">
        <v>0</v>
      </c>
      <c r="CI966" s="4">
        <v>0</v>
      </c>
      <c r="CJ966" s="34">
        <v>0</v>
      </c>
      <c r="CK966" s="34">
        <v>0</v>
      </c>
      <c r="CL966" s="34">
        <v>0</v>
      </c>
      <c r="CM966" s="4">
        <v>0</v>
      </c>
      <c r="CN966" s="53">
        <v>0</v>
      </c>
      <c r="CO966" s="54">
        <v>0</v>
      </c>
      <c r="CP966" s="54">
        <v>0</v>
      </c>
      <c r="CQ966" s="4">
        <v>0</v>
      </c>
    </row>
    <row r="967" spans="1:95" x14ac:dyDescent="0.35">
      <c r="A967" s="55">
        <v>966</v>
      </c>
      <c r="B967" t="s">
        <v>120</v>
      </c>
      <c r="C967" s="27" t="s">
        <v>1047</v>
      </c>
      <c r="D967" s="3" t="s">
        <v>94</v>
      </c>
      <c r="E967" s="33" t="s">
        <v>91</v>
      </c>
      <c r="F967" s="4">
        <f>IFERROR(AVERAGEIF(Table1[[#This Row],[2019-Apr]:[2025-July]],"&lt;&gt;0"),0)</f>
        <v>3.4108695652173919</v>
      </c>
      <c r="G967" s="4">
        <f ca="1">IFERROR(AVERAGEIF(OFFSET(Table1[[#This Row],[Status]],0,COUNT(Table1[[#This Row],[2019-May]:[2025-July]]),1,-12),"&lt;&gt;0"),0)</f>
        <v>0</v>
      </c>
      <c r="H967" s="55">
        <f>IFERROR(SMALL(Table1[[#This Row],[2019-Apr]:[2025-July]],COUNTIF(Table1[[#This Row],[2019-Apr]:[2025-July]],0)+1),0)</f>
        <v>0.7</v>
      </c>
      <c r="I967" s="56">
        <f>IFERROR(MAX(Table1[[#This Row],[2019-Apr]:[2025-July]]),0)</f>
        <v>6.2809999999999997</v>
      </c>
      <c r="J967" s="4" cm="1">
        <f t="array" ref="J96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2.0843333333333334</v>
      </c>
      <c r="K967" s="4">
        <v>4.5</v>
      </c>
      <c r="L967" s="4">
        <f>IF(Table1[[#This Row],[Standard as per ISO]]&gt;=Table1[[#This Row],[Avg of best 6]],Table1[[#This Row],[Standard as per ISO]],Table1[[#This Row],[Avg of best 6]])</f>
        <v>4.5</v>
      </c>
      <c r="M967" s="4" cm="1">
        <f t="array" ref="M967">IFERROR(LOOKUP(2,1/(Table1[[#This Row],[2019-May]:[2025-July]]&lt;&gt;0),Table1[[#This Row],[2019-May]:[2025-July]]),0)</f>
        <v>1.83</v>
      </c>
      <c r="N967" s="4">
        <f>COUNTIF(Table1[[#This Row],[2019-Apr]:[2025-July]],"&gt;="&amp;Table1[[#This Row],[Target]])</f>
        <v>3</v>
      </c>
      <c r="O967" s="4">
        <f>IF(Table1[[#This Row],[Outliers 2Y]]=0,1,0)</f>
        <v>0</v>
      </c>
      <c r="P967" s="4">
        <f>IF(Table1[[#This Row],[Last value]]&gt;1.5*Table1[[#This Row],[Target]],1,0)</f>
        <v>0</v>
      </c>
      <c r="Q967" s="4">
        <f>IF(AND(1.5*Table1[[#This Row],[Target]]&gt;=Table1[[#This Row],[Last value]],Table1[[#This Row],[Last value]]&gt;Table1[[#This Row],[Target]]),1,0)</f>
        <v>0</v>
      </c>
      <c r="R967" s="4">
        <f>IF(Table1[[#This Row],[Target]]&gt;=Table1[[#This Row],[Last value]],1,0)</f>
        <v>1</v>
      </c>
      <c r="S967" s="4" t="str">
        <f t="shared" si="26"/>
        <v>Green</v>
      </c>
      <c r="T967">
        <v>3.29</v>
      </c>
      <c r="U967">
        <v>3.8</v>
      </c>
      <c r="V967">
        <v>2.8</v>
      </c>
      <c r="W967">
        <v>3.15</v>
      </c>
      <c r="X967">
        <v>0</v>
      </c>
      <c r="Y967">
        <v>3.24</v>
      </c>
      <c r="Z967">
        <v>3.8</v>
      </c>
      <c r="AA967">
        <v>0</v>
      </c>
      <c r="AB967">
        <v>3.3</v>
      </c>
      <c r="AC967">
        <v>4.7</v>
      </c>
      <c r="AD967">
        <v>3.3</v>
      </c>
      <c r="AE967">
        <v>2.9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4.32</v>
      </c>
      <c r="AN967">
        <v>3.9</v>
      </c>
      <c r="AO967">
        <v>3.5</v>
      </c>
      <c r="AP967">
        <v>0</v>
      </c>
      <c r="AQ967">
        <v>0</v>
      </c>
      <c r="AR967" s="8">
        <v>0</v>
      </c>
      <c r="AS967" s="8">
        <v>0</v>
      </c>
      <c r="AT967" s="9">
        <v>3.21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4.4000000000000004</v>
      </c>
      <c r="BA967" s="3">
        <v>2.2000000000000002</v>
      </c>
      <c r="BB967" s="3">
        <v>0.7</v>
      </c>
      <c r="BC967">
        <v>2.5</v>
      </c>
      <c r="BD967">
        <v>0</v>
      </c>
      <c r="BE967" s="11">
        <v>3.1560000000000001</v>
      </c>
      <c r="BF967" s="4">
        <v>0</v>
      </c>
      <c r="BG967" s="4">
        <v>0</v>
      </c>
      <c r="BH967" s="4">
        <v>0</v>
      </c>
      <c r="BI967" s="4">
        <v>2.476</v>
      </c>
      <c r="BJ967" s="13">
        <v>0</v>
      </c>
      <c r="BK967" s="13">
        <v>0</v>
      </c>
      <c r="BL967" s="4">
        <v>0</v>
      </c>
      <c r="BM967" s="16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5.6970000000000001</v>
      </c>
      <c r="BS967" s="4">
        <v>0</v>
      </c>
      <c r="BT967" s="4">
        <v>0</v>
      </c>
      <c r="BU967" s="4">
        <v>6.2809999999999997</v>
      </c>
      <c r="BV967" s="4">
        <v>0</v>
      </c>
      <c r="BW967" s="4">
        <v>0</v>
      </c>
      <c r="BX967" s="4">
        <v>1.83</v>
      </c>
      <c r="BY967" s="4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 s="4">
        <v>0</v>
      </c>
      <c r="CH967" s="4">
        <v>0</v>
      </c>
      <c r="CI967" s="4">
        <v>0</v>
      </c>
      <c r="CJ967" s="34">
        <v>0</v>
      </c>
      <c r="CK967" s="34">
        <v>0</v>
      </c>
      <c r="CL967" s="34">
        <v>0</v>
      </c>
      <c r="CM967" s="4">
        <v>0</v>
      </c>
      <c r="CN967" s="53">
        <v>0</v>
      </c>
      <c r="CO967" s="54">
        <v>0</v>
      </c>
      <c r="CP967" s="54">
        <v>0</v>
      </c>
      <c r="CQ967" s="4">
        <v>0</v>
      </c>
    </row>
    <row r="968" spans="1:95" x14ac:dyDescent="0.35">
      <c r="A968" s="55">
        <v>967</v>
      </c>
      <c r="B968" t="s">
        <v>120</v>
      </c>
      <c r="C968" s="27" t="s">
        <v>1048</v>
      </c>
      <c r="D968" s="3" t="s">
        <v>94</v>
      </c>
      <c r="E968" s="33" t="s">
        <v>91</v>
      </c>
      <c r="F968" s="4">
        <f>IFERROR(AVERAGEIF(Table1[[#This Row],[2019-Apr]:[2025-July]],"&lt;&gt;0"),0)</f>
        <v>2.7933333333333334</v>
      </c>
      <c r="G968" s="4">
        <f ca="1">IFERROR(AVERAGEIF(OFFSET(Table1[[#This Row],[Status]],0,COUNT(Table1[[#This Row],[2019-May]:[2025-July]]),1,-12),"&lt;&gt;0"),0)</f>
        <v>0</v>
      </c>
      <c r="H968" s="55">
        <f>IFERROR(SMALL(Table1[[#This Row],[2019-Apr]:[2025-July]],COUNTIF(Table1[[#This Row],[2019-Apr]:[2025-July]],0)+1),0)</f>
        <v>1.615</v>
      </c>
      <c r="I968" s="56">
        <f>IFERROR(MAX(Table1[[#This Row],[2019-Apr]:[2025-July]]),0)</f>
        <v>3.7</v>
      </c>
      <c r="J968" s="4" cm="1">
        <f t="array" ref="J96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2.4066666666666667</v>
      </c>
      <c r="K968" s="4">
        <v>4.5</v>
      </c>
      <c r="L968" s="4">
        <f>IF(Table1[[#This Row],[Standard as per ISO]]&gt;=Table1[[#This Row],[Avg of best 6]],Table1[[#This Row],[Standard as per ISO]],Table1[[#This Row],[Avg of best 6]])</f>
        <v>4.5</v>
      </c>
      <c r="M968" s="4" cm="1">
        <f t="array" ref="M968">IFERROR(LOOKUP(2,1/(Table1[[#This Row],[2019-May]:[2025-July]]&lt;&gt;0),Table1[[#This Row],[2019-May]:[2025-July]]),0)</f>
        <v>1.615</v>
      </c>
      <c r="N968" s="4">
        <f>COUNTIF(Table1[[#This Row],[2019-Apr]:[2025-July]],"&gt;="&amp;Table1[[#This Row],[Target]])</f>
        <v>0</v>
      </c>
      <c r="O968" s="4">
        <f>IF(Table1[[#This Row],[Outliers 2Y]]=0,1,0)</f>
        <v>1</v>
      </c>
      <c r="P968" s="4">
        <f>IF(Table1[[#This Row],[Last value]]&gt;1.5*Table1[[#This Row],[Target]],1,0)</f>
        <v>0</v>
      </c>
      <c r="Q968" s="4">
        <f>IF(AND(1.5*Table1[[#This Row],[Target]]&gt;=Table1[[#This Row],[Last value]],Table1[[#This Row],[Last value]]&gt;Table1[[#This Row],[Target]]),1,0)</f>
        <v>0</v>
      </c>
      <c r="R968" s="4">
        <f>IF(Table1[[#This Row],[Target]]&gt;=Table1[[#This Row],[Last value]],1,0)</f>
        <v>1</v>
      </c>
      <c r="S968" s="4" t="str">
        <f t="shared" si="26"/>
        <v>Green</v>
      </c>
      <c r="T968">
        <v>2.94</v>
      </c>
      <c r="U968">
        <v>2.87</v>
      </c>
      <c r="V968">
        <v>2.75</v>
      </c>
      <c r="W968">
        <v>3.29</v>
      </c>
      <c r="X968">
        <v>0</v>
      </c>
      <c r="Y968">
        <v>3.02</v>
      </c>
      <c r="Z968">
        <v>2.5</v>
      </c>
      <c r="AA968">
        <v>0</v>
      </c>
      <c r="AB968">
        <v>2.7</v>
      </c>
      <c r="AC968">
        <v>3.7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2.4900000000000002</v>
      </c>
      <c r="AN968">
        <v>0</v>
      </c>
      <c r="AO968">
        <v>0</v>
      </c>
      <c r="AP968">
        <v>0</v>
      </c>
      <c r="AQ968">
        <v>0</v>
      </c>
      <c r="AR968" s="8">
        <v>0</v>
      </c>
      <c r="AS968" s="8">
        <v>0</v>
      </c>
      <c r="AT968" s="8">
        <v>3.05</v>
      </c>
      <c r="AU968" s="3">
        <v>0</v>
      </c>
      <c r="AV968" s="3">
        <v>0</v>
      </c>
      <c r="AW968" s="3">
        <v>3.14</v>
      </c>
      <c r="AX968" s="3">
        <v>2.64</v>
      </c>
      <c r="AY968" s="3">
        <v>2.52</v>
      </c>
      <c r="AZ968" s="3">
        <v>0</v>
      </c>
      <c r="BA968" s="3">
        <v>0</v>
      </c>
      <c r="BB968" s="3">
        <v>0</v>
      </c>
      <c r="BC968" s="3">
        <v>0</v>
      </c>
      <c r="BD968">
        <v>0</v>
      </c>
      <c r="BE968" s="11">
        <v>0</v>
      </c>
      <c r="BF968" s="4">
        <v>0</v>
      </c>
      <c r="BG968" s="4">
        <v>0</v>
      </c>
      <c r="BH968" s="4">
        <v>0</v>
      </c>
      <c r="BI968" s="4">
        <v>0</v>
      </c>
      <c r="BJ968" s="14">
        <v>0</v>
      </c>
      <c r="BK968" s="14">
        <v>0</v>
      </c>
      <c r="BL968" s="4">
        <v>0</v>
      </c>
      <c r="BM968" s="17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2.6749999999999998</v>
      </c>
      <c r="BS968" s="4">
        <v>0</v>
      </c>
      <c r="BT968" s="4">
        <v>0</v>
      </c>
      <c r="BU968" s="4">
        <v>1.615</v>
      </c>
      <c r="BV968" s="4">
        <v>0</v>
      </c>
      <c r="BW968" s="4">
        <v>0</v>
      </c>
      <c r="BX968" s="4">
        <v>0</v>
      </c>
      <c r="BY968" s="4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 s="4">
        <v>0</v>
      </c>
      <c r="CH968" s="4">
        <v>0</v>
      </c>
      <c r="CI968" s="4">
        <v>0</v>
      </c>
      <c r="CJ968" s="34">
        <v>0</v>
      </c>
      <c r="CK968" s="34">
        <v>0</v>
      </c>
      <c r="CL968" s="34">
        <v>0</v>
      </c>
      <c r="CM968" s="4">
        <v>0</v>
      </c>
      <c r="CN968" s="53">
        <v>0</v>
      </c>
      <c r="CO968" s="54">
        <v>0</v>
      </c>
      <c r="CP968" s="54">
        <v>0</v>
      </c>
      <c r="CQ968" s="4">
        <v>0</v>
      </c>
    </row>
    <row r="969" spans="1:95" x14ac:dyDescent="0.35">
      <c r="A969" s="55">
        <v>968</v>
      </c>
      <c r="B969" t="s">
        <v>120</v>
      </c>
      <c r="C969" s="27" t="s">
        <v>1049</v>
      </c>
      <c r="D969" s="3" t="s">
        <v>94</v>
      </c>
      <c r="E969" s="33" t="s">
        <v>91</v>
      </c>
      <c r="F969" s="4">
        <f>IFERROR(AVERAGEIF(Table1[[#This Row],[2019-Apr]:[2025-July]],"&lt;&gt;0"),0)</f>
        <v>1.9600000000000002</v>
      </c>
      <c r="G969" s="4">
        <f ca="1">IFERROR(AVERAGEIF(OFFSET(Table1[[#This Row],[Status]],0,COUNT(Table1[[#This Row],[2019-May]:[2025-July]]),1,-12),"&lt;&gt;0"),0)</f>
        <v>0</v>
      </c>
      <c r="H969" s="55">
        <f>IFERROR(SMALL(Table1[[#This Row],[2019-Apr]:[2025-July]],COUNTIF(Table1[[#This Row],[2019-Apr]:[2025-July]],0)+1),0)</f>
        <v>1.2</v>
      </c>
      <c r="I969" s="56">
        <f>IFERROR(MAX(Table1[[#This Row],[2019-Apr]:[2025-July]]),0)</f>
        <v>2.8</v>
      </c>
      <c r="J969" s="4" cm="1">
        <f t="array" ref="J96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1.4491666666666665</v>
      </c>
      <c r="K969" s="4">
        <v>4.5</v>
      </c>
      <c r="L969" s="4">
        <f>IF(Table1[[#This Row],[Standard as per ISO]]&gt;=Table1[[#This Row],[Avg of best 6]],Table1[[#This Row],[Standard as per ISO]],Table1[[#This Row],[Avg of best 6]])</f>
        <v>4.5</v>
      </c>
      <c r="M969" s="4" cm="1">
        <f t="array" ref="M969">IFERROR(LOOKUP(2,1/(Table1[[#This Row],[2019-May]:[2025-July]]&lt;&gt;0),Table1[[#This Row],[2019-May]:[2025-July]]),0)</f>
        <v>1.9530000000000001</v>
      </c>
      <c r="N969" s="4">
        <f>COUNTIF(Table1[[#This Row],[2019-Apr]:[2025-July]],"&gt;="&amp;Table1[[#This Row],[Target]])</f>
        <v>0</v>
      </c>
      <c r="O969" s="4">
        <f>IF(Table1[[#This Row],[Outliers 2Y]]=0,1,0)</f>
        <v>1</v>
      </c>
      <c r="P969" s="4">
        <f>IF(Table1[[#This Row],[Last value]]&gt;1.5*Table1[[#This Row],[Target]],1,0)</f>
        <v>0</v>
      </c>
      <c r="Q969" s="4">
        <f>IF(AND(1.5*Table1[[#This Row],[Target]]&gt;=Table1[[#This Row],[Last value]],Table1[[#This Row],[Last value]]&gt;Table1[[#This Row],[Target]]),1,0)</f>
        <v>0</v>
      </c>
      <c r="R969" s="4">
        <f>IF(Table1[[#This Row],[Target]]&gt;=Table1[[#This Row],[Last value]],1,0)</f>
        <v>1</v>
      </c>
      <c r="S969" s="4" t="str">
        <f t="shared" si="26"/>
        <v>Green</v>
      </c>
      <c r="T969">
        <v>1.94</v>
      </c>
      <c r="U969">
        <v>2.5299999999999998</v>
      </c>
      <c r="V969">
        <v>2.2599999999999998</v>
      </c>
      <c r="W969">
        <v>1.79</v>
      </c>
      <c r="X969">
        <v>0</v>
      </c>
      <c r="Y969">
        <v>2.5499999999999998</v>
      </c>
      <c r="Z969">
        <v>1.8</v>
      </c>
      <c r="AA969">
        <v>0</v>
      </c>
      <c r="AB969">
        <v>2.4</v>
      </c>
      <c r="AC969">
        <v>2.2000000000000002</v>
      </c>
      <c r="AD969">
        <v>1.6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2.14</v>
      </c>
      <c r="AN969">
        <v>0</v>
      </c>
      <c r="AO969">
        <v>1.4</v>
      </c>
      <c r="AP969">
        <v>1.9</v>
      </c>
      <c r="AQ969">
        <v>1.82</v>
      </c>
      <c r="AR969" s="8">
        <v>1.73</v>
      </c>
      <c r="AS969" s="8">
        <v>0</v>
      </c>
      <c r="AT969" s="9">
        <v>0</v>
      </c>
      <c r="AU969" s="3">
        <v>0</v>
      </c>
      <c r="AV969" s="3">
        <v>0</v>
      </c>
      <c r="AW969" s="3">
        <v>1.87</v>
      </c>
      <c r="AX969" s="3">
        <v>0</v>
      </c>
      <c r="AY969" s="3">
        <v>1.61</v>
      </c>
      <c r="AZ969" s="3">
        <v>2.8</v>
      </c>
      <c r="BA969" s="3">
        <v>0</v>
      </c>
      <c r="BB969" s="3">
        <v>1.2</v>
      </c>
      <c r="BC969">
        <v>1.6</v>
      </c>
      <c r="BD969">
        <v>0</v>
      </c>
      <c r="BE969" s="11">
        <v>2.101</v>
      </c>
      <c r="BF969" s="4">
        <v>0</v>
      </c>
      <c r="BG969" s="4">
        <v>0</v>
      </c>
      <c r="BH969" s="4">
        <v>0</v>
      </c>
      <c r="BI969" s="4">
        <v>1.2849999999999999</v>
      </c>
      <c r="BJ969" s="13">
        <v>0</v>
      </c>
      <c r="BK969" s="13">
        <v>0</v>
      </c>
      <c r="BL969" s="4">
        <v>0</v>
      </c>
      <c r="BM969" s="16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2.601</v>
      </c>
      <c r="BS969" s="4">
        <v>0</v>
      </c>
      <c r="BT969" s="4">
        <v>0</v>
      </c>
      <c r="BU969" s="4">
        <v>1.9530000000000001</v>
      </c>
      <c r="BV969" s="4">
        <v>0</v>
      </c>
      <c r="BW969" s="4">
        <v>0</v>
      </c>
      <c r="BX969" s="4">
        <v>0</v>
      </c>
      <c r="BY969" s="4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 s="4">
        <v>0</v>
      </c>
      <c r="CH969" s="4">
        <v>0</v>
      </c>
      <c r="CI969" s="4">
        <v>0</v>
      </c>
      <c r="CJ969" s="34">
        <v>0</v>
      </c>
      <c r="CK969" s="34">
        <v>0</v>
      </c>
      <c r="CL969" s="34">
        <v>0</v>
      </c>
      <c r="CM969" s="4">
        <v>0</v>
      </c>
      <c r="CN969" s="53">
        <v>0</v>
      </c>
      <c r="CO969" s="54">
        <v>0</v>
      </c>
      <c r="CP969" s="54">
        <v>0</v>
      </c>
      <c r="CQ969" s="4">
        <v>0</v>
      </c>
    </row>
    <row r="970" spans="1:95" x14ac:dyDescent="0.35">
      <c r="A970" s="55">
        <v>969</v>
      </c>
      <c r="B970" t="s">
        <v>120</v>
      </c>
      <c r="C970" s="27" t="s">
        <v>1050</v>
      </c>
      <c r="D970" s="3" t="s">
        <v>94</v>
      </c>
      <c r="E970" s="33" t="s">
        <v>89</v>
      </c>
      <c r="F970" s="4">
        <f>IFERROR(AVERAGEIF(Table1[[#This Row],[2019-Apr]:[2025-July]],"&lt;&gt;0"),0)</f>
        <v>1.6033333333333335</v>
      </c>
      <c r="G970" s="4">
        <f ca="1">IFERROR(AVERAGEIF(OFFSET(Table1[[#This Row],[Status]],0,COUNT(Table1[[#This Row],[2019-May]:[2025-July]]),1,-12),"&lt;&gt;0"),0)</f>
        <v>0</v>
      </c>
      <c r="H970" s="55">
        <f>IFERROR(SMALL(Table1[[#This Row],[2019-Apr]:[2025-July]],COUNTIF(Table1[[#This Row],[2019-Apr]:[2025-July]],0)+1),0)</f>
        <v>0.45</v>
      </c>
      <c r="I970" s="56">
        <f>IFERROR(MAX(Table1[[#This Row],[2019-Apr]:[2025-July]]),0)</f>
        <v>2.4300000000000002</v>
      </c>
      <c r="J970" s="4" cm="1">
        <f t="array" ref="J97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1.6033333333333335</v>
      </c>
      <c r="K970" s="4">
        <v>4.5</v>
      </c>
      <c r="L970" s="4">
        <f>IF(Table1[[#This Row],[Standard as per ISO]]&gt;=Table1[[#This Row],[Avg of best 6]],Table1[[#This Row],[Standard as per ISO]],Table1[[#This Row],[Avg of best 6]])</f>
        <v>4.5</v>
      </c>
      <c r="M970" s="4" cm="1">
        <f t="array" ref="M970">IFERROR(LOOKUP(2,1/(Table1[[#This Row],[2019-May]:[2025-July]]&lt;&gt;0),Table1[[#This Row],[2019-May]:[2025-July]]),0)</f>
        <v>1.77</v>
      </c>
      <c r="N970" s="4">
        <f>COUNTIF(Table1[[#This Row],[2019-Apr]:[2025-July]],"&gt;="&amp;Table1[[#This Row],[Target]])</f>
        <v>0</v>
      </c>
      <c r="O970" s="4">
        <f>IF(Table1[[#This Row],[Outliers 2Y]]=0,1,0)</f>
        <v>1</v>
      </c>
      <c r="P970" s="4">
        <f>IF(Table1[[#This Row],[Last value]]&gt;1.5*Table1[[#This Row],[Target]],1,0)</f>
        <v>0</v>
      </c>
      <c r="Q970" s="4">
        <f>IF(AND(1.5*Table1[[#This Row],[Target]]&gt;=Table1[[#This Row],[Last value]],Table1[[#This Row],[Last value]]&gt;Table1[[#This Row],[Target]]),1,0)</f>
        <v>0</v>
      </c>
      <c r="R970" s="4">
        <f>IF(Table1[[#This Row],[Target]]&gt;=Table1[[#This Row],[Last value]],1,0)</f>
        <v>1</v>
      </c>
      <c r="S970" s="4" t="str">
        <f t="shared" si="26"/>
        <v>Green</v>
      </c>
      <c r="T970">
        <v>0</v>
      </c>
      <c r="U970">
        <v>1.59</v>
      </c>
      <c r="V970">
        <v>0</v>
      </c>
      <c r="W970">
        <v>0</v>
      </c>
      <c r="X970">
        <v>0.45</v>
      </c>
      <c r="Y970">
        <v>0</v>
      </c>
      <c r="Z970">
        <v>0</v>
      </c>
      <c r="AA970">
        <v>2.4300000000000002</v>
      </c>
      <c r="AB970">
        <v>1.5</v>
      </c>
      <c r="AC970">
        <v>1.88</v>
      </c>
      <c r="AD970">
        <v>1.77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 s="8">
        <v>0</v>
      </c>
      <c r="AS970" s="8">
        <v>0</v>
      </c>
      <c r="AT970" s="8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>
        <v>0</v>
      </c>
      <c r="BE970" s="11">
        <v>0</v>
      </c>
      <c r="BF970" s="4">
        <v>0</v>
      </c>
      <c r="BG970" s="4">
        <v>0</v>
      </c>
      <c r="BH970" s="4">
        <v>0</v>
      </c>
      <c r="BI970" s="4">
        <v>0</v>
      </c>
      <c r="BJ970" s="14">
        <v>0</v>
      </c>
      <c r="BK970" s="14">
        <v>0</v>
      </c>
      <c r="BL970" s="4">
        <v>0</v>
      </c>
      <c r="BM970" s="17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 s="4">
        <v>0</v>
      </c>
      <c r="CH970" s="4">
        <v>0</v>
      </c>
      <c r="CI970" s="4">
        <v>0</v>
      </c>
      <c r="CJ970" s="34">
        <v>0</v>
      </c>
      <c r="CK970" s="34">
        <v>0</v>
      </c>
      <c r="CL970" s="43">
        <v>0</v>
      </c>
      <c r="CM970" s="4">
        <v>0</v>
      </c>
      <c r="CN970" s="53">
        <v>0</v>
      </c>
      <c r="CO970" s="54">
        <v>0</v>
      </c>
      <c r="CP970" s="54">
        <v>0</v>
      </c>
      <c r="CQ970" s="4">
        <v>0</v>
      </c>
    </row>
    <row r="971" spans="1:95" x14ac:dyDescent="0.35">
      <c r="A971" s="55">
        <v>970</v>
      </c>
      <c r="B971" t="s">
        <v>120</v>
      </c>
      <c r="C971" s="27" t="s">
        <v>1051</v>
      </c>
      <c r="D971" s="3" t="s">
        <v>94</v>
      </c>
      <c r="E971" s="33" t="s">
        <v>89</v>
      </c>
      <c r="F971" s="4">
        <f>IFERROR(AVERAGEIF(Table1[[#This Row],[2019-Apr]:[2025-July]],"&lt;&gt;0"),0)</f>
        <v>4.5844444444444452</v>
      </c>
      <c r="G971" s="4">
        <f ca="1">IFERROR(AVERAGEIF(OFFSET(Table1[[#This Row],[Status]],0,COUNT(Table1[[#This Row],[2019-May]:[2025-July]]),1,-12),"&lt;&gt;0"),0)</f>
        <v>0</v>
      </c>
      <c r="H971" s="55">
        <f>IFERROR(SMALL(Table1[[#This Row],[2019-Apr]:[2025-July]],COUNTIF(Table1[[#This Row],[2019-Apr]:[2025-July]],0)+1),0)</f>
        <v>0.95</v>
      </c>
      <c r="I971" s="56">
        <f>IFERROR(MAX(Table1[[#This Row],[2019-Apr]:[2025-July]]),0)</f>
        <v>23.3</v>
      </c>
      <c r="J971" s="4" cm="1">
        <f t="array" ref="J97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1.6733333333333331</v>
      </c>
      <c r="K971" s="4">
        <v>4.5</v>
      </c>
      <c r="L971" s="4">
        <f>IF(Table1[[#This Row],[Standard as per ISO]]&gt;=Table1[[#This Row],[Avg of best 6]],Table1[[#This Row],[Standard as per ISO]],Table1[[#This Row],[Avg of best 6]])</f>
        <v>4.5</v>
      </c>
      <c r="M971" s="4" cm="1">
        <f t="array" ref="M971">IFERROR(LOOKUP(2,1/(Table1[[#This Row],[2019-May]:[2025-July]]&lt;&gt;0),Table1[[#This Row],[2019-May]:[2025-July]]),0)</f>
        <v>1.67</v>
      </c>
      <c r="N971" s="4">
        <f>COUNTIF(Table1[[#This Row],[2019-Apr]:[2025-July]],"&gt;="&amp;Table1[[#This Row],[Target]])</f>
        <v>2</v>
      </c>
      <c r="O971" s="4">
        <f>IF(Table1[[#This Row],[Outliers 2Y]]=0,1,0)</f>
        <v>0</v>
      </c>
      <c r="P971" s="4">
        <f>IF(Table1[[#This Row],[Last value]]&gt;1.5*Table1[[#This Row],[Target]],1,0)</f>
        <v>0</v>
      </c>
      <c r="Q971" s="4">
        <f>IF(AND(1.5*Table1[[#This Row],[Target]]&gt;=Table1[[#This Row],[Last value]],Table1[[#This Row],[Last value]]&gt;Table1[[#This Row],[Target]]),1,0)</f>
        <v>0</v>
      </c>
      <c r="R971" s="4">
        <f>IF(Table1[[#This Row],[Target]]&gt;=Table1[[#This Row],[Last value]],1,0)</f>
        <v>1</v>
      </c>
      <c r="S971" s="4" t="str">
        <f t="shared" si="26"/>
        <v>Green</v>
      </c>
      <c r="T971">
        <v>0</v>
      </c>
      <c r="U971">
        <v>5.14</v>
      </c>
      <c r="V971">
        <v>0</v>
      </c>
      <c r="W971">
        <v>2.78</v>
      </c>
      <c r="X971">
        <v>2</v>
      </c>
      <c r="Y971">
        <v>2.5</v>
      </c>
      <c r="Z971">
        <v>23.3</v>
      </c>
      <c r="AA971">
        <v>1.02</v>
      </c>
      <c r="AB971">
        <v>1.9</v>
      </c>
      <c r="AC971">
        <v>0.95</v>
      </c>
      <c r="AD971">
        <v>1.67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 s="8">
        <v>0</v>
      </c>
      <c r="AS971" s="8">
        <v>0</v>
      </c>
      <c r="AT971" s="9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0</v>
      </c>
      <c r="BB971" s="3">
        <v>0</v>
      </c>
      <c r="BC971" s="3">
        <v>0</v>
      </c>
      <c r="BD971">
        <v>0</v>
      </c>
      <c r="BE971" s="11">
        <v>0</v>
      </c>
      <c r="BF971" s="4">
        <v>0</v>
      </c>
      <c r="BG971" s="4">
        <v>0</v>
      </c>
      <c r="BH971" s="4">
        <v>0</v>
      </c>
      <c r="BI971" s="4">
        <v>0</v>
      </c>
      <c r="BJ971" s="13">
        <v>0</v>
      </c>
      <c r="BK971" s="13">
        <v>0</v>
      </c>
      <c r="BL971" s="4">
        <v>0</v>
      </c>
      <c r="BM971" s="16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 s="4">
        <v>0</v>
      </c>
      <c r="CH971" s="4">
        <v>0</v>
      </c>
      <c r="CI971" s="4">
        <v>0</v>
      </c>
      <c r="CJ971" s="34">
        <v>0</v>
      </c>
      <c r="CK971" s="34">
        <v>0</v>
      </c>
      <c r="CL971" s="43">
        <v>0</v>
      </c>
      <c r="CM971" s="4">
        <v>0</v>
      </c>
      <c r="CN971" s="53">
        <v>0</v>
      </c>
      <c r="CO971" s="54">
        <v>0</v>
      </c>
      <c r="CP971" s="54">
        <v>0</v>
      </c>
      <c r="CQ971" s="4">
        <v>0</v>
      </c>
    </row>
    <row r="972" spans="1:95" x14ac:dyDescent="0.35">
      <c r="A972" s="55">
        <v>971</v>
      </c>
      <c r="B972" t="s">
        <v>120</v>
      </c>
      <c r="C972" s="27" t="s">
        <v>1052</v>
      </c>
      <c r="D972" s="3" t="s">
        <v>94</v>
      </c>
      <c r="E972" s="33" t="s">
        <v>89</v>
      </c>
      <c r="F972" s="4">
        <f>IFERROR(AVERAGEIF(Table1[[#This Row],[2019-Apr]:[2025-July]],"&lt;&gt;0"),0)</f>
        <v>6.4319999999999995</v>
      </c>
      <c r="G972" s="4">
        <f ca="1">IFERROR(AVERAGEIF(OFFSET(Table1[[#This Row],[Status]],0,COUNT(Table1[[#This Row],[2019-May]:[2025-July]]),1,-12),"&lt;&gt;0"),0)</f>
        <v>0</v>
      </c>
      <c r="H972" s="55">
        <f>IFERROR(SMALL(Table1[[#This Row],[2019-Apr]:[2025-July]],COUNTIF(Table1[[#This Row],[2019-Apr]:[2025-July]],0)+1),0)</f>
        <v>4.07</v>
      </c>
      <c r="I972" s="56">
        <f>IFERROR(MAX(Table1[[#This Row],[2019-Apr]:[2025-July]]),0)</f>
        <v>9.19</v>
      </c>
      <c r="J972" s="4" cm="1">
        <f t="array" ref="J97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6.4319999999999995</v>
      </c>
      <c r="K972" s="4">
        <v>4.5</v>
      </c>
      <c r="L972" s="4">
        <f>IF(Table1[[#This Row],[Standard as per ISO]]&gt;=Table1[[#This Row],[Avg of best 6]],Table1[[#This Row],[Standard as per ISO]],Table1[[#This Row],[Avg of best 6]])</f>
        <v>6.4319999999999995</v>
      </c>
      <c r="M972" s="4" cm="1">
        <f t="array" ref="M972">IFERROR(LOOKUP(2,1/(Table1[[#This Row],[2019-May]:[2025-July]]&lt;&gt;0),Table1[[#This Row],[2019-May]:[2025-July]]),0)</f>
        <v>7.3</v>
      </c>
      <c r="N972" s="4">
        <f>COUNTIF(Table1[[#This Row],[2019-Apr]:[2025-July]],"&gt;="&amp;Table1[[#This Row],[Target]])</f>
        <v>3</v>
      </c>
      <c r="O972" s="4">
        <f>IF(Table1[[#This Row],[Outliers 2Y]]=0,1,0)</f>
        <v>0</v>
      </c>
      <c r="P972" s="4">
        <f>IF(Table1[[#This Row],[Last value]]&gt;1.5*Table1[[#This Row],[Target]],1,0)</f>
        <v>0</v>
      </c>
      <c r="Q972" s="4">
        <f>IF(AND(1.5*Table1[[#This Row],[Target]]&gt;=Table1[[#This Row],[Last value]],Table1[[#This Row],[Last value]]&gt;Table1[[#This Row],[Target]]),1,0)</f>
        <v>1</v>
      </c>
      <c r="R972" s="4">
        <f>IF(Table1[[#This Row],[Target]]&gt;=Table1[[#This Row],[Last value]],1,0)</f>
        <v>0</v>
      </c>
      <c r="S972" s="4" t="str">
        <f t="shared" si="26"/>
        <v>Yellow</v>
      </c>
      <c r="T972">
        <v>0</v>
      </c>
      <c r="U972">
        <v>0</v>
      </c>
      <c r="V972">
        <v>0</v>
      </c>
      <c r="W972">
        <v>4.07</v>
      </c>
      <c r="X972">
        <v>7.5</v>
      </c>
      <c r="Y972">
        <v>4.0999999999999996</v>
      </c>
      <c r="Z972">
        <v>9.19</v>
      </c>
      <c r="AA972">
        <v>0</v>
      </c>
      <c r="AB972">
        <v>0</v>
      </c>
      <c r="AC972">
        <v>7.3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 s="8">
        <v>0</v>
      </c>
      <c r="AS972" s="8">
        <v>0</v>
      </c>
      <c r="AT972" s="8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>
        <v>0</v>
      </c>
      <c r="BE972" s="11">
        <v>0</v>
      </c>
      <c r="BF972" s="4">
        <v>0</v>
      </c>
      <c r="BG972" s="4">
        <v>0</v>
      </c>
      <c r="BH972" s="4">
        <v>0</v>
      </c>
      <c r="BI972" s="4">
        <v>0</v>
      </c>
      <c r="BJ972" s="14">
        <v>0</v>
      </c>
      <c r="BK972" s="14">
        <v>0</v>
      </c>
      <c r="BL972" s="4">
        <v>0</v>
      </c>
      <c r="BM972" s="17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 s="4">
        <v>0</v>
      </c>
      <c r="CH972" s="4">
        <v>0</v>
      </c>
      <c r="CI972" s="4">
        <v>0</v>
      </c>
      <c r="CJ972" s="34">
        <v>0</v>
      </c>
      <c r="CK972" s="34">
        <v>0</v>
      </c>
      <c r="CL972" s="43">
        <v>0</v>
      </c>
      <c r="CM972" s="4">
        <v>0</v>
      </c>
      <c r="CN972" s="53">
        <v>0</v>
      </c>
      <c r="CO972" s="54">
        <v>0</v>
      </c>
      <c r="CP972" s="54">
        <v>0</v>
      </c>
      <c r="CQ972" s="4">
        <v>0</v>
      </c>
    </row>
    <row r="973" spans="1:95" x14ac:dyDescent="0.35">
      <c r="A973" s="55">
        <v>972</v>
      </c>
      <c r="B973" t="s">
        <v>120</v>
      </c>
      <c r="C973" s="27" t="s">
        <v>1053</v>
      </c>
      <c r="D973" s="3" t="s">
        <v>94</v>
      </c>
      <c r="E973" s="33" t="s">
        <v>89</v>
      </c>
      <c r="F973" s="4">
        <f>IFERROR(AVERAGEIF(Table1[[#This Row],[2019-Apr]:[2025-July]],"&lt;&gt;0"),0)</f>
        <v>2.1308214285714291</v>
      </c>
      <c r="G973" s="4">
        <f ca="1">IFERROR(AVERAGEIF(OFFSET(Table1[[#This Row],[Status]],0,COUNT(Table1[[#This Row],[2019-May]:[2025-July]]),1,-12),"&lt;&gt;0"),0)</f>
        <v>2.0833333333333335</v>
      </c>
      <c r="H973" s="55">
        <f>IFERROR(SMALL(Table1[[#This Row],[2019-Apr]:[2025-July]],COUNTIF(Table1[[#This Row],[2019-Apr]:[2025-July]],0)+1),0)</f>
        <v>1.514</v>
      </c>
      <c r="I973" s="56">
        <f>IFERROR(MAX(Table1[[#This Row],[2019-Apr]:[2025-July]]),0)</f>
        <v>3.35</v>
      </c>
      <c r="J973" s="4" cm="1">
        <f t="array" ref="J97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1.732</v>
      </c>
      <c r="K973" s="4">
        <v>4.5</v>
      </c>
      <c r="L973" s="4">
        <f>IF(Table1[[#This Row],[Standard as per ISO]]&gt;=Table1[[#This Row],[Avg of best 6]],Table1[[#This Row],[Standard as per ISO]],Table1[[#This Row],[Avg of best 6]])</f>
        <v>4.5</v>
      </c>
      <c r="M973" s="4" cm="1">
        <f t="array" ref="M973">IFERROR(LOOKUP(2,1/(Table1[[#This Row],[2019-May]:[2025-July]]&lt;&gt;0),Table1[[#This Row],[2019-May]:[2025-July]]),0)</f>
        <v>2.65</v>
      </c>
      <c r="N973" s="4">
        <f>COUNTIF(Table1[[#This Row],[2019-Apr]:[2025-July]],"&gt;="&amp;Table1[[#This Row],[Target]])</f>
        <v>0</v>
      </c>
      <c r="O973" s="4">
        <f>IF(Table1[[#This Row],[Outliers 2Y]]=0,1,0)</f>
        <v>1</v>
      </c>
      <c r="P973" s="4">
        <f>IF(Table1[[#This Row],[Last value]]&gt;1.5*Table1[[#This Row],[Target]],1,0)</f>
        <v>0</v>
      </c>
      <c r="Q973" s="4">
        <f>IF(AND(1.5*Table1[[#This Row],[Target]]&gt;=Table1[[#This Row],[Last value]],Table1[[#This Row],[Last value]]&gt;Table1[[#This Row],[Target]]),1,0)</f>
        <v>0</v>
      </c>
      <c r="R973" s="4">
        <f>IF(Table1[[#This Row],[Target]]&gt;=Table1[[#This Row],[Last value]],1,0)</f>
        <v>1</v>
      </c>
      <c r="S973" s="4" t="str">
        <f t="shared" si="26"/>
        <v>Green</v>
      </c>
      <c r="T973">
        <v>0</v>
      </c>
      <c r="U973">
        <v>0</v>
      </c>
      <c r="V973">
        <v>0</v>
      </c>
      <c r="W973">
        <v>2.8</v>
      </c>
      <c r="X973">
        <v>0</v>
      </c>
      <c r="Y973">
        <v>2.19</v>
      </c>
      <c r="Z973">
        <v>2.0699999999999998</v>
      </c>
      <c r="AA973">
        <v>0</v>
      </c>
      <c r="AB973">
        <v>2</v>
      </c>
      <c r="AC973">
        <v>2.6</v>
      </c>
      <c r="AD973">
        <v>0</v>
      </c>
      <c r="AE973">
        <v>1.9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2.4700000000000002</v>
      </c>
      <c r="AQ973">
        <v>2.21</v>
      </c>
      <c r="AR973" s="9">
        <v>2.2400000000000002</v>
      </c>
      <c r="AS973" s="9">
        <v>2.2999999999999998</v>
      </c>
      <c r="AT973" s="8">
        <v>0</v>
      </c>
      <c r="AU973" s="3">
        <v>2.15</v>
      </c>
      <c r="AV973" s="3">
        <v>2.0499999999999998</v>
      </c>
      <c r="AW973" s="3">
        <v>0</v>
      </c>
      <c r="AX973" s="3">
        <v>0</v>
      </c>
      <c r="AY973" s="3">
        <v>3.35</v>
      </c>
      <c r="AZ973" s="3">
        <v>2.2000000000000002</v>
      </c>
      <c r="BA973" s="3">
        <v>0</v>
      </c>
      <c r="BB973" s="3">
        <v>2</v>
      </c>
      <c r="BC973" s="3">
        <v>0</v>
      </c>
      <c r="BD973">
        <v>0</v>
      </c>
      <c r="BE973" s="11">
        <v>0</v>
      </c>
      <c r="BF973" s="4">
        <v>1.9239999999999999</v>
      </c>
      <c r="BG973" s="4">
        <v>2.23</v>
      </c>
      <c r="BH973" s="4">
        <v>0</v>
      </c>
      <c r="BI973" s="4">
        <v>1.802</v>
      </c>
      <c r="BJ973" s="14">
        <v>1.6970000000000001</v>
      </c>
      <c r="BK973" s="14">
        <v>1.514</v>
      </c>
      <c r="BL973" s="4">
        <v>0</v>
      </c>
      <c r="BM973" s="17">
        <v>2.0779999999999998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2.0640000000000001</v>
      </c>
      <c r="BT973" s="4">
        <v>0</v>
      </c>
      <c r="BU973" s="4">
        <v>0</v>
      </c>
      <c r="BV973" s="4">
        <v>1.903</v>
      </c>
      <c r="BW973" s="4">
        <v>0</v>
      </c>
      <c r="BX973" s="4">
        <v>1.7789999999999999</v>
      </c>
      <c r="BY973" s="4">
        <v>1.8919999999999999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 s="4">
        <v>0</v>
      </c>
      <c r="CH973" s="4">
        <v>0</v>
      </c>
      <c r="CI973" s="4">
        <v>0</v>
      </c>
      <c r="CJ973" s="34">
        <v>0</v>
      </c>
      <c r="CK973" s="34">
        <v>1.8</v>
      </c>
      <c r="CL973" s="43">
        <v>0</v>
      </c>
      <c r="CM973" s="4">
        <v>1.8</v>
      </c>
      <c r="CN973" s="53">
        <v>0</v>
      </c>
      <c r="CO973" s="54">
        <v>2.65</v>
      </c>
      <c r="CP973" s="54">
        <v>0</v>
      </c>
      <c r="CQ973" s="4">
        <v>0</v>
      </c>
    </row>
    <row r="974" spans="1:95" x14ac:dyDescent="0.35">
      <c r="A974" s="55">
        <v>973</v>
      </c>
      <c r="B974" t="s">
        <v>120</v>
      </c>
      <c r="C974" s="27" t="s">
        <v>1054</v>
      </c>
      <c r="D974" s="3" t="s">
        <v>94</v>
      </c>
      <c r="E974" s="33" t="s">
        <v>89</v>
      </c>
      <c r="F974" s="4">
        <f>IFERROR(AVERAGEIF(Table1[[#This Row],[2019-Apr]:[2025-July]],"&lt;&gt;0"),0)</f>
        <v>1.9947272727272727</v>
      </c>
      <c r="G974" s="4">
        <f ca="1">IFERROR(AVERAGEIF(OFFSET(Table1[[#This Row],[Status]],0,COUNT(Table1[[#This Row],[2019-May]:[2025-July]]),1,-12),"&lt;&gt;0"),0)</f>
        <v>2.2149999999999999</v>
      </c>
      <c r="H974" s="55">
        <f>IFERROR(SMALL(Table1[[#This Row],[2019-Apr]:[2025-July]],COUNTIF(Table1[[#This Row],[2019-Apr]:[2025-July]],0)+1),0)</f>
        <v>1.64</v>
      </c>
      <c r="I974" s="56">
        <f>IFERROR(MAX(Table1[[#This Row],[2019-Apr]:[2025-July]]),0)</f>
        <v>2.7</v>
      </c>
      <c r="J974" s="4" cm="1">
        <f t="array" ref="J97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1.7863333333333333</v>
      </c>
      <c r="K974" s="4">
        <v>4.5</v>
      </c>
      <c r="L974" s="4">
        <f>IF(Table1[[#This Row],[Standard as per ISO]]&gt;=Table1[[#This Row],[Avg of best 6]],Table1[[#This Row],[Standard as per ISO]],Table1[[#This Row],[Avg of best 6]])</f>
        <v>4.5</v>
      </c>
      <c r="M974" s="4" cm="1">
        <f t="array" ref="M974">IFERROR(LOOKUP(2,1/(Table1[[#This Row],[2019-May]:[2025-July]]&lt;&gt;0),Table1[[#This Row],[2019-May]:[2025-July]]),0)</f>
        <v>2.15</v>
      </c>
      <c r="N974" s="4">
        <f>COUNTIF(Table1[[#This Row],[2019-Apr]:[2025-July]],"&gt;="&amp;Table1[[#This Row],[Target]])</f>
        <v>0</v>
      </c>
      <c r="O974" s="4">
        <f>IF(Table1[[#This Row],[Outliers 2Y]]=0,1,0)</f>
        <v>1</v>
      </c>
      <c r="P974" s="4">
        <f>IF(Table1[[#This Row],[Last value]]&gt;1.5*Table1[[#This Row],[Target]],1,0)</f>
        <v>0</v>
      </c>
      <c r="Q974" s="4">
        <f>IF(AND(1.5*Table1[[#This Row],[Target]]&gt;=Table1[[#This Row],[Last value]],Table1[[#This Row],[Last value]]&gt;Table1[[#This Row],[Target]]),1,0)</f>
        <v>0</v>
      </c>
      <c r="R974" s="4">
        <f>IF(Table1[[#This Row],[Target]]&gt;=Table1[[#This Row],[Last value]],1,0)</f>
        <v>1</v>
      </c>
      <c r="S974" s="4" t="str">
        <f t="shared" si="26"/>
        <v>Green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2.2999999999999998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2.7</v>
      </c>
      <c r="AN974">
        <v>0</v>
      </c>
      <c r="AO974">
        <v>1.8</v>
      </c>
      <c r="AP974">
        <v>0</v>
      </c>
      <c r="AQ974">
        <v>0</v>
      </c>
      <c r="AR974" s="8">
        <v>0</v>
      </c>
      <c r="AS974" s="8">
        <v>0</v>
      </c>
      <c r="AT974" s="8">
        <v>1.64</v>
      </c>
      <c r="AU974" s="3">
        <v>0</v>
      </c>
      <c r="AV974" s="3">
        <v>0</v>
      </c>
      <c r="AW974" s="3">
        <v>1.98</v>
      </c>
      <c r="AX974" s="3">
        <v>1.91</v>
      </c>
      <c r="AY974" s="3">
        <v>0</v>
      </c>
      <c r="AZ974" s="3">
        <v>0</v>
      </c>
      <c r="BA974" s="3">
        <v>1.8</v>
      </c>
      <c r="BB974" s="3">
        <v>0</v>
      </c>
      <c r="BC974">
        <v>1.7</v>
      </c>
      <c r="BD974">
        <v>0</v>
      </c>
      <c r="BE974" s="11">
        <v>1.887</v>
      </c>
      <c r="BF974" s="4">
        <v>0</v>
      </c>
      <c r="BG974" s="4">
        <v>0</v>
      </c>
      <c r="BH974" s="4">
        <v>1.919</v>
      </c>
      <c r="BI974" s="4">
        <v>0</v>
      </c>
      <c r="BJ974" s="13">
        <v>0</v>
      </c>
      <c r="BK974" s="13">
        <v>0</v>
      </c>
      <c r="BL974" s="4">
        <v>1.9339999999999999</v>
      </c>
      <c r="BM974" s="16">
        <v>0</v>
      </c>
      <c r="BN974" s="4">
        <v>2.0289999999999999</v>
      </c>
      <c r="BO974" s="4">
        <v>1.923</v>
      </c>
      <c r="BP974" s="4">
        <v>1.923</v>
      </c>
      <c r="BQ974" s="4">
        <v>1.923</v>
      </c>
      <c r="BR974" s="4">
        <v>1.923</v>
      </c>
      <c r="BS974" s="4">
        <v>1.923</v>
      </c>
      <c r="BT974" s="4">
        <v>1.891</v>
      </c>
      <c r="BU974" s="4">
        <v>2.226</v>
      </c>
      <c r="BV974" s="4">
        <v>0</v>
      </c>
      <c r="BW974" s="4">
        <v>2.1230000000000002</v>
      </c>
      <c r="BX974" s="4">
        <v>0</v>
      </c>
      <c r="BY974" s="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 s="4">
        <v>0</v>
      </c>
      <c r="CH974" s="4">
        <v>0</v>
      </c>
      <c r="CI974" s="4">
        <v>0</v>
      </c>
      <c r="CJ974" s="34">
        <v>0</v>
      </c>
      <c r="CK974" s="34">
        <v>0</v>
      </c>
      <c r="CL974" s="43">
        <v>0</v>
      </c>
      <c r="CM974" s="4">
        <v>0</v>
      </c>
      <c r="CN974" s="53">
        <v>2.2799999999999998</v>
      </c>
      <c r="CO974" s="54">
        <v>0</v>
      </c>
      <c r="CP974" s="54">
        <v>2.15</v>
      </c>
      <c r="CQ974" s="4">
        <v>0</v>
      </c>
    </row>
    <row r="975" spans="1:95" x14ac:dyDescent="0.35">
      <c r="A975" s="55">
        <v>974</v>
      </c>
      <c r="B975" t="s">
        <v>120</v>
      </c>
      <c r="C975" s="27" t="s">
        <v>1055</v>
      </c>
      <c r="D975" s="3" t="s">
        <v>94</v>
      </c>
      <c r="E975" s="33" t="s">
        <v>91</v>
      </c>
      <c r="F975" s="4">
        <f>IFERROR(AVERAGEIF(Table1[[#This Row],[2019-Apr]:[2025-July]],"&lt;&gt;0"),0)</f>
        <v>2.1345000000000001</v>
      </c>
      <c r="G975" s="4">
        <f ca="1">IFERROR(AVERAGEIF(OFFSET(Table1[[#This Row],[Status]],0,COUNT(Table1[[#This Row],[2019-May]:[2025-July]]),1,-12),"&lt;&gt;0"),0)</f>
        <v>0</v>
      </c>
      <c r="H975" s="55">
        <f>IFERROR(SMALL(Table1[[#This Row],[2019-Apr]:[2025-July]],COUNTIF(Table1[[#This Row],[2019-Apr]:[2025-July]],0)+1),0)</f>
        <v>0.89</v>
      </c>
      <c r="I975" s="56">
        <f>IFERROR(MAX(Table1[[#This Row],[2019-Apr]:[2025-July]]),0)</f>
        <v>6.94</v>
      </c>
      <c r="J975" s="4" cm="1">
        <f t="array" ref="J97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0.93666666666666654</v>
      </c>
      <c r="K975" s="4">
        <v>4.5</v>
      </c>
      <c r="L975" s="4">
        <f>IF(Table1[[#This Row],[Standard as per ISO]]&gt;=Table1[[#This Row],[Avg of best 6]],Table1[[#This Row],[Standard as per ISO]],Table1[[#This Row],[Avg of best 6]])</f>
        <v>4.5</v>
      </c>
      <c r="M975" s="4" cm="1">
        <f t="array" ref="M975">IFERROR(LOOKUP(2,1/(Table1[[#This Row],[2019-May]:[2025-July]]&lt;&gt;0),Table1[[#This Row],[2019-May]:[2025-July]]),0)</f>
        <v>0.89</v>
      </c>
      <c r="N975" s="4">
        <f>COUNTIF(Table1[[#This Row],[2019-Apr]:[2025-July]],"&gt;="&amp;Table1[[#This Row],[Target]])</f>
        <v>2</v>
      </c>
      <c r="O975" s="4">
        <f>IF(Table1[[#This Row],[Outliers 2Y]]=0,1,0)</f>
        <v>0</v>
      </c>
      <c r="P975" s="4">
        <f>IF(Table1[[#This Row],[Last value]]&gt;1.5*Table1[[#This Row],[Target]],1,0)</f>
        <v>0</v>
      </c>
      <c r="Q975" s="4">
        <f>IF(AND(1.5*Table1[[#This Row],[Target]]&gt;=Table1[[#This Row],[Last value]],Table1[[#This Row],[Last value]]&gt;Table1[[#This Row],[Target]]),1,0)</f>
        <v>0</v>
      </c>
      <c r="R975" s="4">
        <f>IF(Table1[[#This Row],[Target]]&gt;=Table1[[#This Row],[Last value]],1,0)</f>
        <v>1</v>
      </c>
      <c r="S975" s="4" t="str">
        <f t="shared" si="26"/>
        <v>Green</v>
      </c>
      <c r="T975">
        <v>2.3199999999999998</v>
      </c>
      <c r="U975">
        <v>0</v>
      </c>
      <c r="V975">
        <v>0</v>
      </c>
      <c r="W975">
        <v>1.48</v>
      </c>
      <c r="X975">
        <v>0</v>
      </c>
      <c r="Y975">
        <v>3.18</v>
      </c>
      <c r="Z975">
        <v>2</v>
      </c>
      <c r="AA975">
        <v>0</v>
      </c>
      <c r="AB975">
        <v>3.8</v>
      </c>
      <c r="AC975">
        <v>2.4</v>
      </c>
      <c r="AD975">
        <v>2.7</v>
      </c>
      <c r="AE975">
        <v>1.5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6.62</v>
      </c>
      <c r="AN975">
        <v>0</v>
      </c>
      <c r="AO975">
        <v>3.3</v>
      </c>
      <c r="AP975">
        <v>6.94</v>
      </c>
      <c r="AQ975">
        <v>1.0900000000000001</v>
      </c>
      <c r="AR975" s="8">
        <v>0</v>
      </c>
      <c r="AS975" s="8">
        <v>0</v>
      </c>
      <c r="AT975" s="8">
        <v>1.83</v>
      </c>
      <c r="AU975" s="3">
        <v>0</v>
      </c>
      <c r="AV975" s="3">
        <v>1.5</v>
      </c>
      <c r="AW975" s="3">
        <v>0</v>
      </c>
      <c r="AX975" s="3">
        <v>1.54</v>
      </c>
      <c r="AY975" s="3">
        <v>0.95</v>
      </c>
      <c r="AZ975" s="3">
        <v>0</v>
      </c>
      <c r="BA975" s="3">
        <v>0.9</v>
      </c>
      <c r="BB975" s="3">
        <v>0.9</v>
      </c>
      <c r="BC975">
        <v>1.1000000000000001</v>
      </c>
      <c r="BD975">
        <v>0</v>
      </c>
      <c r="BE975" s="11">
        <v>1.0649999999999999</v>
      </c>
      <c r="BF975" s="4">
        <v>1.1579999999999999</v>
      </c>
      <c r="BG975" s="4">
        <v>1.1499999999999999</v>
      </c>
      <c r="BH975" s="4">
        <v>0</v>
      </c>
      <c r="BI975" s="4">
        <v>0</v>
      </c>
      <c r="BJ975" s="14">
        <v>0</v>
      </c>
      <c r="BK975" s="14">
        <v>0</v>
      </c>
      <c r="BL975" s="4">
        <v>0</v>
      </c>
      <c r="BM975" s="17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0.91500000000000004</v>
      </c>
      <c r="BS975" s="4">
        <v>0</v>
      </c>
      <c r="BT975" s="4">
        <v>0</v>
      </c>
      <c r="BU975" s="4">
        <v>0.89</v>
      </c>
      <c r="BV975" s="4">
        <v>0</v>
      </c>
      <c r="BW975" s="4">
        <v>0</v>
      </c>
      <c r="BX975" s="4">
        <v>0</v>
      </c>
      <c r="BY975" s="4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 s="4">
        <v>0</v>
      </c>
      <c r="CH975" s="4">
        <v>0</v>
      </c>
      <c r="CI975" s="4">
        <v>0</v>
      </c>
      <c r="CJ975" s="34">
        <v>0</v>
      </c>
      <c r="CK975" s="34">
        <v>0</v>
      </c>
      <c r="CL975" s="34">
        <v>0</v>
      </c>
      <c r="CM975" s="4">
        <v>0</v>
      </c>
      <c r="CN975" s="53">
        <v>0</v>
      </c>
      <c r="CO975" s="54">
        <v>0</v>
      </c>
      <c r="CP975" s="54">
        <v>0</v>
      </c>
      <c r="CQ975" s="4">
        <v>0</v>
      </c>
    </row>
    <row r="976" spans="1:95" x14ac:dyDescent="0.35">
      <c r="A976" s="55">
        <v>975</v>
      </c>
      <c r="B976" t="s">
        <v>120</v>
      </c>
      <c r="C976" s="27" t="s">
        <v>1056</v>
      </c>
      <c r="D976" s="3" t="s">
        <v>94</v>
      </c>
      <c r="E976" s="33" t="s">
        <v>91</v>
      </c>
      <c r="F976" s="4">
        <f>IFERROR(AVERAGEIF(Table1[[#This Row],[2019-Apr]:[2025-July]],"&lt;&gt;0"),0)</f>
        <v>1.142625</v>
      </c>
      <c r="G976" s="4">
        <f ca="1">IFERROR(AVERAGEIF(OFFSET(Table1[[#This Row],[Status]],0,COUNT(Table1[[#This Row],[2019-May]:[2025-July]]),1,-12),"&lt;&gt;0"),0)</f>
        <v>0</v>
      </c>
      <c r="H976" s="55">
        <f>IFERROR(SMALL(Table1[[#This Row],[2019-Apr]:[2025-July]],COUNTIF(Table1[[#This Row],[2019-Apr]:[2025-July]],0)+1),0)</f>
        <v>0.8</v>
      </c>
      <c r="I976" s="56">
        <f>IFERROR(MAX(Table1[[#This Row],[2019-Apr]:[2025-July]]),0)</f>
        <v>1.83</v>
      </c>
      <c r="J976" s="4" cm="1">
        <f t="array" ref="J97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0.90266666666666662</v>
      </c>
      <c r="K976" s="4">
        <v>4.5</v>
      </c>
      <c r="L976" s="4">
        <f>IF(Table1[[#This Row],[Standard as per ISO]]&gt;=Table1[[#This Row],[Avg of best 6]],Table1[[#This Row],[Standard as per ISO]],Table1[[#This Row],[Avg of best 6]])</f>
        <v>4.5</v>
      </c>
      <c r="M976" s="4" cm="1">
        <f t="array" ref="M976">IFERROR(LOOKUP(2,1/(Table1[[#This Row],[2019-May]:[2025-July]]&lt;&gt;0),Table1[[#This Row],[2019-May]:[2025-July]]),0)</f>
        <v>1.089</v>
      </c>
      <c r="N976" s="4">
        <f>COUNTIF(Table1[[#This Row],[2019-Apr]:[2025-July]],"&gt;="&amp;Table1[[#This Row],[Target]])</f>
        <v>0</v>
      </c>
      <c r="O976" s="4">
        <f>IF(Table1[[#This Row],[Outliers 2Y]]=0,1,0)</f>
        <v>1</v>
      </c>
      <c r="P976" s="4">
        <f>IF(Table1[[#This Row],[Last value]]&gt;1.5*Table1[[#This Row],[Target]],1,0)</f>
        <v>0</v>
      </c>
      <c r="Q976" s="4">
        <f>IF(AND(1.5*Table1[[#This Row],[Target]]&gt;=Table1[[#This Row],[Last value]],Table1[[#This Row],[Last value]]&gt;Table1[[#This Row],[Target]]),1,0)</f>
        <v>0</v>
      </c>
      <c r="R976" s="4">
        <f>IF(Table1[[#This Row],[Target]]&gt;=Table1[[#This Row],[Last value]],1,0)</f>
        <v>1</v>
      </c>
      <c r="S976" s="4" t="str">
        <f t="shared" si="26"/>
        <v>Green</v>
      </c>
      <c r="T976">
        <v>1.2</v>
      </c>
      <c r="U976">
        <v>0</v>
      </c>
      <c r="V976">
        <v>0</v>
      </c>
      <c r="W976">
        <v>0.85</v>
      </c>
      <c r="X976">
        <v>0</v>
      </c>
      <c r="Y976">
        <v>1.08</v>
      </c>
      <c r="Z976">
        <v>1.1000000000000001</v>
      </c>
      <c r="AA976">
        <v>0</v>
      </c>
      <c r="AB976">
        <v>1</v>
      </c>
      <c r="AC976">
        <v>0.9</v>
      </c>
      <c r="AD976">
        <v>1.4</v>
      </c>
      <c r="AE976">
        <v>1.6</v>
      </c>
      <c r="AF976">
        <v>1.1000000000000001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1.02</v>
      </c>
      <c r="AN976">
        <v>0</v>
      </c>
      <c r="AO976">
        <v>0</v>
      </c>
      <c r="AP976">
        <v>0</v>
      </c>
      <c r="AQ976">
        <v>0</v>
      </c>
      <c r="AR976" s="8">
        <v>1.1000000000000001</v>
      </c>
      <c r="AS976" s="8">
        <v>0</v>
      </c>
      <c r="AT976" s="8">
        <v>1.01</v>
      </c>
      <c r="AU976" s="3">
        <v>0</v>
      </c>
      <c r="AV976" s="3">
        <v>0</v>
      </c>
      <c r="AW976" s="3">
        <v>0</v>
      </c>
      <c r="AX976" s="3">
        <v>1.49</v>
      </c>
      <c r="AY976" s="3">
        <v>0</v>
      </c>
      <c r="AZ976" s="3">
        <v>1.83</v>
      </c>
      <c r="BA976" s="3">
        <v>1.1000000000000001</v>
      </c>
      <c r="BB976" s="3">
        <v>0.9</v>
      </c>
      <c r="BC976">
        <v>0.8</v>
      </c>
      <c r="BD976">
        <v>0</v>
      </c>
      <c r="BE976" s="11">
        <v>1.321</v>
      </c>
      <c r="BF976" s="4">
        <v>1.27</v>
      </c>
      <c r="BG976" s="4">
        <v>1.089</v>
      </c>
      <c r="BH976" s="4">
        <v>0</v>
      </c>
      <c r="BI976" s="4">
        <v>1.0069999999999999</v>
      </c>
      <c r="BJ976" s="13">
        <v>0</v>
      </c>
      <c r="BK976" s="13">
        <v>0</v>
      </c>
      <c r="BL976" s="4">
        <v>0</v>
      </c>
      <c r="BM976" s="16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1.2010000000000001</v>
      </c>
      <c r="BS976" s="4">
        <v>0</v>
      </c>
      <c r="BT976" s="4">
        <v>0</v>
      </c>
      <c r="BU976" s="4">
        <v>0.96599999999999997</v>
      </c>
      <c r="BV976" s="4">
        <v>0</v>
      </c>
      <c r="BW976" s="4">
        <v>0</v>
      </c>
      <c r="BX976" s="4">
        <v>1.089</v>
      </c>
      <c r="BY976" s="4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 s="4">
        <v>0</v>
      </c>
      <c r="CH976" s="4">
        <v>0</v>
      </c>
      <c r="CI976" s="4">
        <v>0</v>
      </c>
      <c r="CJ976" s="34">
        <v>0</v>
      </c>
      <c r="CK976" s="34">
        <v>0</v>
      </c>
      <c r="CL976" s="34">
        <v>0</v>
      </c>
      <c r="CM976" s="4">
        <v>0</v>
      </c>
      <c r="CN976" s="53">
        <v>0</v>
      </c>
      <c r="CO976" s="54">
        <v>0</v>
      </c>
      <c r="CP976" s="54">
        <v>0</v>
      </c>
      <c r="CQ976" s="4">
        <v>0</v>
      </c>
    </row>
    <row r="977" spans="1:95" x14ac:dyDescent="0.35">
      <c r="A977" s="55">
        <v>976</v>
      </c>
      <c r="B977" t="s">
        <v>120</v>
      </c>
      <c r="C977" s="27" t="s">
        <v>1057</v>
      </c>
      <c r="D977" s="3" t="s">
        <v>94</v>
      </c>
      <c r="E977" s="33" t="s">
        <v>91</v>
      </c>
      <c r="F977" s="4">
        <f>IFERROR(AVERAGEIF(Table1[[#This Row],[2019-Apr]:[2025-July]],"&lt;&gt;0"),0)</f>
        <v>2.4629090909090903</v>
      </c>
      <c r="G977" s="4">
        <f ca="1">IFERROR(AVERAGEIF(OFFSET(Table1[[#This Row],[Status]],0,COUNT(Table1[[#This Row],[2019-May]:[2025-July]]),1,-12),"&lt;&gt;0"),0)</f>
        <v>0</v>
      </c>
      <c r="H977" s="55">
        <f>IFERROR(SMALL(Table1[[#This Row],[2019-Apr]:[2025-July]],COUNTIF(Table1[[#This Row],[2019-Apr]:[2025-July]],0)+1),0)</f>
        <v>0.8</v>
      </c>
      <c r="I977" s="56">
        <f>IFERROR(MAX(Table1[[#This Row],[2019-Apr]:[2025-July]]),0)</f>
        <v>3.4</v>
      </c>
      <c r="J977" s="4" cm="1">
        <f t="array" ref="J97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1.6526666666666667</v>
      </c>
      <c r="K977" s="4">
        <v>4.5</v>
      </c>
      <c r="L977" s="4">
        <f>IF(Table1[[#This Row],[Standard as per ISO]]&gt;=Table1[[#This Row],[Avg of best 6]],Table1[[#This Row],[Standard as per ISO]],Table1[[#This Row],[Avg of best 6]])</f>
        <v>4.5</v>
      </c>
      <c r="M977" s="4" cm="1">
        <f t="array" ref="M977">IFERROR(LOOKUP(2,1/(Table1[[#This Row],[2019-May]:[2025-July]]&lt;&gt;0),Table1[[#This Row],[2019-May]:[2025-July]]),0)</f>
        <v>2.0259999999999998</v>
      </c>
      <c r="N977" s="4">
        <f>COUNTIF(Table1[[#This Row],[2019-Apr]:[2025-July]],"&gt;="&amp;Table1[[#This Row],[Target]])</f>
        <v>0</v>
      </c>
      <c r="O977" s="4">
        <f>IF(Table1[[#This Row],[Outliers 2Y]]=0,1,0)</f>
        <v>1</v>
      </c>
      <c r="P977" s="4">
        <f>IF(Table1[[#This Row],[Last value]]&gt;1.5*Table1[[#This Row],[Target]],1,0)</f>
        <v>0</v>
      </c>
      <c r="Q977" s="4">
        <f>IF(AND(1.5*Table1[[#This Row],[Target]]&gt;=Table1[[#This Row],[Last value]],Table1[[#This Row],[Last value]]&gt;Table1[[#This Row],[Target]]),1,0)</f>
        <v>0</v>
      </c>
      <c r="R977" s="4">
        <f>IF(Table1[[#This Row],[Target]]&gt;=Table1[[#This Row],[Last value]],1,0)</f>
        <v>1</v>
      </c>
      <c r="S977" s="4" t="str">
        <f t="shared" si="26"/>
        <v>Green</v>
      </c>
      <c r="T977">
        <v>3.1</v>
      </c>
      <c r="U977">
        <v>3.02</v>
      </c>
      <c r="V977">
        <v>2.96</v>
      </c>
      <c r="W977">
        <v>2.4700000000000002</v>
      </c>
      <c r="X977">
        <v>0</v>
      </c>
      <c r="Y977">
        <v>2.86</v>
      </c>
      <c r="Z977">
        <v>2</v>
      </c>
      <c r="AA977">
        <v>0</v>
      </c>
      <c r="AB977">
        <v>2.5</v>
      </c>
      <c r="AC977">
        <v>3.4</v>
      </c>
      <c r="AD977">
        <v>0.8</v>
      </c>
      <c r="AE977">
        <v>2.63</v>
      </c>
      <c r="AF977">
        <v>2.4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2.97</v>
      </c>
      <c r="AN977">
        <v>0</v>
      </c>
      <c r="AO977">
        <v>1.3</v>
      </c>
      <c r="AP977">
        <v>2.2999999999999998</v>
      </c>
      <c r="AQ977">
        <v>2.74</v>
      </c>
      <c r="AR977" s="9">
        <v>2.77</v>
      </c>
      <c r="AS977" s="9">
        <v>2.73</v>
      </c>
      <c r="AT977" s="8">
        <v>0</v>
      </c>
      <c r="AU977" s="3">
        <v>2.5099999999999998</v>
      </c>
      <c r="AV977" s="3">
        <v>2.56</v>
      </c>
      <c r="AW977" s="3">
        <v>2.31</v>
      </c>
      <c r="AX977" s="3">
        <v>1.99</v>
      </c>
      <c r="AY977" s="3">
        <v>2.86</v>
      </c>
      <c r="AZ977" s="3">
        <v>2.4</v>
      </c>
      <c r="BA977" s="3">
        <v>2.4</v>
      </c>
      <c r="BB977" s="3">
        <v>1.8</v>
      </c>
      <c r="BC977">
        <v>2.2000000000000002</v>
      </c>
      <c r="BD977">
        <v>0</v>
      </c>
      <c r="BE977" s="11">
        <v>2.2519999999999998</v>
      </c>
      <c r="BF977" s="4">
        <v>2.169</v>
      </c>
      <c r="BG977" s="4">
        <v>2.1930000000000001</v>
      </c>
      <c r="BH977" s="4">
        <v>0</v>
      </c>
      <c r="BI977" s="4">
        <v>2.7250000000000001</v>
      </c>
      <c r="BJ977" s="14">
        <v>0</v>
      </c>
      <c r="BK977" s="14">
        <v>0</v>
      </c>
      <c r="BL977" s="4">
        <v>0</v>
      </c>
      <c r="BM977" s="17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2.9049999999999998</v>
      </c>
      <c r="BS977" s="4">
        <v>0</v>
      </c>
      <c r="BT977" s="4">
        <v>0</v>
      </c>
      <c r="BU977" s="4">
        <v>3.0259999999999998</v>
      </c>
      <c r="BV977" s="4">
        <v>0</v>
      </c>
      <c r="BW977" s="4">
        <v>0</v>
      </c>
      <c r="BX977" s="4">
        <v>2.0259999999999998</v>
      </c>
      <c r="BY977" s="4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 s="4">
        <v>0</v>
      </c>
      <c r="CH977" s="4">
        <v>0</v>
      </c>
      <c r="CI977" s="4">
        <v>0</v>
      </c>
      <c r="CJ977" s="34">
        <v>0</v>
      </c>
      <c r="CK977" s="34">
        <v>0</v>
      </c>
      <c r="CL977" s="34">
        <v>0</v>
      </c>
      <c r="CM977" s="4">
        <v>0</v>
      </c>
      <c r="CN977" s="53">
        <v>0</v>
      </c>
      <c r="CO977" s="54">
        <v>0</v>
      </c>
      <c r="CP977" s="54">
        <v>0</v>
      </c>
      <c r="CQ977" s="4">
        <v>0</v>
      </c>
    </row>
    <row r="978" spans="1:95" x14ac:dyDescent="0.35">
      <c r="A978" s="55">
        <v>977</v>
      </c>
      <c r="B978" t="s">
        <v>120</v>
      </c>
      <c r="C978" s="27" t="s">
        <v>1058</v>
      </c>
      <c r="D978" s="3" t="s">
        <v>94</v>
      </c>
      <c r="E978" s="33" t="s">
        <v>91</v>
      </c>
      <c r="F978" s="4">
        <f>IFERROR(AVERAGEIF(Table1[[#This Row],[2019-Apr]:[2025-July]],"&lt;&gt;0"),0)</f>
        <v>1.5626785714285709</v>
      </c>
      <c r="G978" s="4">
        <f ca="1">IFERROR(AVERAGEIF(OFFSET(Table1[[#This Row],[Status]],0,COUNT(Table1[[#This Row],[2019-May]:[2025-July]]),1,-12),"&lt;&gt;0"),0)</f>
        <v>0</v>
      </c>
      <c r="H978" s="55">
        <f>IFERROR(SMALL(Table1[[#This Row],[2019-Apr]:[2025-July]],COUNTIF(Table1[[#This Row],[2019-Apr]:[2025-July]],0)+1),0)</f>
        <v>0.4</v>
      </c>
      <c r="I978" s="56">
        <f>IFERROR(MAX(Table1[[#This Row],[2019-Apr]:[2025-July]]),0)</f>
        <v>2.99</v>
      </c>
      <c r="J978" s="4" cm="1">
        <f t="array" ref="J97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0.9491666666666666</v>
      </c>
      <c r="K978" s="4">
        <v>4.5</v>
      </c>
      <c r="L978" s="4">
        <f>IF(Table1[[#This Row],[Standard as per ISO]]&gt;=Table1[[#This Row],[Avg of best 6]],Table1[[#This Row],[Standard as per ISO]],Table1[[#This Row],[Avg of best 6]])</f>
        <v>4.5</v>
      </c>
      <c r="M978" s="4" cm="1">
        <f t="array" ref="M978">IFERROR(LOOKUP(2,1/(Table1[[#This Row],[2019-May]:[2025-July]]&lt;&gt;0),Table1[[#This Row],[2019-May]:[2025-July]]),0)</f>
        <v>1.385</v>
      </c>
      <c r="N978" s="4">
        <f>COUNTIF(Table1[[#This Row],[2019-Apr]:[2025-July]],"&gt;="&amp;Table1[[#This Row],[Target]])</f>
        <v>0</v>
      </c>
      <c r="O978" s="4">
        <f>IF(Table1[[#This Row],[Outliers 2Y]]=0,1,0)</f>
        <v>1</v>
      </c>
      <c r="P978" s="4">
        <f>IF(Table1[[#This Row],[Last value]]&gt;1.5*Table1[[#This Row],[Target]],1,0)</f>
        <v>0</v>
      </c>
      <c r="Q978" s="4">
        <f>IF(AND(1.5*Table1[[#This Row],[Target]]&gt;=Table1[[#This Row],[Last value]],Table1[[#This Row],[Last value]]&gt;Table1[[#This Row],[Target]]),1,0)</f>
        <v>0</v>
      </c>
      <c r="R978" s="4">
        <f>IF(Table1[[#This Row],[Target]]&gt;=Table1[[#This Row],[Last value]],1,0)</f>
        <v>1</v>
      </c>
      <c r="S978" s="4" t="str">
        <f t="shared" si="26"/>
        <v>Green</v>
      </c>
      <c r="T978">
        <v>1.35</v>
      </c>
      <c r="U978">
        <v>1.58</v>
      </c>
      <c r="V978">
        <v>2.97</v>
      </c>
      <c r="W978">
        <v>2.0699999999999998</v>
      </c>
      <c r="X978">
        <v>0</v>
      </c>
      <c r="Y978">
        <v>1.37</v>
      </c>
      <c r="Z978">
        <v>0</v>
      </c>
      <c r="AA978">
        <v>0</v>
      </c>
      <c r="AB978">
        <v>1.5</v>
      </c>
      <c r="AC978">
        <v>1.6</v>
      </c>
      <c r="AD978">
        <v>0.4</v>
      </c>
      <c r="AE978">
        <v>1.9</v>
      </c>
      <c r="AF978">
        <v>1.1000000000000001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2.1</v>
      </c>
      <c r="AN978">
        <v>0</v>
      </c>
      <c r="AO978">
        <v>1.3</v>
      </c>
      <c r="AP978">
        <v>0</v>
      </c>
      <c r="AQ978">
        <v>1.61</v>
      </c>
      <c r="AR978" s="8">
        <v>1.26</v>
      </c>
      <c r="AS978" s="8">
        <v>0</v>
      </c>
      <c r="AT978" s="8">
        <v>1.87</v>
      </c>
      <c r="AU978" s="3">
        <v>1.1499999999999999</v>
      </c>
      <c r="AV978" s="3">
        <v>1.7</v>
      </c>
      <c r="AW978" s="3">
        <v>0</v>
      </c>
      <c r="AX978" s="3">
        <v>0</v>
      </c>
      <c r="AY978" s="3">
        <v>2.99</v>
      </c>
      <c r="AZ978" s="3">
        <v>1.1200000000000001</v>
      </c>
      <c r="BA978" s="3">
        <v>2</v>
      </c>
      <c r="BB978" s="3">
        <v>0</v>
      </c>
      <c r="BC978">
        <v>1.8</v>
      </c>
      <c r="BD978">
        <v>0</v>
      </c>
      <c r="BE978" s="11">
        <v>1.4179999999999999</v>
      </c>
      <c r="BF978" s="4">
        <v>1.0860000000000001</v>
      </c>
      <c r="BG978" s="4">
        <v>1.0369999999999999</v>
      </c>
      <c r="BH978" s="4">
        <v>0</v>
      </c>
      <c r="BI978" s="4">
        <v>1.319</v>
      </c>
      <c r="BJ978" s="13">
        <v>0</v>
      </c>
      <c r="BK978" s="13">
        <v>0</v>
      </c>
      <c r="BL978" s="4">
        <v>0</v>
      </c>
      <c r="BM978" s="16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1.8180000000000001</v>
      </c>
      <c r="BS978" s="4">
        <v>0</v>
      </c>
      <c r="BT978" s="4">
        <v>0</v>
      </c>
      <c r="BU978" s="4">
        <v>0.95199999999999996</v>
      </c>
      <c r="BV978" s="4">
        <v>0</v>
      </c>
      <c r="BW978" s="4">
        <v>0</v>
      </c>
      <c r="BX978" s="4">
        <v>1.385</v>
      </c>
      <c r="BY978" s="4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 s="4">
        <v>0</v>
      </c>
      <c r="CH978" s="4">
        <v>0</v>
      </c>
      <c r="CI978" s="4">
        <v>0</v>
      </c>
      <c r="CJ978" s="34">
        <v>0</v>
      </c>
      <c r="CK978" s="34">
        <v>0</v>
      </c>
      <c r="CL978" s="34">
        <v>0</v>
      </c>
      <c r="CM978" s="4">
        <v>0</v>
      </c>
      <c r="CN978" s="53">
        <v>0</v>
      </c>
      <c r="CO978" s="54">
        <v>0</v>
      </c>
      <c r="CP978" s="54">
        <v>0</v>
      </c>
      <c r="CQ978" s="4">
        <v>0</v>
      </c>
    </row>
    <row r="979" spans="1:95" x14ac:dyDescent="0.35">
      <c r="A979" s="55">
        <v>978</v>
      </c>
      <c r="B979" t="s">
        <v>120</v>
      </c>
      <c r="C979" s="27" t="s">
        <v>1059</v>
      </c>
      <c r="D979" s="3" t="s">
        <v>94</v>
      </c>
      <c r="E979" s="33" t="s">
        <v>91</v>
      </c>
      <c r="F979" s="4">
        <f>IFERROR(AVERAGEIF(Table1[[#This Row],[2019-Apr]:[2025-July]],"&lt;&gt;0"),0)</f>
        <v>1.7166428571428571</v>
      </c>
      <c r="G979" s="4">
        <f ca="1">IFERROR(AVERAGEIF(OFFSET(Table1[[#This Row],[Status]],0,COUNT(Table1[[#This Row],[2019-May]:[2025-July]]),1,-12),"&lt;&gt;0"),0)</f>
        <v>0</v>
      </c>
      <c r="H979" s="55">
        <f>IFERROR(SMALL(Table1[[#This Row],[2019-Apr]:[2025-July]],COUNTIF(Table1[[#This Row],[2019-Apr]:[2025-July]],0)+1),0)</f>
        <v>0.4</v>
      </c>
      <c r="I979" s="56">
        <f>IFERROR(MAX(Table1[[#This Row],[2019-Apr]:[2025-July]]),0)</f>
        <v>3.609</v>
      </c>
      <c r="J979" s="4" cm="1">
        <f t="array" ref="J97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0.97316666666666674</v>
      </c>
      <c r="K979" s="4">
        <v>4.5</v>
      </c>
      <c r="L979" s="4">
        <f>IF(Table1[[#This Row],[Standard as per ISO]]&gt;=Table1[[#This Row],[Avg of best 6]],Table1[[#This Row],[Standard as per ISO]],Table1[[#This Row],[Avg of best 6]])</f>
        <v>4.5</v>
      </c>
      <c r="M979" s="4" cm="1">
        <f t="array" ref="M979">IFERROR(LOOKUP(2,1/(Table1[[#This Row],[2019-May]:[2025-July]]&lt;&gt;0),Table1[[#This Row],[2019-May]:[2025-July]]),0)</f>
        <v>2.8660000000000001</v>
      </c>
      <c r="N979" s="4">
        <f>COUNTIF(Table1[[#This Row],[2019-Apr]:[2025-July]],"&gt;="&amp;Table1[[#This Row],[Target]])</f>
        <v>0</v>
      </c>
      <c r="O979" s="4">
        <f>IF(Table1[[#This Row],[Outliers 2Y]]=0,1,0)</f>
        <v>1</v>
      </c>
      <c r="P979" s="4">
        <f>IF(Table1[[#This Row],[Last value]]&gt;1.5*Table1[[#This Row],[Target]],1,0)</f>
        <v>0</v>
      </c>
      <c r="Q979" s="4">
        <f>IF(AND(1.5*Table1[[#This Row],[Target]]&gt;=Table1[[#This Row],[Last value]],Table1[[#This Row],[Last value]]&gt;Table1[[#This Row],[Target]]),1,0)</f>
        <v>0</v>
      </c>
      <c r="R979" s="4">
        <f>IF(Table1[[#This Row],[Target]]&gt;=Table1[[#This Row],[Last value]],1,0)</f>
        <v>1</v>
      </c>
      <c r="S979" s="4" t="str">
        <f t="shared" si="26"/>
        <v>Green</v>
      </c>
      <c r="T979">
        <v>1.57</v>
      </c>
      <c r="U979">
        <v>1.45</v>
      </c>
      <c r="V979">
        <v>1.4</v>
      </c>
      <c r="W979">
        <v>2.21</v>
      </c>
      <c r="X979">
        <v>0</v>
      </c>
      <c r="Y979">
        <v>1.46</v>
      </c>
      <c r="Z979">
        <v>0</v>
      </c>
      <c r="AA979">
        <v>0</v>
      </c>
      <c r="AB979">
        <v>1.1000000000000001</v>
      </c>
      <c r="AC979">
        <v>1.8</v>
      </c>
      <c r="AD979">
        <v>0.4</v>
      </c>
      <c r="AE979">
        <v>1.66</v>
      </c>
      <c r="AF979">
        <v>1.5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1.58</v>
      </c>
      <c r="AN979">
        <v>1.5</v>
      </c>
      <c r="AO979">
        <v>0.94</v>
      </c>
      <c r="AP979">
        <v>1.1000000000000001</v>
      </c>
      <c r="AQ979">
        <v>0</v>
      </c>
      <c r="AR979" s="8">
        <v>0</v>
      </c>
      <c r="AS979" s="8">
        <v>1.22</v>
      </c>
      <c r="AT979" s="8">
        <v>1.57</v>
      </c>
      <c r="AU979" s="3">
        <v>0</v>
      </c>
      <c r="AV979" s="3">
        <v>1.6</v>
      </c>
      <c r="AW979" s="3">
        <v>1.17</v>
      </c>
      <c r="AX979" s="3">
        <v>1.54</v>
      </c>
      <c r="AY979" s="3">
        <v>0</v>
      </c>
      <c r="AZ979" s="3">
        <v>3.06</v>
      </c>
      <c r="BA979" s="3">
        <v>0</v>
      </c>
      <c r="BB979" s="3">
        <v>2.7</v>
      </c>
      <c r="BC979">
        <v>1.7</v>
      </c>
      <c r="BD979">
        <v>0</v>
      </c>
      <c r="BE979" s="11">
        <v>1.3049999999999999</v>
      </c>
      <c r="BF979" s="4">
        <v>1.129</v>
      </c>
      <c r="BG979" s="4">
        <v>2.9729999999999999</v>
      </c>
      <c r="BH979" s="4">
        <v>0</v>
      </c>
      <c r="BI979" s="4">
        <v>1.954</v>
      </c>
      <c r="BJ979" s="14">
        <v>0</v>
      </c>
      <c r="BK979" s="14">
        <v>0</v>
      </c>
      <c r="BL979" s="4">
        <v>0</v>
      </c>
      <c r="BM979" s="17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3.609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2.8660000000000001</v>
      </c>
      <c r="BY979" s="4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 s="4">
        <v>0</v>
      </c>
      <c r="CH979" s="4">
        <v>0</v>
      </c>
      <c r="CI979" s="4">
        <v>0</v>
      </c>
      <c r="CJ979" s="34">
        <v>0</v>
      </c>
      <c r="CK979" s="34">
        <v>0</v>
      </c>
      <c r="CL979" s="34">
        <v>0</v>
      </c>
      <c r="CM979" s="4">
        <v>0</v>
      </c>
      <c r="CN979" s="53">
        <v>0</v>
      </c>
      <c r="CO979" s="54">
        <v>0</v>
      </c>
      <c r="CP979" s="54">
        <v>0</v>
      </c>
      <c r="CQ979" s="4">
        <v>0</v>
      </c>
    </row>
    <row r="980" spans="1:95" x14ac:dyDescent="0.35">
      <c r="A980" s="55">
        <v>979</v>
      </c>
      <c r="B980" t="s">
        <v>120</v>
      </c>
      <c r="C980" s="27" t="s">
        <v>1060</v>
      </c>
      <c r="D980" s="3" t="s">
        <v>94</v>
      </c>
      <c r="E980" s="33" t="s">
        <v>91</v>
      </c>
      <c r="F980" s="4">
        <f>IFERROR(AVERAGEIF(Table1[[#This Row],[2019-Apr]:[2025-July]],"&lt;&gt;0"),0)</f>
        <v>3.1950000000000003</v>
      </c>
      <c r="G980" s="4">
        <f ca="1">IFERROR(AVERAGEIF(OFFSET(Table1[[#This Row],[Status]],0,COUNT(Table1[[#This Row],[2019-May]:[2025-July]]),1,-12),"&lt;&gt;0"),0)</f>
        <v>0</v>
      </c>
      <c r="H980" s="55">
        <f>IFERROR(SMALL(Table1[[#This Row],[2019-Apr]:[2025-July]],COUNTIF(Table1[[#This Row],[2019-Apr]:[2025-July]],0)+1),0)</f>
        <v>2.7</v>
      </c>
      <c r="I980" s="56">
        <f>IFERROR(MAX(Table1[[#This Row],[2019-Apr]:[2025-July]]),0)</f>
        <v>3.69</v>
      </c>
      <c r="J980" s="4" cm="1">
        <f t="array" ref="J98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3.1950000000000003</v>
      </c>
      <c r="K980" s="4">
        <v>4.5</v>
      </c>
      <c r="L980" s="4">
        <f>IF(Table1[[#This Row],[Standard as per ISO]]&gt;=Table1[[#This Row],[Avg of best 6]],Table1[[#This Row],[Standard as per ISO]],Table1[[#This Row],[Avg of best 6]])</f>
        <v>4.5</v>
      </c>
      <c r="M980" s="4" cm="1">
        <f t="array" ref="M980">IFERROR(LOOKUP(2,1/(Table1[[#This Row],[2019-May]:[2025-July]]&lt;&gt;0),Table1[[#This Row],[2019-May]:[2025-July]]),0)</f>
        <v>3.69</v>
      </c>
      <c r="N980" s="4">
        <f>COUNTIF(Table1[[#This Row],[2019-Apr]:[2025-July]],"&gt;="&amp;Table1[[#This Row],[Target]])</f>
        <v>0</v>
      </c>
      <c r="O980" s="4">
        <f>IF(Table1[[#This Row],[Outliers 2Y]]=0,1,0)</f>
        <v>1</v>
      </c>
      <c r="P980" s="4">
        <f>IF(Table1[[#This Row],[Last value]]&gt;1.5*Table1[[#This Row],[Target]],1,0)</f>
        <v>0</v>
      </c>
      <c r="Q980" s="4">
        <f>IF(AND(1.5*Table1[[#This Row],[Target]]&gt;=Table1[[#This Row],[Last value]],Table1[[#This Row],[Last value]]&gt;Table1[[#This Row],[Target]]),1,0)</f>
        <v>0</v>
      </c>
      <c r="R980" s="4">
        <f>IF(Table1[[#This Row],[Target]]&gt;=Table1[[#This Row],[Last value]],1,0)</f>
        <v>1</v>
      </c>
      <c r="S980" s="4" t="str">
        <f t="shared" si="26"/>
        <v>Green</v>
      </c>
      <c r="T980">
        <v>0</v>
      </c>
      <c r="U980">
        <v>0</v>
      </c>
      <c r="V980">
        <v>0</v>
      </c>
      <c r="W980">
        <v>2.7</v>
      </c>
      <c r="X980">
        <v>0</v>
      </c>
      <c r="Y980">
        <v>0</v>
      </c>
      <c r="Z980">
        <v>3.69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 s="8">
        <v>0</v>
      </c>
      <c r="AS980" s="8">
        <v>0</v>
      </c>
      <c r="AT980" s="8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>
        <v>0</v>
      </c>
      <c r="BE980" s="11">
        <v>0</v>
      </c>
      <c r="BF980" s="4">
        <v>0</v>
      </c>
      <c r="BG980" s="4">
        <v>0</v>
      </c>
      <c r="BH980" s="4">
        <v>0</v>
      </c>
      <c r="BI980" s="4">
        <v>0</v>
      </c>
      <c r="BJ980" s="13">
        <v>0</v>
      </c>
      <c r="BK980" s="13">
        <v>0</v>
      </c>
      <c r="BL980" s="4">
        <v>0</v>
      </c>
      <c r="BM980" s="16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 s="4">
        <v>0</v>
      </c>
      <c r="CH980" s="4">
        <v>0</v>
      </c>
      <c r="CI980" s="4">
        <v>0</v>
      </c>
      <c r="CJ980" s="34">
        <v>0</v>
      </c>
      <c r="CK980" s="34">
        <v>0</v>
      </c>
      <c r="CL980" s="34">
        <v>0</v>
      </c>
      <c r="CM980" s="4">
        <v>0</v>
      </c>
      <c r="CN980" s="53">
        <v>0</v>
      </c>
      <c r="CO980" s="54">
        <v>0</v>
      </c>
      <c r="CP980" s="54">
        <v>0</v>
      </c>
      <c r="CQ980" s="4">
        <v>0</v>
      </c>
    </row>
    <row r="981" spans="1:95" x14ac:dyDescent="0.35">
      <c r="A981" s="55">
        <v>980</v>
      </c>
      <c r="B981" t="s">
        <v>120</v>
      </c>
      <c r="C981" s="27" t="s">
        <v>1061</v>
      </c>
      <c r="D981" s="3" t="s">
        <v>94</v>
      </c>
      <c r="E981" s="33" t="s">
        <v>91</v>
      </c>
      <c r="F981" s="4">
        <f>IFERROR(AVERAGEIF(Table1[[#This Row],[2019-Apr]:[2025-July]],"&lt;&gt;0"),0)</f>
        <v>0</v>
      </c>
      <c r="G981" s="4">
        <f ca="1">IFERROR(AVERAGEIF(OFFSET(Table1[[#This Row],[Status]],0,COUNT(Table1[[#This Row],[2019-May]:[2025-July]]),1,-12),"&lt;&gt;0"),0)</f>
        <v>0</v>
      </c>
      <c r="H981" s="55">
        <f>IFERROR(SMALL(Table1[[#This Row],[2019-Apr]:[2025-July]],COUNTIF(Table1[[#This Row],[2019-Apr]:[2025-July]],0)+1),0)</f>
        <v>0</v>
      </c>
      <c r="I981" s="56">
        <f>IFERROR(MAX(Table1[[#This Row],[2019-Apr]:[2025-July]]),0)</f>
        <v>0</v>
      </c>
      <c r="J981" s="4" cm="1">
        <f t="array" ref="J98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981" s="4">
        <v>4.5</v>
      </c>
      <c r="L981" s="4">
        <f>IF(Table1[[#This Row],[Standard as per ISO]]&gt;=Table1[[#This Row],[Avg of best 6]],Table1[[#This Row],[Standard as per ISO]],Table1[[#This Row],[Avg of best 6]])</f>
        <v>4.5</v>
      </c>
      <c r="M981" s="4" cm="1">
        <f t="array" ref="M981">IFERROR(LOOKUP(2,1/(Table1[[#This Row],[2019-May]:[2025-July]]&lt;&gt;0),Table1[[#This Row],[2019-May]:[2025-July]]),0)</f>
        <v>0</v>
      </c>
      <c r="N981" s="4">
        <f>COUNTIF(Table1[[#This Row],[2019-Apr]:[2025-July]],"&gt;="&amp;Table1[[#This Row],[Target]])</f>
        <v>0</v>
      </c>
      <c r="O981" s="4">
        <f>IF(Table1[[#This Row],[Outliers 2Y]]=0,1,0)</f>
        <v>1</v>
      </c>
      <c r="P981" s="4">
        <f>IF(Table1[[#This Row],[Last value]]&gt;1.5*Table1[[#This Row],[Target]],1,0)</f>
        <v>0</v>
      </c>
      <c r="Q981" s="4">
        <f>IF(AND(1.5*Table1[[#This Row],[Target]]&gt;=Table1[[#This Row],[Last value]],Table1[[#This Row],[Last value]]&gt;Table1[[#This Row],[Target]]),1,0)</f>
        <v>0</v>
      </c>
      <c r="R981" s="4">
        <f>IF(Table1[[#This Row],[Target]]&gt;=Table1[[#This Row],[Last value]],1,0)</f>
        <v>1</v>
      </c>
      <c r="S981" s="4" t="str">
        <f t="shared" si="26"/>
        <v>Green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 s="8">
        <v>0</v>
      </c>
      <c r="AS981" s="8">
        <v>0</v>
      </c>
      <c r="AT981" s="8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>
        <v>0</v>
      </c>
      <c r="BE981" s="11">
        <v>0</v>
      </c>
      <c r="BF981" s="4">
        <v>0</v>
      </c>
      <c r="BG981" s="4">
        <v>0</v>
      </c>
      <c r="BH981" s="4">
        <v>0</v>
      </c>
      <c r="BI981" s="4">
        <v>0</v>
      </c>
      <c r="BJ981" s="14">
        <v>0</v>
      </c>
      <c r="BK981" s="14">
        <v>0</v>
      </c>
      <c r="BL981" s="4">
        <v>0</v>
      </c>
      <c r="BM981" s="17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 s="4">
        <v>0</v>
      </c>
      <c r="CH981" s="4">
        <v>0</v>
      </c>
      <c r="CI981" s="4">
        <v>0</v>
      </c>
      <c r="CJ981" s="34">
        <v>0</v>
      </c>
      <c r="CK981" s="34">
        <v>0</v>
      </c>
      <c r="CL981" s="34">
        <v>0</v>
      </c>
      <c r="CM981" s="4">
        <v>0</v>
      </c>
      <c r="CN981" s="53">
        <v>0</v>
      </c>
      <c r="CO981" s="54">
        <v>0</v>
      </c>
      <c r="CP981" s="54">
        <v>0</v>
      </c>
      <c r="CQ981" s="4">
        <v>0</v>
      </c>
    </row>
    <row r="982" spans="1:95" x14ac:dyDescent="0.35">
      <c r="A982" s="55">
        <v>981</v>
      </c>
      <c r="B982" t="s">
        <v>120</v>
      </c>
      <c r="C982" s="27" t="s">
        <v>1062</v>
      </c>
      <c r="D982" s="3" t="s">
        <v>94</v>
      </c>
      <c r="E982" s="33" t="s">
        <v>91</v>
      </c>
      <c r="F982" s="4">
        <f>IFERROR(AVERAGEIF(Table1[[#This Row],[2019-Apr]:[2025-July]],"&lt;&gt;0"),0)</f>
        <v>3.5750000000000002</v>
      </c>
      <c r="G982" s="4">
        <f ca="1">IFERROR(AVERAGEIF(OFFSET(Table1[[#This Row],[Status]],0,COUNT(Table1[[#This Row],[2019-May]:[2025-July]]),1,-12),"&lt;&gt;0"),0)</f>
        <v>0</v>
      </c>
      <c r="H982" s="55">
        <f>IFERROR(SMALL(Table1[[#This Row],[2019-Apr]:[2025-July]],COUNTIF(Table1[[#This Row],[2019-Apr]:[2025-July]],0)+1),0)</f>
        <v>2.86</v>
      </c>
      <c r="I982" s="56">
        <f>IFERROR(MAX(Table1[[#This Row],[2019-Apr]:[2025-July]]),0)</f>
        <v>4.29</v>
      </c>
      <c r="J982" s="4" cm="1">
        <f t="array" ref="J98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2.86</v>
      </c>
      <c r="K982" s="4">
        <v>4.5</v>
      </c>
      <c r="L982" s="4">
        <f>IF(Table1[[#This Row],[Standard as per ISO]]&gt;=Table1[[#This Row],[Avg of best 6]],Table1[[#This Row],[Standard as per ISO]],Table1[[#This Row],[Avg of best 6]])</f>
        <v>4.5</v>
      </c>
      <c r="M982" s="4" cm="1">
        <f t="array" ref="M982">IFERROR(LOOKUP(2,1/(Table1[[#This Row],[2019-May]:[2025-July]]&lt;&gt;0),Table1[[#This Row],[2019-May]:[2025-July]]),0)</f>
        <v>2.86</v>
      </c>
      <c r="N982" s="4">
        <f>COUNTIF(Table1[[#This Row],[2019-Apr]:[2025-July]],"&gt;="&amp;Table1[[#This Row],[Target]])</f>
        <v>0</v>
      </c>
      <c r="O982" s="4">
        <f>IF(Table1[[#This Row],[Outliers 2Y]]=0,1,0)</f>
        <v>1</v>
      </c>
      <c r="P982" s="4">
        <f>IF(Table1[[#This Row],[Last value]]&gt;1.5*Table1[[#This Row],[Target]],1,0)</f>
        <v>0</v>
      </c>
      <c r="Q982" s="4">
        <f>IF(AND(1.5*Table1[[#This Row],[Target]]&gt;=Table1[[#This Row],[Last value]],Table1[[#This Row],[Last value]]&gt;Table1[[#This Row],[Target]]),1,0)</f>
        <v>0</v>
      </c>
      <c r="R982" s="4">
        <f>IF(Table1[[#This Row],[Target]]&gt;=Table1[[#This Row],[Last value]],1,0)</f>
        <v>1</v>
      </c>
      <c r="S982" s="4" t="str">
        <f t="shared" si="26"/>
        <v>Green</v>
      </c>
      <c r="T982">
        <v>4.29</v>
      </c>
      <c r="U982">
        <v>0</v>
      </c>
      <c r="V982">
        <v>0</v>
      </c>
      <c r="W982">
        <v>0</v>
      </c>
      <c r="X982">
        <v>0</v>
      </c>
      <c r="Y982">
        <v>2.86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 s="8">
        <v>0</v>
      </c>
      <c r="AS982" s="8">
        <v>0</v>
      </c>
      <c r="AT982" s="8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>
        <v>0</v>
      </c>
      <c r="BE982" s="11">
        <v>0</v>
      </c>
      <c r="BF982" s="4">
        <v>0</v>
      </c>
      <c r="BG982" s="4">
        <v>0</v>
      </c>
      <c r="BH982" s="4">
        <v>0</v>
      </c>
      <c r="BI982" s="4">
        <v>0</v>
      </c>
      <c r="BJ982" s="13">
        <v>0</v>
      </c>
      <c r="BK982" s="13">
        <v>0</v>
      </c>
      <c r="BL982" s="4">
        <v>0</v>
      </c>
      <c r="BM982" s="16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 s="4">
        <v>0</v>
      </c>
      <c r="CH982" s="4">
        <v>0</v>
      </c>
      <c r="CI982" s="4">
        <v>0</v>
      </c>
      <c r="CJ982" s="34">
        <v>0</v>
      </c>
      <c r="CK982" s="34">
        <v>0</v>
      </c>
      <c r="CL982" s="34">
        <v>0</v>
      </c>
      <c r="CM982" s="4">
        <v>0</v>
      </c>
      <c r="CN982" s="53">
        <v>0</v>
      </c>
      <c r="CO982" s="54">
        <v>0</v>
      </c>
      <c r="CP982" s="54">
        <v>0</v>
      </c>
      <c r="CQ982" s="4">
        <v>0</v>
      </c>
    </row>
    <row r="983" spans="1:95" x14ac:dyDescent="0.35">
      <c r="A983" s="55">
        <v>982</v>
      </c>
      <c r="B983" t="s">
        <v>120</v>
      </c>
      <c r="C983" s="27" t="s">
        <v>1063</v>
      </c>
      <c r="D983" s="3" t="s">
        <v>94</v>
      </c>
      <c r="E983" s="33" t="s">
        <v>95</v>
      </c>
      <c r="F983" s="4">
        <f>IFERROR(AVERAGEIF(Table1[[#This Row],[2019-Apr]:[2025-July]],"&lt;&gt;0"),0)</f>
        <v>0</v>
      </c>
      <c r="G983" s="4">
        <f ca="1">IFERROR(AVERAGEIF(OFFSET(Table1[[#This Row],[Status]],0,COUNT(Table1[[#This Row],[2019-May]:[2025-July]]),1,-12),"&lt;&gt;0"),0)</f>
        <v>0</v>
      </c>
      <c r="H983" s="55">
        <f>IFERROR(SMALL(Table1[[#This Row],[2019-Apr]:[2025-July]],COUNTIF(Table1[[#This Row],[2019-Apr]:[2025-July]],0)+1),0)</f>
        <v>0</v>
      </c>
      <c r="I983" s="56">
        <f>IFERROR(MAX(Table1[[#This Row],[2019-Apr]:[2025-July]]),0)</f>
        <v>0</v>
      </c>
      <c r="J983" s="4" cm="1">
        <f t="array" ref="J98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983" s="4">
        <v>4.5</v>
      </c>
      <c r="L983" s="4">
        <f>IF(Table1[[#This Row],[Standard as per ISO]]&gt;=Table1[[#This Row],[Avg of best 6]],Table1[[#This Row],[Standard as per ISO]],Table1[[#This Row],[Avg of best 6]])</f>
        <v>4.5</v>
      </c>
      <c r="M983" s="4" cm="1">
        <f t="array" ref="M983">IFERROR(LOOKUP(2,1/(Table1[[#This Row],[2019-May]:[2025-July]]&lt;&gt;0),Table1[[#This Row],[2019-May]:[2025-July]]),0)</f>
        <v>0</v>
      </c>
      <c r="N983" s="4">
        <f>COUNTIF(Table1[[#This Row],[2019-Apr]:[2025-July]],"&gt;="&amp;Table1[[#This Row],[Target]])</f>
        <v>0</v>
      </c>
      <c r="O983" s="4">
        <f>IF(Table1[[#This Row],[Outliers 2Y]]=0,1,0)</f>
        <v>1</v>
      </c>
      <c r="P983" s="4">
        <f>IF(Table1[[#This Row],[Last value]]&gt;1.5*Table1[[#This Row],[Target]],1,0)</f>
        <v>0</v>
      </c>
      <c r="Q983" s="4">
        <f>IF(AND(1.5*Table1[[#This Row],[Target]]&gt;=Table1[[#This Row],[Last value]],Table1[[#This Row],[Last value]]&gt;Table1[[#This Row],[Target]]),1,0)</f>
        <v>0</v>
      </c>
      <c r="R983" s="4">
        <f>IF(Table1[[#This Row],[Target]]&gt;=Table1[[#This Row],[Last value]],1,0)</f>
        <v>1</v>
      </c>
      <c r="S983" s="4" t="str">
        <f t="shared" si="26"/>
        <v>Green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 s="8">
        <v>0</v>
      </c>
      <c r="AS983" s="8">
        <v>0</v>
      </c>
      <c r="AT983" s="8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>
        <v>0</v>
      </c>
      <c r="BE983" s="11">
        <v>0</v>
      </c>
      <c r="BF983" s="4">
        <v>0</v>
      </c>
      <c r="BG983" s="4">
        <v>0</v>
      </c>
      <c r="BH983" s="4">
        <v>0</v>
      </c>
      <c r="BI983" s="4">
        <v>0</v>
      </c>
      <c r="BJ983" s="14">
        <v>0</v>
      </c>
      <c r="BK983" s="14">
        <v>0</v>
      </c>
      <c r="BL983" s="4">
        <v>0</v>
      </c>
      <c r="BM983" s="17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 s="4">
        <v>0</v>
      </c>
      <c r="CH983" s="4">
        <v>0</v>
      </c>
      <c r="CI983" s="4">
        <v>0</v>
      </c>
      <c r="CJ983" s="34">
        <v>0</v>
      </c>
      <c r="CK983" s="34">
        <v>0</v>
      </c>
      <c r="CL983" s="34">
        <v>0</v>
      </c>
      <c r="CM983" s="4">
        <v>0</v>
      </c>
      <c r="CN983" s="53">
        <v>0</v>
      </c>
      <c r="CO983" s="54">
        <v>0</v>
      </c>
      <c r="CP983" s="54">
        <v>0</v>
      </c>
      <c r="CQ983" s="4">
        <v>0</v>
      </c>
    </row>
    <row r="984" spans="1:95" x14ac:dyDescent="0.35">
      <c r="A984" s="55">
        <v>983</v>
      </c>
      <c r="B984" t="s">
        <v>120</v>
      </c>
      <c r="C984" s="27" t="s">
        <v>1064</v>
      </c>
      <c r="D984" s="3" t="s">
        <v>94</v>
      </c>
      <c r="E984" s="33" t="s">
        <v>95</v>
      </c>
      <c r="F984" s="4">
        <f>IFERROR(AVERAGEIF(Table1[[#This Row],[2019-Apr]:[2025-July]],"&lt;&gt;0"),0)</f>
        <v>0</v>
      </c>
      <c r="G984" s="4">
        <f ca="1">IFERROR(AVERAGEIF(OFFSET(Table1[[#This Row],[Status]],0,COUNT(Table1[[#This Row],[2019-May]:[2025-July]]),1,-12),"&lt;&gt;0"),0)</f>
        <v>0</v>
      </c>
      <c r="H984" s="55">
        <f>IFERROR(SMALL(Table1[[#This Row],[2019-Apr]:[2025-July]],COUNTIF(Table1[[#This Row],[2019-Apr]:[2025-July]],0)+1),0)</f>
        <v>0</v>
      </c>
      <c r="I984" s="56">
        <f>IFERROR(MAX(Table1[[#This Row],[2019-Apr]:[2025-July]]),0)</f>
        <v>0</v>
      </c>
      <c r="J984" s="4" cm="1">
        <f t="array" ref="J98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984" s="4">
        <v>4.5</v>
      </c>
      <c r="L984" s="4">
        <f>IF(Table1[[#This Row],[Standard as per ISO]]&gt;=Table1[[#This Row],[Avg of best 6]],Table1[[#This Row],[Standard as per ISO]],Table1[[#This Row],[Avg of best 6]])</f>
        <v>4.5</v>
      </c>
      <c r="M984" s="4" cm="1">
        <f t="array" ref="M984">IFERROR(LOOKUP(2,1/(Table1[[#This Row],[2019-May]:[2025-July]]&lt;&gt;0),Table1[[#This Row],[2019-May]:[2025-July]]),0)</f>
        <v>0</v>
      </c>
      <c r="N984" s="4">
        <f>COUNTIF(Table1[[#This Row],[2019-Apr]:[2025-July]],"&gt;="&amp;Table1[[#This Row],[Target]])</f>
        <v>0</v>
      </c>
      <c r="O984" s="4">
        <f>IF(Table1[[#This Row],[Outliers 2Y]]=0,1,0)</f>
        <v>1</v>
      </c>
      <c r="P984" s="4">
        <f>IF(Table1[[#This Row],[Last value]]&gt;1.5*Table1[[#This Row],[Target]],1,0)</f>
        <v>0</v>
      </c>
      <c r="Q984" s="4">
        <f>IF(AND(1.5*Table1[[#This Row],[Target]]&gt;=Table1[[#This Row],[Last value]],Table1[[#This Row],[Last value]]&gt;Table1[[#This Row],[Target]]),1,0)</f>
        <v>0</v>
      </c>
      <c r="R984" s="4">
        <f>IF(Table1[[#This Row],[Target]]&gt;=Table1[[#This Row],[Last value]],1,0)</f>
        <v>1</v>
      </c>
      <c r="S984" s="4" t="str">
        <f t="shared" si="26"/>
        <v>Green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 s="8">
        <v>0</v>
      </c>
      <c r="AS984" s="8">
        <v>0</v>
      </c>
      <c r="AT984" s="8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>
        <v>0</v>
      </c>
      <c r="BE984" s="11">
        <v>0</v>
      </c>
      <c r="BF984" s="4">
        <v>0</v>
      </c>
      <c r="BG984" s="4">
        <v>0</v>
      </c>
      <c r="BH984" s="4">
        <v>0</v>
      </c>
      <c r="BI984" s="4">
        <v>0</v>
      </c>
      <c r="BJ984" s="13">
        <v>0</v>
      </c>
      <c r="BK984" s="13">
        <v>0</v>
      </c>
      <c r="BL984" s="4">
        <v>0</v>
      </c>
      <c r="BM984" s="16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 s="4">
        <v>0</v>
      </c>
      <c r="CH984" s="4">
        <v>0</v>
      </c>
      <c r="CI984" s="4">
        <v>0</v>
      </c>
      <c r="CJ984" s="34">
        <v>0</v>
      </c>
      <c r="CK984" s="34">
        <v>0</v>
      </c>
      <c r="CL984" s="34">
        <v>0</v>
      </c>
      <c r="CM984" s="4">
        <v>0</v>
      </c>
      <c r="CN984" s="53">
        <v>0</v>
      </c>
      <c r="CO984" s="54">
        <v>0</v>
      </c>
      <c r="CP984" s="54">
        <v>0</v>
      </c>
      <c r="CQ984" s="4">
        <v>0</v>
      </c>
    </row>
    <row r="985" spans="1:95" x14ac:dyDescent="0.35">
      <c r="A985" s="55">
        <v>984</v>
      </c>
      <c r="B985" t="s">
        <v>120</v>
      </c>
      <c r="C985" s="27" t="s">
        <v>1065</v>
      </c>
      <c r="D985" s="3" t="s">
        <v>94</v>
      </c>
      <c r="E985" s="33" t="s">
        <v>95</v>
      </c>
      <c r="F985" s="4">
        <f>IFERROR(AVERAGEIF(Table1[[#This Row],[2019-Apr]:[2025-July]],"&lt;&gt;0"),0)</f>
        <v>6.1693636363636379</v>
      </c>
      <c r="G985" s="4">
        <f ca="1">IFERROR(AVERAGEIF(OFFSET(Table1[[#This Row],[Status]],0,COUNT(Table1[[#This Row],[2019-May]:[2025-July]]),1,-12),"&lt;&gt;0"),0)</f>
        <v>0</v>
      </c>
      <c r="H985" s="55">
        <f>IFERROR(SMALL(Table1[[#This Row],[2019-Apr]:[2025-July]],COUNTIF(Table1[[#This Row],[2019-Apr]:[2025-July]],0)+1),0)</f>
        <v>1.93</v>
      </c>
      <c r="I985" s="56">
        <f>IFERROR(MAX(Table1[[#This Row],[2019-Apr]:[2025-July]]),0)</f>
        <v>9.1999999999999993</v>
      </c>
      <c r="J985" s="4" cm="1">
        <f t="array" ref="J98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3.6666666666666665</v>
      </c>
      <c r="K985" s="4">
        <v>4.5</v>
      </c>
      <c r="L985" s="4">
        <f>IF(Table1[[#This Row],[Standard as per ISO]]&gt;=Table1[[#This Row],[Avg of best 6]],Table1[[#This Row],[Standard as per ISO]],Table1[[#This Row],[Avg of best 6]])</f>
        <v>4.5</v>
      </c>
      <c r="M985" s="4" cm="1">
        <f t="array" ref="M985">IFERROR(LOOKUP(2,1/(Table1[[#This Row],[2019-May]:[2025-July]]&lt;&gt;0),Table1[[#This Row],[2019-May]:[2025-July]]),0)</f>
        <v>7.7549999999999999</v>
      </c>
      <c r="N985" s="4">
        <f>COUNTIF(Table1[[#This Row],[2019-Apr]:[2025-July]],"&gt;="&amp;Table1[[#This Row],[Target]])</f>
        <v>16</v>
      </c>
      <c r="O985" s="4">
        <f>IF(Table1[[#This Row],[Outliers 2Y]]=0,1,0)</f>
        <v>0</v>
      </c>
      <c r="P985" s="4">
        <f>IF(Table1[[#This Row],[Last value]]&gt;1.5*Table1[[#This Row],[Target]],1,0)</f>
        <v>1</v>
      </c>
      <c r="Q985" s="4">
        <f>IF(AND(1.5*Table1[[#This Row],[Target]]&gt;=Table1[[#This Row],[Last value]],Table1[[#This Row],[Last value]]&gt;Table1[[#This Row],[Target]]),1,0)</f>
        <v>0</v>
      </c>
      <c r="R985" s="4">
        <f>IF(Table1[[#This Row],[Target]]&gt;=Table1[[#This Row],[Last value]],1,0)</f>
        <v>0</v>
      </c>
      <c r="S985" s="4" t="str">
        <f t="shared" si="26"/>
        <v>Red</v>
      </c>
      <c r="T985">
        <v>1.93</v>
      </c>
      <c r="U985">
        <v>0</v>
      </c>
      <c r="V985">
        <v>0</v>
      </c>
      <c r="W985">
        <v>4.0999999999999996</v>
      </c>
      <c r="X985">
        <v>0</v>
      </c>
      <c r="Y985">
        <v>3.21</v>
      </c>
      <c r="Z985">
        <v>3.72</v>
      </c>
      <c r="AA985">
        <v>0</v>
      </c>
      <c r="AB985">
        <v>3.3</v>
      </c>
      <c r="AC985">
        <v>0</v>
      </c>
      <c r="AD985">
        <v>8.3000000000000007</v>
      </c>
      <c r="AE985">
        <v>4.9000000000000004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6.6</v>
      </c>
      <c r="AP985">
        <v>7.73</v>
      </c>
      <c r="AQ985">
        <v>0</v>
      </c>
      <c r="AR985" s="9">
        <v>3.07</v>
      </c>
      <c r="AS985" s="9">
        <v>6.08</v>
      </c>
      <c r="AT985" s="8">
        <v>0</v>
      </c>
      <c r="AU985" s="3">
        <v>8.5500000000000007</v>
      </c>
      <c r="AV985" s="3">
        <v>8.4</v>
      </c>
      <c r="AW985" s="3">
        <v>8.5</v>
      </c>
      <c r="AX985" s="3">
        <v>8.19</v>
      </c>
      <c r="AY985" s="3">
        <v>9.1999999999999993</v>
      </c>
      <c r="AZ985" s="3">
        <v>6.4</v>
      </c>
      <c r="BA985" s="3">
        <v>0</v>
      </c>
      <c r="BB985" s="3">
        <v>7.8</v>
      </c>
      <c r="BC985">
        <v>4.5999999999999996</v>
      </c>
      <c r="BD985">
        <v>0</v>
      </c>
      <c r="BE985" s="11">
        <v>0</v>
      </c>
      <c r="BF985" s="4">
        <v>0</v>
      </c>
      <c r="BG985" s="4">
        <v>0</v>
      </c>
      <c r="BH985" s="4">
        <v>0</v>
      </c>
      <c r="BI985" s="4">
        <v>6.95</v>
      </c>
      <c r="BJ985" s="14">
        <v>0</v>
      </c>
      <c r="BK985" s="14">
        <v>0</v>
      </c>
      <c r="BL985" s="4">
        <v>0</v>
      </c>
      <c r="BM985" s="17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6.4409999999999998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7.7549999999999999</v>
      </c>
      <c r="BY985" s="4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 s="4">
        <v>0</v>
      </c>
      <c r="CH985" s="4">
        <v>0</v>
      </c>
      <c r="CI985" s="4">
        <v>0</v>
      </c>
      <c r="CJ985" s="34">
        <v>0</v>
      </c>
      <c r="CK985" s="34">
        <v>0</v>
      </c>
      <c r="CL985" s="34">
        <v>0</v>
      </c>
      <c r="CM985" s="4">
        <v>0</v>
      </c>
      <c r="CN985" s="53">
        <v>0</v>
      </c>
      <c r="CO985" s="54">
        <v>0</v>
      </c>
      <c r="CP985" s="54">
        <v>0</v>
      </c>
      <c r="CQ985" s="4">
        <v>0</v>
      </c>
    </row>
    <row r="986" spans="1:95" x14ac:dyDescent="0.35">
      <c r="A986" s="55">
        <v>985</v>
      </c>
      <c r="B986" t="s">
        <v>120</v>
      </c>
      <c r="C986" s="27" t="s">
        <v>1066</v>
      </c>
      <c r="D986" s="3" t="s">
        <v>94</v>
      </c>
      <c r="E986" s="33" t="s">
        <v>95</v>
      </c>
      <c r="F986" s="4">
        <f>IFERROR(AVERAGEIF(Table1[[#This Row],[2019-Apr]:[2025-July]],"&lt;&gt;0"),0)</f>
        <v>4.1682083333333333</v>
      </c>
      <c r="G986" s="4">
        <f ca="1">IFERROR(AVERAGEIF(OFFSET(Table1[[#This Row],[Status]],0,COUNT(Table1[[#This Row],[2019-May]:[2025-July]]),1,-12),"&lt;&gt;0"),0)</f>
        <v>0</v>
      </c>
      <c r="H986" s="55">
        <f>IFERROR(SMALL(Table1[[#This Row],[2019-Apr]:[2025-July]],COUNTIF(Table1[[#This Row],[2019-Apr]:[2025-July]],0)+1),0)</f>
        <v>0.6</v>
      </c>
      <c r="I986" s="56">
        <f>IFERROR(MAX(Table1[[#This Row],[2019-Apr]:[2025-July]]),0)</f>
        <v>10.72</v>
      </c>
      <c r="J986" s="4" cm="1">
        <f t="array" ref="J98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2.3200000000000003</v>
      </c>
      <c r="K986" s="4">
        <v>4.5</v>
      </c>
      <c r="L986" s="4">
        <f>IF(Table1[[#This Row],[Standard as per ISO]]&gt;=Table1[[#This Row],[Avg of best 6]],Table1[[#This Row],[Standard as per ISO]],Table1[[#This Row],[Avg of best 6]])</f>
        <v>4.5</v>
      </c>
      <c r="M986" s="4" cm="1">
        <f t="array" ref="M986">IFERROR(LOOKUP(2,1/(Table1[[#This Row],[2019-May]:[2025-July]]&lt;&gt;0),Table1[[#This Row],[2019-May]:[2025-July]]),0)</f>
        <v>10.72</v>
      </c>
      <c r="N986" s="4">
        <f>COUNTIF(Table1[[#This Row],[2019-Apr]:[2025-July]],"&gt;="&amp;Table1[[#This Row],[Target]])</f>
        <v>7</v>
      </c>
      <c r="O986" s="4">
        <f>IF(Table1[[#This Row],[Outliers 2Y]]=0,1,0)</f>
        <v>0</v>
      </c>
      <c r="P986" s="4">
        <f>IF(Table1[[#This Row],[Last value]]&gt;1.5*Table1[[#This Row],[Target]],1,0)</f>
        <v>1</v>
      </c>
      <c r="Q986" s="4">
        <f>IF(AND(1.5*Table1[[#This Row],[Target]]&gt;=Table1[[#This Row],[Last value]],Table1[[#This Row],[Last value]]&gt;Table1[[#This Row],[Target]]),1,0)</f>
        <v>0</v>
      </c>
      <c r="R986" s="4">
        <f>IF(Table1[[#This Row],[Target]]&gt;=Table1[[#This Row],[Last value]],1,0)</f>
        <v>0</v>
      </c>
      <c r="S986" s="4" t="str">
        <f t="shared" si="26"/>
        <v>Red</v>
      </c>
      <c r="T986">
        <v>0</v>
      </c>
      <c r="U986">
        <v>0</v>
      </c>
      <c r="V986">
        <v>0</v>
      </c>
      <c r="W986">
        <v>3.3</v>
      </c>
      <c r="X986">
        <v>0</v>
      </c>
      <c r="Y986">
        <v>2.96</v>
      </c>
      <c r="Z986">
        <v>2.5099999999999998</v>
      </c>
      <c r="AA986">
        <v>0</v>
      </c>
      <c r="AB986">
        <v>2.5</v>
      </c>
      <c r="AC986">
        <v>2.99</v>
      </c>
      <c r="AD986">
        <v>5.34</v>
      </c>
      <c r="AE986">
        <v>2.5499999999999998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4.0999999999999996</v>
      </c>
      <c r="AN986">
        <v>0</v>
      </c>
      <c r="AO986">
        <v>2.8</v>
      </c>
      <c r="AP986">
        <v>5</v>
      </c>
      <c r="AQ986">
        <v>3.52</v>
      </c>
      <c r="AR986" s="8">
        <v>4.66</v>
      </c>
      <c r="AS986" s="8">
        <v>3.72</v>
      </c>
      <c r="AT986" s="8">
        <v>0</v>
      </c>
      <c r="AU986" s="3">
        <v>3.77</v>
      </c>
      <c r="AV986" s="3">
        <v>4.34</v>
      </c>
      <c r="AW986" s="3">
        <v>4.47</v>
      </c>
      <c r="AX986" s="3">
        <v>4.6500000000000004</v>
      </c>
      <c r="AY986" s="3">
        <v>3.71</v>
      </c>
      <c r="AZ986" s="3">
        <v>4</v>
      </c>
      <c r="BA986" s="3">
        <v>0.6</v>
      </c>
      <c r="BB986" s="3">
        <v>0</v>
      </c>
      <c r="BC986" s="3">
        <v>0</v>
      </c>
      <c r="BD986">
        <v>0</v>
      </c>
      <c r="BE986" s="11">
        <v>7.16</v>
      </c>
      <c r="BF986" s="4">
        <v>0</v>
      </c>
      <c r="BG986" s="4">
        <v>0</v>
      </c>
      <c r="BH986" s="4">
        <v>0</v>
      </c>
      <c r="BI986" s="4">
        <v>7.16</v>
      </c>
      <c r="BJ986" s="13">
        <v>0</v>
      </c>
      <c r="BK986" s="13">
        <v>0</v>
      </c>
      <c r="BL986" s="4">
        <v>0</v>
      </c>
      <c r="BM986" s="16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3.5070000000000001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10.72</v>
      </c>
      <c r="BY986" s="4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 s="4">
        <v>0</v>
      </c>
      <c r="CH986" s="4">
        <v>0</v>
      </c>
      <c r="CI986" s="4">
        <v>0</v>
      </c>
      <c r="CJ986" s="34">
        <v>0</v>
      </c>
      <c r="CK986" s="34">
        <v>0</v>
      </c>
      <c r="CL986" s="34">
        <v>0</v>
      </c>
      <c r="CM986" s="4">
        <v>0</v>
      </c>
      <c r="CN986" s="53">
        <v>0</v>
      </c>
      <c r="CO986" s="54">
        <v>0</v>
      </c>
      <c r="CP986" s="54">
        <v>0</v>
      </c>
      <c r="CQ986" s="4">
        <v>0</v>
      </c>
    </row>
    <row r="987" spans="1:95" x14ac:dyDescent="0.35">
      <c r="A987" s="55">
        <v>986</v>
      </c>
      <c r="B987" t="s">
        <v>120</v>
      </c>
      <c r="C987" s="27" t="s">
        <v>1067</v>
      </c>
      <c r="D987" s="3" t="s">
        <v>94</v>
      </c>
      <c r="E987" s="33" t="s">
        <v>95</v>
      </c>
      <c r="F987" s="4">
        <f>IFERROR(AVERAGEIF(Table1[[#This Row],[2019-Apr]:[2025-July]],"&lt;&gt;0"),0)</f>
        <v>7.0520526315789489</v>
      </c>
      <c r="G987" s="4">
        <f ca="1">IFERROR(AVERAGEIF(OFFSET(Table1[[#This Row],[Status]],0,COUNT(Table1[[#This Row],[2019-May]:[2025-July]]),1,-12),"&lt;&gt;0"),0)</f>
        <v>0</v>
      </c>
      <c r="H987" s="55">
        <f>IFERROR(SMALL(Table1[[#This Row],[2019-Apr]:[2025-July]],COUNTIF(Table1[[#This Row],[2019-Apr]:[2025-July]],0)+1),0)</f>
        <v>2.2999999999999998</v>
      </c>
      <c r="I987" s="56">
        <f>IFERROR(MAX(Table1[[#This Row],[2019-Apr]:[2025-July]]),0)</f>
        <v>10.3</v>
      </c>
      <c r="J987" s="4" cm="1">
        <f t="array" ref="J98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4.0476666666666672</v>
      </c>
      <c r="K987" s="4">
        <v>4.5</v>
      </c>
      <c r="L987" s="4">
        <f>IF(Table1[[#This Row],[Standard as per ISO]]&gt;=Table1[[#This Row],[Avg of best 6]],Table1[[#This Row],[Standard as per ISO]],Table1[[#This Row],[Avg of best 6]])</f>
        <v>4.5</v>
      </c>
      <c r="M987" s="4" cm="1">
        <f t="array" ref="M987">IFERROR(LOOKUP(2,1/(Table1[[#This Row],[2019-May]:[2025-July]]&lt;&gt;0),Table1[[#This Row],[2019-May]:[2025-July]]),0)</f>
        <v>7.3330000000000002</v>
      </c>
      <c r="N987" s="4">
        <f>COUNTIF(Table1[[#This Row],[2019-Apr]:[2025-July]],"&gt;="&amp;Table1[[#This Row],[Target]])</f>
        <v>16</v>
      </c>
      <c r="O987" s="4">
        <f>IF(Table1[[#This Row],[Outliers 2Y]]=0,1,0)</f>
        <v>0</v>
      </c>
      <c r="P987" s="4">
        <f>IF(Table1[[#This Row],[Last value]]&gt;1.5*Table1[[#This Row],[Target]],1,0)</f>
        <v>1</v>
      </c>
      <c r="Q987" s="4">
        <f>IF(AND(1.5*Table1[[#This Row],[Target]]&gt;=Table1[[#This Row],[Last value]],Table1[[#This Row],[Last value]]&gt;Table1[[#This Row],[Target]]),1,0)</f>
        <v>0</v>
      </c>
      <c r="R987" s="4">
        <f>IF(Table1[[#This Row],[Target]]&gt;=Table1[[#This Row],[Last value]],1,0)</f>
        <v>0</v>
      </c>
      <c r="S987" s="4" t="str">
        <f t="shared" si="26"/>
        <v>Red</v>
      </c>
      <c r="T987">
        <v>0</v>
      </c>
      <c r="U987">
        <v>0</v>
      </c>
      <c r="V987">
        <v>0</v>
      </c>
      <c r="W987">
        <v>4.9000000000000004</v>
      </c>
      <c r="X987">
        <v>0</v>
      </c>
      <c r="Y987">
        <v>0</v>
      </c>
      <c r="Z987">
        <v>0</v>
      </c>
      <c r="AA987">
        <v>0</v>
      </c>
      <c r="AB987">
        <v>2.2999999999999998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7.36</v>
      </c>
      <c r="AN987">
        <v>0</v>
      </c>
      <c r="AO987">
        <v>6.8</v>
      </c>
      <c r="AP987">
        <v>10.3</v>
      </c>
      <c r="AQ987">
        <v>8.32</v>
      </c>
      <c r="AR987" s="9">
        <v>8.85</v>
      </c>
      <c r="AS987" s="9">
        <v>9.1199999999999992</v>
      </c>
      <c r="AT987" s="8">
        <v>0</v>
      </c>
      <c r="AU987" s="3">
        <v>8.1999999999999993</v>
      </c>
      <c r="AV987" s="3">
        <v>9.1</v>
      </c>
      <c r="AW987" s="3">
        <v>8.7100000000000009</v>
      </c>
      <c r="AX987" s="3">
        <v>9.01</v>
      </c>
      <c r="AY987" s="3">
        <v>10.199999999999999</v>
      </c>
      <c r="AZ987" s="3">
        <v>0</v>
      </c>
      <c r="BA987" s="3">
        <v>0</v>
      </c>
      <c r="BB987" s="3">
        <v>6.4</v>
      </c>
      <c r="BC987">
        <v>3.2</v>
      </c>
      <c r="BD987">
        <v>0</v>
      </c>
      <c r="BE987" s="11">
        <v>5.0810000000000004</v>
      </c>
      <c r="BF987" s="4">
        <v>0</v>
      </c>
      <c r="BG987" s="4">
        <v>0</v>
      </c>
      <c r="BH987" s="4">
        <v>0</v>
      </c>
      <c r="BI987" s="4">
        <v>5.5090000000000003</v>
      </c>
      <c r="BJ987" s="14">
        <v>0</v>
      </c>
      <c r="BK987" s="14">
        <v>0</v>
      </c>
      <c r="BL987" s="4">
        <v>0</v>
      </c>
      <c r="BM987" s="17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3.2959999999999998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7.3330000000000002</v>
      </c>
      <c r="BY987" s="4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 s="4">
        <v>0</v>
      </c>
      <c r="CH987" s="4">
        <v>0</v>
      </c>
      <c r="CI987" s="4">
        <v>0</v>
      </c>
      <c r="CJ987" s="34">
        <v>0</v>
      </c>
      <c r="CK987" s="34">
        <v>0</v>
      </c>
      <c r="CL987" s="34">
        <v>0</v>
      </c>
      <c r="CM987" s="4">
        <v>0</v>
      </c>
      <c r="CN987" s="53">
        <v>0</v>
      </c>
      <c r="CO987" s="54">
        <v>0</v>
      </c>
      <c r="CP987" s="54">
        <v>0</v>
      </c>
      <c r="CQ987" s="4">
        <v>0</v>
      </c>
    </row>
    <row r="988" spans="1:95" x14ac:dyDescent="0.35">
      <c r="A988" s="55">
        <v>987</v>
      </c>
      <c r="B988" t="s">
        <v>120</v>
      </c>
      <c r="C988" s="27" t="s">
        <v>1068</v>
      </c>
      <c r="D988" s="3" t="s">
        <v>94</v>
      </c>
      <c r="E988" s="33" t="s">
        <v>95</v>
      </c>
      <c r="F988" s="4">
        <f>IFERROR(AVERAGEIF(Table1[[#This Row],[2019-Apr]:[2025-July]],"&lt;&gt;0"),0)</f>
        <v>1.9</v>
      </c>
      <c r="G988" s="4">
        <f ca="1">IFERROR(AVERAGEIF(OFFSET(Table1[[#This Row],[Status]],0,COUNT(Table1[[#This Row],[2019-May]:[2025-July]]),1,-12),"&lt;&gt;0"),0)</f>
        <v>0</v>
      </c>
      <c r="H988" s="55">
        <f>IFERROR(SMALL(Table1[[#This Row],[2019-Apr]:[2025-July]],COUNTIF(Table1[[#This Row],[2019-Apr]:[2025-July]],0)+1),0)</f>
        <v>1.9</v>
      </c>
      <c r="I988" s="56">
        <f>IFERROR(MAX(Table1[[#This Row],[2019-Apr]:[2025-July]]),0)</f>
        <v>1.9</v>
      </c>
      <c r="J988" s="4" cm="1">
        <f t="array" ref="J98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</v>
      </c>
      <c r="K988" s="4">
        <v>4.5</v>
      </c>
      <c r="L988" s="4">
        <f>IF(Table1[[#This Row],[Standard as per ISO]]&gt;=Table1[[#This Row],[Avg of best 6]],Table1[[#This Row],[Standard as per ISO]],Table1[[#This Row],[Avg of best 6]])</f>
        <v>4.5</v>
      </c>
      <c r="M988" s="4" cm="1">
        <f t="array" ref="M988">IFERROR(LOOKUP(2,1/(Table1[[#This Row],[2019-May]:[2025-July]]&lt;&gt;0),Table1[[#This Row],[2019-May]:[2025-July]]),0)</f>
        <v>1.9</v>
      </c>
      <c r="N988" s="4">
        <f>COUNTIF(Table1[[#This Row],[2019-Apr]:[2025-July]],"&gt;="&amp;Table1[[#This Row],[Target]])</f>
        <v>0</v>
      </c>
      <c r="O988" s="4">
        <f>IF(Table1[[#This Row],[Outliers 2Y]]=0,1,0)</f>
        <v>1</v>
      </c>
      <c r="P988" s="4">
        <f>IF(Table1[[#This Row],[Last value]]&gt;1.5*Table1[[#This Row],[Target]],1,0)</f>
        <v>0</v>
      </c>
      <c r="Q988" s="4">
        <f>IF(AND(1.5*Table1[[#This Row],[Target]]&gt;=Table1[[#This Row],[Last value]],Table1[[#This Row],[Last value]]&gt;Table1[[#This Row],[Target]]),1,0)</f>
        <v>0</v>
      </c>
      <c r="R988" s="4">
        <f>IF(Table1[[#This Row],[Target]]&gt;=Table1[[#This Row],[Last value]],1,0)</f>
        <v>1</v>
      </c>
      <c r="S988" s="4" t="str">
        <f t="shared" si="26"/>
        <v>Green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1.9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 s="8">
        <v>0</v>
      </c>
      <c r="AS988" s="8">
        <v>0</v>
      </c>
      <c r="AT988" s="8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>
        <v>0</v>
      </c>
      <c r="BE988" s="11">
        <v>0</v>
      </c>
      <c r="BF988" s="4">
        <v>0</v>
      </c>
      <c r="BG988" s="4">
        <v>0</v>
      </c>
      <c r="BH988" s="4">
        <v>0</v>
      </c>
      <c r="BI988" s="4">
        <v>0</v>
      </c>
      <c r="BJ988" s="13">
        <v>0</v>
      </c>
      <c r="BK988" s="13">
        <v>0</v>
      </c>
      <c r="BL988" s="4">
        <v>0</v>
      </c>
      <c r="BM988" s="16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 s="4">
        <v>0</v>
      </c>
      <c r="CH988" s="4">
        <v>0</v>
      </c>
      <c r="CI988" s="4">
        <v>0</v>
      </c>
      <c r="CJ988" s="34">
        <v>0</v>
      </c>
      <c r="CK988" s="34">
        <v>0</v>
      </c>
      <c r="CL988" s="34">
        <v>0</v>
      </c>
      <c r="CM988" s="4">
        <v>0</v>
      </c>
      <c r="CN988" s="53">
        <v>0</v>
      </c>
      <c r="CO988" s="54">
        <v>0</v>
      </c>
      <c r="CP988" s="54">
        <v>0</v>
      </c>
      <c r="CQ988" s="4">
        <v>0</v>
      </c>
    </row>
    <row r="989" spans="1:95" x14ac:dyDescent="0.35">
      <c r="A989" s="55">
        <v>988</v>
      </c>
      <c r="B989" t="s">
        <v>120</v>
      </c>
      <c r="C989" s="27" t="s">
        <v>1069</v>
      </c>
      <c r="D989" s="3" t="s">
        <v>94</v>
      </c>
      <c r="E989" s="33" t="s">
        <v>95</v>
      </c>
      <c r="F989" s="4">
        <f>IFERROR(AVERAGEIF(Table1[[#This Row],[2019-Apr]:[2025-July]],"&lt;&gt;0"),0)</f>
        <v>8.7779600000000002</v>
      </c>
      <c r="G989" s="4">
        <f ca="1">IFERROR(AVERAGEIF(OFFSET(Table1[[#This Row],[Status]],0,COUNT(Table1[[#This Row],[2019-May]:[2025-July]]),1,-12),"&lt;&gt;0"),0)</f>
        <v>0</v>
      </c>
      <c r="H989" s="55">
        <f>IFERROR(SMALL(Table1[[#This Row],[2019-Apr]:[2025-July]],COUNTIF(Table1[[#This Row],[2019-Apr]:[2025-July]],0)+1),0)</f>
        <v>2.7</v>
      </c>
      <c r="I989" s="56">
        <f>IFERROR(MAX(Table1[[#This Row],[2019-Apr]:[2025-July]]),0)</f>
        <v>19.7</v>
      </c>
      <c r="J989" s="4" cm="1">
        <f t="array" ref="J98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3.1851666666666669</v>
      </c>
      <c r="K989" s="4">
        <v>4.5</v>
      </c>
      <c r="L989" s="4">
        <f>IF(Table1[[#This Row],[Standard as per ISO]]&gt;=Table1[[#This Row],[Avg of best 6]],Table1[[#This Row],[Standard as per ISO]],Table1[[#This Row],[Avg of best 6]])</f>
        <v>4.5</v>
      </c>
      <c r="M989" s="4" cm="1">
        <f t="array" ref="M989">IFERROR(LOOKUP(2,1/(Table1[[#This Row],[2019-May]:[2025-July]]&lt;&gt;0),Table1[[#This Row],[2019-May]:[2025-July]]),0)</f>
        <v>19.7</v>
      </c>
      <c r="N989" s="4">
        <f>COUNTIF(Table1[[#This Row],[2019-Apr]:[2025-July]],"&gt;="&amp;Table1[[#This Row],[Target]])</f>
        <v>17</v>
      </c>
      <c r="O989" s="4">
        <f>IF(Table1[[#This Row],[Outliers 2Y]]=0,1,0)</f>
        <v>0</v>
      </c>
      <c r="P989" s="4">
        <f>IF(Table1[[#This Row],[Last value]]&gt;1.5*Table1[[#This Row],[Target]],1,0)</f>
        <v>1</v>
      </c>
      <c r="Q989" s="4">
        <f>IF(AND(1.5*Table1[[#This Row],[Target]]&gt;=Table1[[#This Row],[Last value]],Table1[[#This Row],[Last value]]&gt;Table1[[#This Row],[Target]]),1,0)</f>
        <v>0</v>
      </c>
      <c r="R989" s="4">
        <f>IF(Table1[[#This Row],[Target]]&gt;=Table1[[#This Row],[Last value]],1,0)</f>
        <v>0</v>
      </c>
      <c r="S989" s="4" t="str">
        <f t="shared" si="26"/>
        <v>Red</v>
      </c>
      <c r="T989">
        <v>3.91</v>
      </c>
      <c r="U989">
        <v>0</v>
      </c>
      <c r="V989">
        <v>0</v>
      </c>
      <c r="W989">
        <v>12.8</v>
      </c>
      <c r="X989">
        <v>0</v>
      </c>
      <c r="Y989">
        <v>7.5</v>
      </c>
      <c r="Z989">
        <v>3.08</v>
      </c>
      <c r="AA989">
        <v>0</v>
      </c>
      <c r="AB989">
        <v>0</v>
      </c>
      <c r="AC989">
        <v>3.26</v>
      </c>
      <c r="AD989">
        <v>9.44</v>
      </c>
      <c r="AE989">
        <v>2.7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3.28</v>
      </c>
      <c r="AN989">
        <v>0</v>
      </c>
      <c r="AO989">
        <v>8.9</v>
      </c>
      <c r="AP989">
        <v>8.9</v>
      </c>
      <c r="AQ989">
        <v>12.4</v>
      </c>
      <c r="AR989" s="9">
        <v>14.1</v>
      </c>
      <c r="AS989" s="9">
        <v>11.9</v>
      </c>
      <c r="AT989" s="8">
        <v>0</v>
      </c>
      <c r="AU989" s="3">
        <v>0</v>
      </c>
      <c r="AV989" s="3">
        <v>4.5</v>
      </c>
      <c r="AW989" s="3">
        <v>5.82</v>
      </c>
      <c r="AX989" s="3">
        <v>14.2</v>
      </c>
      <c r="AY989" s="3">
        <v>11.23</v>
      </c>
      <c r="AZ989" s="3">
        <v>8.3000000000000007</v>
      </c>
      <c r="BA989" s="3">
        <v>18.2</v>
      </c>
      <c r="BB989" s="3">
        <v>12.5</v>
      </c>
      <c r="BC989">
        <v>3</v>
      </c>
      <c r="BD989">
        <v>0</v>
      </c>
      <c r="BE989" s="11">
        <v>11.79</v>
      </c>
      <c r="BF989" s="4">
        <v>0</v>
      </c>
      <c r="BG989" s="4">
        <v>0</v>
      </c>
      <c r="BH989" s="4">
        <v>0</v>
      </c>
      <c r="BI989" s="4">
        <v>4.2480000000000002</v>
      </c>
      <c r="BJ989" s="14">
        <v>0</v>
      </c>
      <c r="BK989" s="14">
        <v>0</v>
      </c>
      <c r="BL989" s="4">
        <v>0</v>
      </c>
      <c r="BM989" s="17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3.7909999999999999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19.7</v>
      </c>
      <c r="BY989" s="4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 s="4">
        <v>0</v>
      </c>
      <c r="CH989" s="4">
        <v>0</v>
      </c>
      <c r="CI989" s="4">
        <v>0</v>
      </c>
      <c r="CJ989" s="34">
        <v>0</v>
      </c>
      <c r="CK989" s="34">
        <v>0</v>
      </c>
      <c r="CL989" s="34">
        <v>0</v>
      </c>
      <c r="CM989" s="4">
        <v>0</v>
      </c>
      <c r="CN989" s="53">
        <v>0</v>
      </c>
      <c r="CO989" s="54">
        <v>0</v>
      </c>
      <c r="CP989" s="54">
        <v>0</v>
      </c>
      <c r="CQ989" s="4">
        <v>0</v>
      </c>
    </row>
    <row r="990" spans="1:95" x14ac:dyDescent="0.35">
      <c r="A990" s="55">
        <v>989</v>
      </c>
      <c r="B990" t="s">
        <v>120</v>
      </c>
      <c r="C990" s="27" t="s">
        <v>1070</v>
      </c>
      <c r="D990" s="3" t="s">
        <v>94</v>
      </c>
      <c r="E990" s="33" t="s">
        <v>89</v>
      </c>
      <c r="F990" s="4">
        <f>IFERROR(AVERAGEIF(Table1[[#This Row],[2019-Apr]:[2025-July]],"&lt;&gt;0"),0)</f>
        <v>9.1133333333333315</v>
      </c>
      <c r="G990" s="4">
        <f ca="1">IFERROR(AVERAGEIF(OFFSET(Table1[[#This Row],[Status]],0,COUNT(Table1[[#This Row],[2019-May]:[2025-July]]),1,-12),"&lt;&gt;0"),0)</f>
        <v>9.1133333333333315</v>
      </c>
      <c r="H990" s="55">
        <f>IFERROR(SMALL(Table1[[#This Row],[2019-Apr]:[2025-July]],COUNTIF(Table1[[#This Row],[2019-Apr]:[2025-July]],0)+1),0)</f>
        <v>7</v>
      </c>
      <c r="I990" s="56">
        <f>IFERROR(MAX(Table1[[#This Row],[2019-Apr]:[2025-July]]),0)</f>
        <v>10.58</v>
      </c>
      <c r="J990" s="4" cm="1">
        <f t="array" ref="J99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9.1133333333333315</v>
      </c>
      <c r="K990" s="4">
        <v>4.5</v>
      </c>
      <c r="L990" s="4">
        <f>IF(Table1[[#This Row],[Standard as per ISO]]&gt;=Table1[[#This Row],[Avg of best 6]],Table1[[#This Row],[Standard as per ISO]],Table1[[#This Row],[Avg of best 6]])</f>
        <v>9.1133333333333315</v>
      </c>
      <c r="M990" s="4" cm="1">
        <f t="array" ref="M990">IFERROR(LOOKUP(2,1/(Table1[[#This Row],[2019-May]:[2025-July]]&lt;&gt;0),Table1[[#This Row],[2019-May]:[2025-July]]),0)</f>
        <v>10.58</v>
      </c>
      <c r="N990" s="4">
        <f>COUNTIF(Table1[[#This Row],[2019-Apr]:[2025-July]],"&gt;="&amp;Table1[[#This Row],[Target]])</f>
        <v>2</v>
      </c>
      <c r="O990" s="4">
        <f>IF(Table1[[#This Row],[Outliers 2Y]]=0,1,0)</f>
        <v>0</v>
      </c>
      <c r="P990" s="4">
        <f>IF(Table1[[#This Row],[Last value]]&gt;1.5*Table1[[#This Row],[Target]],1,0)</f>
        <v>0</v>
      </c>
      <c r="Q990" s="4">
        <f>IF(AND(1.5*Table1[[#This Row],[Target]]&gt;=Table1[[#This Row],[Last value]],Table1[[#This Row],[Last value]]&gt;Table1[[#This Row],[Target]]),1,0)</f>
        <v>1</v>
      </c>
      <c r="R990" s="4">
        <f>IF(Table1[[#This Row],[Target]]&gt;=Table1[[#This Row],[Last value]],1,0)</f>
        <v>0</v>
      </c>
      <c r="S990" s="4" t="str">
        <f t="shared" si="26"/>
        <v>Yellow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 s="8">
        <v>0</v>
      </c>
      <c r="AS990" s="8">
        <v>0</v>
      </c>
      <c r="AT990" s="8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3">
        <v>0</v>
      </c>
      <c r="BK990" s="3">
        <v>0</v>
      </c>
      <c r="BL990" s="3">
        <v>0</v>
      </c>
      <c r="BM990" s="3">
        <v>0</v>
      </c>
      <c r="BN990" s="3">
        <v>0</v>
      </c>
      <c r="BO990" s="3">
        <v>0</v>
      </c>
      <c r="BP990" s="3">
        <v>0</v>
      </c>
      <c r="BQ990" s="3">
        <v>0</v>
      </c>
      <c r="BR990" s="3">
        <v>0</v>
      </c>
      <c r="BS990" s="3">
        <v>0</v>
      </c>
      <c r="BT990" s="3">
        <v>0</v>
      </c>
      <c r="BU990" s="3">
        <v>0</v>
      </c>
      <c r="BV990" s="3">
        <v>0</v>
      </c>
      <c r="BW990" s="3">
        <v>0</v>
      </c>
      <c r="BX990" s="3">
        <v>0</v>
      </c>
      <c r="BY990" s="3">
        <v>0</v>
      </c>
      <c r="BZ990" s="3">
        <v>0</v>
      </c>
      <c r="CA990" s="3">
        <v>0</v>
      </c>
      <c r="CB990" s="3">
        <v>0</v>
      </c>
      <c r="CC990" s="3">
        <v>0</v>
      </c>
      <c r="CD990" s="3">
        <v>0</v>
      </c>
      <c r="CE990" s="3">
        <v>0</v>
      </c>
      <c r="CF990" s="3">
        <v>0</v>
      </c>
      <c r="CG990" s="3">
        <v>0</v>
      </c>
      <c r="CH990" s="3">
        <v>0</v>
      </c>
      <c r="CI990" s="3">
        <v>0</v>
      </c>
      <c r="CJ990" s="34">
        <v>0</v>
      </c>
      <c r="CK990" s="34">
        <v>7</v>
      </c>
      <c r="CL990" s="43">
        <v>0</v>
      </c>
      <c r="CM990" s="4">
        <v>0</v>
      </c>
      <c r="CN990" s="53">
        <v>9.76</v>
      </c>
      <c r="CO990" s="54">
        <v>0</v>
      </c>
      <c r="CP990" s="54">
        <v>10.58</v>
      </c>
      <c r="CQ990" s="4">
        <v>0</v>
      </c>
    </row>
    <row r="991" spans="1:95" x14ac:dyDescent="0.35">
      <c r="A991" s="55">
        <v>990</v>
      </c>
      <c r="B991" t="s">
        <v>120</v>
      </c>
      <c r="C991" s="27" t="s">
        <v>1071</v>
      </c>
      <c r="D991" s="3" t="s">
        <v>94</v>
      </c>
      <c r="E991" s="33" t="s">
        <v>91</v>
      </c>
      <c r="F991" s="4">
        <f>IFERROR(AVERAGEIF(Table1[[#This Row],[2019-Apr]:[2025-July]],"&lt;&gt;0"),0)</f>
        <v>3.6083809523809527</v>
      </c>
      <c r="G991" s="4">
        <f ca="1">IFERROR(AVERAGEIF(OFFSET(Table1[[#This Row],[Status]],0,COUNT(Table1[[#This Row],[2019-May]:[2025-July]]),1,-12),"&lt;&gt;0"),0)</f>
        <v>0</v>
      </c>
      <c r="H991" s="55">
        <f>IFERROR(SMALL(Table1[[#This Row],[2019-Apr]:[2025-July]],COUNTIF(Table1[[#This Row],[2019-Apr]:[2025-July]],0)+1),0)</f>
        <v>0.43099999999999999</v>
      </c>
      <c r="I991" s="56">
        <f>IFERROR(MAX(Table1[[#This Row],[2019-Apr]:[2025-July]]),0)</f>
        <v>12.7</v>
      </c>
      <c r="J991" s="4" cm="1">
        <f t="array" ref="J99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0.84616666666666662</v>
      </c>
      <c r="K991" s="4">
        <v>4.5</v>
      </c>
      <c r="L991" s="4">
        <f>IF(Table1[[#This Row],[Standard as per ISO]]&gt;=Table1[[#This Row],[Avg of best 6]],Table1[[#This Row],[Standard as per ISO]],Table1[[#This Row],[Avg of best 6]])</f>
        <v>4.5</v>
      </c>
      <c r="M991" s="4" cm="1">
        <f t="array" ref="M991">IFERROR(LOOKUP(2,1/(Table1[[#This Row],[2019-May]:[2025-July]]&lt;&gt;0),Table1[[#This Row],[2019-May]:[2025-July]]),0)</f>
        <v>0.43099999999999999</v>
      </c>
      <c r="N991" s="4">
        <f>COUNTIF(Table1[[#This Row],[2019-Apr]:[2025-July]],"&gt;="&amp;Table1[[#This Row],[Target]])</f>
        <v>6</v>
      </c>
      <c r="O991" s="4">
        <f>IF(Table1[[#This Row],[Outliers 2Y]]=0,1,0)</f>
        <v>0</v>
      </c>
      <c r="P991" s="4">
        <f>IF(Table1[[#This Row],[Last value]]&gt;1.5*Table1[[#This Row],[Target]],1,0)</f>
        <v>0</v>
      </c>
      <c r="Q991" s="4">
        <f>IF(AND(1.5*Table1[[#This Row],[Target]]&gt;=Table1[[#This Row],[Last value]],Table1[[#This Row],[Last value]]&gt;Table1[[#This Row],[Target]]),1,0)</f>
        <v>0</v>
      </c>
      <c r="R991" s="4">
        <f>IF(Table1[[#This Row],[Target]]&gt;=Table1[[#This Row],[Last value]],1,0)</f>
        <v>1</v>
      </c>
      <c r="S991" s="4" t="str">
        <f t="shared" si="26"/>
        <v>Green</v>
      </c>
      <c r="T991">
        <v>6.7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3.2</v>
      </c>
      <c r="AA991">
        <v>3.07</v>
      </c>
      <c r="AB991">
        <v>4.2</v>
      </c>
      <c r="AC991">
        <v>0</v>
      </c>
      <c r="AD991">
        <v>4.0999999999999996</v>
      </c>
      <c r="AE991">
        <v>4.2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6.18</v>
      </c>
      <c r="AN991">
        <v>0</v>
      </c>
      <c r="AO991">
        <v>6</v>
      </c>
      <c r="AP991">
        <v>6.04</v>
      </c>
      <c r="AQ991">
        <v>9.74</v>
      </c>
      <c r="AR991" s="8">
        <v>12.7</v>
      </c>
      <c r="AS991" s="8">
        <v>0</v>
      </c>
      <c r="AT991" s="8">
        <v>0</v>
      </c>
      <c r="AU991" s="3">
        <v>1.18</v>
      </c>
      <c r="AV991" s="3">
        <v>1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s="3">
        <v>1.1000000000000001</v>
      </c>
      <c r="BC991">
        <v>0.8</v>
      </c>
      <c r="BD991">
        <v>0</v>
      </c>
      <c r="BE991" s="11">
        <v>1.107</v>
      </c>
      <c r="BF991" s="4">
        <v>1.113</v>
      </c>
      <c r="BG991" s="4">
        <v>0.93799999999999994</v>
      </c>
      <c r="BH991" s="4">
        <v>0.80800000000000005</v>
      </c>
      <c r="BI991" s="4">
        <v>1.169</v>
      </c>
      <c r="BJ991" s="14">
        <v>0</v>
      </c>
      <c r="BK991" s="14">
        <v>0</v>
      </c>
      <c r="BL991" s="4">
        <v>0</v>
      </c>
      <c r="BM991" s="17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0.43099999999999999</v>
      </c>
      <c r="BY991" s="4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 s="4">
        <v>0</v>
      </c>
      <c r="CH991" s="4">
        <v>0</v>
      </c>
      <c r="CI991" s="4">
        <v>0</v>
      </c>
      <c r="CJ991" s="34">
        <v>0</v>
      </c>
      <c r="CK991" s="34">
        <v>0</v>
      </c>
      <c r="CL991" s="34">
        <v>0</v>
      </c>
      <c r="CM991" s="4">
        <v>0</v>
      </c>
      <c r="CN991" s="53">
        <v>0</v>
      </c>
      <c r="CO991" s="54">
        <v>0</v>
      </c>
      <c r="CP991" s="54">
        <v>0</v>
      </c>
      <c r="CQ991" s="4">
        <v>0</v>
      </c>
    </row>
    <row r="992" spans="1:95" x14ac:dyDescent="0.35">
      <c r="A992" s="55">
        <v>991</v>
      </c>
      <c r="B992" t="s">
        <v>120</v>
      </c>
      <c r="C992" s="27" t="s">
        <v>1072</v>
      </c>
      <c r="D992" s="3" t="s">
        <v>94</v>
      </c>
      <c r="E992" s="33" t="s">
        <v>91</v>
      </c>
      <c r="F992" s="4">
        <f>IFERROR(AVERAGEIF(Table1[[#This Row],[2019-Apr]:[2025-July]],"&lt;&gt;0"),0)</f>
        <v>4.792476190476191</v>
      </c>
      <c r="G992" s="4">
        <f ca="1">IFERROR(AVERAGEIF(OFFSET(Table1[[#This Row],[Status]],0,COUNT(Table1[[#This Row],[2019-May]:[2025-July]]),1,-12),"&lt;&gt;0"),0)</f>
        <v>0</v>
      </c>
      <c r="H992" s="55">
        <f>IFERROR(SMALL(Table1[[#This Row],[2019-Apr]:[2025-July]],COUNTIF(Table1[[#This Row],[2019-Apr]:[2025-July]],0)+1),0)</f>
        <v>3.5</v>
      </c>
      <c r="I992" s="56">
        <f>IFERROR(MAX(Table1[[#This Row],[2019-Apr]:[2025-July]]),0)</f>
        <v>6.8479999999999999</v>
      </c>
      <c r="J992" s="4" cm="1">
        <f t="array" ref="J99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4.0115000000000007</v>
      </c>
      <c r="K992" s="4">
        <v>4.5</v>
      </c>
      <c r="L992" s="4">
        <f>IF(Table1[[#This Row],[Standard as per ISO]]&gt;=Table1[[#This Row],[Avg of best 6]],Table1[[#This Row],[Standard as per ISO]],Table1[[#This Row],[Avg of best 6]])</f>
        <v>4.5</v>
      </c>
      <c r="M992" s="4" cm="1">
        <f t="array" ref="M992">IFERROR(LOOKUP(2,1/(Table1[[#This Row],[2019-May]:[2025-July]]&lt;&gt;0),Table1[[#This Row],[2019-May]:[2025-July]]),0)</f>
        <v>6.8479999999999999</v>
      </c>
      <c r="N992" s="4">
        <f>COUNTIF(Table1[[#This Row],[2019-Apr]:[2025-July]],"&gt;="&amp;Table1[[#This Row],[Target]])</f>
        <v>14</v>
      </c>
      <c r="O992" s="4">
        <f>IF(Table1[[#This Row],[Outliers 2Y]]=0,1,0)</f>
        <v>0</v>
      </c>
      <c r="P992" s="4">
        <f>IF(Table1[[#This Row],[Last value]]&gt;1.5*Table1[[#This Row],[Target]],1,0)</f>
        <v>1</v>
      </c>
      <c r="Q992" s="4">
        <f>IF(AND(1.5*Table1[[#This Row],[Target]]&gt;=Table1[[#This Row],[Last value]],Table1[[#This Row],[Last value]]&gt;Table1[[#This Row],[Target]]),1,0)</f>
        <v>0</v>
      </c>
      <c r="R992" s="4">
        <f>IF(Table1[[#This Row],[Target]]&gt;=Table1[[#This Row],[Last value]],1,0)</f>
        <v>0</v>
      </c>
      <c r="S992" s="4" t="str">
        <f t="shared" si="26"/>
        <v>Red</v>
      </c>
      <c r="T992">
        <v>6.7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4.5</v>
      </c>
      <c r="AA992">
        <v>4.9800000000000004</v>
      </c>
      <c r="AB992">
        <v>4.9000000000000004</v>
      </c>
      <c r="AC992">
        <v>4.74</v>
      </c>
      <c r="AD992">
        <v>0</v>
      </c>
      <c r="AE992">
        <v>4.4000000000000004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 s="8">
        <v>0</v>
      </c>
      <c r="AS992" s="9">
        <v>4.9400000000000004</v>
      </c>
      <c r="AT992" s="9">
        <v>4.18</v>
      </c>
      <c r="AU992" s="3">
        <v>0</v>
      </c>
      <c r="AV992" s="3">
        <v>0</v>
      </c>
      <c r="AW992" s="3">
        <v>4.29</v>
      </c>
      <c r="AX992" s="3">
        <v>4.46</v>
      </c>
      <c r="AY992" s="3">
        <v>4.63</v>
      </c>
      <c r="AZ992" s="3">
        <v>4.5999999999999996</v>
      </c>
      <c r="BA992" s="3">
        <v>3.5</v>
      </c>
      <c r="BB992" s="3">
        <v>4.5999999999999996</v>
      </c>
      <c r="BC992">
        <v>3.9</v>
      </c>
      <c r="BD992">
        <v>0</v>
      </c>
      <c r="BE992" s="11">
        <v>5.2590000000000003</v>
      </c>
      <c r="BF992" s="4">
        <v>3.7989999999999999</v>
      </c>
      <c r="BG992" s="4">
        <v>4.6890000000000001</v>
      </c>
      <c r="BH992" s="4">
        <v>5.23</v>
      </c>
      <c r="BI992" s="4">
        <v>5.4969999999999999</v>
      </c>
      <c r="BJ992" s="13">
        <v>0</v>
      </c>
      <c r="BK992" s="13">
        <v>0</v>
      </c>
      <c r="BL992" s="4">
        <v>0</v>
      </c>
      <c r="BM992" s="16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6.8479999999999999</v>
      </c>
      <c r="BV992" s="4">
        <v>0</v>
      </c>
      <c r="BW992" s="4">
        <v>0</v>
      </c>
      <c r="BX992" s="4">
        <v>0</v>
      </c>
      <c r="BY992" s="4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 s="4">
        <v>0</v>
      </c>
      <c r="CH992" s="4">
        <v>0</v>
      </c>
      <c r="CI992" s="4">
        <v>0</v>
      </c>
      <c r="CJ992" s="34">
        <v>0</v>
      </c>
      <c r="CK992" s="34">
        <v>0</v>
      </c>
      <c r="CL992" s="34">
        <v>0</v>
      </c>
      <c r="CM992" s="4">
        <v>0</v>
      </c>
      <c r="CN992" s="53">
        <v>0</v>
      </c>
      <c r="CO992" s="54">
        <v>0</v>
      </c>
      <c r="CP992" s="54">
        <v>0</v>
      </c>
      <c r="CQ992" s="4">
        <v>0</v>
      </c>
    </row>
    <row r="993" spans="1:95" x14ac:dyDescent="0.35">
      <c r="A993" s="55">
        <v>992</v>
      </c>
      <c r="B993" t="s">
        <v>120</v>
      </c>
      <c r="C993" s="27" t="s">
        <v>1073</v>
      </c>
      <c r="D993" s="3" t="s">
        <v>94</v>
      </c>
      <c r="E993" s="33" t="s">
        <v>91</v>
      </c>
      <c r="F993" s="4">
        <f>IFERROR(AVERAGEIF(Table1[[#This Row],[2019-Apr]:[2025-July]],"&lt;&gt;0"),0)</f>
        <v>5.0036666666666667</v>
      </c>
      <c r="G993" s="4">
        <f ca="1">IFERROR(AVERAGEIF(OFFSET(Table1[[#This Row],[Status]],0,COUNT(Table1[[#This Row],[2019-May]:[2025-July]]),1,-12),"&lt;&gt;0"),0)</f>
        <v>0</v>
      </c>
      <c r="H993" s="55">
        <f>IFERROR(SMALL(Table1[[#This Row],[2019-Apr]:[2025-July]],COUNTIF(Table1[[#This Row],[2019-Apr]:[2025-July]],0)+1),0)</f>
        <v>2.57</v>
      </c>
      <c r="I993" s="56">
        <f>IFERROR(MAX(Table1[[#This Row],[2019-Apr]:[2025-July]]),0)</f>
        <v>8.8140000000000001</v>
      </c>
      <c r="J993" s="4" cm="1">
        <f t="array" ref="J99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3.0625</v>
      </c>
      <c r="K993" s="4">
        <v>4.5</v>
      </c>
      <c r="L993" s="4">
        <f>IF(Table1[[#This Row],[Standard as per ISO]]&gt;=Table1[[#This Row],[Avg of best 6]],Table1[[#This Row],[Standard as per ISO]],Table1[[#This Row],[Avg of best 6]])</f>
        <v>4.5</v>
      </c>
      <c r="M993" s="4" cm="1">
        <f t="array" ref="M993">IFERROR(LOOKUP(2,1/(Table1[[#This Row],[2019-May]:[2025-July]]&lt;&gt;0),Table1[[#This Row],[2019-May]:[2025-July]]),0)</f>
        <v>8.8140000000000001</v>
      </c>
      <c r="N993" s="4">
        <f>COUNTIF(Table1[[#This Row],[2019-Apr]:[2025-July]],"&gt;="&amp;Table1[[#This Row],[Target]])</f>
        <v>13</v>
      </c>
      <c r="O993" s="4">
        <f>IF(Table1[[#This Row],[Outliers 2Y]]=0,1,0)</f>
        <v>0</v>
      </c>
      <c r="P993" s="4">
        <f>IF(Table1[[#This Row],[Last value]]&gt;1.5*Table1[[#This Row],[Target]],1,0)</f>
        <v>1</v>
      </c>
      <c r="Q993" s="4">
        <f>IF(AND(1.5*Table1[[#This Row],[Target]]&gt;=Table1[[#This Row],[Last value]],Table1[[#This Row],[Last value]]&gt;Table1[[#This Row],[Target]]),1,0)</f>
        <v>0</v>
      </c>
      <c r="R993" s="4">
        <f>IF(Table1[[#This Row],[Target]]&gt;=Table1[[#This Row],[Last value]],1,0)</f>
        <v>0</v>
      </c>
      <c r="S993" s="4" t="str">
        <f t="shared" si="26"/>
        <v>Red</v>
      </c>
      <c r="T993">
        <v>6.7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3.87</v>
      </c>
      <c r="AB993">
        <v>4.7</v>
      </c>
      <c r="AC993">
        <v>3.1</v>
      </c>
      <c r="AD993">
        <v>4.0999999999999996</v>
      </c>
      <c r="AE993">
        <v>4.5999999999999996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6.73</v>
      </c>
      <c r="AN993">
        <v>0</v>
      </c>
      <c r="AO993">
        <v>4.8</v>
      </c>
      <c r="AP993">
        <v>6.4</v>
      </c>
      <c r="AQ993">
        <v>5.7</v>
      </c>
      <c r="AR993" s="8">
        <v>0</v>
      </c>
      <c r="AS993" s="9">
        <v>3.6</v>
      </c>
      <c r="AT993" s="9">
        <v>3.53</v>
      </c>
      <c r="AU993" s="3">
        <v>2.94</v>
      </c>
      <c r="AV993" s="3">
        <v>2.57</v>
      </c>
      <c r="AW993" s="3">
        <v>0</v>
      </c>
      <c r="AX993" s="3">
        <v>0</v>
      </c>
      <c r="AY993" s="3">
        <v>4.3499999999999996</v>
      </c>
      <c r="AZ993" s="3">
        <v>4.3499999999999996</v>
      </c>
      <c r="BA993" s="3">
        <v>0</v>
      </c>
      <c r="BB993" s="3">
        <v>5.8</v>
      </c>
      <c r="BC993">
        <v>5.6</v>
      </c>
      <c r="BD993">
        <v>0</v>
      </c>
      <c r="BE993" s="11">
        <v>3.9580000000000002</v>
      </c>
      <c r="BF993" s="4">
        <v>4.867</v>
      </c>
      <c r="BG993" s="4">
        <v>8.7040000000000006</v>
      </c>
      <c r="BH993" s="4">
        <v>0</v>
      </c>
      <c r="BI993" s="4">
        <v>2.6349999999999998</v>
      </c>
      <c r="BJ993" s="14">
        <v>0</v>
      </c>
      <c r="BK993" s="14">
        <v>0</v>
      </c>
      <c r="BL993" s="4">
        <v>0</v>
      </c>
      <c r="BM993" s="17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7.67</v>
      </c>
      <c r="BV993" s="4">
        <v>0</v>
      </c>
      <c r="BW993" s="4">
        <v>0</v>
      </c>
      <c r="BX993" s="4">
        <v>8.8140000000000001</v>
      </c>
      <c r="BY993" s="4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 s="4">
        <v>0</v>
      </c>
      <c r="CH993" s="4">
        <v>0</v>
      </c>
      <c r="CI993" s="4">
        <v>0</v>
      </c>
      <c r="CJ993" s="34">
        <v>0</v>
      </c>
      <c r="CK993" s="34">
        <v>0</v>
      </c>
      <c r="CL993" s="34">
        <v>0</v>
      </c>
      <c r="CM993" s="4">
        <v>0</v>
      </c>
      <c r="CN993" s="53">
        <v>0</v>
      </c>
      <c r="CO993" s="54">
        <v>0</v>
      </c>
      <c r="CP993" s="54">
        <v>0</v>
      </c>
      <c r="CQ993" s="4">
        <v>0</v>
      </c>
    </row>
    <row r="994" spans="1:95" x14ac:dyDescent="0.35">
      <c r="A994" s="55">
        <v>993</v>
      </c>
      <c r="B994" t="s">
        <v>120</v>
      </c>
      <c r="C994" s="27" t="s">
        <v>1074</v>
      </c>
      <c r="D994" s="3" t="s">
        <v>94</v>
      </c>
      <c r="E994" s="33" t="s">
        <v>91</v>
      </c>
      <c r="F994" s="4">
        <f>IFERROR(AVERAGEIF(Table1[[#This Row],[2019-Apr]:[2025-July]],"&lt;&gt;0"),0)</f>
        <v>6.9150000000000009</v>
      </c>
      <c r="G994" s="4">
        <f ca="1">IFERROR(AVERAGEIF(OFFSET(Table1[[#This Row],[Status]],0,COUNT(Table1[[#This Row],[2019-May]:[2025-July]]),1,-12),"&lt;&gt;0"),0)</f>
        <v>0</v>
      </c>
      <c r="H994" s="55">
        <f>IFERROR(SMALL(Table1[[#This Row],[2019-Apr]:[2025-July]],COUNTIF(Table1[[#This Row],[2019-Apr]:[2025-July]],0)+1),0)</f>
        <v>3.6</v>
      </c>
      <c r="I994" s="56">
        <f>IFERROR(MAX(Table1[[#This Row],[2019-Apr]:[2025-July]]),0)</f>
        <v>21.1</v>
      </c>
      <c r="J994" s="4" cm="1">
        <f t="array" ref="J99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3.7816666666666667</v>
      </c>
      <c r="K994" s="4">
        <v>4.5</v>
      </c>
      <c r="L994" s="4">
        <f>IF(Table1[[#This Row],[Standard as per ISO]]&gt;=Table1[[#This Row],[Avg of best 6]],Table1[[#This Row],[Standard as per ISO]],Table1[[#This Row],[Avg of best 6]])</f>
        <v>4.5</v>
      </c>
      <c r="M994" s="4" cm="1">
        <f t="array" ref="M994">IFERROR(LOOKUP(2,1/(Table1[[#This Row],[2019-May]:[2025-July]]&lt;&gt;0),Table1[[#This Row],[2019-May]:[2025-July]]),0)</f>
        <v>14.45</v>
      </c>
      <c r="N994" s="4">
        <f>COUNTIF(Table1[[#This Row],[2019-Apr]:[2025-July]],"&gt;="&amp;Table1[[#This Row],[Target]])</f>
        <v>7</v>
      </c>
      <c r="O994" s="4">
        <f>IF(Table1[[#This Row],[Outliers 2Y]]=0,1,0)</f>
        <v>0</v>
      </c>
      <c r="P994" s="4">
        <f>IF(Table1[[#This Row],[Last value]]&gt;1.5*Table1[[#This Row],[Target]],1,0)</f>
        <v>1</v>
      </c>
      <c r="Q994" s="4">
        <f>IF(AND(1.5*Table1[[#This Row],[Target]]&gt;=Table1[[#This Row],[Last value]],Table1[[#This Row],[Last value]]&gt;Table1[[#This Row],[Target]]),1,0)</f>
        <v>0</v>
      </c>
      <c r="R994" s="4">
        <f>IF(Table1[[#This Row],[Target]]&gt;=Table1[[#This Row],[Last value]],1,0)</f>
        <v>0</v>
      </c>
      <c r="S994" s="4" t="str">
        <f t="shared" si="26"/>
        <v>Red</v>
      </c>
      <c r="T994">
        <v>6.7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3.7</v>
      </c>
      <c r="AA994">
        <v>4.3</v>
      </c>
      <c r="AB994">
        <v>4.8</v>
      </c>
      <c r="AC994">
        <v>0</v>
      </c>
      <c r="AD994">
        <v>4.9000000000000004</v>
      </c>
      <c r="AE994">
        <v>5.2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21.1</v>
      </c>
      <c r="AQ994">
        <v>0</v>
      </c>
      <c r="AR994" s="8">
        <v>18</v>
      </c>
      <c r="AS994" s="8">
        <v>0</v>
      </c>
      <c r="AT994" s="8">
        <v>0</v>
      </c>
      <c r="AU994" s="3">
        <v>0</v>
      </c>
      <c r="AV994" s="3">
        <v>0</v>
      </c>
      <c r="AW994" s="3">
        <v>3.87</v>
      </c>
      <c r="AX994" s="3">
        <v>4.12</v>
      </c>
      <c r="AY994" s="3">
        <v>0</v>
      </c>
      <c r="AZ994" s="3">
        <v>3.6</v>
      </c>
      <c r="BA994" s="3">
        <v>3.7</v>
      </c>
      <c r="BB994" s="3">
        <v>3.7</v>
      </c>
      <c r="BC994">
        <v>4.3</v>
      </c>
      <c r="BD994">
        <v>0</v>
      </c>
      <c r="BE994" s="11">
        <v>4.2</v>
      </c>
      <c r="BF994" s="4">
        <v>0</v>
      </c>
      <c r="BG994" s="4">
        <v>0</v>
      </c>
      <c r="BH994" s="4">
        <v>14.45</v>
      </c>
      <c r="BI994" s="4">
        <v>0</v>
      </c>
      <c r="BJ994" s="13">
        <v>0</v>
      </c>
      <c r="BK994" s="13">
        <v>0</v>
      </c>
      <c r="BL994" s="4">
        <v>0</v>
      </c>
      <c r="BM994" s="16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 s="4">
        <v>0</v>
      </c>
      <c r="CH994" s="4">
        <v>0</v>
      </c>
      <c r="CI994" s="4">
        <v>0</v>
      </c>
      <c r="CJ994" s="34">
        <v>0</v>
      </c>
      <c r="CK994" s="34">
        <v>0</v>
      </c>
      <c r="CL994" s="34">
        <v>0</v>
      </c>
      <c r="CM994" s="4">
        <v>0</v>
      </c>
      <c r="CN994" s="53">
        <v>0</v>
      </c>
      <c r="CO994" s="54">
        <v>0</v>
      </c>
      <c r="CP994" s="54">
        <v>0</v>
      </c>
      <c r="CQ994" s="4">
        <v>0</v>
      </c>
    </row>
    <row r="995" spans="1:95" x14ac:dyDescent="0.35">
      <c r="A995" s="55">
        <v>994</v>
      </c>
      <c r="B995" t="s">
        <v>120</v>
      </c>
      <c r="C995" s="27" t="s">
        <v>1075</v>
      </c>
      <c r="D995" s="3" t="s">
        <v>94</v>
      </c>
      <c r="E995" s="33" t="s">
        <v>89</v>
      </c>
      <c r="F995" s="4">
        <f>IFERROR(AVERAGEIF(Table1[[#This Row],[2019-Apr]:[2025-July]],"&lt;&gt;0"),0)</f>
        <v>2.13</v>
      </c>
      <c r="G995" s="4">
        <f ca="1">IFERROR(AVERAGEIF(OFFSET(Table1[[#This Row],[Status]],0,COUNT(Table1[[#This Row],[2019-May]:[2025-July]]),1,-12),"&lt;&gt;0"),0)</f>
        <v>0</v>
      </c>
      <c r="H995" s="55">
        <f>IFERROR(SMALL(Table1[[#This Row],[2019-Apr]:[2025-July]],COUNTIF(Table1[[#This Row],[2019-Apr]:[2025-July]],0)+1),0)</f>
        <v>2.1</v>
      </c>
      <c r="I995" s="56">
        <f>IFERROR(MAX(Table1[[#This Row],[2019-Apr]:[2025-July]]),0)</f>
        <v>2.16</v>
      </c>
      <c r="J995" s="4" cm="1">
        <f t="array" ref="J99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2.13</v>
      </c>
      <c r="K995" s="4">
        <v>4.5</v>
      </c>
      <c r="L995" s="4">
        <f>IF(Table1[[#This Row],[Standard as per ISO]]&gt;=Table1[[#This Row],[Avg of best 6]],Table1[[#This Row],[Standard as per ISO]],Table1[[#This Row],[Avg of best 6]])</f>
        <v>4.5</v>
      </c>
      <c r="M995" s="4" cm="1">
        <f t="array" ref="M995">IFERROR(LOOKUP(2,1/(Table1[[#This Row],[2019-May]:[2025-July]]&lt;&gt;0),Table1[[#This Row],[2019-May]:[2025-July]]),0)</f>
        <v>2.1</v>
      </c>
      <c r="N995" s="4">
        <f>COUNTIF(Table1[[#This Row],[2019-Apr]:[2025-July]],"&gt;="&amp;Table1[[#This Row],[Target]])</f>
        <v>0</v>
      </c>
      <c r="O995" s="4">
        <f>IF(Table1[[#This Row],[Outliers 2Y]]=0,1,0)</f>
        <v>1</v>
      </c>
      <c r="P995" s="4">
        <f>IF(Table1[[#This Row],[Last value]]&gt;1.5*Table1[[#This Row],[Target]],1,0)</f>
        <v>0</v>
      </c>
      <c r="Q995" s="4">
        <f>IF(AND(1.5*Table1[[#This Row],[Target]]&gt;=Table1[[#This Row],[Last value]],Table1[[#This Row],[Last value]]&gt;Table1[[#This Row],[Target]]),1,0)</f>
        <v>0</v>
      </c>
      <c r="R995" s="4">
        <f>IF(Table1[[#This Row],[Target]]&gt;=Table1[[#This Row],[Last value]],1,0)</f>
        <v>1</v>
      </c>
      <c r="S995" s="4" t="str">
        <f t="shared" si="26"/>
        <v>Green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2.16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2.1</v>
      </c>
      <c r="AP995">
        <v>0</v>
      </c>
      <c r="AQ995">
        <v>0</v>
      </c>
      <c r="AR995" s="8">
        <v>0</v>
      </c>
      <c r="AS995" s="8">
        <v>0</v>
      </c>
      <c r="AT995" s="8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  <c r="BD995">
        <v>0</v>
      </c>
      <c r="BE995" s="11">
        <v>0</v>
      </c>
      <c r="BF995" s="4">
        <v>0</v>
      </c>
      <c r="BG995" s="4">
        <v>0</v>
      </c>
      <c r="BH995" s="4">
        <v>0</v>
      </c>
      <c r="BI995" s="4">
        <v>0</v>
      </c>
      <c r="BJ995" s="14">
        <v>0</v>
      </c>
      <c r="BK995" s="14">
        <v>0</v>
      </c>
      <c r="BL995" s="4">
        <v>0</v>
      </c>
      <c r="BM995" s="17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 s="4">
        <v>0</v>
      </c>
      <c r="CH995" s="4">
        <v>0</v>
      </c>
      <c r="CI995" s="4">
        <v>0</v>
      </c>
      <c r="CJ995" s="34">
        <v>0</v>
      </c>
      <c r="CK995" s="34">
        <v>0</v>
      </c>
      <c r="CL995" s="43">
        <v>0</v>
      </c>
      <c r="CM995" s="4">
        <v>0</v>
      </c>
      <c r="CN995" s="53">
        <v>0</v>
      </c>
      <c r="CO995" s="54">
        <v>0</v>
      </c>
      <c r="CP995" s="54">
        <v>0</v>
      </c>
      <c r="CQ995" s="4">
        <v>0</v>
      </c>
    </row>
    <row r="996" spans="1:95" x14ac:dyDescent="0.35">
      <c r="A996" s="55">
        <v>995</v>
      </c>
      <c r="B996" t="s">
        <v>120</v>
      </c>
      <c r="C996" s="27" t="s">
        <v>1076</v>
      </c>
      <c r="D996" s="3" t="s">
        <v>94</v>
      </c>
      <c r="E996" s="33" t="s">
        <v>89</v>
      </c>
      <c r="F996" s="4">
        <f>IFERROR(AVERAGEIF(Table1[[#This Row],[2019-Apr]:[2025-July]],"&lt;&gt;0"),0)</f>
        <v>10.673333333333332</v>
      </c>
      <c r="G996" s="4">
        <f ca="1">IFERROR(AVERAGEIF(OFFSET(Table1[[#This Row],[Status]],0,COUNT(Table1[[#This Row],[2019-May]:[2025-July]]),1,-12),"&lt;&gt;0"),0)</f>
        <v>10.673333333333332</v>
      </c>
      <c r="H996" s="55">
        <f>IFERROR(SMALL(Table1[[#This Row],[2019-Apr]:[2025-July]],COUNTIF(Table1[[#This Row],[2019-Apr]:[2025-July]],0)+1),0)</f>
        <v>9.7100000000000009</v>
      </c>
      <c r="I996" s="56">
        <f>IFERROR(MAX(Table1[[#This Row],[2019-Apr]:[2025-July]]),0)</f>
        <v>11.91</v>
      </c>
      <c r="J996" s="4" cm="1">
        <f t="array" ref="J99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10.673333333333332</v>
      </c>
      <c r="K996" s="4">
        <v>4.5</v>
      </c>
      <c r="L996" s="4">
        <f>IF(Table1[[#This Row],[Standard as per ISO]]&gt;=Table1[[#This Row],[Avg of best 6]],Table1[[#This Row],[Standard as per ISO]],Table1[[#This Row],[Avg of best 6]])</f>
        <v>10.673333333333332</v>
      </c>
      <c r="M996" s="4" cm="1">
        <f t="array" ref="M996">IFERROR(LOOKUP(2,1/(Table1[[#This Row],[2019-May]:[2025-July]]&lt;&gt;0),Table1[[#This Row],[2019-May]:[2025-July]]),0)</f>
        <v>11.91</v>
      </c>
      <c r="N996" s="4">
        <f>COUNTIF(Table1[[#This Row],[2019-Apr]:[2025-July]],"&gt;="&amp;Table1[[#This Row],[Target]])</f>
        <v>1</v>
      </c>
      <c r="O996" s="4">
        <f>IF(Table1[[#This Row],[Outliers 2Y]]=0,1,0)</f>
        <v>0</v>
      </c>
      <c r="P996" s="4">
        <f>IF(Table1[[#This Row],[Last value]]&gt;1.5*Table1[[#This Row],[Target]],1,0)</f>
        <v>0</v>
      </c>
      <c r="Q996" s="4">
        <f>IF(AND(1.5*Table1[[#This Row],[Target]]&gt;=Table1[[#This Row],[Last value]],Table1[[#This Row],[Last value]]&gt;Table1[[#This Row],[Target]]),1,0)</f>
        <v>1</v>
      </c>
      <c r="R996" s="4">
        <f>IF(Table1[[#This Row],[Target]]&gt;=Table1[[#This Row],[Last value]],1,0)</f>
        <v>0</v>
      </c>
      <c r="S996" s="4" t="str">
        <f t="shared" si="26"/>
        <v>Yellow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 s="34">
        <v>0</v>
      </c>
      <c r="CK996" s="34">
        <v>0</v>
      </c>
      <c r="CL996" s="43">
        <v>0</v>
      </c>
      <c r="CM996" s="4">
        <v>10.4</v>
      </c>
      <c r="CN996" s="53">
        <v>9.7100000000000009</v>
      </c>
      <c r="CO996" s="54">
        <v>11.91</v>
      </c>
      <c r="CP996" s="54">
        <v>0</v>
      </c>
      <c r="CQ996" s="4">
        <v>0</v>
      </c>
    </row>
    <row r="997" spans="1:95" x14ac:dyDescent="0.35">
      <c r="A997" s="55">
        <v>996</v>
      </c>
      <c r="B997" t="s">
        <v>120</v>
      </c>
      <c r="C997" s="27" t="s">
        <v>1077</v>
      </c>
      <c r="D997" s="3" t="s">
        <v>94</v>
      </c>
      <c r="E997" s="33" t="s">
        <v>89</v>
      </c>
      <c r="F997" s="4">
        <f>IFERROR(AVERAGEIF(Table1[[#This Row],[2019-Apr]:[2025-July]],"&lt;&gt;0"),0)</f>
        <v>0</v>
      </c>
      <c r="G997" s="4">
        <f ca="1">IFERROR(AVERAGEIF(OFFSET(Table1[[#This Row],[Status]],0,COUNT(Table1[[#This Row],[2019-May]:[2025-July]]),1,-12),"&lt;&gt;0"),0)</f>
        <v>0</v>
      </c>
      <c r="H997" s="55">
        <f>IFERROR(SMALL(Table1[[#This Row],[2019-Apr]:[2025-July]],COUNTIF(Table1[[#This Row],[2019-Apr]:[2025-July]],0)+1),0)</f>
        <v>0</v>
      </c>
      <c r="I997" s="56">
        <f>IFERROR(MAX(Table1[[#This Row],[2019-Apr]:[2025-July]]),0)</f>
        <v>0</v>
      </c>
      <c r="J997" s="4" cm="1">
        <f t="array" ref="J99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997" s="4">
        <v>4.5</v>
      </c>
      <c r="L997" s="4">
        <f>IF(Table1[[#This Row],[Standard as per ISO]]&gt;=Table1[[#This Row],[Avg of best 6]],Table1[[#This Row],[Standard as per ISO]],Table1[[#This Row],[Avg of best 6]])</f>
        <v>4.5</v>
      </c>
      <c r="M997" s="4" cm="1">
        <f t="array" ref="M997">IFERROR(LOOKUP(2,1/(Table1[[#This Row],[2019-May]:[2025-July]]&lt;&gt;0),Table1[[#This Row],[2019-May]:[2025-July]]),0)</f>
        <v>0</v>
      </c>
      <c r="N997" s="4">
        <f>COUNTIF(Table1[[#This Row],[2019-Apr]:[2025-July]],"&gt;="&amp;Table1[[#This Row],[Target]])</f>
        <v>0</v>
      </c>
      <c r="O997" s="4">
        <f>IF(Table1[[#This Row],[Outliers 2Y]]=0,1,0)</f>
        <v>1</v>
      </c>
      <c r="P997" s="4">
        <f>IF(Table1[[#This Row],[Last value]]&gt;1.5*Table1[[#This Row],[Target]],1,0)</f>
        <v>0</v>
      </c>
      <c r="Q997" s="4">
        <f>IF(AND(1.5*Table1[[#This Row],[Target]]&gt;=Table1[[#This Row],[Last value]],Table1[[#This Row],[Last value]]&gt;Table1[[#This Row],[Target]]),1,0)</f>
        <v>0</v>
      </c>
      <c r="R997" s="4">
        <f>IF(Table1[[#This Row],[Target]]&gt;=Table1[[#This Row],[Last value]],1,0)</f>
        <v>1</v>
      </c>
      <c r="S997" s="4" t="str">
        <f t="shared" ref="S997:S1002" si="27">IF(P997=1, "Red", IF(Q997=1, "Yellow", "Green"))</f>
        <v>Green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 s="34">
        <v>0</v>
      </c>
      <c r="CK997" s="34">
        <v>0</v>
      </c>
      <c r="CL997" s="43">
        <v>0</v>
      </c>
      <c r="CM997" s="4">
        <v>0</v>
      </c>
      <c r="CN997" s="53">
        <v>0</v>
      </c>
      <c r="CO997" s="54">
        <v>0</v>
      </c>
      <c r="CP997" s="54">
        <v>0</v>
      </c>
      <c r="CQ997" s="4">
        <v>0</v>
      </c>
    </row>
    <row r="998" spans="1:95" x14ac:dyDescent="0.35">
      <c r="A998" s="55">
        <v>997</v>
      </c>
      <c r="B998" t="s">
        <v>120</v>
      </c>
      <c r="C998" s="27" t="s">
        <v>1078</v>
      </c>
      <c r="D998" s="3" t="s">
        <v>96</v>
      </c>
      <c r="E998" s="33" t="s">
        <v>89</v>
      </c>
      <c r="F998" s="4">
        <f>IFERROR(AVERAGEIF(Table1[[#This Row],[2019-Apr]:[2025-July]],"&lt;&gt;0"),0)</f>
        <v>0</v>
      </c>
      <c r="G998" s="4">
        <f ca="1">IFERROR(AVERAGEIF(OFFSET(Table1[[#This Row],[Status]],0,COUNT(Table1[[#This Row],[2019-May]:[2025-July]]),1,-12),"&lt;&gt;0"),0)</f>
        <v>0</v>
      </c>
      <c r="H998" s="55">
        <f>IFERROR(SMALL(Table1[[#This Row],[2019-Apr]:[2025-July]],COUNTIF(Table1[[#This Row],[2019-Apr]:[2025-July]],0)+1),0)</f>
        <v>0</v>
      </c>
      <c r="I998" s="56">
        <f>IFERROR(MAX(Table1[[#This Row],[2019-Apr]:[2025-July]]),0)</f>
        <v>0</v>
      </c>
      <c r="J998" s="4" cm="1">
        <f t="array" ref="J99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998" s="4">
        <v>4.5</v>
      </c>
      <c r="L998" s="4">
        <f>IF(Table1[[#This Row],[Standard as per ISO]]&gt;=Table1[[#This Row],[Avg of best 6]],Table1[[#This Row],[Standard as per ISO]],Table1[[#This Row],[Avg of best 6]])</f>
        <v>4.5</v>
      </c>
      <c r="M998" s="4" cm="1">
        <f t="array" ref="M998">IFERROR(LOOKUP(2,1/(Table1[[#This Row],[2019-May]:[2025-July]]&lt;&gt;0),Table1[[#This Row],[2019-May]:[2025-July]]),0)</f>
        <v>0</v>
      </c>
      <c r="N998" s="4">
        <f>COUNTIF(Table1[[#This Row],[2019-Apr]:[2025-July]],"&gt;="&amp;Table1[[#This Row],[Target]])</f>
        <v>0</v>
      </c>
      <c r="O998" s="4">
        <f>IF(Table1[[#This Row],[Outliers 2Y]]=0,1,0)</f>
        <v>1</v>
      </c>
      <c r="P998" s="4">
        <f>IF(Table1[[#This Row],[Last value]]&gt;1.5*Table1[[#This Row],[Target]],1,0)</f>
        <v>0</v>
      </c>
      <c r="Q998" s="4">
        <f>IF(AND(1.5*Table1[[#This Row],[Target]]&gt;=Table1[[#This Row],[Last value]],Table1[[#This Row],[Last value]]&gt;Table1[[#This Row],[Target]]),1,0)</f>
        <v>0</v>
      </c>
      <c r="R998" s="4">
        <f>IF(Table1[[#This Row],[Target]]&gt;=Table1[[#This Row],[Last value]],1,0)</f>
        <v>1</v>
      </c>
      <c r="S998" s="4" t="str">
        <f t="shared" si="27"/>
        <v>Green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 s="34">
        <v>0</v>
      </c>
      <c r="CK998" s="34">
        <v>0</v>
      </c>
      <c r="CL998" s="43">
        <v>0</v>
      </c>
      <c r="CM998" s="4">
        <v>0</v>
      </c>
      <c r="CN998" s="53">
        <v>0</v>
      </c>
      <c r="CO998" s="54">
        <v>0</v>
      </c>
      <c r="CP998" s="54">
        <v>0</v>
      </c>
      <c r="CQ998" s="4">
        <v>0</v>
      </c>
    </row>
    <row r="999" spans="1:95" s="55" customFormat="1" x14ac:dyDescent="0.35">
      <c r="A999" s="55">
        <v>998</v>
      </c>
      <c r="B999" s="55" t="s">
        <v>120</v>
      </c>
      <c r="C999" s="27" t="s">
        <v>1591</v>
      </c>
      <c r="D999" s="50" t="s">
        <v>93</v>
      </c>
      <c r="E999" s="33" t="s">
        <v>89</v>
      </c>
      <c r="F999" s="4">
        <f>IFERROR(AVERAGEIF(Table1[[#This Row],[2019-Apr]:[2025-July]],"&lt;&gt;0"),0)</f>
        <v>0</v>
      </c>
      <c r="G999" s="4">
        <f ca="1">IFERROR(AVERAGEIF(OFFSET(Table1[[#This Row],[Status]],0,COUNT(Table1[[#This Row],[2019-May]:[2025-July]]),1,-12),"&lt;&gt;0"),0)</f>
        <v>0</v>
      </c>
      <c r="H999" s="55">
        <f>IFERROR(SMALL(Table1[[#This Row],[2019-Apr]:[2025-July]],COUNTIF(Table1[[#This Row],[2019-Apr]:[2025-July]],0)+1),0)</f>
        <v>0</v>
      </c>
      <c r="I999" s="56">
        <f>IFERROR(MAX(Table1[[#This Row],[2019-Apr]:[2025-July]]),0)</f>
        <v>0</v>
      </c>
      <c r="J999" s="4" cm="1">
        <f t="array" ref="J99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999" s="4">
        <v>4.5</v>
      </c>
      <c r="L999" s="4">
        <f>IF(Table1[[#This Row],[Standard as per ISO]]&gt;=Table1[[#This Row],[Avg of best 6]],Table1[[#This Row],[Standard as per ISO]],Table1[[#This Row],[Avg of best 6]])</f>
        <v>4.5</v>
      </c>
      <c r="M999" s="4" cm="1">
        <f t="array" ref="M999">IFERROR(LOOKUP(2,1/(Table1[[#This Row],[2019-May]:[2025-July]]&lt;&gt;0),Table1[[#This Row],[2019-May]:[2025-July]]),0)</f>
        <v>0</v>
      </c>
      <c r="N999" s="4">
        <f>COUNTIF(Table1[[#This Row],[2019-Apr]:[2025-July]],"&gt;="&amp;Table1[[#This Row],[Target]])</f>
        <v>0</v>
      </c>
      <c r="O999" s="4">
        <f>IF(Table1[[#This Row],[Outliers 2Y]]=0,1,0)</f>
        <v>1</v>
      </c>
      <c r="P999" s="4">
        <f>IF(Table1[[#This Row],[Last value]]&gt;1.5*Table1[[#This Row],[Target]],1,0)</f>
        <v>0</v>
      </c>
      <c r="Q999" s="4">
        <f>IF(AND(1.5*Table1[[#This Row],[Target]]&gt;=Table1[[#This Row],[Last value]],Table1[[#This Row],[Last value]]&gt;Table1[[#This Row],[Target]]),1,0)</f>
        <v>0</v>
      </c>
      <c r="R999" s="4">
        <f>IF(Table1[[#This Row],[Target]]&gt;=Table1[[#This Row],[Last value]],1,0)</f>
        <v>1</v>
      </c>
      <c r="S999" s="4" t="str">
        <f t="shared" si="27"/>
        <v>Green</v>
      </c>
      <c r="T999" s="55">
        <v>0</v>
      </c>
      <c r="U999" s="55">
        <v>0</v>
      </c>
      <c r="V999" s="55">
        <v>0</v>
      </c>
      <c r="W999" s="55">
        <v>0</v>
      </c>
      <c r="X999" s="55">
        <v>0</v>
      </c>
      <c r="Y999" s="55">
        <v>0</v>
      </c>
      <c r="Z999" s="55">
        <v>0</v>
      </c>
      <c r="AA999" s="55">
        <v>0</v>
      </c>
      <c r="AB999" s="55">
        <v>0</v>
      </c>
      <c r="AC999" s="55">
        <v>0</v>
      </c>
      <c r="AD999" s="55">
        <v>0</v>
      </c>
      <c r="AE999" s="55">
        <v>0</v>
      </c>
      <c r="AF999" s="55">
        <v>0</v>
      </c>
      <c r="AG999" s="55">
        <v>0</v>
      </c>
      <c r="AH999" s="55">
        <v>0</v>
      </c>
      <c r="AI999" s="55">
        <v>0</v>
      </c>
      <c r="AJ999" s="55">
        <v>0</v>
      </c>
      <c r="AK999" s="55">
        <v>0</v>
      </c>
      <c r="AL999" s="55">
        <v>0</v>
      </c>
      <c r="AM999" s="55">
        <v>0</v>
      </c>
      <c r="AN999" s="55">
        <v>0</v>
      </c>
      <c r="AO999" s="55">
        <v>0</v>
      </c>
      <c r="AP999" s="55">
        <v>0</v>
      </c>
      <c r="AQ999" s="55">
        <v>0</v>
      </c>
      <c r="AR999" s="55">
        <v>0</v>
      </c>
      <c r="AS999" s="55">
        <v>0</v>
      </c>
      <c r="AT999" s="55">
        <v>0</v>
      </c>
      <c r="AU999" s="55">
        <v>0</v>
      </c>
      <c r="AV999" s="55">
        <v>0</v>
      </c>
      <c r="AW999" s="55">
        <v>0</v>
      </c>
      <c r="AX999" s="55">
        <v>0</v>
      </c>
      <c r="AY999" s="55">
        <v>0</v>
      </c>
      <c r="AZ999" s="55">
        <v>0</v>
      </c>
      <c r="BA999" s="55">
        <v>0</v>
      </c>
      <c r="BB999" s="55">
        <v>0</v>
      </c>
      <c r="BC999" s="55">
        <v>0</v>
      </c>
      <c r="BD999" s="55">
        <v>0</v>
      </c>
      <c r="BE999" s="55">
        <v>0</v>
      </c>
      <c r="BF999" s="55">
        <v>0</v>
      </c>
      <c r="BG999" s="55">
        <v>0</v>
      </c>
      <c r="BH999" s="55">
        <v>0</v>
      </c>
      <c r="BI999" s="55">
        <v>0</v>
      </c>
      <c r="BJ999" s="55">
        <v>0</v>
      </c>
      <c r="BK999" s="55">
        <v>0</v>
      </c>
      <c r="BL999" s="55">
        <v>0</v>
      </c>
      <c r="BM999" s="55">
        <v>0</v>
      </c>
      <c r="BN999" s="55">
        <v>0</v>
      </c>
      <c r="BO999" s="55">
        <v>0</v>
      </c>
      <c r="BP999" s="55">
        <v>0</v>
      </c>
      <c r="BQ999" s="55">
        <v>0</v>
      </c>
      <c r="BR999" s="55">
        <v>0</v>
      </c>
      <c r="BS999" s="55">
        <v>0</v>
      </c>
      <c r="BT999" s="55">
        <v>0</v>
      </c>
      <c r="BU999" s="55">
        <v>0</v>
      </c>
      <c r="BV999" s="55">
        <v>0</v>
      </c>
      <c r="BW999" s="55">
        <v>0</v>
      </c>
      <c r="BX999" s="55">
        <v>0</v>
      </c>
      <c r="BY999" s="55">
        <v>0</v>
      </c>
      <c r="BZ999" s="55">
        <v>0</v>
      </c>
      <c r="CA999" s="55">
        <v>0</v>
      </c>
      <c r="CB999" s="55">
        <v>0</v>
      </c>
      <c r="CC999" s="55">
        <v>0</v>
      </c>
      <c r="CD999" s="55">
        <v>0</v>
      </c>
      <c r="CE999" s="55">
        <v>0</v>
      </c>
      <c r="CF999" s="55">
        <v>0</v>
      </c>
      <c r="CG999" s="55">
        <v>0</v>
      </c>
      <c r="CH999" s="55">
        <v>0</v>
      </c>
      <c r="CI999" s="55">
        <v>0</v>
      </c>
      <c r="CJ999" s="55">
        <v>0</v>
      </c>
      <c r="CK999" s="55">
        <v>0</v>
      </c>
      <c r="CL999" s="55">
        <v>0</v>
      </c>
      <c r="CM999" s="55">
        <v>0</v>
      </c>
      <c r="CN999" s="55">
        <v>0</v>
      </c>
      <c r="CO999" s="55">
        <v>0</v>
      </c>
      <c r="CP999" s="55">
        <v>0</v>
      </c>
      <c r="CQ999" s="4">
        <v>0</v>
      </c>
    </row>
    <row r="1000" spans="1:95" s="55" customFormat="1" x14ac:dyDescent="0.35">
      <c r="A1000" s="55">
        <v>999</v>
      </c>
      <c r="B1000" s="55" t="s">
        <v>120</v>
      </c>
      <c r="C1000" s="27" t="s">
        <v>1592</v>
      </c>
      <c r="D1000" s="50" t="s">
        <v>121</v>
      </c>
      <c r="E1000" s="33" t="s">
        <v>89</v>
      </c>
      <c r="F1000" s="4">
        <f>IFERROR(AVERAGEIF(Table1[[#This Row],[2019-Apr]:[2025-July]],"&lt;&gt;0"),0)</f>
        <v>0</v>
      </c>
      <c r="G1000" s="4">
        <f ca="1">IFERROR(AVERAGEIF(OFFSET(Table1[[#This Row],[Status]],0,COUNT(Table1[[#This Row],[2019-May]:[2025-July]]),1,-12),"&lt;&gt;0"),0)</f>
        <v>0</v>
      </c>
      <c r="H1000" s="55">
        <f>IFERROR(SMALL(Table1[[#This Row],[2019-Apr]:[2025-July]],COUNTIF(Table1[[#This Row],[2019-Apr]:[2025-July]],0)+1),0)</f>
        <v>0</v>
      </c>
      <c r="I1000" s="56">
        <f>IFERROR(MAX(Table1[[#This Row],[2019-Apr]:[2025-July]]),0)</f>
        <v>0</v>
      </c>
      <c r="J1000" s="4" cm="1">
        <f t="array" ref="J100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000" s="4">
        <v>4.5</v>
      </c>
      <c r="L1000" s="4">
        <f>IF(Table1[[#This Row],[Standard as per ISO]]&gt;=Table1[[#This Row],[Avg of best 6]],Table1[[#This Row],[Standard as per ISO]],Table1[[#This Row],[Avg of best 6]])</f>
        <v>4.5</v>
      </c>
      <c r="M1000" s="4" cm="1">
        <f t="array" ref="M1000">IFERROR(LOOKUP(2,1/(Table1[[#This Row],[2019-May]:[2025-July]]&lt;&gt;0),Table1[[#This Row],[2019-May]:[2025-July]]),0)</f>
        <v>0</v>
      </c>
      <c r="N1000" s="4">
        <f>COUNTIF(Table1[[#This Row],[2019-Apr]:[2025-July]],"&gt;="&amp;Table1[[#This Row],[Target]])</f>
        <v>0</v>
      </c>
      <c r="O1000" s="4">
        <f>IF(Table1[[#This Row],[Outliers 2Y]]=0,1,0)</f>
        <v>1</v>
      </c>
      <c r="P1000" s="4">
        <f>IF(Table1[[#This Row],[Last value]]&gt;1.5*Table1[[#This Row],[Target]],1,0)</f>
        <v>0</v>
      </c>
      <c r="Q1000" s="4">
        <f>IF(AND(1.5*Table1[[#This Row],[Target]]&gt;=Table1[[#This Row],[Last value]],Table1[[#This Row],[Last value]]&gt;Table1[[#This Row],[Target]]),1,0)</f>
        <v>0</v>
      </c>
      <c r="R1000" s="4">
        <f>IF(Table1[[#This Row],[Target]]&gt;=Table1[[#This Row],[Last value]],1,0)</f>
        <v>1</v>
      </c>
      <c r="S1000" s="4" t="str">
        <f t="shared" si="27"/>
        <v>Green</v>
      </c>
      <c r="T1000" s="55">
        <v>0</v>
      </c>
      <c r="U1000" s="55">
        <v>0</v>
      </c>
      <c r="V1000" s="55">
        <v>0</v>
      </c>
      <c r="W1000" s="55">
        <v>0</v>
      </c>
      <c r="X1000" s="55">
        <v>0</v>
      </c>
      <c r="Y1000" s="55">
        <v>0</v>
      </c>
      <c r="Z1000" s="55">
        <v>0</v>
      </c>
      <c r="AA1000" s="55">
        <v>0</v>
      </c>
      <c r="AB1000" s="55">
        <v>0</v>
      </c>
      <c r="AC1000" s="55">
        <v>0</v>
      </c>
      <c r="AD1000" s="55">
        <v>0</v>
      </c>
      <c r="AE1000" s="55">
        <v>0</v>
      </c>
      <c r="AF1000" s="55">
        <v>0</v>
      </c>
      <c r="AG1000" s="55">
        <v>0</v>
      </c>
      <c r="AH1000" s="55">
        <v>0</v>
      </c>
      <c r="AI1000" s="55">
        <v>0</v>
      </c>
      <c r="AJ1000" s="55">
        <v>0</v>
      </c>
      <c r="AK1000" s="55">
        <v>0</v>
      </c>
      <c r="AL1000" s="55">
        <v>0</v>
      </c>
      <c r="AM1000" s="55">
        <v>0</v>
      </c>
      <c r="AN1000" s="55">
        <v>0</v>
      </c>
      <c r="AO1000" s="55">
        <v>0</v>
      </c>
      <c r="AP1000" s="55">
        <v>0</v>
      </c>
      <c r="AQ1000" s="55">
        <v>0</v>
      </c>
      <c r="AR1000" s="55">
        <v>0</v>
      </c>
      <c r="AS1000" s="55">
        <v>0</v>
      </c>
      <c r="AT1000" s="55">
        <v>0</v>
      </c>
      <c r="AU1000" s="55">
        <v>0</v>
      </c>
      <c r="AV1000" s="55">
        <v>0</v>
      </c>
      <c r="AW1000" s="55">
        <v>0</v>
      </c>
      <c r="AX1000" s="55">
        <v>0</v>
      </c>
      <c r="AY1000" s="55">
        <v>0</v>
      </c>
      <c r="AZ1000" s="55">
        <v>0</v>
      </c>
      <c r="BA1000" s="55">
        <v>0</v>
      </c>
      <c r="BB1000" s="55">
        <v>0</v>
      </c>
      <c r="BC1000" s="55">
        <v>0</v>
      </c>
      <c r="BD1000" s="55">
        <v>0</v>
      </c>
      <c r="BE1000" s="55">
        <v>0</v>
      </c>
      <c r="BF1000" s="55">
        <v>0</v>
      </c>
      <c r="BG1000" s="55">
        <v>0</v>
      </c>
      <c r="BH1000" s="55">
        <v>0</v>
      </c>
      <c r="BI1000" s="55">
        <v>0</v>
      </c>
      <c r="BJ1000" s="55">
        <v>0</v>
      </c>
      <c r="BK1000" s="55">
        <v>0</v>
      </c>
      <c r="BL1000" s="55">
        <v>0</v>
      </c>
      <c r="BM1000" s="55">
        <v>0</v>
      </c>
      <c r="BN1000" s="55">
        <v>0</v>
      </c>
      <c r="BO1000" s="55">
        <v>0</v>
      </c>
      <c r="BP1000" s="55">
        <v>0</v>
      </c>
      <c r="BQ1000" s="55">
        <v>0</v>
      </c>
      <c r="BR1000" s="55">
        <v>0</v>
      </c>
      <c r="BS1000" s="55">
        <v>0</v>
      </c>
      <c r="BT1000" s="55">
        <v>0</v>
      </c>
      <c r="BU1000" s="55">
        <v>0</v>
      </c>
      <c r="BV1000" s="55">
        <v>0</v>
      </c>
      <c r="BW1000" s="55">
        <v>0</v>
      </c>
      <c r="BX1000" s="55">
        <v>0</v>
      </c>
      <c r="BY1000" s="55">
        <v>0</v>
      </c>
      <c r="BZ1000" s="55">
        <v>0</v>
      </c>
      <c r="CA1000" s="55">
        <v>0</v>
      </c>
      <c r="CB1000" s="55">
        <v>0</v>
      </c>
      <c r="CC1000" s="55">
        <v>0</v>
      </c>
      <c r="CD1000" s="55">
        <v>0</v>
      </c>
      <c r="CE1000" s="55">
        <v>0</v>
      </c>
      <c r="CF1000" s="55">
        <v>0</v>
      </c>
      <c r="CG1000" s="55">
        <v>0</v>
      </c>
      <c r="CH1000" s="55">
        <v>0</v>
      </c>
      <c r="CI1000" s="55">
        <v>0</v>
      </c>
      <c r="CJ1000" s="55">
        <v>0</v>
      </c>
      <c r="CK1000" s="55">
        <v>0</v>
      </c>
      <c r="CL1000" s="55">
        <v>0</v>
      </c>
      <c r="CM1000" s="55">
        <v>0</v>
      </c>
      <c r="CN1000" s="55">
        <v>0</v>
      </c>
      <c r="CO1000" s="55">
        <v>0</v>
      </c>
      <c r="CP1000" s="55">
        <v>0</v>
      </c>
      <c r="CQ1000" s="4">
        <v>0</v>
      </c>
    </row>
    <row r="1001" spans="1:95" s="55" customFormat="1" x14ac:dyDescent="0.35">
      <c r="A1001" s="55">
        <v>1000</v>
      </c>
      <c r="B1001" s="55" t="s">
        <v>120</v>
      </c>
      <c r="C1001" s="27" t="s">
        <v>1593</v>
      </c>
      <c r="D1001" s="50" t="s">
        <v>121</v>
      </c>
      <c r="E1001" s="33" t="s">
        <v>89</v>
      </c>
      <c r="F1001" s="4">
        <f>IFERROR(AVERAGEIF(Table1[[#This Row],[2019-Apr]:[2025-July]],"&lt;&gt;0"),0)</f>
        <v>0</v>
      </c>
      <c r="G1001" s="4">
        <f ca="1">IFERROR(AVERAGEIF(OFFSET(Table1[[#This Row],[Status]],0,COUNT(Table1[[#This Row],[2019-May]:[2025-July]]),1,-12),"&lt;&gt;0"),0)</f>
        <v>0</v>
      </c>
      <c r="H1001" s="55">
        <f>IFERROR(SMALL(Table1[[#This Row],[2019-Apr]:[2025-July]],COUNTIF(Table1[[#This Row],[2019-Apr]:[2025-July]],0)+1),0)</f>
        <v>0</v>
      </c>
      <c r="I1001" s="56">
        <f>IFERROR(MAX(Table1[[#This Row],[2019-Apr]:[2025-July]]),0)</f>
        <v>0</v>
      </c>
      <c r="J1001" s="4" cm="1">
        <f t="array" ref="J100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001" s="4">
        <v>4.5</v>
      </c>
      <c r="L1001" s="4">
        <f>IF(Table1[[#This Row],[Standard as per ISO]]&gt;=Table1[[#This Row],[Avg of best 6]],Table1[[#This Row],[Standard as per ISO]],Table1[[#This Row],[Avg of best 6]])</f>
        <v>4.5</v>
      </c>
      <c r="M1001" s="4" cm="1">
        <f t="array" ref="M1001">IFERROR(LOOKUP(2,1/(Table1[[#This Row],[2019-May]:[2025-July]]&lt;&gt;0),Table1[[#This Row],[2019-May]:[2025-July]]),0)</f>
        <v>0</v>
      </c>
      <c r="N1001" s="4">
        <f>COUNTIF(Table1[[#This Row],[2019-Apr]:[2025-July]],"&gt;="&amp;Table1[[#This Row],[Target]])</f>
        <v>0</v>
      </c>
      <c r="O1001" s="4">
        <f>IF(Table1[[#This Row],[Outliers 2Y]]=0,1,0)</f>
        <v>1</v>
      </c>
      <c r="P1001" s="4">
        <f>IF(Table1[[#This Row],[Last value]]&gt;1.5*Table1[[#This Row],[Target]],1,0)</f>
        <v>0</v>
      </c>
      <c r="Q1001" s="4">
        <f>IF(AND(1.5*Table1[[#This Row],[Target]]&gt;=Table1[[#This Row],[Last value]],Table1[[#This Row],[Last value]]&gt;Table1[[#This Row],[Target]]),1,0)</f>
        <v>0</v>
      </c>
      <c r="R1001" s="4">
        <f>IF(Table1[[#This Row],[Target]]&gt;=Table1[[#This Row],[Last value]],1,0)</f>
        <v>1</v>
      </c>
      <c r="S1001" s="4" t="str">
        <f t="shared" si="27"/>
        <v>Green</v>
      </c>
      <c r="T1001" s="55">
        <v>0</v>
      </c>
      <c r="U1001" s="55">
        <v>0</v>
      </c>
      <c r="V1001" s="55">
        <v>0</v>
      </c>
      <c r="W1001" s="55">
        <v>0</v>
      </c>
      <c r="X1001" s="55">
        <v>0</v>
      </c>
      <c r="Y1001" s="55">
        <v>0</v>
      </c>
      <c r="Z1001" s="55">
        <v>0</v>
      </c>
      <c r="AA1001" s="55">
        <v>0</v>
      </c>
      <c r="AB1001" s="55">
        <v>0</v>
      </c>
      <c r="AC1001" s="55">
        <v>0</v>
      </c>
      <c r="AD1001" s="55">
        <v>0</v>
      </c>
      <c r="AE1001" s="55">
        <v>0</v>
      </c>
      <c r="AF1001" s="55">
        <v>0</v>
      </c>
      <c r="AG1001" s="55">
        <v>0</v>
      </c>
      <c r="AH1001" s="55">
        <v>0</v>
      </c>
      <c r="AI1001" s="55">
        <v>0</v>
      </c>
      <c r="AJ1001" s="55">
        <v>0</v>
      </c>
      <c r="AK1001" s="55">
        <v>0</v>
      </c>
      <c r="AL1001" s="55">
        <v>0</v>
      </c>
      <c r="AM1001" s="55">
        <v>0</v>
      </c>
      <c r="AN1001" s="55">
        <v>0</v>
      </c>
      <c r="AO1001" s="55">
        <v>0</v>
      </c>
      <c r="AP1001" s="55">
        <v>0</v>
      </c>
      <c r="AQ1001" s="55">
        <v>0</v>
      </c>
      <c r="AR1001" s="55">
        <v>0</v>
      </c>
      <c r="AS1001" s="55">
        <v>0</v>
      </c>
      <c r="AT1001" s="55">
        <v>0</v>
      </c>
      <c r="AU1001" s="55">
        <v>0</v>
      </c>
      <c r="AV1001" s="55">
        <v>0</v>
      </c>
      <c r="AW1001" s="55">
        <v>0</v>
      </c>
      <c r="AX1001" s="55">
        <v>0</v>
      </c>
      <c r="AY1001" s="55">
        <v>0</v>
      </c>
      <c r="AZ1001" s="55">
        <v>0</v>
      </c>
      <c r="BA1001" s="55">
        <v>0</v>
      </c>
      <c r="BB1001" s="55">
        <v>0</v>
      </c>
      <c r="BC1001" s="55">
        <v>0</v>
      </c>
      <c r="BD1001" s="55">
        <v>0</v>
      </c>
      <c r="BE1001" s="55">
        <v>0</v>
      </c>
      <c r="BF1001" s="55">
        <v>0</v>
      </c>
      <c r="BG1001" s="55">
        <v>0</v>
      </c>
      <c r="BH1001" s="55">
        <v>0</v>
      </c>
      <c r="BI1001" s="55">
        <v>0</v>
      </c>
      <c r="BJ1001" s="55">
        <v>0</v>
      </c>
      <c r="BK1001" s="55">
        <v>0</v>
      </c>
      <c r="BL1001" s="55">
        <v>0</v>
      </c>
      <c r="BM1001" s="55">
        <v>0</v>
      </c>
      <c r="BN1001" s="55">
        <v>0</v>
      </c>
      <c r="BO1001" s="55">
        <v>0</v>
      </c>
      <c r="BP1001" s="55">
        <v>0</v>
      </c>
      <c r="BQ1001" s="55">
        <v>0</v>
      </c>
      <c r="BR1001" s="55">
        <v>0</v>
      </c>
      <c r="BS1001" s="55">
        <v>0</v>
      </c>
      <c r="BT1001" s="55">
        <v>0</v>
      </c>
      <c r="BU1001" s="55">
        <v>0</v>
      </c>
      <c r="BV1001" s="55">
        <v>0</v>
      </c>
      <c r="BW1001" s="55">
        <v>0</v>
      </c>
      <c r="BX1001" s="55">
        <v>0</v>
      </c>
      <c r="BY1001" s="55">
        <v>0</v>
      </c>
      <c r="BZ1001" s="55">
        <v>0</v>
      </c>
      <c r="CA1001" s="55">
        <v>0</v>
      </c>
      <c r="CB1001" s="55">
        <v>0</v>
      </c>
      <c r="CC1001" s="55">
        <v>0</v>
      </c>
      <c r="CD1001" s="55">
        <v>0</v>
      </c>
      <c r="CE1001" s="55">
        <v>0</v>
      </c>
      <c r="CF1001" s="55">
        <v>0</v>
      </c>
      <c r="CG1001" s="55">
        <v>0</v>
      </c>
      <c r="CH1001" s="55">
        <v>0</v>
      </c>
      <c r="CI1001" s="55">
        <v>0</v>
      </c>
      <c r="CJ1001" s="55">
        <v>0</v>
      </c>
      <c r="CK1001" s="55">
        <v>0</v>
      </c>
      <c r="CL1001" s="55">
        <v>0</v>
      </c>
      <c r="CM1001" s="55">
        <v>0</v>
      </c>
      <c r="CN1001" s="55">
        <v>0</v>
      </c>
      <c r="CO1001" s="55">
        <v>0</v>
      </c>
      <c r="CP1001" s="55">
        <v>0</v>
      </c>
      <c r="CQ1001" s="4">
        <v>0</v>
      </c>
    </row>
    <row r="1002" spans="1:95" s="55" customFormat="1" x14ac:dyDescent="0.35">
      <c r="A1002" s="55">
        <v>1001</v>
      </c>
      <c r="B1002" s="55" t="s">
        <v>120</v>
      </c>
      <c r="C1002" s="27" t="s">
        <v>1594</v>
      </c>
      <c r="D1002" s="50" t="s">
        <v>121</v>
      </c>
      <c r="E1002" s="33" t="s">
        <v>89</v>
      </c>
      <c r="F1002" s="4">
        <f>IFERROR(AVERAGEIF(Table1[[#This Row],[2019-Apr]:[2025-July]],"&lt;&gt;0"),0)</f>
        <v>0</v>
      </c>
      <c r="G1002" s="4">
        <f ca="1">IFERROR(AVERAGEIF(OFFSET(Table1[[#This Row],[Status]],0,COUNT(Table1[[#This Row],[2019-May]:[2025-July]]),1,-12),"&lt;&gt;0"),0)</f>
        <v>0</v>
      </c>
      <c r="H1002" s="55">
        <f>IFERROR(SMALL(Table1[[#This Row],[2019-Apr]:[2025-July]],COUNTIF(Table1[[#This Row],[2019-Apr]:[2025-July]],0)+1),0)</f>
        <v>0</v>
      </c>
      <c r="I1002" s="56">
        <f>IFERROR(MAX(Table1[[#This Row],[2019-Apr]:[2025-July]]),0)</f>
        <v>0</v>
      </c>
      <c r="J1002" s="4" cm="1">
        <f t="array" ref="J100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002" s="4">
        <v>4.5</v>
      </c>
      <c r="L1002" s="4">
        <f>IF(Table1[[#This Row],[Standard as per ISO]]&gt;=Table1[[#This Row],[Avg of best 6]],Table1[[#This Row],[Standard as per ISO]],Table1[[#This Row],[Avg of best 6]])</f>
        <v>4.5</v>
      </c>
      <c r="M1002" s="4" cm="1">
        <f t="array" ref="M1002">IFERROR(LOOKUP(2,1/(Table1[[#This Row],[2019-May]:[2025-July]]&lt;&gt;0),Table1[[#This Row],[2019-May]:[2025-July]]),0)</f>
        <v>0</v>
      </c>
      <c r="N1002" s="4">
        <f>COUNTIF(Table1[[#This Row],[2019-Apr]:[2025-July]],"&gt;="&amp;Table1[[#This Row],[Target]])</f>
        <v>0</v>
      </c>
      <c r="O1002" s="4">
        <f>IF(Table1[[#This Row],[Outliers 2Y]]=0,1,0)</f>
        <v>1</v>
      </c>
      <c r="P1002" s="4">
        <f>IF(Table1[[#This Row],[Last value]]&gt;1.5*Table1[[#This Row],[Target]],1,0)</f>
        <v>0</v>
      </c>
      <c r="Q1002" s="4">
        <f>IF(AND(1.5*Table1[[#This Row],[Target]]&gt;=Table1[[#This Row],[Last value]],Table1[[#This Row],[Last value]]&gt;Table1[[#This Row],[Target]]),1,0)</f>
        <v>0</v>
      </c>
      <c r="R1002" s="4">
        <f>IF(Table1[[#This Row],[Target]]&gt;=Table1[[#This Row],[Last value]],1,0)</f>
        <v>1</v>
      </c>
      <c r="S1002" s="4" t="str">
        <f t="shared" si="27"/>
        <v>Green</v>
      </c>
      <c r="T1002" s="55">
        <v>0</v>
      </c>
      <c r="U1002" s="55">
        <v>0</v>
      </c>
      <c r="V1002" s="55">
        <v>0</v>
      </c>
      <c r="W1002" s="55">
        <v>0</v>
      </c>
      <c r="X1002" s="55">
        <v>0</v>
      </c>
      <c r="Y1002" s="55">
        <v>0</v>
      </c>
      <c r="Z1002" s="55">
        <v>0</v>
      </c>
      <c r="AA1002" s="55">
        <v>0</v>
      </c>
      <c r="AB1002" s="55">
        <v>0</v>
      </c>
      <c r="AC1002" s="55">
        <v>0</v>
      </c>
      <c r="AD1002" s="55">
        <v>0</v>
      </c>
      <c r="AE1002" s="55">
        <v>0</v>
      </c>
      <c r="AF1002" s="55">
        <v>0</v>
      </c>
      <c r="AG1002" s="55">
        <v>0</v>
      </c>
      <c r="AH1002" s="55">
        <v>0</v>
      </c>
      <c r="AI1002" s="55">
        <v>0</v>
      </c>
      <c r="AJ1002" s="55">
        <v>0</v>
      </c>
      <c r="AK1002" s="55">
        <v>0</v>
      </c>
      <c r="AL1002" s="55">
        <v>0</v>
      </c>
      <c r="AM1002" s="55">
        <v>0</v>
      </c>
      <c r="AN1002" s="55">
        <v>0</v>
      </c>
      <c r="AO1002" s="55">
        <v>0</v>
      </c>
      <c r="AP1002" s="55">
        <v>0</v>
      </c>
      <c r="AQ1002" s="55">
        <v>0</v>
      </c>
      <c r="AR1002" s="55">
        <v>0</v>
      </c>
      <c r="AS1002" s="55">
        <v>0</v>
      </c>
      <c r="AT1002" s="55">
        <v>0</v>
      </c>
      <c r="AU1002" s="55">
        <v>0</v>
      </c>
      <c r="AV1002" s="55">
        <v>0</v>
      </c>
      <c r="AW1002" s="55">
        <v>0</v>
      </c>
      <c r="AX1002" s="55">
        <v>0</v>
      </c>
      <c r="AY1002" s="55">
        <v>0</v>
      </c>
      <c r="AZ1002" s="55">
        <v>0</v>
      </c>
      <c r="BA1002" s="55">
        <v>0</v>
      </c>
      <c r="BB1002" s="55">
        <v>0</v>
      </c>
      <c r="BC1002" s="55">
        <v>0</v>
      </c>
      <c r="BD1002" s="55">
        <v>0</v>
      </c>
      <c r="BE1002" s="55">
        <v>0</v>
      </c>
      <c r="BF1002" s="55">
        <v>0</v>
      </c>
      <c r="BG1002" s="55">
        <v>0</v>
      </c>
      <c r="BH1002" s="55">
        <v>0</v>
      </c>
      <c r="BI1002" s="55">
        <v>0</v>
      </c>
      <c r="BJ1002" s="55">
        <v>0</v>
      </c>
      <c r="BK1002" s="55">
        <v>0</v>
      </c>
      <c r="BL1002" s="55">
        <v>0</v>
      </c>
      <c r="BM1002" s="55">
        <v>0</v>
      </c>
      <c r="BN1002" s="55">
        <v>0</v>
      </c>
      <c r="BO1002" s="55">
        <v>0</v>
      </c>
      <c r="BP1002" s="55">
        <v>0</v>
      </c>
      <c r="BQ1002" s="55">
        <v>0</v>
      </c>
      <c r="BR1002" s="55">
        <v>0</v>
      </c>
      <c r="BS1002" s="55">
        <v>0</v>
      </c>
      <c r="BT1002" s="55">
        <v>0</v>
      </c>
      <c r="BU1002" s="55">
        <v>0</v>
      </c>
      <c r="BV1002" s="55">
        <v>0</v>
      </c>
      <c r="BW1002" s="55">
        <v>0</v>
      </c>
      <c r="BX1002" s="55">
        <v>0</v>
      </c>
      <c r="BY1002" s="55">
        <v>0</v>
      </c>
      <c r="BZ1002" s="55">
        <v>0</v>
      </c>
      <c r="CA1002" s="55">
        <v>0</v>
      </c>
      <c r="CB1002" s="55">
        <v>0</v>
      </c>
      <c r="CC1002" s="55">
        <v>0</v>
      </c>
      <c r="CD1002" s="55">
        <v>0</v>
      </c>
      <c r="CE1002" s="55">
        <v>0</v>
      </c>
      <c r="CF1002" s="55">
        <v>0</v>
      </c>
      <c r="CG1002" s="55">
        <v>0</v>
      </c>
      <c r="CH1002" s="55">
        <v>0</v>
      </c>
      <c r="CI1002" s="55">
        <v>0</v>
      </c>
      <c r="CJ1002" s="55">
        <v>0</v>
      </c>
      <c r="CK1002" s="55">
        <v>0</v>
      </c>
      <c r="CL1002" s="55">
        <v>0</v>
      </c>
      <c r="CM1002" s="55">
        <v>0</v>
      </c>
      <c r="CN1002" s="55">
        <v>0</v>
      </c>
      <c r="CO1002" s="55">
        <v>0</v>
      </c>
      <c r="CP1002" s="55">
        <v>0</v>
      </c>
      <c r="CQ1002" s="4">
        <v>0</v>
      </c>
    </row>
    <row r="1003" spans="1:95" x14ac:dyDescent="0.35">
      <c r="A1003" s="55">
        <v>1002</v>
      </c>
      <c r="B1003" t="s">
        <v>122</v>
      </c>
      <c r="C1003" s="28" t="s">
        <v>1563</v>
      </c>
      <c r="D1003" s="3" t="s">
        <v>93</v>
      </c>
      <c r="E1003" s="33" t="s">
        <v>91</v>
      </c>
      <c r="F1003" s="4">
        <f>IFERROR(AVERAGEIF(Table1[[#This Row],[2019-Apr]:[2025-July]],"&lt;&gt;0"),0)</f>
        <v>3.8888888888888888</v>
      </c>
      <c r="G1003" s="4">
        <f ca="1">IFERROR(AVERAGEIF(OFFSET(Table1[[#This Row],[Status]],0,COUNT(Table1[[#This Row],[2019-May]:[2025-July]]),1,-12),"&lt;&gt;0"),0)</f>
        <v>4.5999999999999996</v>
      </c>
      <c r="H1003" s="55">
        <f>IFERROR(SMALL(Table1[[#This Row],[2019-Apr]:[2025-July]],COUNTIF(Table1[[#This Row],[2019-Apr]:[2025-July]],0)+1),0)</f>
        <v>2.54</v>
      </c>
      <c r="I1003" s="56">
        <f>IFERROR(MAX(Table1[[#This Row],[2019-Apr]:[2025-July]]),0)</f>
        <v>5.33</v>
      </c>
      <c r="J1003" s="4" cm="1">
        <f t="array" ref="J100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3.4383333333333339</v>
      </c>
      <c r="K1003" s="4">
        <v>4.5</v>
      </c>
      <c r="L1003" s="4">
        <f>IF(Table1[[#This Row],[Standard as per ISO]]&gt;=Table1[[#This Row],[Avg of best 6]],Table1[[#This Row],[Standard as per ISO]],Table1[[#This Row],[Avg of best 6]])</f>
        <v>4.5</v>
      </c>
      <c r="M1003" s="4" cm="1">
        <f t="array" ref="M1003">IFERROR(LOOKUP(2,1/(Table1[[#This Row],[2019-May]:[2025-July]]&lt;&gt;0),Table1[[#This Row],[2019-May]:[2025-July]]),0)</f>
        <v>4.5999999999999996</v>
      </c>
      <c r="N1003" s="4">
        <f>COUNTIF(Table1[[#This Row],[2019-Apr]:[2025-July]],"&gt;="&amp;Table1[[#This Row],[Target]])</f>
        <v>2</v>
      </c>
      <c r="O1003" s="4">
        <f>IF(Table1[[#This Row],[Outliers 2Y]]=0,1,0)</f>
        <v>0</v>
      </c>
      <c r="P1003" s="4">
        <f>IF(Table1[[#This Row],[Last value]]&gt;1.5*Table1[[#This Row],[Target]],1,0)</f>
        <v>0</v>
      </c>
      <c r="Q1003" s="4">
        <f>IF(AND(1.5*Table1[[#This Row],[Target]]&gt;=Table1[[#This Row],[Last value]],Table1[[#This Row],[Last value]]&gt;Table1[[#This Row],[Target]]),1,0)</f>
        <v>1</v>
      </c>
      <c r="R1003" s="4">
        <f>IF(Table1[[#This Row],[Target]]&gt;=Table1[[#This Row],[Last value]],1,0)</f>
        <v>0</v>
      </c>
      <c r="S1003" s="4" t="str">
        <f t="shared" si="26"/>
        <v>Yellow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>
        <v>0</v>
      </c>
      <c r="BP1003" s="4">
        <v>0</v>
      </c>
      <c r="BQ1003" s="4">
        <v>0</v>
      </c>
      <c r="BR1003" s="4">
        <v>3.37</v>
      </c>
      <c r="BS1003" s="4">
        <v>0</v>
      </c>
      <c r="BT1003" s="4">
        <v>0</v>
      </c>
      <c r="BU1003" s="4">
        <v>0</v>
      </c>
      <c r="BV1003" s="4">
        <v>0</v>
      </c>
      <c r="BW1003" s="4">
        <v>3.55</v>
      </c>
      <c r="BX1003" s="4">
        <v>3.73</v>
      </c>
      <c r="BY1003" s="4">
        <v>3.02</v>
      </c>
      <c r="BZ1003" s="4">
        <v>0</v>
      </c>
      <c r="CA1003" s="4">
        <v>5.33</v>
      </c>
      <c r="CB1003" s="4">
        <v>4.42</v>
      </c>
      <c r="CC1003" s="4">
        <v>4.4400000000000004</v>
      </c>
      <c r="CD1003" s="4">
        <v>2.54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34">
        <v>4.5999999999999996</v>
      </c>
      <c r="CK1003" s="34">
        <v>0</v>
      </c>
      <c r="CL1003" s="43">
        <v>0</v>
      </c>
      <c r="CM1003" s="4">
        <v>0</v>
      </c>
      <c r="CN1003" s="53">
        <v>0</v>
      </c>
      <c r="CO1003" s="54">
        <v>0</v>
      </c>
      <c r="CP1003" s="54">
        <v>0</v>
      </c>
      <c r="CQ1003" s="4">
        <v>0</v>
      </c>
    </row>
    <row r="1004" spans="1:95" x14ac:dyDescent="0.35">
      <c r="A1004" s="55">
        <v>1003</v>
      </c>
      <c r="B1004" t="s">
        <v>122</v>
      </c>
      <c r="C1004" s="28" t="s">
        <v>1562</v>
      </c>
      <c r="D1004" s="3" t="s">
        <v>93</v>
      </c>
      <c r="E1004" s="33" t="s">
        <v>91</v>
      </c>
      <c r="F1004" s="4">
        <f>IFERROR(AVERAGEIF(Table1[[#This Row],[2019-Apr]:[2025-July]],"&lt;&gt;0"),0)</f>
        <v>2.37</v>
      </c>
      <c r="G1004" s="4">
        <f ca="1">IFERROR(AVERAGEIF(OFFSET(Table1[[#This Row],[Status]],0,COUNT(Table1[[#This Row],[2019-May]:[2025-July]]),1,-12),"&lt;&gt;0"),0)</f>
        <v>2.3250000000000002</v>
      </c>
      <c r="H1004" s="55">
        <f>IFERROR(SMALL(Table1[[#This Row],[2019-Apr]:[2025-July]],COUNTIF(Table1[[#This Row],[2019-Apr]:[2025-July]],0)+1),0)</f>
        <v>1.92</v>
      </c>
      <c r="I1004" s="56">
        <f>IFERROR(MAX(Table1[[#This Row],[2019-Apr]:[2025-July]]),0)</f>
        <v>3.55</v>
      </c>
      <c r="J1004" s="4" cm="1">
        <f t="array" ref="J100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2.0683333333333334</v>
      </c>
      <c r="K1004" s="4">
        <v>4.5</v>
      </c>
      <c r="L1004" s="4">
        <f>IF(Table1[[#This Row],[Standard as per ISO]]&gt;=Table1[[#This Row],[Avg of best 6]],Table1[[#This Row],[Standard as per ISO]],Table1[[#This Row],[Avg of best 6]])</f>
        <v>4.5</v>
      </c>
      <c r="M1004" s="4" cm="1">
        <f t="array" ref="M1004">IFERROR(LOOKUP(2,1/(Table1[[#This Row],[2019-May]:[2025-July]]&lt;&gt;0),Table1[[#This Row],[2019-May]:[2025-July]]),0)</f>
        <v>2</v>
      </c>
      <c r="N1004" s="4">
        <f>COUNTIF(Table1[[#This Row],[2019-Apr]:[2025-July]],"&gt;="&amp;Table1[[#This Row],[Target]])</f>
        <v>0</v>
      </c>
      <c r="O1004" s="4">
        <f>IF(Table1[[#This Row],[Outliers 2Y]]=0,1,0)</f>
        <v>1</v>
      </c>
      <c r="P1004" s="4">
        <f>IF(Table1[[#This Row],[Last value]]&gt;1.5*Table1[[#This Row],[Target]],1,0)</f>
        <v>0</v>
      </c>
      <c r="Q1004" s="4">
        <f>IF(AND(1.5*Table1[[#This Row],[Target]]&gt;=Table1[[#This Row],[Last value]],Table1[[#This Row],[Last value]]&gt;Table1[[#This Row],[Target]]),1,0)</f>
        <v>0</v>
      </c>
      <c r="R1004" s="4">
        <f>IF(Table1[[#This Row],[Target]]&gt;=Table1[[#This Row],[Last value]],1,0)</f>
        <v>1</v>
      </c>
      <c r="S1004" s="4" t="str">
        <f t="shared" si="26"/>
        <v>Green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>
        <v>0</v>
      </c>
      <c r="BP1004" s="4">
        <v>3.55</v>
      </c>
      <c r="BQ1004" s="4">
        <v>0</v>
      </c>
      <c r="BR1004" s="4">
        <v>2.0299999999999998</v>
      </c>
      <c r="BS1004" s="4">
        <v>0</v>
      </c>
      <c r="BT1004" s="4">
        <v>0</v>
      </c>
      <c r="BU1004" s="4">
        <v>0</v>
      </c>
      <c r="BV1004" s="4">
        <v>0</v>
      </c>
      <c r="BW1004" s="4">
        <v>2.16</v>
      </c>
      <c r="BX1004" s="4">
        <v>2.56</v>
      </c>
      <c r="BY1004" s="4">
        <v>0</v>
      </c>
      <c r="BZ1004" s="4">
        <v>0</v>
      </c>
      <c r="CA1004" s="4">
        <v>2.4500000000000002</v>
      </c>
      <c r="CB1004" s="4">
        <v>2.1</v>
      </c>
      <c r="CC1004" s="4">
        <v>1.92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34">
        <v>0</v>
      </c>
      <c r="CK1004" s="34">
        <v>0</v>
      </c>
      <c r="CL1004" s="43">
        <v>2.2999999999999998</v>
      </c>
      <c r="CM1004" s="4">
        <v>2.2000000000000002</v>
      </c>
      <c r="CN1004" s="53">
        <v>0</v>
      </c>
      <c r="CO1004" s="54">
        <v>2.8</v>
      </c>
      <c r="CP1004" s="54">
        <v>2</v>
      </c>
      <c r="CQ1004" s="4">
        <v>0</v>
      </c>
    </row>
    <row r="1005" spans="1:95" x14ac:dyDescent="0.35">
      <c r="A1005" s="55">
        <v>1004</v>
      </c>
      <c r="B1005" t="s">
        <v>122</v>
      </c>
      <c r="C1005" s="28" t="s">
        <v>1561</v>
      </c>
      <c r="D1005" s="3" t="s">
        <v>93</v>
      </c>
      <c r="E1005" s="33" t="s">
        <v>91</v>
      </c>
      <c r="F1005" s="4">
        <f>IFERROR(AVERAGEIF(Table1[[#This Row],[2019-Apr]:[2025-July]],"&lt;&gt;0"),0)</f>
        <v>3</v>
      </c>
      <c r="G1005" s="4">
        <f ca="1">IFERROR(AVERAGEIF(OFFSET(Table1[[#This Row],[Status]],0,COUNT(Table1[[#This Row],[2019-May]:[2025-July]]),1,-12),"&lt;&gt;0"),0)</f>
        <v>0</v>
      </c>
      <c r="H1005" s="55">
        <f>IFERROR(SMALL(Table1[[#This Row],[2019-Apr]:[2025-July]],COUNTIF(Table1[[#This Row],[2019-Apr]:[2025-July]],0)+1),0)</f>
        <v>2.2400000000000002</v>
      </c>
      <c r="I1005" s="56">
        <f>IFERROR(MAX(Table1[[#This Row],[2019-Apr]:[2025-July]]),0)</f>
        <v>4.43</v>
      </c>
      <c r="J1005" s="4" cm="1">
        <f t="array" ref="J100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</v>
      </c>
      <c r="K1005" s="4">
        <v>4.5</v>
      </c>
      <c r="L1005" s="4">
        <f>IF(Table1[[#This Row],[Standard as per ISO]]&gt;=Table1[[#This Row],[Avg of best 6]],Table1[[#This Row],[Standard as per ISO]],Table1[[#This Row],[Avg of best 6]])</f>
        <v>4.5</v>
      </c>
      <c r="M1005" s="4" cm="1">
        <f t="array" ref="M1005">IFERROR(LOOKUP(2,1/(Table1[[#This Row],[2019-May]:[2025-July]]&lt;&gt;0),Table1[[#This Row],[2019-May]:[2025-July]]),0)</f>
        <v>4.43</v>
      </c>
      <c r="N1005" s="4">
        <f>COUNTIF(Table1[[#This Row],[2019-Apr]:[2025-July]],"&gt;="&amp;Table1[[#This Row],[Target]])</f>
        <v>0</v>
      </c>
      <c r="O1005" s="4">
        <f>IF(Table1[[#This Row],[Outliers 2Y]]=0,1,0)</f>
        <v>1</v>
      </c>
      <c r="P1005" s="4">
        <f>IF(Table1[[#This Row],[Last value]]&gt;1.5*Table1[[#This Row],[Target]],1,0)</f>
        <v>0</v>
      </c>
      <c r="Q1005" s="4">
        <f>IF(AND(1.5*Table1[[#This Row],[Target]]&gt;=Table1[[#This Row],[Last value]],Table1[[#This Row],[Last value]]&gt;Table1[[#This Row],[Target]]),1,0)</f>
        <v>0</v>
      </c>
      <c r="R1005" s="4">
        <f>IF(Table1[[#This Row],[Target]]&gt;=Table1[[#This Row],[Last value]],1,0)</f>
        <v>1</v>
      </c>
      <c r="S1005" s="4" t="str">
        <f t="shared" si="26"/>
        <v>Green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>
        <v>0</v>
      </c>
      <c r="BP1005" s="4">
        <v>0</v>
      </c>
      <c r="BQ1005" s="4">
        <v>0</v>
      </c>
      <c r="BR1005" s="4">
        <v>2.33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2.2400000000000002</v>
      </c>
      <c r="CB1005" s="4">
        <v>2.3199999999999998</v>
      </c>
      <c r="CC1005" s="4">
        <v>3.68</v>
      </c>
      <c r="CD1005" s="4">
        <v>4.43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34">
        <v>0</v>
      </c>
      <c r="CK1005" s="34">
        <v>0</v>
      </c>
      <c r="CL1005" s="43">
        <v>0</v>
      </c>
      <c r="CM1005" s="4">
        <v>0</v>
      </c>
      <c r="CN1005" s="53">
        <v>0</v>
      </c>
      <c r="CO1005" s="54">
        <v>0</v>
      </c>
      <c r="CP1005" s="54">
        <v>0</v>
      </c>
      <c r="CQ1005" s="4">
        <v>0</v>
      </c>
    </row>
    <row r="1006" spans="1:95" x14ac:dyDescent="0.35">
      <c r="A1006" s="55">
        <v>1005</v>
      </c>
      <c r="B1006" t="s">
        <v>122</v>
      </c>
      <c r="C1006" s="28" t="s">
        <v>1079</v>
      </c>
      <c r="D1006" s="3" t="s">
        <v>88</v>
      </c>
      <c r="E1006" s="33" t="s">
        <v>89</v>
      </c>
      <c r="F1006" s="4">
        <f>IFERROR(AVERAGEIF(Table1[[#This Row],[2019-Apr]:[2025-July]],"&lt;&gt;0"),0)</f>
        <v>2.6435294117647059</v>
      </c>
      <c r="G1006" s="4">
        <f ca="1">IFERROR(AVERAGEIF(OFFSET(Table1[[#This Row],[Status]],0,COUNT(Table1[[#This Row],[2019-May]:[2025-July]]),1,-12),"&lt;&gt;0"),0)</f>
        <v>2.4657142857142853</v>
      </c>
      <c r="H1006" s="55">
        <f>IFERROR(SMALL(Table1[[#This Row],[2019-Apr]:[2025-July]],COUNTIF(Table1[[#This Row],[2019-Apr]:[2025-July]],0)+1),0)</f>
        <v>1.6</v>
      </c>
      <c r="I1006" s="56">
        <f>IFERROR(MAX(Table1[[#This Row],[2019-Apr]:[2025-July]]),0)</f>
        <v>4.3</v>
      </c>
      <c r="J1006" s="4" cm="1">
        <f t="array" ref="J100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1.8783333333333332</v>
      </c>
      <c r="K1006" s="4">
        <v>4.5</v>
      </c>
      <c r="L1006" s="4">
        <f>IF(Table1[[#This Row],[Standard as per ISO]]&gt;=Table1[[#This Row],[Avg of best 6]],Table1[[#This Row],[Standard as per ISO]],Table1[[#This Row],[Avg of best 6]])</f>
        <v>4.5</v>
      </c>
      <c r="M1006" s="4" cm="1">
        <f t="array" ref="M1006">IFERROR(LOOKUP(2,1/(Table1[[#This Row],[2019-May]:[2025-July]]&lt;&gt;0),Table1[[#This Row],[2019-May]:[2025-July]]),0)</f>
        <v>3.6</v>
      </c>
      <c r="N1006" s="4">
        <f>COUNTIF(Table1[[#This Row],[2019-Apr]:[2025-July]],"&gt;="&amp;Table1[[#This Row],[Target]])</f>
        <v>0</v>
      </c>
      <c r="O1006" s="4">
        <f>IF(Table1[[#This Row],[Outliers 2Y]]=0,1,0)</f>
        <v>1</v>
      </c>
      <c r="P1006" s="4">
        <f>IF(Table1[[#This Row],[Last value]]&gt;1.5*Table1[[#This Row],[Target]],1,0)</f>
        <v>0</v>
      </c>
      <c r="Q1006" s="4">
        <f>IF(AND(1.5*Table1[[#This Row],[Target]]&gt;=Table1[[#This Row],[Last value]],Table1[[#This Row],[Last value]]&gt;Table1[[#This Row],[Target]]),1,0)</f>
        <v>0</v>
      </c>
      <c r="R1006" s="4">
        <f>IF(Table1[[#This Row],[Target]]&gt;=Table1[[#This Row],[Last value]],1,0)</f>
        <v>1</v>
      </c>
      <c r="S1006" s="4" t="str">
        <f t="shared" si="26"/>
        <v>Green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>
        <v>0</v>
      </c>
      <c r="BP1006" s="4">
        <v>0</v>
      </c>
      <c r="BQ1006" s="4">
        <v>0</v>
      </c>
      <c r="BR1006" s="4">
        <v>3.95</v>
      </c>
      <c r="BS1006" s="4">
        <v>2.92</v>
      </c>
      <c r="BT1006" s="4">
        <v>2.23</v>
      </c>
      <c r="BU1006" s="4">
        <v>1.76</v>
      </c>
      <c r="BV1006" s="4">
        <v>3.57</v>
      </c>
      <c r="BW1006" s="4">
        <v>2.94</v>
      </c>
      <c r="BX1006" s="4">
        <v>2.67</v>
      </c>
      <c r="BY1006" s="4">
        <v>2.11</v>
      </c>
      <c r="BZ1006" s="4">
        <v>0</v>
      </c>
      <c r="CA1006" s="4">
        <v>0</v>
      </c>
      <c r="CB1006" s="4">
        <v>0</v>
      </c>
      <c r="CC1006" s="4">
        <v>1.93</v>
      </c>
      <c r="CD1006" s="4">
        <v>0</v>
      </c>
      <c r="CE1006" s="4">
        <v>0</v>
      </c>
      <c r="CF1006" s="4">
        <v>2.29</v>
      </c>
      <c r="CG1006" s="4">
        <v>0</v>
      </c>
      <c r="CH1006" s="4">
        <v>0</v>
      </c>
      <c r="CI1006" s="4">
        <v>1.87</v>
      </c>
      <c r="CJ1006" s="34">
        <v>2.2999999999999998</v>
      </c>
      <c r="CK1006" s="34">
        <v>0</v>
      </c>
      <c r="CL1006" s="43">
        <v>4.3</v>
      </c>
      <c r="CM1006" s="4">
        <v>2.9</v>
      </c>
      <c r="CN1006" s="53">
        <v>1.6</v>
      </c>
      <c r="CO1006" s="54">
        <v>2</v>
      </c>
      <c r="CP1006" s="54">
        <v>0</v>
      </c>
      <c r="CQ1006" s="4">
        <v>3.6</v>
      </c>
    </row>
    <row r="1007" spans="1:95" x14ac:dyDescent="0.35">
      <c r="A1007" s="55">
        <v>1006</v>
      </c>
      <c r="B1007" t="s">
        <v>122</v>
      </c>
      <c r="C1007" s="28" t="s">
        <v>1080</v>
      </c>
      <c r="D1007" s="3" t="s">
        <v>88</v>
      </c>
      <c r="E1007" s="33" t="s">
        <v>89</v>
      </c>
      <c r="F1007" s="4">
        <f>IFERROR(AVERAGEIF(Table1[[#This Row],[2019-Apr]:[2025-July]],"&lt;&gt;0"),0)</f>
        <v>2.2150000000000003</v>
      </c>
      <c r="G1007" s="4">
        <f ca="1">IFERROR(AVERAGEIF(OFFSET(Table1[[#This Row],[Status]],0,COUNT(Table1[[#This Row],[2019-May]:[2025-July]]),1,-12),"&lt;&gt;0"),0)</f>
        <v>2.3457142857142861</v>
      </c>
      <c r="H1007" s="55">
        <f>IFERROR(SMALL(Table1[[#This Row],[2019-Apr]:[2025-July]],COUNTIF(Table1[[#This Row],[2019-Apr]:[2025-July]],0)+1),0)</f>
        <v>1.57</v>
      </c>
      <c r="I1007" s="56">
        <f>IFERROR(MAX(Table1[[#This Row],[2019-Apr]:[2025-July]]),0)</f>
        <v>4.21</v>
      </c>
      <c r="J1007" s="4" cm="1">
        <f t="array" ref="J100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1.6833333333333333</v>
      </c>
      <c r="K1007" s="4">
        <v>4.5</v>
      </c>
      <c r="L1007" s="4">
        <f>IF(Table1[[#This Row],[Standard as per ISO]]&gt;=Table1[[#This Row],[Avg of best 6]],Table1[[#This Row],[Standard as per ISO]],Table1[[#This Row],[Avg of best 6]])</f>
        <v>4.5</v>
      </c>
      <c r="M1007" s="4" cm="1">
        <f t="array" ref="M1007">IFERROR(LOOKUP(2,1/(Table1[[#This Row],[2019-May]:[2025-July]]&lt;&gt;0),Table1[[#This Row],[2019-May]:[2025-July]]),0)</f>
        <v>3.2</v>
      </c>
      <c r="N1007" s="4">
        <f>COUNTIF(Table1[[#This Row],[2019-Apr]:[2025-July]],"&gt;="&amp;Table1[[#This Row],[Target]])</f>
        <v>0</v>
      </c>
      <c r="O1007" s="4">
        <f>IF(Table1[[#This Row],[Outliers 2Y]]=0,1,0)</f>
        <v>1</v>
      </c>
      <c r="P1007" s="4">
        <f>IF(Table1[[#This Row],[Last value]]&gt;1.5*Table1[[#This Row],[Target]],1,0)</f>
        <v>0</v>
      </c>
      <c r="Q1007" s="4">
        <f>IF(AND(1.5*Table1[[#This Row],[Target]]&gt;=Table1[[#This Row],[Last value]],Table1[[#This Row],[Last value]]&gt;Table1[[#This Row],[Target]]),1,0)</f>
        <v>0</v>
      </c>
      <c r="R1007" s="4">
        <f>IF(Table1[[#This Row],[Target]]&gt;=Table1[[#This Row],[Last value]],1,0)</f>
        <v>1</v>
      </c>
      <c r="S1007" s="4" t="str">
        <f t="shared" si="26"/>
        <v>Green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>
        <v>0</v>
      </c>
      <c r="BP1007" s="4">
        <v>0</v>
      </c>
      <c r="BQ1007" s="4">
        <v>0</v>
      </c>
      <c r="BR1007" s="4">
        <v>2.04</v>
      </c>
      <c r="BS1007" s="4">
        <v>0</v>
      </c>
      <c r="BT1007" s="4">
        <v>1.78</v>
      </c>
      <c r="BU1007" s="4">
        <v>1.64</v>
      </c>
      <c r="BV1007" s="4">
        <v>2.48</v>
      </c>
      <c r="BW1007" s="4">
        <v>2.2200000000000002</v>
      </c>
      <c r="BX1007" s="4">
        <v>2.1</v>
      </c>
      <c r="BY1007" s="4">
        <v>1.99</v>
      </c>
      <c r="BZ1007" s="4">
        <v>0</v>
      </c>
      <c r="CA1007" s="4">
        <v>0</v>
      </c>
      <c r="CB1007" s="4">
        <v>0</v>
      </c>
      <c r="CC1007" s="4">
        <v>1.57</v>
      </c>
      <c r="CD1007" s="4">
        <v>0</v>
      </c>
      <c r="CE1007" s="4">
        <v>0</v>
      </c>
      <c r="CF1007" s="4">
        <v>4.21</v>
      </c>
      <c r="CG1007" s="4">
        <v>0</v>
      </c>
      <c r="CH1007" s="4">
        <v>0</v>
      </c>
      <c r="CI1007" s="4">
        <v>1.91</v>
      </c>
      <c r="CJ1007" s="34">
        <v>2.5</v>
      </c>
      <c r="CK1007" s="34">
        <v>0</v>
      </c>
      <c r="CL1007" s="43">
        <v>0</v>
      </c>
      <c r="CM1007" s="4">
        <v>2</v>
      </c>
      <c r="CN1007" s="53">
        <v>1.6</v>
      </c>
      <c r="CO1007" s="54">
        <v>1.6</v>
      </c>
      <c r="CP1007" s="54">
        <v>2.6</v>
      </c>
      <c r="CQ1007" s="4">
        <v>3.2</v>
      </c>
    </row>
    <row r="1008" spans="1:95" x14ac:dyDescent="0.35">
      <c r="A1008" s="55">
        <v>1007</v>
      </c>
      <c r="B1008" t="s">
        <v>122</v>
      </c>
      <c r="C1008" s="28" t="s">
        <v>1081</v>
      </c>
      <c r="D1008" s="3" t="s">
        <v>88</v>
      </c>
      <c r="E1008" s="33" t="s">
        <v>91</v>
      </c>
      <c r="F1008" s="4">
        <f>IFERROR(AVERAGEIF(Table1[[#This Row],[2019-Apr]:[2025-July]],"&lt;&gt;0"),0)</f>
        <v>0.41454545454545449</v>
      </c>
      <c r="G1008" s="4">
        <f ca="1">IFERROR(AVERAGEIF(OFFSET(Table1[[#This Row],[Status]],0,COUNT(Table1[[#This Row],[2019-May]:[2025-July]]),1,-12),"&lt;&gt;0"),0)</f>
        <v>0.27500000000000002</v>
      </c>
      <c r="H1008" s="55">
        <f>IFERROR(SMALL(Table1[[#This Row],[2019-Apr]:[2025-July]],COUNTIF(Table1[[#This Row],[2019-Apr]:[2025-July]],0)+1),0)</f>
        <v>0.21</v>
      </c>
      <c r="I1008" s="56">
        <f>IFERROR(MAX(Table1[[#This Row],[2019-Apr]:[2025-July]]),0)</f>
        <v>0.86</v>
      </c>
      <c r="J1008" s="4" cm="1">
        <f t="array" ref="J100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0.29500000000000004</v>
      </c>
      <c r="K1008" s="4">
        <v>4.5</v>
      </c>
      <c r="L1008" s="4">
        <f>IF(Table1[[#This Row],[Standard as per ISO]]&gt;=Table1[[#This Row],[Avg of best 6]],Table1[[#This Row],[Standard as per ISO]],Table1[[#This Row],[Avg of best 6]])</f>
        <v>4.5</v>
      </c>
      <c r="M1008" s="4" cm="1">
        <f t="array" ref="M1008">IFERROR(LOOKUP(2,1/(Table1[[#This Row],[2019-May]:[2025-July]]&lt;&gt;0),Table1[[#This Row],[2019-May]:[2025-July]]),0)</f>
        <v>0.21</v>
      </c>
      <c r="N1008" s="4">
        <f>COUNTIF(Table1[[#This Row],[2019-Apr]:[2025-July]],"&gt;="&amp;Table1[[#This Row],[Target]])</f>
        <v>0</v>
      </c>
      <c r="O1008" s="4">
        <f>IF(Table1[[#This Row],[Outliers 2Y]]=0,1,0)</f>
        <v>1</v>
      </c>
      <c r="P1008" s="4">
        <f>IF(Table1[[#This Row],[Last value]]&gt;1.5*Table1[[#This Row],[Target]],1,0)</f>
        <v>0</v>
      </c>
      <c r="Q1008" s="4">
        <f>IF(AND(1.5*Table1[[#This Row],[Target]]&gt;=Table1[[#This Row],[Last value]],Table1[[#This Row],[Last value]]&gt;Table1[[#This Row],[Target]]),1,0)</f>
        <v>0</v>
      </c>
      <c r="R1008" s="4">
        <f>IF(Table1[[#This Row],[Target]]&gt;=Table1[[#This Row],[Last value]],1,0)</f>
        <v>1</v>
      </c>
      <c r="S1008" s="4" t="str">
        <f t="shared" si="26"/>
        <v>Green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>
        <v>0</v>
      </c>
      <c r="BP1008" s="4">
        <v>0</v>
      </c>
      <c r="BQ1008" s="4">
        <v>0</v>
      </c>
      <c r="BR1008" s="4">
        <v>0.32</v>
      </c>
      <c r="BS1008" s="4">
        <v>0.86</v>
      </c>
      <c r="BT1008" s="4">
        <v>0.37</v>
      </c>
      <c r="BU1008" s="4">
        <v>0.51</v>
      </c>
      <c r="BV1008" s="4">
        <v>0.56000000000000005</v>
      </c>
      <c r="BW1008" s="4">
        <v>0.24</v>
      </c>
      <c r="BX1008" s="4">
        <v>0.49</v>
      </c>
      <c r="BY1008" s="4">
        <v>0.33</v>
      </c>
      <c r="BZ1008" s="4">
        <v>0</v>
      </c>
      <c r="CA1008" s="4">
        <v>0</v>
      </c>
      <c r="CB1008" s="4">
        <v>0</v>
      </c>
      <c r="CC1008" s="4">
        <v>0.33</v>
      </c>
      <c r="CD1008" s="4">
        <v>0</v>
      </c>
      <c r="CE1008" s="4">
        <v>0</v>
      </c>
      <c r="CF1008" s="4">
        <v>0.34</v>
      </c>
      <c r="CG1008" s="4">
        <v>0</v>
      </c>
      <c r="CH1008" s="4">
        <v>0</v>
      </c>
      <c r="CI1008" s="4">
        <v>0.21</v>
      </c>
      <c r="CJ1008" s="34">
        <v>0</v>
      </c>
      <c r="CK1008" s="34">
        <v>0</v>
      </c>
      <c r="CL1008" s="34">
        <v>0</v>
      </c>
      <c r="CM1008" s="4">
        <v>0</v>
      </c>
      <c r="CN1008" s="53">
        <v>0</v>
      </c>
      <c r="CO1008" s="54">
        <v>0</v>
      </c>
      <c r="CP1008" s="54">
        <v>0</v>
      </c>
      <c r="CQ1008" s="4">
        <v>0</v>
      </c>
    </row>
    <row r="1009" spans="1:95" x14ac:dyDescent="0.35">
      <c r="A1009" s="55">
        <v>1008</v>
      </c>
      <c r="B1009" t="s">
        <v>122</v>
      </c>
      <c r="C1009" s="28" t="s">
        <v>1082</v>
      </c>
      <c r="D1009" s="3" t="s">
        <v>88</v>
      </c>
      <c r="E1009" s="33" t="s">
        <v>91</v>
      </c>
      <c r="F1009" s="4">
        <f>IFERROR(AVERAGEIF(Table1[[#This Row],[2019-Apr]:[2025-July]],"&lt;&gt;0"),0)</f>
        <v>2.6409090909090911</v>
      </c>
      <c r="G1009" s="4">
        <f ca="1">IFERROR(AVERAGEIF(OFFSET(Table1[[#This Row],[Status]],0,COUNT(Table1[[#This Row],[2019-May]:[2025-July]]),1,-12),"&lt;&gt;0"),0)</f>
        <v>0.28499999999999998</v>
      </c>
      <c r="H1009" s="55">
        <f>IFERROR(SMALL(Table1[[#This Row],[2019-Apr]:[2025-July]],COUNTIF(Table1[[#This Row],[2019-Apr]:[2025-July]],0)+1),0)</f>
        <v>0.21</v>
      </c>
      <c r="I1009" s="56">
        <f>IFERROR(MAX(Table1[[#This Row],[2019-Apr]:[2025-July]]),0)</f>
        <v>25</v>
      </c>
      <c r="J1009" s="4" cm="1">
        <f t="array" ref="J100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0.25500000000000006</v>
      </c>
      <c r="K1009" s="4">
        <v>4.5</v>
      </c>
      <c r="L1009" s="4">
        <f>IF(Table1[[#This Row],[Standard as per ISO]]&gt;=Table1[[#This Row],[Avg of best 6]],Table1[[#This Row],[Standard as per ISO]],Table1[[#This Row],[Avg of best 6]])</f>
        <v>4.5</v>
      </c>
      <c r="M1009" s="4" cm="1">
        <f t="array" ref="M1009">IFERROR(LOOKUP(2,1/(Table1[[#This Row],[2019-May]:[2025-July]]&lt;&gt;0),Table1[[#This Row],[2019-May]:[2025-July]]),0)</f>
        <v>0.22</v>
      </c>
      <c r="N1009" s="4">
        <f>COUNTIF(Table1[[#This Row],[2019-Apr]:[2025-July]],"&gt;="&amp;Table1[[#This Row],[Target]])</f>
        <v>1</v>
      </c>
      <c r="O1009" s="4">
        <f>IF(Table1[[#This Row],[Outliers 2Y]]=0,1,0)</f>
        <v>0</v>
      </c>
      <c r="P1009" s="4">
        <f>IF(Table1[[#This Row],[Last value]]&gt;1.5*Table1[[#This Row],[Target]],1,0)</f>
        <v>0</v>
      </c>
      <c r="Q1009" s="4">
        <f>IF(AND(1.5*Table1[[#This Row],[Target]]&gt;=Table1[[#This Row],[Last value]],Table1[[#This Row],[Last value]]&gt;Table1[[#This Row],[Target]]),1,0)</f>
        <v>0</v>
      </c>
      <c r="R1009" s="4">
        <f>IF(Table1[[#This Row],[Target]]&gt;=Table1[[#This Row],[Last value]],1,0)</f>
        <v>1</v>
      </c>
      <c r="S1009" s="4" t="str">
        <f t="shared" si="26"/>
        <v>Green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>
        <v>0</v>
      </c>
      <c r="BP1009" s="4">
        <v>0</v>
      </c>
      <c r="BQ1009" s="4">
        <v>0</v>
      </c>
      <c r="BR1009" s="4">
        <v>0.23</v>
      </c>
      <c r="BS1009" s="4">
        <v>0.38</v>
      </c>
      <c r="BT1009" s="4">
        <v>0.88</v>
      </c>
      <c r="BU1009" s="4">
        <v>0.63</v>
      </c>
      <c r="BV1009" s="4">
        <v>0.63</v>
      </c>
      <c r="BW1009" s="4">
        <v>25</v>
      </c>
      <c r="BX1009" s="4">
        <v>0.21</v>
      </c>
      <c r="BY1009" s="4">
        <v>0.26</v>
      </c>
      <c r="BZ1009" s="4">
        <v>0</v>
      </c>
      <c r="CA1009" s="4">
        <v>0</v>
      </c>
      <c r="CB1009" s="4">
        <v>0</v>
      </c>
      <c r="CC1009" s="4">
        <v>0.26</v>
      </c>
      <c r="CD1009" s="4">
        <v>0</v>
      </c>
      <c r="CE1009" s="4">
        <v>0</v>
      </c>
      <c r="CF1009" s="4">
        <v>0.35</v>
      </c>
      <c r="CG1009" s="4">
        <v>0</v>
      </c>
      <c r="CH1009" s="4">
        <v>0</v>
      </c>
      <c r="CI1009" s="4">
        <v>0.22</v>
      </c>
      <c r="CJ1009" s="34">
        <v>0</v>
      </c>
      <c r="CK1009" s="34">
        <v>0</v>
      </c>
      <c r="CL1009" s="34">
        <v>0</v>
      </c>
      <c r="CM1009" s="4">
        <v>0</v>
      </c>
      <c r="CN1009" s="53">
        <v>0</v>
      </c>
      <c r="CO1009" s="54">
        <v>0</v>
      </c>
      <c r="CP1009" s="54">
        <v>0</v>
      </c>
      <c r="CQ1009" s="4">
        <v>0</v>
      </c>
    </row>
    <row r="1010" spans="1:95" x14ac:dyDescent="0.35">
      <c r="A1010" s="55">
        <v>1009</v>
      </c>
      <c r="B1010" t="s">
        <v>122</v>
      </c>
      <c r="C1010" s="28" t="s">
        <v>1083</v>
      </c>
      <c r="D1010" s="3" t="s">
        <v>88</v>
      </c>
      <c r="E1010" s="33" t="s">
        <v>89</v>
      </c>
      <c r="F1010" s="4">
        <f>IFERROR(AVERAGEIF(Table1[[#This Row],[2019-Apr]:[2025-July]],"&lt;&gt;0"),0)</f>
        <v>1.6288235294117646</v>
      </c>
      <c r="G1010" s="4">
        <f ca="1">IFERROR(AVERAGEIF(OFFSET(Table1[[#This Row],[Status]],0,COUNT(Table1[[#This Row],[2019-May]:[2025-July]]),1,-12),"&lt;&gt;0"),0)</f>
        <v>1.6728571428571428</v>
      </c>
      <c r="H1010" s="55">
        <f>IFERROR(SMALL(Table1[[#This Row],[2019-Apr]:[2025-July]],COUNTIF(Table1[[#This Row],[2019-Apr]:[2025-July]],0)+1),0)</f>
        <v>1</v>
      </c>
      <c r="I1010" s="56">
        <f>IFERROR(MAX(Table1[[#This Row],[2019-Apr]:[2025-July]]),0)</f>
        <v>3.02</v>
      </c>
      <c r="J1010" s="4" cm="1">
        <f t="array" ref="J101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1.1666666666666667</v>
      </c>
      <c r="K1010" s="4">
        <v>4.5</v>
      </c>
      <c r="L1010" s="4">
        <f>IF(Table1[[#This Row],[Standard as per ISO]]&gt;=Table1[[#This Row],[Avg of best 6]],Table1[[#This Row],[Standard as per ISO]],Table1[[#This Row],[Avg of best 6]])</f>
        <v>4.5</v>
      </c>
      <c r="M1010" s="4" cm="1">
        <f t="array" ref="M1010">IFERROR(LOOKUP(2,1/(Table1[[#This Row],[2019-May]:[2025-July]]&lt;&gt;0),Table1[[#This Row],[2019-May]:[2025-July]]),0)</f>
        <v>2.2000000000000002</v>
      </c>
      <c r="N1010" s="4">
        <f>COUNTIF(Table1[[#This Row],[2019-Apr]:[2025-July]],"&gt;="&amp;Table1[[#This Row],[Target]])</f>
        <v>0</v>
      </c>
      <c r="O1010" s="4">
        <f>IF(Table1[[#This Row],[Outliers 2Y]]=0,1,0)</f>
        <v>1</v>
      </c>
      <c r="P1010" s="4">
        <f>IF(Table1[[#This Row],[Last value]]&gt;1.5*Table1[[#This Row],[Target]],1,0)</f>
        <v>0</v>
      </c>
      <c r="Q1010" s="4">
        <f>IF(AND(1.5*Table1[[#This Row],[Target]]&gt;=Table1[[#This Row],[Last value]],Table1[[#This Row],[Last value]]&gt;Table1[[#This Row],[Target]]),1,0)</f>
        <v>0</v>
      </c>
      <c r="R1010" s="4">
        <f>IF(Table1[[#This Row],[Target]]&gt;=Table1[[#This Row],[Last value]],1,0)</f>
        <v>1</v>
      </c>
      <c r="S1010" s="4" t="str">
        <f t="shared" si="26"/>
        <v>Green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>
        <v>0</v>
      </c>
      <c r="BP1010" s="4">
        <v>0</v>
      </c>
      <c r="BQ1010" s="4">
        <v>0</v>
      </c>
      <c r="BR1010" s="4">
        <v>1.19</v>
      </c>
      <c r="BS1010" s="4">
        <v>3.02</v>
      </c>
      <c r="BT1010" s="4">
        <v>1.34</v>
      </c>
      <c r="BU1010" s="4">
        <v>1.68</v>
      </c>
      <c r="BV1010" s="4">
        <v>1.25</v>
      </c>
      <c r="BW1010" s="4">
        <v>1.19</v>
      </c>
      <c r="BX1010" s="4">
        <v>1.74</v>
      </c>
      <c r="BY1010" s="4">
        <v>1.25</v>
      </c>
      <c r="BZ1010" s="4">
        <v>0</v>
      </c>
      <c r="CA1010" s="4">
        <v>0</v>
      </c>
      <c r="CB1010" s="4">
        <v>0</v>
      </c>
      <c r="CC1010" s="4">
        <v>1.1200000000000001</v>
      </c>
      <c r="CD1010" s="4">
        <v>0</v>
      </c>
      <c r="CE1010" s="4">
        <v>0</v>
      </c>
      <c r="CF1010" s="4">
        <v>2.3199999999999998</v>
      </c>
      <c r="CG1010" s="4">
        <v>0</v>
      </c>
      <c r="CH1010" s="4">
        <v>0</v>
      </c>
      <c r="CI1010" s="4">
        <v>1.99</v>
      </c>
      <c r="CJ1010" s="34">
        <v>1.5</v>
      </c>
      <c r="CK1010" s="34">
        <v>0</v>
      </c>
      <c r="CL1010" s="43">
        <v>0</v>
      </c>
      <c r="CM1010" s="4">
        <v>1</v>
      </c>
      <c r="CN1010" s="53">
        <v>1.4</v>
      </c>
      <c r="CO1010" s="54">
        <v>1.4</v>
      </c>
      <c r="CP1010" s="54">
        <v>2.1</v>
      </c>
      <c r="CQ1010" s="4">
        <v>2.2000000000000002</v>
      </c>
    </row>
    <row r="1011" spans="1:95" x14ac:dyDescent="0.35">
      <c r="A1011" s="55">
        <v>1010</v>
      </c>
      <c r="B1011" t="s">
        <v>122</v>
      </c>
      <c r="C1011" s="28" t="s">
        <v>1084</v>
      </c>
      <c r="D1011" s="3" t="s">
        <v>123</v>
      </c>
      <c r="E1011" s="33" t="s">
        <v>89</v>
      </c>
      <c r="F1011" s="4">
        <f>IFERROR(AVERAGEIF(Table1[[#This Row],[2019-Apr]:[2025-July]],"&lt;&gt;0"),0)</f>
        <v>4.708947368421053</v>
      </c>
      <c r="G1011" s="4">
        <f ca="1">IFERROR(AVERAGEIF(OFFSET(Table1[[#This Row],[Status]],0,COUNT(Table1[[#This Row],[2019-May]:[2025-July]]),1,-12),"&lt;&gt;0"),0)</f>
        <v>4.3371428571428572</v>
      </c>
      <c r="H1011" s="55">
        <f>IFERROR(SMALL(Table1[[#This Row],[2019-Apr]:[2025-July]],COUNTIF(Table1[[#This Row],[2019-Apr]:[2025-July]],0)+1),0)</f>
        <v>3.2</v>
      </c>
      <c r="I1011" s="56">
        <f>IFERROR(MAX(Table1[[#This Row],[2019-Apr]:[2025-July]]),0)</f>
        <v>5.56</v>
      </c>
      <c r="J1011" s="4" cm="1">
        <f t="array" ref="J101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3.8866666666666667</v>
      </c>
      <c r="K1011" s="4">
        <v>4.5</v>
      </c>
      <c r="L1011" s="4">
        <f>IF(Table1[[#This Row],[Standard as per ISO]]&gt;=Table1[[#This Row],[Avg of best 6]],Table1[[#This Row],[Standard as per ISO]],Table1[[#This Row],[Avg of best 6]])</f>
        <v>4.5</v>
      </c>
      <c r="M1011" s="4" cm="1">
        <f t="array" ref="M1011">IFERROR(LOOKUP(2,1/(Table1[[#This Row],[2019-May]:[2025-July]]&lt;&gt;0),Table1[[#This Row],[2019-May]:[2025-July]]),0)</f>
        <v>5.4</v>
      </c>
      <c r="N1011" s="4">
        <f>COUNTIF(Table1[[#This Row],[2019-Apr]:[2025-July]],"&gt;="&amp;Table1[[#This Row],[Target]])</f>
        <v>12</v>
      </c>
      <c r="O1011" s="4">
        <f>IF(Table1[[#This Row],[Outliers 2Y]]=0,1,0)</f>
        <v>0</v>
      </c>
      <c r="P1011" s="4">
        <f>IF(Table1[[#This Row],[Last value]]&gt;1.5*Table1[[#This Row],[Target]],1,0)</f>
        <v>0</v>
      </c>
      <c r="Q1011" s="4">
        <f>IF(AND(1.5*Table1[[#This Row],[Target]]&gt;=Table1[[#This Row],[Last value]],Table1[[#This Row],[Last value]]&gt;Table1[[#This Row],[Target]]),1,0)</f>
        <v>1</v>
      </c>
      <c r="R1011" s="4">
        <f>IF(Table1[[#This Row],[Target]]&gt;=Table1[[#This Row],[Last value]],1,0)</f>
        <v>0</v>
      </c>
      <c r="S1011" s="4" t="str">
        <f t="shared" si="26"/>
        <v>Yellow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>
        <v>0</v>
      </c>
      <c r="BP1011" s="4">
        <v>0</v>
      </c>
      <c r="BQ1011" s="4">
        <v>0</v>
      </c>
      <c r="BR1011" s="4">
        <v>5.54</v>
      </c>
      <c r="BS1011" s="4">
        <v>5.23</v>
      </c>
      <c r="BT1011" s="4">
        <v>3.87</v>
      </c>
      <c r="BU1011" s="4">
        <v>5.01</v>
      </c>
      <c r="BV1011" s="4">
        <v>4.92</v>
      </c>
      <c r="BW1011" s="4">
        <v>5</v>
      </c>
      <c r="BX1011" s="4">
        <v>3.95</v>
      </c>
      <c r="BY1011" s="4">
        <v>4.8</v>
      </c>
      <c r="BZ1011" s="4">
        <v>0</v>
      </c>
      <c r="CA1011" s="4">
        <v>5.09</v>
      </c>
      <c r="CB1011" s="4">
        <v>5.56</v>
      </c>
      <c r="CC1011" s="4">
        <v>0</v>
      </c>
      <c r="CD1011" s="4">
        <v>4.74</v>
      </c>
      <c r="CE1011" s="4">
        <v>0</v>
      </c>
      <c r="CF1011" s="4">
        <v>5.21</v>
      </c>
      <c r="CG1011" s="4">
        <v>4.42</v>
      </c>
      <c r="CH1011" s="4">
        <v>0</v>
      </c>
      <c r="CI1011" s="4">
        <v>5.23</v>
      </c>
      <c r="CJ1011" s="34">
        <v>3.2</v>
      </c>
      <c r="CK1011" s="34">
        <v>0</v>
      </c>
      <c r="CL1011" s="43">
        <v>0</v>
      </c>
      <c r="CM1011" s="4">
        <v>4.4000000000000004</v>
      </c>
      <c r="CN1011" s="53">
        <v>0</v>
      </c>
      <c r="CO1011" s="54">
        <v>3.6</v>
      </c>
      <c r="CP1011" s="54">
        <v>4.3</v>
      </c>
      <c r="CQ1011" s="4">
        <v>5.4</v>
      </c>
    </row>
    <row r="1012" spans="1:95" x14ac:dyDescent="0.35">
      <c r="A1012" s="55">
        <v>1011</v>
      </c>
      <c r="B1012" t="s">
        <v>122</v>
      </c>
      <c r="C1012" s="28" t="s">
        <v>1085</v>
      </c>
      <c r="D1012" s="3" t="s">
        <v>93</v>
      </c>
      <c r="E1012" s="33" t="s">
        <v>91</v>
      </c>
      <c r="F1012" s="4">
        <f>IFERROR(AVERAGEIF(Table1[[#This Row],[2019-Apr]:[2025-July]],"&lt;&gt;0"),0)</f>
        <v>7.1477777777777778</v>
      </c>
      <c r="G1012" s="4">
        <f ca="1">IFERROR(AVERAGEIF(OFFSET(Table1[[#This Row],[Status]],0,COUNT(Table1[[#This Row],[2019-May]:[2025-July]]),1,-12),"&lt;&gt;0"),0)</f>
        <v>7.25</v>
      </c>
      <c r="H1012" s="55">
        <f>IFERROR(SMALL(Table1[[#This Row],[2019-Apr]:[2025-July]],COUNTIF(Table1[[#This Row],[2019-Apr]:[2025-July]],0)+1),0)</f>
        <v>4.66</v>
      </c>
      <c r="I1012" s="56">
        <f>IFERROR(MAX(Table1[[#This Row],[2019-Apr]:[2025-July]]),0)</f>
        <v>12.74</v>
      </c>
      <c r="J1012" s="4" cm="1">
        <f t="array" ref="J101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5.2450000000000001</v>
      </c>
      <c r="K1012" s="4">
        <v>4.5</v>
      </c>
      <c r="L1012" s="4">
        <f>IF(Table1[[#This Row],[Standard as per ISO]]&gt;=Table1[[#This Row],[Avg of best 6]],Table1[[#This Row],[Standard as per ISO]],Table1[[#This Row],[Avg of best 6]])</f>
        <v>5.2450000000000001</v>
      </c>
      <c r="M1012" s="4" cm="1">
        <f t="array" ref="M1012">IFERROR(LOOKUP(2,1/(Table1[[#This Row],[2019-May]:[2025-July]]&lt;&gt;0),Table1[[#This Row],[2019-May]:[2025-July]]),0)</f>
        <v>6.2</v>
      </c>
      <c r="N1012" s="4">
        <f>COUNTIF(Table1[[#This Row],[2019-Apr]:[2025-July]],"&gt;="&amp;Table1[[#This Row],[Target]])</f>
        <v>16</v>
      </c>
      <c r="O1012" s="4">
        <f>IF(Table1[[#This Row],[Outliers 2Y]]=0,1,0)</f>
        <v>0</v>
      </c>
      <c r="P1012" s="4">
        <f>IF(Table1[[#This Row],[Last value]]&gt;1.5*Table1[[#This Row],[Target]],1,0)</f>
        <v>0</v>
      </c>
      <c r="Q1012" s="4">
        <f>IF(AND(1.5*Table1[[#This Row],[Target]]&gt;=Table1[[#This Row],[Last value]],Table1[[#This Row],[Last value]]&gt;Table1[[#This Row],[Target]]),1,0)</f>
        <v>1</v>
      </c>
      <c r="R1012" s="4">
        <f>IF(Table1[[#This Row],[Target]]&gt;=Table1[[#This Row],[Last value]],1,0)</f>
        <v>0</v>
      </c>
      <c r="S1012" s="4" t="str">
        <f t="shared" si="26"/>
        <v>Yellow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>
        <v>0</v>
      </c>
      <c r="BP1012" s="4">
        <v>10.29</v>
      </c>
      <c r="BQ1012" s="4">
        <v>6.94</v>
      </c>
      <c r="BR1012" s="4">
        <v>11.8</v>
      </c>
      <c r="BS1012" s="4">
        <v>5.4</v>
      </c>
      <c r="BT1012" s="4">
        <v>4.66</v>
      </c>
      <c r="BU1012" s="4">
        <v>12.74</v>
      </c>
      <c r="BV1012" s="4">
        <v>5.55</v>
      </c>
      <c r="BW1012" s="4">
        <v>5.22</v>
      </c>
      <c r="BX1012" s="4">
        <v>5.26</v>
      </c>
      <c r="BY1012" s="4">
        <v>6.23</v>
      </c>
      <c r="BZ1012" s="4">
        <v>0</v>
      </c>
      <c r="CA1012" s="4">
        <v>5.6</v>
      </c>
      <c r="CB1012" s="4">
        <v>6.39</v>
      </c>
      <c r="CC1012" s="4">
        <v>0</v>
      </c>
      <c r="CD1012" s="4">
        <v>6.33</v>
      </c>
      <c r="CE1012" s="4">
        <v>0</v>
      </c>
      <c r="CF1012" s="4">
        <v>6.31</v>
      </c>
      <c r="CG1012" s="4">
        <v>11.92</v>
      </c>
      <c r="CH1012" s="4">
        <v>5.38</v>
      </c>
      <c r="CI1012" s="4">
        <v>6.44</v>
      </c>
      <c r="CJ1012" s="34">
        <v>6.2</v>
      </c>
      <c r="CK1012" s="34">
        <v>0</v>
      </c>
      <c r="CL1012" s="34">
        <v>0</v>
      </c>
      <c r="CM1012" s="4">
        <v>0</v>
      </c>
      <c r="CN1012" s="53">
        <v>0</v>
      </c>
      <c r="CO1012" s="54">
        <v>0</v>
      </c>
      <c r="CP1012" s="54">
        <v>0</v>
      </c>
      <c r="CQ1012" s="4">
        <v>0</v>
      </c>
    </row>
    <row r="1013" spans="1:95" x14ac:dyDescent="0.35">
      <c r="A1013" s="55">
        <v>1012</v>
      </c>
      <c r="B1013" t="s">
        <v>122</v>
      </c>
      <c r="C1013" s="28" t="s">
        <v>1086</v>
      </c>
      <c r="D1013" s="3" t="s">
        <v>93</v>
      </c>
      <c r="E1013" s="33" t="s">
        <v>91</v>
      </c>
      <c r="F1013" s="4">
        <f>IFERROR(AVERAGEIF(Table1[[#This Row],[2019-Apr]:[2025-July]],"&lt;&gt;0"),0)</f>
        <v>8.9500000000000011</v>
      </c>
      <c r="G1013" s="4">
        <f ca="1">IFERROR(AVERAGEIF(OFFSET(Table1[[#This Row],[Status]],0,COUNT(Table1[[#This Row],[2019-May]:[2025-July]]),1,-12),"&lt;&gt;0"),0)</f>
        <v>10.690000000000001</v>
      </c>
      <c r="H1013" s="55">
        <f>IFERROR(SMALL(Table1[[#This Row],[2019-Apr]:[2025-July]],COUNTIF(Table1[[#This Row],[2019-Apr]:[2025-July]],0)+1),0)</f>
        <v>2.08</v>
      </c>
      <c r="I1013" s="56">
        <f>IFERROR(MAX(Table1[[#This Row],[2019-Apr]:[2025-July]]),0)</f>
        <v>20.86</v>
      </c>
      <c r="J1013" s="4" cm="1">
        <f t="array" ref="J101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2.59</v>
      </c>
      <c r="K1013" s="4">
        <v>4.5</v>
      </c>
      <c r="L1013" s="4">
        <f>IF(Table1[[#This Row],[Standard as per ISO]]&gt;=Table1[[#This Row],[Avg of best 6]],Table1[[#This Row],[Standard as per ISO]],Table1[[#This Row],[Avg of best 6]])</f>
        <v>4.5</v>
      </c>
      <c r="M1013" s="4" cm="1">
        <f t="array" ref="M1013">IFERROR(LOOKUP(2,1/(Table1[[#This Row],[2019-May]:[2025-July]]&lt;&gt;0),Table1[[#This Row],[2019-May]:[2025-July]]),0)</f>
        <v>11.07</v>
      </c>
      <c r="N1013" s="4">
        <f>COUNTIF(Table1[[#This Row],[2019-Apr]:[2025-July]],"&gt;="&amp;Table1[[#This Row],[Target]])</f>
        <v>11</v>
      </c>
      <c r="O1013" s="4">
        <f>IF(Table1[[#This Row],[Outliers 2Y]]=0,1,0)</f>
        <v>0</v>
      </c>
      <c r="P1013" s="4">
        <f>IF(Table1[[#This Row],[Last value]]&gt;1.5*Table1[[#This Row],[Target]],1,0)</f>
        <v>1</v>
      </c>
      <c r="Q1013" s="4">
        <f>IF(AND(1.5*Table1[[#This Row],[Target]]&gt;=Table1[[#This Row],[Last value]],Table1[[#This Row],[Last value]]&gt;Table1[[#This Row],[Target]]),1,0)</f>
        <v>0</v>
      </c>
      <c r="R1013" s="4">
        <f>IF(Table1[[#This Row],[Target]]&gt;=Table1[[#This Row],[Last value]],1,0)</f>
        <v>0</v>
      </c>
      <c r="S1013" s="4" t="str">
        <f t="shared" si="26"/>
        <v>Red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>
        <v>0</v>
      </c>
      <c r="BP1013" s="4">
        <v>9.81</v>
      </c>
      <c r="BQ1013" s="4">
        <v>5.38</v>
      </c>
      <c r="BR1013" s="4">
        <v>11.48</v>
      </c>
      <c r="BS1013" s="4">
        <v>20.420000000000002</v>
      </c>
      <c r="BT1013" s="4">
        <v>11.95</v>
      </c>
      <c r="BU1013" s="4">
        <v>2.59</v>
      </c>
      <c r="BV1013" s="4">
        <v>16.72</v>
      </c>
      <c r="BW1013" s="4">
        <v>3.53</v>
      </c>
      <c r="BX1013" s="4">
        <v>2.6</v>
      </c>
      <c r="BY1013" s="4">
        <v>2.66</v>
      </c>
      <c r="BZ1013" s="4">
        <v>0</v>
      </c>
      <c r="CA1013" s="4">
        <v>2.08</v>
      </c>
      <c r="CB1013" s="4">
        <v>2.08</v>
      </c>
      <c r="CC1013" s="4">
        <v>0</v>
      </c>
      <c r="CD1013" s="4">
        <v>18.09</v>
      </c>
      <c r="CE1013" s="4">
        <v>6.12</v>
      </c>
      <c r="CF1013" s="4">
        <v>20.86</v>
      </c>
      <c r="CG1013" s="4">
        <v>0</v>
      </c>
      <c r="CH1013" s="4">
        <v>4.71</v>
      </c>
      <c r="CI1013" s="4">
        <v>11.07</v>
      </c>
      <c r="CJ1013" s="34">
        <v>0</v>
      </c>
      <c r="CK1013" s="34">
        <v>0</v>
      </c>
      <c r="CL1013" s="34">
        <v>0</v>
      </c>
      <c r="CM1013" s="4">
        <v>0</v>
      </c>
      <c r="CN1013" s="53">
        <v>0</v>
      </c>
      <c r="CO1013" s="54">
        <v>0</v>
      </c>
      <c r="CP1013" s="54">
        <v>0</v>
      </c>
      <c r="CQ1013" s="4">
        <v>0</v>
      </c>
    </row>
    <row r="1014" spans="1:95" x14ac:dyDescent="0.35">
      <c r="A1014" s="55">
        <v>1013</v>
      </c>
      <c r="B1014" t="s">
        <v>122</v>
      </c>
      <c r="C1014" s="28" t="s">
        <v>1087</v>
      </c>
      <c r="D1014" s="3" t="s">
        <v>93</v>
      </c>
      <c r="E1014" s="33" t="s">
        <v>91</v>
      </c>
      <c r="F1014" s="4">
        <f>IFERROR(AVERAGEIF(Table1[[#This Row],[2019-Apr]:[2025-July]],"&lt;&gt;0"),0)</f>
        <v>6.6718750000000009</v>
      </c>
      <c r="G1014" s="4">
        <f ca="1">IFERROR(AVERAGEIF(OFFSET(Table1[[#This Row],[Status]],0,COUNT(Table1[[#This Row],[2019-May]:[2025-July]]),1,-12),"&lt;&gt;0"),0)</f>
        <v>5.3733333333333322</v>
      </c>
      <c r="H1014" s="55">
        <f>IFERROR(SMALL(Table1[[#This Row],[2019-Apr]:[2025-July]],COUNTIF(Table1[[#This Row],[2019-Apr]:[2025-July]],0)+1),0)</f>
        <v>3.08</v>
      </c>
      <c r="I1014" s="56">
        <f>IFERROR(MAX(Table1[[#This Row],[2019-Apr]:[2025-July]]),0)</f>
        <v>14.4</v>
      </c>
      <c r="J1014" s="4" cm="1">
        <f t="array" ref="J101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3.7633333333333336</v>
      </c>
      <c r="K1014" s="4">
        <v>4.5</v>
      </c>
      <c r="L1014" s="4">
        <f>IF(Table1[[#This Row],[Standard as per ISO]]&gt;=Table1[[#This Row],[Avg of best 6]],Table1[[#This Row],[Standard as per ISO]],Table1[[#This Row],[Avg of best 6]])</f>
        <v>4.5</v>
      </c>
      <c r="M1014" s="4" cm="1">
        <f t="array" ref="M1014">IFERROR(LOOKUP(2,1/(Table1[[#This Row],[2019-May]:[2025-July]]&lt;&gt;0),Table1[[#This Row],[2019-May]:[2025-July]]),0)</f>
        <v>5.81</v>
      </c>
      <c r="N1014" s="4">
        <f>COUNTIF(Table1[[#This Row],[2019-Apr]:[2025-July]],"&gt;="&amp;Table1[[#This Row],[Target]])</f>
        <v>12</v>
      </c>
      <c r="O1014" s="4">
        <f>IF(Table1[[#This Row],[Outliers 2Y]]=0,1,0)</f>
        <v>0</v>
      </c>
      <c r="P1014" s="4">
        <f>IF(Table1[[#This Row],[Last value]]&gt;1.5*Table1[[#This Row],[Target]],1,0)</f>
        <v>0</v>
      </c>
      <c r="Q1014" s="4">
        <f>IF(AND(1.5*Table1[[#This Row],[Target]]&gt;=Table1[[#This Row],[Last value]],Table1[[#This Row],[Last value]]&gt;Table1[[#This Row],[Target]]),1,0)</f>
        <v>1</v>
      </c>
      <c r="R1014" s="4">
        <f>IF(Table1[[#This Row],[Target]]&gt;=Table1[[#This Row],[Last value]],1,0)</f>
        <v>0</v>
      </c>
      <c r="S1014" s="4" t="str">
        <f t="shared" si="26"/>
        <v>Yellow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>
        <v>0</v>
      </c>
      <c r="BP1014" s="4">
        <v>10.48</v>
      </c>
      <c r="BQ1014" s="4">
        <v>10.43</v>
      </c>
      <c r="BR1014" s="4">
        <v>4.8</v>
      </c>
      <c r="BS1014" s="4">
        <v>3.38</v>
      </c>
      <c r="BT1014" s="4">
        <v>3.08</v>
      </c>
      <c r="BU1014" s="4">
        <v>4.5</v>
      </c>
      <c r="BV1014" s="4">
        <v>4.66</v>
      </c>
      <c r="BW1014" s="4">
        <v>14.4</v>
      </c>
      <c r="BX1014" s="4">
        <v>6.27</v>
      </c>
      <c r="BY1014" s="4">
        <v>4.59</v>
      </c>
      <c r="BZ1014" s="4">
        <v>0</v>
      </c>
      <c r="CA1014" s="4">
        <v>9.74</v>
      </c>
      <c r="CB1014" s="4">
        <v>10.57</v>
      </c>
      <c r="CC1014" s="4">
        <v>0</v>
      </c>
      <c r="CD1014" s="4">
        <v>3.73</v>
      </c>
      <c r="CE1014" s="4">
        <v>0</v>
      </c>
      <c r="CF1014" s="4">
        <v>3.3</v>
      </c>
      <c r="CG1014" s="4">
        <v>7.01</v>
      </c>
      <c r="CH1014" s="4">
        <v>5.81</v>
      </c>
      <c r="CI1014" s="4">
        <v>0</v>
      </c>
      <c r="CJ1014" s="34">
        <v>0</v>
      </c>
      <c r="CK1014" s="34">
        <v>0</v>
      </c>
      <c r="CL1014" s="34">
        <v>0</v>
      </c>
      <c r="CM1014" s="4">
        <v>0</v>
      </c>
      <c r="CN1014" s="53">
        <v>0</v>
      </c>
      <c r="CO1014" s="54">
        <v>0</v>
      </c>
      <c r="CP1014" s="54">
        <v>0</v>
      </c>
      <c r="CQ1014" s="4">
        <v>0</v>
      </c>
    </row>
    <row r="1015" spans="1:95" x14ac:dyDescent="0.35">
      <c r="A1015" s="55">
        <v>1014</v>
      </c>
      <c r="B1015" t="s">
        <v>122</v>
      </c>
      <c r="C1015" s="28" t="s">
        <v>1088</v>
      </c>
      <c r="D1015" s="3" t="s">
        <v>123</v>
      </c>
      <c r="E1015" s="33" t="s">
        <v>90</v>
      </c>
      <c r="F1015" s="4">
        <f>IFERROR(AVERAGEIF(Table1[[#This Row],[2019-Apr]:[2025-July]],"&lt;&gt;0"),0)</f>
        <v>2.5526923076923071</v>
      </c>
      <c r="G1015" s="4">
        <f ca="1">IFERROR(AVERAGEIF(OFFSET(Table1[[#This Row],[Status]],0,COUNT(Table1[[#This Row],[2019-May]:[2025-July]]),1,-12),"&lt;&gt;0"),0)</f>
        <v>2.72</v>
      </c>
      <c r="H1015" s="55">
        <f>IFERROR(SMALL(Table1[[#This Row],[2019-Apr]:[2025-July]],COUNTIF(Table1[[#This Row],[2019-Apr]:[2025-July]],0)+1),0)</f>
        <v>1.8</v>
      </c>
      <c r="I1015" s="56">
        <f>IFERROR(MAX(Table1[[#This Row],[2019-Apr]:[2025-July]]),0)</f>
        <v>3.35</v>
      </c>
      <c r="J1015" s="4" cm="1">
        <f t="array" ref="J101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2.0283333333333333</v>
      </c>
      <c r="K1015" s="4">
        <v>4.5</v>
      </c>
      <c r="L1015" s="4">
        <f>IF(Table1[[#This Row],[Standard as per ISO]]&gt;=Table1[[#This Row],[Avg of best 6]],Table1[[#This Row],[Standard as per ISO]],Table1[[#This Row],[Avg of best 6]])</f>
        <v>4.5</v>
      </c>
      <c r="M1015" s="4" cm="1">
        <f t="array" ref="M1015">IFERROR(LOOKUP(2,1/(Table1[[#This Row],[2019-May]:[2025-July]]&lt;&gt;0),Table1[[#This Row],[2019-May]:[2025-July]]),0)</f>
        <v>2.2999999999999998</v>
      </c>
      <c r="N1015" s="4">
        <f>COUNTIF(Table1[[#This Row],[2019-Apr]:[2025-July]],"&gt;="&amp;Table1[[#This Row],[Target]])</f>
        <v>0</v>
      </c>
      <c r="O1015" s="4">
        <f>IF(Table1[[#This Row],[Outliers 2Y]]=0,1,0)</f>
        <v>1</v>
      </c>
      <c r="P1015" s="4">
        <f>IF(Table1[[#This Row],[Last value]]&gt;1.5*Table1[[#This Row],[Target]],1,0)</f>
        <v>0</v>
      </c>
      <c r="Q1015" s="4">
        <f>IF(AND(1.5*Table1[[#This Row],[Target]]&gt;=Table1[[#This Row],[Last value]],Table1[[#This Row],[Last value]]&gt;Table1[[#This Row],[Target]]),1,0)</f>
        <v>0</v>
      </c>
      <c r="R1015" s="4">
        <f>IF(Table1[[#This Row],[Target]]&gt;=Table1[[#This Row],[Last value]],1,0)</f>
        <v>1</v>
      </c>
      <c r="S1015" s="4" t="str">
        <f t="shared" si="26"/>
        <v>Green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>
        <v>0</v>
      </c>
      <c r="BP1015" s="4">
        <v>0</v>
      </c>
      <c r="BQ1015" s="4">
        <v>3.33</v>
      </c>
      <c r="BR1015" s="4">
        <v>3.35</v>
      </c>
      <c r="BS1015" s="4">
        <v>2.02</v>
      </c>
      <c r="BT1015" s="4">
        <v>2.23</v>
      </c>
      <c r="BU1015" s="4">
        <v>2.94</v>
      </c>
      <c r="BV1015" s="4">
        <v>2.16</v>
      </c>
      <c r="BW1015" s="4">
        <v>2.6</v>
      </c>
      <c r="BX1015" s="4">
        <v>2.25</v>
      </c>
      <c r="BY1015" s="4">
        <v>2</v>
      </c>
      <c r="BZ1015" s="4">
        <v>2.15</v>
      </c>
      <c r="CA1015" s="4">
        <v>2.1800000000000002</v>
      </c>
      <c r="CB1015" s="4">
        <v>2.04</v>
      </c>
      <c r="CC1015" s="4">
        <v>2.2200000000000002</v>
      </c>
      <c r="CD1015" s="4">
        <v>2.68</v>
      </c>
      <c r="CE1015" s="4">
        <v>0</v>
      </c>
      <c r="CF1015" s="4">
        <v>2.34</v>
      </c>
      <c r="CG1015" s="4">
        <v>2.34</v>
      </c>
      <c r="CH1015" s="4">
        <v>3.2</v>
      </c>
      <c r="CI1015" s="4">
        <v>2.84</v>
      </c>
      <c r="CJ1015" s="34">
        <v>3</v>
      </c>
      <c r="CK1015" s="34">
        <v>3.3</v>
      </c>
      <c r="CL1015" s="43">
        <v>2.8</v>
      </c>
      <c r="CM1015" s="4">
        <v>3.3</v>
      </c>
      <c r="CN1015" s="53">
        <v>1.8</v>
      </c>
      <c r="CO1015" s="54">
        <v>2.8</v>
      </c>
      <c r="CP1015" s="54">
        <v>2.2000000000000002</v>
      </c>
      <c r="CQ1015" s="4">
        <v>2.2999999999999998</v>
      </c>
    </row>
    <row r="1016" spans="1:95" x14ac:dyDescent="0.35">
      <c r="A1016" s="55">
        <v>1015</v>
      </c>
      <c r="B1016" t="s">
        <v>122</v>
      </c>
      <c r="C1016" s="28" t="s">
        <v>1089</v>
      </c>
      <c r="D1016" s="3" t="s">
        <v>123</v>
      </c>
      <c r="E1016" s="33" t="s">
        <v>90</v>
      </c>
      <c r="F1016" s="4">
        <f>IFERROR(AVERAGEIF(Table1[[#This Row],[2019-Apr]:[2025-July]],"&lt;&gt;0"),0)</f>
        <v>2.5796153846153849</v>
      </c>
      <c r="G1016" s="4">
        <f ca="1">IFERROR(AVERAGEIF(OFFSET(Table1[[#This Row],[Status]],0,COUNT(Table1[[#This Row],[2019-May]:[2025-July]]),1,-12),"&lt;&gt;0"),0)</f>
        <v>2.8472727272727272</v>
      </c>
      <c r="H1016" s="55">
        <f>IFERROR(SMALL(Table1[[#This Row],[2019-Apr]:[2025-July]],COUNTIF(Table1[[#This Row],[2019-Apr]:[2025-July]],0)+1),0)</f>
        <v>1.9</v>
      </c>
      <c r="I1016" s="56">
        <f>IFERROR(MAX(Table1[[#This Row],[2019-Apr]:[2025-July]]),0)</f>
        <v>3.24</v>
      </c>
      <c r="J1016" s="4" cm="1">
        <f t="array" ref="J101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2.1233333333333331</v>
      </c>
      <c r="K1016" s="4">
        <v>4.5</v>
      </c>
      <c r="L1016" s="4">
        <f>IF(Table1[[#This Row],[Standard as per ISO]]&gt;=Table1[[#This Row],[Avg of best 6]],Table1[[#This Row],[Standard as per ISO]],Table1[[#This Row],[Avg of best 6]])</f>
        <v>4.5</v>
      </c>
      <c r="M1016" s="4" cm="1">
        <f t="array" ref="M1016">IFERROR(LOOKUP(2,1/(Table1[[#This Row],[2019-May]:[2025-July]]&lt;&gt;0),Table1[[#This Row],[2019-May]:[2025-July]]),0)</f>
        <v>2.8</v>
      </c>
      <c r="N1016" s="4">
        <f>COUNTIF(Table1[[#This Row],[2019-Apr]:[2025-July]],"&gt;="&amp;Table1[[#This Row],[Target]])</f>
        <v>0</v>
      </c>
      <c r="O1016" s="4">
        <f>IF(Table1[[#This Row],[Outliers 2Y]]=0,1,0)</f>
        <v>1</v>
      </c>
      <c r="P1016" s="4">
        <f>IF(Table1[[#This Row],[Last value]]&gt;1.5*Table1[[#This Row],[Target]],1,0)</f>
        <v>0</v>
      </c>
      <c r="Q1016" s="4">
        <f>IF(AND(1.5*Table1[[#This Row],[Target]]&gt;=Table1[[#This Row],[Last value]],Table1[[#This Row],[Last value]]&gt;Table1[[#This Row],[Target]]),1,0)</f>
        <v>0</v>
      </c>
      <c r="R1016" s="4">
        <f>IF(Table1[[#This Row],[Target]]&gt;=Table1[[#This Row],[Last value]],1,0)</f>
        <v>1</v>
      </c>
      <c r="S1016" s="4" t="str">
        <f t="shared" si="26"/>
        <v>Green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>
        <v>0</v>
      </c>
      <c r="BP1016" s="4">
        <v>0</v>
      </c>
      <c r="BQ1016" s="4">
        <v>2.5299999999999998</v>
      </c>
      <c r="BR1016" s="4">
        <v>2.96</v>
      </c>
      <c r="BS1016" s="4">
        <v>2.1</v>
      </c>
      <c r="BT1016" s="4">
        <v>2.33</v>
      </c>
      <c r="BU1016" s="4">
        <v>1.9</v>
      </c>
      <c r="BV1016" s="4">
        <v>2.2599999999999998</v>
      </c>
      <c r="BW1016" s="4">
        <v>2.0299999999999998</v>
      </c>
      <c r="BX1016" s="4">
        <v>2.37</v>
      </c>
      <c r="BY1016" s="4">
        <v>2.2999999999999998</v>
      </c>
      <c r="BZ1016" s="4">
        <v>2.15</v>
      </c>
      <c r="CA1016" s="4">
        <v>2.38</v>
      </c>
      <c r="CB1016" s="4">
        <v>2.74</v>
      </c>
      <c r="CC1016" s="4">
        <v>2.35</v>
      </c>
      <c r="CD1016" s="4">
        <v>2.5499999999999998</v>
      </c>
      <c r="CE1016" s="4">
        <v>0</v>
      </c>
      <c r="CF1016" s="4">
        <v>2.66</v>
      </c>
      <c r="CG1016" s="4">
        <v>2.58</v>
      </c>
      <c r="CH1016" s="4">
        <v>3.24</v>
      </c>
      <c r="CI1016" s="4">
        <v>2.74</v>
      </c>
      <c r="CJ1016" s="34">
        <v>2.7</v>
      </c>
      <c r="CK1016" s="34">
        <v>3.1</v>
      </c>
      <c r="CL1016" s="43">
        <v>2.7</v>
      </c>
      <c r="CM1016" s="4">
        <v>3</v>
      </c>
      <c r="CN1016" s="53">
        <v>2.7</v>
      </c>
      <c r="CO1016" s="54">
        <v>3.2</v>
      </c>
      <c r="CP1016" s="54">
        <v>2.7</v>
      </c>
      <c r="CQ1016" s="4">
        <v>2.8</v>
      </c>
    </row>
    <row r="1017" spans="1:95" x14ac:dyDescent="0.35">
      <c r="A1017" s="55">
        <v>1016</v>
      </c>
      <c r="B1017" t="s">
        <v>122</v>
      </c>
      <c r="C1017" s="28" t="s">
        <v>1090</v>
      </c>
      <c r="D1017" s="3" t="s">
        <v>93</v>
      </c>
      <c r="E1017" s="33" t="s">
        <v>91</v>
      </c>
      <c r="F1017" s="4">
        <f>IFERROR(AVERAGEIF(Table1[[#This Row],[2019-Apr]:[2025-July]],"&lt;&gt;0"),0)</f>
        <v>2.7330000000000001</v>
      </c>
      <c r="G1017" s="4">
        <f ca="1">IFERROR(AVERAGEIF(OFFSET(Table1[[#This Row],[Status]],0,COUNT(Table1[[#This Row],[2019-May]:[2025-July]]),1,-12),"&lt;&gt;0"),0)</f>
        <v>1.8699999999999999</v>
      </c>
      <c r="H1017" s="55">
        <f>IFERROR(SMALL(Table1[[#This Row],[2019-Apr]:[2025-July]],COUNTIF(Table1[[#This Row],[2019-Apr]:[2025-July]],0)+1),0)</f>
        <v>0.83</v>
      </c>
      <c r="I1017" s="56">
        <f>IFERROR(MAX(Table1[[#This Row],[2019-Apr]:[2025-July]]),0)</f>
        <v>3.97</v>
      </c>
      <c r="J1017" s="4" cm="1">
        <f t="array" ref="J101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1.9849999999999997</v>
      </c>
      <c r="K1017" s="4">
        <v>4.5</v>
      </c>
      <c r="L1017" s="4">
        <f>IF(Table1[[#This Row],[Standard as per ISO]]&gt;=Table1[[#This Row],[Avg of best 6]],Table1[[#This Row],[Standard as per ISO]],Table1[[#This Row],[Avg of best 6]])</f>
        <v>4.5</v>
      </c>
      <c r="M1017" s="4" cm="1">
        <f t="array" ref="M1017">IFERROR(LOOKUP(2,1/(Table1[[#This Row],[2019-May]:[2025-July]]&lt;&gt;0),Table1[[#This Row],[2019-May]:[2025-July]]),0)</f>
        <v>2.2999999999999998</v>
      </c>
      <c r="N1017" s="4">
        <f>COUNTIF(Table1[[#This Row],[2019-Apr]:[2025-July]],"&gt;="&amp;Table1[[#This Row],[Target]])</f>
        <v>0</v>
      </c>
      <c r="O1017" s="4">
        <f>IF(Table1[[#This Row],[Outliers 2Y]]=0,1,0)</f>
        <v>1</v>
      </c>
      <c r="P1017" s="4">
        <f>IF(Table1[[#This Row],[Last value]]&gt;1.5*Table1[[#This Row],[Target]],1,0)</f>
        <v>0</v>
      </c>
      <c r="Q1017" s="4">
        <f>IF(AND(1.5*Table1[[#This Row],[Target]]&gt;=Table1[[#This Row],[Last value]],Table1[[#This Row],[Last value]]&gt;Table1[[#This Row],[Target]]),1,0)</f>
        <v>0</v>
      </c>
      <c r="R1017" s="4">
        <f>IF(Table1[[#This Row],[Target]]&gt;=Table1[[#This Row],[Last value]],1,0)</f>
        <v>1</v>
      </c>
      <c r="S1017" s="4" t="str">
        <f t="shared" si="26"/>
        <v>Green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>
        <v>0</v>
      </c>
      <c r="BP1017" s="4">
        <v>3.6</v>
      </c>
      <c r="BQ1017" s="4">
        <v>3.77</v>
      </c>
      <c r="BR1017" s="4">
        <v>3.85</v>
      </c>
      <c r="BS1017" s="4">
        <v>3.83</v>
      </c>
      <c r="BT1017" s="4">
        <v>3.97</v>
      </c>
      <c r="BU1017" s="4">
        <v>0</v>
      </c>
      <c r="BV1017" s="4">
        <v>0</v>
      </c>
      <c r="BW1017" s="4">
        <v>0.83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1.19</v>
      </c>
      <c r="CF1017" s="4">
        <v>0</v>
      </c>
      <c r="CG1017" s="4">
        <v>0</v>
      </c>
      <c r="CH1017" s="4">
        <v>2.1</v>
      </c>
      <c r="CI1017" s="4">
        <v>1.89</v>
      </c>
      <c r="CJ1017" s="34">
        <v>2.2999999999999998</v>
      </c>
      <c r="CK1017" s="34">
        <v>0</v>
      </c>
      <c r="CL1017" s="34">
        <v>0</v>
      </c>
      <c r="CM1017" s="4">
        <v>0</v>
      </c>
      <c r="CN1017" s="53">
        <v>0</v>
      </c>
      <c r="CO1017" s="54">
        <v>0</v>
      </c>
      <c r="CP1017" s="54">
        <v>0</v>
      </c>
      <c r="CQ1017" s="4">
        <v>0</v>
      </c>
    </row>
    <row r="1018" spans="1:95" x14ac:dyDescent="0.35">
      <c r="A1018" s="55">
        <v>1017</v>
      </c>
      <c r="B1018" t="s">
        <v>122</v>
      </c>
      <c r="C1018" s="28" t="s">
        <v>1091</v>
      </c>
      <c r="D1018" s="3" t="s">
        <v>93</v>
      </c>
      <c r="E1018" s="33" t="s">
        <v>91</v>
      </c>
      <c r="F1018" s="4">
        <f>IFERROR(AVERAGEIF(Table1[[#This Row],[2019-Apr]:[2025-July]],"&lt;&gt;0"),0)</f>
        <v>5.4246153846153851</v>
      </c>
      <c r="G1018" s="4">
        <f ca="1">IFERROR(AVERAGEIF(OFFSET(Table1[[#This Row],[Status]],0,COUNT(Table1[[#This Row],[2019-May]:[2025-July]]),1,-12),"&lt;&gt;0"),0)</f>
        <v>4.57</v>
      </c>
      <c r="H1018" s="55">
        <f>IFERROR(SMALL(Table1[[#This Row],[2019-Apr]:[2025-July]],COUNTIF(Table1[[#This Row],[2019-Apr]:[2025-July]],0)+1),0)</f>
        <v>1.54</v>
      </c>
      <c r="I1018" s="56">
        <f>IFERROR(MAX(Table1[[#This Row],[2019-Apr]:[2025-July]]),0)</f>
        <v>7.6</v>
      </c>
      <c r="J1018" s="4" cm="1">
        <f t="array" ref="J101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3.7966666666666669</v>
      </c>
      <c r="K1018" s="4">
        <v>4.5</v>
      </c>
      <c r="L1018" s="4">
        <f>IF(Table1[[#This Row],[Standard as per ISO]]&gt;=Table1[[#This Row],[Avg of best 6]],Table1[[#This Row],[Standard as per ISO]],Table1[[#This Row],[Avg of best 6]])</f>
        <v>4.5</v>
      </c>
      <c r="M1018" s="4" cm="1">
        <f t="array" ref="M1018">IFERROR(LOOKUP(2,1/(Table1[[#This Row],[2019-May]:[2025-July]]&lt;&gt;0),Table1[[#This Row],[2019-May]:[2025-July]]),0)</f>
        <v>1.54</v>
      </c>
      <c r="N1018" s="4">
        <f>COUNTIF(Table1[[#This Row],[2019-Apr]:[2025-July]],"&gt;="&amp;Table1[[#This Row],[Target]])</f>
        <v>9</v>
      </c>
      <c r="O1018" s="4">
        <f>IF(Table1[[#This Row],[Outliers 2Y]]=0,1,0)</f>
        <v>0</v>
      </c>
      <c r="P1018" s="4">
        <f>IF(Table1[[#This Row],[Last value]]&gt;1.5*Table1[[#This Row],[Target]],1,0)</f>
        <v>0</v>
      </c>
      <c r="Q1018" s="4">
        <f>IF(AND(1.5*Table1[[#This Row],[Target]]&gt;=Table1[[#This Row],[Last value]],Table1[[#This Row],[Last value]]&gt;Table1[[#This Row],[Target]]),1,0)</f>
        <v>0</v>
      </c>
      <c r="R1018" s="4">
        <f>IF(Table1[[#This Row],[Target]]&gt;=Table1[[#This Row],[Last value]],1,0)</f>
        <v>1</v>
      </c>
      <c r="S1018" s="4" t="str">
        <f t="shared" si="26"/>
        <v>Green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>
        <v>0</v>
      </c>
      <c r="BP1018" s="4">
        <v>6.6</v>
      </c>
      <c r="BQ1018" s="4">
        <v>0</v>
      </c>
      <c r="BR1018" s="4">
        <v>0</v>
      </c>
      <c r="BS1018" s="4">
        <v>0</v>
      </c>
      <c r="BT1018" s="4">
        <v>3.93</v>
      </c>
      <c r="BU1018" s="4">
        <v>5.78</v>
      </c>
      <c r="BV1018" s="4">
        <v>3.3</v>
      </c>
      <c r="BW1018" s="4">
        <v>7.03</v>
      </c>
      <c r="BX1018" s="4">
        <v>6.95</v>
      </c>
      <c r="BY1018" s="4">
        <v>7.36</v>
      </c>
      <c r="BZ1018" s="4">
        <v>0</v>
      </c>
      <c r="CA1018" s="4">
        <v>3.06</v>
      </c>
      <c r="CB1018" s="4">
        <v>5.17</v>
      </c>
      <c r="CC1018" s="4">
        <v>5.95</v>
      </c>
      <c r="CD1018" s="4">
        <v>6.25</v>
      </c>
      <c r="CE1018" s="4">
        <v>0</v>
      </c>
      <c r="CF1018" s="4">
        <v>7.6</v>
      </c>
      <c r="CG1018" s="4">
        <v>1.54</v>
      </c>
      <c r="CH1018" s="4">
        <v>0</v>
      </c>
      <c r="CI1018" s="4">
        <v>0</v>
      </c>
      <c r="CJ1018" s="34">
        <v>0</v>
      </c>
      <c r="CK1018" s="34">
        <v>0</v>
      </c>
      <c r="CL1018" s="34">
        <v>0</v>
      </c>
      <c r="CM1018" s="4">
        <v>0</v>
      </c>
      <c r="CN1018" s="53">
        <v>0</v>
      </c>
      <c r="CO1018" s="54">
        <v>0</v>
      </c>
      <c r="CP1018" s="54">
        <v>0</v>
      </c>
      <c r="CQ1018" s="4">
        <v>0</v>
      </c>
    </row>
    <row r="1019" spans="1:95" x14ac:dyDescent="0.35">
      <c r="A1019" s="55">
        <v>1018</v>
      </c>
      <c r="B1019" t="s">
        <v>122</v>
      </c>
      <c r="C1019" s="28" t="s">
        <v>1092</v>
      </c>
      <c r="D1019" s="3" t="s">
        <v>93</v>
      </c>
      <c r="E1019" s="33" t="s">
        <v>91</v>
      </c>
      <c r="F1019" s="4">
        <f>IFERROR(AVERAGEIF(Table1[[#This Row],[2019-Apr]:[2025-July]],"&lt;&gt;0"),0)</f>
        <v>3.1028571428571432</v>
      </c>
      <c r="G1019" s="4">
        <f ca="1">IFERROR(AVERAGEIF(OFFSET(Table1[[#This Row],[Status]],0,COUNT(Table1[[#This Row],[2019-May]:[2025-July]]),1,-12),"&lt;&gt;0"),0)</f>
        <v>4.2749999999999995</v>
      </c>
      <c r="H1019" s="55">
        <f>IFERROR(SMALL(Table1[[#This Row],[2019-Apr]:[2025-July]],COUNTIF(Table1[[#This Row],[2019-Apr]:[2025-July]],0)+1),0)</f>
        <v>1.47</v>
      </c>
      <c r="I1019" s="56">
        <f>IFERROR(MAX(Table1[[#This Row],[2019-Apr]:[2025-July]]),0)</f>
        <v>6.54</v>
      </c>
      <c r="J1019" s="4" cm="1">
        <f t="array" ref="J101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2.0166666666666666</v>
      </c>
      <c r="K1019" s="4">
        <v>4.5</v>
      </c>
      <c r="L1019" s="4">
        <f>IF(Table1[[#This Row],[Standard as per ISO]]&gt;=Table1[[#This Row],[Avg of best 6]],Table1[[#This Row],[Standard as per ISO]],Table1[[#This Row],[Avg of best 6]])</f>
        <v>4.5</v>
      </c>
      <c r="M1019" s="4" cm="1">
        <f t="array" ref="M1019">IFERROR(LOOKUP(2,1/(Table1[[#This Row],[2019-May]:[2025-July]]&lt;&gt;0),Table1[[#This Row],[2019-May]:[2025-July]]),0)</f>
        <v>2.5499999999999998</v>
      </c>
      <c r="N1019" s="4">
        <f>COUNTIF(Table1[[#This Row],[2019-Apr]:[2025-July]],"&gt;="&amp;Table1[[#This Row],[Target]])</f>
        <v>3</v>
      </c>
      <c r="O1019" s="4">
        <f>IF(Table1[[#This Row],[Outliers 2Y]]=0,1,0)</f>
        <v>0</v>
      </c>
      <c r="P1019" s="4">
        <f>IF(Table1[[#This Row],[Last value]]&gt;1.5*Table1[[#This Row],[Target]],1,0)</f>
        <v>0</v>
      </c>
      <c r="Q1019" s="4">
        <f>IF(AND(1.5*Table1[[#This Row],[Target]]&gt;=Table1[[#This Row],[Last value]],Table1[[#This Row],[Last value]]&gt;Table1[[#This Row],[Target]]),1,0)</f>
        <v>0</v>
      </c>
      <c r="R1019" s="4">
        <f>IF(Table1[[#This Row],[Target]]&gt;=Table1[[#This Row],[Last value]],1,0)</f>
        <v>1</v>
      </c>
      <c r="S1019" s="4" t="str">
        <f t="shared" ref="S1019:S1082" si="28">IF(P1019=1, "Red", IF(Q1019=1, "Yellow", "Green"))</f>
        <v>Green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>
        <v>0</v>
      </c>
      <c r="BP1019" s="4">
        <v>2.8</v>
      </c>
      <c r="BQ1019" s="4">
        <v>3.51</v>
      </c>
      <c r="BR1019" s="4">
        <v>0</v>
      </c>
      <c r="BS1019" s="4">
        <v>0</v>
      </c>
      <c r="BT1019" s="4">
        <v>2.35</v>
      </c>
      <c r="BU1019" s="4">
        <v>2.17</v>
      </c>
      <c r="BV1019" s="4">
        <v>1.47</v>
      </c>
      <c r="BW1019" s="4">
        <v>1.83</v>
      </c>
      <c r="BX1019" s="4">
        <v>2.21</v>
      </c>
      <c r="BY1019" s="4">
        <v>2.0699999999999998</v>
      </c>
      <c r="BZ1019" s="4">
        <v>0</v>
      </c>
      <c r="CA1019" s="4">
        <v>2.41</v>
      </c>
      <c r="CB1019" s="4">
        <v>0</v>
      </c>
      <c r="CC1019" s="4">
        <v>5.52</v>
      </c>
      <c r="CD1019" s="4">
        <v>0</v>
      </c>
      <c r="CE1019" s="4">
        <v>0</v>
      </c>
      <c r="CF1019" s="4">
        <v>6.54</v>
      </c>
      <c r="CG1019" s="4">
        <v>5.0199999999999996</v>
      </c>
      <c r="CH1019" s="4">
        <v>2.99</v>
      </c>
      <c r="CI1019" s="4">
        <v>2.5499999999999998</v>
      </c>
      <c r="CJ1019" s="34">
        <v>0</v>
      </c>
      <c r="CK1019" s="34">
        <v>0</v>
      </c>
      <c r="CL1019" s="34">
        <v>0</v>
      </c>
      <c r="CM1019" s="4">
        <v>0</v>
      </c>
      <c r="CN1019" s="53">
        <v>0</v>
      </c>
      <c r="CO1019" s="54">
        <v>0</v>
      </c>
      <c r="CP1019" s="54">
        <v>0</v>
      </c>
      <c r="CQ1019" s="4">
        <v>0</v>
      </c>
    </row>
    <row r="1020" spans="1:95" x14ac:dyDescent="0.35">
      <c r="A1020" s="55">
        <v>1019</v>
      </c>
      <c r="B1020" t="s">
        <v>122</v>
      </c>
      <c r="C1020" s="28" t="s">
        <v>1093</v>
      </c>
      <c r="D1020" s="3" t="s">
        <v>93</v>
      </c>
      <c r="E1020" s="33" t="s">
        <v>91</v>
      </c>
      <c r="F1020" s="4">
        <f>IFERROR(AVERAGEIF(Table1[[#This Row],[2019-Apr]:[2025-July]],"&lt;&gt;0"),0)</f>
        <v>2.4066666666666667</v>
      </c>
      <c r="G1020" s="4">
        <f ca="1">IFERROR(AVERAGEIF(OFFSET(Table1[[#This Row],[Status]],0,COUNT(Table1[[#This Row],[2019-May]:[2025-July]]),1,-12),"&lt;&gt;0"),0)</f>
        <v>1.2</v>
      </c>
      <c r="H1020" s="55">
        <f>IFERROR(SMALL(Table1[[#This Row],[2019-Apr]:[2025-July]],COUNTIF(Table1[[#This Row],[2019-Apr]:[2025-July]],0)+1),0)</f>
        <v>1.1399999999999999</v>
      </c>
      <c r="I1020" s="56">
        <f>IFERROR(MAX(Table1[[#This Row],[2019-Apr]:[2025-July]]),0)</f>
        <v>5.3</v>
      </c>
      <c r="J1020" s="4" cm="1">
        <f t="array" ref="J102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1.5016666666666667</v>
      </c>
      <c r="K1020" s="4">
        <v>4.5</v>
      </c>
      <c r="L1020" s="4">
        <f>IF(Table1[[#This Row],[Standard as per ISO]]&gt;=Table1[[#This Row],[Avg of best 6]],Table1[[#This Row],[Standard as per ISO]],Table1[[#This Row],[Avg of best 6]])</f>
        <v>4.5</v>
      </c>
      <c r="M1020" s="4" cm="1">
        <f t="array" ref="M1020">IFERROR(LOOKUP(2,1/(Table1[[#This Row],[2019-May]:[2025-July]]&lt;&gt;0),Table1[[#This Row],[2019-May]:[2025-July]]),0)</f>
        <v>1.2</v>
      </c>
      <c r="N1020" s="4">
        <f>COUNTIF(Table1[[#This Row],[2019-Apr]:[2025-July]],"&gt;="&amp;Table1[[#This Row],[Target]])</f>
        <v>1</v>
      </c>
      <c r="O1020" s="4">
        <f>IF(Table1[[#This Row],[Outliers 2Y]]=0,1,0)</f>
        <v>0</v>
      </c>
      <c r="P1020" s="4">
        <f>IF(Table1[[#This Row],[Last value]]&gt;1.5*Table1[[#This Row],[Target]],1,0)</f>
        <v>0</v>
      </c>
      <c r="Q1020" s="4">
        <f>IF(AND(1.5*Table1[[#This Row],[Target]]&gt;=Table1[[#This Row],[Last value]],Table1[[#This Row],[Last value]]&gt;Table1[[#This Row],[Target]]),1,0)</f>
        <v>0</v>
      </c>
      <c r="R1020" s="4">
        <f>IF(Table1[[#This Row],[Target]]&gt;=Table1[[#This Row],[Last value]],1,0)</f>
        <v>1</v>
      </c>
      <c r="S1020" s="4" t="str">
        <f t="shared" si="28"/>
        <v>Green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>
        <v>0</v>
      </c>
      <c r="BP1020" s="4">
        <v>5.3</v>
      </c>
      <c r="BQ1020" s="4">
        <v>3.81</v>
      </c>
      <c r="BR1020" s="4">
        <v>3.54</v>
      </c>
      <c r="BS1020" s="4">
        <v>1.1399999999999999</v>
      </c>
      <c r="BT1020" s="4">
        <v>1.81</v>
      </c>
      <c r="BU1020" s="4">
        <v>0</v>
      </c>
      <c r="BV1020" s="4">
        <v>0</v>
      </c>
      <c r="BW1020" s="4">
        <v>2.11</v>
      </c>
      <c r="BX1020" s="4">
        <v>0</v>
      </c>
      <c r="BY1020" s="4">
        <v>0</v>
      </c>
      <c r="BZ1020" s="4">
        <v>0</v>
      </c>
      <c r="CA1020" s="4">
        <v>0</v>
      </c>
      <c r="CB1020" s="4">
        <v>1.31</v>
      </c>
      <c r="CC1020" s="4">
        <v>0</v>
      </c>
      <c r="CD1020" s="4">
        <v>1.44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34">
        <v>1.2</v>
      </c>
      <c r="CK1020" s="34">
        <v>0</v>
      </c>
      <c r="CL1020" s="34">
        <v>0</v>
      </c>
      <c r="CM1020" s="4">
        <v>0</v>
      </c>
      <c r="CN1020" s="53">
        <v>0</v>
      </c>
      <c r="CO1020" s="54">
        <v>0</v>
      </c>
      <c r="CP1020" s="54">
        <v>0</v>
      </c>
      <c r="CQ1020" s="4">
        <v>0</v>
      </c>
    </row>
    <row r="1021" spans="1:95" x14ac:dyDescent="0.35">
      <c r="A1021" s="55">
        <v>1020</v>
      </c>
      <c r="B1021" t="s">
        <v>122</v>
      </c>
      <c r="C1021" s="28" t="s">
        <v>1094</v>
      </c>
      <c r="D1021" s="3" t="s">
        <v>123</v>
      </c>
      <c r="E1021" s="33" t="s">
        <v>90</v>
      </c>
      <c r="F1021" s="4">
        <f>IFERROR(AVERAGEIF(Table1[[#This Row],[2019-Apr]:[2025-July]],"&lt;&gt;0"),0)</f>
        <v>0.59636363636363621</v>
      </c>
      <c r="G1021" s="4">
        <f ca="1">IFERROR(AVERAGEIF(OFFSET(Table1[[#This Row],[Status]],0,COUNT(Table1[[#This Row],[2019-May]:[2025-July]]),1,-12),"&lt;&gt;0"),0)</f>
        <v>0.7088888888888889</v>
      </c>
      <c r="H1021" s="55">
        <f>IFERROR(SMALL(Table1[[#This Row],[2019-Apr]:[2025-July]],COUNTIF(Table1[[#This Row],[2019-Apr]:[2025-July]],0)+1),0)</f>
        <v>0.28999999999999998</v>
      </c>
      <c r="I1021" s="56">
        <f>IFERROR(MAX(Table1[[#This Row],[2019-Apr]:[2025-July]]),0)</f>
        <v>0.91</v>
      </c>
      <c r="J1021" s="4" cm="1">
        <f t="array" ref="J102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0.35000000000000003</v>
      </c>
      <c r="K1021" s="4">
        <v>4.5</v>
      </c>
      <c r="L1021" s="4">
        <f>IF(Table1[[#This Row],[Standard as per ISO]]&gt;=Table1[[#This Row],[Avg of best 6]],Table1[[#This Row],[Standard as per ISO]],Table1[[#This Row],[Avg of best 6]])</f>
        <v>4.5</v>
      </c>
      <c r="M1021" s="4" cm="1">
        <f t="array" ref="M1021">IFERROR(LOOKUP(2,1/(Table1[[#This Row],[2019-May]:[2025-July]]&lt;&gt;0),Table1[[#This Row],[2019-May]:[2025-July]]),0)</f>
        <v>0.5</v>
      </c>
      <c r="N1021" s="4">
        <f>COUNTIF(Table1[[#This Row],[2019-Apr]:[2025-July]],"&gt;="&amp;Table1[[#This Row],[Target]])</f>
        <v>0</v>
      </c>
      <c r="O1021" s="4">
        <f>IF(Table1[[#This Row],[Outliers 2Y]]=0,1,0)</f>
        <v>1</v>
      </c>
      <c r="P1021" s="4">
        <f>IF(Table1[[#This Row],[Last value]]&gt;1.5*Table1[[#This Row],[Target]],1,0)</f>
        <v>0</v>
      </c>
      <c r="Q1021" s="4">
        <f>IF(AND(1.5*Table1[[#This Row],[Target]]&gt;=Table1[[#This Row],[Last value]],Table1[[#This Row],[Last value]]&gt;Table1[[#This Row],[Target]]),1,0)</f>
        <v>0</v>
      </c>
      <c r="R1021" s="4">
        <f>IF(Table1[[#This Row],[Target]]&gt;=Table1[[#This Row],[Last value]],1,0)</f>
        <v>1</v>
      </c>
      <c r="S1021" s="4" t="str">
        <f t="shared" si="28"/>
        <v>Green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>
        <v>0</v>
      </c>
      <c r="BP1021" s="4">
        <v>0</v>
      </c>
      <c r="BQ1021" s="4">
        <v>0.38</v>
      </c>
      <c r="BR1021" s="4">
        <v>0.46</v>
      </c>
      <c r="BS1021" s="4">
        <v>0</v>
      </c>
      <c r="BT1021" s="4">
        <v>0.28999999999999998</v>
      </c>
      <c r="BU1021" s="4">
        <v>0.3</v>
      </c>
      <c r="BV1021" s="4">
        <v>0.31</v>
      </c>
      <c r="BW1021" s="4">
        <v>0.39</v>
      </c>
      <c r="BX1021" s="4">
        <v>0.7</v>
      </c>
      <c r="BY1021" s="4">
        <v>0.51</v>
      </c>
      <c r="BZ1021" s="4">
        <v>0</v>
      </c>
      <c r="CA1021" s="4">
        <v>0.5</v>
      </c>
      <c r="CB1021" s="4">
        <v>0.78</v>
      </c>
      <c r="CC1021" s="4">
        <v>0.91</v>
      </c>
      <c r="CD1021" s="4">
        <v>0.71</v>
      </c>
      <c r="CE1021" s="4">
        <v>0</v>
      </c>
      <c r="CF1021" s="4">
        <v>0.78</v>
      </c>
      <c r="CG1021" s="4">
        <v>0</v>
      </c>
      <c r="CH1021" s="4">
        <v>0</v>
      </c>
      <c r="CI1021" s="4">
        <v>0.56999999999999995</v>
      </c>
      <c r="CJ1021" s="34">
        <v>0.9</v>
      </c>
      <c r="CK1021" s="34">
        <v>0.9</v>
      </c>
      <c r="CL1021" s="43">
        <v>0.7</v>
      </c>
      <c r="CM1021" s="4">
        <v>0.7</v>
      </c>
      <c r="CN1021" s="53">
        <v>0.7</v>
      </c>
      <c r="CO1021" s="54">
        <v>0.7</v>
      </c>
      <c r="CP1021" s="54">
        <v>0.43</v>
      </c>
      <c r="CQ1021" s="4">
        <v>0.5</v>
      </c>
    </row>
    <row r="1022" spans="1:95" x14ac:dyDescent="0.35">
      <c r="A1022" s="55">
        <v>1021</v>
      </c>
      <c r="B1022" t="s">
        <v>122</v>
      </c>
      <c r="C1022" s="28" t="s">
        <v>1095</v>
      </c>
      <c r="D1022" s="3" t="s">
        <v>93</v>
      </c>
      <c r="E1022" s="33" t="s">
        <v>91</v>
      </c>
      <c r="F1022" s="4">
        <f>IFERROR(AVERAGEIF(Table1[[#This Row],[2019-Apr]:[2025-July]],"&lt;&gt;0"),0)</f>
        <v>2.7931578947368423</v>
      </c>
      <c r="G1022" s="4">
        <f ca="1">IFERROR(AVERAGEIF(OFFSET(Table1[[#This Row],[Status]],0,COUNT(Table1[[#This Row],[2019-May]:[2025-July]]),1,-12),"&lt;&gt;0"),0)</f>
        <v>3.0060000000000002</v>
      </c>
      <c r="H1022" s="55">
        <f>IFERROR(SMALL(Table1[[#This Row],[2019-Apr]:[2025-July]],COUNTIF(Table1[[#This Row],[2019-Apr]:[2025-July]],0)+1),0)</f>
        <v>0.63</v>
      </c>
      <c r="I1022" s="56">
        <f>IFERROR(MAX(Table1[[#This Row],[2019-Apr]:[2025-July]]),0)</f>
        <v>8.0399999999999991</v>
      </c>
      <c r="J1022" s="4" cm="1">
        <f t="array" ref="J102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1.2666666666666666</v>
      </c>
      <c r="K1022" s="4">
        <v>4.5</v>
      </c>
      <c r="L1022" s="4">
        <f>IF(Table1[[#This Row],[Standard as per ISO]]&gt;=Table1[[#This Row],[Avg of best 6]],Table1[[#This Row],[Standard as per ISO]],Table1[[#This Row],[Avg of best 6]])</f>
        <v>4.5</v>
      </c>
      <c r="M1022" s="4" cm="1">
        <f t="array" ref="M1022">IFERROR(LOOKUP(2,1/(Table1[[#This Row],[2019-May]:[2025-July]]&lt;&gt;0),Table1[[#This Row],[2019-May]:[2025-July]]),0)</f>
        <v>1.9</v>
      </c>
      <c r="N1022" s="4">
        <f>COUNTIF(Table1[[#This Row],[2019-Apr]:[2025-July]],"&gt;="&amp;Table1[[#This Row],[Target]])</f>
        <v>1</v>
      </c>
      <c r="O1022" s="4">
        <f>IF(Table1[[#This Row],[Outliers 2Y]]=0,1,0)</f>
        <v>0</v>
      </c>
      <c r="P1022" s="4">
        <f>IF(Table1[[#This Row],[Last value]]&gt;1.5*Table1[[#This Row],[Target]],1,0)</f>
        <v>0</v>
      </c>
      <c r="Q1022" s="4">
        <f>IF(AND(1.5*Table1[[#This Row],[Target]]&gt;=Table1[[#This Row],[Last value]],Table1[[#This Row],[Last value]]&gt;Table1[[#This Row],[Target]]),1,0)</f>
        <v>0</v>
      </c>
      <c r="R1022" s="4">
        <f>IF(Table1[[#This Row],[Target]]&gt;=Table1[[#This Row],[Last value]],1,0)</f>
        <v>1</v>
      </c>
      <c r="S1022" s="4" t="str">
        <f t="shared" si="28"/>
        <v>Green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>
        <v>0</v>
      </c>
      <c r="BP1022" s="4">
        <v>8.0399999999999991</v>
      </c>
      <c r="BQ1022" s="4">
        <v>2.74</v>
      </c>
      <c r="BR1022" s="4">
        <v>2.2000000000000002</v>
      </c>
      <c r="BS1022" s="4">
        <v>1.34</v>
      </c>
      <c r="BT1022" s="4">
        <v>0.63</v>
      </c>
      <c r="BU1022" s="4">
        <v>0.79</v>
      </c>
      <c r="BV1022" s="4">
        <v>2.33</v>
      </c>
      <c r="BW1022" s="4">
        <v>0.87</v>
      </c>
      <c r="BX1022" s="4">
        <v>3.9</v>
      </c>
      <c r="BY1022" s="4">
        <v>2.93</v>
      </c>
      <c r="BZ1022" s="4">
        <v>0</v>
      </c>
      <c r="CA1022" s="4">
        <v>2.2799999999999998</v>
      </c>
      <c r="CB1022" s="4">
        <v>3.54</v>
      </c>
      <c r="CC1022" s="4">
        <v>2.76</v>
      </c>
      <c r="CD1022" s="4">
        <v>3.69</v>
      </c>
      <c r="CE1022" s="4">
        <v>0</v>
      </c>
      <c r="CF1022" s="4">
        <v>2.0699999999999998</v>
      </c>
      <c r="CG1022" s="4">
        <v>2.77</v>
      </c>
      <c r="CH1022" s="4">
        <v>4.37</v>
      </c>
      <c r="CI1022" s="4">
        <v>3.92</v>
      </c>
      <c r="CJ1022" s="34">
        <v>1.9</v>
      </c>
      <c r="CK1022" s="34">
        <v>0</v>
      </c>
      <c r="CL1022" s="34">
        <v>0</v>
      </c>
      <c r="CM1022" s="4">
        <v>0</v>
      </c>
      <c r="CN1022" s="53">
        <v>0</v>
      </c>
      <c r="CO1022" s="54">
        <v>0</v>
      </c>
      <c r="CP1022" s="54">
        <v>0</v>
      </c>
      <c r="CQ1022" s="4">
        <v>0</v>
      </c>
    </row>
    <row r="1023" spans="1:95" x14ac:dyDescent="0.35">
      <c r="A1023" s="55">
        <v>1022</v>
      </c>
      <c r="B1023" t="s">
        <v>122</v>
      </c>
      <c r="C1023" s="28" t="s">
        <v>1096</v>
      </c>
      <c r="D1023" s="3" t="s">
        <v>93</v>
      </c>
      <c r="E1023" s="33" t="s">
        <v>91</v>
      </c>
      <c r="F1023" s="4">
        <f>IFERROR(AVERAGEIF(Table1[[#This Row],[2019-Apr]:[2025-July]],"&lt;&gt;0"),0)</f>
        <v>2.1805555555555554</v>
      </c>
      <c r="G1023" s="4">
        <f ca="1">IFERROR(AVERAGEIF(OFFSET(Table1[[#This Row],[Status]],0,COUNT(Table1[[#This Row],[2019-May]:[2025-July]]),1,-12),"&lt;&gt;0"),0)</f>
        <v>2.6760000000000002</v>
      </c>
      <c r="H1023" s="55">
        <f>IFERROR(SMALL(Table1[[#This Row],[2019-Apr]:[2025-July]],COUNTIF(Table1[[#This Row],[2019-Apr]:[2025-July]],0)+1),0)</f>
        <v>0.36</v>
      </c>
      <c r="I1023" s="56">
        <f>IFERROR(MAX(Table1[[#This Row],[2019-Apr]:[2025-July]]),0)</f>
        <v>3.51</v>
      </c>
      <c r="J1023" s="4" cm="1">
        <f t="array" ref="J102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0.96833333333333338</v>
      </c>
      <c r="K1023" s="4">
        <v>4.5</v>
      </c>
      <c r="L1023" s="4">
        <f>IF(Table1[[#This Row],[Standard as per ISO]]&gt;=Table1[[#This Row],[Avg of best 6]],Table1[[#This Row],[Standard as per ISO]],Table1[[#This Row],[Avg of best 6]])</f>
        <v>4.5</v>
      </c>
      <c r="M1023" s="4" cm="1">
        <f t="array" ref="M1023">IFERROR(LOOKUP(2,1/(Table1[[#This Row],[2019-May]:[2025-July]]&lt;&gt;0),Table1[[#This Row],[2019-May]:[2025-July]]),0)</f>
        <v>2.4</v>
      </c>
      <c r="N1023" s="4">
        <f>COUNTIF(Table1[[#This Row],[2019-Apr]:[2025-July]],"&gt;="&amp;Table1[[#This Row],[Target]])</f>
        <v>0</v>
      </c>
      <c r="O1023" s="4">
        <f>IF(Table1[[#This Row],[Outliers 2Y]]=0,1,0)</f>
        <v>1</v>
      </c>
      <c r="P1023" s="4">
        <f>IF(Table1[[#This Row],[Last value]]&gt;1.5*Table1[[#This Row],[Target]],1,0)</f>
        <v>0</v>
      </c>
      <c r="Q1023" s="4">
        <f>IF(AND(1.5*Table1[[#This Row],[Target]]&gt;=Table1[[#This Row],[Last value]],Table1[[#This Row],[Last value]]&gt;Table1[[#This Row],[Target]]),1,0)</f>
        <v>0</v>
      </c>
      <c r="R1023" s="4">
        <f>IF(Table1[[#This Row],[Target]]&gt;=Table1[[#This Row],[Last value]],1,0)</f>
        <v>1</v>
      </c>
      <c r="S1023" s="4" t="str">
        <f t="shared" si="28"/>
        <v>Green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>
        <v>0</v>
      </c>
      <c r="BP1023" s="4">
        <v>0</v>
      </c>
      <c r="BQ1023" s="4">
        <v>3.51</v>
      </c>
      <c r="BR1023" s="4">
        <v>1.1499999999999999</v>
      </c>
      <c r="BS1023" s="4">
        <v>0.79</v>
      </c>
      <c r="BT1023" s="4">
        <v>0.36</v>
      </c>
      <c r="BU1023" s="4">
        <v>1.4</v>
      </c>
      <c r="BV1023" s="4">
        <v>2.94</v>
      </c>
      <c r="BW1023" s="4">
        <v>0.82</v>
      </c>
      <c r="BX1023" s="4">
        <v>1.29</v>
      </c>
      <c r="BY1023" s="4">
        <v>3.07</v>
      </c>
      <c r="BZ1023" s="4">
        <v>0</v>
      </c>
      <c r="CA1023" s="4">
        <v>2.79</v>
      </c>
      <c r="CB1023" s="4">
        <v>3.43</v>
      </c>
      <c r="CC1023" s="4">
        <v>1.88</v>
      </c>
      <c r="CD1023" s="4">
        <v>2.44</v>
      </c>
      <c r="CE1023" s="4">
        <v>0</v>
      </c>
      <c r="CF1023" s="4">
        <v>2.38</v>
      </c>
      <c r="CG1023" s="4">
        <v>3.38</v>
      </c>
      <c r="CH1023" s="4">
        <v>2.63</v>
      </c>
      <c r="CI1023" s="4">
        <v>2.59</v>
      </c>
      <c r="CJ1023" s="34">
        <v>2.4</v>
      </c>
      <c r="CK1023" s="34">
        <v>0</v>
      </c>
      <c r="CL1023" s="34">
        <v>0</v>
      </c>
      <c r="CM1023" s="4">
        <v>0</v>
      </c>
      <c r="CN1023" s="53">
        <v>0</v>
      </c>
      <c r="CO1023" s="54">
        <v>0</v>
      </c>
      <c r="CP1023" s="54">
        <v>0</v>
      </c>
      <c r="CQ1023" s="4">
        <v>0</v>
      </c>
    </row>
    <row r="1024" spans="1:95" x14ac:dyDescent="0.35">
      <c r="A1024" s="55">
        <v>1023</v>
      </c>
      <c r="B1024" t="s">
        <v>122</v>
      </c>
      <c r="C1024" s="28" t="s">
        <v>1097</v>
      </c>
      <c r="D1024" s="3" t="s">
        <v>93</v>
      </c>
      <c r="E1024" s="33" t="s">
        <v>91</v>
      </c>
      <c r="F1024" s="4">
        <f>IFERROR(AVERAGEIF(Table1[[#This Row],[2019-Apr]:[2025-July]],"&lt;&gt;0"),0)</f>
        <v>7.1280000000000001</v>
      </c>
      <c r="G1024" s="4">
        <f ca="1">IFERROR(AVERAGEIF(OFFSET(Table1[[#This Row],[Status]],0,COUNT(Table1[[#This Row],[2019-May]:[2025-July]]),1,-12),"&lt;&gt;0"),0)</f>
        <v>6.7257142857142842</v>
      </c>
      <c r="H1024" s="55">
        <f>IFERROR(SMALL(Table1[[#This Row],[2019-Apr]:[2025-July]],COUNTIF(Table1[[#This Row],[2019-Apr]:[2025-July]],0)+1),0)</f>
        <v>6.1</v>
      </c>
      <c r="I1024" s="56">
        <f>IFERROR(MAX(Table1[[#This Row],[2019-Apr]:[2025-July]]),0)</f>
        <v>8.4499999999999993</v>
      </c>
      <c r="J1024" s="4" cm="1">
        <f t="array" ref="J102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6.4283333333333337</v>
      </c>
      <c r="K1024" s="4">
        <v>4.5</v>
      </c>
      <c r="L1024" s="4">
        <f>IF(Table1[[#This Row],[Standard as per ISO]]&gt;=Table1[[#This Row],[Avg of best 6]],Table1[[#This Row],[Standard as per ISO]],Table1[[#This Row],[Avg of best 6]])</f>
        <v>6.4283333333333337</v>
      </c>
      <c r="M1024" s="4" cm="1">
        <f t="array" ref="M1024">IFERROR(LOOKUP(2,1/(Table1[[#This Row],[2019-May]:[2025-July]]&lt;&gt;0),Table1[[#This Row],[2019-May]:[2025-July]]),0)</f>
        <v>7.3</v>
      </c>
      <c r="N1024" s="4">
        <f>COUNTIF(Table1[[#This Row],[2019-Apr]:[2025-July]],"&gt;="&amp;Table1[[#This Row],[Target]])</f>
        <v>17</v>
      </c>
      <c r="O1024" s="4">
        <f>IF(Table1[[#This Row],[Outliers 2Y]]=0,1,0)</f>
        <v>0</v>
      </c>
      <c r="P1024" s="4">
        <f>IF(Table1[[#This Row],[Last value]]&gt;1.5*Table1[[#This Row],[Target]],1,0)</f>
        <v>0</v>
      </c>
      <c r="Q1024" s="4">
        <f>IF(AND(1.5*Table1[[#This Row],[Target]]&gt;=Table1[[#This Row],[Last value]],Table1[[#This Row],[Last value]]&gt;Table1[[#This Row],[Target]]),1,0)</f>
        <v>1</v>
      </c>
      <c r="R1024" s="4">
        <f>IF(Table1[[#This Row],[Target]]&gt;=Table1[[#This Row],[Last value]],1,0)</f>
        <v>0</v>
      </c>
      <c r="S1024" s="4" t="str">
        <f t="shared" si="28"/>
        <v>Yellow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>
        <v>0</v>
      </c>
      <c r="BP1024" s="4">
        <v>0</v>
      </c>
      <c r="BQ1024" s="4">
        <v>7.32</v>
      </c>
      <c r="BR1024" s="4">
        <v>6.95</v>
      </c>
      <c r="BS1024" s="4">
        <v>7.46</v>
      </c>
      <c r="BT1024" s="4">
        <v>7.58</v>
      </c>
      <c r="BU1024" s="4">
        <v>7.46</v>
      </c>
      <c r="BV1024" s="4">
        <v>7.87</v>
      </c>
      <c r="BW1024" s="4">
        <v>7.29</v>
      </c>
      <c r="BX1024" s="4">
        <v>8.4499999999999993</v>
      </c>
      <c r="BY1024" s="4">
        <v>7.95</v>
      </c>
      <c r="BZ1024" s="4">
        <v>0</v>
      </c>
      <c r="CA1024" s="4">
        <v>6.84</v>
      </c>
      <c r="CB1024" s="4">
        <v>6.71</v>
      </c>
      <c r="CC1024" s="4">
        <v>6.16</v>
      </c>
      <c r="CD1024" s="4">
        <v>7.44</v>
      </c>
      <c r="CE1024" s="4">
        <v>6.54</v>
      </c>
      <c r="CF1024" s="4">
        <v>6.77</v>
      </c>
      <c r="CG1024" s="4">
        <v>6.74</v>
      </c>
      <c r="CH1024" s="4">
        <v>7.31</v>
      </c>
      <c r="CI1024" s="4">
        <v>6.32</v>
      </c>
      <c r="CJ1024" s="34">
        <v>6.1</v>
      </c>
      <c r="CK1024" s="34">
        <v>0</v>
      </c>
      <c r="CL1024" s="34">
        <v>0</v>
      </c>
      <c r="CM1024" s="4">
        <v>0</v>
      </c>
      <c r="CN1024" s="53">
        <v>0</v>
      </c>
      <c r="CO1024" s="54">
        <v>0</v>
      </c>
      <c r="CP1024" s="54">
        <v>7.3</v>
      </c>
      <c r="CQ1024" s="4">
        <v>0</v>
      </c>
    </row>
    <row r="1025" spans="1:95" x14ac:dyDescent="0.35">
      <c r="A1025" s="55">
        <v>1024</v>
      </c>
      <c r="B1025" t="s">
        <v>122</v>
      </c>
      <c r="C1025" s="28" t="s">
        <v>1098</v>
      </c>
      <c r="D1025" s="3" t="s">
        <v>93</v>
      </c>
      <c r="E1025" s="33" t="s">
        <v>91</v>
      </c>
      <c r="F1025" s="4">
        <f>IFERROR(AVERAGEIF(Table1[[#This Row],[2019-Apr]:[2025-July]],"&lt;&gt;0"),0)</f>
        <v>2.0768749999999998</v>
      </c>
      <c r="G1025" s="4">
        <f ca="1">IFERROR(AVERAGEIF(OFFSET(Table1[[#This Row],[Status]],0,COUNT(Table1[[#This Row],[2019-May]:[2025-July]]),1,-12),"&lt;&gt;0"),0)</f>
        <v>2.415</v>
      </c>
      <c r="H1025" s="55">
        <f>IFERROR(SMALL(Table1[[#This Row],[2019-Apr]:[2025-July]],COUNTIF(Table1[[#This Row],[2019-Apr]:[2025-July]],0)+1),0)</f>
        <v>1.61</v>
      </c>
      <c r="I1025" s="56">
        <f>IFERROR(MAX(Table1[[#This Row],[2019-Apr]:[2025-July]]),0)</f>
        <v>2.6</v>
      </c>
      <c r="J1025" s="4" cm="1">
        <f t="array" ref="J102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1.831666666666667</v>
      </c>
      <c r="K1025" s="4">
        <v>4.5</v>
      </c>
      <c r="L1025" s="4">
        <f>IF(Table1[[#This Row],[Standard as per ISO]]&gt;=Table1[[#This Row],[Avg of best 6]],Table1[[#This Row],[Standard as per ISO]],Table1[[#This Row],[Avg of best 6]])</f>
        <v>4.5</v>
      </c>
      <c r="M1025" s="4" cm="1">
        <f t="array" ref="M1025">IFERROR(LOOKUP(2,1/(Table1[[#This Row],[2019-May]:[2025-July]]&lt;&gt;0),Table1[[#This Row],[2019-May]:[2025-July]]),0)</f>
        <v>2.6</v>
      </c>
      <c r="N1025" s="4">
        <f>COUNTIF(Table1[[#This Row],[2019-Apr]:[2025-July]],"&gt;="&amp;Table1[[#This Row],[Target]])</f>
        <v>0</v>
      </c>
      <c r="O1025" s="4">
        <f>IF(Table1[[#This Row],[Outliers 2Y]]=0,1,0)</f>
        <v>1</v>
      </c>
      <c r="P1025" s="4">
        <f>IF(Table1[[#This Row],[Last value]]&gt;1.5*Table1[[#This Row],[Target]],1,0)</f>
        <v>0</v>
      </c>
      <c r="Q1025" s="4">
        <f>IF(AND(1.5*Table1[[#This Row],[Target]]&gt;=Table1[[#This Row],[Last value]],Table1[[#This Row],[Last value]]&gt;Table1[[#This Row],[Target]]),1,0)</f>
        <v>0</v>
      </c>
      <c r="R1025" s="4">
        <f>IF(Table1[[#This Row],[Target]]&gt;=Table1[[#This Row],[Last value]],1,0)</f>
        <v>1</v>
      </c>
      <c r="S1025" s="4" t="str">
        <f t="shared" si="28"/>
        <v>Green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>
        <v>0</v>
      </c>
      <c r="BP1025" s="4">
        <v>0</v>
      </c>
      <c r="BQ1025" s="4">
        <v>2.08</v>
      </c>
      <c r="BR1025" s="4">
        <v>2.13</v>
      </c>
      <c r="BS1025" s="4">
        <v>1.96</v>
      </c>
      <c r="BT1025" s="4">
        <v>1.61</v>
      </c>
      <c r="BU1025" s="4">
        <v>1.79</v>
      </c>
      <c r="BV1025" s="4">
        <v>1.73</v>
      </c>
      <c r="BW1025" s="4">
        <v>2.0499999999999998</v>
      </c>
      <c r="BX1025" s="4">
        <v>2.0299999999999998</v>
      </c>
      <c r="BY1025" s="4">
        <v>1.94</v>
      </c>
      <c r="BZ1025" s="4">
        <v>0</v>
      </c>
      <c r="CA1025" s="4">
        <v>2.0699999999999998</v>
      </c>
      <c r="CB1025" s="4">
        <v>1.96</v>
      </c>
      <c r="CC1025" s="4">
        <v>2.2200000000000002</v>
      </c>
      <c r="CD1025" s="4">
        <v>0</v>
      </c>
      <c r="CE1025" s="4">
        <v>0</v>
      </c>
      <c r="CF1025" s="4">
        <v>0</v>
      </c>
      <c r="CG1025" s="4">
        <v>2.11</v>
      </c>
      <c r="CH1025" s="4">
        <v>2.36</v>
      </c>
      <c r="CI1025" s="4">
        <v>2.59</v>
      </c>
      <c r="CJ1025" s="34">
        <v>2.6</v>
      </c>
      <c r="CK1025" s="34">
        <v>0</v>
      </c>
      <c r="CL1025" s="34">
        <v>0</v>
      </c>
      <c r="CM1025" s="4">
        <v>0</v>
      </c>
      <c r="CN1025" s="53">
        <v>0</v>
      </c>
      <c r="CO1025" s="54">
        <v>0</v>
      </c>
      <c r="CP1025" s="54">
        <v>0</v>
      </c>
      <c r="CQ1025" s="4">
        <v>0</v>
      </c>
    </row>
    <row r="1026" spans="1:95" x14ac:dyDescent="0.35">
      <c r="A1026" s="55">
        <v>1025</v>
      </c>
      <c r="B1026" t="s">
        <v>122</v>
      </c>
      <c r="C1026" s="28" t="s">
        <v>1099</v>
      </c>
      <c r="D1026" s="3" t="s">
        <v>93</v>
      </c>
      <c r="E1026" s="33" t="s">
        <v>89</v>
      </c>
      <c r="F1026" s="4">
        <f>IFERROR(AVERAGEIF(Table1[[#This Row],[2019-Apr]:[2025-July]],"&lt;&gt;0"),0)</f>
        <v>1.3369999999999997</v>
      </c>
      <c r="G1026" s="4">
        <f ca="1">IFERROR(AVERAGEIF(OFFSET(Table1[[#This Row],[Status]],0,COUNT(Table1[[#This Row],[2019-May]:[2025-July]]),1,-12),"&lt;&gt;0"),0)</f>
        <v>1.4520000000000002</v>
      </c>
      <c r="H1026" s="55">
        <f>IFERROR(SMALL(Table1[[#This Row],[2019-Apr]:[2025-July]],COUNTIF(Table1[[#This Row],[2019-Apr]:[2025-July]],0)+1),0)</f>
        <v>0.55000000000000004</v>
      </c>
      <c r="I1026" s="56">
        <f>IFERROR(MAX(Table1[[#This Row],[2019-Apr]:[2025-July]]),0)</f>
        <v>2.62</v>
      </c>
      <c r="J1026" s="4" cm="1">
        <f t="array" ref="J102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0.73999999999999988</v>
      </c>
      <c r="K1026" s="4">
        <v>4.5</v>
      </c>
      <c r="L1026" s="4">
        <f>IF(Table1[[#This Row],[Standard as per ISO]]&gt;=Table1[[#This Row],[Avg of best 6]],Table1[[#This Row],[Standard as per ISO]],Table1[[#This Row],[Avg of best 6]])</f>
        <v>4.5</v>
      </c>
      <c r="M1026" s="4" cm="1">
        <f t="array" ref="M1026">IFERROR(LOOKUP(2,1/(Table1[[#This Row],[2019-May]:[2025-July]]&lt;&gt;0),Table1[[#This Row],[2019-May]:[2025-July]]),0)</f>
        <v>0.8</v>
      </c>
      <c r="N1026" s="4">
        <f>COUNTIF(Table1[[#This Row],[2019-Apr]:[2025-July]],"&gt;="&amp;Table1[[#This Row],[Target]])</f>
        <v>0</v>
      </c>
      <c r="O1026" s="4">
        <f>IF(Table1[[#This Row],[Outliers 2Y]]=0,1,0)</f>
        <v>1</v>
      </c>
      <c r="P1026" s="4">
        <f>IF(Table1[[#This Row],[Last value]]&gt;1.5*Table1[[#This Row],[Target]],1,0)</f>
        <v>0</v>
      </c>
      <c r="Q1026" s="4">
        <f>IF(AND(1.5*Table1[[#This Row],[Target]]&gt;=Table1[[#This Row],[Last value]],Table1[[#This Row],[Last value]]&gt;Table1[[#This Row],[Target]]),1,0)</f>
        <v>0</v>
      </c>
      <c r="R1026" s="4">
        <f>IF(Table1[[#This Row],[Target]]&gt;=Table1[[#This Row],[Last value]],1,0)</f>
        <v>1</v>
      </c>
      <c r="S1026" s="4" t="str">
        <f t="shared" si="28"/>
        <v>Green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>
        <v>0</v>
      </c>
      <c r="BP1026" s="4">
        <v>0</v>
      </c>
      <c r="BQ1026" s="4">
        <v>0</v>
      </c>
      <c r="BR1026" s="4">
        <v>0.55000000000000004</v>
      </c>
      <c r="BS1026" s="4">
        <v>0</v>
      </c>
      <c r="BT1026" s="4">
        <v>0.69</v>
      </c>
      <c r="BU1026" s="4">
        <v>0</v>
      </c>
      <c r="BV1026" s="4">
        <v>0.77</v>
      </c>
      <c r="BW1026" s="4">
        <v>1.1000000000000001</v>
      </c>
      <c r="BX1026" s="4">
        <v>1.19</v>
      </c>
      <c r="BY1026" s="4">
        <v>1.51</v>
      </c>
      <c r="BZ1026" s="4">
        <v>0</v>
      </c>
      <c r="CA1026" s="4">
        <v>1.8</v>
      </c>
      <c r="CB1026" s="4">
        <v>1.19</v>
      </c>
      <c r="CC1026" s="4">
        <v>2.62</v>
      </c>
      <c r="CD1026" s="4">
        <v>0</v>
      </c>
      <c r="CE1026" s="4">
        <v>0</v>
      </c>
      <c r="CF1026" s="4">
        <v>2.33</v>
      </c>
      <c r="CG1026" s="4">
        <v>1.27</v>
      </c>
      <c r="CH1026" s="4">
        <v>0.83</v>
      </c>
      <c r="CI1026" s="4">
        <v>1.0900000000000001</v>
      </c>
      <c r="CJ1026" s="34">
        <v>0.9</v>
      </c>
      <c r="CK1026" s="34">
        <v>0</v>
      </c>
      <c r="CL1026" s="43">
        <v>2</v>
      </c>
      <c r="CM1026" s="4">
        <v>2</v>
      </c>
      <c r="CN1026" s="53">
        <v>2.4</v>
      </c>
      <c r="CO1026" s="54">
        <v>0.9</v>
      </c>
      <c r="CP1026" s="54">
        <v>0.8</v>
      </c>
      <c r="CQ1026" s="4">
        <v>0.8</v>
      </c>
    </row>
    <row r="1027" spans="1:95" x14ac:dyDescent="0.35">
      <c r="A1027" s="55">
        <v>1026</v>
      </c>
      <c r="B1027" t="s">
        <v>122</v>
      </c>
      <c r="C1027" s="28" t="s">
        <v>1100</v>
      </c>
      <c r="D1027" s="3" t="s">
        <v>123</v>
      </c>
      <c r="E1027" s="33" t="s">
        <v>89</v>
      </c>
      <c r="F1027" s="4">
        <f>IFERROR(AVERAGEIF(Table1[[#This Row],[2019-Apr]:[2025-July]],"&lt;&gt;0"),0)</f>
        <v>0.86933333333333329</v>
      </c>
      <c r="G1027" s="4">
        <f ca="1">IFERROR(AVERAGEIF(OFFSET(Table1[[#This Row],[Status]],0,COUNT(Table1[[#This Row],[2019-May]:[2025-July]]),1,-12),"&lt;&gt;0"),0)</f>
        <v>0.82799999999999996</v>
      </c>
      <c r="H1027" s="55">
        <f>IFERROR(SMALL(Table1[[#This Row],[2019-Apr]:[2025-July]],COUNTIF(Table1[[#This Row],[2019-Apr]:[2025-July]],0)+1),0)</f>
        <v>0.52</v>
      </c>
      <c r="I1027" s="56">
        <f>IFERROR(MAX(Table1[[#This Row],[2019-Apr]:[2025-July]]),0)</f>
        <v>1.2</v>
      </c>
      <c r="J1027" s="4" cm="1">
        <f t="array" ref="J102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0.71499999999999997</v>
      </c>
      <c r="K1027" s="4">
        <v>4.5</v>
      </c>
      <c r="L1027" s="4">
        <f>IF(Table1[[#This Row],[Standard as per ISO]]&gt;=Table1[[#This Row],[Avg of best 6]],Table1[[#This Row],[Standard as per ISO]],Table1[[#This Row],[Avg of best 6]])</f>
        <v>4.5</v>
      </c>
      <c r="M1027" s="4" cm="1">
        <f t="array" ref="M1027">IFERROR(LOOKUP(2,1/(Table1[[#This Row],[2019-May]:[2025-July]]&lt;&gt;0),Table1[[#This Row],[2019-May]:[2025-July]]),0)</f>
        <v>0.9</v>
      </c>
      <c r="N1027" s="4">
        <f>COUNTIF(Table1[[#This Row],[2019-Apr]:[2025-July]],"&gt;="&amp;Table1[[#This Row],[Target]])</f>
        <v>0</v>
      </c>
      <c r="O1027" s="4">
        <f>IF(Table1[[#This Row],[Outliers 2Y]]=0,1,0)</f>
        <v>1</v>
      </c>
      <c r="P1027" s="4">
        <f>IF(Table1[[#This Row],[Last value]]&gt;1.5*Table1[[#This Row],[Target]],1,0)</f>
        <v>0</v>
      </c>
      <c r="Q1027" s="4">
        <f>IF(AND(1.5*Table1[[#This Row],[Target]]&gt;=Table1[[#This Row],[Last value]],Table1[[#This Row],[Last value]]&gt;Table1[[#This Row],[Target]]),1,0)</f>
        <v>0</v>
      </c>
      <c r="R1027" s="4">
        <f>IF(Table1[[#This Row],[Target]]&gt;=Table1[[#This Row],[Last value]],1,0)</f>
        <v>1</v>
      </c>
      <c r="S1027" s="4" t="str">
        <f t="shared" si="28"/>
        <v>Green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>
        <v>0</v>
      </c>
      <c r="BP1027" s="4">
        <v>0.97</v>
      </c>
      <c r="BQ1027" s="4">
        <v>0.97</v>
      </c>
      <c r="BR1027" s="4">
        <v>0.52</v>
      </c>
      <c r="BS1027" s="4">
        <v>0</v>
      </c>
      <c r="BT1027" s="4">
        <v>0</v>
      </c>
      <c r="BU1027" s="4">
        <v>0</v>
      </c>
      <c r="BV1027" s="4">
        <v>0</v>
      </c>
      <c r="BW1027" s="4">
        <v>1</v>
      </c>
      <c r="BX1027" s="4">
        <v>0.66</v>
      </c>
      <c r="BY1027" s="4">
        <v>0</v>
      </c>
      <c r="BZ1027" s="4">
        <v>0</v>
      </c>
      <c r="CA1027" s="4">
        <v>0.88</v>
      </c>
      <c r="CB1027" s="4">
        <v>0.88</v>
      </c>
      <c r="CC1027" s="4">
        <v>1.2</v>
      </c>
      <c r="CD1027" s="4">
        <v>0.92</v>
      </c>
      <c r="CE1027" s="4">
        <v>0</v>
      </c>
      <c r="CF1027" s="4">
        <v>0.83</v>
      </c>
      <c r="CG1027" s="4">
        <v>0</v>
      </c>
      <c r="CH1027" s="4">
        <v>0</v>
      </c>
      <c r="CI1027" s="4">
        <v>1.01</v>
      </c>
      <c r="CJ1027" s="34">
        <v>0.7</v>
      </c>
      <c r="CK1027" s="34">
        <v>0</v>
      </c>
      <c r="CL1027" s="43">
        <v>0</v>
      </c>
      <c r="CM1027" s="4">
        <v>0</v>
      </c>
      <c r="CN1027" s="53">
        <v>0</v>
      </c>
      <c r="CO1027" s="54">
        <v>0.9</v>
      </c>
      <c r="CP1027" s="54">
        <v>0.7</v>
      </c>
      <c r="CQ1027" s="4">
        <v>0.9</v>
      </c>
    </row>
    <row r="1028" spans="1:95" x14ac:dyDescent="0.35">
      <c r="A1028" s="55">
        <v>1027</v>
      </c>
      <c r="B1028" t="s">
        <v>122</v>
      </c>
      <c r="C1028" s="27" t="s">
        <v>1101</v>
      </c>
      <c r="D1028" s="3" t="s">
        <v>94</v>
      </c>
      <c r="E1028" s="33" t="s">
        <v>89</v>
      </c>
      <c r="F1028" s="4">
        <f>IFERROR(AVERAGEIF(Table1[[#This Row],[2019-Apr]:[2025-July]],"&lt;&gt;0"),0)</f>
        <v>6.3165000000000004</v>
      </c>
      <c r="G1028" s="4">
        <f ca="1">IFERROR(AVERAGEIF(OFFSET(Table1[[#This Row],[Status]],0,COUNT(Table1[[#This Row],[2019-May]:[2025-July]]),1,-12),"&lt;&gt;0"),0)</f>
        <v>5.5685714285714285</v>
      </c>
      <c r="H1028" s="55">
        <f>IFERROR(SMALL(Table1[[#This Row],[2019-Apr]:[2025-July]],COUNTIF(Table1[[#This Row],[2019-Apr]:[2025-July]],0)+1),0)</f>
        <v>2.23</v>
      </c>
      <c r="I1028" s="56">
        <f>IFERROR(MAX(Table1[[#This Row],[2019-Apr]:[2025-July]]),0)</f>
        <v>9.58</v>
      </c>
      <c r="J1028" s="4" cm="1">
        <f t="array" ref="J102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4.5149999999999997</v>
      </c>
      <c r="K1028" s="4">
        <v>4.5</v>
      </c>
      <c r="L1028" s="4">
        <f>IF(Table1[[#This Row],[Standard as per ISO]]&gt;=Table1[[#This Row],[Avg of best 6]],Table1[[#This Row],[Standard as per ISO]],Table1[[#This Row],[Avg of best 6]])</f>
        <v>4.5149999999999997</v>
      </c>
      <c r="M1028" s="4" cm="1">
        <f t="array" ref="M1028">IFERROR(LOOKUP(2,1/(Table1[[#This Row],[2019-May]:[2025-July]]&lt;&gt;0),Table1[[#This Row],[2019-May]:[2025-July]]),0)</f>
        <v>5.4</v>
      </c>
      <c r="N1028" s="4">
        <f>COUNTIF(Table1[[#This Row],[2019-Apr]:[2025-July]],"&gt;="&amp;Table1[[#This Row],[Target]])</f>
        <v>19</v>
      </c>
      <c r="O1028" s="4">
        <f>IF(Table1[[#This Row],[Outliers 2Y]]=0,1,0)</f>
        <v>0</v>
      </c>
      <c r="P1028" s="4">
        <f>IF(Table1[[#This Row],[Last value]]&gt;1.5*Table1[[#This Row],[Target]],1,0)</f>
        <v>0</v>
      </c>
      <c r="Q1028" s="4">
        <f>IF(AND(1.5*Table1[[#This Row],[Target]]&gt;=Table1[[#This Row],[Last value]],Table1[[#This Row],[Last value]]&gt;Table1[[#This Row],[Target]]),1,0)</f>
        <v>1</v>
      </c>
      <c r="R1028" s="4">
        <f>IF(Table1[[#This Row],[Target]]&gt;=Table1[[#This Row],[Last value]],1,0)</f>
        <v>0</v>
      </c>
      <c r="S1028" s="4" t="str">
        <f t="shared" si="28"/>
        <v>Yellow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>
        <v>0</v>
      </c>
      <c r="BP1028" s="4">
        <v>0</v>
      </c>
      <c r="BQ1028" s="4">
        <v>5.99</v>
      </c>
      <c r="BR1028" s="4">
        <v>5.72</v>
      </c>
      <c r="BS1028" s="4">
        <v>5.42</v>
      </c>
      <c r="BT1028" s="4">
        <v>9.58</v>
      </c>
      <c r="BU1028" s="4">
        <v>8.32</v>
      </c>
      <c r="BV1028" s="4">
        <v>5.42</v>
      </c>
      <c r="BW1028" s="4">
        <v>6.4</v>
      </c>
      <c r="BX1028" s="4">
        <v>7.29</v>
      </c>
      <c r="BY1028" s="4">
        <v>8.41</v>
      </c>
      <c r="BZ1028" s="4">
        <v>5.15</v>
      </c>
      <c r="CA1028" s="4">
        <v>0</v>
      </c>
      <c r="CB1028" s="4">
        <v>0</v>
      </c>
      <c r="CC1028" s="4">
        <v>7.03</v>
      </c>
      <c r="CD1028" s="4">
        <v>7.22</v>
      </c>
      <c r="CE1028" s="4">
        <v>6.34</v>
      </c>
      <c r="CF1028" s="4">
        <v>0</v>
      </c>
      <c r="CG1028" s="4">
        <v>4.91</v>
      </c>
      <c r="CH1028" s="4">
        <v>0</v>
      </c>
      <c r="CI1028" s="4">
        <v>0</v>
      </c>
      <c r="CJ1028" s="34">
        <v>0</v>
      </c>
      <c r="CK1028" s="34">
        <v>0</v>
      </c>
      <c r="CL1028" s="43">
        <v>4.7</v>
      </c>
      <c r="CM1028" s="4">
        <v>4.7</v>
      </c>
      <c r="CN1028" s="53">
        <v>7.5</v>
      </c>
      <c r="CO1028" s="54">
        <v>8.6</v>
      </c>
      <c r="CP1028" s="54">
        <v>2.23</v>
      </c>
      <c r="CQ1028" s="4">
        <v>5.4</v>
      </c>
    </row>
    <row r="1029" spans="1:95" x14ac:dyDescent="0.35">
      <c r="A1029" s="55">
        <v>1028</v>
      </c>
      <c r="B1029" t="s">
        <v>122</v>
      </c>
      <c r="C1029" s="27" t="s">
        <v>1102</v>
      </c>
      <c r="D1029" s="3" t="s">
        <v>94</v>
      </c>
      <c r="E1029" s="33" t="s">
        <v>89</v>
      </c>
      <c r="F1029" s="4">
        <f>IFERROR(AVERAGEIF(Table1[[#This Row],[2019-Apr]:[2025-July]],"&lt;&gt;0"),0)</f>
        <v>4.4086666666666661</v>
      </c>
      <c r="G1029" s="4">
        <f ca="1">IFERROR(AVERAGEIF(OFFSET(Table1[[#This Row],[Status]],0,COUNT(Table1[[#This Row],[2019-May]:[2025-July]]),1,-12),"&lt;&gt;0"),0)</f>
        <v>3.851666666666667</v>
      </c>
      <c r="H1029" s="55">
        <f>IFERROR(SMALL(Table1[[#This Row],[2019-Apr]:[2025-July]],COUNTIF(Table1[[#This Row],[2019-Apr]:[2025-July]],0)+1),0)</f>
        <v>3</v>
      </c>
      <c r="I1029" s="56">
        <f>IFERROR(MAX(Table1[[#This Row],[2019-Apr]:[2025-July]]),0)</f>
        <v>6.3</v>
      </c>
      <c r="J1029" s="4" cm="1">
        <f t="array" ref="J102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3.3066666666666666</v>
      </c>
      <c r="K1029" s="4">
        <v>4.5</v>
      </c>
      <c r="L1029" s="4">
        <f>IF(Table1[[#This Row],[Standard as per ISO]]&gt;=Table1[[#This Row],[Avg of best 6]],Table1[[#This Row],[Standard as per ISO]],Table1[[#This Row],[Avg of best 6]])</f>
        <v>4.5</v>
      </c>
      <c r="M1029" s="4" cm="1">
        <f t="array" ref="M1029">IFERROR(LOOKUP(2,1/(Table1[[#This Row],[2019-May]:[2025-July]]&lt;&gt;0),Table1[[#This Row],[2019-May]:[2025-July]]),0)</f>
        <v>3.37</v>
      </c>
      <c r="N1029" s="4">
        <f>COUNTIF(Table1[[#This Row],[2019-Apr]:[2025-July]],"&gt;="&amp;Table1[[#This Row],[Target]])</f>
        <v>7</v>
      </c>
      <c r="O1029" s="4">
        <f>IF(Table1[[#This Row],[Outliers 2Y]]=0,1,0)</f>
        <v>0</v>
      </c>
      <c r="P1029" s="4">
        <f>IF(Table1[[#This Row],[Last value]]&gt;1.5*Table1[[#This Row],[Target]],1,0)</f>
        <v>0</v>
      </c>
      <c r="Q1029" s="4">
        <f>IF(AND(1.5*Table1[[#This Row],[Target]]&gt;=Table1[[#This Row],[Last value]],Table1[[#This Row],[Last value]]&gt;Table1[[#This Row],[Target]]),1,0)</f>
        <v>0</v>
      </c>
      <c r="R1029" s="4">
        <f>IF(Table1[[#This Row],[Target]]&gt;=Table1[[#This Row],[Last value]],1,0)</f>
        <v>1</v>
      </c>
      <c r="S1029" s="4" t="str">
        <f t="shared" si="28"/>
        <v>Green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>
        <v>0</v>
      </c>
      <c r="BP1029" s="4">
        <v>0</v>
      </c>
      <c r="BQ1029" s="4">
        <v>0</v>
      </c>
      <c r="BR1029" s="4">
        <v>5.78</v>
      </c>
      <c r="BS1029" s="4">
        <v>5.42</v>
      </c>
      <c r="BT1029" s="4">
        <v>6.07</v>
      </c>
      <c r="BU1029" s="4">
        <v>0</v>
      </c>
      <c r="BV1029" s="4">
        <v>3.32</v>
      </c>
      <c r="BW1029" s="4">
        <v>5.49</v>
      </c>
      <c r="BX1029" s="4">
        <v>4.05</v>
      </c>
      <c r="BY1029" s="4">
        <v>4.8499999999999996</v>
      </c>
      <c r="BZ1029" s="4">
        <v>3.38</v>
      </c>
      <c r="CA1029" s="4">
        <v>0</v>
      </c>
      <c r="CB1029" s="4">
        <v>0</v>
      </c>
      <c r="CC1029" s="4">
        <v>4.66</v>
      </c>
      <c r="CD1029" s="4">
        <v>0</v>
      </c>
      <c r="CE1029" s="4">
        <v>0</v>
      </c>
      <c r="CF1029" s="4">
        <v>3.67</v>
      </c>
      <c r="CG1029" s="4">
        <v>0</v>
      </c>
      <c r="CH1029" s="4">
        <v>0</v>
      </c>
      <c r="CI1029" s="4">
        <v>3.17</v>
      </c>
      <c r="CJ1029" s="34">
        <v>0</v>
      </c>
      <c r="CK1029" s="34">
        <v>0</v>
      </c>
      <c r="CL1029" s="43">
        <v>6.3</v>
      </c>
      <c r="CM1029" s="4">
        <v>3</v>
      </c>
      <c r="CN1029" s="53">
        <v>3.6</v>
      </c>
      <c r="CO1029" s="54">
        <v>3.37</v>
      </c>
      <c r="CP1029" s="54">
        <v>0</v>
      </c>
      <c r="CQ1029" s="4">
        <v>0</v>
      </c>
    </row>
    <row r="1030" spans="1:95" x14ac:dyDescent="0.35">
      <c r="A1030" s="55">
        <v>1029</v>
      </c>
      <c r="B1030" t="s">
        <v>122</v>
      </c>
      <c r="C1030" s="27" t="s">
        <v>1103</v>
      </c>
      <c r="D1030" s="3" t="s">
        <v>94</v>
      </c>
      <c r="E1030" s="33" t="s">
        <v>89</v>
      </c>
      <c r="F1030" s="4">
        <f>IFERROR(AVERAGEIF(Table1[[#This Row],[2019-Apr]:[2025-July]],"&lt;&gt;0"),0)</f>
        <v>5.0827777777777783</v>
      </c>
      <c r="G1030" s="4">
        <f ca="1">IFERROR(AVERAGEIF(OFFSET(Table1[[#This Row],[Status]],0,COUNT(Table1[[#This Row],[2019-May]:[2025-July]]),1,-12),"&lt;&gt;0"),0)</f>
        <v>5.583333333333333</v>
      </c>
      <c r="H1030" s="55">
        <f>IFERROR(SMALL(Table1[[#This Row],[2019-Apr]:[2025-July]],COUNTIF(Table1[[#This Row],[2019-Apr]:[2025-July]],0)+1),0)</f>
        <v>0.64</v>
      </c>
      <c r="I1030" s="56">
        <f>IFERROR(MAX(Table1[[#This Row],[2019-Apr]:[2025-July]]),0)</f>
        <v>8.3000000000000007</v>
      </c>
      <c r="J1030" s="4" cm="1">
        <f t="array" ref="J103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3.4199999999999995</v>
      </c>
      <c r="K1030" s="4">
        <v>4.5</v>
      </c>
      <c r="L1030" s="4">
        <f>IF(Table1[[#This Row],[Standard as per ISO]]&gt;=Table1[[#This Row],[Avg of best 6]],Table1[[#This Row],[Standard as per ISO]],Table1[[#This Row],[Avg of best 6]])</f>
        <v>4.5</v>
      </c>
      <c r="M1030" s="4" cm="1">
        <f t="array" ref="M1030">IFERROR(LOOKUP(2,1/(Table1[[#This Row],[2019-May]:[2025-July]]&lt;&gt;0),Table1[[#This Row],[2019-May]:[2025-July]]),0)</f>
        <v>4.0999999999999996</v>
      </c>
      <c r="N1030" s="4">
        <f>COUNTIF(Table1[[#This Row],[2019-Apr]:[2025-July]],"&gt;="&amp;Table1[[#This Row],[Target]])</f>
        <v>12</v>
      </c>
      <c r="O1030" s="4">
        <f>IF(Table1[[#This Row],[Outliers 2Y]]=0,1,0)</f>
        <v>0</v>
      </c>
      <c r="P1030" s="4">
        <f>IF(Table1[[#This Row],[Last value]]&gt;1.5*Table1[[#This Row],[Target]],1,0)</f>
        <v>0</v>
      </c>
      <c r="Q1030" s="4">
        <f>IF(AND(1.5*Table1[[#This Row],[Target]]&gt;=Table1[[#This Row],[Last value]],Table1[[#This Row],[Last value]]&gt;Table1[[#This Row],[Target]]),1,0)</f>
        <v>0</v>
      </c>
      <c r="R1030" s="4">
        <f>IF(Table1[[#This Row],[Target]]&gt;=Table1[[#This Row],[Last value]],1,0)</f>
        <v>1</v>
      </c>
      <c r="S1030" s="4" t="str">
        <f t="shared" si="28"/>
        <v>Green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>
        <v>0</v>
      </c>
      <c r="BP1030" s="4">
        <v>0</v>
      </c>
      <c r="BQ1030" s="4">
        <v>6.59</v>
      </c>
      <c r="BR1030" s="4">
        <v>3.36</v>
      </c>
      <c r="BS1030" s="4">
        <v>4.87</v>
      </c>
      <c r="BT1030" s="4">
        <v>4.7300000000000004</v>
      </c>
      <c r="BU1030" s="4">
        <v>4.5199999999999996</v>
      </c>
      <c r="BV1030" s="4">
        <v>4.4000000000000004</v>
      </c>
      <c r="BW1030" s="4">
        <v>6.13</v>
      </c>
      <c r="BX1030" s="4">
        <v>4.0199999999999996</v>
      </c>
      <c r="BY1030" s="4">
        <v>4</v>
      </c>
      <c r="BZ1030" s="4">
        <v>5.25</v>
      </c>
      <c r="CA1030" s="4">
        <v>0</v>
      </c>
      <c r="CB1030" s="4">
        <v>0</v>
      </c>
      <c r="CC1030" s="4">
        <v>6.02</v>
      </c>
      <c r="CD1030" s="4">
        <v>0</v>
      </c>
      <c r="CE1030" s="4">
        <v>0</v>
      </c>
      <c r="CF1030" s="4">
        <v>7.23</v>
      </c>
      <c r="CG1030" s="4">
        <v>6.28</v>
      </c>
      <c r="CH1030" s="4">
        <v>0</v>
      </c>
      <c r="CI1030" s="4">
        <v>8.3000000000000007</v>
      </c>
      <c r="CJ1030" s="34">
        <v>0</v>
      </c>
      <c r="CK1030" s="34">
        <v>0</v>
      </c>
      <c r="CL1030" s="43">
        <v>0</v>
      </c>
      <c r="CM1030" s="4">
        <v>0</v>
      </c>
      <c r="CN1030" s="53">
        <v>6.4</v>
      </c>
      <c r="CO1030" s="54">
        <v>4.6500000000000004</v>
      </c>
      <c r="CP1030" s="54">
        <v>0.64</v>
      </c>
      <c r="CQ1030" s="4">
        <v>4.0999999999999996</v>
      </c>
    </row>
    <row r="1031" spans="1:95" x14ac:dyDescent="0.35">
      <c r="A1031" s="55">
        <v>1030</v>
      </c>
      <c r="B1031" t="s">
        <v>122</v>
      </c>
      <c r="C1031" s="27" t="s">
        <v>1104</v>
      </c>
      <c r="D1031" s="3" t="s">
        <v>94</v>
      </c>
      <c r="E1031" s="33" t="s">
        <v>89</v>
      </c>
      <c r="F1031" s="4">
        <f>IFERROR(AVERAGEIF(Table1[[#This Row],[2019-Apr]:[2025-July]],"&lt;&gt;0"),0)</f>
        <v>3.8081249999999995</v>
      </c>
      <c r="G1031" s="4">
        <f ca="1">IFERROR(AVERAGEIF(OFFSET(Table1[[#This Row],[Status]],0,COUNT(Table1[[#This Row],[2019-May]:[2025-July]]),1,-12),"&lt;&gt;0"),0)</f>
        <v>3.1720000000000002</v>
      </c>
      <c r="H1031" s="55">
        <f>IFERROR(SMALL(Table1[[#This Row],[2019-Apr]:[2025-July]],COUNTIF(Table1[[#This Row],[2019-Apr]:[2025-July]],0)+1),0)</f>
        <v>2.7</v>
      </c>
      <c r="I1031" s="56">
        <f>IFERROR(MAX(Table1[[#This Row],[2019-Apr]:[2025-July]]),0)</f>
        <v>4.97</v>
      </c>
      <c r="J1031" s="4" cm="1">
        <f t="array" ref="J103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3.1433333333333331</v>
      </c>
      <c r="K1031" s="4">
        <v>4.5</v>
      </c>
      <c r="L1031" s="4">
        <f>IF(Table1[[#This Row],[Standard as per ISO]]&gt;=Table1[[#This Row],[Avg of best 6]],Table1[[#This Row],[Standard as per ISO]],Table1[[#This Row],[Avg of best 6]])</f>
        <v>4.5</v>
      </c>
      <c r="M1031" s="4" cm="1">
        <f t="array" ref="M1031">IFERROR(LOOKUP(2,1/(Table1[[#This Row],[2019-May]:[2025-July]]&lt;&gt;0),Table1[[#This Row],[2019-May]:[2025-July]]),0)</f>
        <v>4.16</v>
      </c>
      <c r="N1031" s="4">
        <f>COUNTIF(Table1[[#This Row],[2019-Apr]:[2025-July]],"&gt;="&amp;Table1[[#This Row],[Target]])</f>
        <v>1</v>
      </c>
      <c r="O1031" s="4">
        <f>IF(Table1[[#This Row],[Outliers 2Y]]=0,1,0)</f>
        <v>0</v>
      </c>
      <c r="P1031" s="4">
        <f>IF(Table1[[#This Row],[Last value]]&gt;1.5*Table1[[#This Row],[Target]],1,0)</f>
        <v>0</v>
      </c>
      <c r="Q1031" s="4">
        <f>IF(AND(1.5*Table1[[#This Row],[Target]]&gt;=Table1[[#This Row],[Last value]],Table1[[#This Row],[Last value]]&gt;Table1[[#This Row],[Target]]),1,0)</f>
        <v>0</v>
      </c>
      <c r="R1031" s="4">
        <f>IF(Table1[[#This Row],[Target]]&gt;=Table1[[#This Row],[Last value]],1,0)</f>
        <v>1</v>
      </c>
      <c r="S1031" s="4" t="str">
        <f t="shared" si="28"/>
        <v>Green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>
        <v>0</v>
      </c>
      <c r="BP1031" s="4">
        <v>0</v>
      </c>
      <c r="BQ1031" s="4">
        <v>3.96</v>
      </c>
      <c r="BR1031" s="4">
        <v>3.91</v>
      </c>
      <c r="BS1031" s="4">
        <v>0</v>
      </c>
      <c r="BT1031" s="4">
        <v>3.42</v>
      </c>
      <c r="BU1031" s="4">
        <v>4.1500000000000004</v>
      </c>
      <c r="BV1031" s="4">
        <v>3.65</v>
      </c>
      <c r="BW1031" s="4">
        <v>4.1399999999999997</v>
      </c>
      <c r="BX1031" s="4">
        <v>3.95</v>
      </c>
      <c r="BY1031" s="4">
        <v>4.32</v>
      </c>
      <c r="BZ1031" s="4">
        <v>4.4400000000000004</v>
      </c>
      <c r="CA1031" s="4">
        <v>0</v>
      </c>
      <c r="CB1031" s="4">
        <v>0</v>
      </c>
      <c r="CC1031" s="4">
        <v>4.97</v>
      </c>
      <c r="CD1031" s="4">
        <v>0</v>
      </c>
      <c r="CE1031" s="4">
        <v>0</v>
      </c>
      <c r="CF1031" s="4">
        <v>3.07</v>
      </c>
      <c r="CG1031" s="4">
        <v>0</v>
      </c>
      <c r="CH1031" s="4">
        <v>0</v>
      </c>
      <c r="CI1031" s="4">
        <v>3.12</v>
      </c>
      <c r="CJ1031" s="34">
        <v>0</v>
      </c>
      <c r="CK1031" s="34">
        <v>0</v>
      </c>
      <c r="CL1031" s="43">
        <v>2.7</v>
      </c>
      <c r="CM1031" s="4">
        <v>2.9</v>
      </c>
      <c r="CN1031" s="53">
        <v>0</v>
      </c>
      <c r="CO1031" s="54">
        <v>0</v>
      </c>
      <c r="CP1031" s="54">
        <v>4.07</v>
      </c>
      <c r="CQ1031" s="4">
        <v>4.16</v>
      </c>
    </row>
    <row r="1032" spans="1:95" x14ac:dyDescent="0.35">
      <c r="A1032" s="55">
        <v>1031</v>
      </c>
      <c r="B1032" t="s">
        <v>122</v>
      </c>
      <c r="C1032" s="27" t="s">
        <v>1105</v>
      </c>
      <c r="D1032" s="3" t="s">
        <v>94</v>
      </c>
      <c r="E1032" s="33" t="s">
        <v>89</v>
      </c>
      <c r="F1032" s="4">
        <f>IFERROR(AVERAGEIF(Table1[[#This Row],[2019-Apr]:[2025-July]],"&lt;&gt;0"),0)</f>
        <v>5.3705882352941181</v>
      </c>
      <c r="G1032" s="4">
        <f ca="1">IFERROR(AVERAGEIF(OFFSET(Table1[[#This Row],[Status]],0,COUNT(Table1[[#This Row],[2019-May]:[2025-July]]),1,-12),"&lt;&gt;0"),0)</f>
        <v>4.5942857142857134</v>
      </c>
      <c r="H1032" s="55">
        <f>IFERROR(SMALL(Table1[[#This Row],[2019-Apr]:[2025-July]],COUNTIF(Table1[[#This Row],[2019-Apr]:[2025-July]],0)+1),0)</f>
        <v>3.4</v>
      </c>
      <c r="I1032" s="56">
        <f>IFERROR(MAX(Table1[[#This Row],[2019-Apr]:[2025-July]]),0)</f>
        <v>7.13</v>
      </c>
      <c r="J1032" s="4" cm="1">
        <f t="array" ref="J103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4.04</v>
      </c>
      <c r="K1032" s="4">
        <v>4.5</v>
      </c>
      <c r="L1032" s="4">
        <f>IF(Table1[[#This Row],[Standard as per ISO]]&gt;=Table1[[#This Row],[Avg of best 6]],Table1[[#This Row],[Standard as per ISO]],Table1[[#This Row],[Avg of best 6]])</f>
        <v>4.5</v>
      </c>
      <c r="M1032" s="4" cm="1">
        <f t="array" ref="M1032">IFERROR(LOOKUP(2,1/(Table1[[#This Row],[2019-May]:[2025-July]]&lt;&gt;0),Table1[[#This Row],[2019-May]:[2025-July]]),0)</f>
        <v>4.09</v>
      </c>
      <c r="N1032" s="4">
        <f>COUNTIF(Table1[[#This Row],[2019-Apr]:[2025-July]],"&gt;="&amp;Table1[[#This Row],[Target]])</f>
        <v>12</v>
      </c>
      <c r="O1032" s="4">
        <f>IF(Table1[[#This Row],[Outliers 2Y]]=0,1,0)</f>
        <v>0</v>
      </c>
      <c r="P1032" s="4">
        <f>IF(Table1[[#This Row],[Last value]]&gt;1.5*Table1[[#This Row],[Target]],1,0)</f>
        <v>0</v>
      </c>
      <c r="Q1032" s="4">
        <f>IF(AND(1.5*Table1[[#This Row],[Target]]&gt;=Table1[[#This Row],[Last value]],Table1[[#This Row],[Last value]]&gt;Table1[[#This Row],[Target]]),1,0)</f>
        <v>0</v>
      </c>
      <c r="R1032" s="4">
        <f>IF(Table1[[#This Row],[Target]]&gt;=Table1[[#This Row],[Last value]],1,0)</f>
        <v>1</v>
      </c>
      <c r="S1032" s="4" t="str">
        <f t="shared" si="28"/>
        <v>Green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>
        <v>0</v>
      </c>
      <c r="BP1032" s="4">
        <v>0</v>
      </c>
      <c r="BQ1032" s="4">
        <v>4.62</v>
      </c>
      <c r="BR1032" s="4">
        <v>6.63</v>
      </c>
      <c r="BS1032" s="4">
        <v>6.23</v>
      </c>
      <c r="BT1032" s="4">
        <v>6.52</v>
      </c>
      <c r="BU1032" s="4">
        <v>5.04</v>
      </c>
      <c r="BV1032" s="4">
        <v>5.45</v>
      </c>
      <c r="BW1032" s="4">
        <v>7.13</v>
      </c>
      <c r="BX1032" s="4">
        <v>6.7</v>
      </c>
      <c r="BY1032" s="4">
        <v>6.73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4.54</v>
      </c>
      <c r="CF1032" s="4">
        <v>0</v>
      </c>
      <c r="CG1032" s="4">
        <v>0</v>
      </c>
      <c r="CH1032" s="4">
        <v>0</v>
      </c>
      <c r="CI1032" s="4">
        <v>6.41</v>
      </c>
      <c r="CJ1032" s="34">
        <v>0</v>
      </c>
      <c r="CK1032" s="34">
        <v>0</v>
      </c>
      <c r="CL1032" s="43">
        <v>4.0999999999999996</v>
      </c>
      <c r="CM1032" s="4">
        <v>3.8</v>
      </c>
      <c r="CN1032" s="53">
        <v>5.6</v>
      </c>
      <c r="CO1032" s="54">
        <v>4.3099999999999996</v>
      </c>
      <c r="CP1032" s="54">
        <v>3.4</v>
      </c>
      <c r="CQ1032" s="4">
        <v>4.09</v>
      </c>
    </row>
    <row r="1033" spans="1:95" x14ac:dyDescent="0.35">
      <c r="A1033" s="55">
        <v>1032</v>
      </c>
      <c r="B1033" t="s">
        <v>122</v>
      </c>
      <c r="C1033" s="27" t="s">
        <v>1106</v>
      </c>
      <c r="D1033" s="3" t="s">
        <v>94</v>
      </c>
      <c r="E1033" s="33" t="s">
        <v>89</v>
      </c>
      <c r="F1033" s="4">
        <f>IFERROR(AVERAGEIF(Table1[[#This Row],[2019-Apr]:[2025-July]],"&lt;&gt;0"),0)</f>
        <v>6.3870000000000005</v>
      </c>
      <c r="G1033" s="4">
        <f ca="1">IFERROR(AVERAGEIF(OFFSET(Table1[[#This Row],[Status]],0,COUNT(Table1[[#This Row],[2019-May]:[2025-July]]),1,-12),"&lt;&gt;0"),0)</f>
        <v>6.7450000000000001</v>
      </c>
      <c r="H1033" s="55">
        <f>IFERROR(SMALL(Table1[[#This Row],[2019-Apr]:[2025-July]],COUNTIF(Table1[[#This Row],[2019-Apr]:[2025-July]],0)+1),0)</f>
        <v>1.71</v>
      </c>
      <c r="I1033" s="56">
        <f>IFERROR(MAX(Table1[[#This Row],[2019-Apr]:[2025-July]]),0)</f>
        <v>11.55</v>
      </c>
      <c r="J1033" s="4" cm="1">
        <f t="array" ref="J103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3.7816666666666667</v>
      </c>
      <c r="K1033" s="4">
        <v>4.5</v>
      </c>
      <c r="L1033" s="4">
        <f>IF(Table1[[#This Row],[Standard as per ISO]]&gt;=Table1[[#This Row],[Avg of best 6]],Table1[[#This Row],[Standard as per ISO]],Table1[[#This Row],[Avg of best 6]])</f>
        <v>4.5</v>
      </c>
      <c r="M1033" s="4" cm="1">
        <f t="array" ref="M1033">IFERROR(LOOKUP(2,1/(Table1[[#This Row],[2019-May]:[2025-July]]&lt;&gt;0),Table1[[#This Row],[2019-May]:[2025-July]]),0)</f>
        <v>11.55</v>
      </c>
      <c r="N1033" s="4">
        <f>COUNTIF(Table1[[#This Row],[2019-Apr]:[2025-July]],"&gt;="&amp;Table1[[#This Row],[Target]])</f>
        <v>6</v>
      </c>
      <c r="O1033" s="4">
        <f>IF(Table1[[#This Row],[Outliers 2Y]]=0,1,0)</f>
        <v>0</v>
      </c>
      <c r="P1033" s="4">
        <f>IF(Table1[[#This Row],[Last value]]&gt;1.5*Table1[[#This Row],[Target]],1,0)</f>
        <v>1</v>
      </c>
      <c r="Q1033" s="4">
        <f>IF(AND(1.5*Table1[[#This Row],[Target]]&gt;=Table1[[#This Row],[Last value]],Table1[[#This Row],[Last value]]&gt;Table1[[#This Row],[Target]]),1,0)</f>
        <v>0</v>
      </c>
      <c r="R1033" s="4">
        <f>IF(Table1[[#This Row],[Target]]&gt;=Table1[[#This Row],[Last value]],1,0)</f>
        <v>0</v>
      </c>
      <c r="S1033" s="4" t="str">
        <f t="shared" si="28"/>
        <v>Red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>
        <v>0</v>
      </c>
      <c r="BP1033" s="4">
        <v>0</v>
      </c>
      <c r="BQ1033" s="4">
        <v>0</v>
      </c>
      <c r="BR1033" s="4">
        <v>4.29</v>
      </c>
      <c r="BS1033" s="4">
        <v>6</v>
      </c>
      <c r="BT1033" s="4">
        <v>6.8</v>
      </c>
      <c r="BU1033" s="4">
        <v>1.95</v>
      </c>
      <c r="BV1033" s="4">
        <v>10</v>
      </c>
      <c r="BW1033" s="4">
        <v>1.71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11.03</v>
      </c>
      <c r="CD1033" s="4">
        <v>8.6</v>
      </c>
      <c r="CE1033" s="4">
        <v>0</v>
      </c>
      <c r="CF1033" s="4">
        <v>0</v>
      </c>
      <c r="CG1033" s="4">
        <v>1.94</v>
      </c>
      <c r="CH1033" s="4">
        <v>0</v>
      </c>
      <c r="CI1033" s="4">
        <v>0</v>
      </c>
      <c r="CJ1033" s="34">
        <v>0</v>
      </c>
      <c r="CK1033" s="34">
        <v>0</v>
      </c>
      <c r="CL1033" s="43">
        <v>0</v>
      </c>
      <c r="CM1033" s="4">
        <v>0</v>
      </c>
      <c r="CN1033" s="53">
        <v>0</v>
      </c>
      <c r="CO1033" s="54">
        <v>0</v>
      </c>
      <c r="CP1033" s="54">
        <v>11.55</v>
      </c>
      <c r="CQ1033" s="4">
        <v>0</v>
      </c>
    </row>
    <row r="1034" spans="1:95" x14ac:dyDescent="0.35">
      <c r="A1034" s="55">
        <v>1033</v>
      </c>
      <c r="B1034" t="s">
        <v>122</v>
      </c>
      <c r="C1034" s="27" t="s">
        <v>1107</v>
      </c>
      <c r="D1034" s="3" t="s">
        <v>94</v>
      </c>
      <c r="E1034" s="33" t="s">
        <v>89</v>
      </c>
      <c r="F1034" s="4">
        <f>IFERROR(AVERAGEIF(Table1[[#This Row],[2019-Apr]:[2025-July]],"&lt;&gt;0"),0)</f>
        <v>1.9170588235294119</v>
      </c>
      <c r="G1034" s="4">
        <f ca="1">IFERROR(AVERAGEIF(OFFSET(Table1[[#This Row],[Status]],0,COUNT(Table1[[#This Row],[2019-May]:[2025-July]]),1,-12),"&lt;&gt;0"),0)</f>
        <v>2.0100000000000002</v>
      </c>
      <c r="H1034" s="55">
        <f>IFERROR(SMALL(Table1[[#This Row],[2019-Apr]:[2025-July]],COUNTIF(Table1[[#This Row],[2019-Apr]:[2025-July]],0)+1),0)</f>
        <v>1.35</v>
      </c>
      <c r="I1034" s="56">
        <f>IFERROR(MAX(Table1[[#This Row],[2019-Apr]:[2025-July]]),0)</f>
        <v>2.64</v>
      </c>
      <c r="J1034" s="4" cm="1">
        <f t="array" ref="J103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1.583333333333333</v>
      </c>
      <c r="K1034" s="4">
        <v>4.5</v>
      </c>
      <c r="L1034" s="4">
        <f>IF(Table1[[#This Row],[Standard as per ISO]]&gt;=Table1[[#This Row],[Avg of best 6]],Table1[[#This Row],[Standard as per ISO]],Table1[[#This Row],[Avg of best 6]])</f>
        <v>4.5</v>
      </c>
      <c r="M1034" s="4" cm="1">
        <f t="array" ref="M1034">IFERROR(LOOKUP(2,1/(Table1[[#This Row],[2019-May]:[2025-July]]&lt;&gt;0),Table1[[#This Row],[2019-May]:[2025-July]]),0)</f>
        <v>1.7</v>
      </c>
      <c r="N1034" s="4">
        <f>COUNTIF(Table1[[#This Row],[2019-Apr]:[2025-July]],"&gt;="&amp;Table1[[#This Row],[Target]])</f>
        <v>0</v>
      </c>
      <c r="O1034" s="4">
        <f>IF(Table1[[#This Row],[Outliers 2Y]]=0,1,0)</f>
        <v>1</v>
      </c>
      <c r="P1034" s="4">
        <f>IF(Table1[[#This Row],[Last value]]&gt;1.5*Table1[[#This Row],[Target]],1,0)</f>
        <v>0</v>
      </c>
      <c r="Q1034" s="4">
        <f>IF(AND(1.5*Table1[[#This Row],[Target]]&gt;=Table1[[#This Row],[Last value]],Table1[[#This Row],[Last value]]&gt;Table1[[#This Row],[Target]]),1,0)</f>
        <v>0</v>
      </c>
      <c r="R1034" s="4">
        <f>IF(Table1[[#This Row],[Target]]&gt;=Table1[[#This Row],[Last value]],1,0)</f>
        <v>1</v>
      </c>
      <c r="S1034" s="4" t="str">
        <f t="shared" si="28"/>
        <v>Green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>
        <v>0</v>
      </c>
      <c r="BP1034" s="4">
        <v>0</v>
      </c>
      <c r="BQ1034" s="4">
        <v>1.69</v>
      </c>
      <c r="BR1034" s="4">
        <v>1.35</v>
      </c>
      <c r="BS1034" s="4">
        <v>1.6</v>
      </c>
      <c r="BT1034" s="4">
        <v>1.76</v>
      </c>
      <c r="BU1034" s="4">
        <v>2.64</v>
      </c>
      <c r="BV1034" s="4">
        <v>1.57</v>
      </c>
      <c r="BW1034" s="4">
        <v>1.71</v>
      </c>
      <c r="BX1034" s="4">
        <v>2.0099999999999998</v>
      </c>
      <c r="BY1034" s="4">
        <v>2.56</v>
      </c>
      <c r="BZ1034" s="4">
        <v>1.94</v>
      </c>
      <c r="CA1034" s="4">
        <v>0</v>
      </c>
      <c r="CB1034" s="4">
        <v>0</v>
      </c>
      <c r="CC1034" s="4">
        <v>0</v>
      </c>
      <c r="CD1034" s="4">
        <v>0</v>
      </c>
      <c r="CE1034" s="4">
        <v>2.25</v>
      </c>
      <c r="CF1034" s="4">
        <v>0</v>
      </c>
      <c r="CG1034" s="4">
        <v>0</v>
      </c>
      <c r="CH1034" s="4">
        <v>0</v>
      </c>
      <c r="CI1034" s="4">
        <v>1.59</v>
      </c>
      <c r="CJ1034" s="34">
        <v>0</v>
      </c>
      <c r="CK1034" s="34">
        <v>0</v>
      </c>
      <c r="CL1034" s="43">
        <v>2.4</v>
      </c>
      <c r="CM1034" s="4">
        <v>2.1</v>
      </c>
      <c r="CN1034" s="53">
        <v>1.8</v>
      </c>
      <c r="CO1034" s="54">
        <v>1.92</v>
      </c>
      <c r="CP1034" s="54">
        <v>0</v>
      </c>
      <c r="CQ1034" s="4">
        <v>1.7</v>
      </c>
    </row>
    <row r="1035" spans="1:95" x14ac:dyDescent="0.35">
      <c r="A1035" s="55">
        <v>1034</v>
      </c>
      <c r="B1035" t="s">
        <v>122</v>
      </c>
      <c r="C1035" s="27" t="s">
        <v>1108</v>
      </c>
      <c r="D1035" s="3" t="s">
        <v>94</v>
      </c>
      <c r="E1035" s="33" t="s">
        <v>89</v>
      </c>
      <c r="F1035" s="4">
        <f>IFERROR(AVERAGEIF(Table1[[#This Row],[2019-Apr]:[2025-July]],"&lt;&gt;0"),0)</f>
        <v>2.4516666666666662</v>
      </c>
      <c r="G1035" s="4">
        <f ca="1">IFERROR(AVERAGEIF(OFFSET(Table1[[#This Row],[Status]],0,COUNT(Table1[[#This Row],[2019-May]:[2025-July]]),1,-12),"&lt;&gt;0"),0)</f>
        <v>2.2842857142857143</v>
      </c>
      <c r="H1035" s="55">
        <f>IFERROR(SMALL(Table1[[#This Row],[2019-Apr]:[2025-July]],COUNTIF(Table1[[#This Row],[2019-Apr]:[2025-July]],0)+1),0)</f>
        <v>1.3</v>
      </c>
      <c r="I1035" s="56">
        <f>IFERROR(MAX(Table1[[#This Row],[2019-Apr]:[2025-July]]),0)</f>
        <v>5.5</v>
      </c>
      <c r="J1035" s="4" cm="1">
        <f t="array" ref="J103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1.8133333333333335</v>
      </c>
      <c r="K1035" s="4">
        <v>4.5</v>
      </c>
      <c r="L1035" s="4">
        <f>IF(Table1[[#This Row],[Standard as per ISO]]&gt;=Table1[[#This Row],[Avg of best 6]],Table1[[#This Row],[Standard as per ISO]],Table1[[#This Row],[Avg of best 6]])</f>
        <v>4.5</v>
      </c>
      <c r="M1035" s="4" cm="1">
        <f t="array" ref="M1035">IFERROR(LOOKUP(2,1/(Table1[[#This Row],[2019-May]:[2025-July]]&lt;&gt;0),Table1[[#This Row],[2019-May]:[2025-July]]),0)</f>
        <v>2.19</v>
      </c>
      <c r="N1035" s="4">
        <f>COUNTIF(Table1[[#This Row],[2019-Apr]:[2025-July]],"&gt;="&amp;Table1[[#This Row],[Target]])</f>
        <v>1</v>
      </c>
      <c r="O1035" s="4">
        <f>IF(Table1[[#This Row],[Outliers 2Y]]=0,1,0)</f>
        <v>0</v>
      </c>
      <c r="P1035" s="4">
        <f>IF(Table1[[#This Row],[Last value]]&gt;1.5*Table1[[#This Row],[Target]],1,0)</f>
        <v>0</v>
      </c>
      <c r="Q1035" s="4">
        <f>IF(AND(1.5*Table1[[#This Row],[Target]]&gt;=Table1[[#This Row],[Last value]],Table1[[#This Row],[Last value]]&gt;Table1[[#This Row],[Target]]),1,0)</f>
        <v>0</v>
      </c>
      <c r="R1035" s="4">
        <f>IF(Table1[[#This Row],[Target]]&gt;=Table1[[#This Row],[Last value]],1,0)</f>
        <v>1</v>
      </c>
      <c r="S1035" s="4" t="str">
        <f t="shared" si="28"/>
        <v>Green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>
        <v>0</v>
      </c>
      <c r="BP1035" s="4">
        <v>0</v>
      </c>
      <c r="BQ1035" s="4">
        <v>2.35</v>
      </c>
      <c r="BR1035" s="4">
        <v>3.06</v>
      </c>
      <c r="BS1035" s="4">
        <v>0</v>
      </c>
      <c r="BT1035" s="4">
        <v>5.5</v>
      </c>
      <c r="BU1035" s="4">
        <v>1.98</v>
      </c>
      <c r="BV1035" s="4">
        <v>2.1800000000000002</v>
      </c>
      <c r="BW1035" s="4">
        <v>1.92</v>
      </c>
      <c r="BX1035" s="4">
        <v>2.0699999999999998</v>
      </c>
      <c r="BY1035" s="4">
        <v>2.68</v>
      </c>
      <c r="BZ1035" s="4">
        <v>2.44</v>
      </c>
      <c r="CA1035" s="4">
        <v>0</v>
      </c>
      <c r="CB1035" s="4">
        <v>0</v>
      </c>
      <c r="CC1035" s="4">
        <v>1.77</v>
      </c>
      <c r="CD1035" s="4">
        <v>0</v>
      </c>
      <c r="CE1035" s="4">
        <v>0</v>
      </c>
      <c r="CF1035" s="4">
        <v>0</v>
      </c>
      <c r="CG1035" s="4">
        <v>1.84</v>
      </c>
      <c r="CH1035" s="4">
        <v>0</v>
      </c>
      <c r="CI1035" s="4">
        <v>2.57</v>
      </c>
      <c r="CJ1035" s="34">
        <v>0</v>
      </c>
      <c r="CK1035" s="34">
        <v>0</v>
      </c>
      <c r="CL1035" s="43">
        <v>2.2999999999999998</v>
      </c>
      <c r="CM1035" s="4">
        <v>2.6</v>
      </c>
      <c r="CN1035" s="53">
        <v>2.8</v>
      </c>
      <c r="CO1035" s="54">
        <v>2.58</v>
      </c>
      <c r="CP1035" s="54">
        <v>1.3</v>
      </c>
      <c r="CQ1035" s="4">
        <v>2.19</v>
      </c>
    </row>
    <row r="1036" spans="1:95" x14ac:dyDescent="0.35">
      <c r="A1036" s="55">
        <v>1035</v>
      </c>
      <c r="B1036" t="s">
        <v>122</v>
      </c>
      <c r="C1036" s="27" t="s">
        <v>1109</v>
      </c>
      <c r="D1036" s="3" t="s">
        <v>94</v>
      </c>
      <c r="E1036" s="33" t="s">
        <v>91</v>
      </c>
      <c r="F1036" s="4">
        <f>IFERROR(AVERAGEIF(Table1[[#This Row],[2019-Apr]:[2025-July]],"&lt;&gt;0"),0)</f>
        <v>4.9074999999999998</v>
      </c>
      <c r="G1036" s="4">
        <f ca="1">IFERROR(AVERAGEIF(OFFSET(Table1[[#This Row],[Status]],0,COUNT(Table1[[#This Row],[2019-May]:[2025-July]]),1,-12),"&lt;&gt;0"),0)</f>
        <v>5.8949999999999996</v>
      </c>
      <c r="H1036" s="55">
        <f>IFERROR(SMALL(Table1[[#This Row],[2019-Apr]:[2025-July]],COUNTIF(Table1[[#This Row],[2019-Apr]:[2025-July]],0)+1),0)</f>
        <v>2.4900000000000002</v>
      </c>
      <c r="I1036" s="56">
        <f>IFERROR(MAX(Table1[[#This Row],[2019-Apr]:[2025-July]]),0)</f>
        <v>7.94</v>
      </c>
      <c r="J1036" s="4" cm="1">
        <f t="array" ref="J103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3.5233333333333334</v>
      </c>
      <c r="K1036" s="4">
        <v>4.5</v>
      </c>
      <c r="L1036" s="4">
        <f>IF(Table1[[#This Row],[Standard as per ISO]]&gt;=Table1[[#This Row],[Avg of best 6]],Table1[[#This Row],[Standard as per ISO]],Table1[[#This Row],[Avg of best 6]])</f>
        <v>4.5</v>
      </c>
      <c r="M1036" s="4" cm="1">
        <f t="array" ref="M1036">IFERROR(LOOKUP(2,1/(Table1[[#This Row],[2019-May]:[2025-July]]&lt;&gt;0),Table1[[#This Row],[2019-May]:[2025-July]]),0)</f>
        <v>6.31</v>
      </c>
      <c r="N1036" s="4">
        <f>COUNTIF(Table1[[#This Row],[2019-Apr]:[2025-July]],"&gt;="&amp;Table1[[#This Row],[Target]])</f>
        <v>6</v>
      </c>
      <c r="O1036" s="4">
        <f>IF(Table1[[#This Row],[Outliers 2Y]]=0,1,0)</f>
        <v>0</v>
      </c>
      <c r="P1036" s="4">
        <f>IF(Table1[[#This Row],[Last value]]&gt;1.5*Table1[[#This Row],[Target]],1,0)</f>
        <v>0</v>
      </c>
      <c r="Q1036" s="4">
        <f>IF(AND(1.5*Table1[[#This Row],[Target]]&gt;=Table1[[#This Row],[Last value]],Table1[[#This Row],[Last value]]&gt;Table1[[#This Row],[Target]]),1,0)</f>
        <v>1</v>
      </c>
      <c r="R1036" s="4">
        <f>IF(Table1[[#This Row],[Target]]&gt;=Table1[[#This Row],[Last value]],1,0)</f>
        <v>0</v>
      </c>
      <c r="S1036" s="4" t="str">
        <f t="shared" si="28"/>
        <v>Yellow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>
        <v>0</v>
      </c>
      <c r="BP1036" s="4">
        <v>0</v>
      </c>
      <c r="BQ1036" s="4">
        <v>0</v>
      </c>
      <c r="BR1036" s="4">
        <v>0</v>
      </c>
      <c r="BS1036" s="4">
        <v>5.62</v>
      </c>
      <c r="BT1036" s="4">
        <v>2.76</v>
      </c>
      <c r="BU1036" s="4">
        <v>2.4900000000000002</v>
      </c>
      <c r="BV1036" s="4">
        <v>7.94</v>
      </c>
      <c r="BW1036" s="4">
        <v>4.12</v>
      </c>
      <c r="BX1036" s="4">
        <v>4.26</v>
      </c>
      <c r="BY1036" s="4">
        <v>3.55</v>
      </c>
      <c r="BZ1036" s="4">
        <v>3.96</v>
      </c>
      <c r="CA1036" s="4">
        <v>0</v>
      </c>
      <c r="CB1036" s="4">
        <v>0</v>
      </c>
      <c r="CC1036" s="4">
        <v>7.57</v>
      </c>
      <c r="CD1036" s="4">
        <v>4.83</v>
      </c>
      <c r="CE1036" s="4">
        <v>0</v>
      </c>
      <c r="CF1036" s="4">
        <v>0</v>
      </c>
      <c r="CG1036" s="4">
        <v>5.48</v>
      </c>
      <c r="CH1036" s="4">
        <v>0</v>
      </c>
      <c r="CI1036" s="4">
        <v>6.31</v>
      </c>
      <c r="CJ1036" s="34">
        <v>0</v>
      </c>
      <c r="CK1036" s="34">
        <v>0</v>
      </c>
      <c r="CL1036" s="34">
        <v>0</v>
      </c>
      <c r="CM1036" s="4">
        <v>0</v>
      </c>
      <c r="CN1036" s="53">
        <v>0</v>
      </c>
      <c r="CO1036" s="54">
        <v>0</v>
      </c>
      <c r="CP1036" s="54">
        <v>0</v>
      </c>
      <c r="CQ1036" s="4">
        <v>0</v>
      </c>
    </row>
    <row r="1037" spans="1:95" x14ac:dyDescent="0.35">
      <c r="A1037" s="55">
        <v>1036</v>
      </c>
      <c r="B1037" t="s">
        <v>122</v>
      </c>
      <c r="C1037" s="27" t="s">
        <v>1110</v>
      </c>
      <c r="D1037" s="3" t="s">
        <v>94</v>
      </c>
      <c r="E1037" s="33" t="s">
        <v>91</v>
      </c>
      <c r="F1037" s="4">
        <f>IFERROR(AVERAGEIF(Table1[[#This Row],[2019-Apr]:[2025-July]],"&lt;&gt;0"),0)</f>
        <v>3.627272727272727</v>
      </c>
      <c r="G1037" s="4">
        <f ca="1">IFERROR(AVERAGEIF(OFFSET(Table1[[#This Row],[Status]],0,COUNT(Table1[[#This Row],[2019-May]:[2025-July]]),1,-12),"&lt;&gt;0"),0)</f>
        <v>2.355</v>
      </c>
      <c r="H1037" s="55">
        <f>IFERROR(SMALL(Table1[[#This Row],[2019-Apr]:[2025-July]],COUNTIF(Table1[[#This Row],[2019-Apr]:[2025-July]],0)+1),0)</f>
        <v>2.15</v>
      </c>
      <c r="I1037" s="56">
        <f>IFERROR(MAX(Table1[[#This Row],[2019-Apr]:[2025-July]]),0)</f>
        <v>5.23</v>
      </c>
      <c r="J1037" s="4" cm="1">
        <f t="array" ref="J103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2.8516666666666666</v>
      </c>
      <c r="K1037" s="4">
        <v>4.5</v>
      </c>
      <c r="L1037" s="4">
        <f>IF(Table1[[#This Row],[Standard as per ISO]]&gt;=Table1[[#This Row],[Avg of best 6]],Table1[[#This Row],[Standard as per ISO]],Table1[[#This Row],[Avg of best 6]])</f>
        <v>4.5</v>
      </c>
      <c r="M1037" s="4" cm="1">
        <f t="array" ref="M1037">IFERROR(LOOKUP(2,1/(Table1[[#This Row],[2019-May]:[2025-July]]&lt;&gt;0),Table1[[#This Row],[2019-May]:[2025-July]]),0)</f>
        <v>2.56</v>
      </c>
      <c r="N1037" s="4">
        <f>COUNTIF(Table1[[#This Row],[2019-Apr]:[2025-July]],"&gt;="&amp;Table1[[#This Row],[Target]])</f>
        <v>3</v>
      </c>
      <c r="O1037" s="4">
        <f>IF(Table1[[#This Row],[Outliers 2Y]]=0,1,0)</f>
        <v>0</v>
      </c>
      <c r="P1037" s="4">
        <f>IF(Table1[[#This Row],[Last value]]&gt;1.5*Table1[[#This Row],[Target]],1,0)</f>
        <v>0</v>
      </c>
      <c r="Q1037" s="4">
        <f>IF(AND(1.5*Table1[[#This Row],[Target]]&gt;=Table1[[#This Row],[Last value]],Table1[[#This Row],[Last value]]&gt;Table1[[#This Row],[Target]]),1,0)</f>
        <v>0</v>
      </c>
      <c r="R1037" s="4">
        <f>IF(Table1[[#This Row],[Target]]&gt;=Table1[[#This Row],[Last value]],1,0)</f>
        <v>1</v>
      </c>
      <c r="S1037" s="4" t="str">
        <f t="shared" si="28"/>
        <v>Green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>
        <v>0</v>
      </c>
      <c r="BP1037" s="4">
        <v>0</v>
      </c>
      <c r="BQ1037" s="4">
        <v>3.52</v>
      </c>
      <c r="BR1037" s="4">
        <v>3.75</v>
      </c>
      <c r="BS1037" s="4">
        <v>5.23</v>
      </c>
      <c r="BT1037" s="4">
        <v>0</v>
      </c>
      <c r="BU1037" s="4">
        <v>4.78</v>
      </c>
      <c r="BV1037" s="4">
        <v>4.71</v>
      </c>
      <c r="BW1037" s="4">
        <v>4.32</v>
      </c>
      <c r="BX1037" s="4">
        <v>2.66</v>
      </c>
      <c r="BY1037" s="4">
        <v>0</v>
      </c>
      <c r="BZ1037" s="4">
        <v>2.74</v>
      </c>
      <c r="CA1037" s="4">
        <v>0</v>
      </c>
      <c r="CB1037" s="4">
        <v>0</v>
      </c>
      <c r="CC1037" s="4">
        <v>3.48</v>
      </c>
      <c r="CD1037" s="4">
        <v>0</v>
      </c>
      <c r="CE1037" s="4">
        <v>0</v>
      </c>
      <c r="CF1037" s="4">
        <v>0</v>
      </c>
      <c r="CG1037" s="4">
        <v>2.15</v>
      </c>
      <c r="CH1037" s="4">
        <v>0</v>
      </c>
      <c r="CI1037" s="4">
        <v>2.56</v>
      </c>
      <c r="CJ1037" s="34">
        <v>0</v>
      </c>
      <c r="CK1037" s="34">
        <v>0</v>
      </c>
      <c r="CL1037" s="34">
        <v>0</v>
      </c>
      <c r="CM1037" s="4">
        <v>0</v>
      </c>
      <c r="CN1037" s="53">
        <v>0</v>
      </c>
      <c r="CO1037" s="54">
        <v>0</v>
      </c>
      <c r="CP1037" s="54">
        <v>0</v>
      </c>
      <c r="CQ1037" s="4">
        <v>0</v>
      </c>
    </row>
    <row r="1038" spans="1:95" x14ac:dyDescent="0.35">
      <c r="A1038" s="55">
        <v>1037</v>
      </c>
      <c r="B1038" t="s">
        <v>122</v>
      </c>
      <c r="C1038" s="27" t="s">
        <v>1111</v>
      </c>
      <c r="D1038" s="3" t="s">
        <v>94</v>
      </c>
      <c r="E1038" s="27" t="s">
        <v>91</v>
      </c>
      <c r="F1038" s="4">
        <f>IFERROR(AVERAGEIF(Table1[[#This Row],[2019-Apr]:[2025-July]],"&lt;&gt;0"),0)</f>
        <v>6.2539999999999996</v>
      </c>
      <c r="G1038" s="4">
        <f ca="1">IFERROR(AVERAGEIF(OFFSET(Table1[[#This Row],[Status]],0,COUNT(Table1[[#This Row],[2019-May]:[2025-July]]),1,-12),"&lt;&gt;0"),0)</f>
        <v>7.52</v>
      </c>
      <c r="H1038" s="55">
        <f>IFERROR(SMALL(Table1[[#This Row],[2019-Apr]:[2025-July]],COUNTIF(Table1[[#This Row],[2019-Apr]:[2025-July]],0)+1),0)</f>
        <v>3.79</v>
      </c>
      <c r="I1038" s="56">
        <f>IFERROR(MAX(Table1[[#This Row],[2019-Apr]:[2025-July]]),0)</f>
        <v>8.6999999999999993</v>
      </c>
      <c r="J1038" s="4" cm="1">
        <f t="array" ref="J103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5.1000000000000005</v>
      </c>
      <c r="K1038" s="4">
        <v>4.5</v>
      </c>
      <c r="L1038" s="4">
        <f>IF(Table1[[#This Row],[Standard as per ISO]]&gt;=Table1[[#This Row],[Avg of best 6]],Table1[[#This Row],[Standard as per ISO]],Table1[[#This Row],[Avg of best 6]])</f>
        <v>5.1000000000000005</v>
      </c>
      <c r="M1038" s="4" cm="1">
        <f t="array" ref="M1038">IFERROR(LOOKUP(2,1/(Table1[[#This Row],[2019-May]:[2025-July]]&lt;&gt;0),Table1[[#This Row],[2019-May]:[2025-July]]),0)</f>
        <v>8.07</v>
      </c>
      <c r="N1038" s="4">
        <f>COUNTIF(Table1[[#This Row],[2019-Apr]:[2025-July]],"&gt;="&amp;Table1[[#This Row],[Target]])</f>
        <v>7</v>
      </c>
      <c r="O1038" s="4">
        <f>IF(Table1[[#This Row],[Outliers 2Y]]=0,1,0)</f>
        <v>0</v>
      </c>
      <c r="P1038" s="4">
        <f>IF(Table1[[#This Row],[Last value]]&gt;1.5*Table1[[#This Row],[Target]],1,0)</f>
        <v>1</v>
      </c>
      <c r="Q1038" s="4">
        <f>IF(AND(1.5*Table1[[#This Row],[Target]]&gt;=Table1[[#This Row],[Last value]],Table1[[#This Row],[Last value]]&gt;Table1[[#This Row],[Target]]),1,0)</f>
        <v>0</v>
      </c>
      <c r="R1038" s="4">
        <f>IF(Table1[[#This Row],[Target]]&gt;=Table1[[#This Row],[Last value]],1,0)</f>
        <v>0</v>
      </c>
      <c r="S1038" s="4" t="str">
        <f t="shared" si="28"/>
        <v>Red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>
        <v>0</v>
      </c>
      <c r="BP1038" s="4">
        <v>0</v>
      </c>
      <c r="BQ1038" s="4">
        <v>5.41</v>
      </c>
      <c r="BR1038" s="4">
        <v>4.9400000000000004</v>
      </c>
      <c r="BS1038" s="4">
        <v>0</v>
      </c>
      <c r="BT1038" s="4">
        <v>4.78</v>
      </c>
      <c r="BU1038" s="4">
        <v>3.79</v>
      </c>
      <c r="BV1038" s="4">
        <v>5.71</v>
      </c>
      <c r="BW1038" s="4">
        <v>5.97</v>
      </c>
      <c r="BX1038" s="4">
        <v>8.1999999999999993</v>
      </c>
      <c r="BY1038" s="4">
        <v>8.6999999999999993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6.97</v>
      </c>
      <c r="CF1038" s="4">
        <v>0</v>
      </c>
      <c r="CG1038" s="4">
        <v>8.07</v>
      </c>
      <c r="CH1038" s="4">
        <v>0</v>
      </c>
      <c r="CI1038" s="4">
        <v>0</v>
      </c>
      <c r="CJ1038" s="34">
        <v>0</v>
      </c>
      <c r="CK1038" s="34">
        <v>0</v>
      </c>
      <c r="CL1038" s="34">
        <v>0</v>
      </c>
      <c r="CM1038" s="4">
        <v>0</v>
      </c>
      <c r="CN1038" s="53">
        <v>0</v>
      </c>
      <c r="CO1038" s="54">
        <v>0</v>
      </c>
      <c r="CP1038" s="54">
        <v>0</v>
      </c>
      <c r="CQ1038" s="4">
        <v>0</v>
      </c>
    </row>
    <row r="1039" spans="1:95" x14ac:dyDescent="0.35">
      <c r="A1039" s="55">
        <v>1038</v>
      </c>
      <c r="B1039" t="s">
        <v>122</v>
      </c>
      <c r="C1039" s="27" t="s">
        <v>1112</v>
      </c>
      <c r="D1039" s="3" t="s">
        <v>94</v>
      </c>
      <c r="E1039" s="27" t="s">
        <v>91</v>
      </c>
      <c r="F1039" s="4">
        <f>IFERROR(AVERAGEIF(Table1[[#This Row],[2019-Apr]:[2025-July]],"&lt;&gt;0"),0)</f>
        <v>1.7649999999999999</v>
      </c>
      <c r="G1039" s="4">
        <f ca="1">IFERROR(AVERAGEIF(OFFSET(Table1[[#This Row],[Status]],0,COUNT(Table1[[#This Row],[2019-May]:[2025-July]]),1,-12),"&lt;&gt;0"),0)</f>
        <v>0</v>
      </c>
      <c r="H1039" s="55">
        <f>IFERROR(SMALL(Table1[[#This Row],[2019-Apr]:[2025-July]],COUNTIF(Table1[[#This Row],[2019-Apr]:[2025-July]],0)+1),0)</f>
        <v>1.26</v>
      </c>
      <c r="I1039" s="56">
        <f>IFERROR(MAX(Table1[[#This Row],[2019-Apr]:[2025-July]]),0)</f>
        <v>3.01</v>
      </c>
      <c r="J1039" s="4" cm="1">
        <f t="array" ref="J103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1.4183333333333332</v>
      </c>
      <c r="K1039" s="4">
        <v>4.5</v>
      </c>
      <c r="L1039" s="4">
        <f>IF(Table1[[#This Row],[Standard as per ISO]]&gt;=Table1[[#This Row],[Avg of best 6]],Table1[[#This Row],[Standard as per ISO]],Table1[[#This Row],[Avg of best 6]])</f>
        <v>4.5</v>
      </c>
      <c r="M1039" s="4" cm="1">
        <f t="array" ref="M1039">IFERROR(LOOKUP(2,1/(Table1[[#This Row],[2019-May]:[2025-July]]&lt;&gt;0),Table1[[#This Row],[2019-May]:[2025-July]]),0)</f>
        <v>3.01</v>
      </c>
      <c r="N1039" s="4">
        <f>COUNTIF(Table1[[#This Row],[2019-Apr]:[2025-July]],"&gt;="&amp;Table1[[#This Row],[Target]])</f>
        <v>0</v>
      </c>
      <c r="O1039" s="4">
        <f>IF(Table1[[#This Row],[Outliers 2Y]]=0,1,0)</f>
        <v>1</v>
      </c>
      <c r="P1039" s="4">
        <f>IF(Table1[[#This Row],[Last value]]&gt;1.5*Table1[[#This Row],[Target]],1,0)</f>
        <v>0</v>
      </c>
      <c r="Q1039" s="4">
        <f>IF(AND(1.5*Table1[[#This Row],[Target]]&gt;=Table1[[#This Row],[Last value]],Table1[[#This Row],[Last value]]&gt;Table1[[#This Row],[Target]]),1,0)</f>
        <v>0</v>
      </c>
      <c r="R1039" s="4">
        <f>IF(Table1[[#This Row],[Target]]&gt;=Table1[[#This Row],[Last value]],1,0)</f>
        <v>1</v>
      </c>
      <c r="S1039" s="4" t="str">
        <f t="shared" si="28"/>
        <v>Green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>
        <v>0</v>
      </c>
      <c r="BP1039" s="4">
        <v>0</v>
      </c>
      <c r="BQ1039" s="4">
        <v>1.45</v>
      </c>
      <c r="BR1039" s="4">
        <v>1.35</v>
      </c>
      <c r="BS1039" s="4">
        <v>1.26</v>
      </c>
      <c r="BT1039" s="4">
        <v>1.53</v>
      </c>
      <c r="BU1039" s="4">
        <v>1.4</v>
      </c>
      <c r="BV1039" s="4">
        <v>2.58</v>
      </c>
      <c r="BW1039" s="4">
        <v>1.77</v>
      </c>
      <c r="BX1039" s="4">
        <v>1.52</v>
      </c>
      <c r="BY1039" s="4">
        <v>0</v>
      </c>
      <c r="BZ1039" s="4">
        <v>1.78</v>
      </c>
      <c r="CA1039" s="4">
        <v>0</v>
      </c>
      <c r="CB1039" s="4">
        <v>0</v>
      </c>
      <c r="CC1039" s="4">
        <v>3.01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34">
        <v>0</v>
      </c>
      <c r="CK1039" s="34">
        <v>0</v>
      </c>
      <c r="CL1039" s="34">
        <v>0</v>
      </c>
      <c r="CM1039" s="4">
        <v>0</v>
      </c>
      <c r="CN1039" s="53">
        <v>0</v>
      </c>
      <c r="CO1039" s="54">
        <v>0</v>
      </c>
      <c r="CP1039" s="54">
        <v>0</v>
      </c>
      <c r="CQ1039" s="4">
        <v>0</v>
      </c>
    </row>
    <row r="1040" spans="1:95" x14ac:dyDescent="0.35">
      <c r="A1040" s="55">
        <v>1039</v>
      </c>
      <c r="B1040" t="s">
        <v>122</v>
      </c>
      <c r="C1040" s="27" t="s">
        <v>1113</v>
      </c>
      <c r="D1040" s="3" t="s">
        <v>94</v>
      </c>
      <c r="E1040" s="27" t="s">
        <v>91</v>
      </c>
      <c r="F1040" s="4">
        <f>IFERROR(AVERAGEIF(Table1[[#This Row],[2019-Apr]:[2025-July]],"&lt;&gt;0"),0)</f>
        <v>3.0963636363636367</v>
      </c>
      <c r="G1040" s="4">
        <f ca="1">IFERROR(AVERAGEIF(OFFSET(Table1[[#This Row],[Status]],0,COUNT(Table1[[#This Row],[2019-May]:[2025-July]]),1,-12),"&lt;&gt;0"),0)</f>
        <v>7.083333333333333</v>
      </c>
      <c r="H1040" s="55">
        <f>IFERROR(SMALL(Table1[[#This Row],[2019-Apr]:[2025-July]],COUNTIF(Table1[[#This Row],[2019-Apr]:[2025-July]],0)+1),0)</f>
        <v>1.1399999999999999</v>
      </c>
      <c r="I1040" s="56">
        <f>IFERROR(MAX(Table1[[#This Row],[2019-Apr]:[2025-July]]),0)</f>
        <v>15.82</v>
      </c>
      <c r="J1040" s="4" cm="1">
        <f t="array" ref="J104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1.5066666666666666</v>
      </c>
      <c r="K1040" s="4">
        <v>4.5</v>
      </c>
      <c r="L1040" s="4">
        <f>IF(Table1[[#This Row],[Standard as per ISO]]&gt;=Table1[[#This Row],[Avg of best 6]],Table1[[#This Row],[Standard as per ISO]],Table1[[#This Row],[Avg of best 6]])</f>
        <v>4.5</v>
      </c>
      <c r="M1040" s="4" cm="1">
        <f t="array" ref="M1040">IFERROR(LOOKUP(2,1/(Table1[[#This Row],[2019-May]:[2025-July]]&lt;&gt;0),Table1[[#This Row],[2019-May]:[2025-July]]),0)</f>
        <v>2.68</v>
      </c>
      <c r="N1040" s="4">
        <f>COUNTIF(Table1[[#This Row],[2019-Apr]:[2025-July]],"&gt;="&amp;Table1[[#This Row],[Target]])</f>
        <v>1</v>
      </c>
      <c r="O1040" s="4">
        <f>IF(Table1[[#This Row],[Outliers 2Y]]=0,1,0)</f>
        <v>0</v>
      </c>
      <c r="P1040" s="4">
        <f>IF(Table1[[#This Row],[Last value]]&gt;1.5*Table1[[#This Row],[Target]],1,0)</f>
        <v>0</v>
      </c>
      <c r="Q1040" s="4">
        <f>IF(AND(1.5*Table1[[#This Row],[Target]]&gt;=Table1[[#This Row],[Last value]],Table1[[#This Row],[Last value]]&gt;Table1[[#This Row],[Target]]),1,0)</f>
        <v>0</v>
      </c>
      <c r="R1040" s="4">
        <f>IF(Table1[[#This Row],[Target]]&gt;=Table1[[#This Row],[Last value]],1,0)</f>
        <v>1</v>
      </c>
      <c r="S1040" s="4" t="str">
        <f t="shared" si="28"/>
        <v>Green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>
        <v>0</v>
      </c>
      <c r="BP1040" s="4">
        <v>0</v>
      </c>
      <c r="BQ1040" s="4">
        <v>1.62</v>
      </c>
      <c r="BR1040" s="4">
        <v>1.1399999999999999</v>
      </c>
      <c r="BS1040" s="4">
        <v>1.18</v>
      </c>
      <c r="BT1040" s="4">
        <v>1.58</v>
      </c>
      <c r="BU1040" s="4">
        <v>1.85</v>
      </c>
      <c r="BV1040" s="4">
        <v>1.73</v>
      </c>
      <c r="BW1040" s="4">
        <v>0</v>
      </c>
      <c r="BX1040" s="4">
        <v>1.79</v>
      </c>
      <c r="BY1040" s="4">
        <v>1.92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2.75</v>
      </c>
      <c r="CF1040" s="4">
        <v>15.82</v>
      </c>
      <c r="CG1040" s="4">
        <v>0</v>
      </c>
      <c r="CH1040" s="4">
        <v>0</v>
      </c>
      <c r="CI1040" s="4">
        <v>2.68</v>
      </c>
      <c r="CJ1040" s="34">
        <v>0</v>
      </c>
      <c r="CK1040" s="34">
        <v>0</v>
      </c>
      <c r="CL1040" s="34">
        <v>0</v>
      </c>
      <c r="CM1040" s="4">
        <v>0</v>
      </c>
      <c r="CN1040" s="53">
        <v>0</v>
      </c>
      <c r="CO1040" s="54">
        <v>0</v>
      </c>
      <c r="CP1040" s="54">
        <v>0</v>
      </c>
      <c r="CQ1040" s="4">
        <v>0</v>
      </c>
    </row>
    <row r="1041" spans="1:95" x14ac:dyDescent="0.35">
      <c r="A1041" s="55">
        <v>1040</v>
      </c>
      <c r="B1041" t="s">
        <v>122</v>
      </c>
      <c r="C1041" s="27" t="s">
        <v>1114</v>
      </c>
      <c r="D1041" s="3" t="s">
        <v>94</v>
      </c>
      <c r="E1041" s="27" t="s">
        <v>91</v>
      </c>
      <c r="F1041" s="4">
        <f>IFERROR(AVERAGEIF(Table1[[#This Row],[2019-Apr]:[2025-July]],"&lt;&gt;0"),0)</f>
        <v>0.82000000000000006</v>
      </c>
      <c r="G1041" s="4">
        <f ca="1">IFERROR(AVERAGEIF(OFFSET(Table1[[#This Row],[Status]],0,COUNT(Table1[[#This Row],[2019-May]:[2025-July]]),1,-12),"&lt;&gt;0"),0)</f>
        <v>0.72</v>
      </c>
      <c r="H1041" s="55">
        <f>IFERROR(SMALL(Table1[[#This Row],[2019-Apr]:[2025-July]],COUNTIF(Table1[[#This Row],[2019-Apr]:[2025-July]],0)+1),0)</f>
        <v>0.56999999999999995</v>
      </c>
      <c r="I1041" s="56">
        <f>IFERROR(MAX(Table1[[#This Row],[2019-Apr]:[2025-July]]),0)</f>
        <v>1.61</v>
      </c>
      <c r="J1041" s="4" cm="1">
        <f t="array" ref="J104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0.66666666666666663</v>
      </c>
      <c r="K1041" s="4">
        <v>4.5</v>
      </c>
      <c r="L1041" s="4">
        <f>IF(Table1[[#This Row],[Standard as per ISO]]&gt;=Table1[[#This Row],[Avg of best 6]],Table1[[#This Row],[Standard as per ISO]],Table1[[#This Row],[Avg of best 6]])</f>
        <v>4.5</v>
      </c>
      <c r="M1041" s="4" cm="1">
        <f t="array" ref="M1041">IFERROR(LOOKUP(2,1/(Table1[[#This Row],[2019-May]:[2025-July]]&lt;&gt;0),Table1[[#This Row],[2019-May]:[2025-July]]),0)</f>
        <v>0.72</v>
      </c>
      <c r="N1041" s="4">
        <f>COUNTIF(Table1[[#This Row],[2019-Apr]:[2025-July]],"&gt;="&amp;Table1[[#This Row],[Target]])</f>
        <v>0</v>
      </c>
      <c r="O1041" s="4">
        <f>IF(Table1[[#This Row],[Outliers 2Y]]=0,1,0)</f>
        <v>1</v>
      </c>
      <c r="P1041" s="4">
        <f>IF(Table1[[#This Row],[Last value]]&gt;1.5*Table1[[#This Row],[Target]],1,0)</f>
        <v>0</v>
      </c>
      <c r="Q1041" s="4">
        <f>IF(AND(1.5*Table1[[#This Row],[Target]]&gt;=Table1[[#This Row],[Last value]],Table1[[#This Row],[Last value]]&gt;Table1[[#This Row],[Target]]),1,0)</f>
        <v>0</v>
      </c>
      <c r="R1041" s="4">
        <f>IF(Table1[[#This Row],[Target]]&gt;=Table1[[#This Row],[Last value]],1,0)</f>
        <v>1</v>
      </c>
      <c r="S1041" s="4" t="str">
        <f t="shared" si="28"/>
        <v>Green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>
        <v>0</v>
      </c>
      <c r="BP1041" s="4">
        <v>0</v>
      </c>
      <c r="BQ1041" s="4">
        <v>0.72</v>
      </c>
      <c r="BR1041" s="4">
        <v>0.66</v>
      </c>
      <c r="BS1041" s="4">
        <v>0.68</v>
      </c>
      <c r="BT1041" s="4">
        <v>0.7</v>
      </c>
      <c r="BU1041" s="4">
        <v>0.67</v>
      </c>
      <c r="BV1041" s="4">
        <v>1.61</v>
      </c>
      <c r="BW1041" s="4">
        <v>0.85</v>
      </c>
      <c r="BX1041" s="4">
        <v>0</v>
      </c>
      <c r="BY1041" s="4">
        <v>0</v>
      </c>
      <c r="BZ1041" s="4">
        <v>1.02</v>
      </c>
      <c r="CA1041" s="4">
        <v>0</v>
      </c>
      <c r="CB1041" s="4">
        <v>0</v>
      </c>
      <c r="CC1041" s="4">
        <v>0.56999999999999995</v>
      </c>
      <c r="CD1041" s="4">
        <v>0</v>
      </c>
      <c r="CE1041" s="4">
        <v>0</v>
      </c>
      <c r="CF1041" s="4">
        <v>0</v>
      </c>
      <c r="CG1041" s="4">
        <v>0.72</v>
      </c>
      <c r="CH1041" s="4">
        <v>0</v>
      </c>
      <c r="CI1041" s="4">
        <v>0</v>
      </c>
      <c r="CJ1041" s="34">
        <v>0</v>
      </c>
      <c r="CK1041" s="34">
        <v>0</v>
      </c>
      <c r="CL1041" s="34">
        <v>0</v>
      </c>
      <c r="CM1041" s="4">
        <v>0</v>
      </c>
      <c r="CN1041" s="53">
        <v>0</v>
      </c>
      <c r="CO1041" s="54">
        <v>0</v>
      </c>
      <c r="CP1041" s="54">
        <v>0</v>
      </c>
      <c r="CQ1041" s="4">
        <v>0</v>
      </c>
    </row>
    <row r="1042" spans="1:95" x14ac:dyDescent="0.35">
      <c r="A1042" s="55">
        <v>1041</v>
      </c>
      <c r="B1042" t="s">
        <v>122</v>
      </c>
      <c r="C1042" s="27" t="s">
        <v>1115</v>
      </c>
      <c r="D1042" s="3" t="s">
        <v>94</v>
      </c>
      <c r="E1042" s="27" t="s">
        <v>91</v>
      </c>
      <c r="F1042" s="4">
        <f>IFERROR(AVERAGEIF(Table1[[#This Row],[2019-Apr]:[2025-July]],"&lt;&gt;0"),0)</f>
        <v>0.98833333333333329</v>
      </c>
      <c r="G1042" s="4">
        <f ca="1">IFERROR(AVERAGEIF(OFFSET(Table1[[#This Row],[Status]],0,COUNT(Table1[[#This Row],[2019-May]:[2025-July]]),1,-12),"&lt;&gt;0"),0)</f>
        <v>0.97</v>
      </c>
      <c r="H1042" s="55">
        <f>IFERROR(SMALL(Table1[[#This Row],[2019-Apr]:[2025-July]],COUNTIF(Table1[[#This Row],[2019-Apr]:[2025-July]],0)+1),0)</f>
        <v>0.7</v>
      </c>
      <c r="I1042" s="56">
        <f>IFERROR(MAX(Table1[[#This Row],[2019-Apr]:[2025-July]]),0)</f>
        <v>1.71</v>
      </c>
      <c r="J1042" s="4" cm="1">
        <f t="array" ref="J104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0.98833333333333329</v>
      </c>
      <c r="K1042" s="4">
        <v>4.5</v>
      </c>
      <c r="L1042" s="4">
        <f>IF(Table1[[#This Row],[Standard as per ISO]]&gt;=Table1[[#This Row],[Avg of best 6]],Table1[[#This Row],[Standard as per ISO]],Table1[[#This Row],[Avg of best 6]])</f>
        <v>4.5</v>
      </c>
      <c r="M1042" s="4" cm="1">
        <f t="array" ref="M1042">IFERROR(LOOKUP(2,1/(Table1[[#This Row],[2019-May]:[2025-July]]&lt;&gt;0),Table1[[#This Row],[2019-May]:[2025-July]]),0)</f>
        <v>0.97</v>
      </c>
      <c r="N1042" s="4">
        <f>COUNTIF(Table1[[#This Row],[2019-Apr]:[2025-July]],"&gt;="&amp;Table1[[#This Row],[Target]])</f>
        <v>0</v>
      </c>
      <c r="O1042" s="4">
        <f>IF(Table1[[#This Row],[Outliers 2Y]]=0,1,0)</f>
        <v>1</v>
      </c>
      <c r="P1042" s="4">
        <f>IF(Table1[[#This Row],[Last value]]&gt;1.5*Table1[[#This Row],[Target]],1,0)</f>
        <v>0</v>
      </c>
      <c r="Q1042" s="4">
        <f>IF(AND(1.5*Table1[[#This Row],[Target]]&gt;=Table1[[#This Row],[Last value]],Table1[[#This Row],[Last value]]&gt;Table1[[#This Row],[Target]]),1,0)</f>
        <v>0</v>
      </c>
      <c r="R1042" s="4">
        <f>IF(Table1[[#This Row],[Target]]&gt;=Table1[[#This Row],[Last value]],1,0)</f>
        <v>1</v>
      </c>
      <c r="S1042" s="4" t="str">
        <f t="shared" si="28"/>
        <v>Green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0.97</v>
      </c>
      <c r="BU1042" s="4">
        <v>0.7</v>
      </c>
      <c r="BV1042" s="4">
        <v>1.71</v>
      </c>
      <c r="BW1042" s="4">
        <v>0.83</v>
      </c>
      <c r="BX1042" s="4">
        <v>0.75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0.97</v>
      </c>
      <c r="CF1042" s="4">
        <v>0</v>
      </c>
      <c r="CG1042" s="4">
        <v>0</v>
      </c>
      <c r="CH1042" s="4">
        <v>0</v>
      </c>
      <c r="CI1042" s="4">
        <v>0</v>
      </c>
      <c r="CJ1042" s="34">
        <v>0</v>
      </c>
      <c r="CK1042" s="34">
        <v>0</v>
      </c>
      <c r="CL1042" s="34">
        <v>0</v>
      </c>
      <c r="CM1042" s="4">
        <v>0</v>
      </c>
      <c r="CN1042" s="53">
        <v>0</v>
      </c>
      <c r="CO1042" s="54">
        <v>0</v>
      </c>
      <c r="CP1042" s="54">
        <v>0</v>
      </c>
      <c r="CQ1042" s="4">
        <v>0</v>
      </c>
    </row>
    <row r="1043" spans="1:95" x14ac:dyDescent="0.35">
      <c r="A1043" s="55">
        <v>1042</v>
      </c>
      <c r="B1043" t="s">
        <v>122</v>
      </c>
      <c r="C1043" s="27" t="s">
        <v>1116</v>
      </c>
      <c r="D1043" s="3" t="s">
        <v>93</v>
      </c>
      <c r="E1043" s="27" t="s">
        <v>89</v>
      </c>
      <c r="F1043" s="4">
        <f>IFERROR(AVERAGEIF(Table1[[#This Row],[2019-Apr]:[2025-July]],"&lt;&gt;0"),0)</f>
        <v>1.232</v>
      </c>
      <c r="G1043" s="4">
        <f ca="1">IFERROR(AVERAGEIF(OFFSET(Table1[[#This Row],[Status]],0,COUNT(Table1[[#This Row],[2019-May]:[2025-July]]),1,-12),"&lt;&gt;0"),0)</f>
        <v>1.4745454545454544</v>
      </c>
      <c r="H1043" s="55">
        <f>IFERROR(SMALL(Table1[[#This Row],[2019-Apr]:[2025-July]],COUNTIF(Table1[[#This Row],[2019-Apr]:[2025-July]],0)+1),0)</f>
        <v>0.56000000000000005</v>
      </c>
      <c r="I1043" s="56">
        <f>IFERROR(MAX(Table1[[#This Row],[2019-Apr]:[2025-July]]),0)</f>
        <v>2.2799999999999998</v>
      </c>
      <c r="J1043" s="4" cm="1">
        <f t="array" ref="J104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0.75499999999999989</v>
      </c>
      <c r="K1043" s="4">
        <v>4.5</v>
      </c>
      <c r="L1043" s="4">
        <f>IF(Table1[[#This Row],[Standard as per ISO]]&gt;=Table1[[#This Row],[Avg of best 6]],Table1[[#This Row],[Standard as per ISO]],Table1[[#This Row],[Avg of best 6]])</f>
        <v>4.5</v>
      </c>
      <c r="M1043" s="4" cm="1">
        <f t="array" ref="M1043">IFERROR(LOOKUP(2,1/(Table1[[#This Row],[2019-May]:[2025-July]]&lt;&gt;0),Table1[[#This Row],[2019-May]:[2025-July]]),0)</f>
        <v>1.5</v>
      </c>
      <c r="N1043" s="4">
        <f>COUNTIF(Table1[[#This Row],[2019-Apr]:[2025-July]],"&gt;="&amp;Table1[[#This Row],[Target]])</f>
        <v>0</v>
      </c>
      <c r="O1043" s="4">
        <f>IF(Table1[[#This Row],[Outliers 2Y]]=0,1,0)</f>
        <v>1</v>
      </c>
      <c r="P1043" s="4">
        <f>IF(Table1[[#This Row],[Last value]]&gt;1.5*Table1[[#This Row],[Target]],1,0)</f>
        <v>0</v>
      </c>
      <c r="Q1043" s="4">
        <f>IF(AND(1.5*Table1[[#This Row],[Target]]&gt;=Table1[[#This Row],[Last value]],Table1[[#This Row],[Last value]]&gt;Table1[[#This Row],[Target]]),1,0)</f>
        <v>0</v>
      </c>
      <c r="R1043" s="4">
        <f>IF(Table1[[#This Row],[Target]]&gt;=Table1[[#This Row],[Last value]],1,0)</f>
        <v>1</v>
      </c>
      <c r="S1043" s="4" t="str">
        <f t="shared" si="28"/>
        <v>Green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>
        <v>0</v>
      </c>
      <c r="BP1043" s="4">
        <v>0.56000000000000005</v>
      </c>
      <c r="BQ1043" s="4">
        <v>0.85</v>
      </c>
      <c r="BR1043" s="4">
        <v>0.85</v>
      </c>
      <c r="BS1043" s="4">
        <v>1.3</v>
      </c>
      <c r="BT1043" s="4">
        <v>0.93</v>
      </c>
      <c r="BU1043" s="4">
        <v>0.61</v>
      </c>
      <c r="BV1043" s="4">
        <v>0.84</v>
      </c>
      <c r="BW1043" s="4">
        <v>1.3</v>
      </c>
      <c r="BX1043" s="4">
        <v>1.1399999999999999</v>
      </c>
      <c r="BY1043" s="4">
        <v>0.82</v>
      </c>
      <c r="BZ1043" s="4">
        <v>1.22</v>
      </c>
      <c r="CA1043" s="4">
        <v>1.33</v>
      </c>
      <c r="CB1043" s="4">
        <v>0</v>
      </c>
      <c r="CC1043" s="4">
        <v>0</v>
      </c>
      <c r="CD1043" s="4">
        <v>1.33</v>
      </c>
      <c r="CE1043" s="4">
        <v>1.28</v>
      </c>
      <c r="CF1043" s="4">
        <v>1.45</v>
      </c>
      <c r="CG1043" s="4">
        <v>1.58</v>
      </c>
      <c r="CH1043" s="4">
        <v>1.63</v>
      </c>
      <c r="CI1043" s="4">
        <v>2.2799999999999998</v>
      </c>
      <c r="CJ1043" s="34">
        <v>1.7</v>
      </c>
      <c r="CK1043" s="34">
        <v>0</v>
      </c>
      <c r="CL1043" s="43">
        <v>1.5</v>
      </c>
      <c r="CM1043" s="4">
        <v>1</v>
      </c>
      <c r="CN1043" s="53">
        <v>1.3</v>
      </c>
      <c r="CO1043" s="54">
        <v>1.5</v>
      </c>
      <c r="CP1043" s="54">
        <v>1</v>
      </c>
      <c r="CQ1043" s="4">
        <v>1.5</v>
      </c>
    </row>
    <row r="1044" spans="1:95" x14ac:dyDescent="0.35">
      <c r="A1044" s="55">
        <v>1043</v>
      </c>
      <c r="B1044" t="s">
        <v>122</v>
      </c>
      <c r="C1044" s="27" t="s">
        <v>1117</v>
      </c>
      <c r="D1044" s="3" t="s">
        <v>93</v>
      </c>
      <c r="E1044" s="27" t="s">
        <v>89</v>
      </c>
      <c r="F1044" s="4">
        <f>IFERROR(AVERAGEIF(Table1[[#This Row],[2019-Apr]:[2025-July]],"&lt;&gt;0"),0)</f>
        <v>1.0287999999999999</v>
      </c>
      <c r="G1044" s="4">
        <f ca="1">IFERROR(AVERAGEIF(OFFSET(Table1[[#This Row],[Status]],0,COUNT(Table1[[#This Row],[2019-May]:[2025-July]]),1,-12),"&lt;&gt;0"),0)</f>
        <v>0.98090909090909095</v>
      </c>
      <c r="H1044" s="55">
        <f>IFERROR(SMALL(Table1[[#This Row],[2019-Apr]:[2025-July]],COUNTIF(Table1[[#This Row],[2019-Apr]:[2025-July]],0)+1),0)</f>
        <v>0.5</v>
      </c>
      <c r="I1044" s="56">
        <f>IFERROR(MAX(Table1[[#This Row],[2019-Apr]:[2025-July]]),0)</f>
        <v>2.4900000000000002</v>
      </c>
      <c r="J1044" s="4" cm="1">
        <f t="array" ref="J104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0.58499999999999996</v>
      </c>
      <c r="K1044" s="4">
        <v>4.5</v>
      </c>
      <c r="L1044" s="4">
        <f>IF(Table1[[#This Row],[Standard as per ISO]]&gt;=Table1[[#This Row],[Avg of best 6]],Table1[[#This Row],[Standard as per ISO]],Table1[[#This Row],[Avg of best 6]])</f>
        <v>4.5</v>
      </c>
      <c r="M1044" s="4" cm="1">
        <f t="array" ref="M1044">IFERROR(LOOKUP(2,1/(Table1[[#This Row],[2019-May]:[2025-July]]&lt;&gt;0),Table1[[#This Row],[2019-May]:[2025-July]]),0)</f>
        <v>0.8</v>
      </c>
      <c r="N1044" s="4">
        <f>COUNTIF(Table1[[#This Row],[2019-Apr]:[2025-July]],"&gt;="&amp;Table1[[#This Row],[Target]])</f>
        <v>0</v>
      </c>
      <c r="O1044" s="4">
        <f>IF(Table1[[#This Row],[Outliers 2Y]]=0,1,0)</f>
        <v>1</v>
      </c>
      <c r="P1044" s="4">
        <f>IF(Table1[[#This Row],[Last value]]&gt;1.5*Table1[[#This Row],[Target]],1,0)</f>
        <v>0</v>
      </c>
      <c r="Q1044" s="4">
        <f>IF(AND(1.5*Table1[[#This Row],[Target]]&gt;=Table1[[#This Row],[Last value]],Table1[[#This Row],[Last value]]&gt;Table1[[#This Row],[Target]]),1,0)</f>
        <v>0</v>
      </c>
      <c r="R1044" s="4">
        <f>IF(Table1[[#This Row],[Target]]&gt;=Table1[[#This Row],[Last value]],1,0)</f>
        <v>1</v>
      </c>
      <c r="S1044" s="4" t="str">
        <f t="shared" si="28"/>
        <v>Green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>
        <v>0</v>
      </c>
      <c r="BP1044" s="4">
        <v>0.51</v>
      </c>
      <c r="BQ1044" s="4">
        <v>0.54</v>
      </c>
      <c r="BR1044" s="4">
        <v>0.85</v>
      </c>
      <c r="BS1044" s="4">
        <v>0.92</v>
      </c>
      <c r="BT1044" s="4">
        <v>0.57999999999999996</v>
      </c>
      <c r="BU1044" s="4">
        <v>0.81</v>
      </c>
      <c r="BV1044" s="4">
        <v>1.5</v>
      </c>
      <c r="BW1044" s="4">
        <v>1</v>
      </c>
      <c r="BX1044" s="4">
        <v>0.95</v>
      </c>
      <c r="BY1044" s="4">
        <v>1.32</v>
      </c>
      <c r="BZ1044" s="4">
        <v>1.1599999999999999</v>
      </c>
      <c r="CA1044" s="4">
        <v>1.5</v>
      </c>
      <c r="CB1044" s="4">
        <v>0</v>
      </c>
      <c r="CC1044" s="4">
        <v>0</v>
      </c>
      <c r="CD1044" s="4">
        <v>2.4900000000000002</v>
      </c>
      <c r="CE1044" s="4">
        <v>0.78</v>
      </c>
      <c r="CF1044" s="4">
        <v>1.46</v>
      </c>
      <c r="CG1044" s="4">
        <v>1.55</v>
      </c>
      <c r="CH1044" s="4">
        <v>0.68</v>
      </c>
      <c r="CI1044" s="4">
        <v>1.52</v>
      </c>
      <c r="CJ1044" s="34">
        <v>0.9</v>
      </c>
      <c r="CK1044" s="34">
        <v>0</v>
      </c>
      <c r="CL1044" s="43">
        <v>0.9</v>
      </c>
      <c r="CM1044" s="4">
        <v>1</v>
      </c>
      <c r="CN1044" s="53">
        <v>0.5</v>
      </c>
      <c r="CO1044" s="54">
        <v>0.8</v>
      </c>
      <c r="CP1044" s="54">
        <v>0.7</v>
      </c>
      <c r="CQ1044" s="4">
        <v>0.8</v>
      </c>
    </row>
    <row r="1045" spans="1:95" x14ac:dyDescent="0.35">
      <c r="A1045" s="55">
        <v>1044</v>
      </c>
      <c r="B1045" t="s">
        <v>122</v>
      </c>
      <c r="C1045" s="27" t="s">
        <v>1118</v>
      </c>
      <c r="D1045" s="3" t="s">
        <v>93</v>
      </c>
      <c r="E1045" s="27" t="s">
        <v>89</v>
      </c>
      <c r="F1045" s="4">
        <f>IFERROR(AVERAGEIF(Table1[[#This Row],[2019-Apr]:[2025-July]],"&lt;&gt;0"),0)</f>
        <v>0.70499999999999974</v>
      </c>
      <c r="G1045" s="4">
        <f ca="1">IFERROR(AVERAGEIF(OFFSET(Table1[[#This Row],[Status]],0,COUNT(Table1[[#This Row],[2019-May]:[2025-July]]),1,-12),"&lt;&gt;0"),0)</f>
        <v>0.83200000000000007</v>
      </c>
      <c r="H1045" s="55">
        <f>IFERROR(SMALL(Table1[[#This Row],[2019-Apr]:[2025-July]],COUNTIF(Table1[[#This Row],[2019-Apr]:[2025-July]],0)+1),0)</f>
        <v>0.37</v>
      </c>
      <c r="I1045" s="56">
        <f>IFERROR(MAX(Table1[[#This Row],[2019-Apr]:[2025-July]]),0)</f>
        <v>1.7</v>
      </c>
      <c r="J1045" s="4" cm="1">
        <f t="array" ref="J104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0.42499999999999999</v>
      </c>
      <c r="K1045" s="4">
        <v>4.5</v>
      </c>
      <c r="L1045" s="4">
        <f>IF(Table1[[#This Row],[Standard as per ISO]]&gt;=Table1[[#This Row],[Avg of best 6]],Table1[[#This Row],[Standard as per ISO]],Table1[[#This Row],[Avg of best 6]])</f>
        <v>4.5</v>
      </c>
      <c r="M1045" s="4" cm="1">
        <f t="array" ref="M1045">IFERROR(LOOKUP(2,1/(Table1[[#This Row],[2019-May]:[2025-July]]&lt;&gt;0),Table1[[#This Row],[2019-May]:[2025-July]]),0)</f>
        <v>0.9</v>
      </c>
      <c r="N1045" s="4">
        <f>COUNTIF(Table1[[#This Row],[2019-Apr]:[2025-July]],"&gt;="&amp;Table1[[#This Row],[Target]])</f>
        <v>0</v>
      </c>
      <c r="O1045" s="4">
        <f>IF(Table1[[#This Row],[Outliers 2Y]]=0,1,0)</f>
        <v>1</v>
      </c>
      <c r="P1045" s="4">
        <f>IF(Table1[[#This Row],[Last value]]&gt;1.5*Table1[[#This Row],[Target]],1,0)</f>
        <v>0</v>
      </c>
      <c r="Q1045" s="4">
        <f>IF(AND(1.5*Table1[[#This Row],[Target]]&gt;=Table1[[#This Row],[Last value]],Table1[[#This Row],[Last value]]&gt;Table1[[#This Row],[Target]]),1,0)</f>
        <v>0</v>
      </c>
      <c r="R1045" s="4">
        <f>IF(Table1[[#This Row],[Target]]&gt;=Table1[[#This Row],[Last value]],1,0)</f>
        <v>1</v>
      </c>
      <c r="S1045" s="4" t="str">
        <f t="shared" si="28"/>
        <v>Green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>
        <v>0</v>
      </c>
      <c r="BP1045" s="4">
        <v>0.37</v>
      </c>
      <c r="BQ1045" s="4">
        <v>0.46</v>
      </c>
      <c r="BR1045" s="4">
        <v>0.41</v>
      </c>
      <c r="BS1045" s="4">
        <v>0.68</v>
      </c>
      <c r="BT1045" s="4">
        <v>0.63</v>
      </c>
      <c r="BU1045" s="4">
        <v>1.46</v>
      </c>
      <c r="BV1045" s="4">
        <v>0.54</v>
      </c>
      <c r="BW1045" s="4">
        <v>0.41</v>
      </c>
      <c r="BX1045" s="4">
        <v>0.7</v>
      </c>
      <c r="BY1045" s="4">
        <v>0.49</v>
      </c>
      <c r="BZ1045" s="4">
        <v>0.65</v>
      </c>
      <c r="CA1045" s="4">
        <v>0.42</v>
      </c>
      <c r="CB1045" s="4">
        <v>0</v>
      </c>
      <c r="CC1045" s="4">
        <v>0</v>
      </c>
      <c r="CD1045" s="4">
        <v>0.48</v>
      </c>
      <c r="CE1045" s="4">
        <v>0</v>
      </c>
      <c r="CF1045" s="4">
        <v>1.36</v>
      </c>
      <c r="CG1045" s="4">
        <v>0.73</v>
      </c>
      <c r="CH1045" s="4">
        <v>0.69</v>
      </c>
      <c r="CI1045" s="4">
        <v>0.54</v>
      </c>
      <c r="CJ1045" s="34">
        <v>0.6</v>
      </c>
      <c r="CK1045" s="34">
        <v>0</v>
      </c>
      <c r="CL1045" s="43">
        <v>0.6</v>
      </c>
      <c r="CM1045" s="4">
        <v>0.5</v>
      </c>
      <c r="CN1045" s="53">
        <v>1.7</v>
      </c>
      <c r="CO1045" s="54">
        <v>0.7</v>
      </c>
      <c r="CP1045" s="54">
        <v>0.9</v>
      </c>
      <c r="CQ1045" s="4">
        <v>0.9</v>
      </c>
    </row>
    <row r="1046" spans="1:95" x14ac:dyDescent="0.35">
      <c r="A1046" s="55">
        <v>1045</v>
      </c>
      <c r="B1046" t="s">
        <v>122</v>
      </c>
      <c r="C1046" s="27" t="s">
        <v>1119</v>
      </c>
      <c r="D1046" s="3" t="s">
        <v>93</v>
      </c>
      <c r="E1046" s="27" t="s">
        <v>89</v>
      </c>
      <c r="F1046" s="4">
        <f>IFERROR(AVERAGEIF(Table1[[#This Row],[2019-Apr]:[2025-July]],"&lt;&gt;0"),0)</f>
        <v>1.3470833333333332</v>
      </c>
      <c r="G1046" s="4">
        <f ca="1">IFERROR(AVERAGEIF(OFFSET(Table1[[#This Row],[Status]],0,COUNT(Table1[[#This Row],[2019-May]:[2025-July]]),1,-12),"&lt;&gt;0"),0)</f>
        <v>1.6090909090909091</v>
      </c>
      <c r="H1046" s="55">
        <f>IFERROR(SMALL(Table1[[#This Row],[2019-Apr]:[2025-July]],COUNTIF(Table1[[#This Row],[2019-Apr]:[2025-July]],0)+1),0)</f>
        <v>0.43</v>
      </c>
      <c r="I1046" s="56">
        <f>IFERROR(MAX(Table1[[#This Row],[2019-Apr]:[2025-July]]),0)</f>
        <v>3.03</v>
      </c>
      <c r="J1046" s="4" cm="1">
        <f t="array" ref="J104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0.76000000000000012</v>
      </c>
      <c r="K1046" s="4">
        <v>4.5</v>
      </c>
      <c r="L1046" s="4">
        <f>IF(Table1[[#This Row],[Standard as per ISO]]&gt;=Table1[[#This Row],[Avg of best 6]],Table1[[#This Row],[Standard as per ISO]],Table1[[#This Row],[Avg of best 6]])</f>
        <v>4.5</v>
      </c>
      <c r="M1046" s="4" cm="1">
        <f t="array" ref="M1046">IFERROR(LOOKUP(2,1/(Table1[[#This Row],[2019-May]:[2025-July]]&lt;&gt;0),Table1[[#This Row],[2019-May]:[2025-July]]),0)</f>
        <v>1.5</v>
      </c>
      <c r="N1046" s="4">
        <f>COUNTIF(Table1[[#This Row],[2019-Apr]:[2025-July]],"&gt;="&amp;Table1[[#This Row],[Target]])</f>
        <v>0</v>
      </c>
      <c r="O1046" s="4">
        <f>IF(Table1[[#This Row],[Outliers 2Y]]=0,1,0)</f>
        <v>1</v>
      </c>
      <c r="P1046" s="4">
        <f>IF(Table1[[#This Row],[Last value]]&gt;1.5*Table1[[#This Row],[Target]],1,0)</f>
        <v>0</v>
      </c>
      <c r="Q1046" s="4">
        <f>IF(AND(1.5*Table1[[#This Row],[Target]]&gt;=Table1[[#This Row],[Last value]],Table1[[#This Row],[Last value]]&gt;Table1[[#This Row],[Target]]),1,0)</f>
        <v>0</v>
      </c>
      <c r="R1046" s="4">
        <f>IF(Table1[[#This Row],[Target]]&gt;=Table1[[#This Row],[Last value]],1,0)</f>
        <v>1</v>
      </c>
      <c r="S1046" s="4" t="str">
        <f t="shared" si="28"/>
        <v>Green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>
        <v>0</v>
      </c>
      <c r="BP1046" s="4">
        <v>0.43</v>
      </c>
      <c r="BQ1046" s="4">
        <v>0.98</v>
      </c>
      <c r="BR1046" s="4">
        <v>0.75</v>
      </c>
      <c r="BS1046" s="4">
        <v>1.56</v>
      </c>
      <c r="BT1046" s="4">
        <v>1.56</v>
      </c>
      <c r="BU1046" s="4">
        <v>1.19</v>
      </c>
      <c r="BV1046" s="4">
        <v>1.01</v>
      </c>
      <c r="BW1046" s="4">
        <v>1</v>
      </c>
      <c r="BX1046" s="4">
        <v>0.5</v>
      </c>
      <c r="BY1046" s="4">
        <v>0</v>
      </c>
      <c r="BZ1046" s="4">
        <v>1.1499999999999999</v>
      </c>
      <c r="CA1046" s="4">
        <v>1.6</v>
      </c>
      <c r="CB1046" s="4">
        <v>0</v>
      </c>
      <c r="CC1046" s="4">
        <v>0</v>
      </c>
      <c r="CD1046" s="4">
        <v>1.4</v>
      </c>
      <c r="CE1046" s="4">
        <v>1.54</v>
      </c>
      <c r="CF1046" s="4">
        <v>3.03</v>
      </c>
      <c r="CG1046" s="4">
        <v>2.91</v>
      </c>
      <c r="CH1046" s="4">
        <v>1.02</v>
      </c>
      <c r="CI1046" s="4">
        <v>1.4</v>
      </c>
      <c r="CJ1046" s="34">
        <v>1.2</v>
      </c>
      <c r="CK1046" s="34">
        <v>0</v>
      </c>
      <c r="CL1046" s="43">
        <v>0.9</v>
      </c>
      <c r="CM1046" s="4">
        <v>1.1000000000000001</v>
      </c>
      <c r="CN1046" s="53">
        <v>1.7</v>
      </c>
      <c r="CO1046" s="54">
        <v>1.3</v>
      </c>
      <c r="CP1046" s="54">
        <v>1.6</v>
      </c>
      <c r="CQ1046" s="4">
        <v>1.5</v>
      </c>
    </row>
    <row r="1047" spans="1:95" x14ac:dyDescent="0.35">
      <c r="A1047" s="55">
        <v>1046</v>
      </c>
      <c r="B1047" t="s">
        <v>122</v>
      </c>
      <c r="C1047" s="27" t="s">
        <v>1120</v>
      </c>
      <c r="D1047" s="3" t="s">
        <v>93</v>
      </c>
      <c r="E1047" s="27" t="s">
        <v>89</v>
      </c>
      <c r="F1047" s="4">
        <f>IFERROR(AVERAGEIF(Table1[[#This Row],[2019-Apr]:[2025-July]],"&lt;&gt;0"),0)</f>
        <v>0.92720000000000002</v>
      </c>
      <c r="G1047" s="4">
        <f ca="1">IFERROR(AVERAGEIF(OFFSET(Table1[[#This Row],[Status]],0,COUNT(Table1[[#This Row],[2019-May]:[2025-July]]),1,-12),"&lt;&gt;0"),0)</f>
        <v>1.1445454545454545</v>
      </c>
      <c r="H1047" s="55">
        <f>IFERROR(SMALL(Table1[[#This Row],[2019-Apr]:[2025-July]],COUNTIF(Table1[[#This Row],[2019-Apr]:[2025-July]],0)+1),0)</f>
        <v>0.37</v>
      </c>
      <c r="I1047" s="56">
        <f>IFERROR(MAX(Table1[[#This Row],[2019-Apr]:[2025-July]]),0)</f>
        <v>1.7</v>
      </c>
      <c r="J1047" s="4" cm="1">
        <f t="array" ref="J104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0.50666666666666671</v>
      </c>
      <c r="K1047" s="4">
        <v>4.5</v>
      </c>
      <c r="L1047" s="4">
        <f>IF(Table1[[#This Row],[Standard as per ISO]]&gt;=Table1[[#This Row],[Avg of best 6]],Table1[[#This Row],[Standard as per ISO]],Table1[[#This Row],[Avg of best 6]])</f>
        <v>4.5</v>
      </c>
      <c r="M1047" s="4" cm="1">
        <f t="array" ref="M1047">IFERROR(LOOKUP(2,1/(Table1[[#This Row],[2019-May]:[2025-July]]&lt;&gt;0),Table1[[#This Row],[2019-May]:[2025-July]]),0)</f>
        <v>1.7</v>
      </c>
      <c r="N1047" s="4">
        <f>COUNTIF(Table1[[#This Row],[2019-Apr]:[2025-July]],"&gt;="&amp;Table1[[#This Row],[Target]])</f>
        <v>0</v>
      </c>
      <c r="O1047" s="4">
        <f>IF(Table1[[#This Row],[Outliers 2Y]]=0,1,0)</f>
        <v>1</v>
      </c>
      <c r="P1047" s="4">
        <f>IF(Table1[[#This Row],[Last value]]&gt;1.5*Table1[[#This Row],[Target]],1,0)</f>
        <v>0</v>
      </c>
      <c r="Q1047" s="4">
        <f>IF(AND(1.5*Table1[[#This Row],[Target]]&gt;=Table1[[#This Row],[Last value]],Table1[[#This Row],[Last value]]&gt;Table1[[#This Row],[Target]]),1,0)</f>
        <v>0</v>
      </c>
      <c r="R1047" s="4">
        <f>IF(Table1[[#This Row],[Target]]&gt;=Table1[[#This Row],[Last value]],1,0)</f>
        <v>1</v>
      </c>
      <c r="S1047" s="4" t="str">
        <f t="shared" si="28"/>
        <v>Green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>
        <v>0</v>
      </c>
      <c r="BP1047" s="4">
        <v>0.37</v>
      </c>
      <c r="BQ1047" s="4">
        <v>0.63</v>
      </c>
      <c r="BR1047" s="4">
        <v>0.54</v>
      </c>
      <c r="BS1047" s="4">
        <v>0.54</v>
      </c>
      <c r="BT1047" s="4">
        <v>0.51</v>
      </c>
      <c r="BU1047" s="4">
        <v>0.56000000000000005</v>
      </c>
      <c r="BV1047" s="4">
        <v>0.59</v>
      </c>
      <c r="BW1047" s="4">
        <v>0.77</v>
      </c>
      <c r="BX1047" s="4">
        <v>0.71</v>
      </c>
      <c r="BY1047" s="4">
        <v>0.52</v>
      </c>
      <c r="BZ1047" s="4">
        <v>0.85</v>
      </c>
      <c r="CA1047" s="4">
        <v>1.49</v>
      </c>
      <c r="CB1047" s="4">
        <v>0</v>
      </c>
      <c r="CC1047" s="4">
        <v>0</v>
      </c>
      <c r="CD1047" s="4">
        <v>0.81</v>
      </c>
      <c r="CE1047" s="4">
        <v>0.91</v>
      </c>
      <c r="CF1047" s="4">
        <v>1.02</v>
      </c>
      <c r="CG1047" s="4">
        <v>1.41</v>
      </c>
      <c r="CH1047" s="4">
        <v>0.72</v>
      </c>
      <c r="CI1047" s="4">
        <v>1.1299999999999999</v>
      </c>
      <c r="CJ1047" s="34">
        <v>0.9</v>
      </c>
      <c r="CK1047" s="34">
        <v>0</v>
      </c>
      <c r="CL1047" s="43">
        <v>1</v>
      </c>
      <c r="CM1047" s="4">
        <v>1.5</v>
      </c>
      <c r="CN1047" s="53">
        <v>1.2</v>
      </c>
      <c r="CO1047" s="54">
        <v>1.4</v>
      </c>
      <c r="CP1047" s="54">
        <v>1.4</v>
      </c>
      <c r="CQ1047" s="4">
        <v>1.7</v>
      </c>
    </row>
    <row r="1048" spans="1:95" x14ac:dyDescent="0.35">
      <c r="A1048" s="55">
        <v>1047</v>
      </c>
      <c r="B1048" t="s">
        <v>122</v>
      </c>
      <c r="C1048" s="27" t="s">
        <v>1121</v>
      </c>
      <c r="D1048" s="3" t="s">
        <v>93</v>
      </c>
      <c r="E1048" s="27" t="s">
        <v>89</v>
      </c>
      <c r="F1048" s="4">
        <f>IFERROR(AVERAGEIF(Table1[[#This Row],[2019-Apr]:[2025-July]],"&lt;&gt;0"),0)</f>
        <v>0.95399999999999974</v>
      </c>
      <c r="G1048" s="4">
        <f ca="1">IFERROR(AVERAGEIF(OFFSET(Table1[[#This Row],[Status]],0,COUNT(Table1[[#This Row],[2019-May]:[2025-July]]),1,-12),"&lt;&gt;0"),0)</f>
        <v>0.93363636363636371</v>
      </c>
      <c r="H1048" s="55">
        <f>IFERROR(SMALL(Table1[[#This Row],[2019-Apr]:[2025-July]],COUNTIF(Table1[[#This Row],[2019-Apr]:[2025-July]],0)+1),0)</f>
        <v>0.5</v>
      </c>
      <c r="I1048" s="56">
        <f>IFERROR(MAX(Table1[[#This Row],[2019-Apr]:[2025-July]]),0)</f>
        <v>1.47</v>
      </c>
      <c r="J1048" s="4" cm="1">
        <f t="array" ref="J104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0.57999999999999996</v>
      </c>
      <c r="K1048" s="4">
        <v>4.5</v>
      </c>
      <c r="L1048" s="4">
        <f>IF(Table1[[#This Row],[Standard as per ISO]]&gt;=Table1[[#This Row],[Avg of best 6]],Table1[[#This Row],[Standard as per ISO]],Table1[[#This Row],[Avg of best 6]])</f>
        <v>4.5</v>
      </c>
      <c r="M1048" s="4" cm="1">
        <f t="array" ref="M1048">IFERROR(LOOKUP(2,1/(Table1[[#This Row],[2019-May]:[2025-July]]&lt;&gt;0),Table1[[#This Row],[2019-May]:[2025-July]]),0)</f>
        <v>1.4</v>
      </c>
      <c r="N1048" s="4">
        <f>COUNTIF(Table1[[#This Row],[2019-Apr]:[2025-July]],"&gt;="&amp;Table1[[#This Row],[Target]])</f>
        <v>0</v>
      </c>
      <c r="O1048" s="4">
        <f>IF(Table1[[#This Row],[Outliers 2Y]]=0,1,0)</f>
        <v>1</v>
      </c>
      <c r="P1048" s="4">
        <f>IF(Table1[[#This Row],[Last value]]&gt;1.5*Table1[[#This Row],[Target]],1,0)</f>
        <v>0</v>
      </c>
      <c r="Q1048" s="4">
        <f>IF(AND(1.5*Table1[[#This Row],[Target]]&gt;=Table1[[#This Row],[Last value]],Table1[[#This Row],[Last value]]&gt;Table1[[#This Row],[Target]]),1,0)</f>
        <v>0</v>
      </c>
      <c r="R1048" s="4">
        <f>IF(Table1[[#This Row],[Target]]&gt;=Table1[[#This Row],[Last value]],1,0)</f>
        <v>1</v>
      </c>
      <c r="S1048" s="4" t="str">
        <f t="shared" si="28"/>
        <v>Green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>
        <v>0</v>
      </c>
      <c r="BP1048" s="4">
        <v>1.47</v>
      </c>
      <c r="BQ1048" s="4">
        <v>0.51</v>
      </c>
      <c r="BR1048" s="4">
        <v>0.62</v>
      </c>
      <c r="BS1048" s="4">
        <v>0.61</v>
      </c>
      <c r="BT1048" s="4">
        <v>0.5</v>
      </c>
      <c r="BU1048" s="4">
        <v>1.1599999999999999</v>
      </c>
      <c r="BV1048" s="4">
        <v>0.51</v>
      </c>
      <c r="BW1048" s="4">
        <v>0.97</v>
      </c>
      <c r="BX1048" s="4">
        <v>0.95</v>
      </c>
      <c r="BY1048" s="4">
        <v>1.05</v>
      </c>
      <c r="BZ1048" s="4">
        <v>1.19</v>
      </c>
      <c r="CA1048" s="4">
        <v>1.2</v>
      </c>
      <c r="CB1048" s="4">
        <v>0</v>
      </c>
      <c r="CC1048" s="4">
        <v>0</v>
      </c>
      <c r="CD1048" s="4">
        <v>1.44</v>
      </c>
      <c r="CE1048" s="4">
        <v>0.87</v>
      </c>
      <c r="CF1048" s="4">
        <v>0.73</v>
      </c>
      <c r="CG1048" s="4">
        <v>1.04</v>
      </c>
      <c r="CH1048" s="4">
        <v>0.92</v>
      </c>
      <c r="CI1048" s="4">
        <v>0.91</v>
      </c>
      <c r="CJ1048" s="34">
        <v>1</v>
      </c>
      <c r="CK1048" s="34">
        <v>0</v>
      </c>
      <c r="CL1048" s="43">
        <v>0.9</v>
      </c>
      <c r="CM1048" s="4">
        <v>1.1000000000000001</v>
      </c>
      <c r="CN1048" s="53">
        <v>1.1000000000000001</v>
      </c>
      <c r="CO1048" s="54">
        <v>0.9</v>
      </c>
      <c r="CP1048" s="54">
        <v>0.8</v>
      </c>
      <c r="CQ1048" s="4">
        <v>1.4</v>
      </c>
    </row>
    <row r="1049" spans="1:95" x14ac:dyDescent="0.35">
      <c r="A1049" s="55">
        <v>1048</v>
      </c>
      <c r="B1049" t="s">
        <v>122</v>
      </c>
      <c r="C1049" s="27" t="s">
        <v>1122</v>
      </c>
      <c r="D1049" s="3" t="s">
        <v>93</v>
      </c>
      <c r="E1049" s="27" t="s">
        <v>89</v>
      </c>
      <c r="F1049" s="4">
        <f>IFERROR(AVERAGEIF(Table1[[#This Row],[2019-Apr]:[2025-July]],"&lt;&gt;0"),0)</f>
        <v>0.87919999999999987</v>
      </c>
      <c r="G1049" s="4">
        <f ca="1">IFERROR(AVERAGEIF(OFFSET(Table1[[#This Row],[Status]],0,COUNT(Table1[[#This Row],[2019-May]:[2025-July]]),1,-12),"&lt;&gt;0"),0)</f>
        <v>0.98545454545454558</v>
      </c>
      <c r="H1049" s="55">
        <f>IFERROR(SMALL(Table1[[#This Row],[2019-Apr]:[2025-July]],COUNTIF(Table1[[#This Row],[2019-Apr]:[2025-July]],0)+1),0)</f>
        <v>0.33</v>
      </c>
      <c r="I1049" s="56">
        <f>IFERROR(MAX(Table1[[#This Row],[2019-Apr]:[2025-July]]),0)</f>
        <v>1.64</v>
      </c>
      <c r="J1049" s="4" cm="1">
        <f t="array" ref="J104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0.55166666666666664</v>
      </c>
      <c r="K1049" s="4">
        <v>4.5</v>
      </c>
      <c r="L1049" s="4">
        <f>IF(Table1[[#This Row],[Standard as per ISO]]&gt;=Table1[[#This Row],[Avg of best 6]],Table1[[#This Row],[Standard as per ISO]],Table1[[#This Row],[Avg of best 6]])</f>
        <v>4.5</v>
      </c>
      <c r="M1049" s="4" cm="1">
        <f t="array" ref="M1049">IFERROR(LOOKUP(2,1/(Table1[[#This Row],[2019-May]:[2025-July]]&lt;&gt;0),Table1[[#This Row],[2019-May]:[2025-July]]),0)</f>
        <v>1</v>
      </c>
      <c r="N1049" s="4">
        <f>COUNTIF(Table1[[#This Row],[2019-Apr]:[2025-July]],"&gt;="&amp;Table1[[#This Row],[Target]])</f>
        <v>0</v>
      </c>
      <c r="O1049" s="4">
        <f>IF(Table1[[#This Row],[Outliers 2Y]]=0,1,0)</f>
        <v>1</v>
      </c>
      <c r="P1049" s="4">
        <f>IF(Table1[[#This Row],[Last value]]&gt;1.5*Table1[[#This Row],[Target]],1,0)</f>
        <v>0</v>
      </c>
      <c r="Q1049" s="4">
        <f>IF(AND(1.5*Table1[[#This Row],[Target]]&gt;=Table1[[#This Row],[Last value]],Table1[[#This Row],[Last value]]&gt;Table1[[#This Row],[Target]]),1,0)</f>
        <v>0</v>
      </c>
      <c r="R1049" s="4">
        <f>IF(Table1[[#This Row],[Target]]&gt;=Table1[[#This Row],[Last value]],1,0)</f>
        <v>1</v>
      </c>
      <c r="S1049" s="4" t="str">
        <f t="shared" si="28"/>
        <v>Green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>
        <v>0</v>
      </c>
      <c r="BP1049" s="4">
        <v>0.33</v>
      </c>
      <c r="BQ1049" s="4">
        <v>0.63</v>
      </c>
      <c r="BR1049" s="4">
        <v>0.48</v>
      </c>
      <c r="BS1049" s="4">
        <v>0.93</v>
      </c>
      <c r="BT1049" s="4">
        <v>0.98</v>
      </c>
      <c r="BU1049" s="4">
        <v>0.68</v>
      </c>
      <c r="BV1049" s="4">
        <v>0.46</v>
      </c>
      <c r="BW1049" s="4">
        <v>0.73</v>
      </c>
      <c r="BX1049" s="4">
        <v>0.85</v>
      </c>
      <c r="BY1049" s="4">
        <v>0.8</v>
      </c>
      <c r="BZ1049" s="4">
        <v>1.01</v>
      </c>
      <c r="CA1049" s="4">
        <v>1.4</v>
      </c>
      <c r="CB1049" s="4">
        <v>0</v>
      </c>
      <c r="CC1049" s="4">
        <v>0</v>
      </c>
      <c r="CD1049" s="4">
        <v>0.86</v>
      </c>
      <c r="CE1049" s="4">
        <v>0.8</v>
      </c>
      <c r="CF1049" s="4">
        <v>1.64</v>
      </c>
      <c r="CG1049" s="4">
        <v>1.01</v>
      </c>
      <c r="CH1049" s="4">
        <v>0.79</v>
      </c>
      <c r="CI1049" s="4">
        <v>1</v>
      </c>
      <c r="CJ1049" s="34">
        <v>0.9</v>
      </c>
      <c r="CK1049" s="34">
        <v>0</v>
      </c>
      <c r="CL1049" s="43">
        <v>1</v>
      </c>
      <c r="CM1049" s="4">
        <v>0.9</v>
      </c>
      <c r="CN1049" s="53">
        <v>1</v>
      </c>
      <c r="CO1049" s="54">
        <v>1</v>
      </c>
      <c r="CP1049" s="54">
        <v>0.8</v>
      </c>
      <c r="CQ1049" s="4">
        <v>1</v>
      </c>
    </row>
    <row r="1050" spans="1:95" x14ac:dyDescent="0.35">
      <c r="A1050" s="55">
        <v>1049</v>
      </c>
      <c r="B1050" t="s">
        <v>122</v>
      </c>
      <c r="C1050" s="27" t="s">
        <v>1123</v>
      </c>
      <c r="D1050" s="3" t="s">
        <v>93</v>
      </c>
      <c r="E1050" s="27" t="s">
        <v>89</v>
      </c>
      <c r="F1050" s="4">
        <f>IFERROR(AVERAGEIF(Table1[[#This Row],[2019-Apr]:[2025-July]],"&lt;&gt;0"),0)</f>
        <v>0.67480000000000007</v>
      </c>
      <c r="G1050" s="4">
        <f ca="1">IFERROR(AVERAGEIF(OFFSET(Table1[[#This Row],[Status]],0,COUNT(Table1[[#This Row],[2019-May]:[2025-July]]),1,-12),"&lt;&gt;0"),0)</f>
        <v>0.66272727272727272</v>
      </c>
      <c r="H1050" s="55">
        <f>IFERROR(SMALL(Table1[[#This Row],[2019-Apr]:[2025-July]],COUNTIF(Table1[[#This Row],[2019-Apr]:[2025-July]],0)+1),0)</f>
        <v>0.36</v>
      </c>
      <c r="I1050" s="56">
        <f>IFERROR(MAX(Table1[[#This Row],[2019-Apr]:[2025-July]]),0)</f>
        <v>1.1299999999999999</v>
      </c>
      <c r="J1050" s="4" cm="1">
        <f t="array" ref="J105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0.42166666666666663</v>
      </c>
      <c r="K1050" s="4">
        <v>4.5</v>
      </c>
      <c r="L1050" s="4">
        <f>IF(Table1[[#This Row],[Standard as per ISO]]&gt;=Table1[[#This Row],[Avg of best 6]],Table1[[#This Row],[Standard as per ISO]],Table1[[#This Row],[Avg of best 6]])</f>
        <v>4.5</v>
      </c>
      <c r="M1050" s="4" cm="1">
        <f t="array" ref="M1050">IFERROR(LOOKUP(2,1/(Table1[[#This Row],[2019-May]:[2025-July]]&lt;&gt;0),Table1[[#This Row],[2019-May]:[2025-July]]),0)</f>
        <v>0.7</v>
      </c>
      <c r="N1050" s="4">
        <f>COUNTIF(Table1[[#This Row],[2019-Apr]:[2025-July]],"&gt;="&amp;Table1[[#This Row],[Target]])</f>
        <v>0</v>
      </c>
      <c r="O1050" s="4">
        <f>IF(Table1[[#This Row],[Outliers 2Y]]=0,1,0)</f>
        <v>1</v>
      </c>
      <c r="P1050" s="4">
        <f>IF(Table1[[#This Row],[Last value]]&gt;1.5*Table1[[#This Row],[Target]],1,0)</f>
        <v>0</v>
      </c>
      <c r="Q1050" s="4">
        <f>IF(AND(1.5*Table1[[#This Row],[Target]]&gt;=Table1[[#This Row],[Last value]],Table1[[#This Row],[Last value]]&gt;Table1[[#This Row],[Target]]),1,0)</f>
        <v>0</v>
      </c>
      <c r="R1050" s="4">
        <f>IF(Table1[[#This Row],[Target]]&gt;=Table1[[#This Row],[Last value]],1,0)</f>
        <v>1</v>
      </c>
      <c r="S1050" s="4" t="str">
        <f t="shared" si="28"/>
        <v>Green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>
        <v>0</v>
      </c>
      <c r="BP1050" s="4">
        <v>0.43</v>
      </c>
      <c r="BQ1050" s="4">
        <v>0.36</v>
      </c>
      <c r="BR1050" s="4">
        <v>0.47</v>
      </c>
      <c r="BS1050" s="4">
        <v>1.1299999999999999</v>
      </c>
      <c r="BT1050" s="4">
        <v>0.38</v>
      </c>
      <c r="BU1050" s="4">
        <v>0.88</v>
      </c>
      <c r="BV1050" s="4">
        <v>0.41</v>
      </c>
      <c r="BW1050" s="4">
        <v>0.6</v>
      </c>
      <c r="BX1050" s="4">
        <v>0.94</v>
      </c>
      <c r="BY1050" s="4">
        <v>1.07</v>
      </c>
      <c r="BZ1050" s="4">
        <v>0.54</v>
      </c>
      <c r="CA1050" s="4">
        <v>0.83</v>
      </c>
      <c r="CB1050" s="4">
        <v>0</v>
      </c>
      <c r="CC1050" s="4">
        <v>0</v>
      </c>
      <c r="CD1050" s="4">
        <v>0.84</v>
      </c>
      <c r="CE1050" s="4">
        <v>0.67</v>
      </c>
      <c r="CF1050" s="4">
        <v>0.67</v>
      </c>
      <c r="CG1050" s="4">
        <v>0.67</v>
      </c>
      <c r="CH1050" s="4">
        <v>0.8</v>
      </c>
      <c r="CI1050" s="4">
        <v>0.48</v>
      </c>
      <c r="CJ1050" s="34">
        <v>0.6</v>
      </c>
      <c r="CK1050" s="34">
        <v>0</v>
      </c>
      <c r="CL1050" s="43">
        <v>0.7</v>
      </c>
      <c r="CM1050" s="4">
        <v>0.8</v>
      </c>
      <c r="CN1050" s="53">
        <v>0.6</v>
      </c>
      <c r="CO1050" s="54">
        <v>0.8</v>
      </c>
      <c r="CP1050" s="54">
        <v>0.5</v>
      </c>
      <c r="CQ1050" s="4">
        <v>0.7</v>
      </c>
    </row>
    <row r="1051" spans="1:95" x14ac:dyDescent="0.35">
      <c r="A1051" s="55">
        <v>1050</v>
      </c>
      <c r="B1051" t="s">
        <v>122</v>
      </c>
      <c r="C1051" s="27" t="s">
        <v>1124</v>
      </c>
      <c r="D1051" s="3" t="s">
        <v>123</v>
      </c>
      <c r="E1051" s="27" t="s">
        <v>89</v>
      </c>
      <c r="F1051" s="4">
        <f>IFERROR(AVERAGEIF(Table1[[#This Row],[2019-Apr]:[2025-July]],"&lt;&gt;0"),0)</f>
        <v>3.0320833333333339</v>
      </c>
      <c r="G1051" s="4">
        <f ca="1">IFERROR(AVERAGEIF(OFFSET(Table1[[#This Row],[Status]],0,COUNT(Table1[[#This Row],[2019-May]:[2025-July]]),1,-12),"&lt;&gt;0"),0)</f>
        <v>2.931111111111111</v>
      </c>
      <c r="H1051" s="55">
        <f>IFERROR(SMALL(Table1[[#This Row],[2019-Apr]:[2025-July]],COUNTIF(Table1[[#This Row],[2019-Apr]:[2025-July]],0)+1),0)</f>
        <v>1.6</v>
      </c>
      <c r="I1051" s="56">
        <f>IFERROR(MAX(Table1[[#This Row],[2019-Apr]:[2025-July]]),0)</f>
        <v>4.97</v>
      </c>
      <c r="J1051" s="4" cm="1">
        <f t="array" ref="J105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1.9566666666666668</v>
      </c>
      <c r="K1051" s="4">
        <v>4.5</v>
      </c>
      <c r="L1051" s="4">
        <f>IF(Table1[[#This Row],[Standard as per ISO]]&gt;=Table1[[#This Row],[Avg of best 6]],Table1[[#This Row],[Standard as per ISO]],Table1[[#This Row],[Avg of best 6]])</f>
        <v>4.5</v>
      </c>
      <c r="M1051" s="4" cm="1">
        <f t="array" ref="M1051">IFERROR(LOOKUP(2,1/(Table1[[#This Row],[2019-May]:[2025-July]]&lt;&gt;0),Table1[[#This Row],[2019-May]:[2025-July]]),0)</f>
        <v>4.8</v>
      </c>
      <c r="N1051" s="4">
        <f>COUNTIF(Table1[[#This Row],[2019-Apr]:[2025-July]],"&gt;="&amp;Table1[[#This Row],[Target]])</f>
        <v>4</v>
      </c>
      <c r="O1051" s="4">
        <f>IF(Table1[[#This Row],[Outliers 2Y]]=0,1,0)</f>
        <v>0</v>
      </c>
      <c r="P1051" s="4">
        <f>IF(Table1[[#This Row],[Last value]]&gt;1.5*Table1[[#This Row],[Target]],1,0)</f>
        <v>0</v>
      </c>
      <c r="Q1051" s="4">
        <f>IF(AND(1.5*Table1[[#This Row],[Target]]&gt;=Table1[[#This Row],[Last value]],Table1[[#This Row],[Last value]]&gt;Table1[[#This Row],[Target]]),1,0)</f>
        <v>1</v>
      </c>
      <c r="R1051" s="4">
        <f>IF(Table1[[#This Row],[Target]]&gt;=Table1[[#This Row],[Last value]],1,0)</f>
        <v>0</v>
      </c>
      <c r="S1051" s="4" t="str">
        <f t="shared" si="28"/>
        <v>Yellow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>
        <v>0</v>
      </c>
      <c r="BP1051" s="4">
        <v>1.79</v>
      </c>
      <c r="BQ1051" s="4">
        <v>2.17</v>
      </c>
      <c r="BR1051" s="4">
        <v>2.42</v>
      </c>
      <c r="BS1051" s="4">
        <v>2.77</v>
      </c>
      <c r="BT1051" s="4">
        <v>0</v>
      </c>
      <c r="BU1051" s="4">
        <v>2.54</v>
      </c>
      <c r="BV1051" s="4">
        <v>4.97</v>
      </c>
      <c r="BW1051" s="4">
        <v>3.23</v>
      </c>
      <c r="BX1051" s="4">
        <v>2.92</v>
      </c>
      <c r="BY1051" s="4">
        <v>4.5999999999999996</v>
      </c>
      <c r="BZ1051" s="4">
        <v>4.51</v>
      </c>
      <c r="CA1051" s="4">
        <v>1.6</v>
      </c>
      <c r="CB1051" s="4">
        <v>1.75</v>
      </c>
      <c r="CC1051" s="4">
        <v>4.04</v>
      </c>
      <c r="CD1051" s="4">
        <v>2.2799999999999998</v>
      </c>
      <c r="CE1051" s="4">
        <v>2.15</v>
      </c>
      <c r="CF1051" s="4">
        <v>2.41</v>
      </c>
      <c r="CG1051" s="4">
        <v>2.74</v>
      </c>
      <c r="CH1051" s="4">
        <v>0</v>
      </c>
      <c r="CI1051" s="4">
        <v>2.78</v>
      </c>
      <c r="CJ1051" s="34">
        <v>3.6</v>
      </c>
      <c r="CK1051" s="34">
        <v>0</v>
      </c>
      <c r="CL1051" s="43">
        <v>4.0999999999999996</v>
      </c>
      <c r="CM1051" s="4">
        <v>3.5</v>
      </c>
      <c r="CN1051" s="53">
        <v>0</v>
      </c>
      <c r="CO1051" s="54">
        <v>2.7</v>
      </c>
      <c r="CP1051" s="54">
        <v>2.4</v>
      </c>
      <c r="CQ1051" s="4">
        <v>4.8</v>
      </c>
    </row>
    <row r="1052" spans="1:95" x14ac:dyDescent="0.35">
      <c r="A1052" s="55">
        <v>1051</v>
      </c>
      <c r="B1052" t="s">
        <v>122</v>
      </c>
      <c r="C1052" s="27" t="s">
        <v>1125</v>
      </c>
      <c r="D1052" s="3" t="s">
        <v>93</v>
      </c>
      <c r="E1052" s="27" t="s">
        <v>89</v>
      </c>
      <c r="F1052" s="4">
        <f>IFERROR(AVERAGEIF(Table1[[#This Row],[2019-Apr]:[2025-July]],"&lt;&gt;0"),0)</f>
        <v>4.9057692307692298</v>
      </c>
      <c r="G1052" s="4">
        <f ca="1">IFERROR(AVERAGEIF(OFFSET(Table1[[#This Row],[Status]],0,COUNT(Table1[[#This Row],[2019-May]:[2025-July]]),1,-12),"&lt;&gt;0"),0)</f>
        <v>6.26</v>
      </c>
      <c r="H1052" s="55">
        <f>IFERROR(SMALL(Table1[[#This Row],[2019-Apr]:[2025-July]],COUNTIF(Table1[[#This Row],[2019-Apr]:[2025-July]],0)+1),0)</f>
        <v>2.13</v>
      </c>
      <c r="I1052" s="56">
        <f>IFERROR(MAX(Table1[[#This Row],[2019-Apr]:[2025-July]]),0)</f>
        <v>20.399999999999999</v>
      </c>
      <c r="J1052" s="4" cm="1">
        <f t="array" ref="J105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2.4499999999999997</v>
      </c>
      <c r="K1052" s="4">
        <v>4.5</v>
      </c>
      <c r="L1052" s="4">
        <f>IF(Table1[[#This Row],[Standard as per ISO]]&gt;=Table1[[#This Row],[Avg of best 6]],Table1[[#This Row],[Standard as per ISO]],Table1[[#This Row],[Avg of best 6]])</f>
        <v>4.5</v>
      </c>
      <c r="M1052" s="4" cm="1">
        <f t="array" ref="M1052">IFERROR(LOOKUP(2,1/(Table1[[#This Row],[2019-May]:[2025-July]]&lt;&gt;0),Table1[[#This Row],[2019-May]:[2025-July]]),0)</f>
        <v>3.5</v>
      </c>
      <c r="N1052" s="4">
        <f>COUNTIF(Table1[[#This Row],[2019-Apr]:[2025-July]],"&gt;="&amp;Table1[[#This Row],[Target]])</f>
        <v>10</v>
      </c>
      <c r="O1052" s="4">
        <f>IF(Table1[[#This Row],[Outliers 2Y]]=0,1,0)</f>
        <v>0</v>
      </c>
      <c r="P1052" s="4">
        <f>IF(Table1[[#This Row],[Last value]]&gt;1.5*Table1[[#This Row],[Target]],1,0)</f>
        <v>0</v>
      </c>
      <c r="Q1052" s="4">
        <f>IF(AND(1.5*Table1[[#This Row],[Target]]&gt;=Table1[[#This Row],[Last value]],Table1[[#This Row],[Last value]]&gt;Table1[[#This Row],[Target]]),1,0)</f>
        <v>0</v>
      </c>
      <c r="R1052" s="4">
        <f>IF(Table1[[#This Row],[Target]]&gt;=Table1[[#This Row],[Last value]],1,0)</f>
        <v>1</v>
      </c>
      <c r="S1052" s="4" t="str">
        <f t="shared" si="28"/>
        <v>Green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>
        <v>0</v>
      </c>
      <c r="BP1052" s="4">
        <v>5.31</v>
      </c>
      <c r="BQ1052" s="4">
        <v>5.47</v>
      </c>
      <c r="BR1052" s="4">
        <v>5.59</v>
      </c>
      <c r="BS1052" s="4">
        <v>2.27</v>
      </c>
      <c r="BT1052" s="4">
        <v>0</v>
      </c>
      <c r="BU1052" s="4">
        <v>3.46</v>
      </c>
      <c r="BV1052" s="4">
        <v>3.51</v>
      </c>
      <c r="BW1052" s="4">
        <v>2.42</v>
      </c>
      <c r="BX1052" s="4">
        <v>2.57</v>
      </c>
      <c r="BY1052" s="4">
        <v>3.25</v>
      </c>
      <c r="BZ1052" s="4">
        <v>2.71</v>
      </c>
      <c r="CA1052" s="4">
        <v>5.91</v>
      </c>
      <c r="CB1052" s="4">
        <v>4.3499999999999996</v>
      </c>
      <c r="CC1052" s="4">
        <v>4.03</v>
      </c>
      <c r="CD1052" s="4">
        <v>4.34</v>
      </c>
      <c r="CE1052" s="4">
        <v>2.13</v>
      </c>
      <c r="CF1052" s="4">
        <v>3.04</v>
      </c>
      <c r="CG1052" s="4">
        <v>5.42</v>
      </c>
      <c r="CH1052" s="4">
        <v>3.46</v>
      </c>
      <c r="CI1052" s="4">
        <v>7.21</v>
      </c>
      <c r="CJ1052" s="34">
        <v>5.8</v>
      </c>
      <c r="CK1052" s="34">
        <v>9.6999999999999993</v>
      </c>
      <c r="CL1052" s="43">
        <v>20.399999999999999</v>
      </c>
      <c r="CM1052" s="4">
        <v>3</v>
      </c>
      <c r="CN1052" s="53">
        <v>0</v>
      </c>
      <c r="CO1052" s="54">
        <v>6.1</v>
      </c>
      <c r="CP1052" s="54">
        <v>2.6</v>
      </c>
      <c r="CQ1052" s="4">
        <v>3.5</v>
      </c>
    </row>
    <row r="1053" spans="1:95" x14ac:dyDescent="0.35">
      <c r="A1053" s="55">
        <v>1052</v>
      </c>
      <c r="B1053" t="s">
        <v>122</v>
      </c>
      <c r="C1053" s="27" t="s">
        <v>1126</v>
      </c>
      <c r="D1053" s="3" t="s">
        <v>123</v>
      </c>
      <c r="E1053" s="27" t="s">
        <v>89</v>
      </c>
      <c r="F1053" s="4">
        <f>IFERROR(AVERAGEIF(Table1[[#This Row],[2019-Apr]:[2025-July]],"&lt;&gt;0"),0)</f>
        <v>5.4064705882352948</v>
      </c>
      <c r="G1053" s="4">
        <f ca="1">IFERROR(AVERAGEIF(OFFSET(Table1[[#This Row],[Status]],0,COUNT(Table1[[#This Row],[2019-May]:[2025-July]]),1,-12),"&lt;&gt;0"),0)</f>
        <v>5.2114285714285709</v>
      </c>
      <c r="H1053" s="55">
        <f>IFERROR(SMALL(Table1[[#This Row],[2019-Apr]:[2025-July]],COUNTIF(Table1[[#This Row],[2019-Apr]:[2025-July]],0)+1),0)</f>
        <v>2.8</v>
      </c>
      <c r="I1053" s="56">
        <f>IFERROR(MAX(Table1[[#This Row],[2019-Apr]:[2025-July]]),0)</f>
        <v>7.57</v>
      </c>
      <c r="J1053" s="4" cm="1">
        <f t="array" ref="J105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4.208333333333333</v>
      </c>
      <c r="K1053" s="4">
        <v>4.5</v>
      </c>
      <c r="L1053" s="4">
        <f>IF(Table1[[#This Row],[Standard as per ISO]]&gt;=Table1[[#This Row],[Avg of best 6]],Table1[[#This Row],[Standard as per ISO]],Table1[[#This Row],[Avg of best 6]])</f>
        <v>4.5</v>
      </c>
      <c r="M1053" s="4" cm="1">
        <f t="array" ref="M1053">IFERROR(LOOKUP(2,1/(Table1[[#This Row],[2019-May]:[2025-July]]&lt;&gt;0),Table1[[#This Row],[2019-May]:[2025-July]]),0)</f>
        <v>6.3</v>
      </c>
      <c r="N1053" s="4">
        <f>COUNTIF(Table1[[#This Row],[2019-Apr]:[2025-July]],"&gt;="&amp;Table1[[#This Row],[Target]])</f>
        <v>15</v>
      </c>
      <c r="O1053" s="4">
        <f>IF(Table1[[#This Row],[Outliers 2Y]]=0,1,0)</f>
        <v>0</v>
      </c>
      <c r="P1053" s="4">
        <f>IF(Table1[[#This Row],[Last value]]&gt;1.5*Table1[[#This Row],[Target]],1,0)</f>
        <v>0</v>
      </c>
      <c r="Q1053" s="4">
        <f>IF(AND(1.5*Table1[[#This Row],[Target]]&gt;=Table1[[#This Row],[Last value]],Table1[[#This Row],[Last value]]&gt;Table1[[#This Row],[Target]]),1,0)</f>
        <v>1</v>
      </c>
      <c r="R1053" s="4">
        <f>IF(Table1[[#This Row],[Target]]&gt;=Table1[[#This Row],[Last value]],1,0)</f>
        <v>0</v>
      </c>
      <c r="S1053" s="4" t="str">
        <f t="shared" si="28"/>
        <v>Yellow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6.64</v>
      </c>
      <c r="BV1053" s="4">
        <v>0</v>
      </c>
      <c r="BW1053" s="4">
        <v>5.71</v>
      </c>
      <c r="BX1053" s="4">
        <v>4.8099999999999996</v>
      </c>
      <c r="BY1053" s="4">
        <v>4.79</v>
      </c>
      <c r="BZ1053" s="4">
        <v>4.58</v>
      </c>
      <c r="CA1053" s="4">
        <v>5.75</v>
      </c>
      <c r="CB1053" s="4">
        <v>5.07</v>
      </c>
      <c r="CC1053" s="4">
        <v>5.66</v>
      </c>
      <c r="CD1053" s="4">
        <v>6.12</v>
      </c>
      <c r="CE1053" s="4">
        <v>5.41</v>
      </c>
      <c r="CF1053" s="4">
        <v>5.13</v>
      </c>
      <c r="CG1053" s="4">
        <v>6.03</v>
      </c>
      <c r="CH1053" s="4">
        <v>6.34</v>
      </c>
      <c r="CI1053" s="4">
        <v>7.57</v>
      </c>
      <c r="CJ1053" s="34">
        <v>0</v>
      </c>
      <c r="CK1053" s="34">
        <v>0</v>
      </c>
      <c r="CL1053" s="43">
        <v>0</v>
      </c>
      <c r="CM1053" s="4">
        <v>0</v>
      </c>
      <c r="CN1053" s="53">
        <v>0</v>
      </c>
      <c r="CO1053" s="54">
        <v>3.2</v>
      </c>
      <c r="CP1053" s="54">
        <v>2.8</v>
      </c>
      <c r="CQ1053" s="4">
        <v>6.3</v>
      </c>
    </row>
    <row r="1054" spans="1:95" x14ac:dyDescent="0.35">
      <c r="A1054" s="55">
        <v>1053</v>
      </c>
      <c r="B1054" t="s">
        <v>122</v>
      </c>
      <c r="C1054" s="27" t="s">
        <v>1127</v>
      </c>
      <c r="D1054" s="3" t="s">
        <v>93</v>
      </c>
      <c r="E1054" s="27" t="s">
        <v>91</v>
      </c>
      <c r="F1054" s="4">
        <f>IFERROR(AVERAGEIF(Table1[[#This Row],[2019-Apr]:[2025-July]],"&lt;&gt;0"),0)</f>
        <v>2.9323076923076927</v>
      </c>
      <c r="G1054" s="4">
        <f ca="1">IFERROR(AVERAGEIF(OFFSET(Table1[[#This Row],[Status]],0,COUNT(Table1[[#This Row],[2019-May]:[2025-July]]),1,-12),"&lt;&gt;0"),0)</f>
        <v>2.8</v>
      </c>
      <c r="H1054" s="55">
        <f>IFERROR(SMALL(Table1[[#This Row],[2019-Apr]:[2025-July]],COUNTIF(Table1[[#This Row],[2019-Apr]:[2025-July]],0)+1),0)</f>
        <v>2.64</v>
      </c>
      <c r="I1054" s="56">
        <f>IFERROR(MAX(Table1[[#This Row],[2019-Apr]:[2025-July]]),0)</f>
        <v>3.58</v>
      </c>
      <c r="J1054" s="4" cm="1">
        <f t="array" ref="J105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2.7650000000000006</v>
      </c>
      <c r="K1054" s="4">
        <v>4.5</v>
      </c>
      <c r="L1054" s="4">
        <f>IF(Table1[[#This Row],[Standard as per ISO]]&gt;=Table1[[#This Row],[Avg of best 6]],Table1[[#This Row],[Standard as per ISO]],Table1[[#This Row],[Avg of best 6]])</f>
        <v>4.5</v>
      </c>
      <c r="M1054" s="4" cm="1">
        <f t="array" ref="M1054">IFERROR(LOOKUP(2,1/(Table1[[#This Row],[2019-May]:[2025-July]]&lt;&gt;0),Table1[[#This Row],[2019-May]:[2025-July]]),0)</f>
        <v>2.8</v>
      </c>
      <c r="N1054" s="4">
        <f>COUNTIF(Table1[[#This Row],[2019-Apr]:[2025-July]],"&gt;="&amp;Table1[[#This Row],[Target]])</f>
        <v>0</v>
      </c>
      <c r="O1054" s="4">
        <f>IF(Table1[[#This Row],[Outliers 2Y]]=0,1,0)</f>
        <v>1</v>
      </c>
      <c r="P1054" s="4">
        <f>IF(Table1[[#This Row],[Last value]]&gt;1.5*Table1[[#This Row],[Target]],1,0)</f>
        <v>0</v>
      </c>
      <c r="Q1054" s="4">
        <f>IF(AND(1.5*Table1[[#This Row],[Target]]&gt;=Table1[[#This Row],[Last value]],Table1[[#This Row],[Last value]]&gt;Table1[[#This Row],[Target]]),1,0)</f>
        <v>0</v>
      </c>
      <c r="R1054" s="4">
        <f>IF(Table1[[#This Row],[Target]]&gt;=Table1[[#This Row],[Last value]],1,0)</f>
        <v>1</v>
      </c>
      <c r="S1054" s="4" t="str">
        <f t="shared" si="28"/>
        <v>Green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>
        <v>0</v>
      </c>
      <c r="BP1054" s="4">
        <v>0</v>
      </c>
      <c r="BQ1054" s="4">
        <v>0</v>
      </c>
      <c r="BR1054" s="4">
        <v>2.72</v>
      </c>
      <c r="BS1054" s="4">
        <v>0</v>
      </c>
      <c r="BT1054" s="4">
        <v>0</v>
      </c>
      <c r="BU1054" s="4">
        <v>0</v>
      </c>
      <c r="BV1054" s="4">
        <v>0</v>
      </c>
      <c r="BW1054" s="4">
        <v>2.9</v>
      </c>
      <c r="BX1054" s="4">
        <v>2.86</v>
      </c>
      <c r="BY1054" s="4">
        <v>3.09</v>
      </c>
      <c r="BZ1054" s="4">
        <v>0</v>
      </c>
      <c r="CA1054" s="4">
        <v>2.99</v>
      </c>
      <c r="CB1054" s="4">
        <v>3.04</v>
      </c>
      <c r="CC1054" s="4">
        <v>2.94</v>
      </c>
      <c r="CD1054" s="4">
        <v>3.58</v>
      </c>
      <c r="CE1054" s="4">
        <v>2.64</v>
      </c>
      <c r="CF1054" s="4">
        <v>2.74</v>
      </c>
      <c r="CG1054" s="4">
        <v>2.99</v>
      </c>
      <c r="CH1054" s="4">
        <v>2.83</v>
      </c>
      <c r="CI1054" s="4">
        <v>0</v>
      </c>
      <c r="CJ1054" s="34">
        <v>2.8</v>
      </c>
      <c r="CK1054" s="34">
        <v>0</v>
      </c>
      <c r="CL1054" s="34">
        <v>0</v>
      </c>
      <c r="CM1054" s="4">
        <v>0</v>
      </c>
      <c r="CN1054" s="53">
        <v>0</v>
      </c>
      <c r="CO1054" s="54">
        <v>0</v>
      </c>
      <c r="CP1054" s="54">
        <v>0</v>
      </c>
      <c r="CQ1054" s="4">
        <v>0</v>
      </c>
    </row>
    <row r="1055" spans="1:95" x14ac:dyDescent="0.35">
      <c r="A1055" s="55">
        <v>1054</v>
      </c>
      <c r="B1055" t="s">
        <v>122</v>
      </c>
      <c r="C1055" s="27" t="s">
        <v>1128</v>
      </c>
      <c r="D1055" s="3" t="s">
        <v>93</v>
      </c>
      <c r="E1055" s="27" t="s">
        <v>91</v>
      </c>
      <c r="F1055" s="4">
        <f>IFERROR(AVERAGEIF(Table1[[#This Row],[2019-Apr]:[2025-July]],"&lt;&gt;0"),0)</f>
        <v>5.4689473684210528</v>
      </c>
      <c r="G1055" s="4">
        <f ca="1">IFERROR(AVERAGEIF(OFFSET(Table1[[#This Row],[Status]],0,COUNT(Table1[[#This Row],[2019-May]:[2025-July]]),1,-12),"&lt;&gt;0"),0)</f>
        <v>5.8816666666666677</v>
      </c>
      <c r="H1055" s="55">
        <f>IFERROR(SMALL(Table1[[#This Row],[2019-Apr]:[2025-July]],COUNTIF(Table1[[#This Row],[2019-Apr]:[2025-July]],0)+1),0)</f>
        <v>2.7</v>
      </c>
      <c r="I1055" s="56">
        <f>IFERROR(MAX(Table1[[#This Row],[2019-Apr]:[2025-July]]),0)</f>
        <v>13.74</v>
      </c>
      <c r="J1055" s="4" cm="1">
        <f t="array" ref="J105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3.3583333333333329</v>
      </c>
      <c r="K1055" s="4">
        <v>4.5</v>
      </c>
      <c r="L1055" s="4">
        <f>IF(Table1[[#This Row],[Standard as per ISO]]&gt;=Table1[[#This Row],[Avg of best 6]],Table1[[#This Row],[Standard as per ISO]],Table1[[#This Row],[Avg of best 6]])</f>
        <v>4.5</v>
      </c>
      <c r="M1055" s="4" cm="1">
        <f t="array" ref="M1055">IFERROR(LOOKUP(2,1/(Table1[[#This Row],[2019-May]:[2025-July]]&lt;&gt;0),Table1[[#This Row],[2019-May]:[2025-July]]),0)</f>
        <v>2.7</v>
      </c>
      <c r="N1055" s="4">
        <f>COUNTIF(Table1[[#This Row],[2019-Apr]:[2025-July]],"&gt;="&amp;Table1[[#This Row],[Target]])</f>
        <v>11</v>
      </c>
      <c r="O1055" s="4">
        <f>IF(Table1[[#This Row],[Outliers 2Y]]=0,1,0)</f>
        <v>0</v>
      </c>
      <c r="P1055" s="4">
        <f>IF(Table1[[#This Row],[Last value]]&gt;1.5*Table1[[#This Row],[Target]],1,0)</f>
        <v>0</v>
      </c>
      <c r="Q1055" s="4">
        <f>IF(AND(1.5*Table1[[#This Row],[Target]]&gt;=Table1[[#This Row],[Last value]],Table1[[#This Row],[Last value]]&gt;Table1[[#This Row],[Target]]),1,0)</f>
        <v>0</v>
      </c>
      <c r="R1055" s="4">
        <f>IF(Table1[[#This Row],[Target]]&gt;=Table1[[#This Row],[Last value]],1,0)</f>
        <v>1</v>
      </c>
      <c r="S1055" s="4" t="str">
        <f t="shared" si="28"/>
        <v>Green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>
        <v>0</v>
      </c>
      <c r="BP1055" s="4">
        <v>0</v>
      </c>
      <c r="BQ1055" s="4">
        <v>4.45</v>
      </c>
      <c r="BR1055" s="4">
        <v>2.71</v>
      </c>
      <c r="BS1055" s="4">
        <v>3.83</v>
      </c>
      <c r="BT1055" s="4">
        <v>4.04</v>
      </c>
      <c r="BU1055" s="4">
        <v>4.68</v>
      </c>
      <c r="BV1055" s="4">
        <v>6.24</v>
      </c>
      <c r="BW1055" s="4">
        <v>4.55</v>
      </c>
      <c r="BX1055" s="4">
        <v>5.51</v>
      </c>
      <c r="BY1055" s="4">
        <v>4.9800000000000004</v>
      </c>
      <c r="BZ1055" s="4">
        <v>0</v>
      </c>
      <c r="CA1055" s="4">
        <v>3.75</v>
      </c>
      <c r="CB1055" s="4">
        <v>7.42</v>
      </c>
      <c r="CC1055" s="4">
        <v>8.7899999999999991</v>
      </c>
      <c r="CD1055" s="4">
        <v>7.67</v>
      </c>
      <c r="CE1055" s="4">
        <v>6.39</v>
      </c>
      <c r="CF1055" s="4">
        <v>3.12</v>
      </c>
      <c r="CG1055" s="4">
        <v>13.74</v>
      </c>
      <c r="CH1055" s="4">
        <v>4.8499999999999996</v>
      </c>
      <c r="CI1055" s="4">
        <v>4.49</v>
      </c>
      <c r="CJ1055" s="34">
        <v>2.7</v>
      </c>
      <c r="CK1055" s="34">
        <v>0</v>
      </c>
      <c r="CL1055" s="34">
        <v>0</v>
      </c>
      <c r="CM1055" s="4">
        <v>0</v>
      </c>
      <c r="CN1055" s="53">
        <v>0</v>
      </c>
      <c r="CO1055" s="54">
        <v>0</v>
      </c>
      <c r="CP1055" s="54">
        <v>0</v>
      </c>
      <c r="CQ1055" s="4">
        <v>0</v>
      </c>
    </row>
    <row r="1056" spans="1:95" x14ac:dyDescent="0.35">
      <c r="A1056" s="55">
        <v>1055</v>
      </c>
      <c r="B1056" t="s">
        <v>122</v>
      </c>
      <c r="C1056" s="27" t="s">
        <v>1129</v>
      </c>
      <c r="D1056" s="3" t="s">
        <v>88</v>
      </c>
      <c r="E1056" s="27" t="s">
        <v>89</v>
      </c>
      <c r="F1056" s="4">
        <f>IFERROR(AVERAGEIF(Table1[[#This Row],[2019-Apr]:[2025-July]],"&lt;&gt;0"),0)</f>
        <v>2.7375000000000003</v>
      </c>
      <c r="G1056" s="4">
        <f ca="1">IFERROR(AVERAGEIF(OFFSET(Table1[[#This Row],[Status]],0,COUNT(Table1[[#This Row],[2019-May]:[2025-July]]),1,-12),"&lt;&gt;0"),0)</f>
        <v>2.7285714285714286</v>
      </c>
      <c r="H1056" s="55">
        <f>IFERROR(SMALL(Table1[[#This Row],[2019-Apr]:[2025-July]],COUNTIF(Table1[[#This Row],[2019-Apr]:[2025-July]],0)+1),0)</f>
        <v>1.8</v>
      </c>
      <c r="I1056" s="56">
        <f>IFERROR(MAX(Table1[[#This Row],[2019-Apr]:[2025-July]]),0)</f>
        <v>3.6</v>
      </c>
      <c r="J1056" s="4" cm="1">
        <f t="array" ref="J105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</v>
      </c>
      <c r="K1056" s="4">
        <v>4.5</v>
      </c>
      <c r="L1056" s="4">
        <f>IF(Table1[[#This Row],[Standard as per ISO]]&gt;=Table1[[#This Row],[Avg of best 6]],Table1[[#This Row],[Standard as per ISO]],Table1[[#This Row],[Avg of best 6]])</f>
        <v>4.5</v>
      </c>
      <c r="M1056" s="4" cm="1">
        <f t="array" ref="M1056">IFERROR(LOOKUP(2,1/(Table1[[#This Row],[2019-May]:[2025-July]]&lt;&gt;0),Table1[[#This Row],[2019-May]:[2025-July]]),0)</f>
        <v>2.8</v>
      </c>
      <c r="N1056" s="4">
        <f>COUNTIF(Table1[[#This Row],[2019-Apr]:[2025-July]],"&gt;="&amp;Table1[[#This Row],[Target]])</f>
        <v>0</v>
      </c>
      <c r="O1056" s="4">
        <f>IF(Table1[[#This Row],[Outliers 2Y]]=0,1,0)</f>
        <v>1</v>
      </c>
      <c r="P1056" s="4">
        <f>IF(Table1[[#This Row],[Last value]]&gt;1.5*Table1[[#This Row],[Target]],1,0)</f>
        <v>0</v>
      </c>
      <c r="Q1056" s="4">
        <f>IF(AND(1.5*Table1[[#This Row],[Target]]&gt;=Table1[[#This Row],[Last value]],Table1[[#This Row],[Last value]]&gt;Table1[[#This Row],[Target]]),1,0)</f>
        <v>0</v>
      </c>
      <c r="R1056" s="4">
        <f>IF(Table1[[#This Row],[Target]]&gt;=Table1[[#This Row],[Last value]],1,0)</f>
        <v>1</v>
      </c>
      <c r="S1056" s="4" t="str">
        <f t="shared" si="28"/>
        <v>Green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34">
        <v>2.8</v>
      </c>
      <c r="CK1056" s="34">
        <v>1.8</v>
      </c>
      <c r="CL1056" s="43">
        <v>3.6</v>
      </c>
      <c r="CM1056" s="4">
        <v>3</v>
      </c>
      <c r="CN1056" s="53">
        <v>3.3</v>
      </c>
      <c r="CO1056" s="54">
        <v>2.2999999999999998</v>
      </c>
      <c r="CP1056" s="54">
        <v>2.2999999999999998</v>
      </c>
      <c r="CQ1056" s="4">
        <v>2.8</v>
      </c>
    </row>
    <row r="1057" spans="1:95" x14ac:dyDescent="0.35">
      <c r="A1057" s="55">
        <v>1056</v>
      </c>
      <c r="B1057" t="s">
        <v>122</v>
      </c>
      <c r="C1057" s="27" t="s">
        <v>1130</v>
      </c>
      <c r="D1057" s="3" t="s">
        <v>88</v>
      </c>
      <c r="E1057" s="27" t="s">
        <v>89</v>
      </c>
      <c r="F1057" s="4">
        <f>IFERROR(AVERAGEIF(Table1[[#This Row],[2019-Apr]:[2025-July]],"&lt;&gt;0"),0)</f>
        <v>3.05</v>
      </c>
      <c r="G1057" s="4">
        <f ca="1">IFERROR(AVERAGEIF(OFFSET(Table1[[#This Row],[Status]],0,COUNT(Table1[[#This Row],[2019-May]:[2025-July]]),1,-12),"&lt;&gt;0"),0)</f>
        <v>3.3</v>
      </c>
      <c r="H1057" s="55">
        <f>IFERROR(SMALL(Table1[[#This Row],[2019-Apr]:[2025-July]],COUNTIF(Table1[[#This Row],[2019-Apr]:[2025-July]],0)+1),0)</f>
        <v>2.19</v>
      </c>
      <c r="I1057" s="56">
        <f>IFERROR(MAX(Table1[[#This Row],[2019-Apr]:[2025-July]]),0)</f>
        <v>4.2</v>
      </c>
      <c r="J1057" s="4" cm="1">
        <f t="array" ref="J105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2.5816666666666666</v>
      </c>
      <c r="K1057" s="4">
        <v>4.5</v>
      </c>
      <c r="L1057" s="4">
        <f>IF(Table1[[#This Row],[Standard as per ISO]]&gt;=Table1[[#This Row],[Avg of best 6]],Table1[[#This Row],[Standard as per ISO]],Table1[[#This Row],[Avg of best 6]])</f>
        <v>4.5</v>
      </c>
      <c r="M1057" s="4" cm="1">
        <f t="array" ref="M1057">IFERROR(LOOKUP(2,1/(Table1[[#This Row],[2019-May]:[2025-July]]&lt;&gt;0),Table1[[#This Row],[2019-May]:[2025-July]]),0)</f>
        <v>2.9</v>
      </c>
      <c r="N1057" s="4">
        <f>COUNTIF(Table1[[#This Row],[2019-Apr]:[2025-July]],"&gt;="&amp;Table1[[#This Row],[Target]])</f>
        <v>0</v>
      </c>
      <c r="O1057" s="4">
        <f>IF(Table1[[#This Row],[Outliers 2Y]]=0,1,0)</f>
        <v>1</v>
      </c>
      <c r="P1057" s="4">
        <f>IF(Table1[[#This Row],[Last value]]&gt;1.5*Table1[[#This Row],[Target]],1,0)</f>
        <v>0</v>
      </c>
      <c r="Q1057" s="4">
        <f>IF(AND(1.5*Table1[[#This Row],[Target]]&gt;=Table1[[#This Row],[Last value]],Table1[[#This Row],[Last value]]&gt;Table1[[#This Row],[Target]]),1,0)</f>
        <v>0</v>
      </c>
      <c r="R1057" s="4">
        <f>IF(Table1[[#This Row],[Target]]&gt;=Table1[[#This Row],[Last value]],1,0)</f>
        <v>1</v>
      </c>
      <c r="S1057" s="4" t="str">
        <f t="shared" si="28"/>
        <v>Green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>
        <v>0</v>
      </c>
      <c r="BP1057" s="4">
        <v>0</v>
      </c>
      <c r="BQ1057" s="4">
        <v>2.68</v>
      </c>
      <c r="BR1057" s="4">
        <v>3.07</v>
      </c>
      <c r="BS1057" s="4">
        <v>2.5</v>
      </c>
      <c r="BT1057" s="4">
        <v>0</v>
      </c>
      <c r="BU1057" s="4">
        <v>2.4900000000000002</v>
      </c>
      <c r="BV1057" s="4">
        <v>2.19</v>
      </c>
      <c r="BW1057" s="4">
        <v>2.97</v>
      </c>
      <c r="BX1057" s="4">
        <v>2.88</v>
      </c>
      <c r="BY1057" s="4">
        <v>2.83</v>
      </c>
      <c r="BZ1057" s="4">
        <v>3.09</v>
      </c>
      <c r="CA1057" s="4">
        <v>0</v>
      </c>
      <c r="CB1057" s="4">
        <v>0</v>
      </c>
      <c r="CC1057" s="4">
        <v>0</v>
      </c>
      <c r="CD1057" s="4">
        <v>3.7</v>
      </c>
      <c r="CE1057" s="4">
        <v>0</v>
      </c>
      <c r="CF1057" s="4">
        <v>3.22</v>
      </c>
      <c r="CG1057" s="4">
        <v>0</v>
      </c>
      <c r="CH1057" s="4">
        <v>3.71</v>
      </c>
      <c r="CI1057" s="4">
        <v>2.87</v>
      </c>
      <c r="CJ1057" s="34">
        <v>2.8</v>
      </c>
      <c r="CK1057" s="34">
        <v>0</v>
      </c>
      <c r="CL1057" s="43">
        <v>2.9</v>
      </c>
      <c r="CM1057" s="4">
        <v>4.2</v>
      </c>
      <c r="CN1057" s="53">
        <v>3.2</v>
      </c>
      <c r="CO1057" s="54">
        <v>3.4</v>
      </c>
      <c r="CP1057" s="54">
        <v>3.4</v>
      </c>
      <c r="CQ1057" s="4">
        <v>2.9</v>
      </c>
    </row>
    <row r="1058" spans="1:95" x14ac:dyDescent="0.35">
      <c r="A1058" s="55">
        <v>1057</v>
      </c>
      <c r="B1058" t="s">
        <v>122</v>
      </c>
      <c r="C1058" s="27" t="s">
        <v>1131</v>
      </c>
      <c r="D1058" s="3" t="s">
        <v>88</v>
      </c>
      <c r="E1058" s="27" t="s">
        <v>89</v>
      </c>
      <c r="F1058" s="4">
        <f>IFERROR(AVERAGEIF(Table1[[#This Row],[2019-Apr]:[2025-July]],"&lt;&gt;0"),0)</f>
        <v>2.4138888888888888</v>
      </c>
      <c r="G1058" s="4">
        <f ca="1">IFERROR(AVERAGEIF(OFFSET(Table1[[#This Row],[Status]],0,COUNT(Table1[[#This Row],[2019-May]:[2025-July]]),1,-12),"&lt;&gt;0"),0)</f>
        <v>2.9875000000000003</v>
      </c>
      <c r="H1058" s="55">
        <f>IFERROR(SMALL(Table1[[#This Row],[2019-Apr]:[2025-July]],COUNTIF(Table1[[#This Row],[2019-Apr]:[2025-July]],0)+1),0)</f>
        <v>1.1599999999999999</v>
      </c>
      <c r="I1058" s="56">
        <f>IFERROR(MAX(Table1[[#This Row],[2019-Apr]:[2025-July]]),0)</f>
        <v>4.03</v>
      </c>
      <c r="J1058" s="4" cm="1">
        <f t="array" ref="J105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1.4283333333333335</v>
      </c>
      <c r="K1058" s="4">
        <v>4.5</v>
      </c>
      <c r="L1058" s="4">
        <f>IF(Table1[[#This Row],[Standard as per ISO]]&gt;=Table1[[#This Row],[Avg of best 6]],Table1[[#This Row],[Standard as per ISO]],Table1[[#This Row],[Avg of best 6]])</f>
        <v>4.5</v>
      </c>
      <c r="M1058" s="4" cm="1">
        <f t="array" ref="M1058">IFERROR(LOOKUP(2,1/(Table1[[#This Row],[2019-May]:[2025-July]]&lt;&gt;0),Table1[[#This Row],[2019-May]:[2025-July]]),0)</f>
        <v>3.1</v>
      </c>
      <c r="N1058" s="4">
        <f>COUNTIF(Table1[[#This Row],[2019-Apr]:[2025-July]],"&gt;="&amp;Table1[[#This Row],[Target]])</f>
        <v>0</v>
      </c>
      <c r="O1058" s="4">
        <f>IF(Table1[[#This Row],[Outliers 2Y]]=0,1,0)</f>
        <v>1</v>
      </c>
      <c r="P1058" s="4">
        <f>IF(Table1[[#This Row],[Last value]]&gt;1.5*Table1[[#This Row],[Target]],1,0)</f>
        <v>0</v>
      </c>
      <c r="Q1058" s="4">
        <f>IF(AND(1.5*Table1[[#This Row],[Target]]&gt;=Table1[[#This Row],[Last value]],Table1[[#This Row],[Last value]]&gt;Table1[[#This Row],[Target]]),1,0)</f>
        <v>0</v>
      </c>
      <c r="R1058" s="4">
        <f>IF(Table1[[#This Row],[Target]]&gt;=Table1[[#This Row],[Last value]],1,0)</f>
        <v>1</v>
      </c>
      <c r="S1058" s="4" t="str">
        <f t="shared" si="28"/>
        <v>Green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>
        <v>0</v>
      </c>
      <c r="BP1058" s="4">
        <v>0</v>
      </c>
      <c r="BQ1058" s="4">
        <v>0</v>
      </c>
      <c r="BR1058" s="4">
        <v>1.78</v>
      </c>
      <c r="BS1058" s="4">
        <v>1.1599999999999999</v>
      </c>
      <c r="BT1058" s="4">
        <v>0</v>
      </c>
      <c r="BU1058" s="4">
        <v>1.27</v>
      </c>
      <c r="BV1058" s="4">
        <v>1.42</v>
      </c>
      <c r="BW1058" s="4">
        <v>1.5</v>
      </c>
      <c r="BX1058" s="4">
        <v>1.48</v>
      </c>
      <c r="BY1058" s="4">
        <v>1.74</v>
      </c>
      <c r="BZ1058" s="4">
        <v>2.92</v>
      </c>
      <c r="CA1058" s="4">
        <v>0</v>
      </c>
      <c r="CB1058" s="4">
        <v>0</v>
      </c>
      <c r="CC1058" s="4">
        <v>0</v>
      </c>
      <c r="CD1058" s="4">
        <v>3.18</v>
      </c>
      <c r="CE1058" s="4">
        <v>0</v>
      </c>
      <c r="CF1058" s="4">
        <v>1.97</v>
      </c>
      <c r="CG1058" s="4">
        <v>0</v>
      </c>
      <c r="CH1058" s="4">
        <v>0</v>
      </c>
      <c r="CI1058" s="4">
        <v>4.03</v>
      </c>
      <c r="CJ1058" s="34">
        <v>2.9</v>
      </c>
      <c r="CK1058" s="34">
        <v>0</v>
      </c>
      <c r="CL1058" s="43">
        <v>3.2</v>
      </c>
      <c r="CM1058" s="4">
        <v>3.2</v>
      </c>
      <c r="CN1058" s="53">
        <v>2.8</v>
      </c>
      <c r="CO1058" s="54">
        <v>3</v>
      </c>
      <c r="CP1058" s="54">
        <v>2.8</v>
      </c>
      <c r="CQ1058" s="4">
        <v>3.1</v>
      </c>
    </row>
    <row r="1059" spans="1:95" x14ac:dyDescent="0.35">
      <c r="A1059" s="55">
        <v>1058</v>
      </c>
      <c r="B1059" t="s">
        <v>122</v>
      </c>
      <c r="C1059" s="27" t="s">
        <v>1132</v>
      </c>
      <c r="D1059" s="3" t="s">
        <v>88</v>
      </c>
      <c r="E1059" s="27" t="s">
        <v>89</v>
      </c>
      <c r="F1059" s="4">
        <f>IFERROR(AVERAGEIF(Table1[[#This Row],[2019-Apr]:[2025-July]],"&lt;&gt;0"),0)</f>
        <v>3.3585714285714294</v>
      </c>
      <c r="G1059" s="4">
        <f ca="1">IFERROR(AVERAGEIF(OFFSET(Table1[[#This Row],[Status]],0,COUNT(Table1[[#This Row],[2019-May]:[2025-July]]),1,-12),"&lt;&gt;0"),0)</f>
        <v>3.6188888888888888</v>
      </c>
      <c r="H1059" s="55">
        <f>IFERROR(SMALL(Table1[[#This Row],[2019-Apr]:[2025-July]],COUNTIF(Table1[[#This Row],[2019-Apr]:[2025-July]],0)+1),0)</f>
        <v>2.35</v>
      </c>
      <c r="I1059" s="56">
        <f>IFERROR(MAX(Table1[[#This Row],[2019-Apr]:[2025-July]]),0)</f>
        <v>4.5999999999999996</v>
      </c>
      <c r="J1059" s="4" cm="1">
        <f t="array" ref="J105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2.6199999999999997</v>
      </c>
      <c r="K1059" s="4">
        <v>4.5</v>
      </c>
      <c r="L1059" s="4">
        <f>IF(Table1[[#This Row],[Standard as per ISO]]&gt;=Table1[[#This Row],[Avg of best 6]],Table1[[#This Row],[Standard as per ISO]],Table1[[#This Row],[Avg of best 6]])</f>
        <v>4.5</v>
      </c>
      <c r="M1059" s="4" cm="1">
        <f t="array" ref="M1059">IFERROR(LOOKUP(2,1/(Table1[[#This Row],[2019-May]:[2025-July]]&lt;&gt;0),Table1[[#This Row],[2019-May]:[2025-July]]),0)</f>
        <v>3.4</v>
      </c>
      <c r="N1059" s="4">
        <f>COUNTIF(Table1[[#This Row],[2019-Apr]:[2025-July]],"&gt;="&amp;Table1[[#This Row],[Target]])</f>
        <v>1</v>
      </c>
      <c r="O1059" s="4">
        <f>IF(Table1[[#This Row],[Outliers 2Y]]=0,1,0)</f>
        <v>0</v>
      </c>
      <c r="P1059" s="4">
        <f>IF(Table1[[#This Row],[Last value]]&gt;1.5*Table1[[#This Row],[Target]],1,0)</f>
        <v>0</v>
      </c>
      <c r="Q1059" s="4">
        <f>IF(AND(1.5*Table1[[#This Row],[Target]]&gt;=Table1[[#This Row],[Last value]],Table1[[#This Row],[Last value]]&gt;Table1[[#This Row],[Target]]),1,0)</f>
        <v>0</v>
      </c>
      <c r="R1059" s="4">
        <f>IF(Table1[[#This Row],[Target]]&gt;=Table1[[#This Row],[Last value]],1,0)</f>
        <v>1</v>
      </c>
      <c r="S1059" s="4" t="str">
        <f t="shared" si="28"/>
        <v>Green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>
        <v>0</v>
      </c>
      <c r="BP1059" s="4">
        <v>0</v>
      </c>
      <c r="BQ1059" s="4">
        <v>3.43</v>
      </c>
      <c r="BR1059" s="4">
        <v>3.9</v>
      </c>
      <c r="BS1059" s="4">
        <v>2.58</v>
      </c>
      <c r="BT1059" s="4">
        <v>2.71</v>
      </c>
      <c r="BU1059" s="4">
        <v>3.42</v>
      </c>
      <c r="BV1059" s="4">
        <v>3.42</v>
      </c>
      <c r="BW1059" s="4">
        <v>2.68</v>
      </c>
      <c r="BX1059" s="4">
        <v>2.35</v>
      </c>
      <c r="BY1059" s="4">
        <v>3.23</v>
      </c>
      <c r="BZ1059" s="4">
        <v>2.79</v>
      </c>
      <c r="CA1059" s="4">
        <v>0</v>
      </c>
      <c r="CB1059" s="4">
        <v>0</v>
      </c>
      <c r="CC1059" s="4">
        <v>0</v>
      </c>
      <c r="CD1059" s="4">
        <v>4.05</v>
      </c>
      <c r="CE1059" s="4">
        <v>0</v>
      </c>
      <c r="CF1059" s="4">
        <v>4.26</v>
      </c>
      <c r="CG1059" s="4">
        <v>2.61</v>
      </c>
      <c r="CH1059" s="4">
        <v>0</v>
      </c>
      <c r="CI1059" s="4">
        <v>3.4</v>
      </c>
      <c r="CJ1059" s="34">
        <v>4.5999999999999996</v>
      </c>
      <c r="CK1059" s="34">
        <v>0</v>
      </c>
      <c r="CL1059" s="43">
        <v>3.1</v>
      </c>
      <c r="CM1059" s="4">
        <v>4.0999999999999996</v>
      </c>
      <c r="CN1059" s="53">
        <v>3.1</v>
      </c>
      <c r="CO1059" s="54">
        <v>3.2</v>
      </c>
      <c r="CP1059" s="54">
        <v>4.2</v>
      </c>
      <c r="CQ1059" s="4">
        <v>3.4</v>
      </c>
    </row>
    <row r="1060" spans="1:95" x14ac:dyDescent="0.35">
      <c r="A1060" s="55">
        <v>1059</v>
      </c>
      <c r="B1060" t="s">
        <v>122</v>
      </c>
      <c r="C1060" s="27" t="s">
        <v>1133</v>
      </c>
      <c r="D1060" s="3" t="s">
        <v>88</v>
      </c>
      <c r="E1060" s="27" t="s">
        <v>89</v>
      </c>
      <c r="F1060" s="4">
        <f>IFERROR(AVERAGEIF(Table1[[#This Row],[2019-Apr]:[2025-July]],"&lt;&gt;0"),0)</f>
        <v>3.8377272727272724</v>
      </c>
      <c r="G1060" s="4">
        <f ca="1">IFERROR(AVERAGEIF(OFFSET(Table1[[#This Row],[Status]],0,COUNT(Table1[[#This Row],[2019-May]:[2025-July]]),1,-12),"&lt;&gt;0"),0)</f>
        <v>3.5733333333333328</v>
      </c>
      <c r="H1060" s="55">
        <f>IFERROR(SMALL(Table1[[#This Row],[2019-Apr]:[2025-July]],COUNTIF(Table1[[#This Row],[2019-Apr]:[2025-July]],0)+1),0)</f>
        <v>1.76</v>
      </c>
      <c r="I1060" s="56">
        <f>IFERROR(MAX(Table1[[#This Row],[2019-Apr]:[2025-July]]),0)</f>
        <v>5.82</v>
      </c>
      <c r="J1060" s="4" cm="1">
        <f t="array" ref="J106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2.8683333333333327</v>
      </c>
      <c r="K1060" s="4">
        <v>4.5</v>
      </c>
      <c r="L1060" s="4">
        <f>IF(Table1[[#This Row],[Standard as per ISO]]&gt;=Table1[[#This Row],[Avg of best 6]],Table1[[#This Row],[Standard as per ISO]],Table1[[#This Row],[Avg of best 6]])</f>
        <v>4.5</v>
      </c>
      <c r="M1060" s="4" cm="1">
        <f t="array" ref="M1060">IFERROR(LOOKUP(2,1/(Table1[[#This Row],[2019-May]:[2025-July]]&lt;&gt;0),Table1[[#This Row],[2019-May]:[2025-July]]),0)</f>
        <v>4.2</v>
      </c>
      <c r="N1060" s="4">
        <f>COUNTIF(Table1[[#This Row],[2019-Apr]:[2025-July]],"&gt;="&amp;Table1[[#This Row],[Target]])</f>
        <v>3</v>
      </c>
      <c r="O1060" s="4">
        <f>IF(Table1[[#This Row],[Outliers 2Y]]=0,1,0)</f>
        <v>0</v>
      </c>
      <c r="P1060" s="4">
        <f>IF(Table1[[#This Row],[Last value]]&gt;1.5*Table1[[#This Row],[Target]],1,0)</f>
        <v>0</v>
      </c>
      <c r="Q1060" s="4">
        <f>IF(AND(1.5*Table1[[#This Row],[Target]]&gt;=Table1[[#This Row],[Last value]],Table1[[#This Row],[Last value]]&gt;Table1[[#This Row],[Target]]),1,0)</f>
        <v>0</v>
      </c>
      <c r="R1060" s="4">
        <f>IF(Table1[[#This Row],[Target]]&gt;=Table1[[#This Row],[Last value]],1,0)</f>
        <v>1</v>
      </c>
      <c r="S1060" s="4" t="str">
        <f t="shared" si="28"/>
        <v>Green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>
        <v>0</v>
      </c>
      <c r="BP1060" s="4">
        <v>5.0999999999999996</v>
      </c>
      <c r="BQ1060" s="4">
        <v>1.76</v>
      </c>
      <c r="BR1060" s="4">
        <v>4.3600000000000003</v>
      </c>
      <c r="BS1060" s="4">
        <v>3.94</v>
      </c>
      <c r="BT1060" s="4">
        <v>5.82</v>
      </c>
      <c r="BU1060" s="4">
        <v>4.07</v>
      </c>
      <c r="BV1060" s="4">
        <v>4.66</v>
      </c>
      <c r="BW1060" s="4">
        <v>3.59</v>
      </c>
      <c r="BX1060" s="4">
        <v>4.0599999999999996</v>
      </c>
      <c r="BY1060" s="4">
        <v>3.05</v>
      </c>
      <c r="BZ1060" s="4">
        <v>4.2699999999999996</v>
      </c>
      <c r="CA1060" s="4">
        <v>0</v>
      </c>
      <c r="CB1060" s="4">
        <v>0</v>
      </c>
      <c r="CC1060" s="4">
        <v>0</v>
      </c>
      <c r="CD1060" s="4">
        <v>3.39</v>
      </c>
      <c r="CE1060" s="4">
        <v>0</v>
      </c>
      <c r="CF1060" s="4">
        <v>2.38</v>
      </c>
      <c r="CG1060" s="4">
        <v>3.33</v>
      </c>
      <c r="CH1060" s="4">
        <v>0</v>
      </c>
      <c r="CI1060" s="4">
        <v>3.45</v>
      </c>
      <c r="CJ1060" s="34">
        <v>3.6</v>
      </c>
      <c r="CK1060" s="34">
        <v>0</v>
      </c>
      <c r="CL1060" s="43">
        <v>3.8</v>
      </c>
      <c r="CM1060" s="4">
        <v>4.2</v>
      </c>
      <c r="CN1060" s="53">
        <v>4.3</v>
      </c>
      <c r="CO1060" s="54">
        <v>3.3</v>
      </c>
      <c r="CP1060" s="54">
        <v>3.8</v>
      </c>
      <c r="CQ1060" s="4">
        <v>4.2</v>
      </c>
    </row>
    <row r="1061" spans="1:95" x14ac:dyDescent="0.35">
      <c r="A1061" s="55">
        <v>1060</v>
      </c>
      <c r="B1061" t="s">
        <v>122</v>
      </c>
      <c r="C1061" s="27" t="s">
        <v>1134</v>
      </c>
      <c r="D1061" s="3" t="s">
        <v>88</v>
      </c>
      <c r="E1061" s="27" t="s">
        <v>89</v>
      </c>
      <c r="F1061" s="4">
        <f>IFERROR(AVERAGEIF(Table1[[#This Row],[2019-Apr]:[2025-July]],"&lt;&gt;0"),0)</f>
        <v>1.8585714285714285</v>
      </c>
      <c r="G1061" s="4">
        <f ca="1">IFERROR(AVERAGEIF(OFFSET(Table1[[#This Row],[Status]],0,COUNT(Table1[[#This Row],[2019-May]:[2025-July]]),1,-12),"&lt;&gt;0"),0)</f>
        <v>1.9449999999999996</v>
      </c>
      <c r="H1061" s="55">
        <f>IFERROR(SMALL(Table1[[#This Row],[2019-Apr]:[2025-July]],COUNTIF(Table1[[#This Row],[2019-Apr]:[2025-July]],0)+1),0)</f>
        <v>0.88</v>
      </c>
      <c r="I1061" s="56">
        <f>IFERROR(MAX(Table1[[#This Row],[2019-Apr]:[2025-July]]),0)</f>
        <v>2.4</v>
      </c>
      <c r="J1061" s="4" cm="1">
        <f t="array" ref="J106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1.2933333333333332</v>
      </c>
      <c r="K1061" s="4">
        <v>4.5</v>
      </c>
      <c r="L1061" s="4">
        <f>IF(Table1[[#This Row],[Standard as per ISO]]&gt;=Table1[[#This Row],[Avg of best 6]],Table1[[#This Row],[Standard as per ISO]],Table1[[#This Row],[Avg of best 6]])</f>
        <v>4.5</v>
      </c>
      <c r="M1061" s="4" cm="1">
        <f t="array" ref="M1061">IFERROR(LOOKUP(2,1/(Table1[[#This Row],[2019-May]:[2025-July]]&lt;&gt;0),Table1[[#This Row],[2019-May]:[2025-July]]),0)</f>
        <v>2.2000000000000002</v>
      </c>
      <c r="N1061" s="4">
        <f>COUNTIF(Table1[[#This Row],[2019-Apr]:[2025-July]],"&gt;="&amp;Table1[[#This Row],[Target]])</f>
        <v>0</v>
      </c>
      <c r="O1061" s="4">
        <f>IF(Table1[[#This Row],[Outliers 2Y]]=0,1,0)</f>
        <v>1</v>
      </c>
      <c r="P1061" s="4">
        <f>IF(Table1[[#This Row],[Last value]]&gt;1.5*Table1[[#This Row],[Target]],1,0)</f>
        <v>0</v>
      </c>
      <c r="Q1061" s="4">
        <f>IF(AND(1.5*Table1[[#This Row],[Target]]&gt;=Table1[[#This Row],[Last value]],Table1[[#This Row],[Last value]]&gt;Table1[[#This Row],[Target]]),1,0)</f>
        <v>0</v>
      </c>
      <c r="R1061" s="4">
        <f>IF(Table1[[#This Row],[Target]]&gt;=Table1[[#This Row],[Last value]],1,0)</f>
        <v>1</v>
      </c>
      <c r="S1061" s="4" t="str">
        <f t="shared" si="28"/>
        <v>Green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>
        <v>0</v>
      </c>
      <c r="BP1061" s="4">
        <v>1.89</v>
      </c>
      <c r="BQ1061" s="4">
        <v>1.21</v>
      </c>
      <c r="BR1061" s="4">
        <v>0.88</v>
      </c>
      <c r="BS1061" s="4">
        <v>1.45</v>
      </c>
      <c r="BT1061" s="4">
        <v>1.43</v>
      </c>
      <c r="BU1061" s="4">
        <v>0</v>
      </c>
      <c r="BV1061" s="4">
        <v>2.1800000000000002</v>
      </c>
      <c r="BW1061" s="4">
        <v>1.99</v>
      </c>
      <c r="BX1061" s="4">
        <v>2.3199999999999998</v>
      </c>
      <c r="BY1061" s="4">
        <v>2.14</v>
      </c>
      <c r="BZ1061" s="4">
        <v>0</v>
      </c>
      <c r="CA1061" s="4">
        <v>0</v>
      </c>
      <c r="CB1061" s="4">
        <v>0</v>
      </c>
      <c r="CC1061" s="4">
        <v>1.89</v>
      </c>
      <c r="CD1061" s="4">
        <v>0</v>
      </c>
      <c r="CE1061" s="4">
        <v>2.2599999999999998</v>
      </c>
      <c r="CF1061" s="4">
        <v>1.54</v>
      </c>
      <c r="CG1061" s="4">
        <v>0</v>
      </c>
      <c r="CH1061" s="4">
        <v>0</v>
      </c>
      <c r="CI1061" s="4">
        <v>1.25</v>
      </c>
      <c r="CJ1061" s="34">
        <v>1.7</v>
      </c>
      <c r="CK1061" s="34">
        <v>1.7</v>
      </c>
      <c r="CL1061" s="43">
        <v>2.1</v>
      </c>
      <c r="CM1061" s="4">
        <v>2.1</v>
      </c>
      <c r="CN1061" s="53">
        <v>2</v>
      </c>
      <c r="CO1061" s="54">
        <v>2.4</v>
      </c>
      <c r="CP1061" s="54">
        <v>2.4</v>
      </c>
      <c r="CQ1061" s="4">
        <v>2.2000000000000002</v>
      </c>
    </row>
    <row r="1062" spans="1:95" x14ac:dyDescent="0.35">
      <c r="A1062" s="55">
        <v>1061</v>
      </c>
      <c r="B1062" t="s">
        <v>122</v>
      </c>
      <c r="C1062" s="27" t="s">
        <v>1135</v>
      </c>
      <c r="D1062" s="3" t="s">
        <v>88</v>
      </c>
      <c r="E1062" s="27" t="s">
        <v>89</v>
      </c>
      <c r="F1062" s="4">
        <f>IFERROR(AVERAGEIF(Table1[[#This Row],[2019-Apr]:[2025-July]],"&lt;&gt;0"),0)</f>
        <v>3.2958823529411765</v>
      </c>
      <c r="G1062" s="4">
        <f ca="1">IFERROR(AVERAGEIF(OFFSET(Table1[[#This Row],[Status]],0,COUNT(Table1[[#This Row],[2019-May]:[2025-July]]),1,-12),"&lt;&gt;0"),0)</f>
        <v>3.5312499999999996</v>
      </c>
      <c r="H1062" s="55">
        <f>IFERROR(SMALL(Table1[[#This Row],[2019-Apr]:[2025-July]],COUNTIF(Table1[[#This Row],[2019-Apr]:[2025-July]],0)+1),0)</f>
        <v>1.38</v>
      </c>
      <c r="I1062" s="56">
        <f>IFERROR(MAX(Table1[[#This Row],[2019-Apr]:[2025-July]]),0)</f>
        <v>4.5999999999999996</v>
      </c>
      <c r="J1062" s="4" cm="1">
        <f t="array" ref="J106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2.5516666666666667</v>
      </c>
      <c r="K1062" s="4">
        <v>4.5</v>
      </c>
      <c r="L1062" s="4">
        <f>IF(Table1[[#This Row],[Standard as per ISO]]&gt;=Table1[[#This Row],[Avg of best 6]],Table1[[#This Row],[Standard as per ISO]],Table1[[#This Row],[Avg of best 6]])</f>
        <v>4.5</v>
      </c>
      <c r="M1062" s="4" cm="1">
        <f t="array" ref="M1062">IFERROR(LOOKUP(2,1/(Table1[[#This Row],[2019-May]:[2025-July]]&lt;&gt;0),Table1[[#This Row],[2019-May]:[2025-July]]),0)</f>
        <v>3.8</v>
      </c>
      <c r="N1062" s="4">
        <f>COUNTIF(Table1[[#This Row],[2019-Apr]:[2025-July]],"&gt;="&amp;Table1[[#This Row],[Target]])</f>
        <v>1</v>
      </c>
      <c r="O1062" s="4">
        <f>IF(Table1[[#This Row],[Outliers 2Y]]=0,1,0)</f>
        <v>0</v>
      </c>
      <c r="P1062" s="4">
        <f>IF(Table1[[#This Row],[Last value]]&gt;1.5*Table1[[#This Row],[Target]],1,0)</f>
        <v>0</v>
      </c>
      <c r="Q1062" s="4">
        <f>IF(AND(1.5*Table1[[#This Row],[Target]]&gt;=Table1[[#This Row],[Last value]],Table1[[#This Row],[Last value]]&gt;Table1[[#This Row],[Target]]),1,0)</f>
        <v>0</v>
      </c>
      <c r="R1062" s="4">
        <f>IF(Table1[[#This Row],[Target]]&gt;=Table1[[#This Row],[Last value]],1,0)</f>
        <v>1</v>
      </c>
      <c r="S1062" s="4" t="str">
        <f t="shared" si="28"/>
        <v>Green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>
        <v>0</v>
      </c>
      <c r="BP1062" s="4">
        <v>0</v>
      </c>
      <c r="BQ1062" s="4">
        <v>3.51</v>
      </c>
      <c r="BR1062" s="4">
        <v>2.3199999999999998</v>
      </c>
      <c r="BS1062" s="4">
        <v>3.93</v>
      </c>
      <c r="BT1062" s="4">
        <v>0</v>
      </c>
      <c r="BU1062" s="4">
        <v>0</v>
      </c>
      <c r="BV1062" s="4">
        <v>3.01</v>
      </c>
      <c r="BW1062" s="4">
        <v>3.51</v>
      </c>
      <c r="BX1062" s="4">
        <v>2.8</v>
      </c>
      <c r="BY1062" s="4">
        <v>3.52</v>
      </c>
      <c r="BZ1062" s="4">
        <v>0</v>
      </c>
      <c r="CA1062" s="4">
        <v>0</v>
      </c>
      <c r="CB1062" s="4">
        <v>0</v>
      </c>
      <c r="CC1062" s="4">
        <v>0</v>
      </c>
      <c r="CD1062" s="4">
        <v>1.38</v>
      </c>
      <c r="CE1062" s="4">
        <v>0</v>
      </c>
      <c r="CF1062" s="4">
        <v>3.19</v>
      </c>
      <c r="CG1062" s="4">
        <v>0</v>
      </c>
      <c r="CH1062" s="4">
        <v>0</v>
      </c>
      <c r="CI1062" s="4">
        <v>4.16</v>
      </c>
      <c r="CJ1062" s="34">
        <v>3.4</v>
      </c>
      <c r="CK1062" s="34">
        <v>0</v>
      </c>
      <c r="CL1062" s="43">
        <v>4.5999999999999996</v>
      </c>
      <c r="CM1062" s="4">
        <v>3.9</v>
      </c>
      <c r="CN1062" s="53">
        <v>2.9</v>
      </c>
      <c r="CO1062" s="54">
        <v>2.9</v>
      </c>
      <c r="CP1062" s="54">
        <v>3.2</v>
      </c>
      <c r="CQ1062" s="4">
        <v>3.8</v>
      </c>
    </row>
    <row r="1063" spans="1:95" x14ac:dyDescent="0.35">
      <c r="A1063" s="55">
        <v>1062</v>
      </c>
      <c r="B1063" t="s">
        <v>122</v>
      </c>
      <c r="C1063" s="27" t="s">
        <v>1136</v>
      </c>
      <c r="D1063" s="3" t="s">
        <v>88</v>
      </c>
      <c r="E1063" s="27" t="s">
        <v>89</v>
      </c>
      <c r="F1063" s="4">
        <f>IFERROR(AVERAGEIF(Table1[[#This Row],[2019-Apr]:[2025-July]],"&lt;&gt;0"),0)</f>
        <v>3.0907142857142853</v>
      </c>
      <c r="G1063" s="4">
        <f ca="1">IFERROR(AVERAGEIF(OFFSET(Table1[[#This Row],[Status]],0,COUNT(Table1[[#This Row],[2019-May]:[2025-July]]),1,-12),"&lt;&gt;0"),0)</f>
        <v>3.0125000000000002</v>
      </c>
      <c r="H1063" s="55">
        <f>IFERROR(SMALL(Table1[[#This Row],[2019-Apr]:[2025-July]],COUNTIF(Table1[[#This Row],[2019-Apr]:[2025-July]],0)+1),0)</f>
        <v>2.68</v>
      </c>
      <c r="I1063" s="56">
        <f>IFERROR(MAX(Table1[[#This Row],[2019-Apr]:[2025-July]]),0)</f>
        <v>3.79</v>
      </c>
      <c r="J1063" s="4" cm="1">
        <f t="array" ref="J106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2.7850000000000001</v>
      </c>
      <c r="K1063" s="4">
        <v>4.5</v>
      </c>
      <c r="L1063" s="4">
        <f>IF(Table1[[#This Row],[Standard as per ISO]]&gt;=Table1[[#This Row],[Avg of best 6]],Table1[[#This Row],[Standard as per ISO]],Table1[[#This Row],[Avg of best 6]])</f>
        <v>4.5</v>
      </c>
      <c r="M1063" s="4" cm="1">
        <f t="array" ref="M1063">IFERROR(LOOKUP(2,1/(Table1[[#This Row],[2019-May]:[2025-July]]&lt;&gt;0),Table1[[#This Row],[2019-May]:[2025-July]]),0)</f>
        <v>2.8</v>
      </c>
      <c r="N1063" s="4">
        <f>COUNTIF(Table1[[#This Row],[2019-Apr]:[2025-July]],"&gt;="&amp;Table1[[#This Row],[Target]])</f>
        <v>0</v>
      </c>
      <c r="O1063" s="4">
        <f>IF(Table1[[#This Row],[Outliers 2Y]]=0,1,0)</f>
        <v>1</v>
      </c>
      <c r="P1063" s="4">
        <f>IF(Table1[[#This Row],[Last value]]&gt;1.5*Table1[[#This Row],[Target]],1,0)</f>
        <v>0</v>
      </c>
      <c r="Q1063" s="4">
        <f>IF(AND(1.5*Table1[[#This Row],[Target]]&gt;=Table1[[#This Row],[Last value]],Table1[[#This Row],[Last value]]&gt;Table1[[#This Row],[Target]]),1,0)</f>
        <v>0</v>
      </c>
      <c r="R1063" s="4">
        <f>IF(Table1[[#This Row],[Target]]&gt;=Table1[[#This Row],[Last value]],1,0)</f>
        <v>1</v>
      </c>
      <c r="S1063" s="4" t="str">
        <f t="shared" si="28"/>
        <v>Green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>
        <v>0</v>
      </c>
      <c r="BP1063" s="4">
        <v>0</v>
      </c>
      <c r="BQ1063" s="4">
        <v>2.82</v>
      </c>
      <c r="BR1063" s="4">
        <v>2.99</v>
      </c>
      <c r="BS1063" s="4">
        <v>0</v>
      </c>
      <c r="BT1063" s="4">
        <v>0</v>
      </c>
      <c r="BU1063" s="4">
        <v>0</v>
      </c>
      <c r="BV1063" s="4">
        <v>3.33</v>
      </c>
      <c r="BW1063" s="4">
        <v>0</v>
      </c>
      <c r="BX1063" s="4">
        <v>0</v>
      </c>
      <c r="BY1063" s="4">
        <v>3.79</v>
      </c>
      <c r="BZ1063" s="4">
        <v>0</v>
      </c>
      <c r="CA1063" s="4">
        <v>0</v>
      </c>
      <c r="CB1063" s="4">
        <v>0</v>
      </c>
      <c r="CC1063" s="4">
        <v>0</v>
      </c>
      <c r="CD1063" s="4">
        <v>3.44</v>
      </c>
      <c r="CE1063" s="4">
        <v>0</v>
      </c>
      <c r="CF1063" s="4">
        <v>2.68</v>
      </c>
      <c r="CG1063" s="4">
        <v>0</v>
      </c>
      <c r="CH1063" s="4">
        <v>0</v>
      </c>
      <c r="CI1063" s="4">
        <v>2.72</v>
      </c>
      <c r="CJ1063" s="34">
        <v>2.7</v>
      </c>
      <c r="CK1063" s="34">
        <v>0</v>
      </c>
      <c r="CL1063" s="43">
        <v>3</v>
      </c>
      <c r="CM1063" s="4">
        <v>3</v>
      </c>
      <c r="CN1063" s="53">
        <v>3.1</v>
      </c>
      <c r="CO1063" s="54">
        <v>3.4</v>
      </c>
      <c r="CP1063" s="54">
        <v>3.5</v>
      </c>
      <c r="CQ1063" s="4">
        <v>2.8</v>
      </c>
    </row>
    <row r="1064" spans="1:95" x14ac:dyDescent="0.35">
      <c r="A1064" s="55">
        <v>1063</v>
      </c>
      <c r="B1064" t="s">
        <v>122</v>
      </c>
      <c r="C1064" s="27" t="s">
        <v>1137</v>
      </c>
      <c r="D1064" s="3" t="s">
        <v>88</v>
      </c>
      <c r="E1064" s="27" t="s">
        <v>89</v>
      </c>
      <c r="F1064" s="4">
        <f>IFERROR(AVERAGEIF(Table1[[#This Row],[2019-Apr]:[2025-July]],"&lt;&gt;0"),0)</f>
        <v>1.4652380952380955</v>
      </c>
      <c r="G1064" s="4">
        <f ca="1">IFERROR(AVERAGEIF(OFFSET(Table1[[#This Row],[Status]],0,COUNT(Table1[[#This Row],[2019-May]:[2025-July]]),1,-12),"&lt;&gt;0"),0)</f>
        <v>1.5687499999999999</v>
      </c>
      <c r="H1064" s="55">
        <f>IFERROR(SMALL(Table1[[#This Row],[2019-Apr]:[2025-July]],COUNTIF(Table1[[#This Row],[2019-Apr]:[2025-July]],0)+1),0)</f>
        <v>1.07</v>
      </c>
      <c r="I1064" s="56">
        <f>IFERROR(MAX(Table1[[#This Row],[2019-Apr]:[2025-July]]),0)</f>
        <v>2.1</v>
      </c>
      <c r="J1064" s="4" cm="1">
        <f t="array" ref="J106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1.1916666666666667</v>
      </c>
      <c r="K1064" s="4">
        <v>4.5</v>
      </c>
      <c r="L1064" s="4">
        <f>IF(Table1[[#This Row],[Standard as per ISO]]&gt;=Table1[[#This Row],[Avg of best 6]],Table1[[#This Row],[Standard as per ISO]],Table1[[#This Row],[Avg of best 6]])</f>
        <v>4.5</v>
      </c>
      <c r="M1064" s="4" cm="1">
        <f t="array" ref="M1064">IFERROR(LOOKUP(2,1/(Table1[[#This Row],[2019-May]:[2025-July]]&lt;&gt;0),Table1[[#This Row],[2019-May]:[2025-July]]),0)</f>
        <v>1.6</v>
      </c>
      <c r="N1064" s="4">
        <f>COUNTIF(Table1[[#This Row],[2019-Apr]:[2025-July]],"&gt;="&amp;Table1[[#This Row],[Target]])</f>
        <v>0</v>
      </c>
      <c r="O1064" s="4">
        <f>IF(Table1[[#This Row],[Outliers 2Y]]=0,1,0)</f>
        <v>1</v>
      </c>
      <c r="P1064" s="4">
        <f>IF(Table1[[#This Row],[Last value]]&gt;1.5*Table1[[#This Row],[Target]],1,0)</f>
        <v>0</v>
      </c>
      <c r="Q1064" s="4">
        <f>IF(AND(1.5*Table1[[#This Row],[Target]]&gt;=Table1[[#This Row],[Last value]],Table1[[#This Row],[Last value]]&gt;Table1[[#This Row],[Target]]),1,0)</f>
        <v>0</v>
      </c>
      <c r="R1064" s="4">
        <f>IF(Table1[[#This Row],[Target]]&gt;=Table1[[#This Row],[Last value]],1,0)</f>
        <v>1</v>
      </c>
      <c r="S1064" s="4" t="str">
        <f t="shared" si="28"/>
        <v>Green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>
        <v>0</v>
      </c>
      <c r="BP1064" s="4">
        <v>1.43</v>
      </c>
      <c r="BQ1064" s="4">
        <v>1.07</v>
      </c>
      <c r="BR1064" s="4">
        <v>1.31</v>
      </c>
      <c r="BS1064" s="4">
        <v>1.43</v>
      </c>
      <c r="BT1064" s="4">
        <v>2.09</v>
      </c>
      <c r="BU1064" s="4">
        <v>1.3</v>
      </c>
      <c r="BV1064" s="4">
        <v>1.71</v>
      </c>
      <c r="BW1064" s="4">
        <v>1.26</v>
      </c>
      <c r="BX1064" s="4">
        <v>1.23</v>
      </c>
      <c r="BY1064" s="4">
        <v>1.4</v>
      </c>
      <c r="BZ1064" s="4">
        <v>1.0900000000000001</v>
      </c>
      <c r="CA1064" s="4">
        <v>0</v>
      </c>
      <c r="CB1064" s="4">
        <v>0</v>
      </c>
      <c r="CC1064" s="4">
        <v>0</v>
      </c>
      <c r="CD1064" s="4">
        <v>1.3</v>
      </c>
      <c r="CE1064" s="4">
        <v>0</v>
      </c>
      <c r="CF1064" s="4">
        <v>1.78</v>
      </c>
      <c r="CG1064" s="4">
        <v>0</v>
      </c>
      <c r="CH1064" s="4">
        <v>0</v>
      </c>
      <c r="CI1064" s="4">
        <v>1.77</v>
      </c>
      <c r="CJ1064" s="34">
        <v>1.4</v>
      </c>
      <c r="CK1064" s="34">
        <v>0</v>
      </c>
      <c r="CL1064" s="43">
        <v>1.2</v>
      </c>
      <c r="CM1064" s="4">
        <v>1.4</v>
      </c>
      <c r="CN1064" s="53">
        <v>2.1</v>
      </c>
      <c r="CO1064" s="54">
        <v>1.6</v>
      </c>
      <c r="CP1064" s="54">
        <v>1.3</v>
      </c>
      <c r="CQ1064" s="4">
        <v>1.6</v>
      </c>
    </row>
    <row r="1065" spans="1:95" x14ac:dyDescent="0.35">
      <c r="A1065" s="55">
        <v>1064</v>
      </c>
      <c r="B1065" t="s">
        <v>122</v>
      </c>
      <c r="C1065" s="27" t="s">
        <v>1138</v>
      </c>
      <c r="D1065" s="3" t="s">
        <v>88</v>
      </c>
      <c r="E1065" s="27" t="s">
        <v>89</v>
      </c>
      <c r="F1065" s="4">
        <f>IFERROR(AVERAGEIF(Table1[[#This Row],[2019-Apr]:[2025-July]],"&lt;&gt;0"),0)</f>
        <v>1.6642857142857144</v>
      </c>
      <c r="G1065" s="4">
        <f ca="1">IFERROR(AVERAGEIF(OFFSET(Table1[[#This Row],[Status]],0,COUNT(Table1[[#This Row],[2019-May]:[2025-July]]),1,-12),"&lt;&gt;0"),0)</f>
        <v>1.3062499999999999</v>
      </c>
      <c r="H1065" s="55">
        <f>IFERROR(SMALL(Table1[[#This Row],[2019-Apr]:[2025-July]],COUNTIF(Table1[[#This Row],[2019-Apr]:[2025-July]],0)+1),0)</f>
        <v>0.21</v>
      </c>
      <c r="I1065" s="56">
        <f>IFERROR(MAX(Table1[[#This Row],[2019-Apr]:[2025-July]]),0)</f>
        <v>3.23</v>
      </c>
      <c r="J1065" s="4" cm="1">
        <f t="array" ref="J106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0.73499999999999999</v>
      </c>
      <c r="K1065" s="4">
        <v>4.5</v>
      </c>
      <c r="L1065" s="4">
        <f>IF(Table1[[#This Row],[Standard as per ISO]]&gt;=Table1[[#This Row],[Avg of best 6]],Table1[[#This Row],[Standard as per ISO]],Table1[[#This Row],[Avg of best 6]])</f>
        <v>4.5</v>
      </c>
      <c r="M1065" s="4" cm="1">
        <f t="array" ref="M1065">IFERROR(LOOKUP(2,1/(Table1[[#This Row],[2019-May]:[2025-July]]&lt;&gt;0),Table1[[#This Row],[2019-May]:[2025-July]]),0)</f>
        <v>1.9</v>
      </c>
      <c r="N1065" s="4">
        <f>COUNTIF(Table1[[#This Row],[2019-Apr]:[2025-July]],"&gt;="&amp;Table1[[#This Row],[Target]])</f>
        <v>0</v>
      </c>
      <c r="O1065" s="4">
        <f>IF(Table1[[#This Row],[Outliers 2Y]]=0,1,0)</f>
        <v>1</v>
      </c>
      <c r="P1065" s="4">
        <f>IF(Table1[[#This Row],[Last value]]&gt;1.5*Table1[[#This Row],[Target]],1,0)</f>
        <v>0</v>
      </c>
      <c r="Q1065" s="4">
        <f>IF(AND(1.5*Table1[[#This Row],[Target]]&gt;=Table1[[#This Row],[Last value]],Table1[[#This Row],[Last value]]&gt;Table1[[#This Row],[Target]]),1,0)</f>
        <v>0</v>
      </c>
      <c r="R1065" s="4">
        <f>IF(Table1[[#This Row],[Target]]&gt;=Table1[[#This Row],[Last value]],1,0)</f>
        <v>1</v>
      </c>
      <c r="S1065" s="4" t="str">
        <f t="shared" si="28"/>
        <v>Green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>
        <v>0</v>
      </c>
      <c r="BP1065" s="4">
        <v>3.23</v>
      </c>
      <c r="BQ1065" s="4">
        <v>0.93</v>
      </c>
      <c r="BR1065" s="4">
        <v>1.2</v>
      </c>
      <c r="BS1065" s="4">
        <v>2</v>
      </c>
      <c r="BT1065" s="4">
        <v>2.91</v>
      </c>
      <c r="BU1065" s="4">
        <v>2.93</v>
      </c>
      <c r="BV1065" s="4">
        <v>1.71</v>
      </c>
      <c r="BW1065" s="4">
        <v>0.21</v>
      </c>
      <c r="BX1065" s="4">
        <v>1.23</v>
      </c>
      <c r="BY1065" s="4">
        <v>1.93</v>
      </c>
      <c r="BZ1065" s="4">
        <v>2.2200000000000002</v>
      </c>
      <c r="CA1065" s="4">
        <v>0</v>
      </c>
      <c r="CB1065" s="4">
        <v>0</v>
      </c>
      <c r="CC1065" s="4">
        <v>0</v>
      </c>
      <c r="CD1065" s="4">
        <v>2.1</v>
      </c>
      <c r="CE1065" s="4">
        <v>0</v>
      </c>
      <c r="CF1065" s="4">
        <v>0.47</v>
      </c>
      <c r="CG1065" s="4">
        <v>0</v>
      </c>
      <c r="CH1065" s="4">
        <v>0</v>
      </c>
      <c r="CI1065" s="4">
        <v>1.28</v>
      </c>
      <c r="CJ1065" s="34">
        <v>1.8</v>
      </c>
      <c r="CK1065" s="34">
        <v>0</v>
      </c>
      <c r="CL1065" s="43">
        <v>1.9</v>
      </c>
      <c r="CM1065" s="4">
        <v>1.3</v>
      </c>
      <c r="CN1065" s="53">
        <v>2.1</v>
      </c>
      <c r="CO1065" s="54">
        <v>0.6</v>
      </c>
      <c r="CP1065" s="54">
        <v>1</v>
      </c>
      <c r="CQ1065" s="4">
        <v>1.9</v>
      </c>
    </row>
    <row r="1066" spans="1:95" x14ac:dyDescent="0.35">
      <c r="A1066" s="55">
        <v>1065</v>
      </c>
      <c r="B1066" t="s">
        <v>122</v>
      </c>
      <c r="C1066" s="27" t="s">
        <v>1139</v>
      </c>
      <c r="D1066" s="3" t="s">
        <v>88</v>
      </c>
      <c r="E1066" s="27" t="s">
        <v>89</v>
      </c>
      <c r="F1066" s="4">
        <f>IFERROR(AVERAGEIF(Table1[[#This Row],[2019-Apr]:[2025-July]],"&lt;&gt;0"),0)</f>
        <v>2.4291304347826084</v>
      </c>
      <c r="G1066" s="4">
        <f ca="1">IFERROR(AVERAGEIF(OFFSET(Table1[[#This Row],[Status]],0,COUNT(Table1[[#This Row],[2019-May]:[2025-July]]),1,-12),"&lt;&gt;0"),0)</f>
        <v>2.2237499999999999</v>
      </c>
      <c r="H1066" s="55">
        <f>IFERROR(SMALL(Table1[[#This Row],[2019-Apr]:[2025-July]],COUNTIF(Table1[[#This Row],[2019-Apr]:[2025-July]],0)+1),0)</f>
        <v>1.78</v>
      </c>
      <c r="I1066" s="56">
        <f>IFERROR(MAX(Table1[[#This Row],[2019-Apr]:[2025-July]]),0)</f>
        <v>4.3899999999999997</v>
      </c>
      <c r="J1066" s="4" cm="1">
        <f t="array" ref="J106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1.8699999999999999</v>
      </c>
      <c r="K1066" s="4">
        <v>4.5</v>
      </c>
      <c r="L1066" s="4">
        <f>IF(Table1[[#This Row],[Standard as per ISO]]&gt;=Table1[[#This Row],[Avg of best 6]],Table1[[#This Row],[Standard as per ISO]],Table1[[#This Row],[Avg of best 6]])</f>
        <v>4.5</v>
      </c>
      <c r="M1066" s="4" cm="1">
        <f t="array" ref="M1066">IFERROR(LOOKUP(2,1/(Table1[[#This Row],[2019-May]:[2025-July]]&lt;&gt;0),Table1[[#This Row],[2019-May]:[2025-July]]),0)</f>
        <v>2.6</v>
      </c>
      <c r="N1066" s="4">
        <f>COUNTIF(Table1[[#This Row],[2019-Apr]:[2025-July]],"&gt;="&amp;Table1[[#This Row],[Target]])</f>
        <v>0</v>
      </c>
      <c r="O1066" s="4">
        <f>IF(Table1[[#This Row],[Outliers 2Y]]=0,1,0)</f>
        <v>1</v>
      </c>
      <c r="P1066" s="4">
        <f>IF(Table1[[#This Row],[Last value]]&gt;1.5*Table1[[#This Row],[Target]],1,0)</f>
        <v>0</v>
      </c>
      <c r="Q1066" s="4">
        <f>IF(AND(1.5*Table1[[#This Row],[Target]]&gt;=Table1[[#This Row],[Last value]],Table1[[#This Row],[Last value]]&gt;Table1[[#This Row],[Target]]),1,0)</f>
        <v>0</v>
      </c>
      <c r="R1066" s="4">
        <f>IF(Table1[[#This Row],[Target]]&gt;=Table1[[#This Row],[Last value]],1,0)</f>
        <v>1</v>
      </c>
      <c r="S1066" s="4" t="str">
        <f t="shared" si="28"/>
        <v>Green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>
        <v>0</v>
      </c>
      <c r="BP1066" s="4">
        <v>2.58</v>
      </c>
      <c r="BQ1066" s="4">
        <v>2.65</v>
      </c>
      <c r="BR1066" s="4">
        <v>4.3899999999999997</v>
      </c>
      <c r="BS1066" s="4">
        <v>2.2000000000000002</v>
      </c>
      <c r="BT1066" s="4">
        <v>1.78</v>
      </c>
      <c r="BU1066" s="4">
        <v>2.2999999999999998</v>
      </c>
      <c r="BV1066" s="4">
        <v>2.95</v>
      </c>
      <c r="BW1066" s="4">
        <v>2.52</v>
      </c>
      <c r="BX1066" s="4">
        <v>3.08</v>
      </c>
      <c r="BY1066" s="4">
        <v>3.37</v>
      </c>
      <c r="BZ1066" s="4">
        <v>1.91</v>
      </c>
      <c r="CA1066" s="4">
        <v>1.78</v>
      </c>
      <c r="CB1066" s="4">
        <v>1.88</v>
      </c>
      <c r="CC1066" s="4">
        <v>0</v>
      </c>
      <c r="CD1066" s="4">
        <v>2.09</v>
      </c>
      <c r="CE1066" s="4">
        <v>0</v>
      </c>
      <c r="CF1066" s="4">
        <v>2.34</v>
      </c>
      <c r="CG1066" s="4">
        <v>0</v>
      </c>
      <c r="CH1066" s="4">
        <v>0</v>
      </c>
      <c r="CI1066" s="4">
        <v>1.87</v>
      </c>
      <c r="CJ1066" s="34">
        <v>2.4</v>
      </c>
      <c r="CK1066" s="34">
        <v>0</v>
      </c>
      <c r="CL1066" s="43">
        <v>2.2999999999999998</v>
      </c>
      <c r="CM1066" s="4">
        <v>2</v>
      </c>
      <c r="CN1066" s="53">
        <v>2.2999999999999998</v>
      </c>
      <c r="CO1066" s="54">
        <v>2.1</v>
      </c>
      <c r="CP1066" s="54">
        <v>2.48</v>
      </c>
      <c r="CQ1066" s="4">
        <v>2.6</v>
      </c>
    </row>
    <row r="1067" spans="1:95" x14ac:dyDescent="0.35">
      <c r="A1067" s="55">
        <v>1066</v>
      </c>
      <c r="B1067" t="s">
        <v>122</v>
      </c>
      <c r="C1067" s="27" t="s">
        <v>1140</v>
      </c>
      <c r="D1067" s="3" t="s">
        <v>88</v>
      </c>
      <c r="E1067" s="27" t="s">
        <v>89</v>
      </c>
      <c r="F1067" s="4">
        <f>IFERROR(AVERAGEIF(Table1[[#This Row],[2019-Apr]:[2025-July]],"&lt;&gt;0"),0)</f>
        <v>3.9469565217391307</v>
      </c>
      <c r="G1067" s="4">
        <f ca="1">IFERROR(AVERAGEIF(OFFSET(Table1[[#This Row],[Status]],0,COUNT(Table1[[#This Row],[2019-May]:[2025-July]]),1,-12),"&lt;&gt;0"),0)</f>
        <v>3.9974999999999996</v>
      </c>
      <c r="H1067" s="55">
        <f>IFERROR(SMALL(Table1[[#This Row],[2019-Apr]:[2025-July]],COUNTIF(Table1[[#This Row],[2019-Apr]:[2025-July]],0)+1),0)</f>
        <v>0.61</v>
      </c>
      <c r="I1067" s="56">
        <f>IFERROR(MAX(Table1[[#This Row],[2019-Apr]:[2025-July]]),0)</f>
        <v>7.54</v>
      </c>
      <c r="J1067" s="4" cm="1">
        <f t="array" ref="J106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2.2016666666666667</v>
      </c>
      <c r="K1067" s="4">
        <v>4.5</v>
      </c>
      <c r="L1067" s="4">
        <f>IF(Table1[[#This Row],[Standard as per ISO]]&gt;=Table1[[#This Row],[Avg of best 6]],Table1[[#This Row],[Standard as per ISO]],Table1[[#This Row],[Avg of best 6]])</f>
        <v>4.5</v>
      </c>
      <c r="M1067" s="4" cm="1">
        <f t="array" ref="M1067">IFERROR(LOOKUP(2,1/(Table1[[#This Row],[2019-May]:[2025-July]]&lt;&gt;0),Table1[[#This Row],[2019-May]:[2025-July]]),0)</f>
        <v>4.4000000000000004</v>
      </c>
      <c r="N1067" s="4">
        <f>COUNTIF(Table1[[#This Row],[2019-Apr]:[2025-July]],"&gt;="&amp;Table1[[#This Row],[Target]])</f>
        <v>6</v>
      </c>
      <c r="O1067" s="4">
        <f>IF(Table1[[#This Row],[Outliers 2Y]]=0,1,0)</f>
        <v>0</v>
      </c>
      <c r="P1067" s="4">
        <f>IF(Table1[[#This Row],[Last value]]&gt;1.5*Table1[[#This Row],[Target]],1,0)</f>
        <v>0</v>
      </c>
      <c r="Q1067" s="4">
        <f>IF(AND(1.5*Table1[[#This Row],[Target]]&gt;=Table1[[#This Row],[Last value]],Table1[[#This Row],[Last value]]&gt;Table1[[#This Row],[Target]]),1,0)</f>
        <v>0</v>
      </c>
      <c r="R1067" s="4">
        <f>IF(Table1[[#This Row],[Target]]&gt;=Table1[[#This Row],[Last value]],1,0)</f>
        <v>1</v>
      </c>
      <c r="S1067" s="4" t="str">
        <f t="shared" si="28"/>
        <v>Green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>
        <v>0</v>
      </c>
      <c r="BP1067" s="4">
        <v>3.62</v>
      </c>
      <c r="BQ1067" s="4">
        <v>0.61</v>
      </c>
      <c r="BR1067" s="4">
        <v>1</v>
      </c>
      <c r="BS1067" s="4">
        <v>1.95</v>
      </c>
      <c r="BT1067" s="4">
        <v>5.3</v>
      </c>
      <c r="BU1067" s="4">
        <v>3.55</v>
      </c>
      <c r="BV1067" s="4">
        <v>4.1100000000000003</v>
      </c>
      <c r="BW1067" s="4">
        <v>4.05</v>
      </c>
      <c r="BX1067" s="4">
        <v>4.93</v>
      </c>
      <c r="BY1067" s="4">
        <v>7.1</v>
      </c>
      <c r="BZ1067" s="4">
        <v>7.54</v>
      </c>
      <c r="CA1067" s="4">
        <v>3.49</v>
      </c>
      <c r="CB1067" s="4">
        <v>3.53</v>
      </c>
      <c r="CC1067" s="4">
        <v>0</v>
      </c>
      <c r="CD1067" s="4">
        <v>3.62</v>
      </c>
      <c r="CE1067" s="4">
        <v>0</v>
      </c>
      <c r="CF1067" s="4">
        <v>3.16</v>
      </c>
      <c r="CG1067" s="4">
        <v>0</v>
      </c>
      <c r="CH1067" s="4">
        <v>0</v>
      </c>
      <c r="CI1067" s="4">
        <v>4.0199999999999996</v>
      </c>
      <c r="CJ1067" s="34">
        <v>4.0999999999999996</v>
      </c>
      <c r="CK1067" s="34">
        <v>0</v>
      </c>
      <c r="CL1067" s="43">
        <v>4.5</v>
      </c>
      <c r="CM1067" s="4">
        <v>4.3</v>
      </c>
      <c r="CN1067" s="53">
        <v>3.9</v>
      </c>
      <c r="CO1067" s="54">
        <v>3</v>
      </c>
      <c r="CP1067" s="54">
        <v>5</v>
      </c>
      <c r="CQ1067" s="4">
        <v>4.4000000000000004</v>
      </c>
    </row>
    <row r="1068" spans="1:95" x14ac:dyDescent="0.35">
      <c r="A1068" s="55">
        <v>1067</v>
      </c>
      <c r="B1068" t="s">
        <v>122</v>
      </c>
      <c r="C1068" s="27" t="s">
        <v>1141</v>
      </c>
      <c r="D1068" s="3" t="s">
        <v>88</v>
      </c>
      <c r="E1068" s="27" t="s">
        <v>89</v>
      </c>
      <c r="F1068" s="4">
        <f>IFERROR(AVERAGEIF(Table1[[#This Row],[2019-Apr]:[2025-July]],"&lt;&gt;0"),0)</f>
        <v>1.2631578947368418</v>
      </c>
      <c r="G1068" s="4">
        <f ca="1">IFERROR(AVERAGEIF(OFFSET(Table1[[#This Row],[Status]],0,COUNT(Table1[[#This Row],[2019-May]:[2025-July]]),1,-12),"&lt;&gt;0"),0)</f>
        <v>1.29</v>
      </c>
      <c r="H1068" s="55">
        <f>IFERROR(SMALL(Table1[[#This Row],[2019-Apr]:[2025-July]],COUNTIF(Table1[[#This Row],[2019-Apr]:[2025-July]],0)+1),0)</f>
        <v>0.3</v>
      </c>
      <c r="I1068" s="56">
        <f>IFERROR(MAX(Table1[[#This Row],[2019-Apr]:[2025-July]]),0)</f>
        <v>2.0299999999999998</v>
      </c>
      <c r="J1068" s="4" cm="1">
        <f t="array" ref="J106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0.85500000000000009</v>
      </c>
      <c r="K1068" s="4">
        <v>4.5</v>
      </c>
      <c r="L1068" s="4">
        <f>IF(Table1[[#This Row],[Standard as per ISO]]&gt;=Table1[[#This Row],[Avg of best 6]],Table1[[#This Row],[Standard as per ISO]],Table1[[#This Row],[Avg of best 6]])</f>
        <v>4.5</v>
      </c>
      <c r="M1068" s="4" cm="1">
        <f t="array" ref="M1068">IFERROR(LOOKUP(2,1/(Table1[[#This Row],[2019-May]:[2025-July]]&lt;&gt;0),Table1[[#This Row],[2019-May]:[2025-July]]),0)</f>
        <v>1.2</v>
      </c>
      <c r="N1068" s="4">
        <f>COUNTIF(Table1[[#This Row],[2019-Apr]:[2025-July]],"&gt;="&amp;Table1[[#This Row],[Target]])</f>
        <v>0</v>
      </c>
      <c r="O1068" s="4">
        <f>IF(Table1[[#This Row],[Outliers 2Y]]=0,1,0)</f>
        <v>1</v>
      </c>
      <c r="P1068" s="4">
        <f>IF(Table1[[#This Row],[Last value]]&gt;1.5*Table1[[#This Row],[Target]],1,0)</f>
        <v>0</v>
      </c>
      <c r="Q1068" s="4">
        <f>IF(AND(1.5*Table1[[#This Row],[Target]]&gt;=Table1[[#This Row],[Last value]],Table1[[#This Row],[Last value]]&gt;Table1[[#This Row],[Target]]),1,0)</f>
        <v>0</v>
      </c>
      <c r="R1068" s="4">
        <f>IF(Table1[[#This Row],[Target]]&gt;=Table1[[#This Row],[Last value]],1,0)</f>
        <v>1</v>
      </c>
      <c r="S1068" s="4" t="str">
        <f t="shared" si="28"/>
        <v>Green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>
        <v>0</v>
      </c>
      <c r="BP1068" s="4">
        <v>0</v>
      </c>
      <c r="BQ1068" s="4">
        <v>0.61</v>
      </c>
      <c r="BR1068" s="4">
        <v>0.3</v>
      </c>
      <c r="BS1068" s="4">
        <v>1.66</v>
      </c>
      <c r="BT1068" s="4">
        <v>1.05</v>
      </c>
      <c r="BU1068" s="4">
        <v>1.1299999999999999</v>
      </c>
      <c r="BV1068" s="4">
        <v>0.98</v>
      </c>
      <c r="BW1068" s="4">
        <v>2.0299999999999998</v>
      </c>
      <c r="BX1068" s="4">
        <v>1.88</v>
      </c>
      <c r="BY1068" s="4">
        <v>1.75</v>
      </c>
      <c r="BZ1068" s="4">
        <v>0</v>
      </c>
      <c r="CA1068" s="4">
        <v>0</v>
      </c>
      <c r="CB1068" s="4">
        <v>0</v>
      </c>
      <c r="CC1068" s="4">
        <v>0</v>
      </c>
      <c r="CD1068" s="4">
        <v>1.0900000000000001</v>
      </c>
      <c r="CE1068" s="4">
        <v>0</v>
      </c>
      <c r="CF1068" s="4">
        <v>1.2</v>
      </c>
      <c r="CG1068" s="4">
        <v>0</v>
      </c>
      <c r="CH1068" s="4">
        <v>0</v>
      </c>
      <c r="CI1068" s="4">
        <v>1.42</v>
      </c>
      <c r="CJ1068" s="34">
        <v>1.3</v>
      </c>
      <c r="CK1068" s="34">
        <v>0</v>
      </c>
      <c r="CL1068" s="43">
        <v>1.4</v>
      </c>
      <c r="CM1068" s="4">
        <v>1.3</v>
      </c>
      <c r="CN1068" s="53">
        <v>1.2</v>
      </c>
      <c r="CO1068" s="54">
        <v>1.1000000000000001</v>
      </c>
      <c r="CP1068" s="54">
        <v>1.4</v>
      </c>
      <c r="CQ1068" s="4">
        <v>1.2</v>
      </c>
    </row>
    <row r="1069" spans="1:95" x14ac:dyDescent="0.35">
      <c r="A1069" s="55">
        <v>1068</v>
      </c>
      <c r="B1069" t="s">
        <v>122</v>
      </c>
      <c r="C1069" s="27" t="s">
        <v>1142</v>
      </c>
      <c r="D1069" s="3" t="s">
        <v>88</v>
      </c>
      <c r="E1069" s="27" t="s">
        <v>89</v>
      </c>
      <c r="F1069" s="4">
        <f>IFERROR(AVERAGEIF(Table1[[#This Row],[2019-Apr]:[2025-July]],"&lt;&gt;0"),0)</f>
        <v>2.1831578947368429</v>
      </c>
      <c r="G1069" s="4">
        <f ca="1">IFERROR(AVERAGEIF(OFFSET(Table1[[#This Row],[Status]],0,COUNT(Table1[[#This Row],[2019-May]:[2025-July]]),1,-12),"&lt;&gt;0"),0)</f>
        <v>1.9522222222222223</v>
      </c>
      <c r="H1069" s="55">
        <f>IFERROR(SMALL(Table1[[#This Row],[2019-Apr]:[2025-July]],COUNTIF(Table1[[#This Row],[2019-Apr]:[2025-July]],0)+1),0)</f>
        <v>1.42</v>
      </c>
      <c r="I1069" s="56">
        <f>IFERROR(MAX(Table1[[#This Row],[2019-Apr]:[2025-July]]),0)</f>
        <v>2.96</v>
      </c>
      <c r="J1069" s="4" cm="1">
        <f t="array" ref="J106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1.7266666666666668</v>
      </c>
      <c r="K1069" s="4">
        <v>4.5</v>
      </c>
      <c r="L1069" s="4">
        <f>IF(Table1[[#This Row],[Standard as per ISO]]&gt;=Table1[[#This Row],[Avg of best 6]],Table1[[#This Row],[Standard as per ISO]],Table1[[#This Row],[Avg of best 6]])</f>
        <v>4.5</v>
      </c>
      <c r="M1069" s="4" cm="1">
        <f t="array" ref="M1069">IFERROR(LOOKUP(2,1/(Table1[[#This Row],[2019-May]:[2025-July]]&lt;&gt;0),Table1[[#This Row],[2019-May]:[2025-July]]),0)</f>
        <v>2.1</v>
      </c>
      <c r="N1069" s="4">
        <f>COUNTIF(Table1[[#This Row],[2019-Apr]:[2025-July]],"&gt;="&amp;Table1[[#This Row],[Target]])</f>
        <v>0</v>
      </c>
      <c r="O1069" s="4">
        <f>IF(Table1[[#This Row],[Outliers 2Y]]=0,1,0)</f>
        <v>1</v>
      </c>
      <c r="P1069" s="4">
        <f>IF(Table1[[#This Row],[Last value]]&gt;1.5*Table1[[#This Row],[Target]],1,0)</f>
        <v>0</v>
      </c>
      <c r="Q1069" s="4">
        <f>IF(AND(1.5*Table1[[#This Row],[Target]]&gt;=Table1[[#This Row],[Last value]],Table1[[#This Row],[Last value]]&gt;Table1[[#This Row],[Target]]),1,0)</f>
        <v>0</v>
      </c>
      <c r="R1069" s="4">
        <f>IF(Table1[[#This Row],[Target]]&gt;=Table1[[#This Row],[Last value]],1,0)</f>
        <v>1</v>
      </c>
      <c r="S1069" s="4" t="str">
        <f t="shared" si="28"/>
        <v>Green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>
        <v>0</v>
      </c>
      <c r="BP1069" s="4">
        <v>2.38</v>
      </c>
      <c r="BQ1069" s="4">
        <v>2.56</v>
      </c>
      <c r="BR1069" s="4">
        <v>1.98</v>
      </c>
      <c r="BS1069" s="4">
        <v>2.65</v>
      </c>
      <c r="BT1069" s="4">
        <v>2.96</v>
      </c>
      <c r="BU1069" s="4">
        <v>0</v>
      </c>
      <c r="BV1069" s="4">
        <v>0</v>
      </c>
      <c r="BW1069" s="4">
        <v>2.68</v>
      </c>
      <c r="BX1069" s="4">
        <v>2.67</v>
      </c>
      <c r="BY1069" s="4">
        <v>1.89</v>
      </c>
      <c r="BZ1069" s="4">
        <v>0</v>
      </c>
      <c r="CA1069" s="4">
        <v>0</v>
      </c>
      <c r="CB1069" s="4">
        <v>0</v>
      </c>
      <c r="CC1069" s="4">
        <v>0</v>
      </c>
      <c r="CD1069" s="4">
        <v>2.04</v>
      </c>
      <c r="CE1069" s="4">
        <v>0</v>
      </c>
      <c r="CF1069" s="4">
        <v>1.85</v>
      </c>
      <c r="CG1069" s="4">
        <v>0</v>
      </c>
      <c r="CH1069" s="4">
        <v>0</v>
      </c>
      <c r="CI1069" s="4">
        <v>1.42</v>
      </c>
      <c r="CJ1069" s="34">
        <v>2.4</v>
      </c>
      <c r="CK1069" s="34">
        <v>2.4</v>
      </c>
      <c r="CL1069" s="43">
        <v>2.1</v>
      </c>
      <c r="CM1069" s="4">
        <v>2.2000000000000002</v>
      </c>
      <c r="CN1069" s="53">
        <v>1.7</v>
      </c>
      <c r="CO1069" s="54">
        <v>1.9</v>
      </c>
      <c r="CP1069" s="54">
        <v>1.6</v>
      </c>
      <c r="CQ1069" s="4">
        <v>2.1</v>
      </c>
    </row>
    <row r="1070" spans="1:95" x14ac:dyDescent="0.35">
      <c r="A1070" s="55">
        <v>1069</v>
      </c>
      <c r="B1070" t="s">
        <v>122</v>
      </c>
      <c r="C1070" s="27" t="s">
        <v>1143</v>
      </c>
      <c r="D1070" s="3" t="s">
        <v>88</v>
      </c>
      <c r="E1070" s="27" t="s">
        <v>89</v>
      </c>
      <c r="F1070" s="4">
        <f>IFERROR(AVERAGEIF(Table1[[#This Row],[2019-Apr]:[2025-July]],"&lt;&gt;0"),0)</f>
        <v>2.2944444444444443</v>
      </c>
      <c r="G1070" s="4">
        <f ca="1">IFERROR(AVERAGEIF(OFFSET(Table1[[#This Row],[Status]],0,COUNT(Table1[[#This Row],[2019-May]:[2025-July]]),1,-12),"&lt;&gt;0"),0)</f>
        <v>2.2375000000000003</v>
      </c>
      <c r="H1070" s="55">
        <f>IFERROR(SMALL(Table1[[#This Row],[2019-Apr]:[2025-July]],COUNTIF(Table1[[#This Row],[2019-Apr]:[2025-July]],0)+1),0)</f>
        <v>1.76</v>
      </c>
      <c r="I1070" s="56">
        <f>IFERROR(MAX(Table1[[#This Row],[2019-Apr]:[2025-July]]),0)</f>
        <v>2.93</v>
      </c>
      <c r="J1070" s="4" cm="1">
        <f t="array" ref="J107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1.8883333333333334</v>
      </c>
      <c r="K1070" s="4">
        <v>4.5</v>
      </c>
      <c r="L1070" s="4">
        <f>IF(Table1[[#This Row],[Standard as per ISO]]&gt;=Table1[[#This Row],[Avg of best 6]],Table1[[#This Row],[Standard as per ISO]],Table1[[#This Row],[Avg of best 6]])</f>
        <v>4.5</v>
      </c>
      <c r="M1070" s="4" cm="1">
        <f t="array" ref="M1070">IFERROR(LOOKUP(2,1/(Table1[[#This Row],[2019-May]:[2025-July]]&lt;&gt;0),Table1[[#This Row],[2019-May]:[2025-July]]),0)</f>
        <v>2.7</v>
      </c>
      <c r="N1070" s="4">
        <f>COUNTIF(Table1[[#This Row],[2019-Apr]:[2025-July]],"&gt;="&amp;Table1[[#This Row],[Target]])</f>
        <v>0</v>
      </c>
      <c r="O1070" s="4">
        <f>IF(Table1[[#This Row],[Outliers 2Y]]=0,1,0)</f>
        <v>1</v>
      </c>
      <c r="P1070" s="4">
        <f>IF(Table1[[#This Row],[Last value]]&gt;1.5*Table1[[#This Row],[Target]],1,0)</f>
        <v>0</v>
      </c>
      <c r="Q1070" s="4">
        <f>IF(AND(1.5*Table1[[#This Row],[Target]]&gt;=Table1[[#This Row],[Last value]],Table1[[#This Row],[Last value]]&gt;Table1[[#This Row],[Target]]),1,0)</f>
        <v>0</v>
      </c>
      <c r="R1070" s="4">
        <f>IF(Table1[[#This Row],[Target]]&gt;=Table1[[#This Row],[Last value]],1,0)</f>
        <v>1</v>
      </c>
      <c r="S1070" s="4" t="str">
        <f t="shared" si="28"/>
        <v>Green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>
        <v>0</v>
      </c>
      <c r="BP1070" s="4">
        <v>2.92</v>
      </c>
      <c r="BQ1070" s="4">
        <v>1.87</v>
      </c>
      <c r="BR1070" s="4">
        <v>1.79</v>
      </c>
      <c r="BS1070" s="4">
        <v>2.74</v>
      </c>
      <c r="BT1070" s="4">
        <v>2.93</v>
      </c>
      <c r="BU1070" s="4">
        <v>0</v>
      </c>
      <c r="BV1070" s="4">
        <v>0</v>
      </c>
      <c r="BW1070" s="4">
        <v>1.76</v>
      </c>
      <c r="BX1070" s="4">
        <v>2.78</v>
      </c>
      <c r="BY1070" s="4">
        <v>2</v>
      </c>
      <c r="BZ1070" s="4">
        <v>0</v>
      </c>
      <c r="CA1070" s="4">
        <v>0</v>
      </c>
      <c r="CB1070" s="4">
        <v>0</v>
      </c>
      <c r="CC1070" s="4">
        <v>0</v>
      </c>
      <c r="CD1070" s="4">
        <v>1.91</v>
      </c>
      <c r="CE1070" s="4">
        <v>0</v>
      </c>
      <c r="CF1070" s="4">
        <v>2.23</v>
      </c>
      <c r="CG1070" s="4">
        <v>0</v>
      </c>
      <c r="CH1070" s="4">
        <v>0</v>
      </c>
      <c r="CI1070" s="4">
        <v>2.17</v>
      </c>
      <c r="CJ1070" s="34">
        <v>2.2999999999999998</v>
      </c>
      <c r="CK1070" s="34">
        <v>2.2999999999999998</v>
      </c>
      <c r="CL1070" s="43">
        <v>2</v>
      </c>
      <c r="CM1070" s="4">
        <v>2.2999999999999998</v>
      </c>
      <c r="CN1070" s="53">
        <v>2.2999999999999998</v>
      </c>
      <c r="CO1070" s="54">
        <v>2.2999999999999998</v>
      </c>
      <c r="CP1070" s="54">
        <v>0</v>
      </c>
      <c r="CQ1070" s="4">
        <v>2.7</v>
      </c>
    </row>
    <row r="1071" spans="1:95" x14ac:dyDescent="0.35">
      <c r="A1071" s="55">
        <v>1070</v>
      </c>
      <c r="B1071" t="s">
        <v>122</v>
      </c>
      <c r="C1071" s="27" t="s">
        <v>1144</v>
      </c>
      <c r="D1071" s="3" t="s">
        <v>88</v>
      </c>
      <c r="E1071" s="27" t="s">
        <v>89</v>
      </c>
      <c r="F1071" s="4">
        <f>IFERROR(AVERAGEIF(Table1[[#This Row],[2019-Apr]:[2025-July]],"&lt;&gt;0"),0)</f>
        <v>1.68875</v>
      </c>
      <c r="G1071" s="4">
        <f ca="1">IFERROR(AVERAGEIF(OFFSET(Table1[[#This Row],[Status]],0,COUNT(Table1[[#This Row],[2019-May]:[2025-July]]),1,-12),"&lt;&gt;0"),0)</f>
        <v>1.7122222222222221</v>
      </c>
      <c r="H1071" s="55">
        <f>IFERROR(SMALL(Table1[[#This Row],[2019-Apr]:[2025-July]],COUNTIF(Table1[[#This Row],[2019-Apr]:[2025-July]],0)+1),0)</f>
        <v>1.2</v>
      </c>
      <c r="I1071" s="56">
        <f>IFERROR(MAX(Table1[[#This Row],[2019-Apr]:[2025-July]]),0)</f>
        <v>3.1</v>
      </c>
      <c r="J1071" s="4" cm="1">
        <f t="array" ref="J107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1.3266666666666669</v>
      </c>
      <c r="K1071" s="4">
        <v>4.5</v>
      </c>
      <c r="L1071" s="4">
        <f>IF(Table1[[#This Row],[Standard as per ISO]]&gt;=Table1[[#This Row],[Avg of best 6]],Table1[[#This Row],[Standard as per ISO]],Table1[[#This Row],[Avg of best 6]])</f>
        <v>4.5</v>
      </c>
      <c r="M1071" s="4" cm="1">
        <f t="array" ref="M1071">IFERROR(LOOKUP(2,1/(Table1[[#This Row],[2019-May]:[2025-July]]&lt;&gt;0),Table1[[#This Row],[2019-May]:[2025-July]]),0)</f>
        <v>1.5</v>
      </c>
      <c r="N1071" s="4">
        <f>COUNTIF(Table1[[#This Row],[2019-Apr]:[2025-July]],"&gt;="&amp;Table1[[#This Row],[Target]])</f>
        <v>0</v>
      </c>
      <c r="O1071" s="4">
        <f>IF(Table1[[#This Row],[Outliers 2Y]]=0,1,0)</f>
        <v>1</v>
      </c>
      <c r="P1071" s="4">
        <f>IF(Table1[[#This Row],[Last value]]&gt;1.5*Table1[[#This Row],[Target]],1,0)</f>
        <v>0</v>
      </c>
      <c r="Q1071" s="4">
        <f>IF(AND(1.5*Table1[[#This Row],[Target]]&gt;=Table1[[#This Row],[Last value]],Table1[[#This Row],[Last value]]&gt;Table1[[#This Row],[Target]]),1,0)</f>
        <v>0</v>
      </c>
      <c r="R1071" s="4">
        <f>IF(Table1[[#This Row],[Target]]&gt;=Table1[[#This Row],[Last value]],1,0)</f>
        <v>1</v>
      </c>
      <c r="S1071" s="4" t="str">
        <f t="shared" si="28"/>
        <v>Green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>
        <v>0</v>
      </c>
      <c r="BP1071" s="4">
        <v>0</v>
      </c>
      <c r="BQ1071" s="4">
        <v>0</v>
      </c>
      <c r="BR1071" s="4">
        <v>1.68</v>
      </c>
      <c r="BS1071" s="4">
        <v>2.2400000000000002</v>
      </c>
      <c r="BT1071" s="4">
        <v>0</v>
      </c>
      <c r="BU1071" s="4">
        <v>0</v>
      </c>
      <c r="BV1071" s="4">
        <v>0</v>
      </c>
      <c r="BW1071" s="4">
        <v>1.48</v>
      </c>
      <c r="BX1071" s="4">
        <v>1.61</v>
      </c>
      <c r="BY1071" s="4">
        <v>1.69</v>
      </c>
      <c r="BZ1071" s="4">
        <v>0</v>
      </c>
      <c r="CA1071" s="4">
        <v>0</v>
      </c>
      <c r="CB1071" s="4">
        <v>0</v>
      </c>
      <c r="CC1071" s="4">
        <v>0</v>
      </c>
      <c r="CD1071" s="4">
        <v>1.41</v>
      </c>
      <c r="CE1071" s="4">
        <v>0</v>
      </c>
      <c r="CF1071" s="4">
        <v>1.46</v>
      </c>
      <c r="CG1071" s="4">
        <v>0</v>
      </c>
      <c r="CH1071" s="4">
        <v>0</v>
      </c>
      <c r="CI1071" s="4">
        <v>1.35</v>
      </c>
      <c r="CJ1071" s="34">
        <v>1.2</v>
      </c>
      <c r="CK1071" s="34">
        <v>1.4</v>
      </c>
      <c r="CL1071" s="43">
        <v>3.1</v>
      </c>
      <c r="CM1071" s="4">
        <v>1.2</v>
      </c>
      <c r="CN1071" s="53">
        <v>2.8</v>
      </c>
      <c r="CO1071" s="54">
        <v>1.5</v>
      </c>
      <c r="CP1071" s="54">
        <v>1.4</v>
      </c>
      <c r="CQ1071" s="4">
        <v>1.5</v>
      </c>
    </row>
    <row r="1072" spans="1:95" x14ac:dyDescent="0.35">
      <c r="A1072" s="55">
        <v>1071</v>
      </c>
      <c r="B1072" t="s">
        <v>122</v>
      </c>
      <c r="C1072" s="27" t="s">
        <v>1145</v>
      </c>
      <c r="D1072" s="3" t="s">
        <v>88</v>
      </c>
      <c r="E1072" s="27" t="s">
        <v>89</v>
      </c>
      <c r="F1072" s="4">
        <f>IFERROR(AVERAGEIF(Table1[[#This Row],[2019-Apr]:[2025-July]],"&lt;&gt;0"),0)</f>
        <v>3.2866666666666666</v>
      </c>
      <c r="G1072" s="4">
        <f ca="1">IFERROR(AVERAGEIF(OFFSET(Table1[[#This Row],[Status]],0,COUNT(Table1[[#This Row],[2019-May]:[2025-July]]),1,-12),"&lt;&gt;0"),0)</f>
        <v>2.5077777777777777</v>
      </c>
      <c r="H1072" s="55">
        <f>IFERROR(SMALL(Table1[[#This Row],[2019-Apr]:[2025-July]],COUNTIF(Table1[[#This Row],[2019-Apr]:[2025-July]],0)+1),0)</f>
        <v>1.75</v>
      </c>
      <c r="I1072" s="56">
        <f>IFERROR(MAX(Table1[[#This Row],[2019-Apr]:[2025-July]]),0)</f>
        <v>8.7200000000000006</v>
      </c>
      <c r="J1072" s="4" cm="1">
        <f t="array" ref="J107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1.9483333333333335</v>
      </c>
      <c r="K1072" s="4">
        <v>4.5</v>
      </c>
      <c r="L1072" s="4">
        <f>IF(Table1[[#This Row],[Standard as per ISO]]&gt;=Table1[[#This Row],[Avg of best 6]],Table1[[#This Row],[Standard as per ISO]],Table1[[#This Row],[Avg of best 6]])</f>
        <v>4.5</v>
      </c>
      <c r="M1072" s="4" cm="1">
        <f t="array" ref="M1072">IFERROR(LOOKUP(2,1/(Table1[[#This Row],[2019-May]:[2025-July]]&lt;&gt;0),Table1[[#This Row],[2019-May]:[2025-July]]),0)</f>
        <v>2.2999999999999998</v>
      </c>
      <c r="N1072" s="4">
        <f>COUNTIF(Table1[[#This Row],[2019-Apr]:[2025-July]],"&gt;="&amp;Table1[[#This Row],[Target]])</f>
        <v>3</v>
      </c>
      <c r="O1072" s="4">
        <f>IF(Table1[[#This Row],[Outliers 2Y]]=0,1,0)</f>
        <v>0</v>
      </c>
      <c r="P1072" s="4">
        <f>IF(Table1[[#This Row],[Last value]]&gt;1.5*Table1[[#This Row],[Target]],1,0)</f>
        <v>0</v>
      </c>
      <c r="Q1072" s="4">
        <f>IF(AND(1.5*Table1[[#This Row],[Target]]&gt;=Table1[[#This Row],[Last value]],Table1[[#This Row],[Last value]]&gt;Table1[[#This Row],[Target]]),1,0)</f>
        <v>0</v>
      </c>
      <c r="R1072" s="4">
        <f>IF(Table1[[#This Row],[Target]]&gt;=Table1[[#This Row],[Last value]],1,0)</f>
        <v>1</v>
      </c>
      <c r="S1072" s="4" t="str">
        <f t="shared" si="28"/>
        <v>Green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>
        <v>0</v>
      </c>
      <c r="BP1072" s="4">
        <v>0</v>
      </c>
      <c r="BQ1072" s="4">
        <v>0</v>
      </c>
      <c r="BR1072" s="4">
        <v>1.82</v>
      </c>
      <c r="BS1072" s="4">
        <v>2.74</v>
      </c>
      <c r="BT1072" s="4">
        <v>0</v>
      </c>
      <c r="BU1072" s="4">
        <v>0</v>
      </c>
      <c r="BV1072" s="4">
        <v>0</v>
      </c>
      <c r="BW1072" s="4">
        <v>8.7200000000000006</v>
      </c>
      <c r="BX1072" s="4">
        <v>8.58</v>
      </c>
      <c r="BY1072" s="4">
        <v>5.15</v>
      </c>
      <c r="BZ1072" s="4">
        <v>0</v>
      </c>
      <c r="CA1072" s="4">
        <v>1.75</v>
      </c>
      <c r="CB1072" s="4">
        <v>1.85</v>
      </c>
      <c r="CC1072" s="4">
        <v>0</v>
      </c>
      <c r="CD1072" s="4">
        <v>3.68</v>
      </c>
      <c r="CE1072" s="4">
        <v>0</v>
      </c>
      <c r="CF1072" s="4">
        <v>2.0699999999999998</v>
      </c>
      <c r="CG1072" s="4">
        <v>0</v>
      </c>
      <c r="CH1072" s="4">
        <v>0</v>
      </c>
      <c r="CI1072" s="4">
        <v>2.7</v>
      </c>
      <c r="CJ1072" s="34">
        <v>2.2999999999999998</v>
      </c>
      <c r="CK1072" s="34">
        <v>3.1</v>
      </c>
      <c r="CL1072" s="43">
        <v>2.9</v>
      </c>
      <c r="CM1072" s="4">
        <v>1.9</v>
      </c>
      <c r="CN1072" s="53">
        <v>2.4</v>
      </c>
      <c r="CO1072" s="54">
        <v>2.5</v>
      </c>
      <c r="CP1072" s="54">
        <v>2.7</v>
      </c>
      <c r="CQ1072" s="4">
        <v>2.2999999999999998</v>
      </c>
    </row>
    <row r="1073" spans="1:95" x14ac:dyDescent="0.35">
      <c r="A1073" s="55">
        <v>1072</v>
      </c>
      <c r="B1073" t="s">
        <v>122</v>
      </c>
      <c r="C1073" s="27" t="s">
        <v>1146</v>
      </c>
      <c r="D1073" s="3" t="s">
        <v>88</v>
      </c>
      <c r="E1073" s="27" t="s">
        <v>89</v>
      </c>
      <c r="F1073" s="4">
        <f>IFERROR(AVERAGEIF(Table1[[#This Row],[2019-Apr]:[2025-July]],"&lt;&gt;0"),0)</f>
        <v>3.350869565217391</v>
      </c>
      <c r="G1073" s="4">
        <f ca="1">IFERROR(AVERAGEIF(OFFSET(Table1[[#This Row],[Status]],0,COUNT(Table1[[#This Row],[2019-May]:[2025-July]]),1,-12),"&lt;&gt;0"),0)</f>
        <v>3.9560000000000004</v>
      </c>
      <c r="H1073" s="55">
        <f>IFERROR(SMALL(Table1[[#This Row],[2019-Apr]:[2025-July]],COUNTIF(Table1[[#This Row],[2019-Apr]:[2025-July]],0)+1),0)</f>
        <v>1.27</v>
      </c>
      <c r="I1073" s="56">
        <f>IFERROR(MAX(Table1[[#This Row],[2019-Apr]:[2025-July]]),0)</f>
        <v>6.3</v>
      </c>
      <c r="J1073" s="4" cm="1">
        <f t="array" ref="J107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1.8466666666666665</v>
      </c>
      <c r="K1073" s="4">
        <v>4.5</v>
      </c>
      <c r="L1073" s="4">
        <f>IF(Table1[[#This Row],[Standard as per ISO]]&gt;=Table1[[#This Row],[Avg of best 6]],Table1[[#This Row],[Standard as per ISO]],Table1[[#This Row],[Avg of best 6]])</f>
        <v>4.5</v>
      </c>
      <c r="M1073" s="4" cm="1">
        <f t="array" ref="M1073">IFERROR(LOOKUP(2,1/(Table1[[#This Row],[2019-May]:[2025-July]]&lt;&gt;0),Table1[[#This Row],[2019-May]:[2025-July]]),0)</f>
        <v>6.3</v>
      </c>
      <c r="N1073" s="4">
        <f>COUNTIF(Table1[[#This Row],[2019-Apr]:[2025-July]],"&gt;="&amp;Table1[[#This Row],[Target]])</f>
        <v>4</v>
      </c>
      <c r="O1073" s="4">
        <f>IF(Table1[[#This Row],[Outliers 2Y]]=0,1,0)</f>
        <v>0</v>
      </c>
      <c r="P1073" s="4">
        <f>IF(Table1[[#This Row],[Last value]]&gt;1.5*Table1[[#This Row],[Target]],1,0)</f>
        <v>0</v>
      </c>
      <c r="Q1073" s="4">
        <f>IF(AND(1.5*Table1[[#This Row],[Target]]&gt;=Table1[[#This Row],[Last value]],Table1[[#This Row],[Last value]]&gt;Table1[[#This Row],[Target]]),1,0)</f>
        <v>1</v>
      </c>
      <c r="R1073" s="4">
        <f>IF(Table1[[#This Row],[Target]]&gt;=Table1[[#This Row],[Last value]],1,0)</f>
        <v>0</v>
      </c>
      <c r="S1073" s="4" t="str">
        <f t="shared" si="28"/>
        <v>Yellow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>
        <v>0</v>
      </c>
      <c r="BP1073" s="4">
        <v>1.81</v>
      </c>
      <c r="BQ1073" s="4">
        <v>1.84</v>
      </c>
      <c r="BR1073" s="4">
        <v>2.11</v>
      </c>
      <c r="BS1073" s="4">
        <v>1.93</v>
      </c>
      <c r="BT1073" s="4">
        <v>1.27</v>
      </c>
      <c r="BU1073" s="4">
        <v>2.39</v>
      </c>
      <c r="BV1073" s="4">
        <v>2.54</v>
      </c>
      <c r="BW1073" s="4">
        <v>3.25</v>
      </c>
      <c r="BX1073" s="4">
        <v>3.3</v>
      </c>
      <c r="BY1073" s="4">
        <v>3.35</v>
      </c>
      <c r="BZ1073" s="4">
        <v>3.62</v>
      </c>
      <c r="CA1073" s="4">
        <v>0</v>
      </c>
      <c r="CB1073" s="4">
        <v>0</v>
      </c>
      <c r="CC1073" s="4">
        <v>0</v>
      </c>
      <c r="CD1073" s="4">
        <v>3.8</v>
      </c>
      <c r="CE1073" s="4">
        <v>3.51</v>
      </c>
      <c r="CF1073" s="4">
        <v>2.12</v>
      </c>
      <c r="CG1073" s="4">
        <v>0</v>
      </c>
      <c r="CH1073" s="4">
        <v>0</v>
      </c>
      <c r="CI1073" s="4">
        <v>2.73</v>
      </c>
      <c r="CJ1073" s="34">
        <v>2.4</v>
      </c>
      <c r="CK1073" s="34">
        <v>4.2</v>
      </c>
      <c r="CL1073" s="43">
        <v>3.7</v>
      </c>
      <c r="CM1073" s="4">
        <v>3.3</v>
      </c>
      <c r="CN1073" s="53">
        <v>5.9</v>
      </c>
      <c r="CO1073" s="54">
        <v>6</v>
      </c>
      <c r="CP1073" s="54">
        <v>5.7</v>
      </c>
      <c r="CQ1073" s="4">
        <v>6.3</v>
      </c>
    </row>
    <row r="1074" spans="1:95" x14ac:dyDescent="0.35">
      <c r="A1074" s="55">
        <v>1073</v>
      </c>
      <c r="B1074" t="s">
        <v>122</v>
      </c>
      <c r="C1074" s="27" t="s">
        <v>1147</v>
      </c>
      <c r="D1074" s="3" t="s">
        <v>88</v>
      </c>
      <c r="E1074" s="27" t="s">
        <v>89</v>
      </c>
      <c r="F1074" s="4">
        <f>IFERROR(AVERAGEIF(Table1[[#This Row],[2019-Apr]:[2025-July]],"&lt;&gt;0"),0)</f>
        <v>1.9171428571428568</v>
      </c>
      <c r="G1074" s="4">
        <f ca="1">IFERROR(AVERAGEIF(OFFSET(Table1[[#This Row],[Status]],0,COUNT(Table1[[#This Row],[2019-May]:[2025-July]]),1,-12),"&lt;&gt;0"),0)</f>
        <v>2.3566666666666669</v>
      </c>
      <c r="H1074" s="55">
        <f>IFERROR(SMALL(Table1[[#This Row],[2019-Apr]:[2025-July]],COUNTIF(Table1[[#This Row],[2019-Apr]:[2025-July]],0)+1),0)</f>
        <v>1.07</v>
      </c>
      <c r="I1074" s="56">
        <f>IFERROR(MAX(Table1[[#This Row],[2019-Apr]:[2025-July]]),0)</f>
        <v>3.3</v>
      </c>
      <c r="J1074" s="4" cm="1">
        <f t="array" ref="J107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1.2150000000000001</v>
      </c>
      <c r="K1074" s="4">
        <v>4.5</v>
      </c>
      <c r="L1074" s="4">
        <f>IF(Table1[[#This Row],[Standard as per ISO]]&gt;=Table1[[#This Row],[Avg of best 6]],Table1[[#This Row],[Standard as per ISO]],Table1[[#This Row],[Avg of best 6]])</f>
        <v>4.5</v>
      </c>
      <c r="M1074" s="4" cm="1">
        <f t="array" ref="M1074">IFERROR(LOOKUP(2,1/(Table1[[#This Row],[2019-May]:[2025-July]]&lt;&gt;0),Table1[[#This Row],[2019-May]:[2025-July]]),0)</f>
        <v>2.4</v>
      </c>
      <c r="N1074" s="4">
        <f>COUNTIF(Table1[[#This Row],[2019-Apr]:[2025-July]],"&gt;="&amp;Table1[[#This Row],[Target]])</f>
        <v>0</v>
      </c>
      <c r="O1074" s="4">
        <f>IF(Table1[[#This Row],[Outliers 2Y]]=0,1,0)</f>
        <v>1</v>
      </c>
      <c r="P1074" s="4">
        <f>IF(Table1[[#This Row],[Last value]]&gt;1.5*Table1[[#This Row],[Target]],1,0)</f>
        <v>0</v>
      </c>
      <c r="Q1074" s="4">
        <f>IF(AND(1.5*Table1[[#This Row],[Target]]&gt;=Table1[[#This Row],[Last value]],Table1[[#This Row],[Last value]]&gt;Table1[[#This Row],[Target]]),1,0)</f>
        <v>0</v>
      </c>
      <c r="R1074" s="4">
        <f>IF(Table1[[#This Row],[Target]]&gt;=Table1[[#This Row],[Last value]],1,0)</f>
        <v>1</v>
      </c>
      <c r="S1074" s="4" t="str">
        <f t="shared" si="28"/>
        <v>Green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>
        <v>0</v>
      </c>
      <c r="BP1074" s="4">
        <v>0</v>
      </c>
      <c r="BQ1074" s="4">
        <v>1.31</v>
      </c>
      <c r="BR1074" s="4">
        <v>1.25</v>
      </c>
      <c r="BS1074" s="4">
        <v>1.17</v>
      </c>
      <c r="BT1074" s="4">
        <v>1.58</v>
      </c>
      <c r="BU1074" s="4">
        <v>1.28</v>
      </c>
      <c r="BV1074" s="4">
        <v>1.33</v>
      </c>
      <c r="BW1074" s="4">
        <v>1.34</v>
      </c>
      <c r="BX1074" s="4">
        <v>1.07</v>
      </c>
      <c r="BY1074" s="4">
        <v>1.21</v>
      </c>
      <c r="BZ1074" s="4">
        <v>1.9</v>
      </c>
      <c r="CA1074" s="4">
        <v>0</v>
      </c>
      <c r="CB1074" s="4">
        <v>0</v>
      </c>
      <c r="CC1074" s="4">
        <v>0</v>
      </c>
      <c r="CD1074" s="4">
        <v>3.21</v>
      </c>
      <c r="CE1074" s="4">
        <v>0</v>
      </c>
      <c r="CF1074" s="4">
        <v>1.98</v>
      </c>
      <c r="CG1074" s="4">
        <v>0</v>
      </c>
      <c r="CH1074" s="4">
        <v>0</v>
      </c>
      <c r="CI1074" s="4">
        <v>2.33</v>
      </c>
      <c r="CJ1074" s="34">
        <v>1.9</v>
      </c>
      <c r="CK1074" s="34">
        <v>1.9</v>
      </c>
      <c r="CL1074" s="43">
        <v>1.9</v>
      </c>
      <c r="CM1074" s="4">
        <v>1.7</v>
      </c>
      <c r="CN1074" s="53">
        <v>3.2</v>
      </c>
      <c r="CO1074" s="54">
        <v>3</v>
      </c>
      <c r="CP1074" s="54">
        <v>3.3</v>
      </c>
      <c r="CQ1074" s="4">
        <v>2.4</v>
      </c>
    </row>
    <row r="1075" spans="1:95" x14ac:dyDescent="0.35">
      <c r="A1075" s="55">
        <v>1074</v>
      </c>
      <c r="B1075" t="s">
        <v>122</v>
      </c>
      <c r="C1075" s="27" t="s">
        <v>1148</v>
      </c>
      <c r="D1075" s="3" t="s">
        <v>88</v>
      </c>
      <c r="E1075" s="27" t="s">
        <v>89</v>
      </c>
      <c r="F1075" s="4">
        <f>IFERROR(AVERAGEIF(Table1[[#This Row],[2019-Apr]:[2025-July]],"&lt;&gt;0"),0)</f>
        <v>1.9400000000000002</v>
      </c>
      <c r="G1075" s="4">
        <f ca="1">IFERROR(AVERAGEIF(OFFSET(Table1[[#This Row],[Status]],0,COUNT(Table1[[#This Row],[2019-May]:[2025-July]]),1,-12),"&lt;&gt;0"),0)</f>
        <v>2.6188888888888888</v>
      </c>
      <c r="H1075" s="55">
        <f>IFERROR(SMALL(Table1[[#This Row],[2019-Apr]:[2025-July]],COUNTIF(Table1[[#This Row],[2019-Apr]:[2025-July]],0)+1),0)</f>
        <v>0.51</v>
      </c>
      <c r="I1075" s="56">
        <f>IFERROR(MAX(Table1[[#This Row],[2019-Apr]:[2025-July]]),0)</f>
        <v>2.9</v>
      </c>
      <c r="J1075" s="4" cm="1">
        <f t="array" ref="J107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0.80333333333333334</v>
      </c>
      <c r="K1075" s="4">
        <v>4.5</v>
      </c>
      <c r="L1075" s="4">
        <f>IF(Table1[[#This Row],[Standard as per ISO]]&gt;=Table1[[#This Row],[Avg of best 6]],Table1[[#This Row],[Standard as per ISO]],Table1[[#This Row],[Avg of best 6]])</f>
        <v>4.5</v>
      </c>
      <c r="M1075" s="4" cm="1">
        <f t="array" ref="M1075">IFERROR(LOOKUP(2,1/(Table1[[#This Row],[2019-May]:[2025-July]]&lt;&gt;0),Table1[[#This Row],[2019-May]:[2025-July]]),0)</f>
        <v>2.2999999999999998</v>
      </c>
      <c r="N1075" s="4">
        <f>COUNTIF(Table1[[#This Row],[2019-Apr]:[2025-July]],"&gt;="&amp;Table1[[#This Row],[Target]])</f>
        <v>0</v>
      </c>
      <c r="O1075" s="4">
        <f>IF(Table1[[#This Row],[Outliers 2Y]]=0,1,0)</f>
        <v>1</v>
      </c>
      <c r="P1075" s="4">
        <f>IF(Table1[[#This Row],[Last value]]&gt;1.5*Table1[[#This Row],[Target]],1,0)</f>
        <v>0</v>
      </c>
      <c r="Q1075" s="4">
        <f>IF(AND(1.5*Table1[[#This Row],[Target]]&gt;=Table1[[#This Row],[Last value]],Table1[[#This Row],[Last value]]&gt;Table1[[#This Row],[Target]]),1,0)</f>
        <v>0</v>
      </c>
      <c r="R1075" s="4">
        <f>IF(Table1[[#This Row],[Target]]&gt;=Table1[[#This Row],[Last value]],1,0)</f>
        <v>1</v>
      </c>
      <c r="S1075" s="4" t="str">
        <f t="shared" si="28"/>
        <v>Green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>
        <v>0</v>
      </c>
      <c r="BP1075" s="4">
        <v>0</v>
      </c>
      <c r="BQ1075" s="4">
        <v>0.6</v>
      </c>
      <c r="BR1075" s="4">
        <v>0.75</v>
      </c>
      <c r="BS1075" s="4">
        <v>0.69</v>
      </c>
      <c r="BT1075" s="4">
        <v>0.51</v>
      </c>
      <c r="BU1075" s="4">
        <v>0.74</v>
      </c>
      <c r="BV1075" s="4">
        <v>2.06</v>
      </c>
      <c r="BW1075" s="4">
        <v>1.53</v>
      </c>
      <c r="BX1075" s="4">
        <v>1.93</v>
      </c>
      <c r="BY1075" s="4">
        <v>1.76</v>
      </c>
      <c r="BZ1075" s="4">
        <v>1.64</v>
      </c>
      <c r="CA1075" s="4">
        <v>0</v>
      </c>
      <c r="CB1075" s="4">
        <v>0</v>
      </c>
      <c r="CC1075" s="4">
        <v>0</v>
      </c>
      <c r="CD1075" s="4">
        <v>2.66</v>
      </c>
      <c r="CE1075" s="4">
        <v>0</v>
      </c>
      <c r="CF1075" s="4">
        <v>2.88</v>
      </c>
      <c r="CG1075" s="4">
        <v>0</v>
      </c>
      <c r="CH1075" s="4">
        <v>0</v>
      </c>
      <c r="CI1075" s="4">
        <v>2.59</v>
      </c>
      <c r="CJ1075" s="34">
        <v>2.2999999999999998</v>
      </c>
      <c r="CK1075" s="34">
        <v>2.9</v>
      </c>
      <c r="CL1075" s="43">
        <v>2.6</v>
      </c>
      <c r="CM1075" s="4">
        <v>2.7</v>
      </c>
      <c r="CN1075" s="53">
        <v>2.8</v>
      </c>
      <c r="CO1075" s="54">
        <v>2.6</v>
      </c>
      <c r="CP1075" s="54">
        <v>2.2000000000000002</v>
      </c>
      <c r="CQ1075" s="4">
        <v>2.2999999999999998</v>
      </c>
    </row>
    <row r="1076" spans="1:95" x14ac:dyDescent="0.35">
      <c r="A1076" s="55">
        <v>1075</v>
      </c>
      <c r="B1076" t="s">
        <v>122</v>
      </c>
      <c r="C1076" s="27" t="s">
        <v>1149</v>
      </c>
      <c r="D1076" s="3" t="s">
        <v>88</v>
      </c>
      <c r="E1076" s="27" t="s">
        <v>89</v>
      </c>
      <c r="F1076" s="4">
        <f>IFERROR(AVERAGEIF(Table1[[#This Row],[2019-Apr]:[2025-July]],"&lt;&gt;0"),0)</f>
        <v>1.9995238095238097</v>
      </c>
      <c r="G1076" s="4">
        <f ca="1">IFERROR(AVERAGEIF(OFFSET(Table1[[#This Row],[Status]],0,COUNT(Table1[[#This Row],[2019-May]:[2025-July]]),1,-12),"&lt;&gt;0"),0)</f>
        <v>2.1666666666666665</v>
      </c>
      <c r="H1076" s="55">
        <f>IFERROR(SMALL(Table1[[#This Row],[2019-Apr]:[2025-July]],COUNTIF(Table1[[#This Row],[2019-Apr]:[2025-July]],0)+1),0)</f>
        <v>1.1200000000000001</v>
      </c>
      <c r="I1076" s="56">
        <f>IFERROR(MAX(Table1[[#This Row],[2019-Apr]:[2025-July]]),0)</f>
        <v>3.3</v>
      </c>
      <c r="J1076" s="4" cm="1">
        <f t="array" ref="J107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1.4349999999999998</v>
      </c>
      <c r="K1076" s="4">
        <v>4.5</v>
      </c>
      <c r="L1076" s="4">
        <f>IF(Table1[[#This Row],[Standard as per ISO]]&gt;=Table1[[#This Row],[Avg of best 6]],Table1[[#This Row],[Standard as per ISO]],Table1[[#This Row],[Avg of best 6]])</f>
        <v>4.5</v>
      </c>
      <c r="M1076" s="4" cm="1">
        <f t="array" ref="M1076">IFERROR(LOOKUP(2,1/(Table1[[#This Row],[2019-May]:[2025-July]]&lt;&gt;0),Table1[[#This Row],[2019-May]:[2025-July]]),0)</f>
        <v>3.3</v>
      </c>
      <c r="N1076" s="4">
        <f>COUNTIF(Table1[[#This Row],[2019-Apr]:[2025-July]],"&gt;="&amp;Table1[[#This Row],[Target]])</f>
        <v>0</v>
      </c>
      <c r="O1076" s="4">
        <f>IF(Table1[[#This Row],[Outliers 2Y]]=0,1,0)</f>
        <v>1</v>
      </c>
      <c r="P1076" s="4">
        <f>IF(Table1[[#This Row],[Last value]]&gt;1.5*Table1[[#This Row],[Target]],1,0)</f>
        <v>0</v>
      </c>
      <c r="Q1076" s="4">
        <f>IF(AND(1.5*Table1[[#This Row],[Target]]&gt;=Table1[[#This Row],[Last value]],Table1[[#This Row],[Last value]]&gt;Table1[[#This Row],[Target]]),1,0)</f>
        <v>0</v>
      </c>
      <c r="R1076" s="4">
        <f>IF(Table1[[#This Row],[Target]]&gt;=Table1[[#This Row],[Last value]],1,0)</f>
        <v>1</v>
      </c>
      <c r="S1076" s="4" t="str">
        <f t="shared" si="28"/>
        <v>Green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>
        <v>0</v>
      </c>
      <c r="BP1076" s="4">
        <v>0</v>
      </c>
      <c r="BQ1076" s="4">
        <v>1.9</v>
      </c>
      <c r="BR1076" s="4">
        <v>1.7</v>
      </c>
      <c r="BS1076" s="4">
        <v>1.89</v>
      </c>
      <c r="BT1076" s="4">
        <v>2.12</v>
      </c>
      <c r="BU1076" s="4">
        <v>1.71</v>
      </c>
      <c r="BV1076" s="4">
        <v>2.04</v>
      </c>
      <c r="BW1076" s="4">
        <v>1.71</v>
      </c>
      <c r="BX1076" s="4">
        <v>1.56</v>
      </c>
      <c r="BY1076" s="4">
        <v>1.92</v>
      </c>
      <c r="BZ1076" s="4">
        <v>1.52</v>
      </c>
      <c r="CA1076" s="4">
        <v>0</v>
      </c>
      <c r="CB1076" s="4">
        <v>0</v>
      </c>
      <c r="CC1076" s="4">
        <v>0</v>
      </c>
      <c r="CD1076" s="4">
        <v>1.1200000000000001</v>
      </c>
      <c r="CE1076" s="4">
        <v>0</v>
      </c>
      <c r="CF1076" s="4">
        <v>1.21</v>
      </c>
      <c r="CG1076" s="4">
        <v>0</v>
      </c>
      <c r="CH1076" s="4">
        <v>0</v>
      </c>
      <c r="CI1076" s="4">
        <v>2.19</v>
      </c>
      <c r="CJ1076" s="34">
        <v>1.6</v>
      </c>
      <c r="CK1076" s="34">
        <v>2</v>
      </c>
      <c r="CL1076" s="43">
        <v>1.8</v>
      </c>
      <c r="CM1076" s="4">
        <v>1.6</v>
      </c>
      <c r="CN1076" s="53">
        <v>3.2</v>
      </c>
      <c r="CO1076" s="54">
        <v>3</v>
      </c>
      <c r="CP1076" s="54">
        <v>2.9</v>
      </c>
      <c r="CQ1076" s="4">
        <v>3.3</v>
      </c>
    </row>
    <row r="1077" spans="1:95" x14ac:dyDescent="0.35">
      <c r="A1077" s="55">
        <v>1076</v>
      </c>
      <c r="B1077" t="s">
        <v>122</v>
      </c>
      <c r="C1077" s="27" t="s">
        <v>1150</v>
      </c>
      <c r="D1077" s="3" t="s">
        <v>123</v>
      </c>
      <c r="E1077" s="27" t="s">
        <v>91</v>
      </c>
      <c r="F1077" s="4">
        <f>IFERROR(AVERAGEIF(Table1[[#This Row],[2019-Apr]:[2025-July]],"&lt;&gt;0"),0)</f>
        <v>6.71</v>
      </c>
      <c r="G1077" s="4">
        <f ca="1">IFERROR(AVERAGEIF(OFFSET(Table1[[#This Row],[Status]],0,COUNT(Table1[[#This Row],[2019-May]:[2025-July]]),1,-12),"&lt;&gt;0"),0)</f>
        <v>6.1820000000000004</v>
      </c>
      <c r="H1077" s="55">
        <f>IFERROR(SMALL(Table1[[#This Row],[2019-Apr]:[2025-July]],COUNTIF(Table1[[#This Row],[2019-Apr]:[2025-July]],0)+1),0)</f>
        <v>5.24</v>
      </c>
      <c r="I1077" s="56">
        <f>IFERROR(MAX(Table1[[#This Row],[2019-Apr]:[2025-July]]),0)</f>
        <v>8.91</v>
      </c>
      <c r="J1077" s="4" cm="1">
        <f t="array" ref="J107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5.7150000000000007</v>
      </c>
      <c r="K1077" s="4">
        <v>4.5</v>
      </c>
      <c r="L1077" s="4">
        <f>IF(Table1[[#This Row],[Standard as per ISO]]&gt;=Table1[[#This Row],[Avg of best 6]],Table1[[#This Row],[Standard as per ISO]],Table1[[#This Row],[Avg of best 6]])</f>
        <v>5.7150000000000007</v>
      </c>
      <c r="M1077" s="4" cm="1">
        <f t="array" ref="M1077">IFERROR(LOOKUP(2,1/(Table1[[#This Row],[2019-May]:[2025-July]]&lt;&gt;0),Table1[[#This Row],[2019-May]:[2025-July]]),0)</f>
        <v>6.8</v>
      </c>
      <c r="N1077" s="4">
        <f>COUNTIF(Table1[[#This Row],[2019-Apr]:[2025-July]],"&gt;="&amp;Table1[[#This Row],[Target]])</f>
        <v>10</v>
      </c>
      <c r="O1077" s="4">
        <f>IF(Table1[[#This Row],[Outliers 2Y]]=0,1,0)</f>
        <v>0</v>
      </c>
      <c r="P1077" s="4">
        <f>IF(Table1[[#This Row],[Last value]]&gt;1.5*Table1[[#This Row],[Target]],1,0)</f>
        <v>0</v>
      </c>
      <c r="Q1077" s="4">
        <f>IF(AND(1.5*Table1[[#This Row],[Target]]&gt;=Table1[[#This Row],[Last value]],Table1[[#This Row],[Last value]]&gt;Table1[[#This Row],[Target]]),1,0)</f>
        <v>1</v>
      </c>
      <c r="R1077" s="4">
        <f>IF(Table1[[#This Row],[Target]]&gt;=Table1[[#This Row],[Last value]],1,0)</f>
        <v>0</v>
      </c>
      <c r="S1077" s="4" t="str">
        <f t="shared" si="28"/>
        <v>Yellow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>
        <v>0</v>
      </c>
      <c r="BP1077" s="4">
        <v>0</v>
      </c>
      <c r="BQ1077" s="4">
        <v>8.91</v>
      </c>
      <c r="BR1077" s="4">
        <v>6.23</v>
      </c>
      <c r="BS1077" s="4">
        <v>5.5</v>
      </c>
      <c r="BT1077" s="4">
        <v>0</v>
      </c>
      <c r="BU1077" s="4">
        <v>5.5</v>
      </c>
      <c r="BV1077" s="4">
        <v>0</v>
      </c>
      <c r="BW1077" s="4">
        <v>6.19</v>
      </c>
      <c r="BX1077" s="4">
        <v>8.34</v>
      </c>
      <c r="BY1077" s="4">
        <v>6.94</v>
      </c>
      <c r="BZ1077" s="4">
        <v>7.12</v>
      </c>
      <c r="CA1077" s="4">
        <v>8.3000000000000007</v>
      </c>
      <c r="CB1077" s="4">
        <v>0</v>
      </c>
      <c r="CC1077" s="4">
        <v>0</v>
      </c>
      <c r="CD1077" s="4">
        <v>0</v>
      </c>
      <c r="CE1077" s="4">
        <v>5.63</v>
      </c>
      <c r="CF1077" s="4">
        <v>6.29</v>
      </c>
      <c r="CG1077" s="4">
        <v>5.24</v>
      </c>
      <c r="CH1077" s="4">
        <v>0</v>
      </c>
      <c r="CI1077" s="4">
        <v>6.95</v>
      </c>
      <c r="CJ1077" s="34">
        <v>6.8</v>
      </c>
      <c r="CK1077" s="34">
        <v>0</v>
      </c>
      <c r="CL1077" s="34">
        <v>0</v>
      </c>
      <c r="CM1077" s="4">
        <v>0</v>
      </c>
      <c r="CN1077" s="53">
        <v>0</v>
      </c>
      <c r="CO1077" s="54">
        <v>0</v>
      </c>
      <c r="CP1077" s="54">
        <v>0</v>
      </c>
      <c r="CQ1077" s="4">
        <v>0</v>
      </c>
    </row>
    <row r="1078" spans="1:95" x14ac:dyDescent="0.35">
      <c r="A1078" s="55">
        <v>1077</v>
      </c>
      <c r="B1078" t="s">
        <v>122</v>
      </c>
      <c r="C1078" s="27" t="s">
        <v>1151</v>
      </c>
      <c r="D1078" s="3" t="s">
        <v>123</v>
      </c>
      <c r="E1078" s="27" t="s">
        <v>91</v>
      </c>
      <c r="F1078" s="4">
        <f>IFERROR(AVERAGEIF(Table1[[#This Row],[2019-Apr]:[2025-July]],"&lt;&gt;0"),0)</f>
        <v>4.8108333333333331</v>
      </c>
      <c r="G1078" s="4">
        <f ca="1">IFERROR(AVERAGEIF(OFFSET(Table1[[#This Row],[Status]],0,COUNT(Table1[[#This Row],[2019-May]:[2025-July]]),1,-12),"&lt;&gt;0"),0)</f>
        <v>4.1674999999999995</v>
      </c>
      <c r="H1078" s="55">
        <f>IFERROR(SMALL(Table1[[#This Row],[2019-Apr]:[2025-July]],COUNTIF(Table1[[#This Row],[2019-Apr]:[2025-July]],0)+1),0)</f>
        <v>3.19</v>
      </c>
      <c r="I1078" s="56">
        <f>IFERROR(MAX(Table1[[#This Row],[2019-Apr]:[2025-July]]),0)</f>
        <v>7.08</v>
      </c>
      <c r="J1078" s="4" cm="1">
        <f t="array" ref="J107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4.1616666666666662</v>
      </c>
      <c r="K1078" s="4">
        <v>4.5</v>
      </c>
      <c r="L1078" s="4">
        <f>IF(Table1[[#This Row],[Standard as per ISO]]&gt;=Table1[[#This Row],[Avg of best 6]],Table1[[#This Row],[Standard as per ISO]],Table1[[#This Row],[Avg of best 6]])</f>
        <v>4.5</v>
      </c>
      <c r="M1078" s="4" cm="1">
        <f t="array" ref="M1078">IFERROR(LOOKUP(2,1/(Table1[[#This Row],[2019-May]:[2025-July]]&lt;&gt;0),Table1[[#This Row],[2019-May]:[2025-July]]),0)</f>
        <v>4.7</v>
      </c>
      <c r="N1078" s="4">
        <f>COUNTIF(Table1[[#This Row],[2019-Apr]:[2025-July]],"&gt;="&amp;Table1[[#This Row],[Target]])</f>
        <v>8</v>
      </c>
      <c r="O1078" s="4">
        <f>IF(Table1[[#This Row],[Outliers 2Y]]=0,1,0)</f>
        <v>0</v>
      </c>
      <c r="P1078" s="4">
        <f>IF(Table1[[#This Row],[Last value]]&gt;1.5*Table1[[#This Row],[Target]],1,0)</f>
        <v>0</v>
      </c>
      <c r="Q1078" s="4">
        <f>IF(AND(1.5*Table1[[#This Row],[Target]]&gt;=Table1[[#This Row],[Last value]],Table1[[#This Row],[Last value]]&gt;Table1[[#This Row],[Target]]),1,0)</f>
        <v>1</v>
      </c>
      <c r="R1078" s="4">
        <f>IF(Table1[[#This Row],[Target]]&gt;=Table1[[#This Row],[Last value]],1,0)</f>
        <v>0</v>
      </c>
      <c r="S1078" s="4" t="str">
        <f t="shared" si="28"/>
        <v>Yellow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>
        <v>0</v>
      </c>
      <c r="BP1078" s="4">
        <v>0</v>
      </c>
      <c r="BQ1078" s="4">
        <v>4.17</v>
      </c>
      <c r="BR1078" s="4">
        <v>5.23</v>
      </c>
      <c r="BS1078" s="4">
        <v>7.08</v>
      </c>
      <c r="BT1078" s="4">
        <v>4.7</v>
      </c>
      <c r="BU1078" s="4">
        <v>5.18</v>
      </c>
      <c r="BV1078" s="4">
        <v>5.13</v>
      </c>
      <c r="BW1078" s="4">
        <v>5.21</v>
      </c>
      <c r="BX1078" s="4">
        <v>4.3600000000000003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3.85</v>
      </c>
      <c r="CF1078" s="4">
        <v>3.19</v>
      </c>
      <c r="CG1078" s="4">
        <v>0</v>
      </c>
      <c r="CH1078" s="4">
        <v>0</v>
      </c>
      <c r="CI1078" s="4">
        <v>4.93</v>
      </c>
      <c r="CJ1078" s="34">
        <v>4.7</v>
      </c>
      <c r="CK1078" s="34">
        <v>0</v>
      </c>
      <c r="CL1078" s="34">
        <v>0</v>
      </c>
      <c r="CM1078" s="4">
        <v>0</v>
      </c>
      <c r="CN1078" s="53">
        <v>0</v>
      </c>
      <c r="CO1078" s="54">
        <v>0</v>
      </c>
      <c r="CP1078" s="54">
        <v>0</v>
      </c>
      <c r="CQ1078" s="4">
        <v>0</v>
      </c>
    </row>
    <row r="1079" spans="1:95" x14ac:dyDescent="0.35">
      <c r="A1079" s="55">
        <v>1078</v>
      </c>
      <c r="B1079" t="s">
        <v>122</v>
      </c>
      <c r="C1079" s="27" t="s">
        <v>1152</v>
      </c>
      <c r="D1079" s="3" t="s">
        <v>123</v>
      </c>
      <c r="E1079" s="27" t="s">
        <v>91</v>
      </c>
      <c r="F1079" s="4">
        <f>IFERROR(AVERAGEIF(Table1[[#This Row],[2019-Apr]:[2025-July]],"&lt;&gt;0"),0)</f>
        <v>5.1750000000000007</v>
      </c>
      <c r="G1079" s="4">
        <f ca="1">IFERROR(AVERAGEIF(OFFSET(Table1[[#This Row],[Status]],0,COUNT(Table1[[#This Row],[2019-May]:[2025-July]]),1,-12),"&lt;&gt;0"),0)</f>
        <v>4.165</v>
      </c>
      <c r="H1079" s="55">
        <f>IFERROR(SMALL(Table1[[#This Row],[2019-Apr]:[2025-July]],COUNTIF(Table1[[#This Row],[2019-Apr]:[2025-July]],0)+1),0)</f>
        <v>3.91</v>
      </c>
      <c r="I1079" s="56">
        <f>IFERROR(MAX(Table1[[#This Row],[2019-Apr]:[2025-July]]),0)</f>
        <v>6.46</v>
      </c>
      <c r="J1079" s="4" cm="1">
        <f t="array" ref="J107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4.87</v>
      </c>
      <c r="K1079" s="4">
        <v>4.5</v>
      </c>
      <c r="L1079" s="4">
        <f>IF(Table1[[#This Row],[Standard as per ISO]]&gt;=Table1[[#This Row],[Avg of best 6]],Table1[[#This Row],[Standard as per ISO]],Table1[[#This Row],[Avg of best 6]])</f>
        <v>4.87</v>
      </c>
      <c r="M1079" s="4" cm="1">
        <f t="array" ref="M1079">IFERROR(LOOKUP(2,1/(Table1[[#This Row],[2019-May]:[2025-July]]&lt;&gt;0),Table1[[#This Row],[2019-May]:[2025-July]]),0)</f>
        <v>4.42</v>
      </c>
      <c r="N1079" s="4">
        <f>COUNTIF(Table1[[#This Row],[2019-Apr]:[2025-July]],"&gt;="&amp;Table1[[#This Row],[Target]])</f>
        <v>5</v>
      </c>
      <c r="O1079" s="4">
        <f>IF(Table1[[#This Row],[Outliers 2Y]]=0,1,0)</f>
        <v>0</v>
      </c>
      <c r="P1079" s="4">
        <f>IF(Table1[[#This Row],[Last value]]&gt;1.5*Table1[[#This Row],[Target]],1,0)</f>
        <v>0</v>
      </c>
      <c r="Q1079" s="4">
        <f>IF(AND(1.5*Table1[[#This Row],[Target]]&gt;=Table1[[#This Row],[Last value]],Table1[[#This Row],[Last value]]&gt;Table1[[#This Row],[Target]]),1,0)</f>
        <v>0</v>
      </c>
      <c r="R1079" s="4">
        <f>IF(Table1[[#This Row],[Target]]&gt;=Table1[[#This Row],[Last value]],1,0)</f>
        <v>1</v>
      </c>
      <c r="S1079" s="4" t="str">
        <f t="shared" si="28"/>
        <v>Green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>
        <v>0</v>
      </c>
      <c r="BP1079" s="4">
        <v>0</v>
      </c>
      <c r="BQ1079" s="4">
        <v>5.62</v>
      </c>
      <c r="BR1079" s="4">
        <v>6.46</v>
      </c>
      <c r="BS1079" s="4">
        <v>0</v>
      </c>
      <c r="BT1079" s="4">
        <v>0</v>
      </c>
      <c r="BU1079" s="4">
        <v>5.45</v>
      </c>
      <c r="BV1079" s="4">
        <v>0</v>
      </c>
      <c r="BW1079" s="4">
        <v>5.72</v>
      </c>
      <c r="BX1079" s="4">
        <v>5.2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4.62</v>
      </c>
      <c r="CE1079" s="4">
        <v>0</v>
      </c>
      <c r="CF1079" s="4">
        <v>3.91</v>
      </c>
      <c r="CG1079" s="4">
        <v>0</v>
      </c>
      <c r="CH1079" s="4">
        <v>0</v>
      </c>
      <c r="CI1079" s="4">
        <v>4.42</v>
      </c>
      <c r="CJ1079" s="34">
        <v>0</v>
      </c>
      <c r="CK1079" s="34">
        <v>0</v>
      </c>
      <c r="CL1079" s="34">
        <v>0</v>
      </c>
      <c r="CM1079" s="4">
        <v>0</v>
      </c>
      <c r="CN1079" s="53">
        <v>0</v>
      </c>
      <c r="CO1079" s="54">
        <v>0</v>
      </c>
      <c r="CP1079" s="54">
        <v>0</v>
      </c>
      <c r="CQ1079" s="4">
        <v>0</v>
      </c>
    </row>
    <row r="1080" spans="1:95" x14ac:dyDescent="0.35">
      <c r="A1080" s="55">
        <v>1079</v>
      </c>
      <c r="B1080" t="s">
        <v>122</v>
      </c>
      <c r="C1080" s="27" t="s">
        <v>1153</v>
      </c>
      <c r="D1080" s="3" t="s">
        <v>123</v>
      </c>
      <c r="E1080" s="27" t="s">
        <v>91</v>
      </c>
      <c r="F1080" s="4">
        <f>IFERROR(AVERAGEIF(Table1[[#This Row],[2019-Apr]:[2025-July]],"&lt;&gt;0"),0)</f>
        <v>6.9763636363636357</v>
      </c>
      <c r="G1080" s="4">
        <f ca="1">IFERROR(AVERAGEIF(OFFSET(Table1[[#This Row],[Status]],0,COUNT(Table1[[#This Row],[2019-May]:[2025-July]]),1,-12),"&lt;&gt;0"),0)</f>
        <v>8.254999999999999</v>
      </c>
      <c r="H1080" s="55">
        <f>IFERROR(SMALL(Table1[[#This Row],[2019-Apr]:[2025-July]],COUNTIF(Table1[[#This Row],[2019-Apr]:[2025-July]],0)+1),0)</f>
        <v>4.74</v>
      </c>
      <c r="I1080" s="56">
        <f>IFERROR(MAX(Table1[[#This Row],[2019-Apr]:[2025-July]]),0)</f>
        <v>12.3</v>
      </c>
      <c r="J1080" s="4" cm="1">
        <f t="array" ref="J108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5.586666666666666</v>
      </c>
      <c r="K1080" s="4">
        <v>4.5</v>
      </c>
      <c r="L1080" s="4">
        <f>IF(Table1[[#This Row],[Standard as per ISO]]&gt;=Table1[[#This Row],[Avg of best 6]],Table1[[#This Row],[Standard as per ISO]],Table1[[#This Row],[Avg of best 6]])</f>
        <v>5.586666666666666</v>
      </c>
      <c r="M1080" s="4" cm="1">
        <f t="array" ref="M1080">IFERROR(LOOKUP(2,1/(Table1[[#This Row],[2019-May]:[2025-July]]&lt;&gt;0),Table1[[#This Row],[2019-May]:[2025-July]]),0)</f>
        <v>12.3</v>
      </c>
      <c r="N1080" s="4">
        <f>COUNTIF(Table1[[#This Row],[2019-Apr]:[2025-July]],"&gt;="&amp;Table1[[#This Row],[Target]])</f>
        <v>7</v>
      </c>
      <c r="O1080" s="4">
        <f>IF(Table1[[#This Row],[Outliers 2Y]]=0,1,0)</f>
        <v>0</v>
      </c>
      <c r="P1080" s="4">
        <f>IF(Table1[[#This Row],[Last value]]&gt;1.5*Table1[[#This Row],[Target]],1,0)</f>
        <v>1</v>
      </c>
      <c r="Q1080" s="4">
        <f>IF(AND(1.5*Table1[[#This Row],[Target]]&gt;=Table1[[#This Row],[Last value]],Table1[[#This Row],[Last value]]&gt;Table1[[#This Row],[Target]]),1,0)</f>
        <v>0</v>
      </c>
      <c r="R1080" s="4">
        <f>IF(Table1[[#This Row],[Target]]&gt;=Table1[[#This Row],[Last value]],1,0)</f>
        <v>0</v>
      </c>
      <c r="S1080" s="4" t="str">
        <f t="shared" si="28"/>
        <v>Red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>
        <v>0</v>
      </c>
      <c r="BP1080" s="4">
        <v>0</v>
      </c>
      <c r="BQ1080" s="4">
        <v>8.75</v>
      </c>
      <c r="BR1080" s="4">
        <v>0</v>
      </c>
      <c r="BS1080" s="4">
        <v>0</v>
      </c>
      <c r="BT1080" s="4">
        <v>0</v>
      </c>
      <c r="BU1080" s="4">
        <v>7.39</v>
      </c>
      <c r="BV1080" s="4">
        <v>7.25</v>
      </c>
      <c r="BW1080" s="4">
        <v>5.27</v>
      </c>
      <c r="BX1080" s="4">
        <v>4.74</v>
      </c>
      <c r="BY1080" s="4">
        <v>5.35</v>
      </c>
      <c r="BZ1080" s="4">
        <v>4.97</v>
      </c>
      <c r="CA1080" s="4">
        <v>0</v>
      </c>
      <c r="CB1080" s="4">
        <v>0</v>
      </c>
      <c r="CC1080" s="4">
        <v>0</v>
      </c>
      <c r="CD1080" s="4">
        <v>0</v>
      </c>
      <c r="CE1080" s="4">
        <v>7.53</v>
      </c>
      <c r="CF1080" s="4">
        <v>6.31</v>
      </c>
      <c r="CG1080" s="4">
        <v>0</v>
      </c>
      <c r="CH1080" s="4">
        <v>0</v>
      </c>
      <c r="CI1080" s="4">
        <v>6.88</v>
      </c>
      <c r="CJ1080" s="34">
        <v>12.3</v>
      </c>
      <c r="CK1080" s="34">
        <v>0</v>
      </c>
      <c r="CL1080" s="34">
        <v>0</v>
      </c>
      <c r="CM1080" s="4">
        <v>0</v>
      </c>
      <c r="CN1080" s="53">
        <v>0</v>
      </c>
      <c r="CO1080" s="54">
        <v>0</v>
      </c>
      <c r="CP1080" s="54">
        <v>0</v>
      </c>
      <c r="CQ1080" s="4">
        <v>0</v>
      </c>
    </row>
    <row r="1081" spans="1:95" x14ac:dyDescent="0.35">
      <c r="A1081" s="55">
        <v>1080</v>
      </c>
      <c r="B1081" t="s">
        <v>122</v>
      </c>
      <c r="C1081" s="27" t="s">
        <v>1154</v>
      </c>
      <c r="D1081" s="3" t="s">
        <v>123</v>
      </c>
      <c r="E1081" s="27" t="s">
        <v>91</v>
      </c>
      <c r="F1081" s="4">
        <f>IFERROR(AVERAGEIF(Table1[[#This Row],[2019-Apr]:[2025-July]],"&lt;&gt;0"),0)</f>
        <v>6.2407692307692306</v>
      </c>
      <c r="G1081" s="4">
        <f ca="1">IFERROR(AVERAGEIF(OFFSET(Table1[[#This Row],[Status]],0,COUNT(Table1[[#This Row],[2019-May]:[2025-July]]),1,-12),"&lt;&gt;0"),0)</f>
        <v>5.3</v>
      </c>
      <c r="H1081" s="55">
        <f>IFERROR(SMALL(Table1[[#This Row],[2019-Apr]:[2025-July]],COUNTIF(Table1[[#This Row],[2019-Apr]:[2025-July]],0)+1),0)</f>
        <v>4.8</v>
      </c>
      <c r="I1081" s="56">
        <f>IFERROR(MAX(Table1[[#This Row],[2019-Apr]:[2025-July]]),0)</f>
        <v>8.59</v>
      </c>
      <c r="J1081" s="4" cm="1">
        <f t="array" ref="J108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5.28</v>
      </c>
      <c r="K1081" s="4">
        <v>4.5</v>
      </c>
      <c r="L1081" s="4">
        <f>IF(Table1[[#This Row],[Standard as per ISO]]&gt;=Table1[[#This Row],[Avg of best 6]],Table1[[#This Row],[Standard as per ISO]],Table1[[#This Row],[Avg of best 6]])</f>
        <v>5.28</v>
      </c>
      <c r="M1081" s="4" cm="1">
        <f t="array" ref="M1081">IFERROR(LOOKUP(2,1/(Table1[[#This Row],[2019-May]:[2025-July]]&lt;&gt;0),Table1[[#This Row],[2019-May]:[2025-July]]),0)</f>
        <v>4.8</v>
      </c>
      <c r="N1081" s="4">
        <f>COUNTIF(Table1[[#This Row],[2019-Apr]:[2025-July]],"&gt;="&amp;Table1[[#This Row],[Target]])</f>
        <v>11</v>
      </c>
      <c r="O1081" s="4">
        <f>IF(Table1[[#This Row],[Outliers 2Y]]=0,1,0)</f>
        <v>0</v>
      </c>
      <c r="P1081" s="4">
        <f>IF(Table1[[#This Row],[Last value]]&gt;1.5*Table1[[#This Row],[Target]],1,0)</f>
        <v>0</v>
      </c>
      <c r="Q1081" s="4">
        <f>IF(AND(1.5*Table1[[#This Row],[Target]]&gt;=Table1[[#This Row],[Last value]],Table1[[#This Row],[Last value]]&gt;Table1[[#This Row],[Target]]),1,0)</f>
        <v>0</v>
      </c>
      <c r="R1081" s="4">
        <f>IF(Table1[[#This Row],[Target]]&gt;=Table1[[#This Row],[Last value]],1,0)</f>
        <v>1</v>
      </c>
      <c r="S1081" s="4" t="str">
        <f t="shared" si="28"/>
        <v>Green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>
        <v>0</v>
      </c>
      <c r="BP1081" s="4">
        <v>0</v>
      </c>
      <c r="BQ1081" s="4">
        <v>8.59</v>
      </c>
      <c r="BR1081" s="4">
        <v>5.0199999999999996</v>
      </c>
      <c r="BS1081" s="4">
        <v>7.62</v>
      </c>
      <c r="BT1081" s="4">
        <v>7.72</v>
      </c>
      <c r="BU1081" s="4">
        <v>7.02</v>
      </c>
      <c r="BV1081" s="4">
        <v>0</v>
      </c>
      <c r="BW1081" s="4">
        <v>6.6</v>
      </c>
      <c r="BX1081" s="4">
        <v>0</v>
      </c>
      <c r="BY1081" s="4">
        <v>6.34</v>
      </c>
      <c r="BZ1081" s="4">
        <v>5.47</v>
      </c>
      <c r="CA1081" s="4">
        <v>5.55</v>
      </c>
      <c r="CB1081" s="4">
        <v>0</v>
      </c>
      <c r="CC1081" s="4">
        <v>0</v>
      </c>
      <c r="CD1081" s="4">
        <v>0</v>
      </c>
      <c r="CE1081" s="4">
        <v>5.56</v>
      </c>
      <c r="CF1081" s="4">
        <v>0</v>
      </c>
      <c r="CG1081" s="4">
        <v>5.42</v>
      </c>
      <c r="CH1081" s="4">
        <v>0</v>
      </c>
      <c r="CI1081" s="4">
        <v>5.42</v>
      </c>
      <c r="CJ1081" s="34">
        <v>4.8</v>
      </c>
      <c r="CK1081" s="34">
        <v>0</v>
      </c>
      <c r="CL1081" s="34">
        <v>0</v>
      </c>
      <c r="CM1081" s="4">
        <v>0</v>
      </c>
      <c r="CN1081" s="53">
        <v>0</v>
      </c>
      <c r="CO1081" s="54">
        <v>0</v>
      </c>
      <c r="CP1081" s="54">
        <v>0</v>
      </c>
      <c r="CQ1081" s="4">
        <v>0</v>
      </c>
    </row>
    <row r="1082" spans="1:95" x14ac:dyDescent="0.35">
      <c r="A1082" s="55">
        <v>1081</v>
      </c>
      <c r="B1082" t="s">
        <v>122</v>
      </c>
      <c r="C1082" s="27" t="s">
        <v>1155</v>
      </c>
      <c r="D1082" s="3" t="s">
        <v>123</v>
      </c>
      <c r="E1082" s="27" t="s">
        <v>91</v>
      </c>
      <c r="F1082" s="4">
        <f>IFERROR(AVERAGEIF(Table1[[#This Row],[2019-Apr]:[2025-July]],"&lt;&gt;0"),0)</f>
        <v>7.6462499999999993</v>
      </c>
      <c r="G1082" s="4">
        <f ca="1">IFERROR(AVERAGEIF(OFFSET(Table1[[#This Row],[Status]],0,COUNT(Table1[[#This Row],[2019-May]:[2025-July]]),1,-12),"&lt;&gt;0"),0)</f>
        <v>7.5766666666666653</v>
      </c>
      <c r="H1082" s="55">
        <f>IFERROR(SMALL(Table1[[#This Row],[2019-Apr]:[2025-July]],COUNTIF(Table1[[#This Row],[2019-Apr]:[2025-July]],0)+1),0)</f>
        <v>5.22</v>
      </c>
      <c r="I1082" s="56">
        <f>IFERROR(MAX(Table1[[#This Row],[2019-Apr]:[2025-July]]),0)</f>
        <v>11.52</v>
      </c>
      <c r="J1082" s="4" cm="1">
        <f t="array" ref="J108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6.8133333333333335</v>
      </c>
      <c r="K1082" s="4">
        <v>4.5</v>
      </c>
      <c r="L1082" s="4">
        <f>IF(Table1[[#This Row],[Standard as per ISO]]&gt;=Table1[[#This Row],[Avg of best 6]],Table1[[#This Row],[Standard as per ISO]],Table1[[#This Row],[Avg of best 6]])</f>
        <v>6.8133333333333335</v>
      </c>
      <c r="M1082" s="4" cm="1">
        <f t="array" ref="M1082">IFERROR(LOOKUP(2,1/(Table1[[#This Row],[2019-May]:[2025-July]]&lt;&gt;0),Table1[[#This Row],[2019-May]:[2025-July]]),0)</f>
        <v>5.99</v>
      </c>
      <c r="N1082" s="4">
        <f>COUNTIF(Table1[[#This Row],[2019-Apr]:[2025-July]],"&gt;="&amp;Table1[[#This Row],[Target]])</f>
        <v>5</v>
      </c>
      <c r="O1082" s="4">
        <f>IF(Table1[[#This Row],[Outliers 2Y]]=0,1,0)</f>
        <v>0</v>
      </c>
      <c r="P1082" s="4">
        <f>IF(Table1[[#This Row],[Last value]]&gt;1.5*Table1[[#This Row],[Target]],1,0)</f>
        <v>0</v>
      </c>
      <c r="Q1082" s="4">
        <f>IF(AND(1.5*Table1[[#This Row],[Target]]&gt;=Table1[[#This Row],[Last value]],Table1[[#This Row],[Last value]]&gt;Table1[[#This Row],[Target]]),1,0)</f>
        <v>0</v>
      </c>
      <c r="R1082" s="4">
        <f>IF(Table1[[#This Row],[Target]]&gt;=Table1[[#This Row],[Last value]],1,0)</f>
        <v>1</v>
      </c>
      <c r="S1082" s="4" t="str">
        <f t="shared" si="28"/>
        <v>Green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>
        <v>0</v>
      </c>
      <c r="BP1082" s="4">
        <v>0</v>
      </c>
      <c r="BQ1082" s="4">
        <v>7.11</v>
      </c>
      <c r="BR1082" s="4">
        <v>8.6</v>
      </c>
      <c r="BS1082" s="4">
        <v>8.77</v>
      </c>
      <c r="BT1082" s="4">
        <v>7.28</v>
      </c>
      <c r="BU1082" s="4">
        <v>6.68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11.52</v>
      </c>
      <c r="CF1082" s="4">
        <v>5.22</v>
      </c>
      <c r="CG1082" s="4">
        <v>0</v>
      </c>
      <c r="CH1082" s="4">
        <v>0</v>
      </c>
      <c r="CI1082" s="4">
        <v>5.99</v>
      </c>
      <c r="CJ1082" s="34">
        <v>0</v>
      </c>
      <c r="CK1082" s="34">
        <v>0</v>
      </c>
      <c r="CL1082" s="34">
        <v>0</v>
      </c>
      <c r="CM1082" s="4">
        <v>0</v>
      </c>
      <c r="CN1082" s="53">
        <v>0</v>
      </c>
      <c r="CO1082" s="54">
        <v>0</v>
      </c>
      <c r="CP1082" s="54">
        <v>0</v>
      </c>
      <c r="CQ1082" s="4">
        <v>0</v>
      </c>
    </row>
    <row r="1083" spans="1:95" x14ac:dyDescent="0.35">
      <c r="A1083" s="55">
        <v>1082</v>
      </c>
      <c r="B1083" t="s">
        <v>122</v>
      </c>
      <c r="C1083" s="27" t="s">
        <v>1156</v>
      </c>
      <c r="D1083" s="3" t="s">
        <v>123</v>
      </c>
      <c r="E1083" s="27" t="s">
        <v>91</v>
      </c>
      <c r="F1083" s="4">
        <f>IFERROR(AVERAGEIF(Table1[[#This Row],[2019-Apr]:[2025-July]],"&lt;&gt;0"),0)</f>
        <v>5.07125</v>
      </c>
      <c r="G1083" s="4">
        <f ca="1">IFERROR(AVERAGEIF(OFFSET(Table1[[#This Row],[Status]],0,COUNT(Table1[[#This Row],[2019-May]:[2025-July]]),1,-12),"&lt;&gt;0"),0)</f>
        <v>5.9499999999999993</v>
      </c>
      <c r="H1083" s="55">
        <f>IFERROR(SMALL(Table1[[#This Row],[2019-Apr]:[2025-July]],COUNTIF(Table1[[#This Row],[2019-Apr]:[2025-July]],0)+1),0)</f>
        <v>4.5</v>
      </c>
      <c r="I1083" s="56">
        <f>IFERROR(MAX(Table1[[#This Row],[2019-Apr]:[2025-July]]),0)</f>
        <v>6.3</v>
      </c>
      <c r="J1083" s="4" cm="1">
        <f t="array" ref="J108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4.7783333333333333</v>
      </c>
      <c r="K1083" s="4">
        <v>4.5</v>
      </c>
      <c r="L1083" s="4">
        <f>IF(Table1[[#This Row],[Standard as per ISO]]&gt;=Table1[[#This Row],[Avg of best 6]],Table1[[#This Row],[Standard as per ISO]],Table1[[#This Row],[Avg of best 6]])</f>
        <v>4.7783333333333333</v>
      </c>
      <c r="M1083" s="4" cm="1">
        <f t="array" ref="M1083">IFERROR(LOOKUP(2,1/(Table1[[#This Row],[2019-May]:[2025-July]]&lt;&gt;0),Table1[[#This Row],[2019-May]:[2025-July]]),0)</f>
        <v>5.6</v>
      </c>
      <c r="N1083" s="4">
        <f>COUNTIF(Table1[[#This Row],[2019-Apr]:[2025-July]],"&gt;="&amp;Table1[[#This Row],[Target]])</f>
        <v>4</v>
      </c>
      <c r="O1083" s="4">
        <f>IF(Table1[[#This Row],[Outliers 2Y]]=0,1,0)</f>
        <v>0</v>
      </c>
      <c r="P1083" s="4">
        <f>IF(Table1[[#This Row],[Last value]]&gt;1.5*Table1[[#This Row],[Target]],1,0)</f>
        <v>0</v>
      </c>
      <c r="Q1083" s="4">
        <f>IF(AND(1.5*Table1[[#This Row],[Target]]&gt;=Table1[[#This Row],[Last value]],Table1[[#This Row],[Last value]]&gt;Table1[[#This Row],[Target]]),1,0)</f>
        <v>1</v>
      </c>
      <c r="R1083" s="4">
        <f>IF(Table1[[#This Row],[Target]]&gt;=Table1[[#This Row],[Last value]],1,0)</f>
        <v>0</v>
      </c>
      <c r="S1083" s="4" t="str">
        <f t="shared" ref="S1083:S1151" si="29">IF(P1083=1, "Red", IF(Q1083=1, "Yellow", "Green"))</f>
        <v>Yellow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>
        <v>0</v>
      </c>
      <c r="BP1083" s="4">
        <v>0</v>
      </c>
      <c r="BQ1083" s="4">
        <v>4.7699999999999996</v>
      </c>
      <c r="BR1083" s="4">
        <v>0</v>
      </c>
      <c r="BS1083" s="4">
        <v>0</v>
      </c>
      <c r="BT1083" s="4">
        <v>5.17</v>
      </c>
      <c r="BU1083" s="4">
        <v>4.5</v>
      </c>
      <c r="BV1083" s="4">
        <v>4.6100000000000003</v>
      </c>
      <c r="BW1083" s="4">
        <v>4.8899999999999997</v>
      </c>
      <c r="BX1083" s="4">
        <v>4.7300000000000004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6.3</v>
      </c>
      <c r="CJ1083" s="34">
        <v>5.6</v>
      </c>
      <c r="CK1083" s="34">
        <v>0</v>
      </c>
      <c r="CL1083" s="34">
        <v>0</v>
      </c>
      <c r="CM1083" s="4">
        <v>0</v>
      </c>
      <c r="CN1083" s="53">
        <v>0</v>
      </c>
      <c r="CO1083" s="54">
        <v>0</v>
      </c>
      <c r="CP1083" s="54">
        <v>0</v>
      </c>
      <c r="CQ1083" s="4">
        <v>0</v>
      </c>
    </row>
    <row r="1084" spans="1:95" x14ac:dyDescent="0.35">
      <c r="A1084" s="55">
        <v>1083</v>
      </c>
      <c r="B1084" t="s">
        <v>122</v>
      </c>
      <c r="C1084" s="27" t="s">
        <v>1157</v>
      </c>
      <c r="D1084" s="3" t="s">
        <v>123</v>
      </c>
      <c r="E1084" s="27" t="s">
        <v>91</v>
      </c>
      <c r="F1084" s="4">
        <f>IFERROR(AVERAGEIF(Table1[[#This Row],[2019-Apr]:[2025-July]],"&lt;&gt;0"),0)</f>
        <v>7.2255555555555553</v>
      </c>
      <c r="G1084" s="4">
        <f ca="1">IFERROR(AVERAGEIF(OFFSET(Table1[[#This Row],[Status]],0,COUNT(Table1[[#This Row],[2019-May]:[2025-July]]),1,-12),"&lt;&gt;0"),0)</f>
        <v>8.75</v>
      </c>
      <c r="H1084" s="55">
        <f>IFERROR(SMALL(Table1[[#This Row],[2019-Apr]:[2025-July]],COUNTIF(Table1[[#This Row],[2019-Apr]:[2025-July]],0)+1),0)</f>
        <v>1.51</v>
      </c>
      <c r="I1084" s="56">
        <f>IFERROR(MAX(Table1[[#This Row],[2019-Apr]:[2025-July]]),0)</f>
        <v>10.199999999999999</v>
      </c>
      <c r="J1084" s="4" cm="1">
        <f t="array" ref="J108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6.3083333333333336</v>
      </c>
      <c r="K1084" s="4">
        <v>4.5</v>
      </c>
      <c r="L1084" s="4">
        <f>IF(Table1[[#This Row],[Standard as per ISO]]&gt;=Table1[[#This Row],[Avg of best 6]],Table1[[#This Row],[Standard as per ISO]],Table1[[#This Row],[Avg of best 6]])</f>
        <v>6.3083333333333336</v>
      </c>
      <c r="M1084" s="4" cm="1">
        <f t="array" ref="M1084">IFERROR(LOOKUP(2,1/(Table1[[#This Row],[2019-May]:[2025-July]]&lt;&gt;0),Table1[[#This Row],[2019-May]:[2025-July]]),0)</f>
        <v>10.199999999999999</v>
      </c>
      <c r="N1084" s="4">
        <f>COUNTIF(Table1[[#This Row],[2019-Apr]:[2025-July]],"&gt;="&amp;Table1[[#This Row],[Target]])</f>
        <v>7</v>
      </c>
      <c r="O1084" s="4">
        <f>IF(Table1[[#This Row],[Outliers 2Y]]=0,1,0)</f>
        <v>0</v>
      </c>
      <c r="P1084" s="4">
        <f>IF(Table1[[#This Row],[Last value]]&gt;1.5*Table1[[#This Row],[Target]],1,0)</f>
        <v>1</v>
      </c>
      <c r="Q1084" s="4">
        <f>IF(AND(1.5*Table1[[#This Row],[Target]]&gt;=Table1[[#This Row],[Last value]],Table1[[#This Row],[Last value]]&gt;Table1[[#This Row],[Target]]),1,0)</f>
        <v>0</v>
      </c>
      <c r="R1084" s="4">
        <f>IF(Table1[[#This Row],[Target]]&gt;=Table1[[#This Row],[Last value]],1,0)</f>
        <v>0</v>
      </c>
      <c r="S1084" s="4" t="str">
        <f t="shared" si="29"/>
        <v>Red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>
        <v>0</v>
      </c>
      <c r="BP1084" s="4">
        <v>0</v>
      </c>
      <c r="BQ1084" s="4">
        <v>1.51</v>
      </c>
      <c r="BR1084" s="4">
        <v>7.64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6.9</v>
      </c>
      <c r="BY1084" s="4">
        <v>5.79</v>
      </c>
      <c r="BZ1084" s="4">
        <v>8.36</v>
      </c>
      <c r="CA1084" s="4">
        <v>8.58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7.65</v>
      </c>
      <c r="CH1084" s="4">
        <v>0</v>
      </c>
      <c r="CI1084" s="4">
        <v>0</v>
      </c>
      <c r="CJ1084" s="34">
        <v>8.4</v>
      </c>
      <c r="CK1084" s="34">
        <v>0</v>
      </c>
      <c r="CL1084" s="34">
        <v>0</v>
      </c>
      <c r="CM1084" s="4">
        <v>0</v>
      </c>
      <c r="CN1084" s="53">
        <v>0</v>
      </c>
      <c r="CO1084" s="54">
        <v>0</v>
      </c>
      <c r="CP1084" s="54">
        <v>10.199999999999999</v>
      </c>
      <c r="CQ1084" s="4">
        <v>0</v>
      </c>
    </row>
    <row r="1085" spans="1:95" x14ac:dyDescent="0.35">
      <c r="A1085" s="55">
        <v>1084</v>
      </c>
      <c r="B1085" t="s">
        <v>122</v>
      </c>
      <c r="C1085" s="27" t="s">
        <v>1158</v>
      </c>
      <c r="D1085" s="3" t="s">
        <v>123</v>
      </c>
      <c r="E1085" s="27" t="s">
        <v>91</v>
      </c>
      <c r="F1085" s="4">
        <f>IFERROR(AVERAGEIF(Table1[[#This Row],[2019-Apr]:[2025-July]],"&lt;&gt;0"),0)</f>
        <v>6.62</v>
      </c>
      <c r="G1085" s="4">
        <f ca="1">IFERROR(AVERAGEIF(OFFSET(Table1[[#This Row],[Status]],0,COUNT(Table1[[#This Row],[2019-May]:[2025-July]]),1,-12),"&lt;&gt;0"),0)</f>
        <v>9.23</v>
      </c>
      <c r="H1085" s="55">
        <f>IFERROR(SMALL(Table1[[#This Row],[2019-Apr]:[2025-July]],COUNTIF(Table1[[#This Row],[2019-Apr]:[2025-July]],0)+1),0)</f>
        <v>4.54</v>
      </c>
      <c r="I1085" s="56">
        <f>IFERROR(MAX(Table1[[#This Row],[2019-Apr]:[2025-July]]),0)</f>
        <v>9.8800000000000008</v>
      </c>
      <c r="J1085" s="4" cm="1">
        <f t="array" ref="J108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6.62</v>
      </c>
      <c r="K1085" s="4">
        <v>4.5</v>
      </c>
      <c r="L1085" s="4">
        <f>IF(Table1[[#This Row],[Standard as per ISO]]&gt;=Table1[[#This Row],[Avg of best 6]],Table1[[#This Row],[Standard as per ISO]],Table1[[#This Row],[Avg of best 6]])</f>
        <v>6.62</v>
      </c>
      <c r="M1085" s="4" cm="1">
        <f t="array" ref="M1085">IFERROR(LOOKUP(2,1/(Table1[[#This Row],[2019-May]:[2025-July]]&lt;&gt;0),Table1[[#This Row],[2019-May]:[2025-July]]),0)</f>
        <v>8.58</v>
      </c>
      <c r="N1085" s="4">
        <f>COUNTIF(Table1[[#This Row],[2019-Apr]:[2025-July]],"&gt;="&amp;Table1[[#This Row],[Target]])</f>
        <v>2</v>
      </c>
      <c r="O1085" s="4">
        <f>IF(Table1[[#This Row],[Outliers 2Y]]=0,1,0)</f>
        <v>0</v>
      </c>
      <c r="P1085" s="4">
        <f>IF(Table1[[#This Row],[Last value]]&gt;1.5*Table1[[#This Row],[Target]],1,0)</f>
        <v>0</v>
      </c>
      <c r="Q1085" s="4">
        <f>IF(AND(1.5*Table1[[#This Row],[Target]]&gt;=Table1[[#This Row],[Last value]],Table1[[#This Row],[Last value]]&gt;Table1[[#This Row],[Target]]),1,0)</f>
        <v>1</v>
      </c>
      <c r="R1085" s="4">
        <f>IF(Table1[[#This Row],[Target]]&gt;=Table1[[#This Row],[Last value]],1,0)</f>
        <v>0</v>
      </c>
      <c r="S1085" s="4" t="str">
        <f t="shared" si="29"/>
        <v>Yellow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4.9400000000000004</v>
      </c>
      <c r="BY1085" s="4">
        <v>5.88</v>
      </c>
      <c r="BZ1085" s="4">
        <v>5.9</v>
      </c>
      <c r="CA1085" s="4">
        <v>4.54</v>
      </c>
      <c r="CB1085" s="4">
        <v>0</v>
      </c>
      <c r="CC1085" s="4">
        <v>0</v>
      </c>
      <c r="CD1085" s="4">
        <v>0</v>
      </c>
      <c r="CE1085" s="4">
        <v>0</v>
      </c>
      <c r="CF1085" s="4">
        <v>9.8800000000000008</v>
      </c>
      <c r="CG1085" s="4">
        <v>0</v>
      </c>
      <c r="CH1085" s="4">
        <v>0</v>
      </c>
      <c r="CI1085" s="4">
        <v>8.58</v>
      </c>
      <c r="CJ1085" s="34">
        <v>0</v>
      </c>
      <c r="CK1085" s="34">
        <v>0</v>
      </c>
      <c r="CL1085" s="34">
        <v>0</v>
      </c>
      <c r="CM1085" s="4">
        <v>0</v>
      </c>
      <c r="CN1085" s="53">
        <v>0</v>
      </c>
      <c r="CO1085" s="54">
        <v>0</v>
      </c>
      <c r="CP1085" s="54">
        <v>0</v>
      </c>
      <c r="CQ1085" s="4">
        <v>0</v>
      </c>
    </row>
    <row r="1086" spans="1:95" x14ac:dyDescent="0.35">
      <c r="A1086" s="55">
        <v>1085</v>
      </c>
      <c r="B1086" t="s">
        <v>122</v>
      </c>
      <c r="C1086" s="27" t="s">
        <v>1159</v>
      </c>
      <c r="D1086" s="3" t="s">
        <v>123</v>
      </c>
      <c r="E1086" s="27" t="s">
        <v>91</v>
      </c>
      <c r="F1086" s="4">
        <f>IFERROR(AVERAGEIF(Table1[[#This Row],[2019-Apr]:[2025-July]],"&lt;&gt;0"),0)</f>
        <v>5.7149999999999999</v>
      </c>
      <c r="G1086" s="4">
        <f ca="1">IFERROR(AVERAGEIF(OFFSET(Table1[[#This Row],[Status]],0,COUNT(Table1[[#This Row],[2019-May]:[2025-July]]),1,-12),"&lt;&gt;0"),0)</f>
        <v>5.8420000000000005</v>
      </c>
      <c r="H1086" s="55">
        <f>IFERROR(SMALL(Table1[[#This Row],[2019-Apr]:[2025-July]],COUNTIF(Table1[[#This Row],[2019-Apr]:[2025-July]],0)+1),0)</f>
        <v>4.9400000000000004</v>
      </c>
      <c r="I1086" s="56">
        <f>IFERROR(MAX(Table1[[#This Row],[2019-Apr]:[2025-July]]),0)</f>
        <v>7.4</v>
      </c>
      <c r="J1086" s="4" cm="1">
        <f t="array" ref="J108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5.2049999999999992</v>
      </c>
      <c r="K1086" s="4">
        <v>4.5</v>
      </c>
      <c r="L1086" s="4">
        <f>IF(Table1[[#This Row],[Standard as per ISO]]&gt;=Table1[[#This Row],[Avg of best 6]],Table1[[#This Row],[Standard as per ISO]],Table1[[#This Row],[Avg of best 6]])</f>
        <v>5.2049999999999992</v>
      </c>
      <c r="M1086" s="4" cm="1">
        <f t="array" ref="M1086">IFERROR(LOOKUP(2,1/(Table1[[#This Row],[2019-May]:[2025-July]]&lt;&gt;0),Table1[[#This Row],[2019-May]:[2025-July]]),0)</f>
        <v>7.4</v>
      </c>
      <c r="N1086" s="4">
        <f>COUNTIF(Table1[[#This Row],[2019-Apr]:[2025-July]],"&gt;="&amp;Table1[[#This Row],[Target]])</f>
        <v>9</v>
      </c>
      <c r="O1086" s="4">
        <f>IF(Table1[[#This Row],[Outliers 2Y]]=0,1,0)</f>
        <v>0</v>
      </c>
      <c r="P1086" s="4">
        <f>IF(Table1[[#This Row],[Last value]]&gt;1.5*Table1[[#This Row],[Target]],1,0)</f>
        <v>0</v>
      </c>
      <c r="Q1086" s="4">
        <f>IF(AND(1.5*Table1[[#This Row],[Target]]&gt;=Table1[[#This Row],[Last value]],Table1[[#This Row],[Last value]]&gt;Table1[[#This Row],[Target]]),1,0)</f>
        <v>1</v>
      </c>
      <c r="R1086" s="4">
        <f>IF(Table1[[#This Row],[Target]]&gt;=Table1[[#This Row],[Last value]],1,0)</f>
        <v>0</v>
      </c>
      <c r="S1086" s="4" t="str">
        <f t="shared" si="29"/>
        <v>Yellow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>
        <v>0</v>
      </c>
      <c r="BP1086" s="4">
        <v>0</v>
      </c>
      <c r="BQ1086" s="4">
        <v>4.99</v>
      </c>
      <c r="BR1086" s="4">
        <v>0</v>
      </c>
      <c r="BS1086" s="4">
        <v>0</v>
      </c>
      <c r="BT1086" s="4">
        <v>5.44</v>
      </c>
      <c r="BU1086" s="4">
        <v>5.61</v>
      </c>
      <c r="BV1086" s="4">
        <v>7.09</v>
      </c>
      <c r="BW1086" s="4">
        <v>0</v>
      </c>
      <c r="BX1086" s="4">
        <v>4.9400000000000004</v>
      </c>
      <c r="BY1086" s="4">
        <v>5.97</v>
      </c>
      <c r="BZ1086" s="4">
        <v>5.33</v>
      </c>
      <c r="CA1086" s="4">
        <v>0</v>
      </c>
      <c r="CB1086" s="4">
        <v>0</v>
      </c>
      <c r="CC1086" s="4">
        <v>0</v>
      </c>
      <c r="CD1086" s="4">
        <v>0</v>
      </c>
      <c r="CE1086" s="4">
        <v>5.49</v>
      </c>
      <c r="CF1086" s="4">
        <v>5.04</v>
      </c>
      <c r="CG1086" s="4">
        <v>5.53</v>
      </c>
      <c r="CH1086" s="4">
        <v>0</v>
      </c>
      <c r="CI1086" s="4">
        <v>5.75</v>
      </c>
      <c r="CJ1086" s="34">
        <v>7.4</v>
      </c>
      <c r="CK1086" s="34">
        <v>0</v>
      </c>
      <c r="CL1086" s="34">
        <v>0</v>
      </c>
      <c r="CM1086" s="4">
        <v>0</v>
      </c>
      <c r="CN1086" s="53">
        <v>0</v>
      </c>
      <c r="CO1086" s="54">
        <v>0</v>
      </c>
      <c r="CP1086" s="54">
        <v>0</v>
      </c>
      <c r="CQ1086" s="4">
        <v>0</v>
      </c>
    </row>
    <row r="1087" spans="1:95" x14ac:dyDescent="0.35">
      <c r="A1087" s="55">
        <v>1086</v>
      </c>
      <c r="B1087" t="s">
        <v>122</v>
      </c>
      <c r="C1087" s="27" t="s">
        <v>1160</v>
      </c>
      <c r="D1087" s="3" t="s">
        <v>123</v>
      </c>
      <c r="E1087" s="27" t="s">
        <v>91</v>
      </c>
      <c r="F1087" s="4">
        <f>IFERROR(AVERAGEIF(Table1[[#This Row],[2019-Apr]:[2025-July]],"&lt;&gt;0"),0)</f>
        <v>6.3047058823529412</v>
      </c>
      <c r="G1087" s="4">
        <f ca="1">IFERROR(AVERAGEIF(OFFSET(Table1[[#This Row],[Status]],0,COUNT(Table1[[#This Row],[2019-May]:[2025-July]]),1,-12),"&lt;&gt;0"),0)</f>
        <v>8.1233333333333331</v>
      </c>
      <c r="H1087" s="55">
        <f>IFERROR(SMALL(Table1[[#This Row],[2019-Apr]:[2025-July]],COUNTIF(Table1[[#This Row],[2019-Apr]:[2025-July]],0)+1),0)</f>
        <v>3.78</v>
      </c>
      <c r="I1087" s="56">
        <f>IFERROR(MAX(Table1[[#This Row],[2019-Apr]:[2025-July]]),0)</f>
        <v>13.54</v>
      </c>
      <c r="J1087" s="4" cm="1">
        <f t="array" ref="J108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4.3716666666666661</v>
      </c>
      <c r="K1087" s="4">
        <v>4.5</v>
      </c>
      <c r="L1087" s="4">
        <f>IF(Table1[[#This Row],[Standard as per ISO]]&gt;=Table1[[#This Row],[Avg of best 6]],Table1[[#This Row],[Standard as per ISO]],Table1[[#This Row],[Avg of best 6]])</f>
        <v>4.5</v>
      </c>
      <c r="M1087" s="4" cm="1">
        <f t="array" ref="M1087">IFERROR(LOOKUP(2,1/(Table1[[#This Row],[2019-May]:[2025-July]]&lt;&gt;0),Table1[[#This Row],[2019-May]:[2025-July]]),0)</f>
        <v>5.3</v>
      </c>
      <c r="N1087" s="4">
        <f>COUNTIF(Table1[[#This Row],[2019-Apr]:[2025-July]],"&gt;="&amp;Table1[[#This Row],[Target]])</f>
        <v>13</v>
      </c>
      <c r="O1087" s="4">
        <f>IF(Table1[[#This Row],[Outliers 2Y]]=0,1,0)</f>
        <v>0</v>
      </c>
      <c r="P1087" s="4">
        <f>IF(Table1[[#This Row],[Last value]]&gt;1.5*Table1[[#This Row],[Target]],1,0)</f>
        <v>0</v>
      </c>
      <c r="Q1087" s="4">
        <f>IF(AND(1.5*Table1[[#This Row],[Target]]&gt;=Table1[[#This Row],[Last value]],Table1[[#This Row],[Last value]]&gt;Table1[[#This Row],[Target]]),1,0)</f>
        <v>1</v>
      </c>
      <c r="R1087" s="4">
        <f>IF(Table1[[#This Row],[Target]]&gt;=Table1[[#This Row],[Last value]],1,0)</f>
        <v>0</v>
      </c>
      <c r="S1087" s="4" t="str">
        <f t="shared" si="29"/>
        <v>Yellow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>
        <v>0</v>
      </c>
      <c r="BP1087" s="4">
        <v>0</v>
      </c>
      <c r="BQ1087" s="4">
        <v>7.59</v>
      </c>
      <c r="BR1087" s="4">
        <v>6.23</v>
      </c>
      <c r="BS1087" s="4">
        <v>5.59</v>
      </c>
      <c r="BT1087" s="4">
        <v>4.1500000000000004</v>
      </c>
      <c r="BU1087" s="4">
        <v>4.9000000000000004</v>
      </c>
      <c r="BV1087" s="4">
        <v>6.05</v>
      </c>
      <c r="BW1087" s="4">
        <v>6.75</v>
      </c>
      <c r="BX1087" s="4">
        <v>3.78</v>
      </c>
      <c r="BY1087" s="4">
        <v>4.76</v>
      </c>
      <c r="BZ1087" s="4">
        <v>4.38</v>
      </c>
      <c r="CA1087" s="4">
        <v>4.26</v>
      </c>
      <c r="CB1087" s="4">
        <v>0</v>
      </c>
      <c r="CC1087" s="4">
        <v>0</v>
      </c>
      <c r="CD1087" s="4">
        <v>0</v>
      </c>
      <c r="CE1087" s="4">
        <v>13.54</v>
      </c>
      <c r="CF1087" s="4">
        <v>6.7</v>
      </c>
      <c r="CG1087" s="4">
        <v>10.77</v>
      </c>
      <c r="CH1087" s="4">
        <v>0</v>
      </c>
      <c r="CI1087" s="4">
        <v>6.43</v>
      </c>
      <c r="CJ1087" s="34">
        <v>6</v>
      </c>
      <c r="CK1087" s="34">
        <v>0</v>
      </c>
      <c r="CL1087" s="34">
        <v>0</v>
      </c>
      <c r="CM1087" s="4">
        <v>0</v>
      </c>
      <c r="CN1087" s="53">
        <v>0</v>
      </c>
      <c r="CO1087" s="54">
        <v>0</v>
      </c>
      <c r="CP1087" s="54">
        <v>5.3</v>
      </c>
      <c r="CQ1087" s="4">
        <v>0</v>
      </c>
    </row>
    <row r="1088" spans="1:95" x14ac:dyDescent="0.35">
      <c r="A1088" s="55">
        <v>1087</v>
      </c>
      <c r="B1088" t="s">
        <v>122</v>
      </c>
      <c r="C1088" s="27" t="s">
        <v>1161</v>
      </c>
      <c r="D1088" s="3" t="s">
        <v>88</v>
      </c>
      <c r="E1088" s="27" t="s">
        <v>89</v>
      </c>
      <c r="F1088" s="4">
        <f>IFERROR(AVERAGEIF(Table1[[#This Row],[2019-Apr]:[2025-July]],"&lt;&gt;0"),0)</f>
        <v>1.3693750000000002</v>
      </c>
      <c r="G1088" s="4">
        <f ca="1">IFERROR(AVERAGEIF(OFFSET(Table1[[#This Row],[Status]],0,COUNT(Table1[[#This Row],[2019-May]:[2025-July]]),1,-12),"&lt;&gt;0"),0)</f>
        <v>1.746</v>
      </c>
      <c r="H1088" s="55">
        <f>IFERROR(SMALL(Table1[[#This Row],[2019-Apr]:[2025-July]],COUNTIF(Table1[[#This Row],[2019-Apr]:[2025-July]],0)+1),0)</f>
        <v>0.44</v>
      </c>
      <c r="I1088" s="56">
        <f>IFERROR(MAX(Table1[[#This Row],[2019-Apr]:[2025-July]]),0)</f>
        <v>2.2999999999999998</v>
      </c>
      <c r="J1088" s="4" cm="1">
        <f t="array" ref="J108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0.85166666666666668</v>
      </c>
      <c r="K1088" s="4">
        <v>4.5</v>
      </c>
      <c r="L1088" s="4">
        <f>IF(Table1[[#This Row],[Standard as per ISO]]&gt;=Table1[[#This Row],[Avg of best 6]],Table1[[#This Row],[Standard as per ISO]],Table1[[#This Row],[Avg of best 6]])</f>
        <v>4.5</v>
      </c>
      <c r="M1088" s="4" cm="1">
        <f t="array" ref="M1088">IFERROR(LOOKUP(2,1/(Table1[[#This Row],[2019-May]:[2025-July]]&lt;&gt;0),Table1[[#This Row],[2019-May]:[2025-July]]),0)</f>
        <v>2.2000000000000002</v>
      </c>
      <c r="N1088" s="4">
        <f>COUNTIF(Table1[[#This Row],[2019-Apr]:[2025-July]],"&gt;="&amp;Table1[[#This Row],[Target]])</f>
        <v>0</v>
      </c>
      <c r="O1088" s="4">
        <f>IF(Table1[[#This Row],[Outliers 2Y]]=0,1,0)</f>
        <v>1</v>
      </c>
      <c r="P1088" s="4">
        <f>IF(Table1[[#This Row],[Last value]]&gt;1.5*Table1[[#This Row],[Target]],1,0)</f>
        <v>0</v>
      </c>
      <c r="Q1088" s="4">
        <f>IF(AND(1.5*Table1[[#This Row],[Target]]&gt;=Table1[[#This Row],[Last value]],Table1[[#This Row],[Last value]]&gt;Table1[[#This Row],[Target]]),1,0)</f>
        <v>0</v>
      </c>
      <c r="R1088" s="4">
        <f>IF(Table1[[#This Row],[Target]]&gt;=Table1[[#This Row],[Last value]],1,0)</f>
        <v>1</v>
      </c>
      <c r="S1088" s="4" t="str">
        <f t="shared" si="29"/>
        <v>Green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>
        <v>0</v>
      </c>
      <c r="BP1088" s="4">
        <v>1.29</v>
      </c>
      <c r="BQ1088" s="4">
        <v>0.9</v>
      </c>
      <c r="BR1088" s="4">
        <v>1.25</v>
      </c>
      <c r="BS1088" s="4">
        <v>0.63</v>
      </c>
      <c r="BT1088" s="4">
        <v>0.44</v>
      </c>
      <c r="BU1088" s="4">
        <v>1.03</v>
      </c>
      <c r="BV1088" s="4">
        <v>1.67</v>
      </c>
      <c r="BW1088" s="4">
        <v>0.98</v>
      </c>
      <c r="BX1088" s="4">
        <v>1.32</v>
      </c>
      <c r="BY1088" s="4">
        <v>1.47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1.1299999999999999</v>
      </c>
      <c r="CF1088" s="4">
        <v>0</v>
      </c>
      <c r="CG1088" s="4">
        <v>0</v>
      </c>
      <c r="CH1088" s="4">
        <v>0</v>
      </c>
      <c r="CI1088" s="4">
        <v>0</v>
      </c>
      <c r="CJ1088" s="34">
        <v>0</v>
      </c>
      <c r="CK1088" s="34">
        <v>0</v>
      </c>
      <c r="CL1088" s="43">
        <v>0</v>
      </c>
      <c r="CM1088" s="4">
        <v>1.7</v>
      </c>
      <c r="CN1088" s="53">
        <v>1.5</v>
      </c>
      <c r="CO1088" s="54">
        <v>2.2999999999999998</v>
      </c>
      <c r="CP1088" s="54">
        <v>2.1</v>
      </c>
      <c r="CQ1088" s="4">
        <v>2.2000000000000002</v>
      </c>
    </row>
    <row r="1089" spans="1:95" x14ac:dyDescent="0.35">
      <c r="A1089" s="55">
        <v>1088</v>
      </c>
      <c r="B1089" t="s">
        <v>122</v>
      </c>
      <c r="C1089" s="27" t="s">
        <v>1162</v>
      </c>
      <c r="D1089" s="3" t="s">
        <v>88</v>
      </c>
      <c r="E1089" s="27" t="s">
        <v>89</v>
      </c>
      <c r="F1089" s="4">
        <f>IFERROR(AVERAGEIF(Table1[[#This Row],[2019-Apr]:[2025-July]],"&lt;&gt;0"),0)</f>
        <v>0.64055555555555554</v>
      </c>
      <c r="G1089" s="4">
        <f ca="1">IFERROR(AVERAGEIF(OFFSET(Table1[[#This Row],[Status]],0,COUNT(Table1[[#This Row],[2019-May]:[2025-July]]),1,-12),"&lt;&gt;0"),0)</f>
        <v>0.67714285714285716</v>
      </c>
      <c r="H1089" s="55">
        <f>IFERROR(SMALL(Table1[[#This Row],[2019-Apr]:[2025-July]],COUNTIF(Table1[[#This Row],[2019-Apr]:[2025-July]],0)+1),0)</f>
        <v>0.41</v>
      </c>
      <c r="I1089" s="56">
        <f>IFERROR(MAX(Table1[[#This Row],[2019-Apr]:[2025-July]]),0)</f>
        <v>1.33</v>
      </c>
      <c r="J1089" s="4" cm="1">
        <f t="array" ref="J108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0.46666666666666662</v>
      </c>
      <c r="K1089" s="4">
        <v>4.5</v>
      </c>
      <c r="L1089" s="4">
        <f>IF(Table1[[#This Row],[Standard as per ISO]]&gt;=Table1[[#This Row],[Avg of best 6]],Table1[[#This Row],[Standard as per ISO]],Table1[[#This Row],[Avg of best 6]])</f>
        <v>4.5</v>
      </c>
      <c r="M1089" s="4" cm="1">
        <f t="array" ref="M1089">IFERROR(LOOKUP(2,1/(Table1[[#This Row],[2019-May]:[2025-July]]&lt;&gt;0),Table1[[#This Row],[2019-May]:[2025-July]]),0)</f>
        <v>0.6</v>
      </c>
      <c r="N1089" s="4">
        <f>COUNTIF(Table1[[#This Row],[2019-Apr]:[2025-July]],"&gt;="&amp;Table1[[#This Row],[Target]])</f>
        <v>0</v>
      </c>
      <c r="O1089" s="4">
        <f>IF(Table1[[#This Row],[Outliers 2Y]]=0,1,0)</f>
        <v>1</v>
      </c>
      <c r="P1089" s="4">
        <f>IF(Table1[[#This Row],[Last value]]&gt;1.5*Table1[[#This Row],[Target]],1,0)</f>
        <v>0</v>
      </c>
      <c r="Q1089" s="4">
        <f>IF(AND(1.5*Table1[[#This Row],[Target]]&gt;=Table1[[#This Row],[Last value]],Table1[[#This Row],[Last value]]&gt;Table1[[#This Row],[Target]]),1,0)</f>
        <v>0</v>
      </c>
      <c r="R1089" s="4">
        <f>IF(Table1[[#This Row],[Target]]&gt;=Table1[[#This Row],[Last value]],1,0)</f>
        <v>1</v>
      </c>
      <c r="S1089" s="4" t="str">
        <f t="shared" si="29"/>
        <v>Green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>
        <v>0</v>
      </c>
      <c r="BP1089" s="4">
        <v>1.33</v>
      </c>
      <c r="BQ1089" s="4">
        <v>0.67</v>
      </c>
      <c r="BR1089" s="4">
        <v>0.49</v>
      </c>
      <c r="BS1089" s="4">
        <v>0.45</v>
      </c>
      <c r="BT1089" s="4">
        <v>0.55000000000000004</v>
      </c>
      <c r="BU1089" s="4">
        <v>0.69</v>
      </c>
      <c r="BV1089" s="4">
        <v>0.52</v>
      </c>
      <c r="BW1089" s="4">
        <v>0.45</v>
      </c>
      <c r="BX1089" s="4">
        <v>0.41</v>
      </c>
      <c r="BY1089" s="4">
        <v>0.63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0.74</v>
      </c>
      <c r="CF1089" s="4">
        <v>0</v>
      </c>
      <c r="CG1089" s="4">
        <v>0</v>
      </c>
      <c r="CH1089" s="4">
        <v>0</v>
      </c>
      <c r="CI1089" s="4">
        <v>0</v>
      </c>
      <c r="CJ1089" s="34">
        <v>0.6</v>
      </c>
      <c r="CK1089" s="34">
        <v>0</v>
      </c>
      <c r="CL1089" s="43">
        <v>0.9</v>
      </c>
      <c r="CM1089" s="4">
        <v>0.5</v>
      </c>
      <c r="CN1089" s="53">
        <v>0.6</v>
      </c>
      <c r="CO1089" s="54">
        <v>0.9</v>
      </c>
      <c r="CP1089" s="54">
        <v>0.5</v>
      </c>
      <c r="CQ1089" s="4">
        <v>0.6</v>
      </c>
    </row>
    <row r="1090" spans="1:95" x14ac:dyDescent="0.35">
      <c r="A1090" s="55">
        <v>1089</v>
      </c>
      <c r="B1090" t="s">
        <v>122</v>
      </c>
      <c r="C1090" s="27" t="s">
        <v>1163</v>
      </c>
      <c r="D1090" s="3" t="s">
        <v>88</v>
      </c>
      <c r="E1090" s="27" t="s">
        <v>89</v>
      </c>
      <c r="F1090" s="4">
        <f>IFERROR(AVERAGEIF(Table1[[#This Row],[2019-Apr]:[2025-July]],"&lt;&gt;0"),0)</f>
        <v>1.8621052631578945</v>
      </c>
      <c r="G1090" s="4">
        <f ca="1">IFERROR(AVERAGEIF(OFFSET(Table1[[#This Row],[Status]],0,COUNT(Table1[[#This Row],[2019-May]:[2025-July]]),1,-12),"&lt;&gt;0"),0)</f>
        <v>2.4512500000000004</v>
      </c>
      <c r="H1090" s="55">
        <f>IFERROR(SMALL(Table1[[#This Row],[2019-Apr]:[2025-July]],COUNTIF(Table1[[#This Row],[2019-Apr]:[2025-July]],0)+1),0)</f>
        <v>1.06</v>
      </c>
      <c r="I1090" s="56">
        <f>IFERROR(MAX(Table1[[#This Row],[2019-Apr]:[2025-July]]),0)</f>
        <v>3.2</v>
      </c>
      <c r="J1090" s="4" cm="1">
        <f t="array" ref="J109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1.1316666666666666</v>
      </c>
      <c r="K1090" s="4">
        <v>4.5</v>
      </c>
      <c r="L1090" s="4">
        <f>IF(Table1[[#This Row],[Standard as per ISO]]&gt;=Table1[[#This Row],[Avg of best 6]],Table1[[#This Row],[Standard as per ISO]],Table1[[#This Row],[Avg of best 6]])</f>
        <v>4.5</v>
      </c>
      <c r="M1090" s="4" cm="1">
        <f t="array" ref="M1090">IFERROR(LOOKUP(2,1/(Table1[[#This Row],[2019-May]:[2025-July]]&lt;&gt;0),Table1[[#This Row],[2019-May]:[2025-July]]),0)</f>
        <v>3.2</v>
      </c>
      <c r="N1090" s="4">
        <f>COUNTIF(Table1[[#This Row],[2019-Apr]:[2025-July]],"&gt;="&amp;Table1[[#This Row],[Target]])</f>
        <v>0</v>
      </c>
      <c r="O1090" s="4">
        <f>IF(Table1[[#This Row],[Outliers 2Y]]=0,1,0)</f>
        <v>1</v>
      </c>
      <c r="P1090" s="4">
        <f>IF(Table1[[#This Row],[Last value]]&gt;1.5*Table1[[#This Row],[Target]],1,0)</f>
        <v>0</v>
      </c>
      <c r="Q1090" s="4">
        <f>IF(AND(1.5*Table1[[#This Row],[Target]]&gt;=Table1[[#This Row],[Last value]],Table1[[#This Row],[Last value]]&gt;Table1[[#This Row],[Target]]),1,0)</f>
        <v>0</v>
      </c>
      <c r="R1090" s="4">
        <f>IF(Table1[[#This Row],[Target]]&gt;=Table1[[#This Row],[Last value]],1,0)</f>
        <v>1</v>
      </c>
      <c r="S1090" s="4" t="str">
        <f t="shared" si="29"/>
        <v>Green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>
        <v>0</v>
      </c>
      <c r="BP1090" s="4">
        <v>1.54</v>
      </c>
      <c r="BQ1090" s="4">
        <v>1.36</v>
      </c>
      <c r="BR1090" s="4">
        <v>1.06</v>
      </c>
      <c r="BS1090" s="4">
        <v>1.1499999999999999</v>
      </c>
      <c r="BT1090" s="4">
        <v>1.64</v>
      </c>
      <c r="BU1090" s="4">
        <v>1.0900000000000001</v>
      </c>
      <c r="BV1090" s="4">
        <v>1.18</v>
      </c>
      <c r="BW1090" s="4">
        <v>1.2</v>
      </c>
      <c r="BX1090" s="4">
        <v>1.1100000000000001</v>
      </c>
      <c r="BY1090" s="4">
        <v>1.24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1.46</v>
      </c>
      <c r="CF1090" s="4">
        <v>0</v>
      </c>
      <c r="CG1090" s="4">
        <v>0</v>
      </c>
      <c r="CH1090" s="4">
        <v>0</v>
      </c>
      <c r="CI1090" s="4">
        <v>2.4500000000000002</v>
      </c>
      <c r="CJ1090" s="34">
        <v>2.4</v>
      </c>
      <c r="CK1090" s="34">
        <v>0</v>
      </c>
      <c r="CL1090" s="43">
        <v>3</v>
      </c>
      <c r="CM1090" s="4">
        <v>2.5</v>
      </c>
      <c r="CN1090" s="53">
        <v>2.4</v>
      </c>
      <c r="CO1090" s="54">
        <v>2.6</v>
      </c>
      <c r="CP1090" s="54">
        <v>2.8</v>
      </c>
      <c r="CQ1090" s="4">
        <v>3.2</v>
      </c>
    </row>
    <row r="1091" spans="1:95" x14ac:dyDescent="0.35">
      <c r="A1091" s="55">
        <v>1090</v>
      </c>
      <c r="B1091" t="s">
        <v>122</v>
      </c>
      <c r="C1091" s="27" t="s">
        <v>1164</v>
      </c>
      <c r="D1091" s="3" t="s">
        <v>123</v>
      </c>
      <c r="E1091" s="27" t="s">
        <v>90</v>
      </c>
      <c r="F1091" s="4">
        <f>IFERROR(AVERAGEIF(Table1[[#This Row],[2019-Apr]:[2025-July]],"&lt;&gt;0"),0)</f>
        <v>0.82416666666666683</v>
      </c>
      <c r="G1091" s="4">
        <f ca="1">IFERROR(AVERAGEIF(OFFSET(Table1[[#This Row],[Status]],0,COUNT(Table1[[#This Row],[2019-May]:[2025-July]]),1,-12),"&lt;&gt;0"),0)</f>
        <v>1.0144444444444445</v>
      </c>
      <c r="H1091" s="55">
        <f>IFERROR(SMALL(Table1[[#This Row],[2019-Apr]:[2025-July]],COUNTIF(Table1[[#This Row],[2019-Apr]:[2025-July]],0)+1),0)</f>
        <v>0.28000000000000003</v>
      </c>
      <c r="I1091" s="56">
        <f>IFERROR(MAX(Table1[[#This Row],[2019-Apr]:[2025-July]]),0)</f>
        <v>1.8</v>
      </c>
      <c r="J1091" s="4" cm="1">
        <f t="array" ref="J109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0.41166666666666668</v>
      </c>
      <c r="K1091" s="4">
        <v>4.5</v>
      </c>
      <c r="L1091" s="4">
        <f>IF(Table1[[#This Row],[Standard as per ISO]]&gt;=Table1[[#This Row],[Avg of best 6]],Table1[[#This Row],[Standard as per ISO]],Table1[[#This Row],[Avg of best 6]])</f>
        <v>4.5</v>
      </c>
      <c r="M1091" s="4" cm="1">
        <f t="array" ref="M1091">IFERROR(LOOKUP(2,1/(Table1[[#This Row],[2019-May]:[2025-July]]&lt;&gt;0),Table1[[#This Row],[2019-May]:[2025-July]]),0)</f>
        <v>1.5</v>
      </c>
      <c r="N1091" s="4">
        <f>COUNTIF(Table1[[#This Row],[2019-Apr]:[2025-July]],"&gt;="&amp;Table1[[#This Row],[Target]])</f>
        <v>0</v>
      </c>
      <c r="O1091" s="4">
        <f>IF(Table1[[#This Row],[Outliers 2Y]]=0,1,0)</f>
        <v>1</v>
      </c>
      <c r="P1091" s="4">
        <f>IF(Table1[[#This Row],[Last value]]&gt;1.5*Table1[[#This Row],[Target]],1,0)</f>
        <v>0</v>
      </c>
      <c r="Q1091" s="4">
        <f>IF(AND(1.5*Table1[[#This Row],[Target]]&gt;=Table1[[#This Row],[Last value]],Table1[[#This Row],[Last value]]&gt;Table1[[#This Row],[Target]]),1,0)</f>
        <v>0</v>
      </c>
      <c r="R1091" s="4">
        <f>IF(Table1[[#This Row],[Target]]&gt;=Table1[[#This Row],[Last value]],1,0)</f>
        <v>1</v>
      </c>
      <c r="S1091" s="4" t="str">
        <f t="shared" si="29"/>
        <v>Green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>
        <v>0</v>
      </c>
      <c r="BP1091" s="4">
        <v>0.55000000000000004</v>
      </c>
      <c r="BQ1091" s="4">
        <v>0.78</v>
      </c>
      <c r="BR1091" s="4">
        <v>0.63</v>
      </c>
      <c r="BS1091" s="4">
        <v>0.54</v>
      </c>
      <c r="BT1091" s="4">
        <v>0.28000000000000003</v>
      </c>
      <c r="BU1091" s="4">
        <v>0.28000000000000003</v>
      </c>
      <c r="BV1091" s="4">
        <v>0.28999999999999998</v>
      </c>
      <c r="BW1091" s="4">
        <v>0.54</v>
      </c>
      <c r="BX1091" s="4">
        <v>0.54</v>
      </c>
      <c r="BY1091" s="4">
        <v>0.91</v>
      </c>
      <c r="BZ1091" s="4">
        <v>0</v>
      </c>
      <c r="CA1091" s="4">
        <v>0.88</v>
      </c>
      <c r="CB1091" s="4">
        <v>0.81</v>
      </c>
      <c r="CC1091" s="4">
        <v>1.1499999999999999</v>
      </c>
      <c r="CD1091" s="4">
        <v>0.97</v>
      </c>
      <c r="CE1091" s="4">
        <v>0</v>
      </c>
      <c r="CF1091" s="4">
        <v>1.1399999999999999</v>
      </c>
      <c r="CG1091" s="4">
        <v>0</v>
      </c>
      <c r="CH1091" s="4">
        <v>0</v>
      </c>
      <c r="CI1091" s="4">
        <v>0.69</v>
      </c>
      <c r="CJ1091" s="34">
        <v>1.1000000000000001</v>
      </c>
      <c r="CK1091" s="34">
        <v>0.8</v>
      </c>
      <c r="CL1091" s="43">
        <v>1.1000000000000001</v>
      </c>
      <c r="CM1091" s="4">
        <v>0.9</v>
      </c>
      <c r="CN1091" s="48">
        <v>0.6</v>
      </c>
      <c r="CO1091" s="54">
        <v>1</v>
      </c>
      <c r="CP1091" s="54">
        <v>1.8</v>
      </c>
      <c r="CQ1091" s="4">
        <v>1.5</v>
      </c>
    </row>
    <row r="1092" spans="1:95" x14ac:dyDescent="0.35">
      <c r="A1092" s="55">
        <v>1091</v>
      </c>
      <c r="B1092" t="s">
        <v>122</v>
      </c>
      <c r="C1092" s="27" t="s">
        <v>1165</v>
      </c>
      <c r="D1092" s="3" t="s">
        <v>123</v>
      </c>
      <c r="E1092" s="27" t="s">
        <v>90</v>
      </c>
      <c r="F1092" s="4">
        <f>IFERROR(AVERAGEIF(Table1[[#This Row],[2019-Apr]:[2025-July]],"&lt;&gt;0"),0)</f>
        <v>0.73791666666666667</v>
      </c>
      <c r="G1092" s="4">
        <f ca="1">IFERROR(AVERAGEIF(OFFSET(Table1[[#This Row],[Status]],0,COUNT(Table1[[#This Row],[2019-May]:[2025-July]]),1,-12),"&lt;&gt;0"),0)</f>
        <v>0.97222222222222221</v>
      </c>
      <c r="H1092" s="55">
        <f>IFERROR(SMALL(Table1[[#This Row],[2019-Apr]:[2025-July]],COUNTIF(Table1[[#This Row],[2019-Apr]:[2025-July]],0)+1),0)</f>
        <v>0.18</v>
      </c>
      <c r="I1092" s="56">
        <f>IFERROR(MAX(Table1[[#This Row],[2019-Apr]:[2025-July]]),0)</f>
        <v>2.95</v>
      </c>
      <c r="J1092" s="4" cm="1">
        <f t="array" ref="J109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0.42166666666666669</v>
      </c>
      <c r="K1092" s="4">
        <v>4.5</v>
      </c>
      <c r="L1092" s="4">
        <f>IF(Table1[[#This Row],[Standard as per ISO]]&gt;=Table1[[#This Row],[Avg of best 6]],Table1[[#This Row],[Standard as per ISO]],Table1[[#This Row],[Avg of best 6]])</f>
        <v>4.5</v>
      </c>
      <c r="M1092" s="4" cm="1">
        <f t="array" ref="M1092">IFERROR(LOOKUP(2,1/(Table1[[#This Row],[2019-May]:[2025-July]]&lt;&gt;0),Table1[[#This Row],[2019-May]:[2025-July]]),0)</f>
        <v>1</v>
      </c>
      <c r="N1092" s="4">
        <f>COUNTIF(Table1[[#This Row],[2019-Apr]:[2025-July]],"&gt;="&amp;Table1[[#This Row],[Target]])</f>
        <v>0</v>
      </c>
      <c r="O1092" s="4">
        <f>IF(Table1[[#This Row],[Outliers 2Y]]=0,1,0)</f>
        <v>1</v>
      </c>
      <c r="P1092" s="4">
        <f>IF(Table1[[#This Row],[Last value]]&gt;1.5*Table1[[#This Row],[Target]],1,0)</f>
        <v>0</v>
      </c>
      <c r="Q1092" s="4">
        <f>IF(AND(1.5*Table1[[#This Row],[Target]]&gt;=Table1[[#This Row],[Last value]],Table1[[#This Row],[Last value]]&gt;Table1[[#This Row],[Target]]),1,0)</f>
        <v>0</v>
      </c>
      <c r="R1092" s="4">
        <f>IF(Table1[[#This Row],[Target]]&gt;=Table1[[#This Row],[Last value]],1,0)</f>
        <v>1</v>
      </c>
      <c r="S1092" s="4" t="str">
        <f t="shared" si="29"/>
        <v>Green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>
        <v>0</v>
      </c>
      <c r="BP1092" s="4">
        <v>0.49</v>
      </c>
      <c r="BQ1092" s="4">
        <v>0.53</v>
      </c>
      <c r="BR1092" s="4">
        <v>0.99</v>
      </c>
      <c r="BS1092" s="4">
        <v>0.55000000000000004</v>
      </c>
      <c r="BT1092" s="4">
        <v>0.18</v>
      </c>
      <c r="BU1092" s="4">
        <v>0.6</v>
      </c>
      <c r="BV1092" s="4">
        <v>0.37</v>
      </c>
      <c r="BW1092" s="4">
        <v>0.45</v>
      </c>
      <c r="BX1092" s="4">
        <v>0.51</v>
      </c>
      <c r="BY1092" s="4">
        <v>0.71</v>
      </c>
      <c r="BZ1092" s="4">
        <v>0</v>
      </c>
      <c r="CA1092" s="4">
        <v>0.6</v>
      </c>
      <c r="CB1092" s="4">
        <v>0.53</v>
      </c>
      <c r="CC1092" s="4">
        <v>0.81</v>
      </c>
      <c r="CD1092" s="4">
        <v>0.64</v>
      </c>
      <c r="CE1092" s="4">
        <v>0</v>
      </c>
      <c r="CF1092" s="4">
        <v>0.77</v>
      </c>
      <c r="CG1092" s="4">
        <v>0</v>
      </c>
      <c r="CH1092" s="4">
        <v>0</v>
      </c>
      <c r="CI1092" s="4">
        <v>0.63</v>
      </c>
      <c r="CJ1092" s="34">
        <v>0.8</v>
      </c>
      <c r="CK1092" s="34">
        <v>0.7</v>
      </c>
      <c r="CL1092" s="43">
        <v>0.6</v>
      </c>
      <c r="CM1092" s="4">
        <v>0.8</v>
      </c>
      <c r="CN1092" s="48">
        <v>0.8</v>
      </c>
      <c r="CO1092" s="54">
        <v>0.7</v>
      </c>
      <c r="CP1092" s="54">
        <v>2.95</v>
      </c>
      <c r="CQ1092" s="4">
        <v>1</v>
      </c>
    </row>
    <row r="1093" spans="1:95" x14ac:dyDescent="0.35">
      <c r="A1093" s="55">
        <v>1092</v>
      </c>
      <c r="B1093" t="s">
        <v>122</v>
      </c>
      <c r="C1093" s="27" t="s">
        <v>1166</v>
      </c>
      <c r="D1093" s="3" t="s">
        <v>123</v>
      </c>
      <c r="E1093" s="27" t="s">
        <v>90</v>
      </c>
      <c r="F1093" s="4">
        <f>IFERROR(AVERAGEIF(Table1[[#This Row],[2019-Apr]:[2025-July]],"&lt;&gt;0"),0)</f>
        <v>0.8716666666666667</v>
      </c>
      <c r="G1093" s="4">
        <f ca="1">IFERROR(AVERAGEIF(OFFSET(Table1[[#This Row],[Status]],0,COUNT(Table1[[#This Row],[2019-May]:[2025-July]]),1,-12),"&lt;&gt;0"),0)</f>
        <v>1.1544444444444446</v>
      </c>
      <c r="H1093" s="55">
        <f>IFERROR(SMALL(Table1[[#This Row],[2019-Apr]:[2025-July]],COUNTIF(Table1[[#This Row],[2019-Apr]:[2025-July]],0)+1),0)</f>
        <v>0.35</v>
      </c>
      <c r="I1093" s="56">
        <f>IFERROR(MAX(Table1[[#This Row],[2019-Apr]:[2025-July]]),0)</f>
        <v>1.43</v>
      </c>
      <c r="J1093" s="4" cm="1">
        <f t="array" ref="J109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0.41500000000000004</v>
      </c>
      <c r="K1093" s="4">
        <v>4.5</v>
      </c>
      <c r="L1093" s="4">
        <f>IF(Table1[[#This Row],[Standard as per ISO]]&gt;=Table1[[#This Row],[Avg of best 6]],Table1[[#This Row],[Standard as per ISO]],Table1[[#This Row],[Avg of best 6]])</f>
        <v>4.5</v>
      </c>
      <c r="M1093" s="4" cm="1">
        <f t="array" ref="M1093">IFERROR(LOOKUP(2,1/(Table1[[#This Row],[2019-May]:[2025-July]]&lt;&gt;0),Table1[[#This Row],[2019-May]:[2025-July]]),0)</f>
        <v>1.1000000000000001</v>
      </c>
      <c r="N1093" s="4">
        <f>COUNTIF(Table1[[#This Row],[2019-Apr]:[2025-July]],"&gt;="&amp;Table1[[#This Row],[Target]])</f>
        <v>0</v>
      </c>
      <c r="O1093" s="4">
        <f>IF(Table1[[#This Row],[Outliers 2Y]]=0,1,0)</f>
        <v>1</v>
      </c>
      <c r="P1093" s="4">
        <f>IF(Table1[[#This Row],[Last value]]&gt;1.5*Table1[[#This Row],[Target]],1,0)</f>
        <v>0</v>
      </c>
      <c r="Q1093" s="4">
        <f>IF(AND(1.5*Table1[[#This Row],[Target]]&gt;=Table1[[#This Row],[Last value]],Table1[[#This Row],[Last value]]&gt;Table1[[#This Row],[Target]]),1,0)</f>
        <v>0</v>
      </c>
      <c r="R1093" s="4">
        <f>IF(Table1[[#This Row],[Target]]&gt;=Table1[[#This Row],[Last value]],1,0)</f>
        <v>1</v>
      </c>
      <c r="S1093" s="4" t="str">
        <f t="shared" si="29"/>
        <v>Green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>
        <v>0</v>
      </c>
      <c r="BP1093" s="4">
        <v>0.68</v>
      </c>
      <c r="BQ1093" s="4">
        <v>0.44</v>
      </c>
      <c r="BR1093" s="4">
        <v>0.36</v>
      </c>
      <c r="BS1093" s="4">
        <v>0.44</v>
      </c>
      <c r="BT1093" s="4">
        <v>0.43</v>
      </c>
      <c r="BU1093" s="4">
        <v>0.56999999999999995</v>
      </c>
      <c r="BV1093" s="4">
        <v>0.35</v>
      </c>
      <c r="BW1093" s="4">
        <v>0.47</v>
      </c>
      <c r="BX1093" s="4">
        <v>0.54</v>
      </c>
      <c r="BY1093" s="4">
        <v>0.63</v>
      </c>
      <c r="BZ1093" s="4">
        <v>0</v>
      </c>
      <c r="CA1093" s="4">
        <v>1.17</v>
      </c>
      <c r="CB1093" s="4">
        <v>1.43</v>
      </c>
      <c r="CC1093" s="4">
        <v>0.93</v>
      </c>
      <c r="CD1093" s="4">
        <v>0.99</v>
      </c>
      <c r="CE1093" s="4">
        <v>0</v>
      </c>
      <c r="CF1093" s="4">
        <v>1.24</v>
      </c>
      <c r="CG1093" s="4">
        <v>0</v>
      </c>
      <c r="CH1093" s="4">
        <v>0</v>
      </c>
      <c r="CI1093" s="4">
        <v>1.1499999999999999</v>
      </c>
      <c r="CJ1093" s="34">
        <v>1</v>
      </c>
      <c r="CK1093" s="34">
        <v>1.4</v>
      </c>
      <c r="CL1093" s="43">
        <v>1</v>
      </c>
      <c r="CM1093" s="4">
        <v>1.3</v>
      </c>
      <c r="CN1093" s="48">
        <v>0.9</v>
      </c>
      <c r="CO1093" s="54">
        <v>1.1000000000000001</v>
      </c>
      <c r="CP1093" s="54">
        <v>1.3</v>
      </c>
      <c r="CQ1093" s="4">
        <v>1.1000000000000001</v>
      </c>
    </row>
    <row r="1094" spans="1:95" x14ac:dyDescent="0.35">
      <c r="A1094" s="55">
        <v>1093</v>
      </c>
      <c r="B1094" t="s">
        <v>122</v>
      </c>
      <c r="C1094" s="27" t="s">
        <v>1167</v>
      </c>
      <c r="D1094" s="3" t="s">
        <v>123</v>
      </c>
      <c r="E1094" s="27" t="s">
        <v>90</v>
      </c>
      <c r="F1094" s="4">
        <f>IFERROR(AVERAGEIF(Table1[[#This Row],[2019-Apr]:[2025-July]],"&lt;&gt;0"),0)</f>
        <v>0.65875000000000006</v>
      </c>
      <c r="G1094" s="4">
        <f ca="1">IFERROR(AVERAGEIF(OFFSET(Table1[[#This Row],[Status]],0,COUNT(Table1[[#This Row],[2019-May]:[2025-July]]),1,-12),"&lt;&gt;0"),0)</f>
        <v>0.76111111111111118</v>
      </c>
      <c r="H1094" s="55">
        <f>IFERROR(SMALL(Table1[[#This Row],[2019-Apr]:[2025-July]],COUNTIF(Table1[[#This Row],[2019-Apr]:[2025-July]],0)+1),0)</f>
        <v>0.2</v>
      </c>
      <c r="I1094" s="56">
        <f>IFERROR(MAX(Table1[[#This Row],[2019-Apr]:[2025-July]]),0)</f>
        <v>1.7</v>
      </c>
      <c r="J1094" s="4" cm="1">
        <f t="array" ref="J109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0.33499999999999996</v>
      </c>
      <c r="K1094" s="4">
        <v>4.5</v>
      </c>
      <c r="L1094" s="4">
        <f>IF(Table1[[#This Row],[Standard as per ISO]]&gt;=Table1[[#This Row],[Avg of best 6]],Table1[[#This Row],[Standard as per ISO]],Table1[[#This Row],[Avg of best 6]])</f>
        <v>4.5</v>
      </c>
      <c r="M1094" s="4" cm="1">
        <f t="array" ref="M1094">IFERROR(LOOKUP(2,1/(Table1[[#This Row],[2019-May]:[2025-July]]&lt;&gt;0),Table1[[#This Row],[2019-May]:[2025-July]]),0)</f>
        <v>1.7</v>
      </c>
      <c r="N1094" s="4">
        <f>COUNTIF(Table1[[#This Row],[2019-Apr]:[2025-July]],"&gt;="&amp;Table1[[#This Row],[Target]])</f>
        <v>0</v>
      </c>
      <c r="O1094" s="4">
        <f>IF(Table1[[#This Row],[Outliers 2Y]]=0,1,0)</f>
        <v>1</v>
      </c>
      <c r="P1094" s="4">
        <f>IF(Table1[[#This Row],[Last value]]&gt;1.5*Table1[[#This Row],[Target]],1,0)</f>
        <v>0</v>
      </c>
      <c r="Q1094" s="4">
        <f>IF(AND(1.5*Table1[[#This Row],[Target]]&gt;=Table1[[#This Row],[Last value]],Table1[[#This Row],[Last value]]&gt;Table1[[#This Row],[Target]]),1,0)</f>
        <v>0</v>
      </c>
      <c r="R1094" s="4">
        <f>IF(Table1[[#This Row],[Target]]&gt;=Table1[[#This Row],[Last value]],1,0)</f>
        <v>1</v>
      </c>
      <c r="S1094" s="4" t="str">
        <f t="shared" si="29"/>
        <v>Green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>
        <v>0</v>
      </c>
      <c r="BP1094" s="4">
        <v>0.52</v>
      </c>
      <c r="BQ1094" s="4">
        <v>0.5</v>
      </c>
      <c r="BR1094" s="4">
        <v>0.35</v>
      </c>
      <c r="BS1094" s="4">
        <v>0.63</v>
      </c>
      <c r="BT1094" s="4">
        <v>0.22</v>
      </c>
      <c r="BU1094" s="4">
        <v>0.34</v>
      </c>
      <c r="BV1094" s="4">
        <v>0.2</v>
      </c>
      <c r="BW1094" s="4">
        <v>0.48</v>
      </c>
      <c r="BX1094" s="4">
        <v>0.52</v>
      </c>
      <c r="BY1094" s="4">
        <v>0.7</v>
      </c>
      <c r="BZ1094" s="4">
        <v>0</v>
      </c>
      <c r="CA1094" s="4">
        <v>0.7</v>
      </c>
      <c r="CB1094" s="4">
        <v>0.7</v>
      </c>
      <c r="CC1094" s="4">
        <v>0.7</v>
      </c>
      <c r="CD1094" s="4">
        <v>0.7</v>
      </c>
      <c r="CE1094" s="4">
        <v>0</v>
      </c>
      <c r="CF1094" s="4">
        <v>0.93</v>
      </c>
      <c r="CG1094" s="4">
        <v>0</v>
      </c>
      <c r="CH1094" s="4">
        <v>0</v>
      </c>
      <c r="CI1094" s="4">
        <v>0.42</v>
      </c>
      <c r="CJ1094" s="34">
        <v>0.7</v>
      </c>
      <c r="CK1094" s="34">
        <v>0.6</v>
      </c>
      <c r="CL1094" s="43">
        <v>0.8</v>
      </c>
      <c r="CM1094" s="4">
        <v>0.9</v>
      </c>
      <c r="CN1094" s="48">
        <v>0.8</v>
      </c>
      <c r="CO1094" s="54">
        <v>0.8</v>
      </c>
      <c r="CP1094" s="54">
        <v>0.9</v>
      </c>
      <c r="CQ1094" s="4">
        <v>1.7</v>
      </c>
    </row>
    <row r="1095" spans="1:95" x14ac:dyDescent="0.35">
      <c r="A1095" s="55">
        <v>1094</v>
      </c>
      <c r="B1095" t="s">
        <v>122</v>
      </c>
      <c r="C1095" s="27" t="s">
        <v>1168</v>
      </c>
      <c r="D1095" s="3" t="s">
        <v>93</v>
      </c>
      <c r="E1095" s="27" t="s">
        <v>89</v>
      </c>
      <c r="F1095" s="4">
        <f>IFERROR(AVERAGEIF(Table1[[#This Row],[2019-Apr]:[2025-July]],"&lt;&gt;0"),0)</f>
        <v>4.5070833333333331</v>
      </c>
      <c r="G1095" s="4">
        <f ca="1">IFERROR(AVERAGEIF(OFFSET(Table1[[#This Row],[Status]],0,COUNT(Table1[[#This Row],[2019-May]:[2025-July]]),1,-12),"&lt;&gt;0"),0)</f>
        <v>4.3699999999999992</v>
      </c>
      <c r="H1095" s="55">
        <f>IFERROR(SMALL(Table1[[#This Row],[2019-Apr]:[2025-July]],COUNTIF(Table1[[#This Row],[2019-Apr]:[2025-July]],0)+1),0)</f>
        <v>3.34</v>
      </c>
      <c r="I1095" s="56">
        <f>IFERROR(MAX(Table1[[#This Row],[2019-Apr]:[2025-July]]),0)</f>
        <v>7</v>
      </c>
      <c r="J1095" s="4" cm="1">
        <f t="array" ref="J109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3.6466666666666665</v>
      </c>
      <c r="K1095" s="4">
        <v>4.5</v>
      </c>
      <c r="L1095" s="4">
        <f>IF(Table1[[#This Row],[Standard as per ISO]]&gt;=Table1[[#This Row],[Avg of best 6]],Table1[[#This Row],[Standard as per ISO]],Table1[[#This Row],[Avg of best 6]])</f>
        <v>4.5</v>
      </c>
      <c r="M1095" s="4" cm="1">
        <f t="array" ref="M1095">IFERROR(LOOKUP(2,1/(Table1[[#This Row],[2019-May]:[2025-July]]&lt;&gt;0),Table1[[#This Row],[2019-May]:[2025-July]]),0)</f>
        <v>7</v>
      </c>
      <c r="N1095" s="4">
        <f>COUNTIF(Table1[[#This Row],[2019-Apr]:[2025-July]],"&gt;="&amp;Table1[[#This Row],[Target]])</f>
        <v>11</v>
      </c>
      <c r="O1095" s="4">
        <f>IF(Table1[[#This Row],[Outliers 2Y]]=0,1,0)</f>
        <v>0</v>
      </c>
      <c r="P1095" s="4">
        <f>IF(Table1[[#This Row],[Last value]]&gt;1.5*Table1[[#This Row],[Target]],1,0)</f>
        <v>1</v>
      </c>
      <c r="Q1095" s="4">
        <f>IF(AND(1.5*Table1[[#This Row],[Target]]&gt;=Table1[[#This Row],[Last value]],Table1[[#This Row],[Last value]]&gt;Table1[[#This Row],[Target]]),1,0)</f>
        <v>0</v>
      </c>
      <c r="R1095" s="4">
        <f>IF(Table1[[#This Row],[Target]]&gt;=Table1[[#This Row],[Last value]],1,0)</f>
        <v>0</v>
      </c>
      <c r="S1095" s="4" t="str">
        <f t="shared" si="29"/>
        <v>Red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>
        <v>0</v>
      </c>
      <c r="BP1095" s="4">
        <v>4.71</v>
      </c>
      <c r="BQ1095" s="4">
        <v>3.88</v>
      </c>
      <c r="BR1095" s="4">
        <v>4.3899999999999997</v>
      </c>
      <c r="BS1095" s="4">
        <v>4.01</v>
      </c>
      <c r="BT1095" s="4">
        <v>4.08</v>
      </c>
      <c r="BU1095" s="4">
        <v>4.68</v>
      </c>
      <c r="BV1095" s="4">
        <v>4.29</v>
      </c>
      <c r="BW1095" s="4">
        <v>4.71</v>
      </c>
      <c r="BX1095" s="4">
        <v>3.34</v>
      </c>
      <c r="BY1095" s="4">
        <v>3.93</v>
      </c>
      <c r="BZ1095" s="4">
        <v>0</v>
      </c>
      <c r="CA1095" s="4">
        <v>5.3</v>
      </c>
      <c r="CB1095" s="4">
        <v>5.09</v>
      </c>
      <c r="CC1095" s="4">
        <v>5.0599999999999996</v>
      </c>
      <c r="CD1095" s="4">
        <v>0</v>
      </c>
      <c r="CE1095" s="4">
        <v>0</v>
      </c>
      <c r="CF1095" s="4">
        <v>3.6</v>
      </c>
      <c r="CG1095" s="4">
        <v>3.63</v>
      </c>
      <c r="CH1095" s="4">
        <v>4.09</v>
      </c>
      <c r="CI1095" s="4">
        <v>4.08</v>
      </c>
      <c r="CJ1095" s="34">
        <v>3.5</v>
      </c>
      <c r="CK1095" s="34">
        <v>0</v>
      </c>
      <c r="CL1095" s="43">
        <v>5.3</v>
      </c>
      <c r="CM1095" s="4">
        <v>5.6</v>
      </c>
      <c r="CN1095" s="53">
        <v>4.3</v>
      </c>
      <c r="CO1095" s="54">
        <v>4.9000000000000004</v>
      </c>
      <c r="CP1095" s="54">
        <v>4.7</v>
      </c>
      <c r="CQ1095" s="4">
        <v>7</v>
      </c>
    </row>
    <row r="1096" spans="1:95" x14ac:dyDescent="0.35">
      <c r="A1096" s="55">
        <v>1095</v>
      </c>
      <c r="B1096" t="s">
        <v>122</v>
      </c>
      <c r="C1096" s="27" t="s">
        <v>1169</v>
      </c>
      <c r="D1096" s="3" t="s">
        <v>88</v>
      </c>
      <c r="E1096" s="27" t="s">
        <v>89</v>
      </c>
      <c r="F1096" s="4">
        <f>IFERROR(AVERAGEIF(Table1[[#This Row],[2019-Apr]:[2025-July]],"&lt;&gt;0"),0)</f>
        <v>3.947222222222222</v>
      </c>
      <c r="G1096" s="4">
        <f ca="1">IFERROR(AVERAGEIF(OFFSET(Table1[[#This Row],[Status]],0,COUNT(Table1[[#This Row],[2019-May]:[2025-July]]),1,-12),"&lt;&gt;0"),0)</f>
        <v>2.2550000000000003</v>
      </c>
      <c r="H1096" s="55">
        <f>IFERROR(SMALL(Table1[[#This Row],[2019-Apr]:[2025-July]],COUNTIF(Table1[[#This Row],[2019-Apr]:[2025-July]],0)+1),0)</f>
        <v>1.8</v>
      </c>
      <c r="I1096" s="56">
        <f>IFERROR(MAX(Table1[[#This Row],[2019-Apr]:[2025-July]]),0)</f>
        <v>7.95</v>
      </c>
      <c r="J1096" s="4" cm="1">
        <f t="array" ref="J109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1.9550000000000001</v>
      </c>
      <c r="K1096" s="4">
        <v>4.5</v>
      </c>
      <c r="L1096" s="4">
        <f>IF(Table1[[#This Row],[Standard as per ISO]]&gt;=Table1[[#This Row],[Avg of best 6]],Table1[[#This Row],[Standard as per ISO]],Table1[[#This Row],[Avg of best 6]])</f>
        <v>4.5</v>
      </c>
      <c r="M1096" s="4" cm="1">
        <f t="array" ref="M1096">IFERROR(LOOKUP(2,1/(Table1[[#This Row],[2019-May]:[2025-July]]&lt;&gt;0),Table1[[#This Row],[2019-May]:[2025-July]]),0)</f>
        <v>1.8</v>
      </c>
      <c r="N1096" s="4">
        <f>COUNTIF(Table1[[#This Row],[2019-Apr]:[2025-July]],"&gt;="&amp;Table1[[#This Row],[Target]])</f>
        <v>7</v>
      </c>
      <c r="O1096" s="4">
        <f>IF(Table1[[#This Row],[Outliers 2Y]]=0,1,0)</f>
        <v>0</v>
      </c>
      <c r="P1096" s="4">
        <f>IF(Table1[[#This Row],[Last value]]&gt;1.5*Table1[[#This Row],[Target]],1,0)</f>
        <v>0</v>
      </c>
      <c r="Q1096" s="4">
        <f>IF(AND(1.5*Table1[[#This Row],[Target]]&gt;=Table1[[#This Row],[Last value]],Table1[[#This Row],[Last value]]&gt;Table1[[#This Row],[Target]]),1,0)</f>
        <v>0</v>
      </c>
      <c r="R1096" s="4">
        <f>IF(Table1[[#This Row],[Target]]&gt;=Table1[[#This Row],[Last value]],1,0)</f>
        <v>1</v>
      </c>
      <c r="S1096" s="4" t="str">
        <f t="shared" si="29"/>
        <v>Green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>
        <v>0</v>
      </c>
      <c r="BP1096" s="4">
        <v>3.6</v>
      </c>
      <c r="BQ1096" s="4">
        <v>3.6</v>
      </c>
      <c r="BR1096" s="4">
        <v>3.86</v>
      </c>
      <c r="BS1096" s="4">
        <v>4.7</v>
      </c>
      <c r="BT1096" s="4">
        <v>3.12</v>
      </c>
      <c r="BU1096" s="4">
        <v>5.45</v>
      </c>
      <c r="BV1096" s="4">
        <v>6.63</v>
      </c>
      <c r="BW1096" s="4">
        <v>5.19</v>
      </c>
      <c r="BX1096" s="4">
        <v>5.61</v>
      </c>
      <c r="BY1096" s="4">
        <v>6.01</v>
      </c>
      <c r="BZ1096" s="4">
        <v>0</v>
      </c>
      <c r="CA1096" s="4">
        <v>7.95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1.93</v>
      </c>
      <c r="CJ1096" s="34">
        <v>3.6</v>
      </c>
      <c r="CK1096" s="34">
        <v>0</v>
      </c>
      <c r="CL1096" s="43">
        <v>0</v>
      </c>
      <c r="CM1096" s="4">
        <v>1.9</v>
      </c>
      <c r="CN1096" s="53">
        <v>2.1</v>
      </c>
      <c r="CO1096" s="54">
        <v>2.2000000000000002</v>
      </c>
      <c r="CP1096" s="54">
        <v>1.8</v>
      </c>
      <c r="CQ1096" s="4">
        <v>1.8</v>
      </c>
    </row>
    <row r="1097" spans="1:95" x14ac:dyDescent="0.35">
      <c r="A1097" s="55">
        <v>1096</v>
      </c>
      <c r="B1097" t="s">
        <v>122</v>
      </c>
      <c r="C1097" s="27" t="s">
        <v>1170</v>
      </c>
      <c r="D1097" s="3" t="s">
        <v>88</v>
      </c>
      <c r="E1097" s="27" t="s">
        <v>89</v>
      </c>
      <c r="F1097" s="4">
        <f>IFERROR(AVERAGEIF(Table1[[#This Row],[2019-Apr]:[2025-July]],"&lt;&gt;0"),0)</f>
        <v>3.3337500000000002</v>
      </c>
      <c r="G1097" s="4">
        <f ca="1">IFERROR(AVERAGEIF(OFFSET(Table1[[#This Row],[Status]],0,COUNT(Table1[[#This Row],[2019-May]:[2025-July]]),1,-12),"&lt;&gt;0"),0)</f>
        <v>3.2385714285714289</v>
      </c>
      <c r="H1097" s="55">
        <f>IFERROR(SMALL(Table1[[#This Row],[2019-Apr]:[2025-July]],COUNTIF(Table1[[#This Row],[2019-Apr]:[2025-July]],0)+1),0)</f>
        <v>2.2999999999999998</v>
      </c>
      <c r="I1097" s="56">
        <f>IFERROR(MAX(Table1[[#This Row],[2019-Apr]:[2025-July]]),0)</f>
        <v>4</v>
      </c>
      <c r="J1097" s="4" cm="1">
        <f t="array" ref="J109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3.1283333333333334</v>
      </c>
      <c r="K1097" s="4">
        <v>4.5</v>
      </c>
      <c r="L1097" s="4">
        <f>IF(Table1[[#This Row],[Standard as per ISO]]&gt;=Table1[[#This Row],[Avg of best 6]],Table1[[#This Row],[Standard as per ISO]],Table1[[#This Row],[Avg of best 6]])</f>
        <v>4.5</v>
      </c>
      <c r="M1097" s="4" cm="1">
        <f t="array" ref="M1097">IFERROR(LOOKUP(2,1/(Table1[[#This Row],[2019-May]:[2025-July]]&lt;&gt;0),Table1[[#This Row],[2019-May]:[2025-July]]),0)</f>
        <v>4</v>
      </c>
      <c r="N1097" s="4">
        <f>COUNTIF(Table1[[#This Row],[2019-Apr]:[2025-July]],"&gt;="&amp;Table1[[#This Row],[Target]])</f>
        <v>0</v>
      </c>
      <c r="O1097" s="4">
        <f>IF(Table1[[#This Row],[Outliers 2Y]]=0,1,0)</f>
        <v>1</v>
      </c>
      <c r="P1097" s="4">
        <f>IF(Table1[[#This Row],[Last value]]&gt;1.5*Table1[[#This Row],[Target]],1,0)</f>
        <v>0</v>
      </c>
      <c r="Q1097" s="4">
        <f>IF(AND(1.5*Table1[[#This Row],[Target]]&gt;=Table1[[#This Row],[Last value]],Table1[[#This Row],[Last value]]&gt;Table1[[#This Row],[Target]]),1,0)</f>
        <v>0</v>
      </c>
      <c r="R1097" s="4">
        <f>IF(Table1[[#This Row],[Target]]&gt;=Table1[[#This Row],[Last value]],1,0)</f>
        <v>1</v>
      </c>
      <c r="S1097" s="4" t="str">
        <f t="shared" si="29"/>
        <v>Green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3.47</v>
      </c>
      <c r="CJ1097" s="34">
        <v>2.4</v>
      </c>
      <c r="CK1097" s="34">
        <v>0</v>
      </c>
      <c r="CL1097" s="43">
        <v>3.9</v>
      </c>
      <c r="CM1097" s="4">
        <v>3.7</v>
      </c>
      <c r="CN1097" s="53">
        <v>3.3</v>
      </c>
      <c r="CO1097" s="54">
        <v>3.6</v>
      </c>
      <c r="CP1097" s="54">
        <v>2.2999999999999998</v>
      </c>
      <c r="CQ1097" s="4">
        <v>4</v>
      </c>
    </row>
    <row r="1098" spans="1:95" x14ac:dyDescent="0.35">
      <c r="A1098" s="55">
        <v>1097</v>
      </c>
      <c r="B1098" t="s">
        <v>122</v>
      </c>
      <c r="C1098" s="27" t="s">
        <v>1171</v>
      </c>
      <c r="D1098" s="3" t="s">
        <v>88</v>
      </c>
      <c r="E1098" s="27" t="s">
        <v>89</v>
      </c>
      <c r="F1098" s="4">
        <f>IFERROR(AVERAGEIF(Table1[[#This Row],[2019-Apr]:[2025-July]],"&lt;&gt;0"),0)</f>
        <v>1.7</v>
      </c>
      <c r="G1098" s="4">
        <f ca="1">IFERROR(AVERAGEIF(OFFSET(Table1[[#This Row],[Status]],0,COUNT(Table1[[#This Row],[2019-May]:[2025-July]]),1,-12),"&lt;&gt;0"),0)</f>
        <v>1.6857142857142855</v>
      </c>
      <c r="H1098" s="55">
        <f>IFERROR(SMALL(Table1[[#This Row],[2019-Apr]:[2025-July]],COUNTIF(Table1[[#This Row],[2019-Apr]:[2025-July]],0)+1),0)</f>
        <v>1.3</v>
      </c>
      <c r="I1098" s="56">
        <f>IFERROR(MAX(Table1[[#This Row],[2019-Apr]:[2025-July]]),0)</f>
        <v>1.9</v>
      </c>
      <c r="J1098" s="4" cm="1">
        <f t="array" ref="J109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1.6333333333333335</v>
      </c>
      <c r="K1098" s="4">
        <v>4.5</v>
      </c>
      <c r="L1098" s="4">
        <f>IF(Table1[[#This Row],[Standard as per ISO]]&gt;=Table1[[#This Row],[Avg of best 6]],Table1[[#This Row],[Standard as per ISO]],Table1[[#This Row],[Avg of best 6]])</f>
        <v>4.5</v>
      </c>
      <c r="M1098" s="4" cm="1">
        <f t="array" ref="M1098">IFERROR(LOOKUP(2,1/(Table1[[#This Row],[2019-May]:[2025-July]]&lt;&gt;0),Table1[[#This Row],[2019-May]:[2025-July]]),0)</f>
        <v>1.8</v>
      </c>
      <c r="N1098" s="4">
        <f>COUNTIF(Table1[[#This Row],[2019-Apr]:[2025-July]],"&gt;="&amp;Table1[[#This Row],[Target]])</f>
        <v>0</v>
      </c>
      <c r="O1098" s="4">
        <f>IF(Table1[[#This Row],[Outliers 2Y]]=0,1,0)</f>
        <v>1</v>
      </c>
      <c r="P1098" s="4">
        <f>IF(Table1[[#This Row],[Last value]]&gt;1.5*Table1[[#This Row],[Target]],1,0)</f>
        <v>0</v>
      </c>
      <c r="Q1098" s="4">
        <f>IF(AND(1.5*Table1[[#This Row],[Target]]&gt;=Table1[[#This Row],[Last value]],Table1[[#This Row],[Last value]]&gt;Table1[[#This Row],[Target]]),1,0)</f>
        <v>0</v>
      </c>
      <c r="R1098" s="4">
        <f>IF(Table1[[#This Row],[Target]]&gt;=Table1[[#This Row],[Last value]],1,0)</f>
        <v>1</v>
      </c>
      <c r="S1098" s="4" t="str">
        <f t="shared" si="29"/>
        <v>Green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1.9</v>
      </c>
      <c r="CJ1098" s="34">
        <v>1.9</v>
      </c>
      <c r="CK1098" s="34">
        <v>0</v>
      </c>
      <c r="CL1098" s="43">
        <v>1.4</v>
      </c>
      <c r="CM1098" s="4">
        <v>1.8</v>
      </c>
      <c r="CN1098" s="53">
        <v>1.8</v>
      </c>
      <c r="CO1098" s="54">
        <v>1.7</v>
      </c>
      <c r="CP1098" s="54">
        <v>1.3</v>
      </c>
      <c r="CQ1098" s="4">
        <v>1.8</v>
      </c>
    </row>
    <row r="1099" spans="1:95" x14ac:dyDescent="0.35">
      <c r="A1099" s="55">
        <v>1098</v>
      </c>
      <c r="B1099" t="s">
        <v>122</v>
      </c>
      <c r="C1099" s="27" t="s">
        <v>1172</v>
      </c>
      <c r="D1099" s="3" t="s">
        <v>88</v>
      </c>
      <c r="E1099" s="27" t="s">
        <v>89</v>
      </c>
      <c r="F1099" s="4">
        <f>IFERROR(AVERAGEIF(Table1[[#This Row],[2019-Apr]:[2025-July]],"&lt;&gt;0"),0)</f>
        <v>4.0385714285714283</v>
      </c>
      <c r="G1099" s="4">
        <f ca="1">IFERROR(AVERAGEIF(OFFSET(Table1[[#This Row],[Status]],0,COUNT(Table1[[#This Row],[2019-May]:[2025-July]]),1,-12),"&lt;&gt;0"),0)</f>
        <v>4.2616666666666667</v>
      </c>
      <c r="H1099" s="55">
        <f>IFERROR(SMALL(Table1[[#This Row],[2019-Apr]:[2025-July]],COUNTIF(Table1[[#This Row],[2019-Apr]:[2025-July]],0)+1),0)</f>
        <v>2.6</v>
      </c>
      <c r="I1099" s="56">
        <f>IFERROR(MAX(Table1[[#This Row],[2019-Apr]:[2025-July]]),0)</f>
        <v>5.8</v>
      </c>
      <c r="J1099" s="4" cm="1">
        <f t="array" ref="J109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3.7449999999999997</v>
      </c>
      <c r="K1099" s="4">
        <v>4.5</v>
      </c>
      <c r="L1099" s="4">
        <f>IF(Table1[[#This Row],[Standard as per ISO]]&gt;=Table1[[#This Row],[Avg of best 6]],Table1[[#This Row],[Standard as per ISO]],Table1[[#This Row],[Avg of best 6]])</f>
        <v>4.5</v>
      </c>
      <c r="M1099" s="4" cm="1">
        <f t="array" ref="M1099">IFERROR(LOOKUP(2,1/(Table1[[#This Row],[2019-May]:[2025-July]]&lt;&gt;0),Table1[[#This Row],[2019-May]:[2025-July]]),0)</f>
        <v>2.7</v>
      </c>
      <c r="N1099" s="4">
        <f>COUNTIF(Table1[[#This Row],[2019-Apr]:[2025-July]],"&gt;="&amp;Table1[[#This Row],[Target]])</f>
        <v>3</v>
      </c>
      <c r="O1099" s="4">
        <f>IF(Table1[[#This Row],[Outliers 2Y]]=0,1,0)</f>
        <v>0</v>
      </c>
      <c r="P1099" s="4">
        <f>IF(Table1[[#This Row],[Last value]]&gt;1.5*Table1[[#This Row],[Target]],1,0)</f>
        <v>0</v>
      </c>
      <c r="Q1099" s="4">
        <f>IF(AND(1.5*Table1[[#This Row],[Target]]&gt;=Table1[[#This Row],[Last value]],Table1[[#This Row],[Last value]]&gt;Table1[[#This Row],[Target]]),1,0)</f>
        <v>0</v>
      </c>
      <c r="R1099" s="4">
        <f>IF(Table1[[#This Row],[Target]]&gt;=Table1[[#This Row],[Last value]],1,0)</f>
        <v>1</v>
      </c>
      <c r="S1099" s="4" t="str">
        <f t="shared" si="29"/>
        <v>Green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5.57</v>
      </c>
      <c r="CJ1099" s="34">
        <v>5.8</v>
      </c>
      <c r="CK1099" s="34">
        <v>0</v>
      </c>
      <c r="CL1099" s="43">
        <v>0</v>
      </c>
      <c r="CM1099" s="4">
        <v>5.0999999999999996</v>
      </c>
      <c r="CN1099" s="53">
        <v>2.6</v>
      </c>
      <c r="CO1099" s="54">
        <v>3.4</v>
      </c>
      <c r="CP1099" s="54">
        <v>3.1</v>
      </c>
      <c r="CQ1099" s="4">
        <v>2.7</v>
      </c>
    </row>
    <row r="1100" spans="1:95" x14ac:dyDescent="0.35">
      <c r="A1100" s="55">
        <v>1099</v>
      </c>
      <c r="B1100" t="s">
        <v>122</v>
      </c>
      <c r="C1100" s="27" t="s">
        <v>1173</v>
      </c>
      <c r="D1100" s="3" t="s">
        <v>88</v>
      </c>
      <c r="E1100" s="27" t="s">
        <v>89</v>
      </c>
      <c r="F1100" s="4">
        <f>IFERROR(AVERAGEIF(Table1[[#This Row],[2019-Apr]:[2025-July]],"&lt;&gt;0"),0)</f>
        <v>4.6757142857142862</v>
      </c>
      <c r="G1100" s="4">
        <f ca="1">IFERROR(AVERAGEIF(OFFSET(Table1[[#This Row],[Status]],0,COUNT(Table1[[#This Row],[2019-May]:[2025-July]]),1,-12),"&lt;&gt;0"),0)</f>
        <v>4.7550000000000008</v>
      </c>
      <c r="H1100" s="55">
        <f>IFERROR(SMALL(Table1[[#This Row],[2019-Apr]:[2025-July]],COUNTIF(Table1[[#This Row],[2019-Apr]:[2025-July]],0)+1),0)</f>
        <v>3.8</v>
      </c>
      <c r="I1100" s="56">
        <f>IFERROR(MAX(Table1[[#This Row],[2019-Apr]:[2025-July]]),0)</f>
        <v>5.6</v>
      </c>
      <c r="J1100" s="4" cm="1">
        <f t="array" ref="J110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4.5216666666666674</v>
      </c>
      <c r="K1100" s="4">
        <v>4.5</v>
      </c>
      <c r="L1100" s="4">
        <f>IF(Table1[[#This Row],[Standard as per ISO]]&gt;=Table1[[#This Row],[Avg of best 6]],Table1[[#This Row],[Standard as per ISO]],Table1[[#This Row],[Avg of best 6]])</f>
        <v>4.5216666666666674</v>
      </c>
      <c r="M1100" s="4" cm="1">
        <f t="array" ref="M1100">IFERROR(LOOKUP(2,1/(Table1[[#This Row],[2019-May]:[2025-July]]&lt;&gt;0),Table1[[#This Row],[2019-May]:[2025-July]]),0)</f>
        <v>4.2</v>
      </c>
      <c r="N1100" s="4">
        <f>COUNTIF(Table1[[#This Row],[2019-Apr]:[2025-July]],"&gt;="&amp;Table1[[#This Row],[Target]])</f>
        <v>3</v>
      </c>
      <c r="O1100" s="4">
        <f>IF(Table1[[#This Row],[Outliers 2Y]]=0,1,0)</f>
        <v>0</v>
      </c>
      <c r="P1100" s="4">
        <f>IF(Table1[[#This Row],[Last value]]&gt;1.5*Table1[[#This Row],[Target]],1,0)</f>
        <v>0</v>
      </c>
      <c r="Q1100" s="4">
        <f>IF(AND(1.5*Table1[[#This Row],[Target]]&gt;=Table1[[#This Row],[Last value]],Table1[[#This Row],[Last value]]&gt;Table1[[#This Row],[Target]]),1,0)</f>
        <v>0</v>
      </c>
      <c r="R1100" s="4">
        <f>IF(Table1[[#This Row],[Target]]&gt;=Table1[[#This Row],[Last value]],1,0)</f>
        <v>1</v>
      </c>
      <c r="S1100" s="4" t="str">
        <f t="shared" si="29"/>
        <v>Green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5.03</v>
      </c>
      <c r="CJ1100" s="34">
        <v>4.5</v>
      </c>
      <c r="CK1100" s="34">
        <v>0</v>
      </c>
      <c r="CL1100" s="43">
        <v>5.6</v>
      </c>
      <c r="CM1100" s="4">
        <v>0</v>
      </c>
      <c r="CN1100" s="53">
        <v>4.2</v>
      </c>
      <c r="CO1100" s="54">
        <v>5.4</v>
      </c>
      <c r="CP1100" s="54">
        <v>3.8</v>
      </c>
      <c r="CQ1100" s="4">
        <v>4.2</v>
      </c>
    </row>
    <row r="1101" spans="1:95" x14ac:dyDescent="0.35">
      <c r="A1101" s="55">
        <v>1100</v>
      </c>
      <c r="B1101" t="s">
        <v>122</v>
      </c>
      <c r="C1101" s="27" t="s">
        <v>1174</v>
      </c>
      <c r="D1101" s="3" t="s">
        <v>88</v>
      </c>
      <c r="E1101" s="27" t="s">
        <v>89</v>
      </c>
      <c r="F1101" s="4">
        <f>IFERROR(AVERAGEIF(Table1[[#This Row],[2019-Apr]:[2025-July]],"&lt;&gt;0"),0)</f>
        <v>1.9388888888888891</v>
      </c>
      <c r="G1101" s="4">
        <f ca="1">IFERROR(AVERAGEIF(OFFSET(Table1[[#This Row],[Status]],0,COUNT(Table1[[#This Row],[2019-May]:[2025-July]]),1,-12),"&lt;&gt;0"),0)</f>
        <v>1.8062500000000001</v>
      </c>
      <c r="H1101" s="55">
        <f>IFERROR(SMALL(Table1[[#This Row],[2019-Apr]:[2025-July]],COUNTIF(Table1[[#This Row],[2019-Apr]:[2025-July]],0)+1),0)</f>
        <v>0.95</v>
      </c>
      <c r="I1101" s="56">
        <f>IFERROR(MAX(Table1[[#This Row],[2019-Apr]:[2025-July]]),0)</f>
        <v>3</v>
      </c>
      <c r="J1101" s="4" cm="1">
        <f t="array" ref="J110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1.5583333333333333</v>
      </c>
      <c r="K1101" s="4">
        <v>4.5</v>
      </c>
      <c r="L1101" s="4">
        <f>IF(Table1[[#This Row],[Standard as per ISO]]&gt;=Table1[[#This Row],[Avg of best 6]],Table1[[#This Row],[Standard as per ISO]],Table1[[#This Row],[Avg of best 6]])</f>
        <v>4.5</v>
      </c>
      <c r="M1101" s="4" cm="1">
        <f t="array" ref="M1101">IFERROR(LOOKUP(2,1/(Table1[[#This Row],[2019-May]:[2025-July]]&lt;&gt;0),Table1[[#This Row],[2019-May]:[2025-July]]),0)</f>
        <v>3</v>
      </c>
      <c r="N1101" s="4">
        <f>COUNTIF(Table1[[#This Row],[2019-Apr]:[2025-July]],"&gt;="&amp;Table1[[#This Row],[Target]])</f>
        <v>0</v>
      </c>
      <c r="O1101" s="4">
        <f>IF(Table1[[#This Row],[Outliers 2Y]]=0,1,0)</f>
        <v>1</v>
      </c>
      <c r="P1101" s="4">
        <f>IF(Table1[[#This Row],[Last value]]&gt;1.5*Table1[[#This Row],[Target]],1,0)</f>
        <v>0</v>
      </c>
      <c r="Q1101" s="4">
        <f>IF(AND(1.5*Table1[[#This Row],[Target]]&gt;=Table1[[#This Row],[Last value]],Table1[[#This Row],[Last value]]&gt;Table1[[#This Row],[Target]]),1,0)</f>
        <v>0</v>
      </c>
      <c r="R1101" s="4">
        <f>IF(Table1[[#This Row],[Target]]&gt;=Table1[[#This Row],[Last value]],1,0)</f>
        <v>1</v>
      </c>
      <c r="S1101" s="4" t="str">
        <f t="shared" si="29"/>
        <v>Green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0.95</v>
      </c>
      <c r="CJ1101" s="34">
        <v>1.7</v>
      </c>
      <c r="CK1101" s="34">
        <v>2</v>
      </c>
      <c r="CL1101" s="43">
        <v>1.4</v>
      </c>
      <c r="CM1101" s="4">
        <v>1.3</v>
      </c>
      <c r="CN1101" s="53">
        <v>2.5</v>
      </c>
      <c r="CO1101" s="54">
        <v>2.6</v>
      </c>
      <c r="CP1101" s="54">
        <v>2</v>
      </c>
      <c r="CQ1101" s="4">
        <v>3</v>
      </c>
    </row>
    <row r="1102" spans="1:95" x14ac:dyDescent="0.35">
      <c r="A1102" s="55">
        <v>1101</v>
      </c>
      <c r="B1102" t="s">
        <v>122</v>
      </c>
      <c r="C1102" s="27" t="s">
        <v>1175</v>
      </c>
      <c r="D1102" s="3" t="s">
        <v>88</v>
      </c>
      <c r="E1102" s="27" t="s">
        <v>89</v>
      </c>
      <c r="F1102" s="4">
        <f>IFERROR(AVERAGEIF(Table1[[#This Row],[2019-Apr]:[2025-July]],"&lt;&gt;0"),0)</f>
        <v>1.6688888888888889</v>
      </c>
      <c r="G1102" s="4">
        <f ca="1">IFERROR(AVERAGEIF(OFFSET(Table1[[#This Row],[Status]],0,COUNT(Table1[[#This Row],[2019-May]:[2025-July]]),1,-12),"&lt;&gt;0"),0)</f>
        <v>1.665</v>
      </c>
      <c r="H1102" s="55">
        <f>IFERROR(SMALL(Table1[[#This Row],[2019-Apr]:[2025-July]],COUNTIF(Table1[[#This Row],[2019-Apr]:[2025-July]],0)+1),0)</f>
        <v>1.2</v>
      </c>
      <c r="I1102" s="56">
        <f>IFERROR(MAX(Table1[[#This Row],[2019-Apr]:[2025-July]]),0)</f>
        <v>2.02</v>
      </c>
      <c r="J1102" s="4" cm="1">
        <f t="array" ref="J110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1.5666666666666667</v>
      </c>
      <c r="K1102" s="4">
        <v>4.5</v>
      </c>
      <c r="L1102" s="4">
        <f>IF(Table1[[#This Row],[Standard as per ISO]]&gt;=Table1[[#This Row],[Avg of best 6]],Table1[[#This Row],[Standard as per ISO]],Table1[[#This Row],[Avg of best 6]])</f>
        <v>4.5</v>
      </c>
      <c r="M1102" s="4" cm="1">
        <f t="array" ref="M1102">IFERROR(LOOKUP(2,1/(Table1[[#This Row],[2019-May]:[2025-July]]&lt;&gt;0),Table1[[#This Row],[2019-May]:[2025-July]]),0)</f>
        <v>1.7</v>
      </c>
      <c r="N1102" s="4">
        <f>COUNTIF(Table1[[#This Row],[2019-Apr]:[2025-July]],"&gt;="&amp;Table1[[#This Row],[Target]])</f>
        <v>0</v>
      </c>
      <c r="O1102" s="4">
        <f>IF(Table1[[#This Row],[Outliers 2Y]]=0,1,0)</f>
        <v>1</v>
      </c>
      <c r="P1102" s="4">
        <f>IF(Table1[[#This Row],[Last value]]&gt;1.5*Table1[[#This Row],[Target]],1,0)</f>
        <v>0</v>
      </c>
      <c r="Q1102" s="4">
        <f>IF(AND(1.5*Table1[[#This Row],[Target]]&gt;=Table1[[#This Row],[Last value]],Table1[[#This Row],[Last value]]&gt;Table1[[#This Row],[Target]]),1,0)</f>
        <v>0</v>
      </c>
      <c r="R1102" s="4">
        <f>IF(Table1[[#This Row],[Target]]&gt;=Table1[[#This Row],[Last value]],1,0)</f>
        <v>1</v>
      </c>
      <c r="S1102" s="4" t="str">
        <f t="shared" si="29"/>
        <v>Green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2.02</v>
      </c>
      <c r="CJ1102" s="34">
        <v>1.8</v>
      </c>
      <c r="CK1102" s="34">
        <v>1.6</v>
      </c>
      <c r="CL1102" s="43">
        <v>1.7</v>
      </c>
      <c r="CM1102" s="4">
        <v>1.2</v>
      </c>
      <c r="CN1102" s="53">
        <v>1.8</v>
      </c>
      <c r="CO1102" s="54">
        <v>1.7</v>
      </c>
      <c r="CP1102" s="54">
        <v>1.5</v>
      </c>
      <c r="CQ1102" s="4">
        <v>1.7</v>
      </c>
    </row>
    <row r="1103" spans="1:95" x14ac:dyDescent="0.35">
      <c r="A1103" s="55">
        <v>1102</v>
      </c>
      <c r="B1103" t="s">
        <v>122</v>
      </c>
      <c r="C1103" s="27" t="s">
        <v>1176</v>
      </c>
      <c r="D1103" s="3" t="s">
        <v>88</v>
      </c>
      <c r="E1103" s="27" t="s">
        <v>91</v>
      </c>
      <c r="F1103" s="4">
        <f>IFERROR(AVERAGEIF(Table1[[#This Row],[2019-Apr]:[2025-July]],"&lt;&gt;0"),0)</f>
        <v>0</v>
      </c>
      <c r="G1103" s="4">
        <f ca="1">IFERROR(AVERAGEIF(OFFSET(Table1[[#This Row],[Status]],0,COUNT(Table1[[#This Row],[2019-May]:[2025-July]]),1,-12),"&lt;&gt;0"),0)</f>
        <v>0</v>
      </c>
      <c r="H1103" s="55">
        <f>IFERROR(SMALL(Table1[[#This Row],[2019-Apr]:[2025-July]],COUNTIF(Table1[[#This Row],[2019-Apr]:[2025-July]],0)+1),0)</f>
        <v>0</v>
      </c>
      <c r="I1103" s="56">
        <f>IFERROR(MAX(Table1[[#This Row],[2019-Apr]:[2025-July]]),0)</f>
        <v>0</v>
      </c>
      <c r="J1103" s="4" cm="1">
        <f t="array" ref="J110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103" s="4">
        <v>4.5</v>
      </c>
      <c r="L1103" s="4">
        <f>IF(Table1[[#This Row],[Standard as per ISO]]&gt;=Table1[[#This Row],[Avg of best 6]],Table1[[#This Row],[Standard as per ISO]],Table1[[#This Row],[Avg of best 6]])</f>
        <v>4.5</v>
      </c>
      <c r="M1103" s="4" cm="1">
        <f t="array" ref="M1103">IFERROR(LOOKUP(2,1/(Table1[[#This Row],[2019-May]:[2025-July]]&lt;&gt;0),Table1[[#This Row],[2019-May]:[2025-July]]),0)</f>
        <v>0</v>
      </c>
      <c r="N1103" s="4">
        <f>COUNTIF(Table1[[#This Row],[2019-Apr]:[2025-July]],"&gt;="&amp;Table1[[#This Row],[Target]])</f>
        <v>0</v>
      </c>
      <c r="O1103" s="4">
        <f>IF(Table1[[#This Row],[Outliers 2Y]]=0,1,0)</f>
        <v>1</v>
      </c>
      <c r="P1103" s="4">
        <f>IF(Table1[[#This Row],[Last value]]&gt;1.5*Table1[[#This Row],[Target]],1,0)</f>
        <v>0</v>
      </c>
      <c r="Q1103" s="4">
        <f>IF(AND(1.5*Table1[[#This Row],[Target]]&gt;=Table1[[#This Row],[Last value]],Table1[[#This Row],[Last value]]&gt;Table1[[#This Row],[Target]]),1,0)</f>
        <v>0</v>
      </c>
      <c r="R1103" s="4">
        <f>IF(Table1[[#This Row],[Target]]&gt;=Table1[[#This Row],[Last value]],1,0)</f>
        <v>1</v>
      </c>
      <c r="S1103" s="4" t="str">
        <f t="shared" si="29"/>
        <v>Green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34">
        <v>0</v>
      </c>
      <c r="CK1103" s="34">
        <v>0</v>
      </c>
      <c r="CL1103" s="34">
        <v>0</v>
      </c>
      <c r="CM1103" s="4">
        <v>0</v>
      </c>
      <c r="CN1103" s="53">
        <v>0</v>
      </c>
      <c r="CO1103" s="54">
        <v>0</v>
      </c>
      <c r="CP1103" s="54">
        <v>0</v>
      </c>
      <c r="CQ1103" s="4">
        <v>0</v>
      </c>
    </row>
    <row r="1104" spans="1:95" x14ac:dyDescent="0.35">
      <c r="A1104" s="55">
        <v>1103</v>
      </c>
      <c r="B1104" t="s">
        <v>122</v>
      </c>
      <c r="C1104" s="27" t="s">
        <v>1177</v>
      </c>
      <c r="D1104" s="3" t="s">
        <v>88</v>
      </c>
      <c r="E1104" s="27" t="s">
        <v>89</v>
      </c>
      <c r="F1104" s="4">
        <f>IFERROR(AVERAGEIF(Table1[[#This Row],[2019-Apr]:[2025-July]],"&lt;&gt;0"),0)</f>
        <v>1.22</v>
      </c>
      <c r="G1104" s="4">
        <f ca="1">IFERROR(AVERAGEIF(OFFSET(Table1[[#This Row],[Status]],0,COUNT(Table1[[#This Row],[2019-May]:[2025-July]]),1,-12),"&lt;&gt;0"),0)</f>
        <v>1.3085714285714285</v>
      </c>
      <c r="H1104" s="55">
        <f>IFERROR(SMALL(Table1[[#This Row],[2019-Apr]:[2025-July]],COUNTIF(Table1[[#This Row],[2019-Apr]:[2025-July]],0)+1),0)</f>
        <v>0.6</v>
      </c>
      <c r="I1104" s="56">
        <f>IFERROR(MAX(Table1[[#This Row],[2019-Apr]:[2025-July]]),0)</f>
        <v>1.76</v>
      </c>
      <c r="J1104" s="4" cm="1">
        <f t="array" ref="J110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1.0833333333333333</v>
      </c>
      <c r="K1104" s="4">
        <v>4.5</v>
      </c>
      <c r="L1104" s="4">
        <f>IF(Table1[[#This Row],[Standard as per ISO]]&gt;=Table1[[#This Row],[Avg of best 6]],Table1[[#This Row],[Standard as per ISO]],Table1[[#This Row],[Avg of best 6]])</f>
        <v>4.5</v>
      </c>
      <c r="M1104" s="4" cm="1">
        <f t="array" ref="M1104">IFERROR(LOOKUP(2,1/(Table1[[#This Row],[2019-May]:[2025-July]]&lt;&gt;0),Table1[[#This Row],[2019-May]:[2025-July]]),0)</f>
        <v>0.6</v>
      </c>
      <c r="N1104" s="4">
        <f>COUNTIF(Table1[[#This Row],[2019-Apr]:[2025-July]],"&gt;="&amp;Table1[[#This Row],[Target]])</f>
        <v>0</v>
      </c>
      <c r="O1104" s="4">
        <f>IF(Table1[[#This Row],[Outliers 2Y]]=0,1,0)</f>
        <v>1</v>
      </c>
      <c r="P1104" s="4">
        <f>IF(Table1[[#This Row],[Last value]]&gt;1.5*Table1[[#This Row],[Target]],1,0)</f>
        <v>0</v>
      </c>
      <c r="Q1104" s="4">
        <f>IF(AND(1.5*Table1[[#This Row],[Target]]&gt;=Table1[[#This Row],[Last value]],Table1[[#This Row],[Last value]]&gt;Table1[[#This Row],[Target]]),1,0)</f>
        <v>0</v>
      </c>
      <c r="R1104" s="4">
        <f>IF(Table1[[#This Row],[Target]]&gt;=Table1[[#This Row],[Last value]],1,0)</f>
        <v>1</v>
      </c>
      <c r="S1104" s="4" t="str">
        <f t="shared" si="29"/>
        <v>Green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1.76</v>
      </c>
      <c r="CJ1104" s="34">
        <v>1.3</v>
      </c>
      <c r="CK1104" s="34">
        <v>0</v>
      </c>
      <c r="CL1104" s="43">
        <v>1.3</v>
      </c>
      <c r="CM1104" s="4">
        <v>1.5</v>
      </c>
      <c r="CN1104" s="53">
        <v>1</v>
      </c>
      <c r="CO1104" s="54">
        <v>1.3</v>
      </c>
      <c r="CP1104" s="54">
        <v>1</v>
      </c>
      <c r="CQ1104" s="4">
        <v>0.6</v>
      </c>
    </row>
    <row r="1105" spans="1:95" x14ac:dyDescent="0.35">
      <c r="A1105" s="55">
        <v>1104</v>
      </c>
      <c r="B1105" t="s">
        <v>122</v>
      </c>
      <c r="C1105" s="27" t="s">
        <v>1178</v>
      </c>
      <c r="D1105" s="3" t="s">
        <v>88</v>
      </c>
      <c r="E1105" s="27" t="s">
        <v>89</v>
      </c>
      <c r="F1105" s="4">
        <f>IFERROR(AVERAGEIF(Table1[[#This Row],[2019-Apr]:[2025-July]],"&lt;&gt;0"),0)</f>
        <v>2.605</v>
      </c>
      <c r="G1105" s="4">
        <f ca="1">IFERROR(AVERAGEIF(OFFSET(Table1[[#This Row],[Status]],0,COUNT(Table1[[#This Row],[2019-May]:[2025-July]]),1,-12),"&lt;&gt;0"),0)</f>
        <v>2.7771428571428571</v>
      </c>
      <c r="H1105" s="55">
        <f>IFERROR(SMALL(Table1[[#This Row],[2019-Apr]:[2025-July]],COUNTIF(Table1[[#This Row],[2019-Apr]:[2025-July]],0)+1),0)</f>
        <v>1.4</v>
      </c>
      <c r="I1105" s="56">
        <f>IFERROR(MAX(Table1[[#This Row],[2019-Apr]:[2025-July]]),0)</f>
        <v>3.6</v>
      </c>
      <c r="J1105" s="4" cm="1">
        <f t="array" ref="J110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2.3166666666666669</v>
      </c>
      <c r="K1105" s="4">
        <v>4.5</v>
      </c>
      <c r="L1105" s="4">
        <f>IF(Table1[[#This Row],[Standard as per ISO]]&gt;=Table1[[#This Row],[Avg of best 6]],Table1[[#This Row],[Standard as per ISO]],Table1[[#This Row],[Avg of best 6]])</f>
        <v>4.5</v>
      </c>
      <c r="M1105" s="4" cm="1">
        <f t="array" ref="M1105">IFERROR(LOOKUP(2,1/(Table1[[#This Row],[2019-May]:[2025-July]]&lt;&gt;0),Table1[[#This Row],[2019-May]:[2025-July]]),0)</f>
        <v>1.4</v>
      </c>
      <c r="N1105" s="4">
        <f>COUNTIF(Table1[[#This Row],[2019-Apr]:[2025-July]],"&gt;="&amp;Table1[[#This Row],[Target]])</f>
        <v>0</v>
      </c>
      <c r="O1105" s="4">
        <f>IF(Table1[[#This Row],[Outliers 2Y]]=0,1,0)</f>
        <v>1</v>
      </c>
      <c r="P1105" s="4">
        <f>IF(Table1[[#This Row],[Last value]]&gt;1.5*Table1[[#This Row],[Target]],1,0)</f>
        <v>0</v>
      </c>
      <c r="Q1105" s="4">
        <f>IF(AND(1.5*Table1[[#This Row],[Target]]&gt;=Table1[[#This Row],[Last value]],Table1[[#This Row],[Last value]]&gt;Table1[[#This Row],[Target]]),1,0)</f>
        <v>0</v>
      </c>
      <c r="R1105" s="4">
        <f>IF(Table1[[#This Row],[Target]]&gt;=Table1[[#This Row],[Last value]],1,0)</f>
        <v>1</v>
      </c>
      <c r="S1105" s="4" t="str">
        <f t="shared" si="29"/>
        <v>Green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3.34</v>
      </c>
      <c r="CJ1105" s="34">
        <v>3</v>
      </c>
      <c r="CK1105" s="34">
        <v>0</v>
      </c>
      <c r="CL1105" s="43">
        <v>3.6</v>
      </c>
      <c r="CM1105" s="4">
        <v>2.4</v>
      </c>
      <c r="CN1105" s="53">
        <v>2.2999999999999998</v>
      </c>
      <c r="CO1105" s="54">
        <v>2.2000000000000002</v>
      </c>
      <c r="CP1105" s="54">
        <v>2.6</v>
      </c>
      <c r="CQ1105" s="4">
        <v>1.4</v>
      </c>
    </row>
    <row r="1106" spans="1:95" x14ac:dyDescent="0.35">
      <c r="A1106" s="55">
        <v>1105</v>
      </c>
      <c r="B1106" t="s">
        <v>122</v>
      </c>
      <c r="C1106" s="27" t="s">
        <v>1179</v>
      </c>
      <c r="D1106" s="3" t="s">
        <v>88</v>
      </c>
      <c r="E1106" s="27" t="s">
        <v>89</v>
      </c>
      <c r="F1106" s="4">
        <f>IFERROR(AVERAGEIF(Table1[[#This Row],[2019-Apr]:[2025-July]],"&lt;&gt;0"),0)</f>
        <v>3.7787500000000001</v>
      </c>
      <c r="G1106" s="4">
        <f ca="1">IFERROR(AVERAGEIF(OFFSET(Table1[[#This Row],[Status]],0,COUNT(Table1[[#This Row],[2019-May]:[2025-July]]),1,-12),"&lt;&gt;0"),0)</f>
        <v>3.8757142857142854</v>
      </c>
      <c r="H1106" s="55">
        <f>IFERROR(SMALL(Table1[[#This Row],[2019-Apr]:[2025-July]],COUNTIF(Table1[[#This Row],[2019-Apr]:[2025-July]],0)+1),0)</f>
        <v>1.4</v>
      </c>
      <c r="I1106" s="56">
        <f>IFERROR(MAX(Table1[[#This Row],[2019-Apr]:[2025-July]]),0)</f>
        <v>8.5</v>
      </c>
      <c r="J1106" s="4" cm="1">
        <f t="array" ref="J110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2.35</v>
      </c>
      <c r="K1106" s="4">
        <v>4.5</v>
      </c>
      <c r="L1106" s="4">
        <f>IF(Table1[[#This Row],[Standard as per ISO]]&gt;=Table1[[#This Row],[Avg of best 6]],Table1[[#This Row],[Standard as per ISO]],Table1[[#This Row],[Avg of best 6]])</f>
        <v>4.5</v>
      </c>
      <c r="M1106" s="4" cm="1">
        <f t="array" ref="M1106">IFERROR(LOOKUP(2,1/(Table1[[#This Row],[2019-May]:[2025-July]]&lt;&gt;0),Table1[[#This Row],[2019-May]:[2025-July]]),0)</f>
        <v>3.1</v>
      </c>
      <c r="N1106" s="4">
        <f>COUNTIF(Table1[[#This Row],[2019-Apr]:[2025-July]],"&gt;="&amp;Table1[[#This Row],[Target]])</f>
        <v>2</v>
      </c>
      <c r="O1106" s="4">
        <f>IF(Table1[[#This Row],[Outliers 2Y]]=0,1,0)</f>
        <v>0</v>
      </c>
      <c r="P1106" s="4">
        <f>IF(Table1[[#This Row],[Last value]]&gt;1.5*Table1[[#This Row],[Target]],1,0)</f>
        <v>0</v>
      </c>
      <c r="Q1106" s="4">
        <f>IF(AND(1.5*Table1[[#This Row],[Target]]&gt;=Table1[[#This Row],[Last value]],Table1[[#This Row],[Last value]]&gt;Table1[[#This Row],[Target]]),1,0)</f>
        <v>0</v>
      </c>
      <c r="R1106" s="4">
        <f>IF(Table1[[#This Row],[Target]]&gt;=Table1[[#This Row],[Last value]],1,0)</f>
        <v>1</v>
      </c>
      <c r="S1106" s="4" t="str">
        <f t="shared" si="29"/>
        <v>Green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7.63</v>
      </c>
      <c r="CJ1106" s="34">
        <v>8.5</v>
      </c>
      <c r="CK1106" s="34">
        <v>0</v>
      </c>
      <c r="CL1106" s="43">
        <v>2.8</v>
      </c>
      <c r="CM1106" s="4">
        <v>2.8</v>
      </c>
      <c r="CN1106" s="53">
        <v>1.9</v>
      </c>
      <c r="CO1106" s="54">
        <v>2.1</v>
      </c>
      <c r="CP1106" s="54">
        <v>1.4</v>
      </c>
      <c r="CQ1106" s="4">
        <v>3.1</v>
      </c>
    </row>
    <row r="1107" spans="1:95" x14ac:dyDescent="0.35">
      <c r="A1107" s="55">
        <v>1106</v>
      </c>
      <c r="B1107" t="s">
        <v>122</v>
      </c>
      <c r="C1107" s="27" t="s">
        <v>1180</v>
      </c>
      <c r="D1107" s="3" t="s">
        <v>88</v>
      </c>
      <c r="E1107" s="27" t="s">
        <v>89</v>
      </c>
      <c r="F1107" s="4">
        <f>IFERROR(AVERAGEIF(Table1[[#This Row],[2019-Apr]:[2025-July]],"&lt;&gt;0"),0)</f>
        <v>2.4475000000000002</v>
      </c>
      <c r="G1107" s="4">
        <f ca="1">IFERROR(AVERAGEIF(OFFSET(Table1[[#This Row],[Status]],0,COUNT(Table1[[#This Row],[2019-May]:[2025-July]]),1,-12),"&lt;&gt;0"),0)</f>
        <v>2.3542857142857145</v>
      </c>
      <c r="H1107" s="55">
        <f>IFERROR(SMALL(Table1[[#This Row],[2019-Apr]:[2025-July]],COUNTIF(Table1[[#This Row],[2019-Apr]:[2025-July]],0)+1),0)</f>
        <v>1.3</v>
      </c>
      <c r="I1107" s="56">
        <f>IFERROR(MAX(Table1[[#This Row],[2019-Apr]:[2025-July]]),0)</f>
        <v>3.3</v>
      </c>
      <c r="J1107" s="4" cm="1">
        <f t="array" ref="J110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2.1966666666666668</v>
      </c>
      <c r="K1107" s="4">
        <v>4.5</v>
      </c>
      <c r="L1107" s="4">
        <f>IF(Table1[[#This Row],[Standard as per ISO]]&gt;=Table1[[#This Row],[Avg of best 6]],Table1[[#This Row],[Standard as per ISO]],Table1[[#This Row],[Avg of best 6]])</f>
        <v>4.5</v>
      </c>
      <c r="M1107" s="4" cm="1">
        <f t="array" ref="M1107">IFERROR(LOOKUP(2,1/(Table1[[#This Row],[2019-May]:[2025-July]]&lt;&gt;0),Table1[[#This Row],[2019-May]:[2025-July]]),0)</f>
        <v>3.1</v>
      </c>
      <c r="N1107" s="4">
        <f>COUNTIF(Table1[[#This Row],[2019-Apr]:[2025-July]],"&gt;="&amp;Table1[[#This Row],[Target]])</f>
        <v>0</v>
      </c>
      <c r="O1107" s="4">
        <f>IF(Table1[[#This Row],[Outliers 2Y]]=0,1,0)</f>
        <v>1</v>
      </c>
      <c r="P1107" s="4">
        <f>IF(Table1[[#This Row],[Last value]]&gt;1.5*Table1[[#This Row],[Target]],1,0)</f>
        <v>0</v>
      </c>
      <c r="Q1107" s="4">
        <f>IF(AND(1.5*Table1[[#This Row],[Target]]&gt;=Table1[[#This Row],[Last value]],Table1[[#This Row],[Last value]]&gt;Table1[[#This Row],[Target]]),1,0)</f>
        <v>0</v>
      </c>
      <c r="R1107" s="4">
        <f>IF(Table1[[#This Row],[Target]]&gt;=Table1[[#This Row],[Last value]],1,0)</f>
        <v>1</v>
      </c>
      <c r="S1107" s="4" t="str">
        <f t="shared" si="29"/>
        <v>Green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1.98</v>
      </c>
      <c r="CJ1107" s="34">
        <v>1.3</v>
      </c>
      <c r="CK1107" s="34">
        <v>0</v>
      </c>
      <c r="CL1107" s="43">
        <v>2.6</v>
      </c>
      <c r="CM1107" s="4">
        <v>2.6</v>
      </c>
      <c r="CN1107" s="53">
        <v>3.3</v>
      </c>
      <c r="CO1107" s="54">
        <v>2.4</v>
      </c>
      <c r="CP1107" s="54">
        <v>2.2999999999999998</v>
      </c>
      <c r="CQ1107" s="4">
        <v>3.1</v>
      </c>
    </row>
    <row r="1108" spans="1:95" x14ac:dyDescent="0.35">
      <c r="A1108" s="55">
        <v>1107</v>
      </c>
      <c r="B1108" t="s">
        <v>122</v>
      </c>
      <c r="C1108" s="27" t="s">
        <v>1181</v>
      </c>
      <c r="D1108" s="3" t="s">
        <v>88</v>
      </c>
      <c r="E1108" s="27" t="s">
        <v>89</v>
      </c>
      <c r="F1108" s="4">
        <f>IFERROR(AVERAGEIF(Table1[[#This Row],[2019-Apr]:[2025-July]],"&lt;&gt;0"),0)</f>
        <v>1.5257142857142856</v>
      </c>
      <c r="G1108" s="4">
        <f ca="1">IFERROR(AVERAGEIF(OFFSET(Table1[[#This Row],[Status]],0,COUNT(Table1[[#This Row],[2019-May]:[2025-July]]),1,-12),"&lt;&gt;0"),0)</f>
        <v>1.5133333333333334</v>
      </c>
      <c r="H1108" s="55">
        <f>IFERROR(SMALL(Table1[[#This Row],[2019-Apr]:[2025-July]],COUNTIF(Table1[[#This Row],[2019-Apr]:[2025-July]],0)+1),0)</f>
        <v>1.1000000000000001</v>
      </c>
      <c r="I1108" s="56">
        <f>IFERROR(MAX(Table1[[#This Row],[2019-Apr]:[2025-July]]),0)</f>
        <v>2.08</v>
      </c>
      <c r="J1108" s="4" cm="1">
        <f t="array" ref="J110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1.4333333333333333</v>
      </c>
      <c r="K1108" s="4">
        <v>4.5</v>
      </c>
      <c r="L1108" s="4">
        <f>IF(Table1[[#This Row],[Standard as per ISO]]&gt;=Table1[[#This Row],[Avg of best 6]],Table1[[#This Row],[Standard as per ISO]],Table1[[#This Row],[Avg of best 6]])</f>
        <v>4.5</v>
      </c>
      <c r="M1108" s="4" cm="1">
        <f t="array" ref="M1108">IFERROR(LOOKUP(2,1/(Table1[[#This Row],[2019-May]:[2025-July]]&lt;&gt;0),Table1[[#This Row],[2019-May]:[2025-July]]),0)</f>
        <v>1.6</v>
      </c>
      <c r="N1108" s="4">
        <f>COUNTIF(Table1[[#This Row],[2019-Apr]:[2025-July]],"&gt;="&amp;Table1[[#This Row],[Target]])</f>
        <v>0</v>
      </c>
      <c r="O1108" s="4">
        <f>IF(Table1[[#This Row],[Outliers 2Y]]=0,1,0)</f>
        <v>1</v>
      </c>
      <c r="P1108" s="4">
        <f>IF(Table1[[#This Row],[Last value]]&gt;1.5*Table1[[#This Row],[Target]],1,0)</f>
        <v>0</v>
      </c>
      <c r="Q1108" s="4">
        <f>IF(AND(1.5*Table1[[#This Row],[Target]]&gt;=Table1[[#This Row],[Last value]],Table1[[#This Row],[Last value]]&gt;Table1[[#This Row],[Target]]),1,0)</f>
        <v>0</v>
      </c>
      <c r="R1108" s="4">
        <f>IF(Table1[[#This Row],[Target]]&gt;=Table1[[#This Row],[Last value]],1,0)</f>
        <v>1</v>
      </c>
      <c r="S1108" s="4" t="str">
        <f t="shared" si="29"/>
        <v>Green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2.08</v>
      </c>
      <c r="CJ1108" s="34">
        <v>1.3</v>
      </c>
      <c r="CK1108" s="34">
        <v>0</v>
      </c>
      <c r="CL1108" s="43">
        <v>0</v>
      </c>
      <c r="CM1108" s="4">
        <v>1.2</v>
      </c>
      <c r="CN1108" s="53">
        <v>1.4</v>
      </c>
      <c r="CO1108" s="54">
        <v>1.1000000000000001</v>
      </c>
      <c r="CP1108" s="54">
        <v>2</v>
      </c>
      <c r="CQ1108" s="4">
        <v>1.6</v>
      </c>
    </row>
    <row r="1109" spans="1:95" x14ac:dyDescent="0.35">
      <c r="A1109" s="55">
        <v>1108</v>
      </c>
      <c r="B1109" t="s">
        <v>122</v>
      </c>
      <c r="C1109" s="27" t="s">
        <v>1182</v>
      </c>
      <c r="D1109" s="3" t="s">
        <v>88</v>
      </c>
      <c r="E1109" s="27" t="s">
        <v>91</v>
      </c>
      <c r="F1109" s="4">
        <f>IFERROR(AVERAGEIF(Table1[[#This Row],[2019-Apr]:[2025-July]],"&lt;&gt;0"),0)</f>
        <v>0</v>
      </c>
      <c r="G1109" s="4">
        <f ca="1">IFERROR(AVERAGEIF(OFFSET(Table1[[#This Row],[Status]],0,COUNT(Table1[[#This Row],[2019-May]:[2025-July]]),1,-12),"&lt;&gt;0"),0)</f>
        <v>0</v>
      </c>
      <c r="H1109" s="55">
        <f>IFERROR(SMALL(Table1[[#This Row],[2019-Apr]:[2025-July]],COUNTIF(Table1[[#This Row],[2019-Apr]:[2025-July]],0)+1),0)</f>
        <v>0</v>
      </c>
      <c r="I1109" s="56">
        <f>IFERROR(MAX(Table1[[#This Row],[2019-Apr]:[2025-July]]),0)</f>
        <v>0</v>
      </c>
      <c r="J1109" s="4" cm="1">
        <f t="array" ref="J110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109" s="4">
        <v>4.5</v>
      </c>
      <c r="L1109" s="4">
        <f>IF(Table1[[#This Row],[Standard as per ISO]]&gt;=Table1[[#This Row],[Avg of best 6]],Table1[[#This Row],[Standard as per ISO]],Table1[[#This Row],[Avg of best 6]])</f>
        <v>4.5</v>
      </c>
      <c r="M1109" s="4" cm="1">
        <f t="array" ref="M1109">IFERROR(LOOKUP(2,1/(Table1[[#This Row],[2019-May]:[2025-July]]&lt;&gt;0),Table1[[#This Row],[2019-May]:[2025-July]]),0)</f>
        <v>0</v>
      </c>
      <c r="N1109" s="4">
        <f>COUNTIF(Table1[[#This Row],[2019-Apr]:[2025-July]],"&gt;="&amp;Table1[[#This Row],[Target]])</f>
        <v>0</v>
      </c>
      <c r="O1109" s="4">
        <f>IF(Table1[[#This Row],[Outliers 2Y]]=0,1,0)</f>
        <v>1</v>
      </c>
      <c r="P1109" s="4">
        <f>IF(Table1[[#This Row],[Last value]]&gt;1.5*Table1[[#This Row],[Target]],1,0)</f>
        <v>0</v>
      </c>
      <c r="Q1109" s="4">
        <f>IF(AND(1.5*Table1[[#This Row],[Target]]&gt;=Table1[[#This Row],[Last value]],Table1[[#This Row],[Last value]]&gt;Table1[[#This Row],[Target]]),1,0)</f>
        <v>0</v>
      </c>
      <c r="R1109" s="4">
        <f>IF(Table1[[#This Row],[Target]]&gt;=Table1[[#This Row],[Last value]],1,0)</f>
        <v>1</v>
      </c>
      <c r="S1109" s="4" t="str">
        <f t="shared" si="29"/>
        <v>Green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34">
        <v>0</v>
      </c>
      <c r="CK1109" s="34">
        <v>0</v>
      </c>
      <c r="CL1109" s="34">
        <v>0</v>
      </c>
      <c r="CM1109" s="4">
        <v>0</v>
      </c>
      <c r="CN1109" s="53">
        <v>0</v>
      </c>
      <c r="CO1109" s="54">
        <v>0</v>
      </c>
      <c r="CP1109" s="54">
        <v>0</v>
      </c>
      <c r="CQ1109" s="4">
        <v>0</v>
      </c>
    </row>
    <row r="1110" spans="1:95" x14ac:dyDescent="0.35">
      <c r="A1110" s="55">
        <v>1109</v>
      </c>
      <c r="B1110" t="s">
        <v>122</v>
      </c>
      <c r="C1110" s="27" t="s">
        <v>1183</v>
      </c>
      <c r="D1110" s="3" t="s">
        <v>88</v>
      </c>
      <c r="E1110" s="27" t="s">
        <v>89</v>
      </c>
      <c r="F1110" s="4">
        <f>IFERROR(AVERAGEIF(Table1[[#This Row],[2019-Apr]:[2025-July]],"&lt;&gt;0"),0)</f>
        <v>0.9157142857142857</v>
      </c>
      <c r="G1110" s="4">
        <f ca="1">IFERROR(AVERAGEIF(OFFSET(Table1[[#This Row],[Status]],0,COUNT(Table1[[#This Row],[2019-May]:[2025-July]]),1,-12),"&lt;&gt;0"),0)</f>
        <v>0.90166666666666673</v>
      </c>
      <c r="H1110" s="55">
        <f>IFERROR(SMALL(Table1[[#This Row],[2019-Apr]:[2025-July]],COUNTIF(Table1[[#This Row],[2019-Apr]:[2025-July]],0)+1),0)</f>
        <v>0.8</v>
      </c>
      <c r="I1110" s="56">
        <f>IFERROR(MAX(Table1[[#This Row],[2019-Apr]:[2025-July]]),0)</f>
        <v>1.3</v>
      </c>
      <c r="J1110" s="4" cm="1">
        <f t="array" ref="J111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0.85166666666666668</v>
      </c>
      <c r="K1110" s="4">
        <v>4.5</v>
      </c>
      <c r="L1110" s="4">
        <f>IF(Table1[[#This Row],[Standard as per ISO]]&gt;=Table1[[#This Row],[Avg of best 6]],Table1[[#This Row],[Standard as per ISO]],Table1[[#This Row],[Avg of best 6]])</f>
        <v>4.5</v>
      </c>
      <c r="M1110" s="4" cm="1">
        <f t="array" ref="M1110">IFERROR(LOOKUP(2,1/(Table1[[#This Row],[2019-May]:[2025-July]]&lt;&gt;0),Table1[[#This Row],[2019-May]:[2025-July]]),0)</f>
        <v>1</v>
      </c>
      <c r="N1110" s="4">
        <f>COUNTIF(Table1[[#This Row],[2019-Apr]:[2025-July]],"&gt;="&amp;Table1[[#This Row],[Target]])</f>
        <v>0</v>
      </c>
      <c r="O1110" s="4">
        <f>IF(Table1[[#This Row],[Outliers 2Y]]=0,1,0)</f>
        <v>1</v>
      </c>
      <c r="P1110" s="4">
        <f>IF(Table1[[#This Row],[Last value]]&gt;1.5*Table1[[#This Row],[Target]],1,0)</f>
        <v>0</v>
      </c>
      <c r="Q1110" s="4">
        <f>IF(AND(1.5*Table1[[#This Row],[Target]]&gt;=Table1[[#This Row],[Last value]],Table1[[#This Row],[Last value]]&gt;Table1[[#This Row],[Target]]),1,0)</f>
        <v>0</v>
      </c>
      <c r="R1110" s="4">
        <f>IF(Table1[[#This Row],[Target]]&gt;=Table1[[#This Row],[Last value]],1,0)</f>
        <v>1</v>
      </c>
      <c r="S1110" s="4" t="str">
        <f t="shared" si="29"/>
        <v>Green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0.81</v>
      </c>
      <c r="CJ1110" s="34">
        <v>0.8</v>
      </c>
      <c r="CK1110" s="34">
        <v>0</v>
      </c>
      <c r="CL1110" s="43">
        <v>0</v>
      </c>
      <c r="CM1110" s="4">
        <v>1.3</v>
      </c>
      <c r="CN1110" s="53">
        <v>0.8</v>
      </c>
      <c r="CO1110" s="54">
        <v>0.8</v>
      </c>
      <c r="CP1110" s="54">
        <v>0.9</v>
      </c>
      <c r="CQ1110" s="4">
        <v>1</v>
      </c>
    </row>
    <row r="1111" spans="1:95" x14ac:dyDescent="0.35">
      <c r="A1111" s="55">
        <v>1110</v>
      </c>
      <c r="B1111" t="s">
        <v>122</v>
      </c>
      <c r="C1111" s="27" t="s">
        <v>1184</v>
      </c>
      <c r="D1111" s="3" t="s">
        <v>88</v>
      </c>
      <c r="E1111" s="27" t="s">
        <v>89</v>
      </c>
      <c r="F1111" s="4">
        <f>IFERROR(AVERAGEIF(Table1[[#This Row],[2019-Apr]:[2025-July]],"&lt;&gt;0"),0)</f>
        <v>1.01</v>
      </c>
      <c r="G1111" s="4">
        <f ca="1">IFERROR(AVERAGEIF(OFFSET(Table1[[#This Row],[Status]],0,COUNT(Table1[[#This Row],[2019-May]:[2025-July]]),1,-12),"&lt;&gt;0"),0)</f>
        <v>0.97833333333333339</v>
      </c>
      <c r="H1111" s="55">
        <f>IFERROR(SMALL(Table1[[#This Row],[2019-Apr]:[2025-July]],COUNTIF(Table1[[#This Row],[2019-Apr]:[2025-July]],0)+1),0)</f>
        <v>0.8</v>
      </c>
      <c r="I1111" s="56">
        <f>IFERROR(MAX(Table1[[#This Row],[2019-Apr]:[2025-July]]),0)</f>
        <v>1.2</v>
      </c>
      <c r="J1111" s="4" cm="1">
        <f t="array" ref="J111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0.97833333333333339</v>
      </c>
      <c r="K1111" s="4">
        <v>4.5</v>
      </c>
      <c r="L1111" s="4">
        <f>IF(Table1[[#This Row],[Standard as per ISO]]&gt;=Table1[[#This Row],[Avg of best 6]],Table1[[#This Row],[Standard as per ISO]],Table1[[#This Row],[Avg of best 6]])</f>
        <v>4.5</v>
      </c>
      <c r="M1111" s="4" cm="1">
        <f t="array" ref="M1111">IFERROR(LOOKUP(2,1/(Table1[[#This Row],[2019-May]:[2025-July]]&lt;&gt;0),Table1[[#This Row],[2019-May]:[2025-July]]),0)</f>
        <v>1.2</v>
      </c>
      <c r="N1111" s="4">
        <f>COUNTIF(Table1[[#This Row],[2019-Apr]:[2025-July]],"&gt;="&amp;Table1[[#This Row],[Target]])</f>
        <v>0</v>
      </c>
      <c r="O1111" s="4">
        <f>IF(Table1[[#This Row],[Outliers 2Y]]=0,1,0)</f>
        <v>1</v>
      </c>
      <c r="P1111" s="4">
        <f>IF(Table1[[#This Row],[Last value]]&gt;1.5*Table1[[#This Row],[Target]],1,0)</f>
        <v>0</v>
      </c>
      <c r="Q1111" s="4">
        <f>IF(AND(1.5*Table1[[#This Row],[Target]]&gt;=Table1[[#This Row],[Last value]],Table1[[#This Row],[Last value]]&gt;Table1[[#This Row],[Target]]),1,0)</f>
        <v>0</v>
      </c>
      <c r="R1111" s="4">
        <f>IF(Table1[[#This Row],[Target]]&gt;=Table1[[#This Row],[Last value]],1,0)</f>
        <v>1</v>
      </c>
      <c r="S1111" s="4" t="str">
        <f t="shared" si="29"/>
        <v>Green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0.87</v>
      </c>
      <c r="CJ1111" s="34">
        <v>1</v>
      </c>
      <c r="CK1111" s="34">
        <v>0</v>
      </c>
      <c r="CL1111" s="43">
        <v>0.8</v>
      </c>
      <c r="CM1111" s="4">
        <v>0</v>
      </c>
      <c r="CN1111" s="53">
        <v>1.2</v>
      </c>
      <c r="CO1111" s="54">
        <v>1.2</v>
      </c>
      <c r="CP1111" s="54">
        <v>0.8</v>
      </c>
      <c r="CQ1111" s="4">
        <v>1.2</v>
      </c>
    </row>
    <row r="1112" spans="1:95" x14ac:dyDescent="0.35">
      <c r="A1112" s="55">
        <v>1111</v>
      </c>
      <c r="B1112" t="s">
        <v>122</v>
      </c>
      <c r="C1112" s="27" t="s">
        <v>1185</v>
      </c>
      <c r="D1112" s="3" t="s">
        <v>88</v>
      </c>
      <c r="E1112" s="27" t="s">
        <v>89</v>
      </c>
      <c r="F1112" s="4">
        <f>IFERROR(AVERAGEIF(Table1[[#This Row],[2019-Apr]:[2025-July]],"&lt;&gt;0"),0)</f>
        <v>0</v>
      </c>
      <c r="G1112" s="4">
        <f ca="1">IFERROR(AVERAGEIF(OFFSET(Table1[[#This Row],[Status]],0,COUNT(Table1[[#This Row],[2019-May]:[2025-July]]),1,-12),"&lt;&gt;0"),0)</f>
        <v>0</v>
      </c>
      <c r="H1112" s="55">
        <f>IFERROR(SMALL(Table1[[#This Row],[2019-Apr]:[2025-July]],COUNTIF(Table1[[#This Row],[2019-Apr]:[2025-July]],0)+1),0)</f>
        <v>0</v>
      </c>
      <c r="I1112" s="56">
        <f>IFERROR(MAX(Table1[[#This Row],[2019-Apr]:[2025-July]]),0)</f>
        <v>0</v>
      </c>
      <c r="J1112" s="4" cm="1">
        <f t="array" ref="J111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112" s="4">
        <v>4.5</v>
      </c>
      <c r="L1112" s="4">
        <f>IF(Table1[[#This Row],[Standard as per ISO]]&gt;=Table1[[#This Row],[Avg of best 6]],Table1[[#This Row],[Standard as per ISO]],Table1[[#This Row],[Avg of best 6]])</f>
        <v>4.5</v>
      </c>
      <c r="M1112" s="4" cm="1">
        <f t="array" ref="M1112">IFERROR(LOOKUP(2,1/(Table1[[#This Row],[2019-May]:[2025-July]]&lt;&gt;0),Table1[[#This Row],[2019-May]:[2025-July]]),0)</f>
        <v>0</v>
      </c>
      <c r="N1112" s="4">
        <f>COUNTIF(Table1[[#This Row],[2019-Apr]:[2025-July]],"&gt;="&amp;Table1[[#This Row],[Target]])</f>
        <v>0</v>
      </c>
      <c r="O1112" s="4">
        <f>IF(Table1[[#This Row],[Outliers 2Y]]=0,1,0)</f>
        <v>1</v>
      </c>
      <c r="P1112" s="4">
        <f>IF(Table1[[#This Row],[Last value]]&gt;1.5*Table1[[#This Row],[Target]],1,0)</f>
        <v>0</v>
      </c>
      <c r="Q1112" s="4">
        <f>IF(AND(1.5*Table1[[#This Row],[Target]]&gt;=Table1[[#This Row],[Last value]],Table1[[#This Row],[Last value]]&gt;Table1[[#This Row],[Target]]),1,0)</f>
        <v>0</v>
      </c>
      <c r="R1112" s="4">
        <f>IF(Table1[[#This Row],[Target]]&gt;=Table1[[#This Row],[Last value]],1,0)</f>
        <v>1</v>
      </c>
      <c r="S1112" s="4" t="str">
        <f t="shared" si="29"/>
        <v>Green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34">
        <v>0</v>
      </c>
      <c r="CK1112" s="34">
        <v>0</v>
      </c>
      <c r="CL1112" s="43">
        <v>0</v>
      </c>
      <c r="CM1112" s="4">
        <v>0</v>
      </c>
      <c r="CN1112" s="53">
        <v>0</v>
      </c>
      <c r="CO1112" s="54">
        <v>0</v>
      </c>
      <c r="CP1112" s="54">
        <v>0</v>
      </c>
      <c r="CQ1112" s="4">
        <v>0</v>
      </c>
    </row>
    <row r="1113" spans="1:95" x14ac:dyDescent="0.35">
      <c r="A1113" s="55">
        <v>1112</v>
      </c>
      <c r="B1113" t="s">
        <v>122</v>
      </c>
      <c r="C1113" s="27" t="s">
        <v>1186</v>
      </c>
      <c r="D1113" s="3" t="s">
        <v>88</v>
      </c>
      <c r="E1113" s="27" t="s">
        <v>91</v>
      </c>
      <c r="F1113" s="4">
        <f>IFERROR(AVERAGEIF(Table1[[#This Row],[2019-Apr]:[2025-July]],"&lt;&gt;0"),0)</f>
        <v>0</v>
      </c>
      <c r="G1113" s="4">
        <f ca="1">IFERROR(AVERAGEIF(OFFSET(Table1[[#This Row],[Status]],0,COUNT(Table1[[#This Row],[2019-May]:[2025-July]]),1,-12),"&lt;&gt;0"),0)</f>
        <v>0</v>
      </c>
      <c r="H1113" s="55">
        <f>IFERROR(SMALL(Table1[[#This Row],[2019-Apr]:[2025-July]],COUNTIF(Table1[[#This Row],[2019-Apr]:[2025-July]],0)+1),0)</f>
        <v>0</v>
      </c>
      <c r="I1113" s="56">
        <f>IFERROR(MAX(Table1[[#This Row],[2019-Apr]:[2025-July]]),0)</f>
        <v>0</v>
      </c>
      <c r="J1113" s="4" cm="1">
        <f t="array" ref="J111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113" s="4">
        <v>4.5</v>
      </c>
      <c r="L1113" s="4">
        <f>IF(Table1[[#This Row],[Standard as per ISO]]&gt;=Table1[[#This Row],[Avg of best 6]],Table1[[#This Row],[Standard as per ISO]],Table1[[#This Row],[Avg of best 6]])</f>
        <v>4.5</v>
      </c>
      <c r="M1113" s="4" cm="1">
        <f t="array" ref="M1113">IFERROR(LOOKUP(2,1/(Table1[[#This Row],[2019-May]:[2025-July]]&lt;&gt;0),Table1[[#This Row],[2019-May]:[2025-July]]),0)</f>
        <v>0</v>
      </c>
      <c r="N1113" s="4">
        <f>COUNTIF(Table1[[#This Row],[2019-Apr]:[2025-July]],"&gt;="&amp;Table1[[#This Row],[Target]])</f>
        <v>0</v>
      </c>
      <c r="O1113" s="4">
        <f>IF(Table1[[#This Row],[Outliers 2Y]]=0,1,0)</f>
        <v>1</v>
      </c>
      <c r="P1113" s="4">
        <f>IF(Table1[[#This Row],[Last value]]&gt;1.5*Table1[[#This Row],[Target]],1,0)</f>
        <v>0</v>
      </c>
      <c r="Q1113" s="4">
        <f>IF(AND(1.5*Table1[[#This Row],[Target]]&gt;=Table1[[#This Row],[Last value]],Table1[[#This Row],[Last value]]&gt;Table1[[#This Row],[Target]]),1,0)</f>
        <v>0</v>
      </c>
      <c r="R1113" s="4">
        <f>IF(Table1[[#This Row],[Target]]&gt;=Table1[[#This Row],[Last value]],1,0)</f>
        <v>1</v>
      </c>
      <c r="S1113" s="4" t="str">
        <f t="shared" si="29"/>
        <v>Green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34">
        <v>0</v>
      </c>
      <c r="CK1113" s="34">
        <v>0</v>
      </c>
      <c r="CL1113" s="34">
        <v>0</v>
      </c>
      <c r="CM1113" s="4">
        <v>0</v>
      </c>
      <c r="CN1113" s="53">
        <v>0</v>
      </c>
      <c r="CO1113" s="54">
        <v>0</v>
      </c>
      <c r="CP1113" s="54">
        <v>0</v>
      </c>
      <c r="CQ1113" s="4">
        <v>0</v>
      </c>
    </row>
    <row r="1114" spans="1:95" x14ac:dyDescent="0.35">
      <c r="A1114" s="55">
        <v>1113</v>
      </c>
      <c r="B1114" t="s">
        <v>122</v>
      </c>
      <c r="C1114" s="29" t="s">
        <v>1187</v>
      </c>
      <c r="D1114" s="3" t="s">
        <v>94</v>
      </c>
      <c r="E1114" s="29" t="s">
        <v>91</v>
      </c>
      <c r="F1114" s="4">
        <f>IFERROR(AVERAGEIF(Table1[[#This Row],[2019-Apr]:[2025-July]],"&lt;&gt;0"),0)</f>
        <v>13.54</v>
      </c>
      <c r="G1114" s="4">
        <f ca="1">IFERROR(AVERAGEIF(OFFSET(Table1[[#This Row],[Status]],0,COUNT(Table1[[#This Row],[2019-May]:[2025-July]]),1,-12),"&lt;&gt;0"),0)</f>
        <v>13.54</v>
      </c>
      <c r="H1114" s="55">
        <f>IFERROR(SMALL(Table1[[#This Row],[2019-Apr]:[2025-July]],COUNTIF(Table1[[#This Row],[2019-Apr]:[2025-July]],0)+1),0)</f>
        <v>13.54</v>
      </c>
      <c r="I1114" s="56">
        <f>IFERROR(MAX(Table1[[#This Row],[2019-Apr]:[2025-July]]),0)</f>
        <v>13.54</v>
      </c>
      <c r="J1114" s="4" cm="1">
        <f t="array" ref="J111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13.54</v>
      </c>
      <c r="K1114" s="4">
        <v>4.5</v>
      </c>
      <c r="L1114" s="4">
        <f>IF(Table1[[#This Row],[Standard as per ISO]]&gt;=Table1[[#This Row],[Avg of best 6]],Table1[[#This Row],[Standard as per ISO]],Table1[[#This Row],[Avg of best 6]])</f>
        <v>13.54</v>
      </c>
      <c r="M1114" s="4" cm="1">
        <f t="array" ref="M1114">IFERROR(LOOKUP(2,1/(Table1[[#This Row],[2019-May]:[2025-July]]&lt;&gt;0),Table1[[#This Row],[2019-May]:[2025-July]]),0)</f>
        <v>13.54</v>
      </c>
      <c r="N1114" s="4">
        <f>COUNTIF(Table1[[#This Row],[2019-Apr]:[2025-July]],"&gt;="&amp;Table1[[#This Row],[Target]])</f>
        <v>1</v>
      </c>
      <c r="O1114" s="4">
        <f>IF(Table1[[#This Row],[Outliers 2Y]]=0,1,0)</f>
        <v>0</v>
      </c>
      <c r="P1114" s="4">
        <f>IF(Table1[[#This Row],[Last value]]&gt;1.5*Table1[[#This Row],[Target]],1,0)</f>
        <v>0</v>
      </c>
      <c r="Q1114" s="4">
        <f>IF(AND(1.5*Table1[[#This Row],[Target]]&gt;=Table1[[#This Row],[Last value]],Table1[[#This Row],[Last value]]&gt;Table1[[#This Row],[Target]]),1,0)</f>
        <v>0</v>
      </c>
      <c r="R1114" s="4">
        <f>IF(Table1[[#This Row],[Target]]&gt;=Table1[[#This Row],[Last value]],1,0)</f>
        <v>1</v>
      </c>
      <c r="S1114" s="4" t="str">
        <f t="shared" si="29"/>
        <v>Green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13.54</v>
      </c>
      <c r="CJ1114" s="34">
        <v>0</v>
      </c>
      <c r="CK1114" s="34">
        <v>0</v>
      </c>
      <c r="CL1114" s="34">
        <v>0</v>
      </c>
      <c r="CM1114" s="4">
        <v>0</v>
      </c>
      <c r="CN1114" s="53">
        <v>0</v>
      </c>
      <c r="CO1114" s="54">
        <v>0</v>
      </c>
      <c r="CP1114" s="54">
        <v>0</v>
      </c>
      <c r="CQ1114" s="4">
        <v>0</v>
      </c>
    </row>
    <row r="1115" spans="1:95" x14ac:dyDescent="0.35">
      <c r="A1115" s="55">
        <v>1114</v>
      </c>
      <c r="B1115" t="s">
        <v>122</v>
      </c>
      <c r="C1115" s="29" t="s">
        <v>1188</v>
      </c>
      <c r="D1115" s="3" t="s">
        <v>94</v>
      </c>
      <c r="E1115" s="29" t="s">
        <v>91</v>
      </c>
      <c r="F1115" s="4">
        <f>IFERROR(AVERAGEIF(Table1[[#This Row],[2019-Apr]:[2025-July]],"&lt;&gt;0"),0)</f>
        <v>0</v>
      </c>
      <c r="G1115" s="4">
        <f ca="1">IFERROR(AVERAGEIF(OFFSET(Table1[[#This Row],[Status]],0,COUNT(Table1[[#This Row],[2019-May]:[2025-July]]),1,-12),"&lt;&gt;0"),0)</f>
        <v>0</v>
      </c>
      <c r="H1115" s="55">
        <f>IFERROR(SMALL(Table1[[#This Row],[2019-Apr]:[2025-July]],COUNTIF(Table1[[#This Row],[2019-Apr]:[2025-July]],0)+1),0)</f>
        <v>0</v>
      </c>
      <c r="I1115" s="56">
        <f>IFERROR(MAX(Table1[[#This Row],[2019-Apr]:[2025-July]]),0)</f>
        <v>0</v>
      </c>
      <c r="J1115" s="4" cm="1">
        <f t="array" ref="J111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115" s="4">
        <v>4.5</v>
      </c>
      <c r="L1115" s="4">
        <f>IF(Table1[[#This Row],[Standard as per ISO]]&gt;=Table1[[#This Row],[Avg of best 6]],Table1[[#This Row],[Standard as per ISO]],Table1[[#This Row],[Avg of best 6]])</f>
        <v>4.5</v>
      </c>
      <c r="M1115" s="4" cm="1">
        <f t="array" ref="M1115">IFERROR(LOOKUP(2,1/(Table1[[#This Row],[2019-May]:[2025-July]]&lt;&gt;0),Table1[[#This Row],[2019-May]:[2025-July]]),0)</f>
        <v>0</v>
      </c>
      <c r="N1115" s="4">
        <f>COUNTIF(Table1[[#This Row],[2019-Apr]:[2025-July]],"&gt;="&amp;Table1[[#This Row],[Target]])</f>
        <v>0</v>
      </c>
      <c r="O1115" s="4">
        <f>IF(Table1[[#This Row],[Outliers 2Y]]=0,1,0)</f>
        <v>1</v>
      </c>
      <c r="P1115" s="4">
        <f>IF(Table1[[#This Row],[Last value]]&gt;1.5*Table1[[#This Row],[Target]],1,0)</f>
        <v>0</v>
      </c>
      <c r="Q1115" s="4">
        <f>IF(AND(1.5*Table1[[#This Row],[Target]]&gt;=Table1[[#This Row],[Last value]],Table1[[#This Row],[Last value]]&gt;Table1[[#This Row],[Target]]),1,0)</f>
        <v>0</v>
      </c>
      <c r="R1115" s="4">
        <f>IF(Table1[[#This Row],[Target]]&gt;=Table1[[#This Row],[Last value]],1,0)</f>
        <v>1</v>
      </c>
      <c r="S1115" s="4" t="str">
        <f t="shared" si="29"/>
        <v>Green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34">
        <v>0</v>
      </c>
      <c r="CK1115" s="34">
        <v>0</v>
      </c>
      <c r="CL1115" s="34">
        <v>0</v>
      </c>
      <c r="CM1115" s="4">
        <v>0</v>
      </c>
      <c r="CN1115" s="53">
        <v>0</v>
      </c>
      <c r="CO1115" s="54">
        <v>0</v>
      </c>
      <c r="CP1115" s="54">
        <v>0</v>
      </c>
      <c r="CQ1115" s="4">
        <v>0</v>
      </c>
    </row>
    <row r="1116" spans="1:95" x14ac:dyDescent="0.35">
      <c r="A1116" s="55">
        <v>1115</v>
      </c>
      <c r="B1116" t="s">
        <v>122</v>
      </c>
      <c r="C1116" s="29" t="s">
        <v>1189</v>
      </c>
      <c r="D1116" s="3" t="s">
        <v>94</v>
      </c>
      <c r="E1116" s="29" t="s">
        <v>91</v>
      </c>
      <c r="F1116" s="4">
        <f>IFERROR(AVERAGEIF(Table1[[#This Row],[2019-Apr]:[2025-July]],"&lt;&gt;0"),0)</f>
        <v>14.58</v>
      </c>
      <c r="G1116" s="4">
        <f ca="1">IFERROR(AVERAGEIF(OFFSET(Table1[[#This Row],[Status]],0,COUNT(Table1[[#This Row],[2019-May]:[2025-July]]),1,-12),"&lt;&gt;0"),0)</f>
        <v>14.58</v>
      </c>
      <c r="H1116" s="55">
        <f>IFERROR(SMALL(Table1[[#This Row],[2019-Apr]:[2025-July]],COUNTIF(Table1[[#This Row],[2019-Apr]:[2025-July]],0)+1),0)</f>
        <v>14.58</v>
      </c>
      <c r="I1116" s="56">
        <f>IFERROR(MAX(Table1[[#This Row],[2019-Apr]:[2025-July]]),0)</f>
        <v>14.58</v>
      </c>
      <c r="J1116" s="4" cm="1">
        <f t="array" ref="J111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14.58</v>
      </c>
      <c r="K1116" s="4">
        <v>4.5</v>
      </c>
      <c r="L1116" s="4">
        <f>IF(Table1[[#This Row],[Standard as per ISO]]&gt;=Table1[[#This Row],[Avg of best 6]],Table1[[#This Row],[Standard as per ISO]],Table1[[#This Row],[Avg of best 6]])</f>
        <v>14.58</v>
      </c>
      <c r="M1116" s="4" cm="1">
        <f t="array" ref="M1116">IFERROR(LOOKUP(2,1/(Table1[[#This Row],[2019-May]:[2025-July]]&lt;&gt;0),Table1[[#This Row],[2019-May]:[2025-July]]),0)</f>
        <v>14.58</v>
      </c>
      <c r="N1116" s="4">
        <f>COUNTIF(Table1[[#This Row],[2019-Apr]:[2025-July]],"&gt;="&amp;Table1[[#This Row],[Target]])</f>
        <v>1</v>
      </c>
      <c r="O1116" s="4">
        <f>IF(Table1[[#This Row],[Outliers 2Y]]=0,1,0)</f>
        <v>0</v>
      </c>
      <c r="P1116" s="4">
        <f>IF(Table1[[#This Row],[Last value]]&gt;1.5*Table1[[#This Row],[Target]],1,0)</f>
        <v>0</v>
      </c>
      <c r="Q1116" s="4">
        <f>IF(AND(1.5*Table1[[#This Row],[Target]]&gt;=Table1[[#This Row],[Last value]],Table1[[#This Row],[Last value]]&gt;Table1[[#This Row],[Target]]),1,0)</f>
        <v>0</v>
      </c>
      <c r="R1116" s="4">
        <f>IF(Table1[[#This Row],[Target]]&gt;=Table1[[#This Row],[Last value]],1,0)</f>
        <v>1</v>
      </c>
      <c r="S1116" s="4" t="str">
        <f t="shared" si="29"/>
        <v>Green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14.58</v>
      </c>
      <c r="CJ1116" s="34">
        <v>0</v>
      </c>
      <c r="CK1116" s="34">
        <v>0</v>
      </c>
      <c r="CL1116" s="34">
        <v>0</v>
      </c>
      <c r="CM1116" s="4">
        <v>0</v>
      </c>
      <c r="CN1116" s="53">
        <v>0</v>
      </c>
      <c r="CO1116" s="54">
        <v>0</v>
      </c>
      <c r="CP1116" s="54">
        <v>0</v>
      </c>
      <c r="CQ1116" s="4">
        <v>0</v>
      </c>
    </row>
    <row r="1117" spans="1:95" x14ac:dyDescent="0.35">
      <c r="A1117" s="55">
        <v>1116</v>
      </c>
      <c r="B1117" t="s">
        <v>122</v>
      </c>
      <c r="C1117" s="29" t="s">
        <v>1190</v>
      </c>
      <c r="D1117" s="3" t="s">
        <v>121</v>
      </c>
      <c r="E1117" s="29" t="s">
        <v>89</v>
      </c>
      <c r="F1117" s="4">
        <f>IFERROR(AVERAGEIF(Table1[[#This Row],[2019-Apr]:[2025-July]],"&lt;&gt;0"),0)</f>
        <v>0.69000000000000017</v>
      </c>
      <c r="G1117" s="4">
        <f ca="1">IFERROR(AVERAGEIF(OFFSET(Table1[[#This Row],[Status]],0,COUNT(Table1[[#This Row],[2019-May]:[2025-July]]),1,-12),"&lt;&gt;0"),0)</f>
        <v>0.68833333333333346</v>
      </c>
      <c r="H1117" s="55">
        <f>IFERROR(SMALL(Table1[[#This Row],[2019-Apr]:[2025-July]],COUNTIF(Table1[[#This Row],[2019-Apr]:[2025-July]],0)+1),0)</f>
        <v>0.6</v>
      </c>
      <c r="I1117" s="56">
        <f>IFERROR(MAX(Table1[[#This Row],[2019-Apr]:[2025-July]]),0)</f>
        <v>0.8</v>
      </c>
      <c r="J1117" s="4" cm="1">
        <f t="array" ref="J111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0.67166666666666675</v>
      </c>
      <c r="K1117" s="4">
        <v>4.5</v>
      </c>
      <c r="L1117" s="4">
        <f>IF(Table1[[#This Row],[Standard as per ISO]]&gt;=Table1[[#This Row],[Avg of best 6]],Table1[[#This Row],[Standard as per ISO]],Table1[[#This Row],[Avg of best 6]])</f>
        <v>4.5</v>
      </c>
      <c r="M1117" s="4" cm="1">
        <f t="array" ref="M1117">IFERROR(LOOKUP(2,1/(Table1[[#This Row],[2019-May]:[2025-July]]&lt;&gt;0),Table1[[#This Row],[2019-May]:[2025-July]]),0)</f>
        <v>0.7</v>
      </c>
      <c r="N1117" s="4">
        <f>COUNTIF(Table1[[#This Row],[2019-Apr]:[2025-July]],"&gt;="&amp;Table1[[#This Row],[Target]])</f>
        <v>0</v>
      </c>
      <c r="O1117" s="4">
        <f>IF(Table1[[#This Row],[Outliers 2Y]]=0,1,0)</f>
        <v>1</v>
      </c>
      <c r="P1117" s="4">
        <f>IF(Table1[[#This Row],[Last value]]&gt;1.5*Table1[[#This Row],[Target]],1,0)</f>
        <v>0</v>
      </c>
      <c r="Q1117" s="4">
        <f>IF(AND(1.5*Table1[[#This Row],[Target]]&gt;=Table1[[#This Row],[Last value]],Table1[[#This Row],[Last value]]&gt;Table1[[#This Row],[Target]]),1,0)</f>
        <v>0</v>
      </c>
      <c r="R1117" s="4">
        <f>IF(Table1[[#This Row],[Target]]&gt;=Table1[[#This Row],[Last value]],1,0)</f>
        <v>1</v>
      </c>
      <c r="S1117" s="4" t="str">
        <f t="shared" si="29"/>
        <v>Green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0.63</v>
      </c>
      <c r="CJ1117" s="34">
        <v>0.7</v>
      </c>
      <c r="CK1117" s="34">
        <v>0</v>
      </c>
      <c r="CL1117" s="43">
        <v>0.7</v>
      </c>
      <c r="CM1117" s="4">
        <v>0.7</v>
      </c>
      <c r="CN1117" s="53">
        <v>0</v>
      </c>
      <c r="CO1117" s="54">
        <v>0.6</v>
      </c>
      <c r="CP1117" s="54">
        <v>0.8</v>
      </c>
      <c r="CQ1117" s="4">
        <v>0.7</v>
      </c>
    </row>
    <row r="1118" spans="1:95" x14ac:dyDescent="0.35">
      <c r="A1118" s="55">
        <v>1117</v>
      </c>
      <c r="B1118" t="s">
        <v>122</v>
      </c>
      <c r="C1118" s="29" t="s">
        <v>1191</v>
      </c>
      <c r="D1118" s="3" t="s">
        <v>121</v>
      </c>
      <c r="E1118" s="29" t="s">
        <v>89</v>
      </c>
      <c r="F1118" s="4">
        <f>IFERROR(AVERAGEIF(Table1[[#This Row],[2019-Apr]:[2025-July]],"&lt;&gt;0"),0)</f>
        <v>1.3649999999999998</v>
      </c>
      <c r="G1118" s="4">
        <f ca="1">IFERROR(AVERAGEIF(OFFSET(Table1[[#This Row],[Status]],0,COUNT(Table1[[#This Row],[2019-May]:[2025-July]]),1,-12),"&lt;&gt;0"),0)</f>
        <v>1.4599999999999997</v>
      </c>
      <c r="H1118" s="55">
        <f>IFERROR(SMALL(Table1[[#This Row],[2019-Apr]:[2025-July]],COUNTIF(Table1[[#This Row],[2019-Apr]:[2025-July]],0)+1),0)</f>
        <v>0.7</v>
      </c>
      <c r="I1118" s="56">
        <f>IFERROR(MAX(Table1[[#This Row],[2019-Apr]:[2025-July]]),0)</f>
        <v>2.52</v>
      </c>
      <c r="J1118" s="4" cm="1">
        <f t="array" ref="J111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0.98333333333333339</v>
      </c>
      <c r="K1118" s="4">
        <v>4.5</v>
      </c>
      <c r="L1118" s="4">
        <f>IF(Table1[[#This Row],[Standard as per ISO]]&gt;=Table1[[#This Row],[Avg of best 6]],Table1[[#This Row],[Standard as per ISO]],Table1[[#This Row],[Avg of best 6]])</f>
        <v>4.5</v>
      </c>
      <c r="M1118" s="4" cm="1">
        <f t="array" ref="M1118">IFERROR(LOOKUP(2,1/(Table1[[#This Row],[2019-May]:[2025-July]]&lt;&gt;0),Table1[[#This Row],[2019-May]:[2025-July]]),0)</f>
        <v>0.7</v>
      </c>
      <c r="N1118" s="4">
        <f>COUNTIF(Table1[[#This Row],[2019-Apr]:[2025-July]],"&gt;="&amp;Table1[[#This Row],[Target]])</f>
        <v>0</v>
      </c>
      <c r="O1118" s="4">
        <f>IF(Table1[[#This Row],[Outliers 2Y]]=0,1,0)</f>
        <v>1</v>
      </c>
      <c r="P1118" s="4">
        <f>IF(Table1[[#This Row],[Last value]]&gt;1.5*Table1[[#This Row],[Target]],1,0)</f>
        <v>0</v>
      </c>
      <c r="Q1118" s="4">
        <f>IF(AND(1.5*Table1[[#This Row],[Target]]&gt;=Table1[[#This Row],[Last value]],Table1[[#This Row],[Last value]]&gt;Table1[[#This Row],[Target]]),1,0)</f>
        <v>0</v>
      </c>
      <c r="R1118" s="4">
        <f>IF(Table1[[#This Row],[Target]]&gt;=Table1[[#This Row],[Last value]],1,0)</f>
        <v>1</v>
      </c>
      <c r="S1118" s="4" t="str">
        <f t="shared" si="29"/>
        <v>Green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2.52</v>
      </c>
      <c r="CJ1118" s="34">
        <v>2.5</v>
      </c>
      <c r="CK1118" s="34">
        <v>0</v>
      </c>
      <c r="CL1118" s="43">
        <v>0.8</v>
      </c>
      <c r="CM1118" s="4">
        <v>1.6</v>
      </c>
      <c r="CN1118" s="53">
        <v>0.7</v>
      </c>
      <c r="CO1118" s="54">
        <v>1.2</v>
      </c>
      <c r="CP1118" s="54">
        <v>0.9</v>
      </c>
      <c r="CQ1118" s="4">
        <v>0.7</v>
      </c>
    </row>
    <row r="1119" spans="1:95" x14ac:dyDescent="0.35">
      <c r="A1119" s="55">
        <v>1118</v>
      </c>
      <c r="B1119" t="s">
        <v>122</v>
      </c>
      <c r="C1119" s="29" t="s">
        <v>1192</v>
      </c>
      <c r="D1119" s="3" t="s">
        <v>121</v>
      </c>
      <c r="E1119" s="29" t="s">
        <v>89</v>
      </c>
      <c r="F1119" s="4">
        <f>IFERROR(AVERAGEIF(Table1[[#This Row],[2019-Apr]:[2025-July]],"&lt;&gt;0"),0)</f>
        <v>1.1387499999999999</v>
      </c>
      <c r="G1119" s="4">
        <f ca="1">IFERROR(AVERAGEIF(OFFSET(Table1[[#This Row],[Status]],0,COUNT(Table1[[#This Row],[2019-May]:[2025-July]]),1,-12),"&lt;&gt;0"),0)</f>
        <v>1.1728571428571428</v>
      </c>
      <c r="H1119" s="55">
        <f>IFERROR(SMALL(Table1[[#This Row],[2019-Apr]:[2025-July]],COUNTIF(Table1[[#This Row],[2019-Apr]:[2025-July]],0)+1),0)</f>
        <v>0.7</v>
      </c>
      <c r="I1119" s="56">
        <f>IFERROR(MAX(Table1[[#This Row],[2019-Apr]:[2025-July]]),0)</f>
        <v>1.8</v>
      </c>
      <c r="J1119" s="4" cm="1">
        <f t="array" ref="J111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1.0016666666666667</v>
      </c>
      <c r="K1119" s="4">
        <v>4.5</v>
      </c>
      <c r="L1119" s="4">
        <f>IF(Table1[[#This Row],[Standard as per ISO]]&gt;=Table1[[#This Row],[Avg of best 6]],Table1[[#This Row],[Standard as per ISO]],Table1[[#This Row],[Avg of best 6]])</f>
        <v>4.5</v>
      </c>
      <c r="M1119" s="4" cm="1">
        <f t="array" ref="M1119">IFERROR(LOOKUP(2,1/(Table1[[#This Row],[2019-May]:[2025-July]]&lt;&gt;0),Table1[[#This Row],[2019-May]:[2025-July]]),0)</f>
        <v>0.9</v>
      </c>
      <c r="N1119" s="4">
        <f>COUNTIF(Table1[[#This Row],[2019-Apr]:[2025-July]],"&gt;="&amp;Table1[[#This Row],[Target]])</f>
        <v>0</v>
      </c>
      <c r="O1119" s="4">
        <f>IF(Table1[[#This Row],[Outliers 2Y]]=0,1,0)</f>
        <v>1</v>
      </c>
      <c r="P1119" s="4">
        <f>IF(Table1[[#This Row],[Last value]]&gt;1.5*Table1[[#This Row],[Target]],1,0)</f>
        <v>0</v>
      </c>
      <c r="Q1119" s="4">
        <f>IF(AND(1.5*Table1[[#This Row],[Target]]&gt;=Table1[[#This Row],[Last value]],Table1[[#This Row],[Last value]]&gt;Table1[[#This Row],[Target]]),1,0)</f>
        <v>0</v>
      </c>
      <c r="R1119" s="4">
        <f>IF(Table1[[#This Row],[Target]]&gt;=Table1[[#This Row],[Last value]],1,0)</f>
        <v>1</v>
      </c>
      <c r="S1119" s="4" t="str">
        <f t="shared" si="29"/>
        <v>Green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1.21</v>
      </c>
      <c r="CJ1119" s="34">
        <v>0.8</v>
      </c>
      <c r="CK1119" s="34">
        <v>0</v>
      </c>
      <c r="CL1119" s="43">
        <v>1.8</v>
      </c>
      <c r="CM1119" s="4">
        <v>1.2</v>
      </c>
      <c r="CN1119" s="53">
        <v>1.3</v>
      </c>
      <c r="CO1119" s="54">
        <v>0.7</v>
      </c>
      <c r="CP1119" s="54">
        <v>1.2</v>
      </c>
      <c r="CQ1119" s="4">
        <v>0.9</v>
      </c>
    </row>
    <row r="1120" spans="1:95" x14ac:dyDescent="0.35">
      <c r="A1120" s="55">
        <v>1119</v>
      </c>
      <c r="B1120" t="s">
        <v>122</v>
      </c>
      <c r="C1120" s="27" t="s">
        <v>1193</v>
      </c>
      <c r="D1120" s="3" t="s">
        <v>93</v>
      </c>
      <c r="E1120" s="27" t="s">
        <v>91</v>
      </c>
      <c r="F1120" s="4">
        <f>IFERROR(AVERAGEIF(Table1[[#This Row],[2019-Apr]:[2025-July]],"&lt;&gt;0"),0)</f>
        <v>3.9333333333333336</v>
      </c>
      <c r="G1120" s="4">
        <f ca="1">IFERROR(AVERAGEIF(OFFSET(Table1[[#This Row],[Status]],0,COUNT(Table1[[#This Row],[2019-May]:[2025-July]]),1,-12),"&lt;&gt;0"),0)</f>
        <v>3.9333333333333336</v>
      </c>
      <c r="H1120" s="55">
        <f>IFERROR(SMALL(Table1[[#This Row],[2019-Apr]:[2025-July]],COUNTIF(Table1[[#This Row],[2019-Apr]:[2025-July]],0)+1),0)</f>
        <v>2.4</v>
      </c>
      <c r="I1120" s="56">
        <f>IFERROR(MAX(Table1[[#This Row],[2019-Apr]:[2025-July]]),0)</f>
        <v>4.7300000000000004</v>
      </c>
      <c r="J1120" s="4" cm="1">
        <f t="array" ref="J112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3.9333333333333336</v>
      </c>
      <c r="K1120" s="4">
        <v>4.5</v>
      </c>
      <c r="L1120" s="4">
        <f>IF(Table1[[#This Row],[Standard as per ISO]]&gt;=Table1[[#This Row],[Avg of best 6]],Table1[[#This Row],[Standard as per ISO]],Table1[[#This Row],[Avg of best 6]])</f>
        <v>4.5</v>
      </c>
      <c r="M1120" s="4" cm="1">
        <f t="array" ref="M1120">IFERROR(LOOKUP(2,1/(Table1[[#This Row],[2019-May]:[2025-July]]&lt;&gt;0),Table1[[#This Row],[2019-May]:[2025-July]]),0)</f>
        <v>2.4</v>
      </c>
      <c r="N1120" s="4">
        <f>COUNTIF(Table1[[#This Row],[2019-Apr]:[2025-July]],"&gt;="&amp;Table1[[#This Row],[Target]])</f>
        <v>2</v>
      </c>
      <c r="O1120" s="4">
        <f>IF(Table1[[#This Row],[Outliers 2Y]]=0,1,0)</f>
        <v>0</v>
      </c>
      <c r="P1120" s="4">
        <f>IF(Table1[[#This Row],[Last value]]&gt;1.5*Table1[[#This Row],[Target]],1,0)</f>
        <v>0</v>
      </c>
      <c r="Q1120" s="4">
        <f>IF(AND(1.5*Table1[[#This Row],[Target]]&gt;=Table1[[#This Row],[Last value]],Table1[[#This Row],[Last value]]&gt;Table1[[#This Row],[Target]]),1,0)</f>
        <v>0</v>
      </c>
      <c r="R1120" s="4">
        <f>IF(Table1[[#This Row],[Target]]&gt;=Table1[[#This Row],[Last value]],1,0)</f>
        <v>1</v>
      </c>
      <c r="S1120" s="4" t="str">
        <f t="shared" si="29"/>
        <v>Green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4.7300000000000004</v>
      </c>
      <c r="CI1120" s="4">
        <v>4.67</v>
      </c>
      <c r="CJ1120" s="37">
        <v>2.4</v>
      </c>
      <c r="CK1120" s="34">
        <v>0</v>
      </c>
      <c r="CL1120" s="34">
        <v>0</v>
      </c>
      <c r="CM1120" s="4">
        <v>0</v>
      </c>
      <c r="CN1120" s="53">
        <v>0</v>
      </c>
      <c r="CO1120" s="54">
        <v>0</v>
      </c>
      <c r="CP1120" s="54">
        <v>0</v>
      </c>
      <c r="CQ1120" s="4">
        <v>0</v>
      </c>
    </row>
    <row r="1121" spans="1:95" x14ac:dyDescent="0.35">
      <c r="A1121" s="55">
        <v>1120</v>
      </c>
      <c r="B1121" t="s">
        <v>122</v>
      </c>
      <c r="C1121" s="27" t="s">
        <v>1194</v>
      </c>
      <c r="D1121" s="3" t="s">
        <v>93</v>
      </c>
      <c r="E1121" s="27" t="s">
        <v>91</v>
      </c>
      <c r="F1121" s="4">
        <f>IFERROR(AVERAGEIF(Table1[[#This Row],[2019-Apr]:[2025-July]],"&lt;&gt;0"),0)</f>
        <v>0</v>
      </c>
      <c r="G1121" s="4">
        <f ca="1">IFERROR(AVERAGEIF(OFFSET(Table1[[#This Row],[Status]],0,COUNT(Table1[[#This Row],[2019-May]:[2025-July]]),1,-12),"&lt;&gt;0"),0)</f>
        <v>0</v>
      </c>
      <c r="H1121" s="55">
        <f>IFERROR(SMALL(Table1[[#This Row],[2019-Apr]:[2025-July]],COUNTIF(Table1[[#This Row],[2019-Apr]:[2025-July]],0)+1),0)</f>
        <v>0</v>
      </c>
      <c r="I1121" s="56">
        <f>IFERROR(MAX(Table1[[#This Row],[2019-Apr]:[2025-July]]),0)</f>
        <v>0</v>
      </c>
      <c r="J1121" s="4" cm="1">
        <f t="array" ref="J112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121" s="4">
        <v>4.5</v>
      </c>
      <c r="L1121" s="4">
        <f>IF(Table1[[#This Row],[Standard as per ISO]]&gt;=Table1[[#This Row],[Avg of best 6]],Table1[[#This Row],[Standard as per ISO]],Table1[[#This Row],[Avg of best 6]])</f>
        <v>4.5</v>
      </c>
      <c r="M1121" s="4" cm="1">
        <f t="array" ref="M1121">IFERROR(LOOKUP(2,1/(Table1[[#This Row],[2019-May]:[2025-July]]&lt;&gt;0),Table1[[#This Row],[2019-May]:[2025-July]]),0)</f>
        <v>0</v>
      </c>
      <c r="N1121" s="4">
        <f>COUNTIF(Table1[[#This Row],[2019-Apr]:[2025-July]],"&gt;="&amp;Table1[[#This Row],[Target]])</f>
        <v>0</v>
      </c>
      <c r="O1121" s="4">
        <f>IF(Table1[[#This Row],[Outliers 2Y]]=0,1,0)</f>
        <v>1</v>
      </c>
      <c r="P1121" s="4">
        <f>IF(Table1[[#This Row],[Last value]]&gt;1.5*Table1[[#This Row],[Target]],1,0)</f>
        <v>0</v>
      </c>
      <c r="Q1121" s="4">
        <f>IF(AND(1.5*Table1[[#This Row],[Target]]&gt;=Table1[[#This Row],[Last value]],Table1[[#This Row],[Last value]]&gt;Table1[[#This Row],[Target]]),1,0)</f>
        <v>0</v>
      </c>
      <c r="R1121" s="4">
        <f>IF(Table1[[#This Row],[Target]]&gt;=Table1[[#This Row],[Last value]],1,0)</f>
        <v>1</v>
      </c>
      <c r="S1121" s="4" t="str">
        <f t="shared" si="29"/>
        <v>Green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34">
        <v>0</v>
      </c>
      <c r="CK1121" s="34">
        <v>0</v>
      </c>
      <c r="CL1121" s="34">
        <v>0</v>
      </c>
      <c r="CM1121" s="4">
        <v>0</v>
      </c>
      <c r="CN1121" s="53">
        <v>0</v>
      </c>
      <c r="CO1121" s="54">
        <v>0</v>
      </c>
      <c r="CP1121" s="54">
        <v>0</v>
      </c>
      <c r="CQ1121" s="4">
        <v>0</v>
      </c>
    </row>
    <row r="1122" spans="1:95" x14ac:dyDescent="0.35">
      <c r="A1122" s="55">
        <v>1121</v>
      </c>
      <c r="B1122" t="s">
        <v>122</v>
      </c>
      <c r="C1122" s="27" t="s">
        <v>1195</v>
      </c>
      <c r="D1122" s="3" t="s">
        <v>93</v>
      </c>
      <c r="E1122" s="27" t="s">
        <v>91</v>
      </c>
      <c r="F1122" s="4">
        <f>IFERROR(AVERAGEIF(Table1[[#This Row],[2019-Apr]:[2025-July]],"&lt;&gt;0"),0)</f>
        <v>0</v>
      </c>
      <c r="G1122" s="4">
        <f ca="1">IFERROR(AVERAGEIF(OFFSET(Table1[[#This Row],[Status]],0,COUNT(Table1[[#This Row],[2019-May]:[2025-July]]),1,-12),"&lt;&gt;0"),0)</f>
        <v>0</v>
      </c>
      <c r="H1122" s="55">
        <f>IFERROR(SMALL(Table1[[#This Row],[2019-Apr]:[2025-July]],COUNTIF(Table1[[#This Row],[2019-Apr]:[2025-July]],0)+1),0)</f>
        <v>0</v>
      </c>
      <c r="I1122" s="56">
        <f>IFERROR(MAX(Table1[[#This Row],[2019-Apr]:[2025-July]]),0)</f>
        <v>0</v>
      </c>
      <c r="J1122" s="4" cm="1">
        <f t="array" ref="J112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122" s="4">
        <v>4.5</v>
      </c>
      <c r="L1122" s="4">
        <f>IF(Table1[[#This Row],[Standard as per ISO]]&gt;=Table1[[#This Row],[Avg of best 6]],Table1[[#This Row],[Standard as per ISO]],Table1[[#This Row],[Avg of best 6]])</f>
        <v>4.5</v>
      </c>
      <c r="M1122" s="4" cm="1">
        <f t="array" ref="M1122">IFERROR(LOOKUP(2,1/(Table1[[#This Row],[2019-May]:[2025-July]]&lt;&gt;0),Table1[[#This Row],[2019-May]:[2025-July]]),0)</f>
        <v>0</v>
      </c>
      <c r="N1122" s="4">
        <f>COUNTIF(Table1[[#This Row],[2019-Apr]:[2025-July]],"&gt;="&amp;Table1[[#This Row],[Target]])</f>
        <v>0</v>
      </c>
      <c r="O1122" s="4">
        <f>IF(Table1[[#This Row],[Outliers 2Y]]=0,1,0)</f>
        <v>1</v>
      </c>
      <c r="P1122" s="4">
        <f>IF(Table1[[#This Row],[Last value]]&gt;1.5*Table1[[#This Row],[Target]],1,0)</f>
        <v>0</v>
      </c>
      <c r="Q1122" s="4">
        <f>IF(AND(1.5*Table1[[#This Row],[Target]]&gt;=Table1[[#This Row],[Last value]],Table1[[#This Row],[Last value]]&gt;Table1[[#This Row],[Target]]),1,0)</f>
        <v>0</v>
      </c>
      <c r="R1122" s="4">
        <f>IF(Table1[[#This Row],[Target]]&gt;=Table1[[#This Row],[Last value]],1,0)</f>
        <v>1</v>
      </c>
      <c r="S1122" s="4" t="str">
        <f t="shared" si="29"/>
        <v>Green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34">
        <v>0</v>
      </c>
      <c r="CK1122" s="34">
        <v>0</v>
      </c>
      <c r="CL1122" s="34">
        <v>0</v>
      </c>
      <c r="CM1122" s="4">
        <v>0</v>
      </c>
      <c r="CN1122" s="53">
        <v>0</v>
      </c>
      <c r="CO1122" s="54">
        <v>0</v>
      </c>
      <c r="CP1122" s="54">
        <v>0</v>
      </c>
      <c r="CQ1122" s="4">
        <v>0</v>
      </c>
    </row>
    <row r="1123" spans="1:95" x14ac:dyDescent="0.35">
      <c r="A1123" s="55">
        <v>1122</v>
      </c>
      <c r="B1123" t="s">
        <v>122</v>
      </c>
      <c r="C1123" s="27" t="s">
        <v>1196</v>
      </c>
      <c r="D1123" s="3" t="s">
        <v>93</v>
      </c>
      <c r="E1123" s="27" t="s">
        <v>91</v>
      </c>
      <c r="F1123" s="4">
        <f>IFERROR(AVERAGEIF(Table1[[#This Row],[2019-Apr]:[2025-July]],"&lt;&gt;0"),0)</f>
        <v>2.7999999999999994</v>
      </c>
      <c r="G1123" s="4">
        <f ca="1">IFERROR(AVERAGEIF(OFFSET(Table1[[#This Row],[Status]],0,COUNT(Table1[[#This Row],[2019-May]:[2025-July]]),1,-12),"&lt;&gt;0"),0)</f>
        <v>2.7999999999999994</v>
      </c>
      <c r="H1123" s="55">
        <f>IFERROR(SMALL(Table1[[#This Row],[2019-Apr]:[2025-July]],COUNTIF(Table1[[#This Row],[2019-Apr]:[2025-July]],0)+1),0)</f>
        <v>1.08</v>
      </c>
      <c r="I1123" s="56">
        <f>IFERROR(MAX(Table1[[#This Row],[2019-Apr]:[2025-July]]),0)</f>
        <v>6.1</v>
      </c>
      <c r="J1123" s="4" cm="1">
        <f t="array" ref="J112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2.7999999999999994</v>
      </c>
      <c r="K1123" s="4">
        <v>4.5</v>
      </c>
      <c r="L1123" s="4">
        <f>IF(Table1[[#This Row],[Standard as per ISO]]&gt;=Table1[[#This Row],[Avg of best 6]],Table1[[#This Row],[Standard as per ISO]],Table1[[#This Row],[Avg of best 6]])</f>
        <v>4.5</v>
      </c>
      <c r="M1123" s="4" cm="1">
        <f t="array" ref="M1123">IFERROR(LOOKUP(2,1/(Table1[[#This Row],[2019-May]:[2025-July]]&lt;&gt;0),Table1[[#This Row],[2019-May]:[2025-July]]),0)</f>
        <v>6.1</v>
      </c>
      <c r="N1123" s="4">
        <f>COUNTIF(Table1[[#This Row],[2019-Apr]:[2025-July]],"&gt;="&amp;Table1[[#This Row],[Target]])</f>
        <v>1</v>
      </c>
      <c r="O1123" s="4">
        <f>IF(Table1[[#This Row],[Outliers 2Y]]=0,1,0)</f>
        <v>0</v>
      </c>
      <c r="P1123" s="4">
        <f>IF(Table1[[#This Row],[Last value]]&gt;1.5*Table1[[#This Row],[Target]],1,0)</f>
        <v>0</v>
      </c>
      <c r="Q1123" s="4">
        <f>IF(AND(1.5*Table1[[#This Row],[Target]]&gt;=Table1[[#This Row],[Last value]],Table1[[#This Row],[Last value]]&gt;Table1[[#This Row],[Target]]),1,0)</f>
        <v>1</v>
      </c>
      <c r="R1123" s="4">
        <f>IF(Table1[[#This Row],[Target]]&gt;=Table1[[#This Row],[Last value]],1,0)</f>
        <v>0</v>
      </c>
      <c r="S1123" s="4" t="str">
        <f t="shared" si="29"/>
        <v>Yellow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1.08</v>
      </c>
      <c r="CI1123" s="4">
        <v>1.22</v>
      </c>
      <c r="CJ1123" s="34">
        <v>6.1</v>
      </c>
      <c r="CK1123" s="34">
        <v>0</v>
      </c>
      <c r="CL1123" s="34">
        <v>0</v>
      </c>
      <c r="CM1123" s="4">
        <v>0</v>
      </c>
      <c r="CN1123" s="53">
        <v>0</v>
      </c>
      <c r="CO1123" s="54">
        <v>0</v>
      </c>
      <c r="CP1123" s="54">
        <v>0</v>
      </c>
      <c r="CQ1123" s="4">
        <v>0</v>
      </c>
    </row>
    <row r="1124" spans="1:95" x14ac:dyDescent="0.35">
      <c r="A1124" s="55">
        <v>1123</v>
      </c>
      <c r="B1124" t="s">
        <v>122</v>
      </c>
      <c r="C1124" s="27" t="s">
        <v>1197</v>
      </c>
      <c r="D1124" s="3" t="s">
        <v>93</v>
      </c>
      <c r="E1124" s="27" t="s">
        <v>89</v>
      </c>
      <c r="F1124" s="4">
        <f>IFERROR(AVERAGEIF(Table1[[#This Row],[2019-Apr]:[2025-July]],"&lt;&gt;0"),0)</f>
        <v>0.48571428571428565</v>
      </c>
      <c r="G1124" s="4">
        <f ca="1">IFERROR(AVERAGEIF(OFFSET(Table1[[#This Row],[Status]],0,COUNT(Table1[[#This Row],[2019-May]:[2025-July]]),1,-12),"&lt;&gt;0"),0)</f>
        <v>0.43333333333333329</v>
      </c>
      <c r="H1124" s="55">
        <f>IFERROR(SMALL(Table1[[#This Row],[2019-Apr]:[2025-July]],COUNTIF(Table1[[#This Row],[2019-Apr]:[2025-July]],0)+1),0)</f>
        <v>0.13</v>
      </c>
      <c r="I1124" s="56">
        <f>IFERROR(MAX(Table1[[#This Row],[2019-Apr]:[2025-July]]),0)</f>
        <v>1</v>
      </c>
      <c r="J1124" s="4" cm="1">
        <f t="array" ref="J112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0.40000000000000008</v>
      </c>
      <c r="K1124" s="4">
        <v>4.5</v>
      </c>
      <c r="L1124" s="4">
        <f>IF(Table1[[#This Row],[Standard as per ISO]]&gt;=Table1[[#This Row],[Avg of best 6]],Table1[[#This Row],[Standard as per ISO]],Table1[[#This Row],[Avg of best 6]])</f>
        <v>4.5</v>
      </c>
      <c r="M1124" s="4" cm="1">
        <f t="array" ref="M1124">IFERROR(LOOKUP(2,1/(Table1[[#This Row],[2019-May]:[2025-July]]&lt;&gt;0),Table1[[#This Row],[2019-May]:[2025-July]]),0)</f>
        <v>0.8</v>
      </c>
      <c r="N1124" s="4">
        <f>COUNTIF(Table1[[#This Row],[2019-Apr]:[2025-July]],"&gt;="&amp;Table1[[#This Row],[Target]])</f>
        <v>0</v>
      </c>
      <c r="O1124" s="4">
        <f>IF(Table1[[#This Row],[Outliers 2Y]]=0,1,0)</f>
        <v>1</v>
      </c>
      <c r="P1124" s="4">
        <f>IF(Table1[[#This Row],[Last value]]&gt;1.5*Table1[[#This Row],[Target]],1,0)</f>
        <v>0</v>
      </c>
      <c r="Q1124" s="4">
        <f>IF(AND(1.5*Table1[[#This Row],[Target]]&gt;=Table1[[#This Row],[Last value]],Table1[[#This Row],[Last value]]&gt;Table1[[#This Row],[Target]]),1,0)</f>
        <v>0</v>
      </c>
      <c r="R1124" s="4">
        <f>IF(Table1[[#This Row],[Target]]&gt;=Table1[[#This Row],[Last value]],1,0)</f>
        <v>1</v>
      </c>
      <c r="S1124" s="4" t="str">
        <f t="shared" si="29"/>
        <v>Green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0.27</v>
      </c>
      <c r="CI1124" s="4">
        <v>0</v>
      </c>
      <c r="CJ1124" s="34">
        <v>0.5</v>
      </c>
      <c r="CK1124" s="34">
        <v>0</v>
      </c>
      <c r="CL1124" s="43">
        <v>0</v>
      </c>
      <c r="CM1124" s="4">
        <v>1</v>
      </c>
      <c r="CN1124" s="53">
        <v>0.2</v>
      </c>
      <c r="CO1124" s="54">
        <v>0.5</v>
      </c>
      <c r="CP1124" s="54">
        <v>0.13</v>
      </c>
      <c r="CQ1124" s="4">
        <v>0.8</v>
      </c>
    </row>
    <row r="1125" spans="1:95" x14ac:dyDescent="0.35">
      <c r="A1125" s="55">
        <v>1124</v>
      </c>
      <c r="B1125" t="s">
        <v>122</v>
      </c>
      <c r="C1125" s="27" t="s">
        <v>1198</v>
      </c>
      <c r="D1125" s="3" t="s">
        <v>93</v>
      </c>
      <c r="E1125" s="27" t="s">
        <v>89</v>
      </c>
      <c r="F1125" s="4">
        <f>IFERROR(AVERAGEIF(Table1[[#This Row],[2019-Apr]:[2025-July]],"&lt;&gt;0"),0)</f>
        <v>0.57555555555555549</v>
      </c>
      <c r="G1125" s="4">
        <f ca="1">IFERROR(AVERAGEIF(OFFSET(Table1[[#This Row],[Status]],0,COUNT(Table1[[#This Row],[2019-May]:[2025-July]]),1,-12),"&lt;&gt;0"),0)</f>
        <v>0.54749999999999999</v>
      </c>
      <c r="H1125" s="55">
        <f>IFERROR(SMALL(Table1[[#This Row],[2019-Apr]:[2025-July]],COUNTIF(Table1[[#This Row],[2019-Apr]:[2025-July]],0)+1),0)</f>
        <v>0.3</v>
      </c>
      <c r="I1125" s="56">
        <f>IFERROR(MAX(Table1[[#This Row],[2019-Apr]:[2025-July]]),0)</f>
        <v>0.8</v>
      </c>
      <c r="J1125" s="4" cm="1">
        <f t="array" ref="J112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0.49666666666666665</v>
      </c>
      <c r="K1125" s="4">
        <v>4.5</v>
      </c>
      <c r="L1125" s="4">
        <f>IF(Table1[[#This Row],[Standard as per ISO]]&gt;=Table1[[#This Row],[Avg of best 6]],Table1[[#This Row],[Standard as per ISO]],Table1[[#This Row],[Avg of best 6]])</f>
        <v>4.5</v>
      </c>
      <c r="M1125" s="4" cm="1">
        <f t="array" ref="M1125">IFERROR(LOOKUP(2,1/(Table1[[#This Row],[2019-May]:[2025-July]]&lt;&gt;0),Table1[[#This Row],[2019-May]:[2025-July]]),0)</f>
        <v>0.8</v>
      </c>
      <c r="N1125" s="4">
        <f>COUNTIF(Table1[[#This Row],[2019-Apr]:[2025-July]],"&gt;="&amp;Table1[[#This Row],[Target]])</f>
        <v>0</v>
      </c>
      <c r="O1125" s="4">
        <f>IF(Table1[[#This Row],[Outliers 2Y]]=0,1,0)</f>
        <v>1</v>
      </c>
      <c r="P1125" s="4">
        <f>IF(Table1[[#This Row],[Last value]]&gt;1.5*Table1[[#This Row],[Target]],1,0)</f>
        <v>0</v>
      </c>
      <c r="Q1125" s="4">
        <f>IF(AND(1.5*Table1[[#This Row],[Target]]&gt;=Table1[[#This Row],[Last value]],Table1[[#This Row],[Last value]]&gt;Table1[[#This Row],[Target]]),1,0)</f>
        <v>0</v>
      </c>
      <c r="R1125" s="4">
        <f>IF(Table1[[#This Row],[Target]]&gt;=Table1[[#This Row],[Last value]],1,0)</f>
        <v>1</v>
      </c>
      <c r="S1125" s="4" t="str">
        <f t="shared" si="29"/>
        <v>Green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0.6</v>
      </c>
      <c r="CI1125" s="4">
        <v>0.38</v>
      </c>
      <c r="CJ1125" s="34">
        <v>0.6</v>
      </c>
      <c r="CK1125" s="34">
        <v>0</v>
      </c>
      <c r="CL1125" s="43">
        <v>0.6</v>
      </c>
      <c r="CM1125" s="4">
        <v>0.7</v>
      </c>
      <c r="CN1125" s="53">
        <v>0.5</v>
      </c>
      <c r="CO1125" s="54">
        <v>0.3</v>
      </c>
      <c r="CP1125" s="54">
        <v>0.7</v>
      </c>
      <c r="CQ1125" s="4">
        <v>0.8</v>
      </c>
    </row>
    <row r="1126" spans="1:95" x14ac:dyDescent="0.35">
      <c r="A1126" s="55">
        <v>1125</v>
      </c>
      <c r="B1126" t="s">
        <v>122</v>
      </c>
      <c r="C1126" s="27" t="s">
        <v>1199</v>
      </c>
      <c r="D1126" s="3" t="s">
        <v>93</v>
      </c>
      <c r="E1126" s="27" t="s">
        <v>89</v>
      </c>
      <c r="F1126" s="4">
        <f>IFERROR(AVERAGEIF(Table1[[#This Row],[2019-Apr]:[2025-July]],"&lt;&gt;0"),0)</f>
        <v>3.5311111111111111</v>
      </c>
      <c r="G1126" s="4">
        <f ca="1">IFERROR(AVERAGEIF(OFFSET(Table1[[#This Row],[Status]],0,COUNT(Table1[[#This Row],[2019-May]:[2025-July]]),1,-12),"&lt;&gt;0"),0)</f>
        <v>3.56</v>
      </c>
      <c r="H1126" s="55">
        <f>IFERROR(SMALL(Table1[[#This Row],[2019-Apr]:[2025-July]],COUNTIF(Table1[[#This Row],[2019-Apr]:[2025-July]],0)+1),0)</f>
        <v>3.2</v>
      </c>
      <c r="I1126" s="56">
        <f>IFERROR(MAX(Table1[[#This Row],[2019-Apr]:[2025-July]]),0)</f>
        <v>4.3</v>
      </c>
      <c r="J1126" s="4" cm="1">
        <f t="array" ref="J112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3.3716666666666666</v>
      </c>
      <c r="K1126" s="4">
        <v>4.5</v>
      </c>
      <c r="L1126" s="4">
        <f>IF(Table1[[#This Row],[Standard as per ISO]]&gt;=Table1[[#This Row],[Avg of best 6]],Table1[[#This Row],[Standard as per ISO]],Table1[[#This Row],[Avg of best 6]])</f>
        <v>4.5</v>
      </c>
      <c r="M1126" s="4" cm="1">
        <f t="array" ref="M1126">IFERROR(LOOKUP(2,1/(Table1[[#This Row],[2019-May]:[2025-July]]&lt;&gt;0),Table1[[#This Row],[2019-May]:[2025-July]]),0)</f>
        <v>3.3</v>
      </c>
      <c r="N1126" s="4">
        <f>COUNTIF(Table1[[#This Row],[2019-Apr]:[2025-July]],"&gt;="&amp;Table1[[#This Row],[Target]])</f>
        <v>0</v>
      </c>
      <c r="O1126" s="4">
        <f>IF(Table1[[#This Row],[Outliers 2Y]]=0,1,0)</f>
        <v>1</v>
      </c>
      <c r="P1126" s="4">
        <f>IF(Table1[[#This Row],[Last value]]&gt;1.5*Table1[[#This Row],[Target]],1,0)</f>
        <v>0</v>
      </c>
      <c r="Q1126" s="4">
        <f>IF(AND(1.5*Table1[[#This Row],[Target]]&gt;=Table1[[#This Row],[Last value]],Table1[[#This Row],[Last value]]&gt;Table1[[#This Row],[Target]]),1,0)</f>
        <v>0</v>
      </c>
      <c r="R1126" s="4">
        <f>IF(Table1[[#This Row],[Target]]&gt;=Table1[[#This Row],[Last value]],1,0)</f>
        <v>1</v>
      </c>
      <c r="S1126" s="4" t="str">
        <f t="shared" si="29"/>
        <v>Green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3.43</v>
      </c>
      <c r="CI1126" s="4">
        <v>3.55</v>
      </c>
      <c r="CJ1126" s="34">
        <v>3.5</v>
      </c>
      <c r="CK1126" s="34">
        <v>0</v>
      </c>
      <c r="CL1126" s="43">
        <v>3.4</v>
      </c>
      <c r="CM1126" s="4">
        <v>3.7</v>
      </c>
      <c r="CN1126" s="53">
        <v>3.2</v>
      </c>
      <c r="CO1126" s="54">
        <v>4.3</v>
      </c>
      <c r="CP1126" s="54">
        <v>3.4</v>
      </c>
      <c r="CQ1126" s="4">
        <v>3.3</v>
      </c>
    </row>
    <row r="1127" spans="1:95" x14ac:dyDescent="0.35">
      <c r="A1127" s="55">
        <v>1126</v>
      </c>
      <c r="B1127" t="s">
        <v>122</v>
      </c>
      <c r="C1127" s="29" t="s">
        <v>1200</v>
      </c>
      <c r="D1127" s="3" t="s">
        <v>93</v>
      </c>
      <c r="E1127" s="29" t="s">
        <v>89</v>
      </c>
      <c r="F1127" s="4">
        <f>IFERROR(AVERAGEIF(Table1[[#This Row],[2019-Apr]:[2025-July]],"&lt;&gt;0"),0)</f>
        <v>1.4612500000000002</v>
      </c>
      <c r="G1127" s="4">
        <f ca="1">IFERROR(AVERAGEIF(OFFSET(Table1[[#This Row],[Status]],0,COUNT(Table1[[#This Row],[2019-May]:[2025-July]]),1,-12),"&lt;&gt;0"),0)</f>
        <v>1.1500000000000001</v>
      </c>
      <c r="H1127" s="55">
        <f>IFERROR(SMALL(Table1[[#This Row],[2019-Apr]:[2025-July]],COUNTIF(Table1[[#This Row],[2019-Apr]:[2025-July]],0)+1),0)</f>
        <v>0.5</v>
      </c>
      <c r="I1127" s="56">
        <f>IFERROR(MAX(Table1[[#This Row],[2019-Apr]:[2025-July]]),0)</f>
        <v>4.29</v>
      </c>
      <c r="J1127" s="4" cm="1">
        <f t="array" ref="J112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</v>
      </c>
      <c r="K1127" s="4">
        <v>4.5</v>
      </c>
      <c r="L1127" s="4">
        <f>IF(Table1[[#This Row],[Standard as per ISO]]&gt;=Table1[[#This Row],[Avg of best 6]],Table1[[#This Row],[Standard as per ISO]],Table1[[#This Row],[Avg of best 6]])</f>
        <v>4.5</v>
      </c>
      <c r="M1127" s="4" cm="1">
        <f t="array" ref="M1127">IFERROR(LOOKUP(2,1/(Table1[[#This Row],[2019-May]:[2025-July]]&lt;&gt;0),Table1[[#This Row],[2019-May]:[2025-July]]),0)</f>
        <v>0.5</v>
      </c>
      <c r="N1127" s="4">
        <f>COUNTIF(Table1[[#This Row],[2019-Apr]:[2025-July]],"&gt;="&amp;Table1[[#This Row],[Target]])</f>
        <v>0</v>
      </c>
      <c r="O1127" s="4">
        <f>IF(Table1[[#This Row],[Outliers 2Y]]=0,1,0)</f>
        <v>1</v>
      </c>
      <c r="P1127" s="4">
        <f>IF(Table1[[#This Row],[Last value]]&gt;1.5*Table1[[#This Row],[Target]],1,0)</f>
        <v>0</v>
      </c>
      <c r="Q1127" s="4">
        <f>IF(AND(1.5*Table1[[#This Row],[Target]]&gt;=Table1[[#This Row],[Last value]],Table1[[#This Row],[Last value]]&gt;Table1[[#This Row],[Target]]),1,0)</f>
        <v>0</v>
      </c>
      <c r="R1127" s="4">
        <f>IF(Table1[[#This Row],[Target]]&gt;=Table1[[#This Row],[Last value]],1,0)</f>
        <v>1</v>
      </c>
      <c r="S1127" s="4" t="str">
        <f t="shared" si="29"/>
        <v>Green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4.29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1.2</v>
      </c>
      <c r="CG1127" s="4">
        <v>0</v>
      </c>
      <c r="CH1127" s="4">
        <v>0</v>
      </c>
      <c r="CI1127" s="4">
        <v>0</v>
      </c>
      <c r="CJ1127" s="34">
        <v>1.4</v>
      </c>
      <c r="CK1127" s="34">
        <v>0</v>
      </c>
      <c r="CL1127" s="43">
        <v>1.3</v>
      </c>
      <c r="CM1127" s="4">
        <v>1.2</v>
      </c>
      <c r="CN1127" s="53">
        <v>0</v>
      </c>
      <c r="CO1127" s="54">
        <v>0.9</v>
      </c>
      <c r="CP1127" s="54">
        <v>0.9</v>
      </c>
      <c r="CQ1127" s="4">
        <v>0.5</v>
      </c>
    </row>
    <row r="1128" spans="1:95" x14ac:dyDescent="0.35">
      <c r="A1128" s="55">
        <v>1127</v>
      </c>
      <c r="B1128" t="s">
        <v>122</v>
      </c>
      <c r="C1128" s="29" t="s">
        <v>1201</v>
      </c>
      <c r="D1128" s="3" t="s">
        <v>123</v>
      </c>
      <c r="E1128" s="29" t="s">
        <v>90</v>
      </c>
      <c r="F1128" s="4">
        <f>IFERROR(AVERAGEIF(Table1[[#This Row],[2019-Apr]:[2025-July]],"&lt;&gt;0"),0)</f>
        <v>2.3221428571428575</v>
      </c>
      <c r="G1128" s="4">
        <f ca="1">IFERROR(AVERAGEIF(OFFSET(Table1[[#This Row],[Status]],0,COUNT(Table1[[#This Row],[2019-May]:[2025-July]]),1,-12),"&lt;&gt;0"),0)</f>
        <v>2.2730000000000001</v>
      </c>
      <c r="H1128" s="55">
        <f>IFERROR(SMALL(Table1[[#This Row],[2019-Apr]:[2025-July]],COUNTIF(Table1[[#This Row],[2019-Apr]:[2025-July]],0)+1),0)</f>
        <v>1.8</v>
      </c>
      <c r="I1128" s="56">
        <f>IFERROR(MAX(Table1[[#This Row],[2019-Apr]:[2025-July]]),0)</f>
        <v>2.7</v>
      </c>
      <c r="J1128" s="4" cm="1">
        <f t="array" ref="J112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2.0383333333333336</v>
      </c>
      <c r="K1128" s="4">
        <v>4.5</v>
      </c>
      <c r="L1128" s="4">
        <f>IF(Table1[[#This Row],[Standard as per ISO]]&gt;=Table1[[#This Row],[Avg of best 6]],Table1[[#This Row],[Standard as per ISO]],Table1[[#This Row],[Avg of best 6]])</f>
        <v>4.5</v>
      </c>
      <c r="M1128" s="4" cm="1">
        <f t="array" ref="M1128">IFERROR(LOOKUP(2,1/(Table1[[#This Row],[2019-May]:[2025-July]]&lt;&gt;0),Table1[[#This Row],[2019-May]:[2025-July]]),0)</f>
        <v>2.5</v>
      </c>
      <c r="N1128" s="4">
        <f>COUNTIF(Table1[[#This Row],[2019-Apr]:[2025-July]],"&gt;="&amp;Table1[[#This Row],[Target]])</f>
        <v>0</v>
      </c>
      <c r="O1128" s="4">
        <f>IF(Table1[[#This Row],[Outliers 2Y]]=0,1,0)</f>
        <v>1</v>
      </c>
      <c r="P1128" s="4">
        <f>IF(Table1[[#This Row],[Last value]]&gt;1.5*Table1[[#This Row],[Target]],1,0)</f>
        <v>0</v>
      </c>
      <c r="Q1128" s="4">
        <f>IF(AND(1.5*Table1[[#This Row],[Target]]&gt;=Table1[[#This Row],[Last value]],Table1[[#This Row],[Last value]]&gt;Table1[[#This Row],[Target]]),1,0)</f>
        <v>0</v>
      </c>
      <c r="R1128" s="4">
        <f>IF(Table1[[#This Row],[Target]]&gt;=Table1[[#This Row],[Last value]],1,0)</f>
        <v>1</v>
      </c>
      <c r="S1128" s="4" t="str">
        <f t="shared" si="29"/>
        <v>Green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1.94</v>
      </c>
      <c r="BY1128" s="4">
        <v>0</v>
      </c>
      <c r="BZ1128" s="4">
        <v>2.64</v>
      </c>
      <c r="CA1128" s="4">
        <v>0</v>
      </c>
      <c r="CB1128" s="4">
        <v>0</v>
      </c>
      <c r="CC1128" s="4">
        <v>2.7</v>
      </c>
      <c r="CD1128" s="4">
        <v>0</v>
      </c>
      <c r="CE1128" s="4">
        <v>0</v>
      </c>
      <c r="CF1128" s="4">
        <v>0</v>
      </c>
      <c r="CG1128" s="4">
        <v>2.2200000000000002</v>
      </c>
      <c r="CH1128" s="4">
        <v>2.27</v>
      </c>
      <c r="CI1128" s="4">
        <v>2.54</v>
      </c>
      <c r="CJ1128" s="34">
        <v>2.6</v>
      </c>
      <c r="CK1128" s="34">
        <v>2.2999999999999998</v>
      </c>
      <c r="CL1128" s="43">
        <v>2</v>
      </c>
      <c r="CM1128" s="4">
        <v>1.8</v>
      </c>
      <c r="CN1128" s="53">
        <v>2</v>
      </c>
      <c r="CO1128" s="54">
        <v>2.6</v>
      </c>
      <c r="CP1128" s="54">
        <v>2.4</v>
      </c>
      <c r="CQ1128" s="4">
        <v>2.5</v>
      </c>
    </row>
    <row r="1129" spans="1:95" x14ac:dyDescent="0.35">
      <c r="A1129" s="55">
        <v>1128</v>
      </c>
      <c r="B1129" t="s">
        <v>122</v>
      </c>
      <c r="C1129" s="29" t="s">
        <v>1202</v>
      </c>
      <c r="D1129" s="3" t="s">
        <v>123</v>
      </c>
      <c r="E1129" s="29" t="s">
        <v>90</v>
      </c>
      <c r="F1129" s="4">
        <f>IFERROR(AVERAGEIF(Table1[[#This Row],[2019-Apr]:[2025-July]],"&lt;&gt;0"),0)</f>
        <v>1.7757142857142856</v>
      </c>
      <c r="G1129" s="4">
        <f ca="1">IFERROR(AVERAGEIF(OFFSET(Table1[[#This Row],[Status]],0,COUNT(Table1[[#This Row],[2019-May]:[2025-July]]),1,-12),"&lt;&gt;0"),0)</f>
        <v>1.7429999999999999</v>
      </c>
      <c r="H1129" s="55">
        <f>IFERROR(SMALL(Table1[[#This Row],[2019-Apr]:[2025-July]],COUNTIF(Table1[[#This Row],[2019-Apr]:[2025-July]],0)+1),0)</f>
        <v>1.46</v>
      </c>
      <c r="I1129" s="56">
        <f>IFERROR(MAX(Table1[[#This Row],[2019-Apr]:[2025-July]]),0)</f>
        <v>2.2000000000000002</v>
      </c>
      <c r="J1129" s="4" cm="1">
        <f t="array" ref="J112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1.5933333333333335</v>
      </c>
      <c r="K1129" s="4">
        <v>4.5</v>
      </c>
      <c r="L1129" s="4">
        <f>IF(Table1[[#This Row],[Standard as per ISO]]&gt;=Table1[[#This Row],[Avg of best 6]],Table1[[#This Row],[Standard as per ISO]],Table1[[#This Row],[Avg of best 6]])</f>
        <v>4.5</v>
      </c>
      <c r="M1129" s="4" cm="1">
        <f t="array" ref="M1129">IFERROR(LOOKUP(2,1/(Table1[[#This Row],[2019-May]:[2025-July]]&lt;&gt;0),Table1[[#This Row],[2019-May]:[2025-July]]),0)</f>
        <v>1.5</v>
      </c>
      <c r="N1129" s="4">
        <f>COUNTIF(Table1[[#This Row],[2019-Apr]:[2025-July]],"&gt;="&amp;Table1[[#This Row],[Target]])</f>
        <v>0</v>
      </c>
      <c r="O1129" s="4">
        <f>IF(Table1[[#This Row],[Outliers 2Y]]=0,1,0)</f>
        <v>1</v>
      </c>
      <c r="P1129" s="4">
        <f>IF(Table1[[#This Row],[Last value]]&gt;1.5*Table1[[#This Row],[Target]],1,0)</f>
        <v>0</v>
      </c>
      <c r="Q1129" s="4">
        <f>IF(AND(1.5*Table1[[#This Row],[Target]]&gt;=Table1[[#This Row],[Last value]],Table1[[#This Row],[Last value]]&gt;Table1[[#This Row],[Target]]),1,0)</f>
        <v>0</v>
      </c>
      <c r="R1129" s="4">
        <f>IF(Table1[[#This Row],[Target]]&gt;=Table1[[#This Row],[Last value]],1,0)</f>
        <v>1</v>
      </c>
      <c r="S1129" s="4" t="str">
        <f t="shared" si="29"/>
        <v>Green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1.83</v>
      </c>
      <c r="BY1129" s="4">
        <v>0</v>
      </c>
      <c r="BZ1129" s="4">
        <v>1.9</v>
      </c>
      <c r="CA1129" s="4">
        <v>0</v>
      </c>
      <c r="CB1129" s="4">
        <v>0</v>
      </c>
      <c r="CC1129" s="4">
        <v>2.2000000000000002</v>
      </c>
      <c r="CD1129" s="4">
        <v>0</v>
      </c>
      <c r="CE1129" s="4">
        <v>0</v>
      </c>
      <c r="CF1129" s="4">
        <v>0</v>
      </c>
      <c r="CG1129" s="4">
        <v>1.46</v>
      </c>
      <c r="CH1129" s="4">
        <v>1.86</v>
      </c>
      <c r="CI1129" s="4">
        <v>1.81</v>
      </c>
      <c r="CJ1129" s="34">
        <v>1.7</v>
      </c>
      <c r="CK1129" s="34">
        <v>2</v>
      </c>
      <c r="CL1129" s="43">
        <v>2</v>
      </c>
      <c r="CM1129" s="4">
        <v>1.6</v>
      </c>
      <c r="CN1129" s="53">
        <v>1.7</v>
      </c>
      <c r="CO1129" s="54">
        <v>1.7</v>
      </c>
      <c r="CP1129" s="54">
        <v>1.6</v>
      </c>
      <c r="CQ1129" s="4">
        <v>1.5</v>
      </c>
    </row>
    <row r="1130" spans="1:95" x14ac:dyDescent="0.35">
      <c r="A1130" s="55">
        <v>1129</v>
      </c>
      <c r="B1130" t="s">
        <v>122</v>
      </c>
      <c r="C1130" s="29" t="s">
        <v>1203</v>
      </c>
      <c r="D1130" s="3" t="s">
        <v>104</v>
      </c>
      <c r="E1130" s="27" t="s">
        <v>91</v>
      </c>
      <c r="F1130" s="4">
        <f>IFERROR(AVERAGEIF(Table1[[#This Row],[2019-Apr]:[2025-July]],"&lt;&gt;0"),0)</f>
        <v>0</v>
      </c>
      <c r="G1130" s="4">
        <f ca="1">IFERROR(AVERAGEIF(OFFSET(Table1[[#This Row],[Status]],0,COUNT(Table1[[#This Row],[2019-May]:[2025-July]]),1,-12),"&lt;&gt;0"),0)</f>
        <v>0</v>
      </c>
      <c r="H1130" s="55">
        <f>IFERROR(SMALL(Table1[[#This Row],[2019-Apr]:[2025-July]],COUNTIF(Table1[[#This Row],[2019-Apr]:[2025-July]],0)+1),0)</f>
        <v>0</v>
      </c>
      <c r="I1130" s="56">
        <f>IFERROR(MAX(Table1[[#This Row],[2019-Apr]:[2025-July]]),0)</f>
        <v>0</v>
      </c>
      <c r="J1130" s="4" cm="1">
        <f t="array" ref="J113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130" s="4">
        <v>4.5</v>
      </c>
      <c r="L1130" s="4">
        <f>IF(Table1[[#This Row],[Standard as per ISO]]&gt;=Table1[[#This Row],[Avg of best 6]],Table1[[#This Row],[Standard as per ISO]],Table1[[#This Row],[Avg of best 6]])</f>
        <v>4.5</v>
      </c>
      <c r="M1130" s="4" cm="1">
        <f t="array" ref="M1130">IFERROR(LOOKUP(2,1/(Table1[[#This Row],[2019-May]:[2025-July]]&lt;&gt;0),Table1[[#This Row],[2019-May]:[2025-July]]),0)</f>
        <v>0</v>
      </c>
      <c r="N1130" s="4">
        <f>COUNTIF(Table1[[#This Row],[2019-Apr]:[2025-July]],"&gt;="&amp;Table1[[#This Row],[Target]])</f>
        <v>0</v>
      </c>
      <c r="O1130" s="4">
        <f>IF(Table1[[#This Row],[Outliers 2Y]]=0,1,0)</f>
        <v>1</v>
      </c>
      <c r="P1130" s="4">
        <f>IF(Table1[[#This Row],[Last value]]&gt;1.5*Table1[[#This Row],[Target]],1,0)</f>
        <v>0</v>
      </c>
      <c r="Q1130" s="4">
        <f>IF(AND(1.5*Table1[[#This Row],[Target]]&gt;=Table1[[#This Row],[Last value]],Table1[[#This Row],[Last value]]&gt;Table1[[#This Row],[Target]]),1,0)</f>
        <v>0</v>
      </c>
      <c r="R1130" s="4">
        <f>IF(Table1[[#This Row],[Target]]&gt;=Table1[[#This Row],[Last value]],1,0)</f>
        <v>1</v>
      </c>
      <c r="S1130" s="4" t="str">
        <f t="shared" si="29"/>
        <v>Green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34">
        <v>0</v>
      </c>
      <c r="CK1130" s="34">
        <v>0</v>
      </c>
      <c r="CL1130" s="34">
        <v>0</v>
      </c>
      <c r="CM1130" s="4">
        <v>0</v>
      </c>
      <c r="CN1130" s="53">
        <v>0</v>
      </c>
      <c r="CO1130" s="54">
        <v>0</v>
      </c>
      <c r="CP1130" s="54">
        <v>0</v>
      </c>
      <c r="CQ1130" s="4">
        <v>0</v>
      </c>
    </row>
    <row r="1131" spans="1:95" x14ac:dyDescent="0.35">
      <c r="A1131" s="55">
        <v>1130</v>
      </c>
      <c r="B1131" t="s">
        <v>122</v>
      </c>
      <c r="C1131" s="29" t="s">
        <v>1204</v>
      </c>
      <c r="D1131" s="3" t="s">
        <v>104</v>
      </c>
      <c r="E1131" s="27" t="s">
        <v>91</v>
      </c>
      <c r="F1131" s="4">
        <f>IFERROR(AVERAGEIF(Table1[[#This Row],[2019-Apr]:[2025-July]],"&lt;&gt;0"),0)</f>
        <v>3.6850000000000001</v>
      </c>
      <c r="G1131" s="4">
        <f ca="1">IFERROR(AVERAGEIF(OFFSET(Table1[[#This Row],[Status]],0,COUNT(Table1[[#This Row],[2019-May]:[2025-July]]),1,-12),"&lt;&gt;0"),0)</f>
        <v>3.83</v>
      </c>
      <c r="H1131" s="55">
        <f>IFERROR(SMALL(Table1[[#This Row],[2019-Apr]:[2025-July]],COUNTIF(Table1[[#This Row],[2019-Apr]:[2025-July]],0)+1),0)</f>
        <v>3.54</v>
      </c>
      <c r="I1131" s="56">
        <f>IFERROR(MAX(Table1[[#This Row],[2019-Apr]:[2025-July]]),0)</f>
        <v>3.83</v>
      </c>
      <c r="J1131" s="4" cm="1">
        <f t="array" ref="J113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3.6850000000000001</v>
      </c>
      <c r="K1131" s="4">
        <v>4.5</v>
      </c>
      <c r="L1131" s="4">
        <f>IF(Table1[[#This Row],[Standard as per ISO]]&gt;=Table1[[#This Row],[Avg of best 6]],Table1[[#This Row],[Standard as per ISO]],Table1[[#This Row],[Avg of best 6]])</f>
        <v>4.5</v>
      </c>
      <c r="M1131" s="4" cm="1">
        <f t="array" ref="M1131">IFERROR(LOOKUP(2,1/(Table1[[#This Row],[2019-May]:[2025-July]]&lt;&gt;0),Table1[[#This Row],[2019-May]:[2025-July]]),0)</f>
        <v>3.83</v>
      </c>
      <c r="N1131" s="4">
        <f>COUNTIF(Table1[[#This Row],[2019-Apr]:[2025-July]],"&gt;="&amp;Table1[[#This Row],[Target]])</f>
        <v>0</v>
      </c>
      <c r="O1131" s="4">
        <f>IF(Table1[[#This Row],[Outliers 2Y]]=0,1,0)</f>
        <v>1</v>
      </c>
      <c r="P1131" s="4">
        <f>IF(Table1[[#This Row],[Last value]]&gt;1.5*Table1[[#This Row],[Target]],1,0)</f>
        <v>0</v>
      </c>
      <c r="Q1131" s="4">
        <f>IF(AND(1.5*Table1[[#This Row],[Target]]&gt;=Table1[[#This Row],[Last value]],Table1[[#This Row],[Last value]]&gt;Table1[[#This Row],[Target]]),1,0)</f>
        <v>0</v>
      </c>
      <c r="R1131" s="4">
        <f>IF(Table1[[#This Row],[Target]]&gt;=Table1[[#This Row],[Last value]],1,0)</f>
        <v>1</v>
      </c>
      <c r="S1131" s="4" t="str">
        <f t="shared" si="29"/>
        <v>Green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>
        <v>0</v>
      </c>
      <c r="BP1131" s="4">
        <v>0</v>
      </c>
      <c r="BQ1131" s="4">
        <v>3.54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3.83</v>
      </c>
      <c r="CJ1131" s="34">
        <v>0</v>
      </c>
      <c r="CK1131" s="34">
        <v>0</v>
      </c>
      <c r="CL1131" s="34">
        <v>0</v>
      </c>
      <c r="CM1131" s="4">
        <v>0</v>
      </c>
      <c r="CN1131" s="53">
        <v>0</v>
      </c>
      <c r="CO1131" s="54">
        <v>0</v>
      </c>
      <c r="CP1131" s="54">
        <v>0</v>
      </c>
      <c r="CQ1131" s="4">
        <v>0</v>
      </c>
    </row>
    <row r="1132" spans="1:95" x14ac:dyDescent="0.35">
      <c r="A1132" s="55">
        <v>1131</v>
      </c>
      <c r="B1132" t="s">
        <v>122</v>
      </c>
      <c r="C1132" s="29" t="s">
        <v>1205</v>
      </c>
      <c r="D1132" s="3" t="s">
        <v>123</v>
      </c>
      <c r="E1132" s="29" t="s">
        <v>90</v>
      </c>
      <c r="F1132" s="4">
        <f>IFERROR(AVERAGEIF(Table1[[#This Row],[2019-Apr]:[2025-July]],"&lt;&gt;0"),0)</f>
        <v>0.76111111111111107</v>
      </c>
      <c r="G1132" s="4">
        <f ca="1">IFERROR(AVERAGEIF(OFFSET(Table1[[#This Row],[Status]],0,COUNT(Table1[[#This Row],[2019-May]:[2025-July]]),1,-12),"&lt;&gt;0"),0)</f>
        <v>0.74374999999999991</v>
      </c>
      <c r="H1132" s="55">
        <f>IFERROR(SMALL(Table1[[#This Row],[2019-Apr]:[2025-July]],COUNTIF(Table1[[#This Row],[2019-Apr]:[2025-July]],0)+1),0)</f>
        <v>0.46</v>
      </c>
      <c r="I1132" s="56">
        <f>IFERROR(MAX(Table1[[#This Row],[2019-Apr]:[2025-July]]),0)</f>
        <v>0.9</v>
      </c>
      <c r="J1132" s="4" cm="1">
        <f t="array" ref="J113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0.72499999999999998</v>
      </c>
      <c r="K1132" s="4">
        <v>4.5</v>
      </c>
      <c r="L1132" s="4">
        <f>IF(Table1[[#This Row],[Standard as per ISO]]&gt;=Table1[[#This Row],[Avg of best 6]],Table1[[#This Row],[Standard as per ISO]],Table1[[#This Row],[Avg of best 6]])</f>
        <v>4.5</v>
      </c>
      <c r="M1132" s="4" cm="1">
        <f t="array" ref="M1132">IFERROR(LOOKUP(2,1/(Table1[[#This Row],[2019-May]:[2025-July]]&lt;&gt;0),Table1[[#This Row],[2019-May]:[2025-July]]),0)</f>
        <v>0.9</v>
      </c>
      <c r="N1132" s="4">
        <f>COUNTIF(Table1[[#This Row],[2019-Apr]:[2025-July]],"&gt;="&amp;Table1[[#This Row],[Target]])</f>
        <v>0</v>
      </c>
      <c r="O1132" s="4">
        <f>IF(Table1[[#This Row],[Outliers 2Y]]=0,1,0)</f>
        <v>1</v>
      </c>
      <c r="P1132" s="4">
        <f>IF(Table1[[#This Row],[Last value]]&gt;1.5*Table1[[#This Row],[Target]],1,0)</f>
        <v>0</v>
      </c>
      <c r="Q1132" s="4">
        <f>IF(AND(1.5*Table1[[#This Row],[Target]]&gt;=Table1[[#This Row],[Last value]],Table1[[#This Row],[Last value]]&gt;Table1[[#This Row],[Target]]),1,0)</f>
        <v>0</v>
      </c>
      <c r="R1132" s="4">
        <f>IF(Table1[[#This Row],[Target]]&gt;=Table1[[#This Row],[Last value]],1,0)</f>
        <v>1</v>
      </c>
      <c r="S1132" s="4" t="str">
        <f t="shared" si="29"/>
        <v>Green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0.79</v>
      </c>
      <c r="CJ1132" s="34">
        <v>0.7</v>
      </c>
      <c r="CK1132" s="34">
        <v>0.8</v>
      </c>
      <c r="CL1132" s="43">
        <v>0.8</v>
      </c>
      <c r="CM1132" s="4">
        <v>0.8</v>
      </c>
      <c r="CN1132" s="53">
        <v>0.8</v>
      </c>
      <c r="CO1132" s="54">
        <v>0.8</v>
      </c>
      <c r="CP1132" s="54">
        <v>0.46</v>
      </c>
      <c r="CQ1132" s="4">
        <v>0.9</v>
      </c>
    </row>
    <row r="1133" spans="1:95" x14ac:dyDescent="0.35">
      <c r="A1133" s="55">
        <v>1132</v>
      </c>
      <c r="B1133" t="s">
        <v>122</v>
      </c>
      <c r="C1133" s="29" t="s">
        <v>1206</v>
      </c>
      <c r="D1133" s="3" t="s">
        <v>88</v>
      </c>
      <c r="E1133" s="29" t="s">
        <v>89</v>
      </c>
      <c r="F1133" s="4">
        <f>IFERROR(AVERAGEIF(Table1[[#This Row],[2019-Apr]:[2025-July]],"&lt;&gt;0"),0)</f>
        <v>2.3666666666666667</v>
      </c>
      <c r="G1133" s="4">
        <f ca="1">IFERROR(AVERAGEIF(OFFSET(Table1[[#This Row],[Status]],0,COUNT(Table1[[#This Row],[2019-May]:[2025-July]]),1,-12),"&lt;&gt;0"),0)</f>
        <v>2.46</v>
      </c>
      <c r="H1133" s="55">
        <f>IFERROR(SMALL(Table1[[#This Row],[2019-Apr]:[2025-July]],COUNTIF(Table1[[#This Row],[2019-Apr]:[2025-July]],0)+1),0)</f>
        <v>1.9</v>
      </c>
      <c r="I1133" s="56">
        <f>IFERROR(MAX(Table1[[#This Row],[2019-Apr]:[2025-July]]),0)</f>
        <v>2.8</v>
      </c>
      <c r="J1133" s="4" cm="1">
        <f t="array" ref="J113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2.3666666666666667</v>
      </c>
      <c r="K1133" s="4">
        <v>4.5</v>
      </c>
      <c r="L1133" s="4">
        <f>IF(Table1[[#This Row],[Standard as per ISO]]&gt;=Table1[[#This Row],[Avg of best 6]],Table1[[#This Row],[Standard as per ISO]],Table1[[#This Row],[Avg of best 6]])</f>
        <v>4.5</v>
      </c>
      <c r="M1133" s="4" cm="1">
        <f t="array" ref="M1133">IFERROR(LOOKUP(2,1/(Table1[[#This Row],[2019-May]:[2025-July]]&lt;&gt;0),Table1[[#This Row],[2019-May]:[2025-July]]),0)</f>
        <v>1.9</v>
      </c>
      <c r="N1133" s="4">
        <f>COUNTIF(Table1[[#This Row],[2019-Apr]:[2025-July]],"&gt;="&amp;Table1[[#This Row],[Target]])</f>
        <v>0</v>
      </c>
      <c r="O1133" s="4">
        <f>IF(Table1[[#This Row],[Outliers 2Y]]=0,1,0)</f>
        <v>1</v>
      </c>
      <c r="P1133" s="4">
        <f>IF(Table1[[#This Row],[Last value]]&gt;1.5*Table1[[#This Row],[Target]],1,0)</f>
        <v>0</v>
      </c>
      <c r="Q1133" s="4">
        <f>IF(AND(1.5*Table1[[#This Row],[Target]]&gt;=Table1[[#This Row],[Last value]],Table1[[#This Row],[Last value]]&gt;Table1[[#This Row],[Target]]),1,0)</f>
        <v>0</v>
      </c>
      <c r="R1133" s="4">
        <f>IF(Table1[[#This Row],[Target]]&gt;=Table1[[#This Row],[Last value]],1,0)</f>
        <v>1</v>
      </c>
      <c r="S1133" s="4" t="str">
        <f t="shared" si="29"/>
        <v>Green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34">
        <v>0</v>
      </c>
      <c r="CK1133" s="34">
        <v>0</v>
      </c>
      <c r="CL1133" s="43">
        <v>2.5</v>
      </c>
      <c r="CM1133" s="4">
        <v>2.8</v>
      </c>
      <c r="CN1133" s="53">
        <v>2.8</v>
      </c>
      <c r="CO1133" s="54">
        <v>2</v>
      </c>
      <c r="CP1133" s="54">
        <v>2.2000000000000002</v>
      </c>
      <c r="CQ1133" s="4">
        <v>1.9</v>
      </c>
    </row>
    <row r="1134" spans="1:95" x14ac:dyDescent="0.35">
      <c r="A1134" s="55">
        <v>1133</v>
      </c>
      <c r="B1134" t="s">
        <v>122</v>
      </c>
      <c r="C1134" s="29" t="s">
        <v>1207</v>
      </c>
      <c r="D1134" s="3" t="s">
        <v>88</v>
      </c>
      <c r="E1134" s="29" t="s">
        <v>89</v>
      </c>
      <c r="F1134" s="4">
        <f>IFERROR(AVERAGEIF(Table1[[#This Row],[2019-Apr]:[2025-July]],"&lt;&gt;0"),0)</f>
        <v>3.1999999999999997</v>
      </c>
      <c r="G1134" s="4">
        <f ca="1">IFERROR(AVERAGEIF(OFFSET(Table1[[#This Row],[Status]],0,COUNT(Table1[[#This Row],[2019-May]:[2025-July]]),1,-12),"&lt;&gt;0"),0)</f>
        <v>3.2600000000000002</v>
      </c>
      <c r="H1134" s="55">
        <f>IFERROR(SMALL(Table1[[#This Row],[2019-Apr]:[2025-July]],COUNTIF(Table1[[#This Row],[2019-Apr]:[2025-July]],0)+1),0)</f>
        <v>2.9</v>
      </c>
      <c r="I1134" s="56">
        <f>IFERROR(MAX(Table1[[#This Row],[2019-Apr]:[2025-July]]),0)</f>
        <v>3.5</v>
      </c>
      <c r="J1134" s="4" cm="1">
        <f t="array" ref="J113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3.2000000000000006</v>
      </c>
      <c r="K1134" s="4">
        <v>4.5</v>
      </c>
      <c r="L1134" s="4">
        <f>IF(Table1[[#This Row],[Standard as per ISO]]&gt;=Table1[[#This Row],[Avg of best 6]],Table1[[#This Row],[Standard as per ISO]],Table1[[#This Row],[Avg of best 6]])</f>
        <v>4.5</v>
      </c>
      <c r="M1134" s="4" cm="1">
        <f t="array" ref="M1134">IFERROR(LOOKUP(2,1/(Table1[[#This Row],[2019-May]:[2025-July]]&lt;&gt;0),Table1[[#This Row],[2019-May]:[2025-July]]),0)</f>
        <v>2.9</v>
      </c>
      <c r="N1134" s="4">
        <f>COUNTIF(Table1[[#This Row],[2019-Apr]:[2025-July]],"&gt;="&amp;Table1[[#This Row],[Target]])</f>
        <v>0</v>
      </c>
      <c r="O1134" s="4">
        <f>IF(Table1[[#This Row],[Outliers 2Y]]=0,1,0)</f>
        <v>1</v>
      </c>
      <c r="P1134" s="4">
        <f>IF(Table1[[#This Row],[Last value]]&gt;1.5*Table1[[#This Row],[Target]],1,0)</f>
        <v>0</v>
      </c>
      <c r="Q1134" s="4">
        <f>IF(AND(1.5*Table1[[#This Row],[Target]]&gt;=Table1[[#This Row],[Last value]],Table1[[#This Row],[Last value]]&gt;Table1[[#This Row],[Target]]),1,0)</f>
        <v>0</v>
      </c>
      <c r="R1134" s="4">
        <f>IF(Table1[[#This Row],[Target]]&gt;=Table1[[#This Row],[Last value]],1,0)</f>
        <v>1</v>
      </c>
      <c r="S1134" s="4" t="str">
        <f t="shared" si="29"/>
        <v>Green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34">
        <v>0</v>
      </c>
      <c r="CK1134" s="34">
        <v>0</v>
      </c>
      <c r="CL1134" s="43">
        <v>3.4</v>
      </c>
      <c r="CM1134" s="4">
        <v>3.1</v>
      </c>
      <c r="CN1134" s="53">
        <v>2.9</v>
      </c>
      <c r="CO1134" s="54">
        <v>3.4</v>
      </c>
      <c r="CP1134" s="54">
        <v>3.5</v>
      </c>
      <c r="CQ1134" s="4">
        <v>2.9</v>
      </c>
    </row>
    <row r="1135" spans="1:95" x14ac:dyDescent="0.35">
      <c r="A1135" s="55">
        <v>1134</v>
      </c>
      <c r="B1135" t="s">
        <v>122</v>
      </c>
      <c r="C1135" s="29" t="s">
        <v>1208</v>
      </c>
      <c r="D1135" s="3" t="s">
        <v>88</v>
      </c>
      <c r="E1135" s="29" t="s">
        <v>89</v>
      </c>
      <c r="F1135" s="4">
        <f>IFERROR(AVERAGEIF(Table1[[#This Row],[2019-Apr]:[2025-July]],"&lt;&gt;0"),0)</f>
        <v>2.9850000000000008</v>
      </c>
      <c r="G1135" s="4">
        <f ca="1">IFERROR(AVERAGEIF(OFFSET(Table1[[#This Row],[Status]],0,COUNT(Table1[[#This Row],[2019-May]:[2025-July]]),1,-12),"&lt;&gt;0"),0)</f>
        <v>2.8820000000000006</v>
      </c>
      <c r="H1135" s="55">
        <f>IFERROR(SMALL(Table1[[#This Row],[2019-Apr]:[2025-July]],COUNTIF(Table1[[#This Row],[2019-Apr]:[2025-July]],0)+1),0)</f>
        <v>2.1</v>
      </c>
      <c r="I1135" s="56">
        <f>IFERROR(MAX(Table1[[#This Row],[2019-Apr]:[2025-July]]),0)</f>
        <v>3.5</v>
      </c>
      <c r="J1135" s="4" cm="1">
        <f t="array" ref="J113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2.9849999999999999</v>
      </c>
      <c r="K1135" s="4">
        <v>4.5</v>
      </c>
      <c r="L1135" s="4">
        <f>IF(Table1[[#This Row],[Standard as per ISO]]&gt;=Table1[[#This Row],[Avg of best 6]],Table1[[#This Row],[Standard as per ISO]],Table1[[#This Row],[Avg of best 6]])</f>
        <v>4.5</v>
      </c>
      <c r="M1135" s="4" cm="1">
        <f t="array" ref="M1135">IFERROR(LOOKUP(2,1/(Table1[[#This Row],[2019-May]:[2025-July]]&lt;&gt;0),Table1[[#This Row],[2019-May]:[2025-July]]),0)</f>
        <v>3.5</v>
      </c>
      <c r="N1135" s="4">
        <f>COUNTIF(Table1[[#This Row],[2019-Apr]:[2025-July]],"&gt;="&amp;Table1[[#This Row],[Target]])</f>
        <v>0</v>
      </c>
      <c r="O1135" s="4">
        <f>IF(Table1[[#This Row],[Outliers 2Y]]=0,1,0)</f>
        <v>1</v>
      </c>
      <c r="P1135" s="4">
        <f>IF(Table1[[#This Row],[Last value]]&gt;1.5*Table1[[#This Row],[Target]],1,0)</f>
        <v>0</v>
      </c>
      <c r="Q1135" s="4">
        <f>IF(AND(1.5*Table1[[#This Row],[Target]]&gt;=Table1[[#This Row],[Last value]],Table1[[#This Row],[Last value]]&gt;Table1[[#This Row],[Target]]),1,0)</f>
        <v>0</v>
      </c>
      <c r="R1135" s="4">
        <f>IF(Table1[[#This Row],[Target]]&gt;=Table1[[#This Row],[Last value]],1,0)</f>
        <v>1</v>
      </c>
      <c r="S1135" s="4" t="str">
        <f t="shared" si="29"/>
        <v>Green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34">
        <v>0</v>
      </c>
      <c r="CK1135" s="34">
        <v>0</v>
      </c>
      <c r="CL1135" s="43">
        <v>2.1</v>
      </c>
      <c r="CM1135" s="4">
        <v>3.2</v>
      </c>
      <c r="CN1135" s="53">
        <v>3.3</v>
      </c>
      <c r="CO1135" s="54">
        <v>3.4</v>
      </c>
      <c r="CP1135" s="54">
        <v>2.41</v>
      </c>
      <c r="CQ1135" s="4">
        <v>3.5</v>
      </c>
    </row>
    <row r="1136" spans="1:95" x14ac:dyDescent="0.35">
      <c r="A1136" s="55">
        <v>1135</v>
      </c>
      <c r="B1136" t="s">
        <v>122</v>
      </c>
      <c r="C1136" s="29" t="s">
        <v>1209</v>
      </c>
      <c r="D1136" s="3" t="s">
        <v>123</v>
      </c>
      <c r="E1136" s="29" t="s">
        <v>89</v>
      </c>
      <c r="F1136" s="4">
        <f>IFERROR(AVERAGEIF(Table1[[#This Row],[2019-Apr]:[2025-July]],"&lt;&gt;0"),0)</f>
        <v>5.3833333333333337</v>
      </c>
      <c r="G1136" s="4">
        <f ca="1">IFERROR(AVERAGEIF(OFFSET(Table1[[#This Row],[Status]],0,COUNT(Table1[[#This Row],[2019-May]:[2025-July]]),1,-12),"&lt;&gt;0"),0)</f>
        <v>5.3800000000000008</v>
      </c>
      <c r="H1136" s="55">
        <f>IFERROR(SMALL(Table1[[#This Row],[2019-Apr]:[2025-July]],COUNTIF(Table1[[#This Row],[2019-Apr]:[2025-July]],0)+1),0)</f>
        <v>3.6</v>
      </c>
      <c r="I1136" s="56">
        <f>IFERROR(MAX(Table1[[#This Row],[2019-Apr]:[2025-July]]),0)</f>
        <v>6.9</v>
      </c>
      <c r="J1136" s="4" cm="1">
        <f t="array" ref="J113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5.3833333333333329</v>
      </c>
      <c r="K1136" s="4">
        <v>4.5</v>
      </c>
      <c r="L1136" s="4">
        <f>IF(Table1[[#This Row],[Standard as per ISO]]&gt;=Table1[[#This Row],[Avg of best 6]],Table1[[#This Row],[Standard as per ISO]],Table1[[#This Row],[Avg of best 6]])</f>
        <v>5.3833333333333329</v>
      </c>
      <c r="M1136" s="4" cm="1">
        <f t="array" ref="M1136">IFERROR(LOOKUP(2,1/(Table1[[#This Row],[2019-May]:[2025-July]]&lt;&gt;0),Table1[[#This Row],[2019-May]:[2025-July]]),0)</f>
        <v>5.4</v>
      </c>
      <c r="N1136" s="4">
        <f>COUNTIF(Table1[[#This Row],[2019-Apr]:[2025-July]],"&gt;="&amp;Table1[[#This Row],[Target]])</f>
        <v>4</v>
      </c>
      <c r="O1136" s="4">
        <f>IF(Table1[[#This Row],[Outliers 2Y]]=0,1,0)</f>
        <v>0</v>
      </c>
      <c r="P1136" s="4">
        <f>IF(Table1[[#This Row],[Last value]]&gt;1.5*Table1[[#This Row],[Target]],1,0)</f>
        <v>0</v>
      </c>
      <c r="Q1136" s="4">
        <f>IF(AND(1.5*Table1[[#This Row],[Target]]&gt;=Table1[[#This Row],[Last value]],Table1[[#This Row],[Last value]]&gt;Table1[[#This Row],[Target]]),1,0)</f>
        <v>1</v>
      </c>
      <c r="R1136" s="4">
        <f>IF(Table1[[#This Row],[Target]]&gt;=Table1[[#This Row],[Last value]],1,0)</f>
        <v>0</v>
      </c>
      <c r="S1136" s="4" t="str">
        <f t="shared" si="29"/>
        <v>Yellow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34">
        <v>6.9</v>
      </c>
      <c r="CK1136" s="34">
        <v>0</v>
      </c>
      <c r="CL1136" s="43">
        <v>6</v>
      </c>
      <c r="CM1136" s="4">
        <v>5.6</v>
      </c>
      <c r="CN1136" s="53">
        <v>0</v>
      </c>
      <c r="CO1136" s="54">
        <v>3.6</v>
      </c>
      <c r="CP1136" s="54">
        <v>4.8</v>
      </c>
      <c r="CQ1136" s="4">
        <v>5.4</v>
      </c>
    </row>
    <row r="1137" spans="1:95" x14ac:dyDescent="0.35">
      <c r="A1137" s="55">
        <v>1136</v>
      </c>
      <c r="B1137" t="s">
        <v>122</v>
      </c>
      <c r="C1137" s="29" t="s">
        <v>1210</v>
      </c>
      <c r="D1137" s="3" t="s">
        <v>123</v>
      </c>
      <c r="E1137" s="29" t="s">
        <v>89</v>
      </c>
      <c r="F1137" s="4">
        <f>IFERROR(AVERAGEIF(Table1[[#This Row],[2019-Apr]:[2025-July]],"&lt;&gt;0"),0)</f>
        <v>4.58</v>
      </c>
      <c r="G1137" s="4">
        <f ca="1">IFERROR(AVERAGEIF(OFFSET(Table1[[#This Row],[Status]],0,COUNT(Table1[[#This Row],[2019-May]:[2025-July]]),1,-12),"&lt;&gt;0"),0)</f>
        <v>4.2750000000000004</v>
      </c>
      <c r="H1137" s="55">
        <f>IFERROR(SMALL(Table1[[#This Row],[2019-Apr]:[2025-July]],COUNTIF(Table1[[#This Row],[2019-Apr]:[2025-July]],0)+1),0)</f>
        <v>3.7</v>
      </c>
      <c r="I1137" s="56">
        <f>IFERROR(MAX(Table1[[#This Row],[2019-Apr]:[2025-July]]),0)</f>
        <v>5.8</v>
      </c>
      <c r="J1137" s="4" cm="1">
        <f t="array" ref="J113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4.58</v>
      </c>
      <c r="K1137" s="4">
        <v>4.5</v>
      </c>
      <c r="L1137" s="4">
        <f>IF(Table1[[#This Row],[Standard as per ISO]]&gt;=Table1[[#This Row],[Avg of best 6]],Table1[[#This Row],[Standard as per ISO]],Table1[[#This Row],[Avg of best 6]])</f>
        <v>4.58</v>
      </c>
      <c r="M1137" s="4" cm="1">
        <f t="array" ref="M1137">IFERROR(LOOKUP(2,1/(Table1[[#This Row],[2019-May]:[2025-July]]&lt;&gt;0),Table1[[#This Row],[2019-May]:[2025-July]]),0)</f>
        <v>5.8</v>
      </c>
      <c r="N1137" s="4">
        <f>COUNTIF(Table1[[#This Row],[2019-Apr]:[2025-July]],"&gt;="&amp;Table1[[#This Row],[Target]])</f>
        <v>2</v>
      </c>
      <c r="O1137" s="4">
        <f>IF(Table1[[#This Row],[Outliers 2Y]]=0,1,0)</f>
        <v>0</v>
      </c>
      <c r="P1137" s="4">
        <f>IF(Table1[[#This Row],[Last value]]&gt;1.5*Table1[[#This Row],[Target]],1,0)</f>
        <v>0</v>
      </c>
      <c r="Q1137" s="4">
        <f>IF(AND(1.5*Table1[[#This Row],[Target]]&gt;=Table1[[#This Row],[Last value]],Table1[[#This Row],[Last value]]&gt;Table1[[#This Row],[Target]]),1,0)</f>
        <v>1</v>
      </c>
      <c r="R1137" s="4">
        <f>IF(Table1[[#This Row],[Target]]&gt;=Table1[[#This Row],[Last value]],1,0)</f>
        <v>0</v>
      </c>
      <c r="S1137" s="4" t="str">
        <f t="shared" si="29"/>
        <v>Yellow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34">
        <v>3.7</v>
      </c>
      <c r="CK1137" s="34">
        <v>0</v>
      </c>
      <c r="CL1137" s="43">
        <v>4.3</v>
      </c>
      <c r="CM1137" s="4">
        <v>4.8</v>
      </c>
      <c r="CN1137" s="53">
        <v>0</v>
      </c>
      <c r="CO1137" s="54">
        <v>0</v>
      </c>
      <c r="CP1137" s="54">
        <v>4.3</v>
      </c>
      <c r="CQ1137" s="4">
        <v>5.8</v>
      </c>
    </row>
    <row r="1138" spans="1:95" x14ac:dyDescent="0.35">
      <c r="A1138" s="55">
        <v>1137</v>
      </c>
      <c r="B1138" t="s">
        <v>122</v>
      </c>
      <c r="C1138" s="29" t="s">
        <v>1211</v>
      </c>
      <c r="D1138" s="3" t="s">
        <v>116</v>
      </c>
      <c r="E1138" s="29" t="s">
        <v>89</v>
      </c>
      <c r="F1138" s="4">
        <f>IFERROR(AVERAGEIF(Table1[[#This Row],[2019-Apr]:[2025-July]],"&lt;&gt;0"),0)</f>
        <v>9.4666666666666668</v>
      </c>
      <c r="G1138" s="4">
        <f ca="1">IFERROR(AVERAGEIF(OFFSET(Table1[[#This Row],[Status]],0,COUNT(Table1[[#This Row],[2019-May]:[2025-July]]),1,-12),"&lt;&gt;0"),0)</f>
        <v>9.75</v>
      </c>
      <c r="H1138" s="55">
        <f>IFERROR(SMALL(Table1[[#This Row],[2019-Apr]:[2025-July]],COUNTIF(Table1[[#This Row],[2019-Apr]:[2025-July]],0)+1),0)</f>
        <v>7.5</v>
      </c>
      <c r="I1138" s="56">
        <f>IFERROR(MAX(Table1[[#This Row],[2019-Apr]:[2025-July]]),0)</f>
        <v>12</v>
      </c>
      <c r="J1138" s="4" cm="1">
        <f t="array" ref="J113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9.4666666666666668</v>
      </c>
      <c r="K1138" s="4">
        <v>4.5</v>
      </c>
      <c r="L1138" s="4">
        <f>IF(Table1[[#This Row],[Standard as per ISO]]&gt;=Table1[[#This Row],[Avg of best 6]],Table1[[#This Row],[Standard as per ISO]],Table1[[#This Row],[Avg of best 6]])</f>
        <v>9.4666666666666668</v>
      </c>
      <c r="M1138" s="4" cm="1">
        <f t="array" ref="M1138">IFERROR(LOOKUP(2,1/(Table1[[#This Row],[2019-May]:[2025-July]]&lt;&gt;0),Table1[[#This Row],[2019-May]:[2025-July]]),0)</f>
        <v>8.9</v>
      </c>
      <c r="N1138" s="4">
        <f>COUNTIF(Table1[[#This Row],[2019-Apr]:[2025-July]],"&gt;="&amp;Table1[[#This Row],[Target]])</f>
        <v>1</v>
      </c>
      <c r="O1138" s="4">
        <f>IF(Table1[[#This Row],[Outliers 2Y]]=0,1,0)</f>
        <v>0</v>
      </c>
      <c r="P1138" s="4">
        <f>IF(Table1[[#This Row],[Last value]]&gt;1.5*Table1[[#This Row],[Target]],1,0)</f>
        <v>0</v>
      </c>
      <c r="Q1138" s="4">
        <f>IF(AND(1.5*Table1[[#This Row],[Target]]&gt;=Table1[[#This Row],[Last value]],Table1[[#This Row],[Last value]]&gt;Table1[[#This Row],[Target]]),1,0)</f>
        <v>0</v>
      </c>
      <c r="R1138" s="4">
        <f>IF(Table1[[#This Row],[Target]]&gt;=Table1[[#This Row],[Last value]],1,0)</f>
        <v>1</v>
      </c>
      <c r="S1138" s="4" t="str">
        <f t="shared" si="29"/>
        <v>Green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34">
        <v>0</v>
      </c>
      <c r="CK1138" s="34">
        <v>0</v>
      </c>
      <c r="CL1138" s="43">
        <v>0</v>
      </c>
      <c r="CM1138" s="4">
        <v>0</v>
      </c>
      <c r="CN1138" s="53">
        <v>0</v>
      </c>
      <c r="CO1138" s="54">
        <v>12</v>
      </c>
      <c r="CP1138" s="54">
        <v>7.5</v>
      </c>
      <c r="CQ1138" s="4">
        <v>8.9</v>
      </c>
    </row>
    <row r="1139" spans="1:95" x14ac:dyDescent="0.35">
      <c r="A1139" s="55">
        <v>1138</v>
      </c>
      <c r="B1139" t="s">
        <v>122</v>
      </c>
      <c r="C1139" s="29" t="s">
        <v>1212</v>
      </c>
      <c r="D1139" s="3" t="s">
        <v>124</v>
      </c>
      <c r="E1139" s="29" t="s">
        <v>89</v>
      </c>
      <c r="F1139" s="4">
        <f>IFERROR(AVERAGEIF(Table1[[#This Row],[2019-Apr]:[2025-July]],"&lt;&gt;0"),0)</f>
        <v>4.333333333333333</v>
      </c>
      <c r="G1139" s="4">
        <f ca="1">IFERROR(AVERAGEIF(OFFSET(Table1[[#This Row],[Status]],0,COUNT(Table1[[#This Row],[2019-May]:[2025-July]]),1,-12),"&lt;&gt;0"),0)</f>
        <v>4</v>
      </c>
      <c r="H1139" s="55">
        <f>IFERROR(SMALL(Table1[[#This Row],[2019-Apr]:[2025-July]],COUNTIF(Table1[[#This Row],[2019-Apr]:[2025-July]],0)+1),0)</f>
        <v>4</v>
      </c>
      <c r="I1139" s="56">
        <f>IFERROR(MAX(Table1[[#This Row],[2019-Apr]:[2025-July]]),0)</f>
        <v>5</v>
      </c>
      <c r="J1139" s="4" cm="1">
        <f t="array" ref="J113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4.333333333333333</v>
      </c>
      <c r="K1139" s="4">
        <v>4.5</v>
      </c>
      <c r="L1139" s="4">
        <f>IF(Table1[[#This Row],[Standard as per ISO]]&gt;=Table1[[#This Row],[Avg of best 6]],Table1[[#This Row],[Standard as per ISO]],Table1[[#This Row],[Avg of best 6]])</f>
        <v>4.5</v>
      </c>
      <c r="M1139" s="4" cm="1">
        <f t="array" ref="M1139">IFERROR(LOOKUP(2,1/(Table1[[#This Row],[2019-May]:[2025-July]]&lt;&gt;0),Table1[[#This Row],[2019-May]:[2025-July]]),0)</f>
        <v>5</v>
      </c>
      <c r="N1139" s="4">
        <f>COUNTIF(Table1[[#This Row],[2019-Apr]:[2025-July]],"&gt;="&amp;Table1[[#This Row],[Target]])</f>
        <v>1</v>
      </c>
      <c r="O1139" s="4">
        <f>IF(Table1[[#This Row],[Outliers 2Y]]=0,1,0)</f>
        <v>0</v>
      </c>
      <c r="P1139" s="4">
        <f>IF(Table1[[#This Row],[Last value]]&gt;1.5*Table1[[#This Row],[Target]],1,0)</f>
        <v>0</v>
      </c>
      <c r="Q1139" s="4">
        <f>IF(AND(1.5*Table1[[#This Row],[Target]]&gt;=Table1[[#This Row],[Last value]],Table1[[#This Row],[Last value]]&gt;Table1[[#This Row],[Target]]),1,0)</f>
        <v>1</v>
      </c>
      <c r="R1139" s="4">
        <f>IF(Table1[[#This Row],[Target]]&gt;=Table1[[#This Row],[Last value]],1,0)</f>
        <v>0</v>
      </c>
      <c r="S1139" s="4" t="str">
        <f t="shared" si="29"/>
        <v>Yellow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34">
        <v>0</v>
      </c>
      <c r="CK1139" s="34">
        <v>0</v>
      </c>
      <c r="CL1139" s="43">
        <v>0</v>
      </c>
      <c r="CM1139" s="4">
        <v>0</v>
      </c>
      <c r="CN1139" s="53">
        <v>0</v>
      </c>
      <c r="CO1139" s="54">
        <v>4</v>
      </c>
      <c r="CP1139" s="54">
        <v>4</v>
      </c>
      <c r="CQ1139" s="4">
        <v>5</v>
      </c>
    </row>
    <row r="1140" spans="1:95" x14ac:dyDescent="0.35">
      <c r="A1140" s="55">
        <v>1139</v>
      </c>
      <c r="B1140" t="s">
        <v>122</v>
      </c>
      <c r="C1140" s="29" t="s">
        <v>1213</v>
      </c>
      <c r="D1140" s="3" t="s">
        <v>124</v>
      </c>
      <c r="E1140" s="29" t="s">
        <v>89</v>
      </c>
      <c r="F1140" s="4">
        <f>IFERROR(AVERAGEIF(Table1[[#This Row],[2019-Apr]:[2025-July]],"&lt;&gt;0"),0)</f>
        <v>3.2999999999999994</v>
      </c>
      <c r="G1140" s="4">
        <f ca="1">IFERROR(AVERAGEIF(OFFSET(Table1[[#This Row],[Status]],0,COUNT(Table1[[#This Row],[2019-May]:[2025-July]]),1,-12),"&lt;&gt;0"),0)</f>
        <v>2.9</v>
      </c>
      <c r="H1140" s="55">
        <f>IFERROR(SMALL(Table1[[#This Row],[2019-Apr]:[2025-July]],COUNTIF(Table1[[#This Row],[2019-Apr]:[2025-July]],0)+1),0)</f>
        <v>2.2999999999999998</v>
      </c>
      <c r="I1140" s="56">
        <f>IFERROR(MAX(Table1[[#This Row],[2019-Apr]:[2025-July]]),0)</f>
        <v>4.0999999999999996</v>
      </c>
      <c r="J1140" s="4" cm="1">
        <f t="array" ref="J114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3.2999999999999994</v>
      </c>
      <c r="K1140" s="4">
        <v>4.5</v>
      </c>
      <c r="L1140" s="4">
        <f>IF(Table1[[#This Row],[Standard as per ISO]]&gt;=Table1[[#This Row],[Avg of best 6]],Table1[[#This Row],[Standard as per ISO]],Table1[[#This Row],[Avg of best 6]])</f>
        <v>4.5</v>
      </c>
      <c r="M1140" s="4" cm="1">
        <f t="array" ref="M1140">IFERROR(LOOKUP(2,1/(Table1[[#This Row],[2019-May]:[2025-July]]&lt;&gt;0),Table1[[#This Row],[2019-May]:[2025-July]]),0)</f>
        <v>4.0999999999999996</v>
      </c>
      <c r="N1140" s="4">
        <f>COUNTIF(Table1[[#This Row],[2019-Apr]:[2025-July]],"&gt;="&amp;Table1[[#This Row],[Target]])</f>
        <v>0</v>
      </c>
      <c r="O1140" s="4">
        <f>IF(Table1[[#This Row],[Outliers 2Y]]=0,1,0)</f>
        <v>1</v>
      </c>
      <c r="P1140" s="4">
        <f>IF(Table1[[#This Row],[Last value]]&gt;1.5*Table1[[#This Row],[Target]],1,0)</f>
        <v>0</v>
      </c>
      <c r="Q1140" s="4">
        <f>IF(AND(1.5*Table1[[#This Row],[Target]]&gt;=Table1[[#This Row],[Last value]],Table1[[#This Row],[Last value]]&gt;Table1[[#This Row],[Target]]),1,0)</f>
        <v>0</v>
      </c>
      <c r="R1140" s="4">
        <f>IF(Table1[[#This Row],[Target]]&gt;=Table1[[#This Row],[Last value]],1,0)</f>
        <v>1</v>
      </c>
      <c r="S1140" s="4" t="str">
        <f t="shared" si="29"/>
        <v>Green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34">
        <v>0</v>
      </c>
      <c r="CK1140" s="34">
        <v>0</v>
      </c>
      <c r="CL1140" s="43">
        <v>0</v>
      </c>
      <c r="CM1140" s="4">
        <v>0</v>
      </c>
      <c r="CN1140" s="53">
        <v>0</v>
      </c>
      <c r="CO1140" s="54">
        <v>2.2999999999999998</v>
      </c>
      <c r="CP1140" s="54">
        <v>3.5</v>
      </c>
      <c r="CQ1140" s="4">
        <v>4.0999999999999996</v>
      </c>
    </row>
    <row r="1141" spans="1:95" x14ac:dyDescent="0.35">
      <c r="A1141" s="55">
        <v>1140</v>
      </c>
      <c r="B1141" t="s">
        <v>122</v>
      </c>
      <c r="C1141" s="29" t="s">
        <v>1214</v>
      </c>
      <c r="D1141" s="3" t="s">
        <v>116</v>
      </c>
      <c r="E1141" s="29" t="s">
        <v>89</v>
      </c>
      <c r="F1141" s="4">
        <f>IFERROR(AVERAGEIF(Table1[[#This Row],[2019-Apr]:[2025-July]],"&lt;&gt;0"),0)</f>
        <v>3.5</v>
      </c>
      <c r="G1141" s="4">
        <f ca="1">IFERROR(AVERAGEIF(OFFSET(Table1[[#This Row],[Status]],0,COUNT(Table1[[#This Row],[2019-May]:[2025-July]]),1,-12),"&lt;&gt;0"),0)</f>
        <v>4.2</v>
      </c>
      <c r="H1141" s="55">
        <f>IFERROR(SMALL(Table1[[#This Row],[2019-Apr]:[2025-July]],COUNTIF(Table1[[#This Row],[2019-Apr]:[2025-July]],0)+1),0)</f>
        <v>1.3</v>
      </c>
      <c r="I1141" s="56">
        <f>IFERROR(MAX(Table1[[#This Row],[2019-Apr]:[2025-July]]),0)</f>
        <v>7.1</v>
      </c>
      <c r="J1141" s="4" cm="1">
        <f t="array" ref="J114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</v>
      </c>
      <c r="K1141" s="4">
        <v>4.5</v>
      </c>
      <c r="L1141" s="4">
        <f>IF(Table1[[#This Row],[Standard as per ISO]]&gt;=Table1[[#This Row],[Avg of best 6]],Table1[[#This Row],[Standard as per ISO]],Table1[[#This Row],[Avg of best 6]])</f>
        <v>4.5</v>
      </c>
      <c r="M1141" s="4" cm="1">
        <f t="array" ref="M1141">IFERROR(LOOKUP(2,1/(Table1[[#This Row],[2019-May]:[2025-July]]&lt;&gt;0),Table1[[#This Row],[2019-May]:[2025-July]]),0)</f>
        <v>2.1</v>
      </c>
      <c r="N1141" s="4">
        <f>COUNTIF(Table1[[#This Row],[2019-Apr]:[2025-July]],"&gt;="&amp;Table1[[#This Row],[Target]])</f>
        <v>1</v>
      </c>
      <c r="O1141" s="4">
        <f>IF(Table1[[#This Row],[Outliers 2Y]]=0,1,0)</f>
        <v>0</v>
      </c>
      <c r="P1141" s="4">
        <f>IF(Table1[[#This Row],[Last value]]&gt;1.5*Table1[[#This Row],[Target]],1,0)</f>
        <v>0</v>
      </c>
      <c r="Q1141" s="4">
        <f>IF(AND(1.5*Table1[[#This Row],[Target]]&gt;=Table1[[#This Row],[Last value]],Table1[[#This Row],[Last value]]&gt;Table1[[#This Row],[Target]]),1,0)</f>
        <v>0</v>
      </c>
      <c r="R1141" s="4">
        <f>IF(Table1[[#This Row],[Target]]&gt;=Table1[[#This Row],[Last value]],1,0)</f>
        <v>1</v>
      </c>
      <c r="S1141" s="4" t="str">
        <f t="shared" si="29"/>
        <v>Green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34">
        <v>0</v>
      </c>
      <c r="CK1141" s="34">
        <v>0</v>
      </c>
      <c r="CL1141" s="43">
        <v>0</v>
      </c>
      <c r="CM1141" s="4">
        <v>0</v>
      </c>
      <c r="CN1141" s="53">
        <v>0</v>
      </c>
      <c r="CO1141" s="54">
        <v>1.3</v>
      </c>
      <c r="CP1141" s="54">
        <v>7.1</v>
      </c>
      <c r="CQ1141" s="4">
        <v>2.1</v>
      </c>
    </row>
    <row r="1142" spans="1:95" x14ac:dyDescent="0.35">
      <c r="A1142" s="55">
        <v>1141</v>
      </c>
      <c r="B1142" t="s">
        <v>122</v>
      </c>
      <c r="C1142" s="29" t="s">
        <v>1215</v>
      </c>
      <c r="D1142" s="3" t="s">
        <v>93</v>
      </c>
      <c r="E1142" s="29" t="s">
        <v>89</v>
      </c>
      <c r="F1142" s="4">
        <f>IFERROR(AVERAGEIF(Table1[[#This Row],[2019-Apr]:[2025-July]],"&lt;&gt;0"),0)</f>
        <v>2.0333333333333332</v>
      </c>
      <c r="G1142" s="4">
        <f ca="1">IFERROR(AVERAGEIF(OFFSET(Table1[[#This Row],[Status]],0,COUNT(Table1[[#This Row],[2019-May]:[2025-July]]),1,-12),"&lt;&gt;0"),0)</f>
        <v>2.25</v>
      </c>
      <c r="H1142" s="55">
        <f>IFERROR(SMALL(Table1[[#This Row],[2019-Apr]:[2025-July]],COUNTIF(Table1[[#This Row],[2019-Apr]:[2025-July]],0)+1),0)</f>
        <v>1.4</v>
      </c>
      <c r="I1142" s="56">
        <f>IFERROR(MAX(Table1[[#This Row],[2019-Apr]:[2025-July]]),0)</f>
        <v>3.1</v>
      </c>
      <c r="J1142" s="4" cm="1">
        <f t="array" ref="J114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2.0333333333333332</v>
      </c>
      <c r="K1142" s="4">
        <v>4.5</v>
      </c>
      <c r="L1142" s="4">
        <f>IF(Table1[[#This Row],[Standard as per ISO]]&gt;=Table1[[#This Row],[Avg of best 6]],Table1[[#This Row],[Standard as per ISO]],Table1[[#This Row],[Avg of best 6]])</f>
        <v>4.5</v>
      </c>
      <c r="M1142" s="4" cm="1">
        <f t="array" ref="M1142">IFERROR(LOOKUP(2,1/(Table1[[#This Row],[2019-May]:[2025-July]]&lt;&gt;0),Table1[[#This Row],[2019-May]:[2025-July]]),0)</f>
        <v>1.6</v>
      </c>
      <c r="N1142" s="4">
        <f>COUNTIF(Table1[[#This Row],[2019-Apr]:[2025-July]],"&gt;="&amp;Table1[[#This Row],[Target]])</f>
        <v>0</v>
      </c>
      <c r="O1142" s="4">
        <f>IF(Table1[[#This Row],[Outliers 2Y]]=0,1,0)</f>
        <v>1</v>
      </c>
      <c r="P1142" s="4">
        <f>IF(Table1[[#This Row],[Last value]]&gt;1.5*Table1[[#This Row],[Target]],1,0)</f>
        <v>0</v>
      </c>
      <c r="Q1142" s="4">
        <f>IF(AND(1.5*Table1[[#This Row],[Target]]&gt;=Table1[[#This Row],[Last value]],Table1[[#This Row],[Last value]]&gt;Table1[[#This Row],[Target]]),1,0)</f>
        <v>0</v>
      </c>
      <c r="R1142" s="4">
        <f>IF(Table1[[#This Row],[Target]]&gt;=Table1[[#This Row],[Last value]],1,0)</f>
        <v>1</v>
      </c>
      <c r="S1142" s="4" t="str">
        <f t="shared" si="29"/>
        <v>Green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34">
        <v>0</v>
      </c>
      <c r="CK1142" s="34">
        <v>0</v>
      </c>
      <c r="CL1142" s="43">
        <v>0</v>
      </c>
      <c r="CM1142" s="4">
        <v>0</v>
      </c>
      <c r="CN1142" s="53">
        <v>0</v>
      </c>
      <c r="CO1142" s="54">
        <v>1.4</v>
      </c>
      <c r="CP1142" s="54">
        <v>3.1</v>
      </c>
      <c r="CQ1142" s="4">
        <v>1.6</v>
      </c>
    </row>
    <row r="1143" spans="1:95" s="55" customFormat="1" x14ac:dyDescent="0.35">
      <c r="A1143" s="55">
        <v>1142</v>
      </c>
      <c r="B1143" s="55" t="s">
        <v>122</v>
      </c>
      <c r="C1143" s="29" t="s">
        <v>1557</v>
      </c>
      <c r="D1143" s="50" t="s">
        <v>1560</v>
      </c>
      <c r="E1143" s="29" t="s">
        <v>89</v>
      </c>
      <c r="F1143" s="4">
        <f>IFERROR(AVERAGEIF(Table1[[#This Row],[2019-Apr]:[2025-July]],"&lt;&gt;0"),0)</f>
        <v>6.5</v>
      </c>
      <c r="G1143" s="4">
        <f ca="1">IFERROR(AVERAGEIF(OFFSET(Table1[[#This Row],[Status]],0,COUNT(Table1[[#This Row],[2019-May]:[2025-July]]),1,-12),"&lt;&gt;0"),0)</f>
        <v>0</v>
      </c>
      <c r="H1143" s="55">
        <f>IFERROR(SMALL(Table1[[#This Row],[2019-Apr]:[2025-July]],COUNTIF(Table1[[#This Row],[2019-Apr]:[2025-July]],0)+1),0)</f>
        <v>6.5</v>
      </c>
      <c r="I1143" s="56">
        <f>IFERROR(MAX(Table1[[#This Row],[2019-Apr]:[2025-July]]),0)</f>
        <v>6.5</v>
      </c>
      <c r="J1143" s="4" cm="1">
        <f t="array" ref="J114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6.5</v>
      </c>
      <c r="K1143" s="4">
        <v>4.5</v>
      </c>
      <c r="L1143" s="4">
        <f>IF(Table1[[#This Row],[Standard as per ISO]]&gt;=Table1[[#This Row],[Avg of best 6]],Table1[[#This Row],[Standard as per ISO]],Table1[[#This Row],[Avg of best 6]])</f>
        <v>6.5</v>
      </c>
      <c r="M1143" s="4" cm="1">
        <f t="array" ref="M1143">IFERROR(LOOKUP(2,1/(Table1[[#This Row],[2019-May]:[2025-July]]&lt;&gt;0),Table1[[#This Row],[2019-May]:[2025-July]]),0)</f>
        <v>6.5</v>
      </c>
      <c r="N1143" s="4">
        <f>COUNTIF(Table1[[#This Row],[2019-Apr]:[2025-July]],"&gt;="&amp;Table1[[#This Row],[Target]])</f>
        <v>1</v>
      </c>
      <c r="O1143" s="4">
        <f>IF(Table1[[#This Row],[Outliers 2Y]]=0,1,0)</f>
        <v>0</v>
      </c>
      <c r="P1143" s="4">
        <f>IF(Table1[[#This Row],[Last value]]&gt;1.5*Table1[[#This Row],[Target]],1,0)</f>
        <v>0</v>
      </c>
      <c r="Q1143" s="4">
        <f>IF(AND(1.5*Table1[[#This Row],[Target]]&gt;=Table1[[#This Row],[Last value]],Table1[[#This Row],[Last value]]&gt;Table1[[#This Row],[Target]]),1,0)</f>
        <v>0</v>
      </c>
      <c r="R1143" s="4">
        <f>IF(Table1[[#This Row],[Target]]&gt;=Table1[[#This Row],[Last value]],1,0)</f>
        <v>1</v>
      </c>
      <c r="S1143" s="4" t="str">
        <f>IF(P1143=1, "Red", IF(Q1143=1, "Yellow", "Green"))</f>
        <v>Green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0</v>
      </c>
      <c r="CP1143" s="57">
        <v>0</v>
      </c>
      <c r="CQ1143" s="4">
        <v>6.5</v>
      </c>
    </row>
    <row r="1144" spans="1:95" s="55" customFormat="1" x14ac:dyDescent="0.35">
      <c r="A1144" s="55">
        <v>1143</v>
      </c>
      <c r="B1144" s="55" t="s">
        <v>122</v>
      </c>
      <c r="C1144" s="29" t="s">
        <v>1558</v>
      </c>
      <c r="D1144" s="50" t="s">
        <v>93</v>
      </c>
      <c r="E1144" s="29" t="s">
        <v>89</v>
      </c>
      <c r="F1144" s="4">
        <f>IFERROR(AVERAGEIF(Table1[[#This Row],[2019-Apr]:[2025-July]],"&lt;&gt;0"),0)</f>
        <v>1.2</v>
      </c>
      <c r="G1144" s="4">
        <f ca="1">IFERROR(AVERAGEIF(OFFSET(Table1[[#This Row],[Status]],0,COUNT(Table1[[#This Row],[2019-May]:[2025-July]]),1,-12),"&lt;&gt;0"),0)</f>
        <v>0</v>
      </c>
      <c r="H1144" s="55">
        <f>IFERROR(SMALL(Table1[[#This Row],[2019-Apr]:[2025-July]],COUNTIF(Table1[[#This Row],[2019-Apr]:[2025-July]],0)+1),0)</f>
        <v>1.2</v>
      </c>
      <c r="I1144" s="56">
        <f>IFERROR(MAX(Table1[[#This Row],[2019-Apr]:[2025-July]]),0)</f>
        <v>1.2</v>
      </c>
      <c r="J1144" s="4" cm="1">
        <f t="array" ref="J114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</v>
      </c>
      <c r="K1144" s="4">
        <v>4.5</v>
      </c>
      <c r="L1144" s="4">
        <f>IF(Table1[[#This Row],[Standard as per ISO]]&gt;=Table1[[#This Row],[Avg of best 6]],Table1[[#This Row],[Standard as per ISO]],Table1[[#This Row],[Avg of best 6]])</f>
        <v>4.5</v>
      </c>
      <c r="M1144" s="4" cm="1">
        <f t="array" ref="M1144">IFERROR(LOOKUP(2,1/(Table1[[#This Row],[2019-May]:[2025-July]]&lt;&gt;0),Table1[[#This Row],[2019-May]:[2025-July]]),0)</f>
        <v>1.2</v>
      </c>
      <c r="N1144" s="4">
        <f>COUNTIF(Table1[[#This Row],[2019-Apr]:[2025-July]],"&gt;="&amp;Table1[[#This Row],[Target]])</f>
        <v>0</v>
      </c>
      <c r="O1144" s="4">
        <f>IF(Table1[[#This Row],[Outliers 2Y]]=0,1,0)</f>
        <v>1</v>
      </c>
      <c r="P1144" s="4">
        <f>IF(Table1[[#This Row],[Last value]]&gt;1.5*Table1[[#This Row],[Target]],1,0)</f>
        <v>0</v>
      </c>
      <c r="Q1144" s="4">
        <f>IF(AND(1.5*Table1[[#This Row],[Target]]&gt;=Table1[[#This Row],[Last value]],Table1[[#This Row],[Last value]]&gt;Table1[[#This Row],[Target]]),1,0)</f>
        <v>0</v>
      </c>
      <c r="R1144" s="4">
        <f>IF(Table1[[#This Row],[Target]]&gt;=Table1[[#This Row],[Last value]],1,0)</f>
        <v>1</v>
      </c>
      <c r="S1144" s="4" t="str">
        <f>IF(P1144=1, "Red", IF(Q1144=1, "Yellow", "Green"))</f>
        <v>Green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0</v>
      </c>
      <c r="CP1144" s="57">
        <v>0</v>
      </c>
      <c r="CQ1144" s="4">
        <v>1.2</v>
      </c>
    </row>
    <row r="1145" spans="1:95" s="55" customFormat="1" x14ac:dyDescent="0.35">
      <c r="A1145" s="55">
        <v>1144</v>
      </c>
      <c r="B1145" s="55" t="s">
        <v>122</v>
      </c>
      <c r="C1145" s="29" t="s">
        <v>1559</v>
      </c>
      <c r="D1145" s="50" t="s">
        <v>93</v>
      </c>
      <c r="E1145" s="29" t="s">
        <v>89</v>
      </c>
      <c r="F1145" s="4">
        <f>IFERROR(AVERAGEIF(Table1[[#This Row],[2019-Apr]:[2025-July]],"&lt;&gt;0"),0)</f>
        <v>4.8499999999999996</v>
      </c>
      <c r="G1145" s="4">
        <f ca="1">IFERROR(AVERAGEIF(OFFSET(Table1[[#This Row],[Status]],0,COUNT(Table1[[#This Row],[2019-May]:[2025-July]]),1,-12),"&lt;&gt;0"),0)</f>
        <v>4.7</v>
      </c>
      <c r="H1145" s="55">
        <f>IFERROR(SMALL(Table1[[#This Row],[2019-Apr]:[2025-July]],COUNTIF(Table1[[#This Row],[2019-Apr]:[2025-July]],0)+1),0)</f>
        <v>4.7</v>
      </c>
      <c r="I1145" s="56">
        <f>IFERROR(MAX(Table1[[#This Row],[2019-Apr]:[2025-July]]),0)</f>
        <v>5</v>
      </c>
      <c r="J1145" s="4" cm="1">
        <f t="array" ref="J114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4.8499999999999996</v>
      </c>
      <c r="K1145" s="4">
        <v>4.5</v>
      </c>
      <c r="L1145" s="4">
        <f>IF(Table1[[#This Row],[Standard as per ISO]]&gt;=Table1[[#This Row],[Avg of best 6]],Table1[[#This Row],[Standard as per ISO]],Table1[[#This Row],[Avg of best 6]])</f>
        <v>4.8499999999999996</v>
      </c>
      <c r="M1145" s="4" cm="1">
        <f t="array" ref="M1145">IFERROR(LOOKUP(2,1/(Table1[[#This Row],[2019-May]:[2025-July]]&lt;&gt;0),Table1[[#This Row],[2019-May]:[2025-July]]),0)</f>
        <v>5</v>
      </c>
      <c r="N1145" s="4">
        <f>COUNTIF(Table1[[#This Row],[2019-Apr]:[2025-July]],"&gt;="&amp;Table1[[#This Row],[Target]])</f>
        <v>1</v>
      </c>
      <c r="O1145" s="4">
        <f>IF(Table1[[#This Row],[Outliers 2Y]]=0,1,0)</f>
        <v>0</v>
      </c>
      <c r="P1145" s="4">
        <f>IF(Table1[[#This Row],[Last value]]&gt;1.5*Table1[[#This Row],[Target]],1,0)</f>
        <v>0</v>
      </c>
      <c r="Q1145" s="4">
        <f>IF(AND(1.5*Table1[[#This Row],[Target]]&gt;=Table1[[#This Row],[Last value]],Table1[[#This Row],[Last value]]&gt;Table1[[#This Row],[Target]]),1,0)</f>
        <v>1</v>
      </c>
      <c r="R1145" s="4">
        <f>IF(Table1[[#This Row],[Target]]&gt;=Table1[[#This Row],[Last value]],1,0)</f>
        <v>0</v>
      </c>
      <c r="S1145" s="4" t="str">
        <f>IF(P1145=1, "Red", IF(Q1145=1, "Yellow", "Green"))</f>
        <v>Yellow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0</v>
      </c>
      <c r="CP1145" s="57">
        <v>4.7</v>
      </c>
      <c r="CQ1145" s="4">
        <v>5</v>
      </c>
    </row>
    <row r="1146" spans="1:95" x14ac:dyDescent="0.35">
      <c r="A1146" s="55">
        <v>1145</v>
      </c>
      <c r="B1146" t="s">
        <v>125</v>
      </c>
      <c r="C1146" s="27" t="s">
        <v>1216</v>
      </c>
      <c r="D1146" s="3" t="s">
        <v>93</v>
      </c>
      <c r="E1146" s="27" t="s">
        <v>89</v>
      </c>
      <c r="F1146" s="4">
        <f>IFERROR(AVERAGEIF(Table1[[#This Row],[2019-Apr]:[2025-July]],"&lt;&gt;0"),0)</f>
        <v>0.98904761904761906</v>
      </c>
      <c r="G1146" s="4">
        <f ca="1">IFERROR(AVERAGEIF(OFFSET(Table1[[#This Row],[Status]],0,COUNT(Table1[[#This Row],[2019-May]:[2025-July]]),1,-12),"&lt;&gt;0"),0)</f>
        <v>0.79636363636363638</v>
      </c>
      <c r="H1146" s="55">
        <f>IFERROR(SMALL(Table1[[#This Row],[2019-Apr]:[2025-July]],COUNTIF(Table1[[#This Row],[2019-Apr]:[2025-July]],0)+1),0)</f>
        <v>0.6</v>
      </c>
      <c r="I1146" s="56">
        <f>IFERROR(MAX(Table1[[#This Row],[2019-Apr]:[2025-July]]),0)</f>
        <v>3.15</v>
      </c>
      <c r="J1146" s="4" cm="1">
        <f t="array" ref="J114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0.67333333333333334</v>
      </c>
      <c r="K1146" s="4">
        <v>4.5</v>
      </c>
      <c r="L1146" s="4">
        <f>IF(Table1[[#This Row],[Standard as per ISO]]&gt;=Table1[[#This Row],[Avg of best 6]],Table1[[#This Row],[Standard as per ISO]],Table1[[#This Row],[Avg of best 6]])</f>
        <v>4.5</v>
      </c>
      <c r="M1146" s="4" cm="1">
        <f t="array" ref="M1146">IFERROR(LOOKUP(2,1/(Table1[[#This Row],[2019-May]:[2025-July]]&lt;&gt;0),Table1[[#This Row],[2019-May]:[2025-July]]),0)</f>
        <v>0.7</v>
      </c>
      <c r="N1146" s="4">
        <f>COUNTIF(Table1[[#This Row],[2019-Apr]:[2025-July]],"&gt;="&amp;Table1[[#This Row],[Target]])</f>
        <v>0</v>
      </c>
      <c r="O1146" s="4">
        <f>IF(Table1[[#This Row],[Outliers 2Y]]=0,1,0)</f>
        <v>1</v>
      </c>
      <c r="P1146" s="4">
        <f>IF(Table1[[#This Row],[Last value]]&gt;1.5*Table1[[#This Row],[Target]],1,0)</f>
        <v>0</v>
      </c>
      <c r="Q1146" s="4">
        <f>IF(AND(1.5*Table1[[#This Row],[Target]]&gt;=Table1[[#This Row],[Last value]],Table1[[#This Row],[Last value]]&gt;Table1[[#This Row],[Target]]),1,0)</f>
        <v>0</v>
      </c>
      <c r="R1146" s="4">
        <f>IF(Table1[[#This Row],[Target]]&gt;=Table1[[#This Row],[Last value]],1,0)</f>
        <v>1</v>
      </c>
      <c r="S1146" s="4" t="str">
        <f t="shared" si="29"/>
        <v>Green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1.8</v>
      </c>
      <c r="BQ1146" s="4">
        <v>0</v>
      </c>
      <c r="BR1146" s="4">
        <v>0</v>
      </c>
      <c r="BS1146" s="4">
        <v>0</v>
      </c>
      <c r="BT1146" s="4">
        <v>3.15</v>
      </c>
      <c r="BU1146" s="4">
        <v>0</v>
      </c>
      <c r="BV1146" s="4">
        <v>0</v>
      </c>
      <c r="BW1146" s="4">
        <v>0.86</v>
      </c>
      <c r="BX1146" s="4">
        <v>0</v>
      </c>
      <c r="BY1146" s="4">
        <v>1.03</v>
      </c>
      <c r="BZ1146" s="4">
        <v>0.97</v>
      </c>
      <c r="CA1146" s="4">
        <v>0.89</v>
      </c>
      <c r="CB1146" s="4">
        <v>1.1299999999999999</v>
      </c>
      <c r="CC1146" s="4">
        <v>0.76</v>
      </c>
      <c r="CD1146" s="4">
        <v>0.72</v>
      </c>
      <c r="CE1146" s="4">
        <v>1.44</v>
      </c>
      <c r="CF1146" s="4">
        <v>0.99</v>
      </c>
      <c r="CG1146" s="4">
        <v>0.74</v>
      </c>
      <c r="CH1146" s="4">
        <v>0.75</v>
      </c>
      <c r="CI1146" s="4">
        <v>0.64</v>
      </c>
      <c r="CJ1146" s="38">
        <v>0.8</v>
      </c>
      <c r="CK1146" s="34">
        <v>0.7</v>
      </c>
      <c r="CL1146" s="43">
        <v>0.7</v>
      </c>
      <c r="CM1146" s="4">
        <v>0.7</v>
      </c>
      <c r="CN1146" s="53">
        <v>0</v>
      </c>
      <c r="CO1146" s="54">
        <v>0.7</v>
      </c>
      <c r="CP1146" s="54">
        <v>0.6</v>
      </c>
      <c r="CQ1146" s="4">
        <v>0.7</v>
      </c>
    </row>
    <row r="1147" spans="1:95" x14ac:dyDescent="0.35">
      <c r="A1147" s="55">
        <v>1146</v>
      </c>
      <c r="B1147" t="s">
        <v>125</v>
      </c>
      <c r="C1147" s="27" t="s">
        <v>1217</v>
      </c>
      <c r="D1147" s="3" t="s">
        <v>93</v>
      </c>
      <c r="E1147" s="27" t="s">
        <v>89</v>
      </c>
      <c r="F1147" s="4">
        <f>IFERROR(AVERAGEIF(Table1[[#This Row],[2019-Apr]:[2025-July]],"&lt;&gt;0"),0)</f>
        <v>2.5778260869565224</v>
      </c>
      <c r="G1147" s="4">
        <f ca="1">IFERROR(AVERAGEIF(OFFSET(Table1[[#This Row],[Status]],0,COUNT(Table1[[#This Row],[2019-May]:[2025-July]]),1,-12),"&lt;&gt;0"),0)</f>
        <v>2.641</v>
      </c>
      <c r="H1147" s="55">
        <f>IFERROR(SMALL(Table1[[#This Row],[2019-Apr]:[2025-July]],COUNTIF(Table1[[#This Row],[2019-Apr]:[2025-July]],0)+1),0)</f>
        <v>1.2</v>
      </c>
      <c r="I1147" s="56">
        <f>IFERROR(MAX(Table1[[#This Row],[2019-Apr]:[2025-July]]),0)</f>
        <v>3.77</v>
      </c>
      <c r="J1147" s="4" cm="1">
        <f t="array" ref="J114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1.803333333333333</v>
      </c>
      <c r="K1147" s="4">
        <v>4.5</v>
      </c>
      <c r="L1147" s="4">
        <f>IF(Table1[[#This Row],[Standard as per ISO]]&gt;=Table1[[#This Row],[Avg of best 6]],Table1[[#This Row],[Standard as per ISO]],Table1[[#This Row],[Avg of best 6]])</f>
        <v>4.5</v>
      </c>
      <c r="M1147" s="4" cm="1">
        <f t="array" ref="M1147">IFERROR(LOOKUP(2,1/(Table1[[#This Row],[2019-May]:[2025-July]]&lt;&gt;0),Table1[[#This Row],[2019-May]:[2025-July]]),0)</f>
        <v>1.8</v>
      </c>
      <c r="N1147" s="4">
        <f>COUNTIF(Table1[[#This Row],[2019-Apr]:[2025-July]],"&gt;="&amp;Table1[[#This Row],[Target]])</f>
        <v>0</v>
      </c>
      <c r="O1147" s="4">
        <f>IF(Table1[[#This Row],[Outliers 2Y]]=0,1,0)</f>
        <v>1</v>
      </c>
      <c r="P1147" s="4">
        <f>IF(Table1[[#This Row],[Last value]]&gt;1.5*Table1[[#This Row],[Target]],1,0)</f>
        <v>0</v>
      </c>
      <c r="Q1147" s="4">
        <f>IF(AND(1.5*Table1[[#This Row],[Target]]&gt;=Table1[[#This Row],[Last value]],Table1[[#This Row],[Last value]]&gt;Table1[[#This Row],[Target]]),1,0)</f>
        <v>0</v>
      </c>
      <c r="R1147" s="4">
        <f>IF(Table1[[#This Row],[Target]]&gt;=Table1[[#This Row],[Last value]],1,0)</f>
        <v>1</v>
      </c>
      <c r="S1147" s="4" t="str">
        <f t="shared" si="29"/>
        <v>Green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3.54</v>
      </c>
      <c r="BQ1147" s="4">
        <v>2.77</v>
      </c>
      <c r="BR1147" s="4">
        <v>2.48</v>
      </c>
      <c r="BS1147" s="4">
        <v>3.38</v>
      </c>
      <c r="BT1147" s="4">
        <v>2.29</v>
      </c>
      <c r="BU1147" s="4">
        <v>0</v>
      </c>
      <c r="BV1147" s="4">
        <v>0</v>
      </c>
      <c r="BW1147" s="4">
        <v>2.35</v>
      </c>
      <c r="BX1147" s="4">
        <v>0</v>
      </c>
      <c r="BY1147" s="4">
        <v>3.41</v>
      </c>
      <c r="BZ1147" s="4">
        <v>1.93</v>
      </c>
      <c r="CA1147" s="4">
        <v>1.93</v>
      </c>
      <c r="CB1147" s="4">
        <v>2.91</v>
      </c>
      <c r="CC1147" s="4">
        <v>2.16</v>
      </c>
      <c r="CD1147" s="4">
        <v>1.93</v>
      </c>
      <c r="CE1147" s="4">
        <v>2.0299999999999998</v>
      </c>
      <c r="CF1147" s="4">
        <v>2.34</v>
      </c>
      <c r="CG1147" s="4">
        <v>0</v>
      </c>
      <c r="CH1147" s="4">
        <v>3.47</v>
      </c>
      <c r="CI1147" s="4">
        <v>3.77</v>
      </c>
      <c r="CJ1147" s="38">
        <v>2.7</v>
      </c>
      <c r="CK1147" s="34">
        <v>2.6</v>
      </c>
      <c r="CL1147" s="43">
        <v>2.6</v>
      </c>
      <c r="CM1147" s="4">
        <v>1.2</v>
      </c>
      <c r="CN1147" s="53">
        <v>0</v>
      </c>
      <c r="CO1147" s="54">
        <v>2.7</v>
      </c>
      <c r="CP1147" s="54">
        <v>3</v>
      </c>
      <c r="CQ1147" s="4">
        <v>1.8</v>
      </c>
    </row>
    <row r="1148" spans="1:95" x14ac:dyDescent="0.35">
      <c r="A1148" s="55">
        <v>1147</v>
      </c>
      <c r="B1148" t="s">
        <v>125</v>
      </c>
      <c r="C1148" s="27" t="s">
        <v>1218</v>
      </c>
      <c r="D1148" s="3" t="s">
        <v>93</v>
      </c>
      <c r="E1148" s="27" t="s">
        <v>89</v>
      </c>
      <c r="F1148" s="4">
        <f>IFERROR(AVERAGEIF(Table1[[#This Row],[2019-Apr]:[2025-July]],"&lt;&gt;0"),0)</f>
        <v>1.4857142857142858</v>
      </c>
      <c r="G1148" s="4">
        <f ca="1">IFERROR(AVERAGEIF(OFFSET(Table1[[#This Row],[Status]],0,COUNT(Table1[[#This Row],[2019-May]:[2025-July]]),1,-12),"&lt;&gt;0"),0)</f>
        <v>1.5677777777777777</v>
      </c>
      <c r="H1148" s="55">
        <f>IFERROR(SMALL(Table1[[#This Row],[2019-Apr]:[2025-July]],COUNTIF(Table1[[#This Row],[2019-Apr]:[2025-July]],0)+1),0)</f>
        <v>0.95</v>
      </c>
      <c r="I1148" s="56">
        <f>IFERROR(MAX(Table1[[#This Row],[2019-Apr]:[2025-July]]),0)</f>
        <v>2.9</v>
      </c>
      <c r="J1148" s="4" cm="1">
        <f t="array" ref="J114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1.0416666666666667</v>
      </c>
      <c r="K1148" s="4">
        <v>4.5</v>
      </c>
      <c r="L1148" s="4">
        <f>IF(Table1[[#This Row],[Standard as per ISO]]&gt;=Table1[[#This Row],[Avg of best 6]],Table1[[#This Row],[Standard as per ISO]],Table1[[#This Row],[Avg of best 6]])</f>
        <v>4.5</v>
      </c>
      <c r="M1148" s="4" cm="1">
        <f t="array" ref="M1148">IFERROR(LOOKUP(2,1/(Table1[[#This Row],[2019-May]:[2025-July]]&lt;&gt;0),Table1[[#This Row],[2019-May]:[2025-July]]),0)</f>
        <v>2.9</v>
      </c>
      <c r="N1148" s="4">
        <f>COUNTIF(Table1[[#This Row],[2019-Apr]:[2025-July]],"&gt;="&amp;Table1[[#This Row],[Target]])</f>
        <v>0</v>
      </c>
      <c r="O1148" s="4">
        <f>IF(Table1[[#This Row],[Outliers 2Y]]=0,1,0)</f>
        <v>1</v>
      </c>
      <c r="P1148" s="4">
        <f>IF(Table1[[#This Row],[Last value]]&gt;1.5*Table1[[#This Row],[Target]],1,0)</f>
        <v>0</v>
      </c>
      <c r="Q1148" s="4">
        <f>IF(AND(1.5*Table1[[#This Row],[Target]]&gt;=Table1[[#This Row],[Last value]],Table1[[#This Row],[Last value]]&gt;Table1[[#This Row],[Target]]),1,0)</f>
        <v>0</v>
      </c>
      <c r="R1148" s="4">
        <f>IF(Table1[[#This Row],[Target]]&gt;=Table1[[#This Row],[Last value]],1,0)</f>
        <v>1</v>
      </c>
      <c r="S1148" s="4" t="str">
        <f t="shared" si="29"/>
        <v>Green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1.55</v>
      </c>
      <c r="BQ1148" s="4">
        <v>1.4</v>
      </c>
      <c r="BR1148" s="4">
        <v>1.35</v>
      </c>
      <c r="BS1148" s="4">
        <v>1.69</v>
      </c>
      <c r="BT1148" s="4">
        <v>1.45</v>
      </c>
      <c r="BU1148" s="4">
        <v>0</v>
      </c>
      <c r="BV1148" s="4">
        <v>0</v>
      </c>
      <c r="BW1148" s="4">
        <v>1.1200000000000001</v>
      </c>
      <c r="BX1148" s="4">
        <v>0</v>
      </c>
      <c r="BY1148" s="4">
        <v>0.95</v>
      </c>
      <c r="BZ1148" s="4">
        <v>1.48</v>
      </c>
      <c r="CA1148" s="4">
        <v>0</v>
      </c>
      <c r="CB1148" s="4">
        <v>1.05</v>
      </c>
      <c r="CC1148" s="4">
        <v>1.1599999999999999</v>
      </c>
      <c r="CD1148" s="4">
        <v>0.99</v>
      </c>
      <c r="CE1148" s="4">
        <v>0.98</v>
      </c>
      <c r="CF1148" s="4">
        <v>0</v>
      </c>
      <c r="CG1148" s="4">
        <v>0</v>
      </c>
      <c r="CH1148" s="4">
        <v>1.42</v>
      </c>
      <c r="CI1148" s="4">
        <v>1.61</v>
      </c>
      <c r="CJ1148" s="38">
        <v>1.5</v>
      </c>
      <c r="CK1148" s="34">
        <v>1.7</v>
      </c>
      <c r="CL1148" s="43">
        <v>1.5</v>
      </c>
      <c r="CM1148" s="4">
        <v>1.6</v>
      </c>
      <c r="CN1148" s="53">
        <v>0</v>
      </c>
      <c r="CO1148" s="54">
        <v>1.7</v>
      </c>
      <c r="CP1148" s="54">
        <v>2.1</v>
      </c>
      <c r="CQ1148" s="4">
        <v>2.9</v>
      </c>
    </row>
    <row r="1149" spans="1:95" x14ac:dyDescent="0.35">
      <c r="A1149" s="55">
        <v>1148</v>
      </c>
      <c r="B1149" t="s">
        <v>125</v>
      </c>
      <c r="C1149" s="27" t="s">
        <v>1219</v>
      </c>
      <c r="D1149" s="3" t="s">
        <v>93</v>
      </c>
      <c r="E1149" s="27" t="s">
        <v>89</v>
      </c>
      <c r="F1149" s="4">
        <f>IFERROR(AVERAGEIF(Table1[[#This Row],[2019-Apr]:[2025-July]],"&lt;&gt;0"),0)</f>
        <v>3.8884615384615384</v>
      </c>
      <c r="G1149" s="4">
        <f ca="1">IFERROR(AVERAGEIF(OFFSET(Table1[[#This Row],[Status]],0,COUNT(Table1[[#This Row],[2019-May]:[2025-July]]),1,-12),"&lt;&gt;0"),0)</f>
        <v>3.96</v>
      </c>
      <c r="H1149" s="55">
        <f>IFERROR(SMALL(Table1[[#This Row],[2019-Apr]:[2025-July]],COUNTIF(Table1[[#This Row],[2019-Apr]:[2025-July]],0)+1),0)</f>
        <v>3.21</v>
      </c>
      <c r="I1149" s="56">
        <f>IFERROR(MAX(Table1[[#This Row],[2019-Apr]:[2025-July]]),0)</f>
        <v>4.17</v>
      </c>
      <c r="J1149" s="4" cm="1">
        <f t="array" ref="J114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3.6966666666666668</v>
      </c>
      <c r="K1149" s="4">
        <v>4.5</v>
      </c>
      <c r="L1149" s="4">
        <f>IF(Table1[[#This Row],[Standard as per ISO]]&gt;=Table1[[#This Row],[Avg of best 6]],Table1[[#This Row],[Standard as per ISO]],Table1[[#This Row],[Avg of best 6]])</f>
        <v>4.5</v>
      </c>
      <c r="M1149" s="4" cm="1">
        <f t="array" ref="M1149">IFERROR(LOOKUP(2,1/(Table1[[#This Row],[2019-May]:[2025-July]]&lt;&gt;0),Table1[[#This Row],[2019-May]:[2025-July]]),0)</f>
        <v>3.8</v>
      </c>
      <c r="N1149" s="4">
        <f>COUNTIF(Table1[[#This Row],[2019-Apr]:[2025-July]],"&gt;="&amp;Table1[[#This Row],[Target]])</f>
        <v>0</v>
      </c>
      <c r="O1149" s="4">
        <f>IF(Table1[[#This Row],[Outliers 2Y]]=0,1,0)</f>
        <v>1</v>
      </c>
      <c r="P1149" s="4">
        <f>IF(Table1[[#This Row],[Last value]]&gt;1.5*Table1[[#This Row],[Target]],1,0)</f>
        <v>0</v>
      </c>
      <c r="Q1149" s="4">
        <f>IF(AND(1.5*Table1[[#This Row],[Target]]&gt;=Table1[[#This Row],[Last value]],Table1[[#This Row],[Last value]]&gt;Table1[[#This Row],[Target]]),1,0)</f>
        <v>0</v>
      </c>
      <c r="R1149" s="4">
        <f>IF(Table1[[#This Row],[Target]]&gt;=Table1[[#This Row],[Last value]],1,0)</f>
        <v>1</v>
      </c>
      <c r="S1149" s="4" t="str">
        <f t="shared" si="29"/>
        <v>Green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4.09</v>
      </c>
      <c r="BX1149" s="4">
        <v>0</v>
      </c>
      <c r="BY1149" s="4">
        <v>4.04</v>
      </c>
      <c r="BZ1149" s="4">
        <v>3.98</v>
      </c>
      <c r="CA1149" s="4">
        <v>4.09</v>
      </c>
      <c r="CB1149" s="4">
        <v>3.9</v>
      </c>
      <c r="CC1149" s="4">
        <v>3.21</v>
      </c>
      <c r="CD1149" s="4">
        <v>3.64</v>
      </c>
      <c r="CE1149" s="4">
        <v>4.17</v>
      </c>
      <c r="CF1149" s="4">
        <v>0</v>
      </c>
      <c r="CG1149" s="4">
        <v>3.93</v>
      </c>
      <c r="CH1149" s="4">
        <v>0</v>
      </c>
      <c r="CI1149" s="4">
        <v>0</v>
      </c>
      <c r="CJ1149" s="34">
        <v>0</v>
      </c>
      <c r="CK1149" s="34">
        <v>4</v>
      </c>
      <c r="CL1149" s="34">
        <v>0</v>
      </c>
      <c r="CM1149" s="52">
        <v>0</v>
      </c>
      <c r="CN1149" s="53">
        <v>0</v>
      </c>
      <c r="CO1149" s="54">
        <v>4</v>
      </c>
      <c r="CP1149" s="54">
        <v>3.7</v>
      </c>
      <c r="CQ1149" s="4">
        <v>3.8</v>
      </c>
    </row>
    <row r="1150" spans="1:95" x14ac:dyDescent="0.35">
      <c r="A1150" s="55">
        <v>1149</v>
      </c>
      <c r="B1150" t="s">
        <v>125</v>
      </c>
      <c r="C1150" s="27" t="s">
        <v>1220</v>
      </c>
      <c r="D1150" s="3" t="s">
        <v>93</v>
      </c>
      <c r="E1150" s="27" t="s">
        <v>89</v>
      </c>
      <c r="F1150" s="4">
        <f>IFERROR(AVERAGEIF(Table1[[#This Row],[2019-Apr]:[2025-July]],"&lt;&gt;0"),0)</f>
        <v>4.1640000000000006</v>
      </c>
      <c r="G1150" s="4">
        <f ca="1">IFERROR(AVERAGEIF(OFFSET(Table1[[#This Row],[Status]],0,COUNT(Table1[[#This Row],[2019-May]:[2025-July]]),1,-12),"&lt;&gt;0"),0)</f>
        <v>4.2216666666666658</v>
      </c>
      <c r="H1150" s="55">
        <f>IFERROR(SMALL(Table1[[#This Row],[2019-Apr]:[2025-July]],COUNTIF(Table1[[#This Row],[2019-Apr]:[2025-July]],0)+1),0)</f>
        <v>3.4</v>
      </c>
      <c r="I1150" s="56">
        <f>IFERROR(MAX(Table1[[#This Row],[2019-Apr]:[2025-July]]),0)</f>
        <v>5.6</v>
      </c>
      <c r="J1150" s="4" cm="1">
        <f t="array" ref="J115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3.7466666666666661</v>
      </c>
      <c r="K1150" s="4">
        <v>4.5</v>
      </c>
      <c r="L1150" s="4">
        <f>IF(Table1[[#This Row],[Standard as per ISO]]&gt;=Table1[[#This Row],[Avg of best 6]],Table1[[#This Row],[Standard as per ISO]],Table1[[#This Row],[Avg of best 6]])</f>
        <v>4.5</v>
      </c>
      <c r="M1150" s="4" cm="1">
        <f t="array" ref="M1150">IFERROR(LOOKUP(2,1/(Table1[[#This Row],[2019-May]:[2025-July]]&lt;&gt;0),Table1[[#This Row],[2019-May]:[2025-July]]),0)</f>
        <v>3.7</v>
      </c>
      <c r="N1150" s="4">
        <f>COUNTIF(Table1[[#This Row],[2019-Apr]:[2025-July]],"&gt;="&amp;Table1[[#This Row],[Target]])</f>
        <v>2</v>
      </c>
      <c r="O1150" s="4">
        <f>IF(Table1[[#This Row],[Outliers 2Y]]=0,1,0)</f>
        <v>0</v>
      </c>
      <c r="P1150" s="4">
        <f>IF(Table1[[#This Row],[Last value]]&gt;1.5*Table1[[#This Row],[Target]],1,0)</f>
        <v>0</v>
      </c>
      <c r="Q1150" s="4">
        <f>IF(AND(1.5*Table1[[#This Row],[Target]]&gt;=Table1[[#This Row],[Last value]],Table1[[#This Row],[Last value]]&gt;Table1[[#This Row],[Target]]),1,0)</f>
        <v>0</v>
      </c>
      <c r="R1150" s="4">
        <f>IF(Table1[[#This Row],[Target]]&gt;=Table1[[#This Row],[Last value]],1,0)</f>
        <v>1</v>
      </c>
      <c r="S1150" s="4" t="str">
        <f t="shared" si="29"/>
        <v>Green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4.2</v>
      </c>
      <c r="BX1150" s="4">
        <v>0</v>
      </c>
      <c r="BY1150" s="4">
        <v>3.9</v>
      </c>
      <c r="BZ1150" s="4">
        <v>0</v>
      </c>
      <c r="CA1150" s="4">
        <v>0</v>
      </c>
      <c r="CB1150" s="4">
        <v>3.81</v>
      </c>
      <c r="CC1150" s="4">
        <v>4.4000000000000004</v>
      </c>
      <c r="CD1150" s="4">
        <v>0</v>
      </c>
      <c r="CE1150" s="4">
        <v>0</v>
      </c>
      <c r="CF1150" s="4">
        <v>4.96</v>
      </c>
      <c r="CG1150" s="4">
        <v>0</v>
      </c>
      <c r="CH1150" s="4">
        <v>5.6</v>
      </c>
      <c r="CI1150" s="4">
        <v>3.77</v>
      </c>
      <c r="CJ1150" s="38">
        <v>3.9</v>
      </c>
      <c r="CK1150" s="34">
        <v>0</v>
      </c>
      <c r="CL1150" s="27">
        <v>3.4</v>
      </c>
      <c r="CM1150" s="52">
        <v>3.7</v>
      </c>
      <c r="CN1150" s="53">
        <v>0</v>
      </c>
      <c r="CO1150" s="54">
        <v>0</v>
      </c>
      <c r="CP1150" s="54">
        <v>0</v>
      </c>
      <c r="CQ1150" s="4">
        <v>0</v>
      </c>
    </row>
    <row r="1151" spans="1:95" x14ac:dyDescent="0.35">
      <c r="A1151" s="55">
        <v>1150</v>
      </c>
      <c r="B1151" t="s">
        <v>125</v>
      </c>
      <c r="C1151" s="27" t="s">
        <v>1221</v>
      </c>
      <c r="D1151" s="3" t="s">
        <v>93</v>
      </c>
      <c r="E1151" s="27" t="s">
        <v>89</v>
      </c>
      <c r="F1151" s="4">
        <f>IFERROR(AVERAGEIF(Table1[[#This Row],[2019-Apr]:[2025-July]],"&lt;&gt;0"),0)</f>
        <v>1.0480769230769231</v>
      </c>
      <c r="G1151" s="4">
        <f ca="1">IFERROR(AVERAGEIF(OFFSET(Table1[[#This Row],[Status]],0,COUNT(Table1[[#This Row],[2019-May]:[2025-July]]),1,-12),"&lt;&gt;0"),0)</f>
        <v>0.80636363636363628</v>
      </c>
      <c r="H1151" s="55">
        <f>IFERROR(SMALL(Table1[[#This Row],[2019-Apr]:[2025-July]],COUNTIF(Table1[[#This Row],[2019-Apr]:[2025-July]],0)+1),0)</f>
        <v>0.46</v>
      </c>
      <c r="I1151" s="56">
        <f>IFERROR(MAX(Table1[[#This Row],[2019-Apr]:[2025-July]]),0)</f>
        <v>7.33</v>
      </c>
      <c r="J1151" s="4" cm="1">
        <f t="array" ref="J115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0.6316666666666666</v>
      </c>
      <c r="K1151" s="4">
        <v>4.5</v>
      </c>
      <c r="L1151" s="4">
        <f>IF(Table1[[#This Row],[Standard as per ISO]]&gt;=Table1[[#This Row],[Avg of best 6]],Table1[[#This Row],[Standard as per ISO]],Table1[[#This Row],[Avg of best 6]])</f>
        <v>4.5</v>
      </c>
      <c r="M1151" s="4" cm="1">
        <f t="array" ref="M1151">IFERROR(LOOKUP(2,1/(Table1[[#This Row],[2019-May]:[2025-July]]&lt;&gt;0),Table1[[#This Row],[2019-May]:[2025-July]]),0)</f>
        <v>0.8</v>
      </c>
      <c r="N1151" s="4">
        <f>COUNTIF(Table1[[#This Row],[2019-Apr]:[2025-July]],"&gt;="&amp;Table1[[#This Row],[Target]])</f>
        <v>1</v>
      </c>
      <c r="O1151" s="4">
        <f>IF(Table1[[#This Row],[Outliers 2Y]]=0,1,0)</f>
        <v>0</v>
      </c>
      <c r="P1151" s="4">
        <f>IF(Table1[[#This Row],[Last value]]&gt;1.5*Table1[[#This Row],[Target]],1,0)</f>
        <v>0</v>
      </c>
      <c r="Q1151" s="4">
        <f>IF(AND(1.5*Table1[[#This Row],[Target]]&gt;=Table1[[#This Row],[Last value]],Table1[[#This Row],[Last value]]&gt;Table1[[#This Row],[Target]]),1,0)</f>
        <v>0</v>
      </c>
      <c r="R1151" s="4">
        <f>IF(Table1[[#This Row],[Target]]&gt;=Table1[[#This Row],[Last value]],1,0)</f>
        <v>1</v>
      </c>
      <c r="S1151" s="4" t="str">
        <f t="shared" si="29"/>
        <v>Green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7.33</v>
      </c>
      <c r="BQ1151" s="4">
        <v>0.62</v>
      </c>
      <c r="BR1151" s="4">
        <v>1.17</v>
      </c>
      <c r="BS1151" s="4">
        <v>0.63</v>
      </c>
      <c r="BT1151" s="4">
        <v>0.46</v>
      </c>
      <c r="BU1151" s="4">
        <v>0.65</v>
      </c>
      <c r="BV1151" s="4">
        <v>0.8</v>
      </c>
      <c r="BW1151" s="4">
        <v>1.0900000000000001</v>
      </c>
      <c r="BX1151" s="4">
        <v>0</v>
      </c>
      <c r="BY1151" s="4">
        <v>0.9</v>
      </c>
      <c r="BZ1151" s="4">
        <v>0.76</v>
      </c>
      <c r="CA1151" s="4">
        <v>0.7</v>
      </c>
      <c r="CB1151" s="4">
        <v>0.83</v>
      </c>
      <c r="CC1151" s="4">
        <v>0.83</v>
      </c>
      <c r="CD1151" s="4">
        <v>0.81</v>
      </c>
      <c r="CE1151" s="4">
        <v>0.79</v>
      </c>
      <c r="CF1151" s="4">
        <v>0.74</v>
      </c>
      <c r="CG1151" s="4">
        <v>0.73</v>
      </c>
      <c r="CH1151" s="4">
        <v>0.97</v>
      </c>
      <c r="CI1151" s="4">
        <v>0.84</v>
      </c>
      <c r="CJ1151" s="38">
        <v>0.8</v>
      </c>
      <c r="CK1151" s="34">
        <v>0.8</v>
      </c>
      <c r="CL1151" s="27">
        <v>0.8</v>
      </c>
      <c r="CM1151" s="52">
        <v>0.8</v>
      </c>
      <c r="CN1151" s="53">
        <v>0</v>
      </c>
      <c r="CO1151" s="54">
        <v>0.8</v>
      </c>
      <c r="CP1151" s="54">
        <v>0.8</v>
      </c>
      <c r="CQ1151" s="4">
        <v>0.8</v>
      </c>
    </row>
    <row r="1152" spans="1:95" x14ac:dyDescent="0.35">
      <c r="A1152" s="55">
        <v>1151</v>
      </c>
      <c r="B1152" t="s">
        <v>125</v>
      </c>
      <c r="C1152" s="27" t="s">
        <v>1222</v>
      </c>
      <c r="D1152" s="3" t="s">
        <v>93</v>
      </c>
      <c r="E1152" s="27" t="s">
        <v>89</v>
      </c>
      <c r="F1152" s="4">
        <f>IFERROR(AVERAGEIF(Table1[[#This Row],[2019-Apr]:[2025-July]],"&lt;&gt;0"),0)</f>
        <v>1.5023076923076921</v>
      </c>
      <c r="G1152" s="4">
        <f ca="1">IFERROR(AVERAGEIF(OFFSET(Table1[[#This Row],[Status]],0,COUNT(Table1[[#This Row],[2019-May]:[2025-July]]),1,-12),"&lt;&gt;0"),0)</f>
        <v>1.4445454545454544</v>
      </c>
      <c r="H1152" s="55">
        <f>IFERROR(SMALL(Table1[[#This Row],[2019-Apr]:[2025-July]],COUNTIF(Table1[[#This Row],[2019-Apr]:[2025-July]],0)+1),0)</f>
        <v>0.5</v>
      </c>
      <c r="I1152" s="56">
        <f>IFERROR(MAX(Table1[[#This Row],[2019-Apr]:[2025-July]]),0)</f>
        <v>8.4</v>
      </c>
      <c r="J1152" s="4" cm="1">
        <f t="array" ref="J115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0.70166666666666666</v>
      </c>
      <c r="K1152" s="4">
        <v>4.5</v>
      </c>
      <c r="L1152" s="4">
        <f>IF(Table1[[#This Row],[Standard as per ISO]]&gt;=Table1[[#This Row],[Avg of best 6]],Table1[[#This Row],[Standard as per ISO]],Table1[[#This Row],[Avg of best 6]])</f>
        <v>4.5</v>
      </c>
      <c r="M1152" s="4" cm="1">
        <f t="array" ref="M1152">IFERROR(LOOKUP(2,1/(Table1[[#This Row],[2019-May]:[2025-July]]&lt;&gt;0),Table1[[#This Row],[2019-May]:[2025-July]]),0)</f>
        <v>1.3</v>
      </c>
      <c r="N1152" s="4">
        <f>COUNTIF(Table1[[#This Row],[2019-Apr]:[2025-July]],"&gt;="&amp;Table1[[#This Row],[Target]])</f>
        <v>1</v>
      </c>
      <c r="O1152" s="4">
        <f>IF(Table1[[#This Row],[Outliers 2Y]]=0,1,0)</f>
        <v>0</v>
      </c>
      <c r="P1152" s="4">
        <f>IF(Table1[[#This Row],[Last value]]&gt;1.5*Table1[[#This Row],[Target]],1,0)</f>
        <v>0</v>
      </c>
      <c r="Q1152" s="4">
        <f>IF(AND(1.5*Table1[[#This Row],[Target]]&gt;=Table1[[#This Row],[Last value]],Table1[[#This Row],[Last value]]&gt;Table1[[#This Row],[Target]]),1,0)</f>
        <v>0</v>
      </c>
      <c r="R1152" s="4">
        <f>IF(Table1[[#This Row],[Target]]&gt;=Table1[[#This Row],[Last value]],1,0)</f>
        <v>1</v>
      </c>
      <c r="S1152" s="4" t="str">
        <f t="shared" ref="S1152:S1292" si="30">IF(P1152=1, "Red", IF(Q1152=1, "Yellow", "Green"))</f>
        <v>Green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8.4</v>
      </c>
      <c r="BQ1152" s="4">
        <v>0.5</v>
      </c>
      <c r="BR1152" s="4">
        <v>0.86</v>
      </c>
      <c r="BS1152" s="4">
        <v>1.0900000000000001</v>
      </c>
      <c r="BT1152" s="4">
        <v>0.72</v>
      </c>
      <c r="BU1152" s="4">
        <v>0.63</v>
      </c>
      <c r="BV1152" s="4">
        <v>0.51</v>
      </c>
      <c r="BW1152" s="4">
        <v>1.19</v>
      </c>
      <c r="BX1152" s="4">
        <v>0</v>
      </c>
      <c r="BY1152" s="4">
        <v>1.45</v>
      </c>
      <c r="BZ1152" s="4">
        <v>1.29</v>
      </c>
      <c r="CA1152" s="4">
        <v>1.49</v>
      </c>
      <c r="CB1152" s="4">
        <v>1.5</v>
      </c>
      <c r="CC1152" s="4">
        <v>0.99</v>
      </c>
      <c r="CD1152" s="4">
        <v>1.25</v>
      </c>
      <c r="CE1152" s="4">
        <v>1.32</v>
      </c>
      <c r="CF1152" s="4">
        <v>1.31</v>
      </c>
      <c r="CG1152" s="4">
        <v>1.47</v>
      </c>
      <c r="CH1152" s="4">
        <v>1.58</v>
      </c>
      <c r="CI1152" s="4">
        <v>2.0099999999999998</v>
      </c>
      <c r="CJ1152" s="38">
        <v>1.5</v>
      </c>
      <c r="CK1152" s="34">
        <v>1.6</v>
      </c>
      <c r="CL1152" s="27">
        <v>1.4</v>
      </c>
      <c r="CM1152" s="52">
        <v>1.3</v>
      </c>
      <c r="CN1152" s="53">
        <v>0</v>
      </c>
      <c r="CO1152" s="54">
        <v>1.2</v>
      </c>
      <c r="CP1152" s="54">
        <v>1.2</v>
      </c>
      <c r="CQ1152" s="4">
        <v>1.3</v>
      </c>
    </row>
    <row r="1153" spans="1:95" x14ac:dyDescent="0.35">
      <c r="A1153" s="55">
        <v>1152</v>
      </c>
      <c r="B1153" t="s">
        <v>125</v>
      </c>
      <c r="C1153" s="27" t="s">
        <v>1223</v>
      </c>
      <c r="D1153" s="3" t="s">
        <v>93</v>
      </c>
      <c r="E1153" s="27" t="s">
        <v>89</v>
      </c>
      <c r="F1153" s="4">
        <f>IFERROR(AVERAGEIF(Table1[[#This Row],[2019-Apr]:[2025-July]],"&lt;&gt;0"),0)</f>
        <v>1.8220000000000005</v>
      </c>
      <c r="G1153" s="4">
        <f ca="1">IFERROR(AVERAGEIF(OFFSET(Table1[[#This Row],[Status]],0,COUNT(Table1[[#This Row],[2019-May]:[2025-July]]),1,-12),"&lt;&gt;0"),0)</f>
        <v>1.8290909090909091</v>
      </c>
      <c r="H1153" s="55">
        <f>IFERROR(SMALL(Table1[[#This Row],[2019-Apr]:[2025-July]],COUNTIF(Table1[[#This Row],[2019-Apr]:[2025-July]],0)+1),0)</f>
        <v>1.19</v>
      </c>
      <c r="I1153" s="56">
        <f>IFERROR(MAX(Table1[[#This Row],[2019-Apr]:[2025-July]]),0)</f>
        <v>2.7</v>
      </c>
      <c r="J1153" s="4" cm="1">
        <f t="array" ref="J115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1.3816666666666666</v>
      </c>
      <c r="K1153" s="4">
        <v>4.5</v>
      </c>
      <c r="L1153" s="4">
        <f>IF(Table1[[#This Row],[Standard as per ISO]]&gt;=Table1[[#This Row],[Avg of best 6]],Table1[[#This Row],[Standard as per ISO]],Table1[[#This Row],[Avg of best 6]])</f>
        <v>4.5</v>
      </c>
      <c r="M1153" s="4" cm="1">
        <f t="array" ref="M1153">IFERROR(LOOKUP(2,1/(Table1[[#This Row],[2019-May]:[2025-July]]&lt;&gt;0),Table1[[#This Row],[2019-May]:[2025-July]]),0)</f>
        <v>2.7</v>
      </c>
      <c r="N1153" s="4">
        <f>COUNTIF(Table1[[#This Row],[2019-Apr]:[2025-July]],"&gt;="&amp;Table1[[#This Row],[Target]])</f>
        <v>0</v>
      </c>
      <c r="O1153" s="4">
        <f>IF(Table1[[#This Row],[Outliers 2Y]]=0,1,0)</f>
        <v>1</v>
      </c>
      <c r="P1153" s="4">
        <f>IF(Table1[[#This Row],[Last value]]&gt;1.5*Table1[[#This Row],[Target]],1,0)</f>
        <v>0</v>
      </c>
      <c r="Q1153" s="4">
        <f>IF(AND(1.5*Table1[[#This Row],[Target]]&gt;=Table1[[#This Row],[Last value]],Table1[[#This Row],[Last value]]&gt;Table1[[#This Row],[Target]]),1,0)</f>
        <v>0</v>
      </c>
      <c r="R1153" s="4">
        <f>IF(Table1[[#This Row],[Target]]&gt;=Table1[[#This Row],[Last value]],1,0)</f>
        <v>1</v>
      </c>
      <c r="S1153" s="4" t="str">
        <f t="shared" si="30"/>
        <v>Green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1.63</v>
      </c>
      <c r="BV1153" s="4">
        <v>0</v>
      </c>
      <c r="BW1153" s="4">
        <v>1.7</v>
      </c>
      <c r="BX1153" s="4">
        <v>1.58</v>
      </c>
      <c r="BY1153" s="4">
        <v>2.13</v>
      </c>
      <c r="BZ1153" s="4">
        <v>1.7</v>
      </c>
      <c r="CA1153" s="4">
        <v>1.71</v>
      </c>
      <c r="CB1153" s="4">
        <v>2.1800000000000002</v>
      </c>
      <c r="CC1153" s="4">
        <v>1.91</v>
      </c>
      <c r="CD1153" s="4">
        <v>1.78</v>
      </c>
      <c r="CE1153" s="4">
        <v>2.1</v>
      </c>
      <c r="CF1153" s="4">
        <v>1.98</v>
      </c>
      <c r="CG1153" s="4">
        <v>1.66</v>
      </c>
      <c r="CH1153" s="4">
        <v>1.19</v>
      </c>
      <c r="CI1153" s="4">
        <v>1.19</v>
      </c>
      <c r="CJ1153" s="38">
        <v>1.3</v>
      </c>
      <c r="CK1153" s="34">
        <v>1.4</v>
      </c>
      <c r="CL1153" s="27">
        <v>2.2999999999999998</v>
      </c>
      <c r="CM1153" s="52">
        <v>2.1</v>
      </c>
      <c r="CN1153" s="53">
        <v>0</v>
      </c>
      <c r="CO1153" s="54">
        <v>2.2000000000000002</v>
      </c>
      <c r="CP1153" s="54">
        <v>2.7</v>
      </c>
      <c r="CQ1153" s="4">
        <v>0</v>
      </c>
    </row>
    <row r="1154" spans="1:95" x14ac:dyDescent="0.35">
      <c r="A1154" s="55">
        <v>1153</v>
      </c>
      <c r="B1154" t="s">
        <v>125</v>
      </c>
      <c r="C1154" s="27" t="s">
        <v>1224</v>
      </c>
      <c r="D1154" s="3" t="s">
        <v>93</v>
      </c>
      <c r="E1154" s="27" t="s">
        <v>89</v>
      </c>
      <c r="F1154" s="4">
        <f>IFERROR(AVERAGEIF(Table1[[#This Row],[2019-Apr]:[2025-July]],"&lt;&gt;0"),0)</f>
        <v>1.66</v>
      </c>
      <c r="G1154" s="4">
        <f ca="1">IFERROR(AVERAGEIF(OFFSET(Table1[[#This Row],[Status]],0,COUNT(Table1[[#This Row],[2019-May]:[2025-July]]),1,-12),"&lt;&gt;0"),0)</f>
        <v>0</v>
      </c>
      <c r="H1154" s="55">
        <f>IFERROR(SMALL(Table1[[#This Row],[2019-Apr]:[2025-July]],COUNTIF(Table1[[#This Row],[2019-Apr]:[2025-July]],0)+1),0)</f>
        <v>1.1299999999999999</v>
      </c>
      <c r="I1154" s="56">
        <f>IFERROR(MAX(Table1[[#This Row],[2019-Apr]:[2025-July]]),0)</f>
        <v>2.19</v>
      </c>
      <c r="J1154" s="4" cm="1">
        <f t="array" ref="J115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1.66</v>
      </c>
      <c r="K1154" s="4">
        <v>4.5</v>
      </c>
      <c r="L1154" s="4">
        <f>IF(Table1[[#This Row],[Standard as per ISO]]&gt;=Table1[[#This Row],[Avg of best 6]],Table1[[#This Row],[Standard as per ISO]],Table1[[#This Row],[Avg of best 6]])</f>
        <v>4.5</v>
      </c>
      <c r="M1154" s="4" cm="1">
        <f t="array" ref="M1154">IFERROR(LOOKUP(2,1/(Table1[[#This Row],[2019-May]:[2025-July]]&lt;&gt;0),Table1[[#This Row],[2019-May]:[2025-July]]),0)</f>
        <v>2.19</v>
      </c>
      <c r="N1154" s="4">
        <f>COUNTIF(Table1[[#This Row],[2019-Apr]:[2025-July]],"&gt;="&amp;Table1[[#This Row],[Target]])</f>
        <v>0</v>
      </c>
      <c r="O1154" s="4">
        <f>IF(Table1[[#This Row],[Outliers 2Y]]=0,1,0)</f>
        <v>1</v>
      </c>
      <c r="P1154" s="4">
        <f>IF(Table1[[#This Row],[Last value]]&gt;1.5*Table1[[#This Row],[Target]],1,0)</f>
        <v>0</v>
      </c>
      <c r="Q1154" s="4">
        <f>IF(AND(1.5*Table1[[#This Row],[Target]]&gt;=Table1[[#This Row],[Last value]],Table1[[#This Row],[Last value]]&gt;Table1[[#This Row],[Target]]),1,0)</f>
        <v>0</v>
      </c>
      <c r="R1154" s="4">
        <f>IF(Table1[[#This Row],[Target]]&gt;=Table1[[#This Row],[Last value]],1,0)</f>
        <v>1</v>
      </c>
      <c r="S1154" s="4" t="str">
        <f t="shared" si="30"/>
        <v>Green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1.1299999999999999</v>
      </c>
      <c r="CC1154" s="4">
        <v>2.19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34">
        <v>0</v>
      </c>
      <c r="CK1154" s="34">
        <v>0</v>
      </c>
      <c r="CL1154" s="43">
        <v>0</v>
      </c>
      <c r="CM1154" s="4">
        <v>0</v>
      </c>
      <c r="CN1154" s="53">
        <v>0</v>
      </c>
      <c r="CO1154" s="54">
        <v>0</v>
      </c>
      <c r="CP1154" s="54">
        <v>0</v>
      </c>
      <c r="CQ1154" s="4">
        <v>0</v>
      </c>
    </row>
    <row r="1155" spans="1:95" x14ac:dyDescent="0.35">
      <c r="A1155" s="55">
        <v>1154</v>
      </c>
      <c r="B1155" t="s">
        <v>125</v>
      </c>
      <c r="C1155" s="27" t="s">
        <v>1225</v>
      </c>
      <c r="D1155" s="3" t="s">
        <v>93</v>
      </c>
      <c r="E1155" s="27" t="s">
        <v>89</v>
      </c>
      <c r="F1155" s="4">
        <f>IFERROR(AVERAGEIF(Table1[[#This Row],[2019-Apr]:[2025-July]],"&lt;&gt;0"),0)</f>
        <v>4.3599999999999994</v>
      </c>
      <c r="G1155" s="4">
        <f ca="1">IFERROR(AVERAGEIF(OFFSET(Table1[[#This Row],[Status]],0,COUNT(Table1[[#This Row],[2019-May]:[2025-July]]),1,-12),"&lt;&gt;0"),0)</f>
        <v>0</v>
      </c>
      <c r="H1155" s="55">
        <f>IFERROR(SMALL(Table1[[#This Row],[2019-Apr]:[2025-July]],COUNTIF(Table1[[#This Row],[2019-Apr]:[2025-July]],0)+1),0)</f>
        <v>4.13</v>
      </c>
      <c r="I1155" s="56">
        <f>IFERROR(MAX(Table1[[#This Row],[2019-Apr]:[2025-July]]),0)</f>
        <v>4.59</v>
      </c>
      <c r="J1155" s="4" cm="1">
        <f t="array" ref="J115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4.3599999999999994</v>
      </c>
      <c r="K1155" s="4">
        <v>4.5</v>
      </c>
      <c r="L1155" s="4">
        <f>IF(Table1[[#This Row],[Standard as per ISO]]&gt;=Table1[[#This Row],[Avg of best 6]],Table1[[#This Row],[Standard as per ISO]],Table1[[#This Row],[Avg of best 6]])</f>
        <v>4.5</v>
      </c>
      <c r="M1155" s="4" cm="1">
        <f t="array" ref="M1155">IFERROR(LOOKUP(2,1/(Table1[[#This Row],[2019-May]:[2025-July]]&lt;&gt;0),Table1[[#This Row],[2019-May]:[2025-July]]),0)</f>
        <v>4.59</v>
      </c>
      <c r="N1155" s="4">
        <f>COUNTIF(Table1[[#This Row],[2019-Apr]:[2025-July]],"&gt;="&amp;Table1[[#This Row],[Target]])</f>
        <v>1</v>
      </c>
      <c r="O1155" s="4">
        <f>IF(Table1[[#This Row],[Outliers 2Y]]=0,1,0)</f>
        <v>0</v>
      </c>
      <c r="P1155" s="4">
        <f>IF(Table1[[#This Row],[Last value]]&gt;1.5*Table1[[#This Row],[Target]],1,0)</f>
        <v>0</v>
      </c>
      <c r="Q1155" s="4">
        <f>IF(AND(1.5*Table1[[#This Row],[Target]]&gt;=Table1[[#This Row],[Last value]],Table1[[#This Row],[Last value]]&gt;Table1[[#This Row],[Target]]),1,0)</f>
        <v>1</v>
      </c>
      <c r="R1155" s="4">
        <f>IF(Table1[[#This Row],[Target]]&gt;=Table1[[#This Row],[Last value]],1,0)</f>
        <v>0</v>
      </c>
      <c r="S1155" s="4" t="str">
        <f t="shared" si="30"/>
        <v>Yellow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4.13</v>
      </c>
      <c r="CC1155" s="4">
        <v>4.59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34">
        <v>0</v>
      </c>
      <c r="CK1155" s="34">
        <v>0</v>
      </c>
      <c r="CL1155" s="43">
        <v>0</v>
      </c>
      <c r="CM1155" s="4">
        <v>0</v>
      </c>
      <c r="CN1155" s="53">
        <v>0</v>
      </c>
      <c r="CO1155" s="54">
        <v>0</v>
      </c>
      <c r="CP1155" s="54">
        <v>0</v>
      </c>
      <c r="CQ1155" s="4">
        <v>0</v>
      </c>
    </row>
    <row r="1156" spans="1:95" x14ac:dyDescent="0.35">
      <c r="A1156" s="55">
        <v>1155</v>
      </c>
      <c r="B1156" t="s">
        <v>125</v>
      </c>
      <c r="C1156" s="27" t="s">
        <v>1226</v>
      </c>
      <c r="D1156" s="3" t="s">
        <v>94</v>
      </c>
      <c r="E1156" s="27" t="s">
        <v>89</v>
      </c>
      <c r="F1156" s="4">
        <f>IFERROR(AVERAGEIF(Table1[[#This Row],[2019-Apr]:[2025-July]],"&lt;&gt;0"),0)</f>
        <v>10.366428571428569</v>
      </c>
      <c r="G1156" s="4">
        <f ca="1">IFERROR(AVERAGEIF(OFFSET(Table1[[#This Row],[Status]],0,COUNT(Table1[[#This Row],[2019-May]:[2025-July]]),1,-12),"&lt;&gt;0"),0)</f>
        <v>6.3549999999999995</v>
      </c>
      <c r="H1156" s="55">
        <f>IFERROR(SMALL(Table1[[#This Row],[2019-Apr]:[2025-July]],COUNTIF(Table1[[#This Row],[2019-Apr]:[2025-July]],0)+1),0)</f>
        <v>3.16</v>
      </c>
      <c r="I1156" s="56">
        <f>IFERROR(MAX(Table1[[#This Row],[2019-Apr]:[2025-July]]),0)</f>
        <v>25.01</v>
      </c>
      <c r="J1156" s="4" cm="1">
        <f t="array" ref="J115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4.8583333333333334</v>
      </c>
      <c r="K1156" s="4">
        <v>4.5</v>
      </c>
      <c r="L1156" s="4">
        <f>IF(Table1[[#This Row],[Standard as per ISO]]&gt;=Table1[[#This Row],[Avg of best 6]],Table1[[#This Row],[Standard as per ISO]],Table1[[#This Row],[Avg of best 6]])</f>
        <v>4.8583333333333334</v>
      </c>
      <c r="M1156" s="4" cm="1">
        <f t="array" ref="M1156">IFERROR(LOOKUP(2,1/(Table1[[#This Row],[2019-May]:[2025-July]]&lt;&gt;0),Table1[[#This Row],[2019-May]:[2025-July]]),0)</f>
        <v>10.7</v>
      </c>
      <c r="N1156" s="4">
        <f>COUNTIF(Table1[[#This Row],[2019-Apr]:[2025-July]],"&gt;="&amp;Table1[[#This Row],[Target]])</f>
        <v>10</v>
      </c>
      <c r="O1156" s="4">
        <f>IF(Table1[[#This Row],[Outliers 2Y]]=0,1,0)</f>
        <v>0</v>
      </c>
      <c r="P1156" s="4">
        <f>IF(Table1[[#This Row],[Last value]]&gt;1.5*Table1[[#This Row],[Target]],1,0)</f>
        <v>1</v>
      </c>
      <c r="Q1156" s="4">
        <f>IF(AND(1.5*Table1[[#This Row],[Target]]&gt;=Table1[[#This Row],[Last value]],Table1[[#This Row],[Last value]]&gt;Table1[[#This Row],[Target]]),1,0)</f>
        <v>0</v>
      </c>
      <c r="R1156" s="4">
        <f>IF(Table1[[#This Row],[Target]]&gt;=Table1[[#This Row],[Last value]],1,0)</f>
        <v>0</v>
      </c>
      <c r="S1156" s="4" t="str">
        <f t="shared" si="30"/>
        <v>Red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12.37</v>
      </c>
      <c r="BQ1156" s="4">
        <v>13.62</v>
      </c>
      <c r="BR1156" s="4">
        <v>3.36</v>
      </c>
      <c r="BS1156" s="4">
        <v>3.16</v>
      </c>
      <c r="BT1156" s="4">
        <v>0</v>
      </c>
      <c r="BU1156" s="4">
        <v>18.75</v>
      </c>
      <c r="BV1156" s="4">
        <v>0</v>
      </c>
      <c r="BW1156" s="4">
        <v>25.01</v>
      </c>
      <c r="BX1156" s="4">
        <v>0</v>
      </c>
      <c r="BY1156" s="4">
        <v>7.91</v>
      </c>
      <c r="BZ1156" s="4">
        <v>0</v>
      </c>
      <c r="CA1156" s="4">
        <v>9.39</v>
      </c>
      <c r="CB1156" s="4">
        <v>11.98</v>
      </c>
      <c r="CC1156" s="4">
        <v>14.16</v>
      </c>
      <c r="CD1156" s="4">
        <v>0</v>
      </c>
      <c r="CE1156" s="4">
        <v>0</v>
      </c>
      <c r="CF1156" s="4">
        <v>0</v>
      </c>
      <c r="CG1156" s="4">
        <v>4.8</v>
      </c>
      <c r="CH1156" s="4">
        <v>0</v>
      </c>
      <c r="CI1156" s="4">
        <v>3.32</v>
      </c>
      <c r="CJ1156" s="34">
        <v>0</v>
      </c>
      <c r="CK1156" s="34">
        <v>6.6</v>
      </c>
      <c r="CL1156" s="43">
        <v>10.7</v>
      </c>
      <c r="CM1156" s="4">
        <v>0</v>
      </c>
      <c r="CN1156" s="53">
        <v>0</v>
      </c>
      <c r="CO1156" s="54">
        <v>0</v>
      </c>
      <c r="CP1156" s="54">
        <v>0</v>
      </c>
      <c r="CQ1156" s="4">
        <v>0</v>
      </c>
    </row>
    <row r="1157" spans="1:95" x14ac:dyDescent="0.35">
      <c r="A1157" s="55">
        <v>1156</v>
      </c>
      <c r="B1157" t="s">
        <v>125</v>
      </c>
      <c r="C1157" s="27" t="s">
        <v>1227</v>
      </c>
      <c r="D1157" s="3" t="s">
        <v>94</v>
      </c>
      <c r="E1157" s="27" t="s">
        <v>89</v>
      </c>
      <c r="F1157" s="4">
        <f>IFERROR(AVERAGEIF(Table1[[#This Row],[2019-Apr]:[2025-July]],"&lt;&gt;0"),0)</f>
        <v>3.97235294117647</v>
      </c>
      <c r="G1157" s="4">
        <f ca="1">IFERROR(AVERAGEIF(OFFSET(Table1[[#This Row],[Status]],0,COUNT(Table1[[#This Row],[2019-May]:[2025-July]]),1,-12),"&lt;&gt;0"),0)</f>
        <v>4.7074999999999996</v>
      </c>
      <c r="H1157" s="55">
        <f>IFERROR(SMALL(Table1[[#This Row],[2019-Apr]:[2025-July]],COUNTIF(Table1[[#This Row],[2019-Apr]:[2025-July]],0)+1),0)</f>
        <v>1.1299999999999999</v>
      </c>
      <c r="I1157" s="56">
        <f>IFERROR(MAX(Table1[[#This Row],[2019-Apr]:[2025-July]]),0)</f>
        <v>6.8</v>
      </c>
      <c r="J1157" s="4" cm="1">
        <f t="array" ref="J115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2.5616666666666665</v>
      </c>
      <c r="K1157" s="4">
        <v>4.5</v>
      </c>
      <c r="L1157" s="4">
        <f>IF(Table1[[#This Row],[Standard as per ISO]]&gt;=Table1[[#This Row],[Avg of best 6]],Table1[[#This Row],[Standard as per ISO]],Table1[[#This Row],[Avg of best 6]])</f>
        <v>4.5</v>
      </c>
      <c r="M1157" s="4" cm="1">
        <f t="array" ref="M1157">IFERROR(LOOKUP(2,1/(Table1[[#This Row],[2019-May]:[2025-July]]&lt;&gt;0),Table1[[#This Row],[2019-May]:[2025-July]]),0)</f>
        <v>5.04</v>
      </c>
      <c r="N1157" s="4">
        <f>COUNTIF(Table1[[#This Row],[2019-Apr]:[2025-July]],"&gt;="&amp;Table1[[#This Row],[Target]])</f>
        <v>5</v>
      </c>
      <c r="O1157" s="4">
        <f>IF(Table1[[#This Row],[Outliers 2Y]]=0,1,0)</f>
        <v>0</v>
      </c>
      <c r="P1157" s="4">
        <f>IF(Table1[[#This Row],[Last value]]&gt;1.5*Table1[[#This Row],[Target]],1,0)</f>
        <v>0</v>
      </c>
      <c r="Q1157" s="4">
        <f>IF(AND(1.5*Table1[[#This Row],[Target]]&gt;=Table1[[#This Row],[Last value]],Table1[[#This Row],[Last value]]&gt;Table1[[#This Row],[Target]]),1,0)</f>
        <v>1</v>
      </c>
      <c r="R1157" s="4">
        <f>IF(Table1[[#This Row],[Target]]&gt;=Table1[[#This Row],[Last value]],1,0)</f>
        <v>0</v>
      </c>
      <c r="S1157" s="4" t="str">
        <f t="shared" si="30"/>
        <v>Yellow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3.18</v>
      </c>
      <c r="BQ1157" s="4">
        <v>3.35</v>
      </c>
      <c r="BR1157" s="4">
        <v>1.1299999999999999</v>
      </c>
      <c r="BS1157" s="4">
        <v>1.95</v>
      </c>
      <c r="BT1157" s="4">
        <v>3.89</v>
      </c>
      <c r="BU1157" s="4">
        <v>5.21</v>
      </c>
      <c r="BV1157" s="4">
        <v>2.42</v>
      </c>
      <c r="BW1157" s="4">
        <v>4.0599999999999996</v>
      </c>
      <c r="BX1157" s="4">
        <v>0</v>
      </c>
      <c r="BY1157" s="4">
        <v>5.26</v>
      </c>
      <c r="BZ1157" s="4">
        <v>4.3499999999999996</v>
      </c>
      <c r="CA1157" s="4">
        <v>3.69</v>
      </c>
      <c r="CB1157" s="4">
        <v>0</v>
      </c>
      <c r="CC1157" s="4">
        <v>6.34</v>
      </c>
      <c r="CD1157" s="4">
        <v>3.87</v>
      </c>
      <c r="CE1157" s="4">
        <v>3.34</v>
      </c>
      <c r="CF1157" s="4">
        <v>3.65</v>
      </c>
      <c r="CG1157" s="4">
        <v>0</v>
      </c>
      <c r="CH1157" s="4">
        <v>0</v>
      </c>
      <c r="CI1157" s="4">
        <v>0</v>
      </c>
      <c r="CJ1157" s="34">
        <v>0</v>
      </c>
      <c r="CK1157" s="34">
        <v>0</v>
      </c>
      <c r="CL1157" s="43">
        <v>0</v>
      </c>
      <c r="CM1157" s="4">
        <v>6.8</v>
      </c>
      <c r="CN1157" s="53">
        <v>0</v>
      </c>
      <c r="CO1157" s="54">
        <v>0</v>
      </c>
      <c r="CP1157" s="54">
        <v>5.04</v>
      </c>
      <c r="CQ1157" s="4">
        <v>0</v>
      </c>
    </row>
    <row r="1158" spans="1:95" x14ac:dyDescent="0.35">
      <c r="A1158" s="55">
        <v>1157</v>
      </c>
      <c r="B1158" t="s">
        <v>125</v>
      </c>
      <c r="C1158" s="27" t="s">
        <v>1228</v>
      </c>
      <c r="D1158" s="3" t="s">
        <v>94</v>
      </c>
      <c r="E1158" s="27" t="s">
        <v>89</v>
      </c>
      <c r="F1158" s="4">
        <f>IFERROR(AVERAGEIF(Table1[[#This Row],[2019-Apr]:[2025-July]],"&lt;&gt;0"),0)</f>
        <v>5.9443749999999991</v>
      </c>
      <c r="G1158" s="4">
        <f ca="1">IFERROR(AVERAGEIF(OFFSET(Table1[[#This Row],[Status]],0,COUNT(Table1[[#This Row],[2019-May]:[2025-July]]),1,-12),"&lt;&gt;0"),0)</f>
        <v>2.6257142857142854</v>
      </c>
      <c r="H1158" s="55">
        <f>IFERROR(SMALL(Table1[[#This Row],[2019-Apr]:[2025-July]],COUNTIF(Table1[[#This Row],[2019-Apr]:[2025-July]],0)+1),0)</f>
        <v>2.2999999999999998</v>
      </c>
      <c r="I1158" s="56">
        <f>IFERROR(MAX(Table1[[#This Row],[2019-Apr]:[2025-July]]),0)</f>
        <v>12.68</v>
      </c>
      <c r="J1158" s="4" cm="1">
        <f t="array" ref="J115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2.5150000000000001</v>
      </c>
      <c r="K1158" s="4">
        <v>4.5</v>
      </c>
      <c r="L1158" s="4">
        <f>IF(Table1[[#This Row],[Standard as per ISO]]&gt;=Table1[[#This Row],[Avg of best 6]],Table1[[#This Row],[Standard as per ISO]],Table1[[#This Row],[Avg of best 6]])</f>
        <v>4.5</v>
      </c>
      <c r="M1158" s="4" cm="1">
        <f t="array" ref="M1158">IFERROR(LOOKUP(2,1/(Table1[[#This Row],[2019-May]:[2025-July]]&lt;&gt;0),Table1[[#This Row],[2019-May]:[2025-July]]),0)</f>
        <v>2.44</v>
      </c>
      <c r="N1158" s="4">
        <f>COUNTIF(Table1[[#This Row],[2019-Apr]:[2025-July]],"&gt;="&amp;Table1[[#This Row],[Target]])</f>
        <v>7</v>
      </c>
      <c r="O1158" s="4">
        <f>IF(Table1[[#This Row],[Outliers 2Y]]=0,1,0)</f>
        <v>0</v>
      </c>
      <c r="P1158" s="4">
        <f>IF(Table1[[#This Row],[Last value]]&gt;1.5*Table1[[#This Row],[Target]],1,0)</f>
        <v>0</v>
      </c>
      <c r="Q1158" s="4">
        <f>IF(AND(1.5*Table1[[#This Row],[Target]]&gt;=Table1[[#This Row],[Last value]],Table1[[#This Row],[Last value]]&gt;Table1[[#This Row],[Target]]),1,0)</f>
        <v>0</v>
      </c>
      <c r="R1158" s="4">
        <f>IF(Table1[[#This Row],[Target]]&gt;=Table1[[#This Row],[Last value]],1,0)</f>
        <v>1</v>
      </c>
      <c r="S1158" s="4" t="str">
        <f t="shared" si="30"/>
        <v>Green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4.76</v>
      </c>
      <c r="BQ1158" s="4">
        <v>12.39</v>
      </c>
      <c r="BR1158" s="4">
        <v>0</v>
      </c>
      <c r="BS1158" s="4">
        <v>9.56</v>
      </c>
      <c r="BT1158" s="4">
        <v>0</v>
      </c>
      <c r="BU1158" s="4">
        <v>12.68</v>
      </c>
      <c r="BV1158" s="4">
        <v>0</v>
      </c>
      <c r="BW1158" s="4">
        <v>12.07</v>
      </c>
      <c r="BX1158" s="4">
        <v>0</v>
      </c>
      <c r="BY1158" s="4">
        <v>9.06</v>
      </c>
      <c r="BZ1158" s="4">
        <v>0</v>
      </c>
      <c r="CA1158" s="4">
        <v>10.36</v>
      </c>
      <c r="CB1158" s="4">
        <v>0</v>
      </c>
      <c r="CC1158" s="4">
        <v>2.94</v>
      </c>
      <c r="CD1158" s="4">
        <v>2.91</v>
      </c>
      <c r="CE1158" s="4">
        <v>2.89</v>
      </c>
      <c r="CF1158" s="4">
        <v>3.29</v>
      </c>
      <c r="CG1158" s="4">
        <v>0</v>
      </c>
      <c r="CH1158" s="4">
        <v>0</v>
      </c>
      <c r="CI1158" s="4">
        <v>2.56</v>
      </c>
      <c r="CJ1158" s="34">
        <v>0</v>
      </c>
      <c r="CK1158" s="34">
        <v>2.2999999999999998</v>
      </c>
      <c r="CL1158" s="43">
        <v>2.2999999999999998</v>
      </c>
      <c r="CM1158" s="4">
        <v>2.6</v>
      </c>
      <c r="CN1158" s="53">
        <v>0</v>
      </c>
      <c r="CO1158" s="54">
        <v>0</v>
      </c>
      <c r="CP1158" s="54">
        <v>2.44</v>
      </c>
      <c r="CQ1158" s="4">
        <v>0</v>
      </c>
    </row>
    <row r="1159" spans="1:95" x14ac:dyDescent="0.35">
      <c r="A1159" s="55">
        <v>1158</v>
      </c>
      <c r="B1159" t="s">
        <v>125</v>
      </c>
      <c r="C1159" s="27" t="s">
        <v>1229</v>
      </c>
      <c r="D1159" s="3" t="s">
        <v>94</v>
      </c>
      <c r="E1159" s="27" t="s">
        <v>89</v>
      </c>
      <c r="F1159" s="4">
        <f>IFERROR(AVERAGEIF(Table1[[#This Row],[2019-Apr]:[2025-July]],"&lt;&gt;0"),0)</f>
        <v>3.3353333333333333</v>
      </c>
      <c r="G1159" s="4">
        <f ca="1">IFERROR(AVERAGEIF(OFFSET(Table1[[#This Row],[Status]],0,COUNT(Table1[[#This Row],[2019-May]:[2025-July]]),1,-12),"&lt;&gt;0"),0)</f>
        <v>2.52</v>
      </c>
      <c r="H1159" s="55">
        <f>IFERROR(SMALL(Table1[[#This Row],[2019-Apr]:[2025-July]],COUNTIF(Table1[[#This Row],[2019-Apr]:[2025-July]],0)+1),0)</f>
        <v>2.12</v>
      </c>
      <c r="I1159" s="56">
        <f>IFERROR(MAX(Table1[[#This Row],[2019-Apr]:[2025-July]]),0)</f>
        <v>5.69</v>
      </c>
      <c r="J1159" s="4" cm="1">
        <f t="array" ref="J115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2.5966666666666671</v>
      </c>
      <c r="K1159" s="4">
        <v>4.5</v>
      </c>
      <c r="L1159" s="4">
        <f>IF(Table1[[#This Row],[Standard as per ISO]]&gt;=Table1[[#This Row],[Avg of best 6]],Table1[[#This Row],[Standard as per ISO]],Table1[[#This Row],[Avg of best 6]])</f>
        <v>4.5</v>
      </c>
      <c r="M1159" s="4" cm="1">
        <f t="array" ref="M1159">IFERROR(LOOKUP(2,1/(Table1[[#This Row],[2019-May]:[2025-July]]&lt;&gt;0),Table1[[#This Row],[2019-May]:[2025-July]]),0)</f>
        <v>2.12</v>
      </c>
      <c r="N1159" s="4">
        <f>COUNTIF(Table1[[#This Row],[2019-Apr]:[2025-July]],"&gt;="&amp;Table1[[#This Row],[Target]])</f>
        <v>2</v>
      </c>
      <c r="O1159" s="4">
        <f>IF(Table1[[#This Row],[Outliers 2Y]]=0,1,0)</f>
        <v>0</v>
      </c>
      <c r="P1159" s="4">
        <f>IF(Table1[[#This Row],[Last value]]&gt;1.5*Table1[[#This Row],[Target]],1,0)</f>
        <v>0</v>
      </c>
      <c r="Q1159" s="4">
        <f>IF(AND(1.5*Table1[[#This Row],[Target]]&gt;=Table1[[#This Row],[Last value]],Table1[[#This Row],[Last value]]&gt;Table1[[#This Row],[Target]]),1,0)</f>
        <v>0</v>
      </c>
      <c r="R1159" s="4">
        <f>IF(Table1[[#This Row],[Target]]&gt;=Table1[[#This Row],[Last value]],1,0)</f>
        <v>1</v>
      </c>
      <c r="S1159" s="4" t="str">
        <f t="shared" si="30"/>
        <v>Green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5.69</v>
      </c>
      <c r="BQ1159" s="4">
        <v>3.41</v>
      </c>
      <c r="BR1159" s="4">
        <v>2.89</v>
      </c>
      <c r="BS1159" s="4">
        <v>2.84</v>
      </c>
      <c r="BT1159" s="4">
        <v>2.62</v>
      </c>
      <c r="BU1159" s="4">
        <v>3.12</v>
      </c>
      <c r="BV1159" s="4">
        <v>4.9000000000000004</v>
      </c>
      <c r="BW1159" s="4">
        <v>3.39</v>
      </c>
      <c r="BX1159" s="4">
        <v>0</v>
      </c>
      <c r="BY1159" s="4">
        <v>3.32</v>
      </c>
      <c r="BZ1159" s="4">
        <v>2.74</v>
      </c>
      <c r="CA1159" s="4">
        <v>3.55</v>
      </c>
      <c r="CB1159" s="4">
        <v>2.37</v>
      </c>
      <c r="CC1159" s="4">
        <v>4.1500000000000004</v>
      </c>
      <c r="CD1159" s="4">
        <v>0</v>
      </c>
      <c r="CE1159" s="4">
        <v>0</v>
      </c>
      <c r="CF1159" s="4">
        <v>0</v>
      </c>
      <c r="CG1159" s="4">
        <v>2.92</v>
      </c>
      <c r="CH1159" s="4">
        <v>0</v>
      </c>
      <c r="CI1159" s="4">
        <v>0</v>
      </c>
      <c r="CJ1159" s="34">
        <v>0</v>
      </c>
      <c r="CK1159" s="34">
        <v>0</v>
      </c>
      <c r="CL1159" s="43">
        <v>0</v>
      </c>
      <c r="CM1159" s="4">
        <v>0</v>
      </c>
      <c r="CN1159" s="53">
        <v>0</v>
      </c>
      <c r="CO1159" s="54">
        <v>2.12</v>
      </c>
      <c r="CP1159" s="54">
        <v>0</v>
      </c>
      <c r="CQ1159" s="4">
        <v>0</v>
      </c>
    </row>
    <row r="1160" spans="1:95" x14ac:dyDescent="0.35">
      <c r="A1160" s="55">
        <v>1159</v>
      </c>
      <c r="B1160" t="s">
        <v>125</v>
      </c>
      <c r="C1160" s="27" t="s">
        <v>1230</v>
      </c>
      <c r="D1160" s="3" t="s">
        <v>94</v>
      </c>
      <c r="E1160" s="27" t="s">
        <v>89</v>
      </c>
      <c r="F1160" s="4">
        <f>IFERROR(AVERAGEIF(Table1[[#This Row],[2019-Apr]:[2025-July]],"&lt;&gt;0"),0)</f>
        <v>4.6506249999999998</v>
      </c>
      <c r="G1160" s="4">
        <f ca="1">IFERROR(AVERAGEIF(OFFSET(Table1[[#This Row],[Status]],0,COUNT(Table1[[#This Row],[2019-May]:[2025-July]]),1,-12),"&lt;&gt;0"),0)</f>
        <v>2.6466666666666669</v>
      </c>
      <c r="H1160" s="55">
        <f>IFERROR(SMALL(Table1[[#This Row],[2019-Apr]:[2025-July]],COUNTIF(Table1[[#This Row],[2019-Apr]:[2025-July]],0)+1),0)</f>
        <v>1.73</v>
      </c>
      <c r="I1160" s="56">
        <f>IFERROR(MAX(Table1[[#This Row],[2019-Apr]:[2025-July]]),0)</f>
        <v>13.52</v>
      </c>
      <c r="J1160" s="4" cm="1">
        <f t="array" ref="J116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2.2816666666666667</v>
      </c>
      <c r="K1160" s="4">
        <v>4.5</v>
      </c>
      <c r="L1160" s="4">
        <f>IF(Table1[[#This Row],[Standard as per ISO]]&gt;=Table1[[#This Row],[Avg of best 6]],Table1[[#This Row],[Standard as per ISO]],Table1[[#This Row],[Avg of best 6]])</f>
        <v>4.5</v>
      </c>
      <c r="M1160" s="4" cm="1">
        <f t="array" ref="M1160">IFERROR(LOOKUP(2,1/(Table1[[#This Row],[2019-May]:[2025-July]]&lt;&gt;0),Table1[[#This Row],[2019-May]:[2025-July]]),0)</f>
        <v>1.88</v>
      </c>
      <c r="N1160" s="4">
        <f>COUNTIF(Table1[[#This Row],[2019-Apr]:[2025-July]],"&gt;="&amp;Table1[[#This Row],[Target]])</f>
        <v>7</v>
      </c>
      <c r="O1160" s="4">
        <f>IF(Table1[[#This Row],[Outliers 2Y]]=0,1,0)</f>
        <v>0</v>
      </c>
      <c r="P1160" s="4">
        <f>IF(Table1[[#This Row],[Last value]]&gt;1.5*Table1[[#This Row],[Target]],1,0)</f>
        <v>0</v>
      </c>
      <c r="Q1160" s="4">
        <f>IF(AND(1.5*Table1[[#This Row],[Target]]&gt;=Table1[[#This Row],[Last value]],Table1[[#This Row],[Last value]]&gt;Table1[[#This Row],[Target]]),1,0)</f>
        <v>0</v>
      </c>
      <c r="R1160" s="4">
        <f>IF(Table1[[#This Row],[Target]]&gt;=Table1[[#This Row],[Last value]],1,0)</f>
        <v>1</v>
      </c>
      <c r="S1160" s="4" t="str">
        <f t="shared" si="30"/>
        <v>Green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6.79</v>
      </c>
      <c r="BQ1160" s="4">
        <v>5.85</v>
      </c>
      <c r="BR1160" s="4">
        <v>5.19</v>
      </c>
      <c r="BS1160" s="4">
        <v>5.15</v>
      </c>
      <c r="BT1160" s="4">
        <v>9.44</v>
      </c>
      <c r="BU1160" s="4">
        <v>13.52</v>
      </c>
      <c r="BV1160" s="4">
        <v>4.8099999999999996</v>
      </c>
      <c r="BW1160" s="4">
        <v>1.73</v>
      </c>
      <c r="BX1160" s="4">
        <v>0</v>
      </c>
      <c r="BY1160" s="4">
        <v>2.78</v>
      </c>
      <c r="BZ1160" s="4">
        <v>3.27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2.14</v>
      </c>
      <c r="CJ1160" s="34">
        <v>0</v>
      </c>
      <c r="CK1160" s="34">
        <v>2.1</v>
      </c>
      <c r="CL1160" s="43">
        <v>3.2</v>
      </c>
      <c r="CM1160" s="4">
        <v>3.5</v>
      </c>
      <c r="CN1160" s="53">
        <v>0</v>
      </c>
      <c r="CO1160" s="54">
        <v>3.06</v>
      </c>
      <c r="CP1160" s="54">
        <v>1.88</v>
      </c>
      <c r="CQ1160" s="4">
        <v>0</v>
      </c>
    </row>
    <row r="1161" spans="1:95" x14ac:dyDescent="0.35">
      <c r="A1161" s="55">
        <v>1160</v>
      </c>
      <c r="B1161" t="s">
        <v>125</v>
      </c>
      <c r="C1161" s="27" t="s">
        <v>1231</v>
      </c>
      <c r="D1161" s="3" t="s">
        <v>94</v>
      </c>
      <c r="E1161" s="27" t="s">
        <v>89</v>
      </c>
      <c r="F1161" s="4">
        <f>IFERROR(AVERAGEIF(Table1[[#This Row],[2019-Apr]:[2025-July]],"&lt;&gt;0"),0)</f>
        <v>3.7655555555555549</v>
      </c>
      <c r="G1161" s="4">
        <f ca="1">IFERROR(AVERAGEIF(OFFSET(Table1[[#This Row],[Status]],0,COUNT(Table1[[#This Row],[2019-May]:[2025-July]]),1,-12),"&lt;&gt;0"),0)</f>
        <v>2.9319999999999999</v>
      </c>
      <c r="H1161" s="55">
        <f>IFERROR(SMALL(Table1[[#This Row],[2019-Apr]:[2025-July]],COUNTIF(Table1[[#This Row],[2019-Apr]:[2025-July]],0)+1),0)</f>
        <v>2.0099999999999998</v>
      </c>
      <c r="I1161" s="56">
        <f>IFERROR(MAX(Table1[[#This Row],[2019-Apr]:[2025-July]]),0)</f>
        <v>6.94</v>
      </c>
      <c r="J1161" s="4" cm="1">
        <f t="array" ref="J116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2.5333333333333332</v>
      </c>
      <c r="K1161" s="4">
        <v>4.5</v>
      </c>
      <c r="L1161" s="4">
        <f>IF(Table1[[#This Row],[Standard as per ISO]]&gt;=Table1[[#This Row],[Avg of best 6]],Table1[[#This Row],[Standard as per ISO]],Table1[[#This Row],[Avg of best 6]])</f>
        <v>4.5</v>
      </c>
      <c r="M1161" s="4" cm="1">
        <f t="array" ref="M1161">IFERROR(LOOKUP(2,1/(Table1[[#This Row],[2019-May]:[2025-July]]&lt;&gt;0),Table1[[#This Row],[2019-May]:[2025-July]]),0)</f>
        <v>3.9</v>
      </c>
      <c r="N1161" s="4">
        <f>COUNTIF(Table1[[#This Row],[2019-Apr]:[2025-July]],"&gt;="&amp;Table1[[#This Row],[Target]])</f>
        <v>3</v>
      </c>
      <c r="O1161" s="4">
        <f>IF(Table1[[#This Row],[Outliers 2Y]]=0,1,0)</f>
        <v>0</v>
      </c>
      <c r="P1161" s="4">
        <f>IF(Table1[[#This Row],[Last value]]&gt;1.5*Table1[[#This Row],[Target]],1,0)</f>
        <v>0</v>
      </c>
      <c r="Q1161" s="4">
        <f>IF(AND(1.5*Table1[[#This Row],[Target]]&gt;=Table1[[#This Row],[Last value]],Table1[[#This Row],[Last value]]&gt;Table1[[#This Row],[Target]]),1,0)</f>
        <v>0</v>
      </c>
      <c r="R1161" s="4">
        <f>IF(Table1[[#This Row],[Target]]&gt;=Table1[[#This Row],[Last value]],1,0)</f>
        <v>1</v>
      </c>
      <c r="S1161" s="4" t="str">
        <f t="shared" si="30"/>
        <v>Green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5.47</v>
      </c>
      <c r="BQ1161" s="4">
        <v>0</v>
      </c>
      <c r="BR1161" s="4">
        <v>4.2699999999999996</v>
      </c>
      <c r="BS1161" s="4">
        <v>4.24</v>
      </c>
      <c r="BT1161" s="4">
        <v>3.35</v>
      </c>
      <c r="BU1161" s="4">
        <v>4.1500000000000004</v>
      </c>
      <c r="BV1161" s="4">
        <v>3.88</v>
      </c>
      <c r="BW1161" s="4">
        <v>4.34</v>
      </c>
      <c r="BX1161" s="4">
        <v>0</v>
      </c>
      <c r="BY1161" s="4">
        <v>4.17</v>
      </c>
      <c r="BZ1161" s="4">
        <v>2.4300000000000002</v>
      </c>
      <c r="CA1161" s="4">
        <v>2.98</v>
      </c>
      <c r="CB1161" s="4">
        <v>6.94</v>
      </c>
      <c r="CC1161" s="4">
        <v>2.0099999999999998</v>
      </c>
      <c r="CD1161" s="4">
        <v>4.8899999999999997</v>
      </c>
      <c r="CE1161" s="4">
        <v>2.72</v>
      </c>
      <c r="CF1161" s="4">
        <v>2.4300000000000002</v>
      </c>
      <c r="CG1161" s="4">
        <v>2.92</v>
      </c>
      <c r="CH1161" s="4">
        <v>0</v>
      </c>
      <c r="CI1161" s="4">
        <v>2.69</v>
      </c>
      <c r="CJ1161" s="34">
        <v>0</v>
      </c>
      <c r="CK1161" s="34">
        <v>3.9</v>
      </c>
      <c r="CL1161" s="43">
        <v>0</v>
      </c>
      <c r="CM1161" s="4">
        <v>0</v>
      </c>
      <c r="CN1161" s="53">
        <v>0</v>
      </c>
      <c r="CO1161" s="54">
        <v>0</v>
      </c>
      <c r="CP1161" s="54">
        <v>0</v>
      </c>
      <c r="CQ1161" s="4">
        <v>0</v>
      </c>
    </row>
    <row r="1162" spans="1:95" x14ac:dyDescent="0.35">
      <c r="A1162" s="55">
        <v>1161</v>
      </c>
      <c r="B1162" t="s">
        <v>125</v>
      </c>
      <c r="C1162" s="27" t="s">
        <v>1232</v>
      </c>
      <c r="D1162" s="3" t="s">
        <v>94</v>
      </c>
      <c r="E1162" s="27" t="s">
        <v>89</v>
      </c>
      <c r="F1162" s="4">
        <f>IFERROR(AVERAGEIF(Table1[[#This Row],[2019-Apr]:[2025-July]],"&lt;&gt;0"),0)</f>
        <v>2.8868181818181817</v>
      </c>
      <c r="G1162" s="4">
        <f ca="1">IFERROR(AVERAGEIF(OFFSET(Table1[[#This Row],[Status]],0,COUNT(Table1[[#This Row],[2019-May]:[2025-July]]),1,-12),"&lt;&gt;0"),0)</f>
        <v>2.98875</v>
      </c>
      <c r="H1162" s="55">
        <f>IFERROR(SMALL(Table1[[#This Row],[2019-Apr]:[2025-July]],COUNTIF(Table1[[#This Row],[2019-Apr]:[2025-July]],0)+1),0)</f>
        <v>1.78</v>
      </c>
      <c r="I1162" s="56">
        <f>IFERROR(MAX(Table1[[#This Row],[2019-Apr]:[2025-July]]),0)</f>
        <v>5.04</v>
      </c>
      <c r="J1162" s="4" cm="1">
        <f t="array" ref="J116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2.1983333333333333</v>
      </c>
      <c r="K1162" s="4">
        <v>4.5</v>
      </c>
      <c r="L1162" s="4">
        <f>IF(Table1[[#This Row],[Standard as per ISO]]&gt;=Table1[[#This Row],[Avg of best 6]],Table1[[#This Row],[Standard as per ISO]],Table1[[#This Row],[Avg of best 6]])</f>
        <v>4.5</v>
      </c>
      <c r="M1162" s="4" cm="1">
        <f t="array" ref="M1162">IFERROR(LOOKUP(2,1/(Table1[[#This Row],[2019-May]:[2025-July]]&lt;&gt;0),Table1[[#This Row],[2019-May]:[2025-July]]),0)</f>
        <v>5.04</v>
      </c>
      <c r="N1162" s="4">
        <f>COUNTIF(Table1[[#This Row],[2019-Apr]:[2025-July]],"&gt;="&amp;Table1[[#This Row],[Target]])</f>
        <v>1</v>
      </c>
      <c r="O1162" s="4">
        <f>IF(Table1[[#This Row],[Outliers 2Y]]=0,1,0)</f>
        <v>0</v>
      </c>
      <c r="P1162" s="4">
        <f>IF(Table1[[#This Row],[Last value]]&gt;1.5*Table1[[#This Row],[Target]],1,0)</f>
        <v>0</v>
      </c>
      <c r="Q1162" s="4">
        <f>IF(AND(1.5*Table1[[#This Row],[Target]]&gt;=Table1[[#This Row],[Last value]],Table1[[#This Row],[Last value]]&gt;Table1[[#This Row],[Target]]),1,0)</f>
        <v>1</v>
      </c>
      <c r="R1162" s="4">
        <f>IF(Table1[[#This Row],[Target]]&gt;=Table1[[#This Row],[Last value]],1,0)</f>
        <v>0</v>
      </c>
      <c r="S1162" s="4" t="str">
        <f t="shared" si="30"/>
        <v>Yellow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3.52</v>
      </c>
      <c r="BQ1162" s="4">
        <v>2.67</v>
      </c>
      <c r="BR1162" s="4">
        <v>2.36</v>
      </c>
      <c r="BS1162" s="4">
        <v>2.4900000000000002</v>
      </c>
      <c r="BT1162" s="4">
        <v>3</v>
      </c>
      <c r="BU1162" s="4">
        <v>2.76</v>
      </c>
      <c r="BV1162" s="4">
        <v>3.33</v>
      </c>
      <c r="BW1162" s="4">
        <v>1.78</v>
      </c>
      <c r="BX1162" s="4">
        <v>0</v>
      </c>
      <c r="BY1162" s="4">
        <v>3.62</v>
      </c>
      <c r="BZ1162" s="4">
        <v>2.65</v>
      </c>
      <c r="CA1162" s="4">
        <v>3.08</v>
      </c>
      <c r="CB1162" s="4">
        <v>3.1</v>
      </c>
      <c r="CC1162" s="4">
        <v>2.36</v>
      </c>
      <c r="CD1162" s="4">
        <v>2.88</v>
      </c>
      <c r="CE1162" s="4">
        <v>3.45</v>
      </c>
      <c r="CF1162" s="4">
        <v>1.9</v>
      </c>
      <c r="CG1162" s="4">
        <v>0</v>
      </c>
      <c r="CH1162" s="4">
        <v>0</v>
      </c>
      <c r="CI1162" s="4">
        <v>2.9</v>
      </c>
      <c r="CJ1162" s="34">
        <v>0</v>
      </c>
      <c r="CK1162" s="34">
        <v>2.5</v>
      </c>
      <c r="CL1162" s="43">
        <v>2.2999999999999998</v>
      </c>
      <c r="CM1162" s="4">
        <v>2.6</v>
      </c>
      <c r="CN1162" s="53">
        <v>0</v>
      </c>
      <c r="CO1162" s="54">
        <v>3.22</v>
      </c>
      <c r="CP1162" s="54">
        <v>5.04</v>
      </c>
      <c r="CQ1162" s="4">
        <v>0</v>
      </c>
    </row>
    <row r="1163" spans="1:95" x14ac:dyDescent="0.35">
      <c r="A1163" s="55">
        <v>1162</v>
      </c>
      <c r="B1163" t="s">
        <v>125</v>
      </c>
      <c r="C1163" s="27" t="s">
        <v>1233</v>
      </c>
      <c r="D1163" s="3" t="s">
        <v>94</v>
      </c>
      <c r="E1163" s="27" t="s">
        <v>89</v>
      </c>
      <c r="F1163" s="4">
        <f>IFERROR(AVERAGEIF(Table1[[#This Row],[2019-Apr]:[2025-July]],"&lt;&gt;0"),0)</f>
        <v>2.7776190476190474</v>
      </c>
      <c r="G1163" s="4">
        <f ca="1">IFERROR(AVERAGEIF(OFFSET(Table1[[#This Row],[Status]],0,COUNT(Table1[[#This Row],[2019-May]:[2025-July]]),1,-12),"&lt;&gt;0"),0)</f>
        <v>2.1800000000000002</v>
      </c>
      <c r="H1163" s="55">
        <f>IFERROR(SMALL(Table1[[#This Row],[2019-Apr]:[2025-July]],COUNTIF(Table1[[#This Row],[2019-Apr]:[2025-July]],0)+1),0)</f>
        <v>1.5</v>
      </c>
      <c r="I1163" s="56">
        <f>IFERROR(MAX(Table1[[#This Row],[2019-Apr]:[2025-July]]),0)</f>
        <v>6.69</v>
      </c>
      <c r="J1163" s="4" cm="1">
        <f t="array" ref="J116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1.6833333333333336</v>
      </c>
      <c r="K1163" s="4">
        <v>4.5</v>
      </c>
      <c r="L1163" s="4">
        <f>IF(Table1[[#This Row],[Standard as per ISO]]&gt;=Table1[[#This Row],[Avg of best 6]],Table1[[#This Row],[Standard as per ISO]],Table1[[#This Row],[Avg of best 6]])</f>
        <v>4.5</v>
      </c>
      <c r="M1163" s="4" cm="1">
        <f t="array" ref="M1163">IFERROR(LOOKUP(2,1/(Table1[[#This Row],[2019-May]:[2025-July]]&lt;&gt;0),Table1[[#This Row],[2019-May]:[2025-July]]),0)</f>
        <v>2.44</v>
      </c>
      <c r="N1163" s="4">
        <f>COUNTIF(Table1[[#This Row],[2019-Apr]:[2025-July]],"&gt;="&amp;Table1[[#This Row],[Target]])</f>
        <v>1</v>
      </c>
      <c r="O1163" s="4">
        <f>IF(Table1[[#This Row],[Outliers 2Y]]=0,1,0)</f>
        <v>0</v>
      </c>
      <c r="P1163" s="4">
        <f>IF(Table1[[#This Row],[Last value]]&gt;1.5*Table1[[#This Row],[Target]],1,0)</f>
        <v>0</v>
      </c>
      <c r="Q1163" s="4">
        <f>IF(AND(1.5*Table1[[#This Row],[Target]]&gt;=Table1[[#This Row],[Last value]],Table1[[#This Row],[Last value]]&gt;Table1[[#This Row],[Target]]),1,0)</f>
        <v>0</v>
      </c>
      <c r="R1163" s="4">
        <f>IF(Table1[[#This Row],[Target]]&gt;=Table1[[#This Row],[Last value]],1,0)</f>
        <v>1</v>
      </c>
      <c r="S1163" s="4" t="str">
        <f t="shared" si="30"/>
        <v>Green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3.77</v>
      </c>
      <c r="BQ1163" s="4">
        <v>3.54</v>
      </c>
      <c r="BR1163" s="4">
        <v>3.66</v>
      </c>
      <c r="BS1163" s="4">
        <v>3.04</v>
      </c>
      <c r="BT1163" s="4">
        <v>0</v>
      </c>
      <c r="BU1163" s="4">
        <v>3.18</v>
      </c>
      <c r="BV1163" s="4">
        <v>2.23</v>
      </c>
      <c r="BW1163" s="4">
        <v>1.63</v>
      </c>
      <c r="BX1163" s="4">
        <v>0</v>
      </c>
      <c r="BY1163" s="4">
        <v>1.68</v>
      </c>
      <c r="BZ1163" s="4">
        <v>3.35</v>
      </c>
      <c r="CA1163" s="4">
        <v>1.89</v>
      </c>
      <c r="CB1163" s="4">
        <v>6.69</v>
      </c>
      <c r="CC1163" s="4">
        <v>2.23</v>
      </c>
      <c r="CD1163" s="4">
        <v>4</v>
      </c>
      <c r="CE1163" s="4">
        <v>3.54</v>
      </c>
      <c r="CF1163" s="4">
        <v>1.6</v>
      </c>
      <c r="CG1163" s="4">
        <v>0</v>
      </c>
      <c r="CH1163" s="4">
        <v>0</v>
      </c>
      <c r="CI1163" s="4">
        <v>1.8</v>
      </c>
      <c r="CJ1163" s="34">
        <v>0</v>
      </c>
      <c r="CK1163" s="34">
        <v>2.2000000000000002</v>
      </c>
      <c r="CL1163" s="43">
        <v>2.2999999999999998</v>
      </c>
      <c r="CM1163" s="4">
        <v>1.5</v>
      </c>
      <c r="CN1163" s="53">
        <v>0</v>
      </c>
      <c r="CO1163" s="54">
        <v>2.06</v>
      </c>
      <c r="CP1163" s="54">
        <v>2.44</v>
      </c>
      <c r="CQ1163" s="4">
        <v>0</v>
      </c>
    </row>
    <row r="1164" spans="1:95" x14ac:dyDescent="0.35">
      <c r="A1164" s="55">
        <v>1163</v>
      </c>
      <c r="B1164" t="s">
        <v>125</v>
      </c>
      <c r="C1164" s="27" t="s">
        <v>1234</v>
      </c>
      <c r="D1164" s="3" t="s">
        <v>94</v>
      </c>
      <c r="E1164" s="27" t="s">
        <v>89</v>
      </c>
      <c r="F1164" s="4">
        <f>IFERROR(AVERAGEIF(Table1[[#This Row],[2019-Apr]:[2025-July]],"&lt;&gt;0"),0)</f>
        <v>3.1237499999999998</v>
      </c>
      <c r="G1164" s="4">
        <f ca="1">IFERROR(AVERAGEIF(OFFSET(Table1[[#This Row],[Status]],0,COUNT(Table1[[#This Row],[2019-May]:[2025-July]]),1,-12),"&lt;&gt;0"),0)</f>
        <v>2.0571428571428569</v>
      </c>
      <c r="H1164" s="55">
        <f>IFERROR(SMALL(Table1[[#This Row],[2019-Apr]:[2025-July]],COUNTIF(Table1[[#This Row],[2019-Apr]:[2025-July]],0)+1),0)</f>
        <v>1.5</v>
      </c>
      <c r="I1164" s="56">
        <f>IFERROR(MAX(Table1[[#This Row],[2019-Apr]:[2025-July]]),0)</f>
        <v>6.06</v>
      </c>
      <c r="J1164" s="4" cm="1">
        <f t="array" ref="J116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1.8299999999999998</v>
      </c>
      <c r="K1164" s="4">
        <v>4.5</v>
      </c>
      <c r="L1164" s="4">
        <f>IF(Table1[[#This Row],[Standard as per ISO]]&gt;=Table1[[#This Row],[Avg of best 6]],Table1[[#This Row],[Standard as per ISO]],Table1[[#This Row],[Avg of best 6]])</f>
        <v>4.5</v>
      </c>
      <c r="M1164" s="4" cm="1">
        <f t="array" ref="M1164">IFERROR(LOOKUP(2,1/(Table1[[#This Row],[2019-May]:[2025-July]]&lt;&gt;0),Table1[[#This Row],[2019-May]:[2025-July]]),0)</f>
        <v>1.76</v>
      </c>
      <c r="N1164" s="4">
        <f>COUNTIF(Table1[[#This Row],[2019-Apr]:[2025-July]],"&gt;="&amp;Table1[[#This Row],[Target]])</f>
        <v>3</v>
      </c>
      <c r="O1164" s="4">
        <f>IF(Table1[[#This Row],[Outliers 2Y]]=0,1,0)</f>
        <v>0</v>
      </c>
      <c r="P1164" s="4">
        <f>IF(Table1[[#This Row],[Last value]]&gt;1.5*Table1[[#This Row],[Target]],1,0)</f>
        <v>0</v>
      </c>
      <c r="Q1164" s="4">
        <f>IF(AND(1.5*Table1[[#This Row],[Target]]&gt;=Table1[[#This Row],[Last value]],Table1[[#This Row],[Last value]]&gt;Table1[[#This Row],[Target]]),1,0)</f>
        <v>0</v>
      </c>
      <c r="R1164" s="4">
        <f>IF(Table1[[#This Row],[Target]]&gt;=Table1[[#This Row],[Last value]],1,0)</f>
        <v>1</v>
      </c>
      <c r="S1164" s="4" t="str">
        <f t="shared" si="30"/>
        <v>Green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4.09</v>
      </c>
      <c r="BQ1164" s="4">
        <v>5.95</v>
      </c>
      <c r="BR1164" s="4">
        <v>0</v>
      </c>
      <c r="BS1164" s="4">
        <v>3.87</v>
      </c>
      <c r="BT1164" s="4">
        <v>3.68</v>
      </c>
      <c r="BU1164" s="4">
        <v>0</v>
      </c>
      <c r="BV1164" s="4">
        <v>0</v>
      </c>
      <c r="BW1164" s="4">
        <v>6.06</v>
      </c>
      <c r="BX1164" s="4">
        <v>0</v>
      </c>
      <c r="BY1164" s="4">
        <v>0</v>
      </c>
      <c r="BZ1164" s="4">
        <v>0</v>
      </c>
      <c r="CA1164" s="4">
        <v>4.67</v>
      </c>
      <c r="CB1164" s="4">
        <v>2.84</v>
      </c>
      <c r="CC1164" s="4">
        <v>1.53</v>
      </c>
      <c r="CD1164" s="4">
        <v>2.89</v>
      </c>
      <c r="CE1164" s="4">
        <v>2.42</v>
      </c>
      <c r="CF1164" s="4">
        <v>1.5</v>
      </c>
      <c r="CG1164" s="4">
        <v>2.19</v>
      </c>
      <c r="CH1164" s="4">
        <v>0</v>
      </c>
      <c r="CI1164" s="4">
        <v>0</v>
      </c>
      <c r="CJ1164" s="34">
        <v>0</v>
      </c>
      <c r="CK1164" s="34">
        <v>0</v>
      </c>
      <c r="CL1164" s="43">
        <v>1.9</v>
      </c>
      <c r="CM1164" s="4">
        <v>2.1</v>
      </c>
      <c r="CN1164" s="53">
        <v>0</v>
      </c>
      <c r="CO1164" s="54">
        <v>2.5299999999999998</v>
      </c>
      <c r="CP1164" s="54">
        <v>1.76</v>
      </c>
      <c r="CQ1164" s="4">
        <v>0</v>
      </c>
    </row>
    <row r="1165" spans="1:95" x14ac:dyDescent="0.35">
      <c r="A1165" s="55">
        <v>1164</v>
      </c>
      <c r="B1165" t="s">
        <v>125</v>
      </c>
      <c r="C1165" s="27" t="s">
        <v>1235</v>
      </c>
      <c r="D1165" s="3" t="s">
        <v>94</v>
      </c>
      <c r="E1165" s="27" t="s">
        <v>89</v>
      </c>
      <c r="F1165" s="4">
        <f>IFERROR(AVERAGEIF(Table1[[#This Row],[2019-Apr]:[2025-July]],"&lt;&gt;0"),0)</f>
        <v>2.6136363636363638</v>
      </c>
      <c r="G1165" s="4">
        <f ca="1">IFERROR(AVERAGEIF(OFFSET(Table1[[#This Row],[Status]],0,COUNT(Table1[[#This Row],[2019-May]:[2025-July]]),1,-12),"&lt;&gt;0"),0)</f>
        <v>2.4462499999999996</v>
      </c>
      <c r="H1165" s="55">
        <f>IFERROR(SMALL(Table1[[#This Row],[2019-Apr]:[2025-July]],COUNTIF(Table1[[#This Row],[2019-Apr]:[2025-July]],0)+1),0)</f>
        <v>1.55</v>
      </c>
      <c r="I1165" s="56">
        <f>IFERROR(MAX(Table1[[#This Row],[2019-Apr]:[2025-July]]),0)</f>
        <v>4.07</v>
      </c>
      <c r="J1165" s="4" cm="1">
        <f t="array" ref="J116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1.7066666666666668</v>
      </c>
      <c r="K1165" s="4">
        <v>4.5</v>
      </c>
      <c r="L1165" s="4">
        <f>IF(Table1[[#This Row],[Standard as per ISO]]&gt;=Table1[[#This Row],[Avg of best 6]],Table1[[#This Row],[Standard as per ISO]],Table1[[#This Row],[Avg of best 6]])</f>
        <v>4.5</v>
      </c>
      <c r="M1165" s="4" cm="1">
        <f t="array" ref="M1165">IFERROR(LOOKUP(2,1/(Table1[[#This Row],[2019-May]:[2025-July]]&lt;&gt;0),Table1[[#This Row],[2019-May]:[2025-July]]),0)</f>
        <v>1.88</v>
      </c>
      <c r="N1165" s="4">
        <f>COUNTIF(Table1[[#This Row],[2019-Apr]:[2025-July]],"&gt;="&amp;Table1[[#This Row],[Target]])</f>
        <v>0</v>
      </c>
      <c r="O1165" s="4">
        <f>IF(Table1[[#This Row],[Outliers 2Y]]=0,1,0)</f>
        <v>1</v>
      </c>
      <c r="P1165" s="4">
        <f>IF(Table1[[#This Row],[Last value]]&gt;1.5*Table1[[#This Row],[Target]],1,0)</f>
        <v>0</v>
      </c>
      <c r="Q1165" s="4">
        <f>IF(AND(1.5*Table1[[#This Row],[Target]]&gt;=Table1[[#This Row],[Last value]],Table1[[#This Row],[Last value]]&gt;Table1[[#This Row],[Target]]),1,0)</f>
        <v>0</v>
      </c>
      <c r="R1165" s="4">
        <f>IF(Table1[[#This Row],[Target]]&gt;=Table1[[#This Row],[Last value]],1,0)</f>
        <v>1</v>
      </c>
      <c r="S1165" s="4" t="str">
        <f t="shared" si="30"/>
        <v>Green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2.02</v>
      </c>
      <c r="BQ1165" s="4">
        <v>3.53</v>
      </c>
      <c r="BR1165" s="4">
        <v>3.6</v>
      </c>
      <c r="BS1165" s="4">
        <v>3.86</v>
      </c>
      <c r="BT1165" s="4">
        <v>4.07</v>
      </c>
      <c r="BU1165" s="4">
        <v>3.89</v>
      </c>
      <c r="BV1165" s="4">
        <v>1.72</v>
      </c>
      <c r="BW1165" s="4">
        <v>1.83</v>
      </c>
      <c r="BX1165" s="4">
        <v>0</v>
      </c>
      <c r="BY1165" s="4">
        <v>1.71</v>
      </c>
      <c r="BZ1165" s="4">
        <v>3.08</v>
      </c>
      <c r="CA1165" s="4">
        <v>1.73</v>
      </c>
      <c r="CB1165" s="4">
        <v>3.13</v>
      </c>
      <c r="CC1165" s="4">
        <v>1.55</v>
      </c>
      <c r="CD1165" s="4">
        <v>2.21</v>
      </c>
      <c r="CE1165" s="4">
        <v>2.71</v>
      </c>
      <c r="CF1165" s="4">
        <v>1.9</v>
      </c>
      <c r="CG1165" s="4">
        <v>0</v>
      </c>
      <c r="CH1165" s="4">
        <v>0</v>
      </c>
      <c r="CI1165" s="4">
        <v>2.34</v>
      </c>
      <c r="CJ1165" s="34">
        <v>0</v>
      </c>
      <c r="CK1165" s="34">
        <v>1.7</v>
      </c>
      <c r="CL1165" s="43">
        <v>3</v>
      </c>
      <c r="CM1165" s="4">
        <v>3.8</v>
      </c>
      <c r="CN1165" s="53">
        <v>0</v>
      </c>
      <c r="CO1165" s="54">
        <v>2.2400000000000002</v>
      </c>
      <c r="CP1165" s="54">
        <v>1.88</v>
      </c>
      <c r="CQ1165" s="4">
        <v>0</v>
      </c>
    </row>
    <row r="1166" spans="1:95" x14ac:dyDescent="0.35">
      <c r="A1166" s="55">
        <v>1165</v>
      </c>
      <c r="B1166" t="s">
        <v>125</v>
      </c>
      <c r="C1166" s="27" t="s">
        <v>1236</v>
      </c>
      <c r="D1166" s="3" t="s">
        <v>94</v>
      </c>
      <c r="E1166" s="27" t="s">
        <v>89</v>
      </c>
      <c r="F1166" s="4">
        <f>IFERROR(AVERAGEIF(Table1[[#This Row],[2019-Apr]:[2025-July]],"&lt;&gt;0"),0)</f>
        <v>3.4981818181818181</v>
      </c>
      <c r="G1166" s="4">
        <f ca="1">IFERROR(AVERAGEIF(OFFSET(Table1[[#This Row],[Status]],0,COUNT(Table1[[#This Row],[2019-May]:[2025-July]]),1,-12),"&lt;&gt;0"),0)</f>
        <v>2.7287500000000002</v>
      </c>
      <c r="H1166" s="55">
        <f>IFERROR(SMALL(Table1[[#This Row],[2019-Apr]:[2025-July]],COUNTIF(Table1[[#This Row],[2019-Apr]:[2025-July]],0)+1),0)</f>
        <v>1.27</v>
      </c>
      <c r="I1166" s="56">
        <f>IFERROR(MAX(Table1[[#This Row],[2019-Apr]:[2025-July]]),0)</f>
        <v>5.79</v>
      </c>
      <c r="J1166" s="4" cm="1">
        <f t="array" ref="J116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2.3699999999999997</v>
      </c>
      <c r="K1166" s="4">
        <v>4.5</v>
      </c>
      <c r="L1166" s="4">
        <f>IF(Table1[[#This Row],[Standard as per ISO]]&gt;=Table1[[#This Row],[Avg of best 6]],Table1[[#This Row],[Standard as per ISO]],Table1[[#This Row],[Avg of best 6]])</f>
        <v>4.5</v>
      </c>
      <c r="M1166" s="4" cm="1">
        <f t="array" ref="M1166">IFERROR(LOOKUP(2,1/(Table1[[#This Row],[2019-May]:[2025-July]]&lt;&gt;0),Table1[[#This Row],[2019-May]:[2025-July]]),0)</f>
        <v>2.8</v>
      </c>
      <c r="N1166" s="4">
        <f>COUNTIF(Table1[[#This Row],[2019-Apr]:[2025-July]],"&gt;="&amp;Table1[[#This Row],[Target]])</f>
        <v>3</v>
      </c>
      <c r="O1166" s="4">
        <f>IF(Table1[[#This Row],[Outliers 2Y]]=0,1,0)</f>
        <v>0</v>
      </c>
      <c r="P1166" s="4">
        <f>IF(Table1[[#This Row],[Last value]]&gt;1.5*Table1[[#This Row],[Target]],1,0)</f>
        <v>0</v>
      </c>
      <c r="Q1166" s="4">
        <f>IF(AND(1.5*Table1[[#This Row],[Target]]&gt;=Table1[[#This Row],[Last value]],Table1[[#This Row],[Last value]]&gt;Table1[[#This Row],[Target]]),1,0)</f>
        <v>0</v>
      </c>
      <c r="R1166" s="4">
        <f>IF(Table1[[#This Row],[Target]]&gt;=Table1[[#This Row],[Last value]],1,0)</f>
        <v>1</v>
      </c>
      <c r="S1166" s="4" t="str">
        <f t="shared" si="30"/>
        <v>Green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5.79</v>
      </c>
      <c r="BQ1166" s="4">
        <v>4.1399999999999997</v>
      </c>
      <c r="BR1166" s="4">
        <v>3.98</v>
      </c>
      <c r="BS1166" s="4">
        <v>3.18</v>
      </c>
      <c r="BT1166" s="4">
        <v>3.76</v>
      </c>
      <c r="BU1166" s="4">
        <v>3.94</v>
      </c>
      <c r="BV1166" s="4">
        <v>4.74</v>
      </c>
      <c r="BW1166" s="4">
        <v>3.33</v>
      </c>
      <c r="BX1166" s="4">
        <v>0</v>
      </c>
      <c r="BY1166" s="4">
        <v>4.05</v>
      </c>
      <c r="BZ1166" s="4">
        <v>3.03</v>
      </c>
      <c r="CA1166" s="4">
        <v>5.0599999999999996</v>
      </c>
      <c r="CB1166" s="4">
        <v>4.1399999999999997</v>
      </c>
      <c r="CC1166" s="4">
        <v>2.98</v>
      </c>
      <c r="CD1166" s="4">
        <v>3.01</v>
      </c>
      <c r="CE1166" s="4">
        <v>1.27</v>
      </c>
      <c r="CF1166" s="4">
        <v>4.1100000000000003</v>
      </c>
      <c r="CG1166" s="4">
        <v>0</v>
      </c>
      <c r="CH1166" s="4">
        <v>0</v>
      </c>
      <c r="CI1166" s="4">
        <v>2.2999999999999998</v>
      </c>
      <c r="CJ1166" s="34">
        <v>0</v>
      </c>
      <c r="CK1166" s="34">
        <v>2.6</v>
      </c>
      <c r="CL1166" s="43">
        <v>2.5</v>
      </c>
      <c r="CM1166" s="4">
        <v>3.5</v>
      </c>
      <c r="CN1166" s="53">
        <v>0</v>
      </c>
      <c r="CO1166" s="54">
        <v>2.75</v>
      </c>
      <c r="CP1166" s="54">
        <v>2.8</v>
      </c>
      <c r="CQ1166" s="4">
        <v>0</v>
      </c>
    </row>
    <row r="1167" spans="1:95" x14ac:dyDescent="0.35">
      <c r="A1167" s="55">
        <v>1166</v>
      </c>
      <c r="B1167" t="s">
        <v>125</v>
      </c>
      <c r="C1167" s="27" t="s">
        <v>1237</v>
      </c>
      <c r="D1167" s="3" t="s">
        <v>94</v>
      </c>
      <c r="E1167" s="27" t="s">
        <v>89</v>
      </c>
      <c r="F1167" s="4">
        <f>IFERROR(AVERAGEIF(Table1[[#This Row],[2019-Apr]:[2025-July]],"&lt;&gt;0"),0)</f>
        <v>3.3057142857142856</v>
      </c>
      <c r="G1167" s="4">
        <f ca="1">IFERROR(AVERAGEIF(OFFSET(Table1[[#This Row],[Status]],0,COUNT(Table1[[#This Row],[2019-May]:[2025-July]]),1,-12),"&lt;&gt;0"),0)</f>
        <v>2.9037500000000001</v>
      </c>
      <c r="H1167" s="55">
        <f>IFERROR(SMALL(Table1[[#This Row],[2019-Apr]:[2025-July]],COUNTIF(Table1[[#This Row],[2019-Apr]:[2025-July]],0)+1),0)</f>
        <v>1.06</v>
      </c>
      <c r="I1167" s="56">
        <f>IFERROR(MAX(Table1[[#This Row],[2019-Apr]:[2025-July]]),0)</f>
        <v>5.98</v>
      </c>
      <c r="J1167" s="4" cm="1">
        <f t="array" ref="J116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1.8433333333333335</v>
      </c>
      <c r="K1167" s="4">
        <v>4.5</v>
      </c>
      <c r="L1167" s="4">
        <f>IF(Table1[[#This Row],[Standard as per ISO]]&gt;=Table1[[#This Row],[Avg of best 6]],Table1[[#This Row],[Standard as per ISO]],Table1[[#This Row],[Avg of best 6]])</f>
        <v>4.5</v>
      </c>
      <c r="M1167" s="4" cm="1">
        <f t="array" ref="M1167">IFERROR(LOOKUP(2,1/(Table1[[#This Row],[2019-May]:[2025-July]]&lt;&gt;0),Table1[[#This Row],[2019-May]:[2025-July]]),0)</f>
        <v>2.73</v>
      </c>
      <c r="N1167" s="4">
        <f>COUNTIF(Table1[[#This Row],[2019-Apr]:[2025-July]],"&gt;="&amp;Table1[[#This Row],[Target]])</f>
        <v>3</v>
      </c>
      <c r="O1167" s="4">
        <f>IF(Table1[[#This Row],[Outliers 2Y]]=0,1,0)</f>
        <v>0</v>
      </c>
      <c r="P1167" s="4">
        <f>IF(Table1[[#This Row],[Last value]]&gt;1.5*Table1[[#This Row],[Target]],1,0)</f>
        <v>0</v>
      </c>
      <c r="Q1167" s="4">
        <f>IF(AND(1.5*Table1[[#This Row],[Target]]&gt;=Table1[[#This Row],[Last value]],Table1[[#This Row],[Last value]]&gt;Table1[[#This Row],[Target]]),1,0)</f>
        <v>0</v>
      </c>
      <c r="R1167" s="4">
        <f>IF(Table1[[#This Row],[Target]]&gt;=Table1[[#This Row],[Last value]],1,0)</f>
        <v>1</v>
      </c>
      <c r="S1167" s="4" t="str">
        <f t="shared" si="30"/>
        <v>Green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1.07</v>
      </c>
      <c r="BQ1167" s="4">
        <v>1.06</v>
      </c>
      <c r="BR1167" s="4">
        <v>4.22</v>
      </c>
      <c r="BS1167" s="4">
        <v>2.76</v>
      </c>
      <c r="BT1167" s="4">
        <v>3.65</v>
      </c>
      <c r="BU1167" s="4">
        <v>5.98</v>
      </c>
      <c r="BV1167" s="4">
        <v>5.09</v>
      </c>
      <c r="BW1167" s="4">
        <v>5.69</v>
      </c>
      <c r="BX1167" s="4">
        <v>0</v>
      </c>
      <c r="BY1167" s="4">
        <v>0</v>
      </c>
      <c r="BZ1167" s="4">
        <v>2.73</v>
      </c>
      <c r="CA1167" s="4">
        <v>3.61</v>
      </c>
      <c r="CB1167" s="4">
        <v>2.63</v>
      </c>
      <c r="CC1167" s="4">
        <v>3.32</v>
      </c>
      <c r="CD1167" s="4">
        <v>4.38</v>
      </c>
      <c r="CE1167" s="4">
        <v>1.83</v>
      </c>
      <c r="CF1167" s="4">
        <v>1.74</v>
      </c>
      <c r="CG1167" s="4">
        <v>0</v>
      </c>
      <c r="CH1167" s="4">
        <v>0</v>
      </c>
      <c r="CI1167" s="4">
        <v>3.07</v>
      </c>
      <c r="CJ1167" s="34">
        <v>0</v>
      </c>
      <c r="CK1167" s="34">
        <v>3.5</v>
      </c>
      <c r="CL1167" s="43">
        <v>2.9</v>
      </c>
      <c r="CM1167" s="4">
        <v>4.4000000000000004</v>
      </c>
      <c r="CN1167" s="53">
        <v>0</v>
      </c>
      <c r="CO1167" s="54">
        <v>3.06</v>
      </c>
      <c r="CP1167" s="54">
        <v>2.73</v>
      </c>
      <c r="CQ1167" s="4">
        <v>0</v>
      </c>
    </row>
    <row r="1168" spans="1:95" x14ac:dyDescent="0.35">
      <c r="A1168" s="55">
        <v>1167</v>
      </c>
      <c r="B1168" t="s">
        <v>125</v>
      </c>
      <c r="C1168" s="27" t="s">
        <v>1238</v>
      </c>
      <c r="D1168" s="3" t="s">
        <v>94</v>
      </c>
      <c r="E1168" s="27" t="s">
        <v>89</v>
      </c>
      <c r="F1168" s="4">
        <f>IFERROR(AVERAGEIF(Table1[[#This Row],[2019-Apr]:[2025-July]],"&lt;&gt;0"),0)</f>
        <v>3.1257894736842093</v>
      </c>
      <c r="G1168" s="4">
        <f ca="1">IFERROR(AVERAGEIF(OFFSET(Table1[[#This Row],[Status]],0,COUNT(Table1[[#This Row],[2019-May]:[2025-July]]),1,-12),"&lt;&gt;0"),0)</f>
        <v>2.7987500000000001</v>
      </c>
      <c r="H1168" s="55">
        <f>IFERROR(SMALL(Table1[[#This Row],[2019-Apr]:[2025-July]],COUNTIF(Table1[[#This Row],[2019-Apr]:[2025-July]],0)+1),0)</f>
        <v>1.76</v>
      </c>
      <c r="I1168" s="56">
        <f>IFERROR(MAX(Table1[[#This Row],[2019-Apr]:[2025-July]]),0)</f>
        <v>4.8</v>
      </c>
      <c r="J1168" s="4" cm="1">
        <f t="array" ref="J116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2.1416666666666666</v>
      </c>
      <c r="K1168" s="4">
        <v>4.5</v>
      </c>
      <c r="L1168" s="4">
        <f>IF(Table1[[#This Row],[Standard as per ISO]]&gt;=Table1[[#This Row],[Avg of best 6]],Table1[[#This Row],[Standard as per ISO]],Table1[[#This Row],[Avg of best 6]])</f>
        <v>4.5</v>
      </c>
      <c r="M1168" s="4" cm="1">
        <f t="array" ref="M1168">IFERROR(LOOKUP(2,1/(Table1[[#This Row],[2019-May]:[2025-July]]&lt;&gt;0),Table1[[#This Row],[2019-May]:[2025-July]]),0)</f>
        <v>1.76</v>
      </c>
      <c r="N1168" s="4">
        <f>COUNTIF(Table1[[#This Row],[2019-Apr]:[2025-July]],"&gt;="&amp;Table1[[#This Row],[Target]])</f>
        <v>2</v>
      </c>
      <c r="O1168" s="4">
        <f>IF(Table1[[#This Row],[Outliers 2Y]]=0,1,0)</f>
        <v>0</v>
      </c>
      <c r="P1168" s="4">
        <f>IF(Table1[[#This Row],[Last value]]&gt;1.5*Table1[[#This Row],[Target]],1,0)</f>
        <v>0</v>
      </c>
      <c r="Q1168" s="4">
        <f>IF(AND(1.5*Table1[[#This Row],[Target]]&gt;=Table1[[#This Row],[Last value]],Table1[[#This Row],[Last value]]&gt;Table1[[#This Row],[Target]]),1,0)</f>
        <v>0</v>
      </c>
      <c r="R1168" s="4">
        <f>IF(Table1[[#This Row],[Target]]&gt;=Table1[[#This Row],[Last value]],1,0)</f>
        <v>1</v>
      </c>
      <c r="S1168" s="4" t="str">
        <f t="shared" si="30"/>
        <v>Green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3.87</v>
      </c>
      <c r="BQ1168" s="4">
        <v>2.68</v>
      </c>
      <c r="BR1168" s="4">
        <v>3.18</v>
      </c>
      <c r="BS1168" s="4">
        <v>3.83</v>
      </c>
      <c r="BT1168" s="4">
        <v>0</v>
      </c>
      <c r="BU1168" s="4">
        <v>2.96</v>
      </c>
      <c r="BV1168" s="4">
        <v>0</v>
      </c>
      <c r="BW1168" s="4">
        <v>0</v>
      </c>
      <c r="BX1168" s="4">
        <v>0</v>
      </c>
      <c r="BY1168" s="4">
        <v>3.31</v>
      </c>
      <c r="BZ1168" s="4">
        <v>2.27</v>
      </c>
      <c r="CA1168" s="4">
        <v>3.74</v>
      </c>
      <c r="CB1168" s="4">
        <v>2.81</v>
      </c>
      <c r="CC1168" s="4">
        <v>3.8</v>
      </c>
      <c r="CD1168" s="4">
        <v>4.55</v>
      </c>
      <c r="CE1168" s="4">
        <v>1.8</v>
      </c>
      <c r="CF1168" s="4">
        <v>1.94</v>
      </c>
      <c r="CG1168" s="4">
        <v>0</v>
      </c>
      <c r="CH1168" s="4">
        <v>0</v>
      </c>
      <c r="CI1168" s="4">
        <v>4.16</v>
      </c>
      <c r="CJ1168" s="34">
        <v>0</v>
      </c>
      <c r="CK1168" s="34">
        <v>2.8</v>
      </c>
      <c r="CL1168" s="43">
        <v>2.4</v>
      </c>
      <c r="CM1168" s="4">
        <v>4.8</v>
      </c>
      <c r="CN1168" s="53">
        <v>0</v>
      </c>
      <c r="CO1168" s="54">
        <v>2.73</v>
      </c>
      <c r="CP1168" s="54">
        <v>1.76</v>
      </c>
      <c r="CQ1168" s="4">
        <v>0</v>
      </c>
    </row>
    <row r="1169" spans="1:95" x14ac:dyDescent="0.35">
      <c r="A1169" s="55">
        <v>1168</v>
      </c>
      <c r="B1169" t="s">
        <v>125</v>
      </c>
      <c r="C1169" s="27" t="s">
        <v>1239</v>
      </c>
      <c r="D1169" s="3" t="s">
        <v>94</v>
      </c>
      <c r="E1169" s="27" t="s">
        <v>89</v>
      </c>
      <c r="F1169" s="4">
        <f>IFERROR(AVERAGEIF(Table1[[#This Row],[2019-Apr]:[2025-July]],"&lt;&gt;0"),0)</f>
        <v>2.7679999999999998</v>
      </c>
      <c r="G1169" s="4">
        <f ca="1">IFERROR(AVERAGEIF(OFFSET(Table1[[#This Row],[Status]],0,COUNT(Table1[[#This Row],[2019-May]:[2025-July]]),1,-12),"&lt;&gt;0"),0)</f>
        <v>2.6349999999999998</v>
      </c>
      <c r="H1169" s="55">
        <f>IFERROR(SMALL(Table1[[#This Row],[2019-Apr]:[2025-July]],COUNTIF(Table1[[#This Row],[2019-Apr]:[2025-July]],0)+1),0)</f>
        <v>1.75</v>
      </c>
      <c r="I1169" s="56">
        <f>IFERROR(MAX(Table1[[#This Row],[2019-Apr]:[2025-July]]),0)</f>
        <v>3.4</v>
      </c>
      <c r="J1169" s="4" cm="1">
        <f t="array" ref="J116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2.4300000000000002</v>
      </c>
      <c r="K1169" s="4">
        <v>4.5</v>
      </c>
      <c r="L1169" s="4">
        <f>IF(Table1[[#This Row],[Standard as per ISO]]&gt;=Table1[[#This Row],[Avg of best 6]],Table1[[#This Row],[Standard as per ISO]],Table1[[#This Row],[Avg of best 6]])</f>
        <v>4.5</v>
      </c>
      <c r="M1169" s="4" cm="1">
        <f t="array" ref="M1169">IFERROR(LOOKUP(2,1/(Table1[[#This Row],[2019-May]:[2025-July]]&lt;&gt;0),Table1[[#This Row],[2019-May]:[2025-July]]),0)</f>
        <v>3.4</v>
      </c>
      <c r="N1169" s="4">
        <f>COUNTIF(Table1[[#This Row],[2019-Apr]:[2025-July]],"&gt;="&amp;Table1[[#This Row],[Target]])</f>
        <v>0</v>
      </c>
      <c r="O1169" s="4">
        <f>IF(Table1[[#This Row],[Outliers 2Y]]=0,1,0)</f>
        <v>1</v>
      </c>
      <c r="P1169" s="4">
        <f>IF(Table1[[#This Row],[Last value]]&gt;1.5*Table1[[#This Row],[Target]],1,0)</f>
        <v>0</v>
      </c>
      <c r="Q1169" s="4">
        <f>IF(AND(1.5*Table1[[#This Row],[Target]]&gt;=Table1[[#This Row],[Last value]],Table1[[#This Row],[Last value]]&gt;Table1[[#This Row],[Target]]),1,0)</f>
        <v>0</v>
      </c>
      <c r="R1169" s="4">
        <f>IF(Table1[[#This Row],[Target]]&gt;=Table1[[#This Row],[Last value]],1,0)</f>
        <v>1</v>
      </c>
      <c r="S1169" s="4" t="str">
        <f t="shared" si="30"/>
        <v>Green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2.17</v>
      </c>
      <c r="BQ1169" s="4">
        <v>2.94</v>
      </c>
      <c r="BR1169" s="4">
        <v>3.22</v>
      </c>
      <c r="BS1169" s="4">
        <v>0</v>
      </c>
      <c r="BT1169" s="4">
        <v>3.16</v>
      </c>
      <c r="BU1169" s="4">
        <v>1.75</v>
      </c>
      <c r="BV1169" s="4">
        <v>3.26</v>
      </c>
      <c r="BW1169" s="4">
        <v>3.22</v>
      </c>
      <c r="BX1169" s="4">
        <v>0</v>
      </c>
      <c r="BY1169" s="4">
        <v>2.69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1.87</v>
      </c>
      <c r="CJ1169" s="34">
        <v>0</v>
      </c>
      <c r="CK1169" s="34">
        <v>0</v>
      </c>
      <c r="CL1169" s="43">
        <v>3.4</v>
      </c>
      <c r="CM1169" s="4">
        <v>0</v>
      </c>
      <c r="CN1169" s="53">
        <v>0</v>
      </c>
      <c r="CO1169" s="54">
        <v>0</v>
      </c>
      <c r="CP1169" s="54">
        <v>0</v>
      </c>
      <c r="CQ1169" s="4">
        <v>0</v>
      </c>
    </row>
    <row r="1170" spans="1:95" x14ac:dyDescent="0.35">
      <c r="A1170" s="55">
        <v>1169</v>
      </c>
      <c r="B1170" t="s">
        <v>125</v>
      </c>
      <c r="C1170" s="27" t="s">
        <v>1240</v>
      </c>
      <c r="D1170" s="3" t="s">
        <v>94</v>
      </c>
      <c r="E1170" s="27" t="s">
        <v>89</v>
      </c>
      <c r="F1170" s="4">
        <f>IFERROR(AVERAGEIF(Table1[[#This Row],[2019-Apr]:[2025-July]],"&lt;&gt;0"),0)</f>
        <v>4.7972222222222216</v>
      </c>
      <c r="G1170" s="4">
        <f ca="1">IFERROR(AVERAGEIF(OFFSET(Table1[[#This Row],[Status]],0,COUNT(Table1[[#This Row],[2019-May]:[2025-July]]),1,-12),"&lt;&gt;0"),0)</f>
        <v>4.9600000000000009</v>
      </c>
      <c r="H1170" s="55">
        <f>IFERROR(SMALL(Table1[[#This Row],[2019-Apr]:[2025-July]],COUNTIF(Table1[[#This Row],[2019-Apr]:[2025-July]],0)+1),0)</f>
        <v>3.06</v>
      </c>
      <c r="I1170" s="56">
        <f>IFERROR(MAX(Table1[[#This Row],[2019-Apr]:[2025-July]]),0)</f>
        <v>6.37</v>
      </c>
      <c r="J1170" s="4" cm="1">
        <f t="array" ref="J117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3.6666666666666665</v>
      </c>
      <c r="K1170" s="4">
        <v>4.5</v>
      </c>
      <c r="L1170" s="4">
        <f>IF(Table1[[#This Row],[Standard as per ISO]]&gt;=Table1[[#This Row],[Avg of best 6]],Table1[[#This Row],[Standard as per ISO]],Table1[[#This Row],[Avg of best 6]])</f>
        <v>4.5</v>
      </c>
      <c r="M1170" s="4" cm="1">
        <f t="array" ref="M1170">IFERROR(LOOKUP(2,1/(Table1[[#This Row],[2019-May]:[2025-July]]&lt;&gt;0),Table1[[#This Row],[2019-May]:[2025-July]]),0)</f>
        <v>5.63</v>
      </c>
      <c r="N1170" s="4">
        <f>COUNTIF(Table1[[#This Row],[2019-Apr]:[2025-July]],"&gt;="&amp;Table1[[#This Row],[Target]])</f>
        <v>13</v>
      </c>
      <c r="O1170" s="4">
        <f>IF(Table1[[#This Row],[Outliers 2Y]]=0,1,0)</f>
        <v>0</v>
      </c>
      <c r="P1170" s="4">
        <f>IF(Table1[[#This Row],[Last value]]&gt;1.5*Table1[[#This Row],[Target]],1,0)</f>
        <v>0</v>
      </c>
      <c r="Q1170" s="4">
        <f>IF(AND(1.5*Table1[[#This Row],[Target]]&gt;=Table1[[#This Row],[Last value]],Table1[[#This Row],[Last value]]&gt;Table1[[#This Row],[Target]]),1,0)</f>
        <v>1</v>
      </c>
      <c r="R1170" s="4">
        <f>IF(Table1[[#This Row],[Target]]&gt;=Table1[[#This Row],[Last value]],1,0)</f>
        <v>0</v>
      </c>
      <c r="S1170" s="4" t="str">
        <f t="shared" si="30"/>
        <v>Yellow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5.62</v>
      </c>
      <c r="BT1170" s="4">
        <v>3.94</v>
      </c>
      <c r="BU1170" s="4">
        <v>3.06</v>
      </c>
      <c r="BV1170" s="4">
        <v>6.04</v>
      </c>
      <c r="BW1170" s="4">
        <v>4.5999999999999996</v>
      </c>
      <c r="BX1170" s="4">
        <v>0</v>
      </c>
      <c r="BY1170" s="4">
        <v>5.34</v>
      </c>
      <c r="BZ1170" s="4">
        <v>3.09</v>
      </c>
      <c r="CA1170" s="4">
        <v>4.97</v>
      </c>
      <c r="CB1170" s="4">
        <v>3.53</v>
      </c>
      <c r="CC1170" s="4">
        <v>5.07</v>
      </c>
      <c r="CD1170" s="4">
        <v>6.37</v>
      </c>
      <c r="CE1170" s="4">
        <v>3.78</v>
      </c>
      <c r="CF1170" s="4">
        <v>5.12</v>
      </c>
      <c r="CG1170" s="4">
        <v>0</v>
      </c>
      <c r="CH1170" s="4">
        <v>0</v>
      </c>
      <c r="CI1170" s="4">
        <v>4.76</v>
      </c>
      <c r="CJ1170" s="34">
        <v>0</v>
      </c>
      <c r="CK1170" s="34">
        <v>5.9</v>
      </c>
      <c r="CL1170" s="43">
        <v>0</v>
      </c>
      <c r="CM1170" s="4">
        <v>4.5999999999999996</v>
      </c>
      <c r="CN1170" s="53">
        <v>0</v>
      </c>
      <c r="CO1170" s="54">
        <v>4.93</v>
      </c>
      <c r="CP1170" s="54">
        <v>5.63</v>
      </c>
      <c r="CQ1170" s="4">
        <v>0</v>
      </c>
    </row>
    <row r="1171" spans="1:95" x14ac:dyDescent="0.35">
      <c r="A1171" s="55">
        <v>1170</v>
      </c>
      <c r="B1171" t="s">
        <v>125</v>
      </c>
      <c r="C1171" s="27" t="s">
        <v>1241</v>
      </c>
      <c r="D1171" s="3" t="s">
        <v>94</v>
      </c>
      <c r="E1171" s="27" t="s">
        <v>89</v>
      </c>
      <c r="F1171" s="4">
        <f>IFERROR(AVERAGEIF(Table1[[#This Row],[2019-Apr]:[2025-July]],"&lt;&gt;0"),0)</f>
        <v>3.2713636363636365</v>
      </c>
      <c r="G1171" s="4">
        <f ca="1">IFERROR(AVERAGEIF(OFFSET(Table1[[#This Row],[Status]],0,COUNT(Table1[[#This Row],[2019-May]:[2025-July]]),1,-12),"&lt;&gt;0"),0)</f>
        <v>3.0387500000000003</v>
      </c>
      <c r="H1171" s="55">
        <f>IFERROR(SMALL(Table1[[#This Row],[2019-Apr]:[2025-July]],COUNTIF(Table1[[#This Row],[2019-Apr]:[2025-July]],0)+1),0)</f>
        <v>2.14</v>
      </c>
      <c r="I1171" s="56">
        <f>IFERROR(MAX(Table1[[#This Row],[2019-Apr]:[2025-July]]),0)</f>
        <v>4.51</v>
      </c>
      <c r="J1171" s="4" cm="1">
        <f t="array" ref="J117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2.5833333333333335</v>
      </c>
      <c r="K1171" s="4">
        <v>4.5</v>
      </c>
      <c r="L1171" s="4">
        <f>IF(Table1[[#This Row],[Standard as per ISO]]&gt;=Table1[[#This Row],[Avg of best 6]],Table1[[#This Row],[Standard as per ISO]],Table1[[#This Row],[Avg of best 6]])</f>
        <v>4.5</v>
      </c>
      <c r="M1171" s="4" cm="1">
        <f t="array" ref="M1171">IFERROR(LOOKUP(2,1/(Table1[[#This Row],[2019-May]:[2025-July]]&lt;&gt;0),Table1[[#This Row],[2019-May]:[2025-July]]),0)</f>
        <v>2.8</v>
      </c>
      <c r="N1171" s="4">
        <f>COUNTIF(Table1[[#This Row],[2019-Apr]:[2025-July]],"&gt;="&amp;Table1[[#This Row],[Target]])</f>
        <v>1</v>
      </c>
      <c r="O1171" s="4">
        <f>IF(Table1[[#This Row],[Outliers 2Y]]=0,1,0)</f>
        <v>0</v>
      </c>
      <c r="P1171" s="4">
        <f>IF(Table1[[#This Row],[Last value]]&gt;1.5*Table1[[#This Row],[Target]],1,0)</f>
        <v>0</v>
      </c>
      <c r="Q1171" s="4">
        <f>IF(AND(1.5*Table1[[#This Row],[Target]]&gt;=Table1[[#This Row],[Last value]],Table1[[#This Row],[Last value]]&gt;Table1[[#This Row],[Target]]),1,0)</f>
        <v>0</v>
      </c>
      <c r="R1171" s="4">
        <f>IF(Table1[[#This Row],[Target]]&gt;=Table1[[#This Row],[Last value]],1,0)</f>
        <v>1</v>
      </c>
      <c r="S1171" s="4" t="str">
        <f t="shared" si="30"/>
        <v>Green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3.57</v>
      </c>
      <c r="BQ1171" s="4">
        <v>2.5</v>
      </c>
      <c r="BR1171" s="4">
        <v>3.15</v>
      </c>
      <c r="BS1171" s="4">
        <v>3.73</v>
      </c>
      <c r="BT1171" s="4">
        <v>3.47</v>
      </c>
      <c r="BU1171" s="4">
        <v>2.64</v>
      </c>
      <c r="BV1171" s="4">
        <v>3.35</v>
      </c>
      <c r="BW1171" s="4">
        <v>4.51</v>
      </c>
      <c r="BX1171" s="4">
        <v>0</v>
      </c>
      <c r="BY1171" s="4">
        <v>3.53</v>
      </c>
      <c r="BZ1171" s="4">
        <v>2.82</v>
      </c>
      <c r="CA1171" s="4">
        <v>3.59</v>
      </c>
      <c r="CB1171" s="4">
        <v>3.43</v>
      </c>
      <c r="CC1171" s="4">
        <v>3.77</v>
      </c>
      <c r="CD1171" s="4">
        <v>3.6</v>
      </c>
      <c r="CE1171" s="4">
        <v>2.14</v>
      </c>
      <c r="CF1171" s="4">
        <v>2.6</v>
      </c>
      <c r="CG1171" s="4">
        <v>0</v>
      </c>
      <c r="CH1171" s="4">
        <v>0</v>
      </c>
      <c r="CI1171" s="4">
        <v>3.89</v>
      </c>
      <c r="CJ1171" s="34">
        <v>0</v>
      </c>
      <c r="CK1171" s="34">
        <v>3.5</v>
      </c>
      <c r="CL1171" s="43">
        <v>3</v>
      </c>
      <c r="CM1171" s="4">
        <v>3.5</v>
      </c>
      <c r="CN1171" s="53">
        <v>0</v>
      </c>
      <c r="CO1171" s="54">
        <v>2.88</v>
      </c>
      <c r="CP1171" s="54">
        <v>2.8</v>
      </c>
      <c r="CQ1171" s="4">
        <v>0</v>
      </c>
    </row>
    <row r="1172" spans="1:95" x14ac:dyDescent="0.35">
      <c r="A1172" s="55">
        <v>1171</v>
      </c>
      <c r="B1172" t="s">
        <v>125</v>
      </c>
      <c r="C1172" s="27" t="s">
        <v>1242</v>
      </c>
      <c r="D1172" s="3" t="s">
        <v>93</v>
      </c>
      <c r="E1172" s="27" t="s">
        <v>89</v>
      </c>
      <c r="F1172" s="4">
        <f>IFERROR(AVERAGEIF(Table1[[#This Row],[2019-Apr]:[2025-July]],"&lt;&gt;0"),0)</f>
        <v>9.3159090909090914</v>
      </c>
      <c r="G1172" s="4">
        <f ca="1">IFERROR(AVERAGEIF(OFFSET(Table1[[#This Row],[Status]],0,COUNT(Table1[[#This Row],[2019-May]:[2025-July]]),1,-12),"&lt;&gt;0"),0)</f>
        <v>7.7409090909090903</v>
      </c>
      <c r="H1172" s="55">
        <f>IFERROR(SMALL(Table1[[#This Row],[2019-Apr]:[2025-July]],COUNTIF(Table1[[#This Row],[2019-Apr]:[2025-July]],0)+1),0)</f>
        <v>2.72</v>
      </c>
      <c r="I1172" s="56">
        <f>IFERROR(MAX(Table1[[#This Row],[2019-Apr]:[2025-July]]),0)</f>
        <v>16.3</v>
      </c>
      <c r="J1172" s="4" cm="1">
        <f t="array" ref="J117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5.29</v>
      </c>
      <c r="K1172" s="4">
        <v>4.5</v>
      </c>
      <c r="L1172" s="4">
        <f>IF(Table1[[#This Row],[Standard as per ISO]]&gt;=Table1[[#This Row],[Avg of best 6]],Table1[[#This Row],[Standard as per ISO]],Table1[[#This Row],[Avg of best 6]])</f>
        <v>5.29</v>
      </c>
      <c r="M1172" s="4" cm="1">
        <f t="array" ref="M1172">IFERROR(LOOKUP(2,1/(Table1[[#This Row],[2019-May]:[2025-July]]&lt;&gt;0),Table1[[#This Row],[2019-May]:[2025-July]]),0)</f>
        <v>11.4</v>
      </c>
      <c r="N1172" s="4">
        <f>COUNTIF(Table1[[#This Row],[2019-Apr]:[2025-July]],"&gt;="&amp;Table1[[#This Row],[Target]])</f>
        <v>19</v>
      </c>
      <c r="O1172" s="4">
        <f>IF(Table1[[#This Row],[Outliers 2Y]]=0,1,0)</f>
        <v>0</v>
      </c>
      <c r="P1172" s="4">
        <f>IF(Table1[[#This Row],[Last value]]&gt;1.5*Table1[[#This Row],[Target]],1,0)</f>
        <v>1</v>
      </c>
      <c r="Q1172" s="4">
        <f>IF(AND(1.5*Table1[[#This Row],[Target]]&gt;=Table1[[#This Row],[Last value]],Table1[[#This Row],[Last value]]&gt;Table1[[#This Row],[Target]]),1,0)</f>
        <v>0</v>
      </c>
      <c r="R1172" s="4">
        <f>IF(Table1[[#This Row],[Target]]&gt;=Table1[[#This Row],[Last value]],1,0)</f>
        <v>0</v>
      </c>
      <c r="S1172" s="4" t="str">
        <f t="shared" si="30"/>
        <v>Red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7.95</v>
      </c>
      <c r="BP1172" s="4">
        <v>0</v>
      </c>
      <c r="BQ1172" s="4">
        <v>0</v>
      </c>
      <c r="BR1172" s="4">
        <v>0</v>
      </c>
      <c r="BS1172" s="4">
        <v>0</v>
      </c>
      <c r="BT1172" s="4">
        <v>7.08</v>
      </c>
      <c r="BU1172" s="4">
        <v>10.66</v>
      </c>
      <c r="BV1172" s="4">
        <v>0</v>
      </c>
      <c r="BW1172" s="4">
        <v>2.72</v>
      </c>
      <c r="BX1172" s="4">
        <v>0</v>
      </c>
      <c r="BY1172" s="4">
        <v>16.3</v>
      </c>
      <c r="BZ1172" s="4">
        <v>13.67</v>
      </c>
      <c r="CA1172" s="4">
        <v>15.08</v>
      </c>
      <c r="CB1172" s="4">
        <v>14.66</v>
      </c>
      <c r="CC1172" s="4">
        <v>16.170000000000002</v>
      </c>
      <c r="CD1172" s="4">
        <v>4.1100000000000003</v>
      </c>
      <c r="CE1172" s="4">
        <v>3.56</v>
      </c>
      <c r="CF1172" s="4">
        <v>6.91</v>
      </c>
      <c r="CG1172" s="4">
        <v>0</v>
      </c>
      <c r="CH1172" s="4">
        <v>7.82</v>
      </c>
      <c r="CI1172" s="4">
        <v>7.36</v>
      </c>
      <c r="CJ1172" s="38">
        <v>8.8000000000000007</v>
      </c>
      <c r="CK1172" s="34">
        <v>7.5</v>
      </c>
      <c r="CL1172" s="43">
        <v>7.7</v>
      </c>
      <c r="CM1172" s="4">
        <v>8.6</v>
      </c>
      <c r="CN1172" s="53">
        <v>9.5</v>
      </c>
      <c r="CO1172" s="54">
        <v>7.8</v>
      </c>
      <c r="CP1172" s="54">
        <v>9.6</v>
      </c>
      <c r="CQ1172" s="4">
        <v>11.4</v>
      </c>
    </row>
    <row r="1173" spans="1:95" x14ac:dyDescent="0.35">
      <c r="A1173" s="55">
        <v>1172</v>
      </c>
      <c r="B1173" t="s">
        <v>125</v>
      </c>
      <c r="C1173" s="27" t="s">
        <v>1243</v>
      </c>
      <c r="D1173" s="3" t="s">
        <v>93</v>
      </c>
      <c r="E1173" s="27" t="s">
        <v>89</v>
      </c>
      <c r="F1173" s="4">
        <f>IFERROR(AVERAGEIF(Table1[[#This Row],[2019-Apr]:[2025-July]],"&lt;&gt;0"),0)</f>
        <v>7.2359090909090904</v>
      </c>
      <c r="G1173" s="4">
        <f ca="1">IFERROR(AVERAGEIF(OFFSET(Table1[[#This Row],[Status]],0,COUNT(Table1[[#This Row],[2019-May]:[2025-July]]),1,-12),"&lt;&gt;0"),0)</f>
        <v>7.3166666666666655</v>
      </c>
      <c r="H1173" s="55">
        <f>IFERROR(SMALL(Table1[[#This Row],[2019-Apr]:[2025-July]],COUNTIF(Table1[[#This Row],[2019-Apr]:[2025-July]],0)+1),0)</f>
        <v>3.3</v>
      </c>
      <c r="I1173" s="56">
        <f>IFERROR(MAX(Table1[[#This Row],[2019-Apr]:[2025-July]]),0)</f>
        <v>11.88</v>
      </c>
      <c r="J1173" s="4" cm="1">
        <f t="array" ref="J117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4.95</v>
      </c>
      <c r="K1173" s="4">
        <v>4.5</v>
      </c>
      <c r="L1173" s="4">
        <f>IF(Table1[[#This Row],[Standard as per ISO]]&gt;=Table1[[#This Row],[Avg of best 6]],Table1[[#This Row],[Standard as per ISO]],Table1[[#This Row],[Avg of best 6]])</f>
        <v>4.95</v>
      </c>
      <c r="M1173" s="4" cm="1">
        <f t="array" ref="M1173">IFERROR(LOOKUP(2,1/(Table1[[#This Row],[2019-May]:[2025-July]]&lt;&gt;0),Table1[[#This Row],[2019-May]:[2025-July]]),0)</f>
        <v>6.8</v>
      </c>
      <c r="N1173" s="4">
        <f>COUNTIF(Table1[[#This Row],[2019-Apr]:[2025-July]],"&gt;="&amp;Table1[[#This Row],[Target]])</f>
        <v>19</v>
      </c>
      <c r="O1173" s="4">
        <f>IF(Table1[[#This Row],[Outliers 2Y]]=0,1,0)</f>
        <v>0</v>
      </c>
      <c r="P1173" s="4">
        <f>IF(Table1[[#This Row],[Last value]]&gt;1.5*Table1[[#This Row],[Target]],1,0)</f>
        <v>0</v>
      </c>
      <c r="Q1173" s="4">
        <f>IF(AND(1.5*Table1[[#This Row],[Target]]&gt;=Table1[[#This Row],[Last value]],Table1[[#This Row],[Last value]]&gt;Table1[[#This Row],[Target]]),1,0)</f>
        <v>1</v>
      </c>
      <c r="R1173" s="4">
        <f>IF(Table1[[#This Row],[Target]]&gt;=Table1[[#This Row],[Last value]],1,0)</f>
        <v>0</v>
      </c>
      <c r="S1173" s="4" t="str">
        <f t="shared" si="30"/>
        <v>Yellow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11.88</v>
      </c>
      <c r="BU1173" s="4">
        <v>9.31</v>
      </c>
      <c r="BV1173" s="4">
        <v>0</v>
      </c>
      <c r="BW1173" s="4">
        <v>3.3</v>
      </c>
      <c r="BX1173" s="4">
        <v>0</v>
      </c>
      <c r="BY1173" s="4">
        <v>4.8</v>
      </c>
      <c r="BZ1173" s="4">
        <v>6.95</v>
      </c>
      <c r="CA1173" s="4">
        <v>7.63</v>
      </c>
      <c r="CB1173" s="4">
        <v>7.76</v>
      </c>
      <c r="CC1173" s="4">
        <v>7.18</v>
      </c>
      <c r="CD1173" s="4">
        <v>5.78</v>
      </c>
      <c r="CE1173" s="4">
        <v>7.46</v>
      </c>
      <c r="CF1173" s="4">
        <v>5.62</v>
      </c>
      <c r="CG1173" s="4">
        <v>10.94</v>
      </c>
      <c r="CH1173" s="4">
        <v>8.27</v>
      </c>
      <c r="CI1173" s="4">
        <v>8.31</v>
      </c>
      <c r="CJ1173" s="38">
        <v>9.1999999999999993</v>
      </c>
      <c r="CK1173" s="34">
        <v>9.6999999999999993</v>
      </c>
      <c r="CL1173" s="43">
        <v>5.8</v>
      </c>
      <c r="CM1173" s="4">
        <v>5.6</v>
      </c>
      <c r="CN1173" s="53">
        <v>4.5999999999999996</v>
      </c>
      <c r="CO1173" s="54">
        <v>6.1</v>
      </c>
      <c r="CP1173" s="54">
        <v>6.2</v>
      </c>
      <c r="CQ1173" s="4">
        <v>6.8</v>
      </c>
    </row>
    <row r="1174" spans="1:95" x14ac:dyDescent="0.35">
      <c r="A1174" s="55">
        <v>1173</v>
      </c>
      <c r="B1174" t="s">
        <v>125</v>
      </c>
      <c r="C1174" s="27" t="s">
        <v>1244</v>
      </c>
      <c r="D1174" s="3" t="s">
        <v>93</v>
      </c>
      <c r="E1174" s="27" t="s">
        <v>89</v>
      </c>
      <c r="F1174" s="4">
        <f>IFERROR(AVERAGEIF(Table1[[#This Row],[2019-Apr]:[2025-July]],"&lt;&gt;0"),0)</f>
        <v>2.9142105263157894</v>
      </c>
      <c r="G1174" s="4">
        <f ca="1">IFERROR(AVERAGEIF(OFFSET(Table1[[#This Row],[Status]],0,COUNT(Table1[[#This Row],[2019-May]:[2025-July]]),1,-12),"&lt;&gt;0"),0)</f>
        <v>2.9027272727272728</v>
      </c>
      <c r="H1174" s="55">
        <f>IFERROR(SMALL(Table1[[#This Row],[2019-Apr]:[2025-July]],COUNTIF(Table1[[#This Row],[2019-Apr]:[2025-July]],0)+1),0)</f>
        <v>1.18</v>
      </c>
      <c r="I1174" s="56">
        <f>IFERROR(MAX(Table1[[#This Row],[2019-Apr]:[2025-July]]),0)</f>
        <v>8</v>
      </c>
      <c r="J1174" s="4" cm="1">
        <f t="array" ref="J117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1.6466666666666665</v>
      </c>
      <c r="K1174" s="4">
        <v>4.5</v>
      </c>
      <c r="L1174" s="4">
        <f>IF(Table1[[#This Row],[Standard as per ISO]]&gt;=Table1[[#This Row],[Avg of best 6]],Table1[[#This Row],[Standard as per ISO]],Table1[[#This Row],[Avg of best 6]])</f>
        <v>4.5</v>
      </c>
      <c r="M1174" s="4" cm="1">
        <f t="array" ref="M1174">IFERROR(LOOKUP(2,1/(Table1[[#This Row],[2019-May]:[2025-July]]&lt;&gt;0),Table1[[#This Row],[2019-May]:[2025-July]]),0)</f>
        <v>1.4</v>
      </c>
      <c r="N1174" s="4">
        <f>COUNTIF(Table1[[#This Row],[2019-Apr]:[2025-July]],"&gt;="&amp;Table1[[#This Row],[Target]])</f>
        <v>3</v>
      </c>
      <c r="O1174" s="4">
        <f>IF(Table1[[#This Row],[Outliers 2Y]]=0,1,0)</f>
        <v>0</v>
      </c>
      <c r="P1174" s="4">
        <f>IF(Table1[[#This Row],[Last value]]&gt;1.5*Table1[[#This Row],[Target]],1,0)</f>
        <v>0</v>
      </c>
      <c r="Q1174" s="4">
        <f>IF(AND(1.5*Table1[[#This Row],[Target]]&gt;=Table1[[#This Row],[Last value]],Table1[[#This Row],[Last value]]&gt;Table1[[#This Row],[Target]]),1,0)</f>
        <v>0</v>
      </c>
      <c r="R1174" s="4">
        <f>IF(Table1[[#This Row],[Target]]&gt;=Table1[[#This Row],[Last value]],1,0)</f>
        <v>1</v>
      </c>
      <c r="S1174" s="4" t="str">
        <f t="shared" si="30"/>
        <v>Green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2.02</v>
      </c>
      <c r="BX1174" s="4">
        <v>0</v>
      </c>
      <c r="BY1174" s="4">
        <v>8</v>
      </c>
      <c r="BZ1174" s="4">
        <v>2.4</v>
      </c>
      <c r="CA1174" s="4">
        <v>3.07</v>
      </c>
      <c r="CB1174" s="4">
        <v>2.2999999999999998</v>
      </c>
      <c r="CC1174" s="4">
        <v>3.07</v>
      </c>
      <c r="CD1174" s="4">
        <v>1.18</v>
      </c>
      <c r="CE1174" s="4">
        <v>2.65</v>
      </c>
      <c r="CF1174" s="4">
        <v>2.63</v>
      </c>
      <c r="CG1174" s="4">
        <v>0</v>
      </c>
      <c r="CH1174" s="4">
        <v>2.37</v>
      </c>
      <c r="CI1174" s="4">
        <v>1.88</v>
      </c>
      <c r="CJ1174" s="38">
        <v>4.5</v>
      </c>
      <c r="CK1174" s="34">
        <v>5.0999999999999996</v>
      </c>
      <c r="CL1174" s="43">
        <v>2.6</v>
      </c>
      <c r="CM1174" s="4">
        <v>3.1</v>
      </c>
      <c r="CN1174" s="53">
        <v>3.7</v>
      </c>
      <c r="CO1174" s="54">
        <v>1.3</v>
      </c>
      <c r="CP1174" s="54">
        <v>2.1</v>
      </c>
      <c r="CQ1174" s="4">
        <v>1.4</v>
      </c>
    </row>
    <row r="1175" spans="1:95" x14ac:dyDescent="0.35">
      <c r="A1175" s="55">
        <v>1174</v>
      </c>
      <c r="B1175" t="s">
        <v>125</v>
      </c>
      <c r="C1175" s="27" t="s">
        <v>1245</v>
      </c>
      <c r="D1175" s="3" t="s">
        <v>106</v>
      </c>
      <c r="E1175" s="27" t="s">
        <v>90</v>
      </c>
      <c r="F1175" s="4">
        <f>IFERROR(AVERAGEIF(Table1[[#This Row],[2019-Apr]:[2025-July]],"&lt;&gt;0"),0)</f>
        <v>1.0125</v>
      </c>
      <c r="G1175" s="4">
        <f ca="1">IFERROR(AVERAGEIF(OFFSET(Table1[[#This Row],[Status]],0,COUNT(Table1[[#This Row],[2019-May]:[2025-July]]),1,-12),"&lt;&gt;0"),0)</f>
        <v>1.0428571428571427</v>
      </c>
      <c r="H1175" s="55">
        <f>IFERROR(SMALL(Table1[[#This Row],[2019-Apr]:[2025-July]],COUNTIF(Table1[[#This Row],[2019-Apr]:[2025-July]],0)+1),0)</f>
        <v>0.6</v>
      </c>
      <c r="I1175" s="56">
        <f>IFERROR(MAX(Table1[[#This Row],[2019-Apr]:[2025-July]]),0)</f>
        <v>1.4</v>
      </c>
      <c r="J1175" s="4" cm="1">
        <f t="array" ref="J117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0.91666666666666685</v>
      </c>
      <c r="K1175" s="4">
        <v>4.5</v>
      </c>
      <c r="L1175" s="4">
        <f>IF(Table1[[#This Row],[Standard as per ISO]]&gt;=Table1[[#This Row],[Avg of best 6]],Table1[[#This Row],[Standard as per ISO]],Table1[[#This Row],[Avg of best 6]])</f>
        <v>4.5</v>
      </c>
      <c r="M1175" s="4" cm="1">
        <f t="array" ref="M1175">IFERROR(LOOKUP(2,1/(Table1[[#This Row],[2019-May]:[2025-July]]&lt;&gt;0),Table1[[#This Row],[2019-May]:[2025-July]]),0)</f>
        <v>0.8</v>
      </c>
      <c r="N1175" s="4">
        <f>COUNTIF(Table1[[#This Row],[2019-Apr]:[2025-July]],"&gt;="&amp;Table1[[#This Row],[Target]])</f>
        <v>0</v>
      </c>
      <c r="O1175" s="4">
        <f>IF(Table1[[#This Row],[Outliers 2Y]]=0,1,0)</f>
        <v>1</v>
      </c>
      <c r="P1175" s="4">
        <f>IF(Table1[[#This Row],[Last value]]&gt;1.5*Table1[[#This Row],[Target]],1,0)</f>
        <v>0</v>
      </c>
      <c r="Q1175" s="4">
        <f>IF(AND(1.5*Table1[[#This Row],[Target]]&gt;=Table1[[#This Row],[Last value]],Table1[[#This Row],[Last value]]&gt;Table1[[#This Row],[Target]]),1,0)</f>
        <v>0</v>
      </c>
      <c r="R1175" s="4">
        <f>IF(Table1[[#This Row],[Target]]&gt;=Table1[[#This Row],[Last value]],1,0)</f>
        <v>1</v>
      </c>
      <c r="S1175" s="4" t="str">
        <f t="shared" si="30"/>
        <v>Green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38">
        <v>0.8</v>
      </c>
      <c r="CK1175" s="34">
        <v>1.2</v>
      </c>
      <c r="CL1175" s="43">
        <v>1.2</v>
      </c>
      <c r="CM1175" s="4">
        <v>1.4</v>
      </c>
      <c r="CN1175" s="48">
        <v>0.6</v>
      </c>
      <c r="CO1175" s="27">
        <v>1</v>
      </c>
      <c r="CP1175" s="27">
        <v>1.1000000000000001</v>
      </c>
      <c r="CQ1175" s="4">
        <v>0.8</v>
      </c>
    </row>
    <row r="1176" spans="1:95" x14ac:dyDescent="0.35">
      <c r="A1176" s="55">
        <v>1175</v>
      </c>
      <c r="B1176" t="s">
        <v>125</v>
      </c>
      <c r="C1176" s="27" t="s">
        <v>1246</v>
      </c>
      <c r="D1176" s="3" t="s">
        <v>106</v>
      </c>
      <c r="E1176" s="27" t="s">
        <v>90</v>
      </c>
      <c r="F1176" s="4">
        <f>IFERROR(AVERAGEIF(Table1[[#This Row],[2019-Apr]:[2025-July]],"&lt;&gt;0"),0)</f>
        <v>1.0874999999999999</v>
      </c>
      <c r="G1176" s="4">
        <f ca="1">IFERROR(AVERAGEIF(OFFSET(Table1[[#This Row],[Status]],0,COUNT(Table1[[#This Row],[2019-May]:[2025-July]]),1,-12),"&lt;&gt;0"),0)</f>
        <v>1.1142857142857143</v>
      </c>
      <c r="H1176" s="55">
        <f>IFERROR(SMALL(Table1[[#This Row],[2019-Apr]:[2025-July]],COUNTIF(Table1[[#This Row],[2019-Apr]:[2025-July]],0)+1),0)</f>
        <v>0.8</v>
      </c>
      <c r="I1176" s="56">
        <f>IFERROR(MAX(Table1[[#This Row],[2019-Apr]:[2025-July]]),0)</f>
        <v>1.7</v>
      </c>
      <c r="J1176" s="4" cm="1">
        <f t="array" ref="J117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0.94999999999999984</v>
      </c>
      <c r="K1176" s="4">
        <v>4.5</v>
      </c>
      <c r="L1176" s="4">
        <f>IF(Table1[[#This Row],[Standard as per ISO]]&gt;=Table1[[#This Row],[Avg of best 6]],Table1[[#This Row],[Standard as per ISO]],Table1[[#This Row],[Avg of best 6]])</f>
        <v>4.5</v>
      </c>
      <c r="M1176" s="4" cm="1">
        <f t="array" ref="M1176">IFERROR(LOOKUP(2,1/(Table1[[#This Row],[2019-May]:[2025-July]]&lt;&gt;0),Table1[[#This Row],[2019-May]:[2025-July]]),0)</f>
        <v>0.9</v>
      </c>
      <c r="N1176" s="4">
        <f>COUNTIF(Table1[[#This Row],[2019-Apr]:[2025-July]],"&gt;="&amp;Table1[[#This Row],[Target]])</f>
        <v>0</v>
      </c>
      <c r="O1176" s="4">
        <f>IF(Table1[[#This Row],[Outliers 2Y]]=0,1,0)</f>
        <v>1</v>
      </c>
      <c r="P1176" s="4">
        <f>IF(Table1[[#This Row],[Last value]]&gt;1.5*Table1[[#This Row],[Target]],1,0)</f>
        <v>0</v>
      </c>
      <c r="Q1176" s="4">
        <f>IF(AND(1.5*Table1[[#This Row],[Target]]&gt;=Table1[[#This Row],[Last value]],Table1[[#This Row],[Last value]]&gt;Table1[[#This Row],[Target]]),1,0)</f>
        <v>0</v>
      </c>
      <c r="R1176" s="4">
        <f>IF(Table1[[#This Row],[Target]]&gt;=Table1[[#This Row],[Last value]],1,0)</f>
        <v>1</v>
      </c>
      <c r="S1176" s="4" t="str">
        <f t="shared" si="30"/>
        <v>Green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38">
        <v>1</v>
      </c>
      <c r="CK1176" s="34">
        <v>1.1000000000000001</v>
      </c>
      <c r="CL1176" s="43">
        <v>0.9</v>
      </c>
      <c r="CM1176" s="4">
        <v>1.3</v>
      </c>
      <c r="CN1176" s="48">
        <v>1</v>
      </c>
      <c r="CO1176" s="27">
        <v>1.7</v>
      </c>
      <c r="CP1176" s="27">
        <v>0.8</v>
      </c>
      <c r="CQ1176" s="4">
        <v>0.9</v>
      </c>
    </row>
    <row r="1177" spans="1:95" x14ac:dyDescent="0.35">
      <c r="A1177" s="55">
        <v>1176</v>
      </c>
      <c r="B1177" t="s">
        <v>125</v>
      </c>
      <c r="C1177" s="27" t="s">
        <v>1247</v>
      </c>
      <c r="D1177" s="3" t="s">
        <v>106</v>
      </c>
      <c r="E1177" s="27" t="s">
        <v>90</v>
      </c>
      <c r="F1177" s="4">
        <f>IFERROR(AVERAGEIF(Table1[[#This Row],[2019-Apr]:[2025-July]],"&lt;&gt;0"),0)</f>
        <v>1.0999999999999999</v>
      </c>
      <c r="G1177" s="4">
        <f ca="1">IFERROR(AVERAGEIF(OFFSET(Table1[[#This Row],[Status]],0,COUNT(Table1[[#This Row],[2019-May]:[2025-July]]),1,-12),"&lt;&gt;0"),0)</f>
        <v>1.1285714285714286</v>
      </c>
      <c r="H1177" s="55">
        <f>IFERROR(SMALL(Table1[[#This Row],[2019-Apr]:[2025-July]],COUNTIF(Table1[[#This Row],[2019-Apr]:[2025-July]],0)+1),0)</f>
        <v>0.7</v>
      </c>
      <c r="I1177" s="56">
        <f>IFERROR(MAX(Table1[[#This Row],[2019-Apr]:[2025-July]]),0)</f>
        <v>1.5</v>
      </c>
      <c r="J1177" s="4" cm="1">
        <f t="array" ref="J117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0.96666666666666667</v>
      </c>
      <c r="K1177" s="4">
        <v>4.5</v>
      </c>
      <c r="L1177" s="4">
        <f>IF(Table1[[#This Row],[Standard as per ISO]]&gt;=Table1[[#This Row],[Avg of best 6]],Table1[[#This Row],[Standard as per ISO]],Table1[[#This Row],[Avg of best 6]])</f>
        <v>4.5</v>
      </c>
      <c r="M1177" s="4" cm="1">
        <f t="array" ref="M1177">IFERROR(LOOKUP(2,1/(Table1[[#This Row],[2019-May]:[2025-July]]&lt;&gt;0),Table1[[#This Row],[2019-May]:[2025-July]]),0)</f>
        <v>0.9</v>
      </c>
      <c r="N1177" s="4">
        <f>COUNTIF(Table1[[#This Row],[2019-Apr]:[2025-July]],"&gt;="&amp;Table1[[#This Row],[Target]])</f>
        <v>0</v>
      </c>
      <c r="O1177" s="4">
        <f>IF(Table1[[#This Row],[Outliers 2Y]]=0,1,0)</f>
        <v>1</v>
      </c>
      <c r="P1177" s="4">
        <f>IF(Table1[[#This Row],[Last value]]&gt;1.5*Table1[[#This Row],[Target]],1,0)</f>
        <v>0</v>
      </c>
      <c r="Q1177" s="4">
        <f>IF(AND(1.5*Table1[[#This Row],[Target]]&gt;=Table1[[#This Row],[Last value]],Table1[[#This Row],[Last value]]&gt;Table1[[#This Row],[Target]]),1,0)</f>
        <v>0</v>
      </c>
      <c r="R1177" s="4">
        <f>IF(Table1[[#This Row],[Target]]&gt;=Table1[[#This Row],[Last value]],1,0)</f>
        <v>1</v>
      </c>
      <c r="S1177" s="4" t="str">
        <f t="shared" si="30"/>
        <v>Green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38">
        <v>0.7</v>
      </c>
      <c r="CK1177" s="34">
        <v>1.2</v>
      </c>
      <c r="CL1177" s="43">
        <v>0.9</v>
      </c>
      <c r="CM1177" s="4">
        <v>1.5</v>
      </c>
      <c r="CN1177" s="48">
        <v>0.8</v>
      </c>
      <c r="CO1177" s="27">
        <v>1.5</v>
      </c>
      <c r="CP1177" s="27">
        <v>1.3</v>
      </c>
      <c r="CQ1177" s="4">
        <v>0.9</v>
      </c>
    </row>
    <row r="1178" spans="1:95" x14ac:dyDescent="0.35">
      <c r="A1178" s="55">
        <v>1177</v>
      </c>
      <c r="B1178" t="s">
        <v>125</v>
      </c>
      <c r="C1178" s="27" t="s">
        <v>1248</v>
      </c>
      <c r="D1178" s="3" t="s">
        <v>106</v>
      </c>
      <c r="E1178" s="27" t="s">
        <v>90</v>
      </c>
      <c r="F1178" s="4">
        <f>IFERROR(AVERAGEIF(Table1[[#This Row],[2019-Apr]:[2025-July]],"&lt;&gt;0"),0)</f>
        <v>1.3375000000000001</v>
      </c>
      <c r="G1178" s="4">
        <f ca="1">IFERROR(AVERAGEIF(OFFSET(Table1[[#This Row],[Status]],0,COUNT(Table1[[#This Row],[2019-May]:[2025-July]]),1,-12),"&lt;&gt;0"),0)</f>
        <v>1.4142857142857144</v>
      </c>
      <c r="H1178" s="55">
        <f>IFERROR(SMALL(Table1[[#This Row],[2019-Apr]:[2025-July]],COUNTIF(Table1[[#This Row],[2019-Apr]:[2025-July]],0)+1),0)</f>
        <v>0.8</v>
      </c>
      <c r="I1178" s="56">
        <f>IFERROR(MAX(Table1[[#This Row],[2019-Apr]:[2025-July]]),0)</f>
        <v>2</v>
      </c>
      <c r="J1178" s="4" cm="1">
        <f t="array" ref="J117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1.1333333333333335</v>
      </c>
      <c r="K1178" s="4">
        <v>4.5</v>
      </c>
      <c r="L1178" s="4">
        <f>IF(Table1[[#This Row],[Standard as per ISO]]&gt;=Table1[[#This Row],[Avg of best 6]],Table1[[#This Row],[Standard as per ISO]],Table1[[#This Row],[Avg of best 6]])</f>
        <v>4.5</v>
      </c>
      <c r="M1178" s="4" cm="1">
        <f t="array" ref="M1178">IFERROR(LOOKUP(2,1/(Table1[[#This Row],[2019-May]:[2025-July]]&lt;&gt;0),Table1[[#This Row],[2019-May]:[2025-July]]),0)</f>
        <v>0.8</v>
      </c>
      <c r="N1178" s="4">
        <f>COUNTIF(Table1[[#This Row],[2019-Apr]:[2025-July]],"&gt;="&amp;Table1[[#This Row],[Target]])</f>
        <v>0</v>
      </c>
      <c r="O1178" s="4">
        <f>IF(Table1[[#This Row],[Outliers 2Y]]=0,1,0)</f>
        <v>1</v>
      </c>
      <c r="P1178" s="4">
        <f>IF(Table1[[#This Row],[Last value]]&gt;1.5*Table1[[#This Row],[Target]],1,0)</f>
        <v>0</v>
      </c>
      <c r="Q1178" s="4">
        <f>IF(AND(1.5*Table1[[#This Row],[Target]]&gt;=Table1[[#This Row],[Last value]],Table1[[#This Row],[Last value]]&gt;Table1[[#This Row],[Target]]),1,0)</f>
        <v>0</v>
      </c>
      <c r="R1178" s="4">
        <f>IF(Table1[[#This Row],[Target]]&gt;=Table1[[#This Row],[Last value]],1,0)</f>
        <v>1</v>
      </c>
      <c r="S1178" s="4" t="str">
        <f t="shared" si="30"/>
        <v>Green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38">
        <v>1.1000000000000001</v>
      </c>
      <c r="CK1178" s="34">
        <v>0.9</v>
      </c>
      <c r="CL1178" s="43">
        <v>0.9</v>
      </c>
      <c r="CM1178" s="4">
        <v>1.9</v>
      </c>
      <c r="CN1178" s="48">
        <v>1.2</v>
      </c>
      <c r="CO1178" s="27">
        <v>2</v>
      </c>
      <c r="CP1178" s="27">
        <v>1.9</v>
      </c>
      <c r="CQ1178" s="4">
        <v>0.8</v>
      </c>
    </row>
    <row r="1179" spans="1:95" x14ac:dyDescent="0.35">
      <c r="A1179" s="55">
        <v>1178</v>
      </c>
      <c r="B1179" t="s">
        <v>125</v>
      </c>
      <c r="C1179" s="27" t="s">
        <v>1249</v>
      </c>
      <c r="D1179" s="3" t="s">
        <v>106</v>
      </c>
      <c r="E1179" s="27" t="s">
        <v>90</v>
      </c>
      <c r="F1179" s="4">
        <f>IFERROR(AVERAGEIF(Table1[[#This Row],[2019-Apr]:[2025-July]],"&lt;&gt;0"),0)</f>
        <v>1.1624999999999999</v>
      </c>
      <c r="G1179" s="4">
        <f ca="1">IFERROR(AVERAGEIF(OFFSET(Table1[[#This Row],[Status]],0,COUNT(Table1[[#This Row],[2019-May]:[2025-July]]),1,-12),"&lt;&gt;0"),0)</f>
        <v>1.2285714285714284</v>
      </c>
      <c r="H1179" s="55">
        <f>IFERROR(SMALL(Table1[[#This Row],[2019-Apr]:[2025-July]],COUNTIF(Table1[[#This Row],[2019-Apr]:[2025-July]],0)+1),0)</f>
        <v>0.7</v>
      </c>
      <c r="I1179" s="56">
        <f>IFERROR(MAX(Table1[[#This Row],[2019-Apr]:[2025-July]]),0)</f>
        <v>2</v>
      </c>
      <c r="J1179" s="4" cm="1">
        <f t="array" ref="J117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0.91666666666666663</v>
      </c>
      <c r="K1179" s="4">
        <v>4.5</v>
      </c>
      <c r="L1179" s="4">
        <f>IF(Table1[[#This Row],[Standard as per ISO]]&gt;=Table1[[#This Row],[Avg of best 6]],Table1[[#This Row],[Standard as per ISO]],Table1[[#This Row],[Avg of best 6]])</f>
        <v>4.5</v>
      </c>
      <c r="M1179" s="4" cm="1">
        <f t="array" ref="M1179">IFERROR(LOOKUP(2,1/(Table1[[#This Row],[2019-May]:[2025-July]]&lt;&gt;0),Table1[[#This Row],[2019-May]:[2025-July]]),0)</f>
        <v>0.7</v>
      </c>
      <c r="N1179" s="4">
        <f>COUNTIF(Table1[[#This Row],[2019-Apr]:[2025-July]],"&gt;="&amp;Table1[[#This Row],[Target]])</f>
        <v>0</v>
      </c>
      <c r="O1179" s="4">
        <f>IF(Table1[[#This Row],[Outliers 2Y]]=0,1,0)</f>
        <v>1</v>
      </c>
      <c r="P1179" s="4">
        <f>IF(Table1[[#This Row],[Last value]]&gt;1.5*Table1[[#This Row],[Target]],1,0)</f>
        <v>0</v>
      </c>
      <c r="Q1179" s="4">
        <f>IF(AND(1.5*Table1[[#This Row],[Target]]&gt;=Table1[[#This Row],[Last value]],Table1[[#This Row],[Last value]]&gt;Table1[[#This Row],[Target]]),1,0)</f>
        <v>0</v>
      </c>
      <c r="R1179" s="4">
        <f>IF(Table1[[#This Row],[Target]]&gt;=Table1[[#This Row],[Last value]],1,0)</f>
        <v>1</v>
      </c>
      <c r="S1179" s="4" t="str">
        <f t="shared" si="30"/>
        <v>Green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38">
        <v>0.9</v>
      </c>
      <c r="CK1179" s="34">
        <v>1.1000000000000001</v>
      </c>
      <c r="CL1179" s="43">
        <v>0.8</v>
      </c>
      <c r="CM1179" s="4">
        <v>1.8</v>
      </c>
      <c r="CN1179" s="48">
        <v>1</v>
      </c>
      <c r="CO1179" s="27">
        <v>2</v>
      </c>
      <c r="CP1179" s="27">
        <v>1</v>
      </c>
      <c r="CQ1179" s="4">
        <v>0.7</v>
      </c>
    </row>
    <row r="1180" spans="1:95" x14ac:dyDescent="0.35">
      <c r="A1180" s="55">
        <v>1179</v>
      </c>
      <c r="B1180" t="s">
        <v>125</v>
      </c>
      <c r="C1180" s="27" t="s">
        <v>1250</v>
      </c>
      <c r="D1180" s="3" t="s">
        <v>106</v>
      </c>
      <c r="E1180" s="27" t="s">
        <v>90</v>
      </c>
      <c r="F1180" s="4">
        <f>IFERROR(AVERAGEIF(Table1[[#This Row],[2019-Apr]:[2025-July]],"&lt;&gt;0"),0)</f>
        <v>0.55000000000000004</v>
      </c>
      <c r="G1180" s="4">
        <f ca="1">IFERROR(AVERAGEIF(OFFSET(Table1[[#This Row],[Status]],0,COUNT(Table1[[#This Row],[2019-May]:[2025-July]]),1,-12),"&lt;&gt;0"),0)</f>
        <v>0.52857142857142858</v>
      </c>
      <c r="H1180" s="55">
        <f>IFERROR(SMALL(Table1[[#This Row],[2019-Apr]:[2025-July]],COUNTIF(Table1[[#This Row],[2019-Apr]:[2025-July]],0)+1),0)</f>
        <v>0.4</v>
      </c>
      <c r="I1180" s="56">
        <f>IFERROR(MAX(Table1[[#This Row],[2019-Apr]:[2025-July]]),0)</f>
        <v>0.7</v>
      </c>
      <c r="J1180" s="4" cm="1">
        <f t="array" ref="J118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0.51666666666666672</v>
      </c>
      <c r="K1180" s="4">
        <v>4.5</v>
      </c>
      <c r="L1180" s="4">
        <f>IF(Table1[[#This Row],[Standard as per ISO]]&gt;=Table1[[#This Row],[Avg of best 6]],Table1[[#This Row],[Standard as per ISO]],Table1[[#This Row],[Avg of best 6]])</f>
        <v>4.5</v>
      </c>
      <c r="M1180" s="4" cm="1">
        <f t="array" ref="M1180">IFERROR(LOOKUP(2,1/(Table1[[#This Row],[2019-May]:[2025-July]]&lt;&gt;0),Table1[[#This Row],[2019-May]:[2025-July]]),0)</f>
        <v>0.7</v>
      </c>
      <c r="N1180" s="4">
        <f>COUNTIF(Table1[[#This Row],[2019-Apr]:[2025-July]],"&gt;="&amp;Table1[[#This Row],[Target]])</f>
        <v>0</v>
      </c>
      <c r="O1180" s="4">
        <f>IF(Table1[[#This Row],[Outliers 2Y]]=0,1,0)</f>
        <v>1</v>
      </c>
      <c r="P1180" s="4">
        <f>IF(Table1[[#This Row],[Last value]]&gt;1.5*Table1[[#This Row],[Target]],1,0)</f>
        <v>0</v>
      </c>
      <c r="Q1180" s="4">
        <f>IF(AND(1.5*Table1[[#This Row],[Target]]&gt;=Table1[[#This Row],[Last value]],Table1[[#This Row],[Last value]]&gt;Table1[[#This Row],[Target]]),1,0)</f>
        <v>0</v>
      </c>
      <c r="R1180" s="4">
        <f>IF(Table1[[#This Row],[Target]]&gt;=Table1[[#This Row],[Last value]],1,0)</f>
        <v>1</v>
      </c>
      <c r="S1180" s="4" t="str">
        <f t="shared" si="30"/>
        <v>Green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38">
        <v>0.5</v>
      </c>
      <c r="CK1180" s="34">
        <v>0.6</v>
      </c>
      <c r="CL1180" s="43">
        <v>0.6</v>
      </c>
      <c r="CM1180" s="4">
        <v>0.4</v>
      </c>
      <c r="CN1180" s="48">
        <v>0.5</v>
      </c>
      <c r="CO1180" s="27">
        <v>0.5</v>
      </c>
      <c r="CP1180" s="27">
        <v>0.6</v>
      </c>
      <c r="CQ1180" s="4">
        <v>0.7</v>
      </c>
    </row>
    <row r="1181" spans="1:95" x14ac:dyDescent="0.35">
      <c r="A1181" s="55">
        <v>1180</v>
      </c>
      <c r="B1181" t="s">
        <v>125</v>
      </c>
      <c r="C1181" s="27" t="s">
        <v>1251</v>
      </c>
      <c r="D1181" s="3" t="s">
        <v>106</v>
      </c>
      <c r="E1181" s="27" t="s">
        <v>90</v>
      </c>
      <c r="F1181" s="4">
        <f>IFERROR(AVERAGEIF(Table1[[#This Row],[2019-Apr]:[2025-July]],"&lt;&gt;0"),0)</f>
        <v>0.73749999999999993</v>
      </c>
      <c r="G1181" s="4">
        <f ca="1">IFERROR(AVERAGEIF(OFFSET(Table1[[#This Row],[Status]],0,COUNT(Table1[[#This Row],[2019-May]:[2025-July]]),1,-12),"&lt;&gt;0"),0)</f>
        <v>0.75714285714285712</v>
      </c>
      <c r="H1181" s="55">
        <f>IFERROR(SMALL(Table1[[#This Row],[2019-Apr]:[2025-July]],COUNTIF(Table1[[#This Row],[2019-Apr]:[2025-July]],0)+1),0)</f>
        <v>0.5</v>
      </c>
      <c r="I1181" s="56">
        <f>IFERROR(MAX(Table1[[#This Row],[2019-Apr]:[2025-July]]),0)</f>
        <v>0.9</v>
      </c>
      <c r="J1181" s="4" cm="1">
        <f t="array" ref="J118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0.68333333333333324</v>
      </c>
      <c r="K1181" s="4">
        <v>4.5</v>
      </c>
      <c r="L1181" s="4">
        <f>IF(Table1[[#This Row],[Standard as per ISO]]&gt;=Table1[[#This Row],[Avg of best 6]],Table1[[#This Row],[Standard as per ISO]],Table1[[#This Row],[Avg of best 6]])</f>
        <v>4.5</v>
      </c>
      <c r="M1181" s="4" cm="1">
        <f t="array" ref="M1181">IFERROR(LOOKUP(2,1/(Table1[[#This Row],[2019-May]:[2025-July]]&lt;&gt;0),Table1[[#This Row],[2019-May]:[2025-July]]),0)</f>
        <v>0.6</v>
      </c>
      <c r="N1181" s="4">
        <f>COUNTIF(Table1[[#This Row],[2019-Apr]:[2025-July]],"&gt;="&amp;Table1[[#This Row],[Target]])</f>
        <v>0</v>
      </c>
      <c r="O1181" s="4">
        <f>IF(Table1[[#This Row],[Outliers 2Y]]=0,1,0)</f>
        <v>1</v>
      </c>
      <c r="P1181" s="4">
        <f>IF(Table1[[#This Row],[Last value]]&gt;1.5*Table1[[#This Row],[Target]],1,0)</f>
        <v>0</v>
      </c>
      <c r="Q1181" s="4">
        <f>IF(AND(1.5*Table1[[#This Row],[Target]]&gt;=Table1[[#This Row],[Last value]],Table1[[#This Row],[Last value]]&gt;Table1[[#This Row],[Target]]),1,0)</f>
        <v>0</v>
      </c>
      <c r="R1181" s="4">
        <f>IF(Table1[[#This Row],[Target]]&gt;=Table1[[#This Row],[Last value]],1,0)</f>
        <v>1</v>
      </c>
      <c r="S1181" s="4" t="str">
        <f t="shared" si="30"/>
        <v>Green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38">
        <v>0.8</v>
      </c>
      <c r="CK1181" s="34">
        <v>0.7</v>
      </c>
      <c r="CL1181" s="43">
        <v>0.7</v>
      </c>
      <c r="CM1181" s="4">
        <v>0.9</v>
      </c>
      <c r="CN1181" s="48">
        <v>0.9</v>
      </c>
      <c r="CO1181" s="27">
        <v>0.8</v>
      </c>
      <c r="CP1181" s="27">
        <v>0.5</v>
      </c>
      <c r="CQ1181" s="4">
        <v>0.6</v>
      </c>
    </row>
    <row r="1182" spans="1:95" x14ac:dyDescent="0.35">
      <c r="A1182" s="55">
        <v>1181</v>
      </c>
      <c r="B1182" t="s">
        <v>125</v>
      </c>
      <c r="C1182" s="27" t="s">
        <v>1252</v>
      </c>
      <c r="D1182" s="3" t="s">
        <v>106</v>
      </c>
      <c r="E1182" s="27" t="s">
        <v>90</v>
      </c>
      <c r="F1182" s="4">
        <f>IFERROR(AVERAGEIF(Table1[[#This Row],[2019-Apr]:[2025-July]],"&lt;&gt;0"),0)</f>
        <v>0.8</v>
      </c>
      <c r="G1182" s="4">
        <f ca="1">IFERROR(AVERAGEIF(OFFSET(Table1[[#This Row],[Status]],0,COUNT(Table1[[#This Row],[2019-May]:[2025-July]]),1,-12),"&lt;&gt;0"),0)</f>
        <v>0.8</v>
      </c>
      <c r="H1182" s="55">
        <f>IFERROR(SMALL(Table1[[#This Row],[2019-Apr]:[2025-July]],COUNTIF(Table1[[#This Row],[2019-Apr]:[2025-July]],0)+1),0)</f>
        <v>0.8</v>
      </c>
      <c r="I1182" s="56">
        <f>IFERROR(MAX(Table1[[#This Row],[2019-Apr]:[2025-July]]),0)</f>
        <v>0.8</v>
      </c>
      <c r="J1182" s="4" cm="1">
        <f t="array" ref="J118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</v>
      </c>
      <c r="K1182" s="4">
        <v>4.5</v>
      </c>
      <c r="L1182" s="4">
        <f>IF(Table1[[#This Row],[Standard as per ISO]]&gt;=Table1[[#This Row],[Avg of best 6]],Table1[[#This Row],[Standard as per ISO]],Table1[[#This Row],[Avg of best 6]])</f>
        <v>4.5</v>
      </c>
      <c r="M1182" s="4" cm="1">
        <f t="array" ref="M1182">IFERROR(LOOKUP(2,1/(Table1[[#This Row],[2019-May]:[2025-July]]&lt;&gt;0),Table1[[#This Row],[2019-May]:[2025-July]]),0)</f>
        <v>0.8</v>
      </c>
      <c r="N1182" s="4">
        <f>COUNTIF(Table1[[#This Row],[2019-Apr]:[2025-July]],"&gt;="&amp;Table1[[#This Row],[Target]])</f>
        <v>0</v>
      </c>
      <c r="O1182" s="4">
        <f>IF(Table1[[#This Row],[Outliers 2Y]]=0,1,0)</f>
        <v>1</v>
      </c>
      <c r="P1182" s="4">
        <f>IF(Table1[[#This Row],[Last value]]&gt;1.5*Table1[[#This Row],[Target]],1,0)</f>
        <v>0</v>
      </c>
      <c r="Q1182" s="4">
        <f>IF(AND(1.5*Table1[[#This Row],[Target]]&gt;=Table1[[#This Row],[Last value]],Table1[[#This Row],[Last value]]&gt;Table1[[#This Row],[Target]]),1,0)</f>
        <v>0</v>
      </c>
      <c r="R1182" s="4">
        <f>IF(Table1[[#This Row],[Target]]&gt;=Table1[[#This Row],[Last value]],1,0)</f>
        <v>1</v>
      </c>
      <c r="S1182" s="4" t="str">
        <f t="shared" si="30"/>
        <v>Green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38">
        <v>0.8</v>
      </c>
      <c r="CK1182" s="34">
        <v>0</v>
      </c>
      <c r="CL1182" s="43">
        <v>0</v>
      </c>
      <c r="CM1182" s="4">
        <v>0</v>
      </c>
      <c r="CN1182" s="53">
        <v>0</v>
      </c>
      <c r="CO1182" s="54">
        <v>0</v>
      </c>
      <c r="CP1182" s="54">
        <v>0</v>
      </c>
      <c r="CQ1182" s="4">
        <v>0</v>
      </c>
    </row>
    <row r="1183" spans="1:95" x14ac:dyDescent="0.35">
      <c r="A1183" s="55">
        <v>1182</v>
      </c>
      <c r="B1183" t="s">
        <v>125</v>
      </c>
      <c r="C1183" s="27" t="s">
        <v>1253</v>
      </c>
      <c r="D1183" s="3" t="s">
        <v>102</v>
      </c>
      <c r="E1183" s="27" t="s">
        <v>89</v>
      </c>
      <c r="F1183" s="4">
        <f>IFERROR(AVERAGEIF(Table1[[#This Row],[2019-Apr]:[2025-July]],"&lt;&gt;0"),0)</f>
        <v>1.45</v>
      </c>
      <c r="G1183" s="4">
        <f ca="1">IFERROR(AVERAGEIF(OFFSET(Table1[[#This Row],[Status]],0,COUNT(Table1[[#This Row],[2019-May]:[2025-July]]),1,-12),"&lt;&gt;0"),0)</f>
        <v>1.7</v>
      </c>
      <c r="H1183" s="55">
        <f>IFERROR(SMALL(Table1[[#This Row],[2019-Apr]:[2025-July]],COUNTIF(Table1[[#This Row],[2019-Apr]:[2025-July]],0)+1),0)</f>
        <v>1.2</v>
      </c>
      <c r="I1183" s="56">
        <f>IFERROR(MAX(Table1[[#This Row],[2019-Apr]:[2025-July]]),0)</f>
        <v>1.7</v>
      </c>
      <c r="J1183" s="4" cm="1">
        <f t="array" ref="J118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1.45</v>
      </c>
      <c r="K1183" s="4">
        <v>4.5</v>
      </c>
      <c r="L1183" s="4">
        <f>IF(Table1[[#This Row],[Standard as per ISO]]&gt;=Table1[[#This Row],[Avg of best 6]],Table1[[#This Row],[Standard as per ISO]],Table1[[#This Row],[Avg of best 6]])</f>
        <v>4.5</v>
      </c>
      <c r="M1183" s="4" cm="1">
        <f t="array" ref="M1183">IFERROR(LOOKUP(2,1/(Table1[[#This Row],[2019-May]:[2025-July]]&lt;&gt;0),Table1[[#This Row],[2019-May]:[2025-July]]),0)</f>
        <v>1.2</v>
      </c>
      <c r="N1183" s="4">
        <f>COUNTIF(Table1[[#This Row],[2019-Apr]:[2025-July]],"&gt;="&amp;Table1[[#This Row],[Target]])</f>
        <v>0</v>
      </c>
      <c r="O1183" s="4">
        <f>IF(Table1[[#This Row],[Outliers 2Y]]=0,1,0)</f>
        <v>1</v>
      </c>
      <c r="P1183" s="4">
        <f>IF(Table1[[#This Row],[Last value]]&gt;1.5*Table1[[#This Row],[Target]],1,0)</f>
        <v>0</v>
      </c>
      <c r="Q1183" s="4">
        <f>IF(AND(1.5*Table1[[#This Row],[Target]]&gt;=Table1[[#This Row],[Last value]],Table1[[#This Row],[Last value]]&gt;Table1[[#This Row],[Target]]),1,0)</f>
        <v>0</v>
      </c>
      <c r="R1183" s="4">
        <f>IF(Table1[[#This Row],[Target]]&gt;=Table1[[#This Row],[Last value]],1,0)</f>
        <v>1</v>
      </c>
      <c r="S1183" s="4" t="str">
        <f t="shared" si="30"/>
        <v>Green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38">
        <v>1.7</v>
      </c>
      <c r="CK1183" s="34">
        <v>0</v>
      </c>
      <c r="CL1183" s="43">
        <v>0</v>
      </c>
      <c r="CM1183" s="4">
        <v>0</v>
      </c>
      <c r="CN1183" s="53">
        <v>0</v>
      </c>
      <c r="CO1183" s="54">
        <v>0</v>
      </c>
      <c r="CP1183" s="54">
        <v>0</v>
      </c>
      <c r="CQ1183" s="4">
        <v>1.2</v>
      </c>
    </row>
    <row r="1184" spans="1:95" x14ac:dyDescent="0.35">
      <c r="A1184" s="55">
        <v>1183</v>
      </c>
      <c r="B1184" t="s">
        <v>125</v>
      </c>
      <c r="C1184" s="27" t="s">
        <v>1254</v>
      </c>
      <c r="D1184" s="3" t="s">
        <v>102</v>
      </c>
      <c r="E1184" s="27" t="s">
        <v>89</v>
      </c>
      <c r="F1184" s="4">
        <f>IFERROR(AVERAGEIF(Table1[[#This Row],[2019-Apr]:[2025-July]],"&lt;&gt;0"),0)</f>
        <v>1.8999999999999997</v>
      </c>
      <c r="G1184" s="4">
        <f ca="1">IFERROR(AVERAGEIF(OFFSET(Table1[[#This Row],[Status]],0,COUNT(Table1[[#This Row],[2019-May]:[2025-July]]),1,-12),"&lt;&gt;0"),0)</f>
        <v>1.8999999999999997</v>
      </c>
      <c r="H1184" s="55">
        <f>IFERROR(SMALL(Table1[[#This Row],[2019-Apr]:[2025-July]],COUNTIF(Table1[[#This Row],[2019-Apr]:[2025-July]],0)+1),0)</f>
        <v>0.7</v>
      </c>
      <c r="I1184" s="56">
        <f>IFERROR(MAX(Table1[[#This Row],[2019-Apr]:[2025-July]]),0)</f>
        <v>3.4</v>
      </c>
      <c r="J1184" s="4" cm="1">
        <f t="array" ref="J118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1.8999999999999997</v>
      </c>
      <c r="K1184" s="4">
        <v>4.5</v>
      </c>
      <c r="L1184" s="4">
        <f>IF(Table1[[#This Row],[Standard as per ISO]]&gt;=Table1[[#This Row],[Avg of best 6]],Table1[[#This Row],[Standard as per ISO]],Table1[[#This Row],[Avg of best 6]])</f>
        <v>4.5</v>
      </c>
      <c r="M1184" s="4" cm="1">
        <f t="array" ref="M1184">IFERROR(LOOKUP(2,1/(Table1[[#This Row],[2019-May]:[2025-July]]&lt;&gt;0),Table1[[#This Row],[2019-May]:[2025-July]]),0)</f>
        <v>3.4</v>
      </c>
      <c r="N1184" s="4">
        <f>COUNTIF(Table1[[#This Row],[2019-Apr]:[2025-July]],"&gt;="&amp;Table1[[#This Row],[Target]])</f>
        <v>0</v>
      </c>
      <c r="O1184" s="4">
        <f>IF(Table1[[#This Row],[Outliers 2Y]]=0,1,0)</f>
        <v>1</v>
      </c>
      <c r="P1184" s="4">
        <f>IF(Table1[[#This Row],[Last value]]&gt;1.5*Table1[[#This Row],[Target]],1,0)</f>
        <v>0</v>
      </c>
      <c r="Q1184" s="4">
        <f>IF(AND(1.5*Table1[[#This Row],[Target]]&gt;=Table1[[#This Row],[Last value]],Table1[[#This Row],[Last value]]&gt;Table1[[#This Row],[Target]]),1,0)</f>
        <v>0</v>
      </c>
      <c r="R1184" s="4">
        <f>IF(Table1[[#This Row],[Target]]&gt;=Table1[[#This Row],[Last value]],1,0)</f>
        <v>1</v>
      </c>
      <c r="S1184" s="4" t="str">
        <f t="shared" si="30"/>
        <v>Green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34">
        <v>0</v>
      </c>
      <c r="CK1184" s="34">
        <v>0.7</v>
      </c>
      <c r="CL1184" s="43">
        <v>0</v>
      </c>
      <c r="CM1184" s="4">
        <v>0</v>
      </c>
      <c r="CN1184" s="53">
        <v>0</v>
      </c>
      <c r="CO1184" s="54">
        <v>1.6</v>
      </c>
      <c r="CP1184" s="54">
        <v>3.4</v>
      </c>
      <c r="CQ1184" s="4">
        <v>0</v>
      </c>
    </row>
    <row r="1185" spans="1:95" x14ac:dyDescent="0.35">
      <c r="A1185" s="55">
        <v>1184</v>
      </c>
      <c r="B1185" t="s">
        <v>125</v>
      </c>
      <c r="C1185" s="27" t="s">
        <v>1255</v>
      </c>
      <c r="D1185" s="3" t="s">
        <v>102</v>
      </c>
      <c r="E1185" s="27" t="s">
        <v>89</v>
      </c>
      <c r="F1185" s="4">
        <f>IFERROR(AVERAGEIF(Table1[[#This Row],[2019-Apr]:[2025-July]],"&lt;&gt;0"),0)</f>
        <v>2.0750000000000002</v>
      </c>
      <c r="G1185" s="4">
        <f ca="1">IFERROR(AVERAGEIF(OFFSET(Table1[[#This Row],[Status]],0,COUNT(Table1[[#This Row],[2019-May]:[2025-July]]),1,-12),"&lt;&gt;0"),0)</f>
        <v>1.9000000000000001</v>
      </c>
      <c r="H1185" s="55">
        <f>IFERROR(SMALL(Table1[[#This Row],[2019-Apr]:[2025-July]],COUNTIF(Table1[[#This Row],[2019-Apr]:[2025-July]],0)+1),0)</f>
        <v>1.2</v>
      </c>
      <c r="I1185" s="56">
        <f>IFERROR(MAX(Table1[[#This Row],[2019-Apr]:[2025-July]]),0)</f>
        <v>2.6</v>
      </c>
      <c r="J1185" s="4" cm="1">
        <f t="array" ref="J118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2.0750000000000002</v>
      </c>
      <c r="K1185" s="4">
        <v>4.5</v>
      </c>
      <c r="L1185" s="4">
        <f>IF(Table1[[#This Row],[Standard as per ISO]]&gt;=Table1[[#This Row],[Avg of best 6]],Table1[[#This Row],[Standard as per ISO]],Table1[[#This Row],[Avg of best 6]])</f>
        <v>4.5</v>
      </c>
      <c r="M1185" s="4" cm="1">
        <f t="array" ref="M1185">IFERROR(LOOKUP(2,1/(Table1[[#This Row],[2019-May]:[2025-July]]&lt;&gt;0),Table1[[#This Row],[2019-May]:[2025-July]]),0)</f>
        <v>2.6</v>
      </c>
      <c r="N1185" s="4">
        <f>COUNTIF(Table1[[#This Row],[2019-Apr]:[2025-July]],"&gt;="&amp;Table1[[#This Row],[Target]])</f>
        <v>0</v>
      </c>
      <c r="O1185" s="4">
        <f>IF(Table1[[#This Row],[Outliers 2Y]]=0,1,0)</f>
        <v>1</v>
      </c>
      <c r="P1185" s="4">
        <f>IF(Table1[[#This Row],[Last value]]&gt;1.5*Table1[[#This Row],[Target]],1,0)</f>
        <v>0</v>
      </c>
      <c r="Q1185" s="4">
        <f>IF(AND(1.5*Table1[[#This Row],[Target]]&gt;=Table1[[#This Row],[Last value]],Table1[[#This Row],[Last value]]&gt;Table1[[#This Row],[Target]]),1,0)</f>
        <v>0</v>
      </c>
      <c r="R1185" s="4">
        <f>IF(Table1[[#This Row],[Target]]&gt;=Table1[[#This Row],[Last value]],1,0)</f>
        <v>1</v>
      </c>
      <c r="S1185" s="4" t="str">
        <f t="shared" si="30"/>
        <v>Green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38">
        <v>1.2</v>
      </c>
      <c r="CK1185" s="34">
        <v>2</v>
      </c>
      <c r="CL1185" s="43">
        <v>0</v>
      </c>
      <c r="CM1185" s="4">
        <v>0</v>
      </c>
      <c r="CN1185" s="53">
        <v>0</v>
      </c>
      <c r="CO1185" s="54">
        <v>2.5</v>
      </c>
      <c r="CP1185" s="54">
        <v>0</v>
      </c>
      <c r="CQ1185" s="4">
        <v>2.6</v>
      </c>
    </row>
    <row r="1186" spans="1:95" x14ac:dyDescent="0.35">
      <c r="A1186" s="55">
        <v>1185</v>
      </c>
      <c r="B1186" t="s">
        <v>125</v>
      </c>
      <c r="C1186" s="27" t="s">
        <v>1256</v>
      </c>
      <c r="D1186" s="3" t="s">
        <v>102</v>
      </c>
      <c r="E1186" s="27" t="s">
        <v>89</v>
      </c>
      <c r="F1186" s="4">
        <f>IFERROR(AVERAGEIF(Table1[[#This Row],[2019-Apr]:[2025-July]],"&lt;&gt;0"),0)</f>
        <v>2.2000000000000002</v>
      </c>
      <c r="G1186" s="4">
        <f ca="1">IFERROR(AVERAGEIF(OFFSET(Table1[[#This Row],[Status]],0,COUNT(Table1[[#This Row],[2019-May]:[2025-July]]),1,-12),"&lt;&gt;0"),0)</f>
        <v>2.2000000000000002</v>
      </c>
      <c r="H1186" s="55">
        <f>IFERROR(SMALL(Table1[[#This Row],[2019-Apr]:[2025-July]],COUNTIF(Table1[[#This Row],[2019-Apr]:[2025-July]],0)+1),0)</f>
        <v>2.2000000000000002</v>
      </c>
      <c r="I1186" s="56">
        <f>IFERROR(MAX(Table1[[#This Row],[2019-Apr]:[2025-July]]),0)</f>
        <v>2.2000000000000002</v>
      </c>
      <c r="J1186" s="4" cm="1">
        <f t="array" ref="J118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2.2000000000000002</v>
      </c>
      <c r="K1186" s="4">
        <v>4.5</v>
      </c>
      <c r="L1186" s="4">
        <f>IF(Table1[[#This Row],[Standard as per ISO]]&gt;=Table1[[#This Row],[Avg of best 6]],Table1[[#This Row],[Standard as per ISO]],Table1[[#This Row],[Avg of best 6]])</f>
        <v>4.5</v>
      </c>
      <c r="M1186" s="4" cm="1">
        <f t="array" ref="M1186">IFERROR(LOOKUP(2,1/(Table1[[#This Row],[2019-May]:[2025-July]]&lt;&gt;0),Table1[[#This Row],[2019-May]:[2025-July]]),0)</f>
        <v>2.2000000000000002</v>
      </c>
      <c r="N1186" s="4">
        <f>COUNTIF(Table1[[#This Row],[2019-Apr]:[2025-July]],"&gt;="&amp;Table1[[#This Row],[Target]])</f>
        <v>0</v>
      </c>
      <c r="O1186" s="4">
        <f>IF(Table1[[#This Row],[Outliers 2Y]]=0,1,0)</f>
        <v>1</v>
      </c>
      <c r="P1186" s="4">
        <f>IF(Table1[[#This Row],[Last value]]&gt;1.5*Table1[[#This Row],[Target]],1,0)</f>
        <v>0</v>
      </c>
      <c r="Q1186" s="4">
        <f>IF(AND(1.5*Table1[[#This Row],[Target]]&gt;=Table1[[#This Row],[Last value]],Table1[[#This Row],[Last value]]&gt;Table1[[#This Row],[Target]]),1,0)</f>
        <v>0</v>
      </c>
      <c r="R1186" s="4">
        <f>IF(Table1[[#This Row],[Target]]&gt;=Table1[[#This Row],[Last value]],1,0)</f>
        <v>1</v>
      </c>
      <c r="S1186" s="4" t="str">
        <f t="shared" si="30"/>
        <v>Green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34">
        <v>0</v>
      </c>
      <c r="CK1186" s="34">
        <v>0</v>
      </c>
      <c r="CL1186" s="43">
        <v>0</v>
      </c>
      <c r="CM1186" s="4">
        <v>0</v>
      </c>
      <c r="CN1186" s="53">
        <v>0</v>
      </c>
      <c r="CO1186" s="54">
        <v>0</v>
      </c>
      <c r="CP1186" s="54">
        <v>2.2000000000000002</v>
      </c>
      <c r="CQ1186" s="4">
        <v>0</v>
      </c>
    </row>
    <row r="1187" spans="1:95" s="55" customFormat="1" x14ac:dyDescent="0.35">
      <c r="A1187" s="55">
        <v>1186</v>
      </c>
      <c r="B1187" s="44" t="s">
        <v>1478</v>
      </c>
      <c r="C1187" s="27" t="s">
        <v>1393</v>
      </c>
      <c r="D1187" s="50" t="s">
        <v>93</v>
      </c>
      <c r="E1187" s="50" t="s">
        <v>89</v>
      </c>
      <c r="F1187" s="4">
        <f>IFERROR(AVERAGEIF(Table1[[#This Row],[2019-Apr]:[2025-July]],"&lt;&gt;0"),0)</f>
        <v>0.72</v>
      </c>
      <c r="G1187" s="4">
        <f ca="1">IFERROR(AVERAGEIF(OFFSET(Table1[[#This Row],[Status]],0,COUNT(Table1[[#This Row],[2019-May]:[2025-July]]),1,-12),"&lt;&gt;0"),0)</f>
        <v>0.82499999999999996</v>
      </c>
      <c r="H1187" s="55">
        <f>IFERROR(SMALL(Table1[[#This Row],[2019-Apr]:[2025-July]],COUNTIF(Table1[[#This Row],[2019-Apr]:[2025-July]],0)+1),0)</f>
        <v>0.2</v>
      </c>
      <c r="I1187" s="56">
        <f>IFERROR(MAX(Table1[[#This Row],[2019-Apr]:[2025-July]]),0)</f>
        <v>1.9</v>
      </c>
      <c r="J1187" s="4" cm="1">
        <f t="array" ref="J118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0.72</v>
      </c>
      <c r="K1187" s="4">
        <v>4.5</v>
      </c>
      <c r="L1187" s="4">
        <f>IF(Table1[[#This Row],[Standard as per ISO]]&gt;=Table1[[#This Row],[Avg of best 6]],Table1[[#This Row],[Standard as per ISO]],Table1[[#This Row],[Avg of best 6]])</f>
        <v>4.5</v>
      </c>
      <c r="M1187" s="4" cm="1">
        <f t="array" ref="M1187">IFERROR(LOOKUP(2,1/(Table1[[#This Row],[2019-May]:[2025-July]]&lt;&gt;0),Table1[[#This Row],[2019-May]:[2025-July]]),0)</f>
        <v>0.3</v>
      </c>
      <c r="N1187" s="4">
        <f>COUNTIF(Table1[[#This Row],[2019-Apr]:[2025-July]],"&gt;="&amp;Table1[[#This Row],[Target]])</f>
        <v>0</v>
      </c>
      <c r="O1187" s="4">
        <f>IF(Table1[[#This Row],[Outliers 2Y]]=0,1,0)</f>
        <v>1</v>
      </c>
      <c r="P1187" s="4">
        <f>IF(Table1[[#This Row],[Last value]]&gt;1.5*Table1[[#This Row],[Target]],1,0)</f>
        <v>0</v>
      </c>
      <c r="Q1187" s="4">
        <f>IF(AND(1.5*Table1[[#This Row],[Target]]&gt;=Table1[[#This Row],[Last value]],Table1[[#This Row],[Last value]]&gt;Table1[[#This Row],[Target]]),1,0)</f>
        <v>0</v>
      </c>
      <c r="R1187" s="4">
        <f>IF(Table1[[#This Row],[Target]]&gt;=Table1[[#This Row],[Last value]],1,0)</f>
        <v>1</v>
      </c>
      <c r="S1187" s="4" t="str">
        <f t="shared" si="30"/>
        <v>Green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25">
        <v>0.9</v>
      </c>
      <c r="CM1187" s="4">
        <v>0</v>
      </c>
      <c r="CN1187" s="53">
        <v>0.2</v>
      </c>
      <c r="CO1187" s="54">
        <v>0.3</v>
      </c>
      <c r="CP1187" s="54">
        <v>1.9</v>
      </c>
      <c r="CQ1187" s="4">
        <v>0.3</v>
      </c>
    </row>
    <row r="1188" spans="1:95" s="55" customFormat="1" x14ac:dyDescent="0.35">
      <c r="A1188" s="55">
        <v>1187</v>
      </c>
      <c r="B1188" s="44" t="s">
        <v>1478</v>
      </c>
      <c r="C1188" s="27" t="s">
        <v>1394</v>
      </c>
      <c r="D1188" s="50" t="s">
        <v>93</v>
      </c>
      <c r="E1188" s="50" t="s">
        <v>89</v>
      </c>
      <c r="F1188" s="4">
        <f>IFERROR(AVERAGEIF(Table1[[#This Row],[2019-Apr]:[2025-July]],"&lt;&gt;0"),0)</f>
        <v>0.9</v>
      </c>
      <c r="G1188" s="4">
        <f ca="1">IFERROR(AVERAGEIF(OFFSET(Table1[[#This Row],[Status]],0,COUNT(Table1[[#This Row],[2019-May]:[2025-July]]),1,-12),"&lt;&gt;0"),0)</f>
        <v>0.97499999999999998</v>
      </c>
      <c r="H1188" s="55">
        <f>IFERROR(SMALL(Table1[[#This Row],[2019-Apr]:[2025-July]],COUNTIF(Table1[[#This Row],[2019-Apr]:[2025-July]],0)+1),0)</f>
        <v>0.4</v>
      </c>
      <c r="I1188" s="56">
        <f>IFERROR(MAX(Table1[[#This Row],[2019-Apr]:[2025-July]]),0)</f>
        <v>1.9</v>
      </c>
      <c r="J1188" s="4" cm="1">
        <f t="array" ref="J118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</v>
      </c>
      <c r="K1188" s="4">
        <v>4.5</v>
      </c>
      <c r="L1188" s="4">
        <f>IF(Table1[[#This Row],[Standard as per ISO]]&gt;=Table1[[#This Row],[Avg of best 6]],Table1[[#This Row],[Standard as per ISO]],Table1[[#This Row],[Avg of best 6]])</f>
        <v>4.5</v>
      </c>
      <c r="M1188" s="4" cm="1">
        <f t="array" ref="M1188">IFERROR(LOOKUP(2,1/(Table1[[#This Row],[2019-May]:[2025-July]]&lt;&gt;0),Table1[[#This Row],[2019-May]:[2025-July]]),0)</f>
        <v>0.6</v>
      </c>
      <c r="N1188" s="4">
        <f>COUNTIF(Table1[[#This Row],[2019-Apr]:[2025-July]],"&gt;="&amp;Table1[[#This Row],[Target]])</f>
        <v>0</v>
      </c>
      <c r="O1188" s="4">
        <f>IF(Table1[[#This Row],[Outliers 2Y]]=0,1,0)</f>
        <v>1</v>
      </c>
      <c r="P1188" s="4">
        <f>IF(Table1[[#This Row],[Last value]]&gt;1.5*Table1[[#This Row],[Target]],1,0)</f>
        <v>0</v>
      </c>
      <c r="Q1188" s="4">
        <f>IF(AND(1.5*Table1[[#This Row],[Target]]&gt;=Table1[[#This Row],[Last value]],Table1[[#This Row],[Last value]]&gt;Table1[[#This Row],[Target]]),1,0)</f>
        <v>0</v>
      </c>
      <c r="R1188" s="4">
        <f>IF(Table1[[#This Row],[Target]]&gt;=Table1[[#This Row],[Last value]],1,0)</f>
        <v>1</v>
      </c>
      <c r="S1188" s="4" t="str">
        <f t="shared" si="30"/>
        <v>Green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25">
        <v>1.9</v>
      </c>
      <c r="CM1188" s="4">
        <v>0</v>
      </c>
      <c r="CN1188" s="53">
        <v>0.8</v>
      </c>
      <c r="CO1188" s="54">
        <v>0.8</v>
      </c>
      <c r="CP1188" s="54">
        <v>0.4</v>
      </c>
      <c r="CQ1188" s="4">
        <v>0.6</v>
      </c>
    </row>
    <row r="1189" spans="1:95" s="55" customFormat="1" x14ac:dyDescent="0.35">
      <c r="A1189" s="55">
        <v>1188</v>
      </c>
      <c r="B1189" s="44" t="s">
        <v>1478</v>
      </c>
      <c r="C1189" s="27" t="s">
        <v>1395</v>
      </c>
      <c r="D1189" s="50" t="s">
        <v>93</v>
      </c>
      <c r="E1189" s="50" t="s">
        <v>89</v>
      </c>
      <c r="F1189" s="4">
        <f>IFERROR(AVERAGEIF(Table1[[#This Row],[2019-Apr]:[2025-July]],"&lt;&gt;0"),0)</f>
        <v>1.0833333333333335</v>
      </c>
      <c r="G1189" s="4">
        <f ca="1">IFERROR(AVERAGEIF(OFFSET(Table1[[#This Row],[Status]],0,COUNT(Table1[[#This Row],[2019-May]:[2025-July]]),1,-12),"&lt;&gt;0"),0)</f>
        <v>1.06</v>
      </c>
      <c r="H1189" s="55">
        <f>IFERROR(SMALL(Table1[[#This Row],[2019-Apr]:[2025-July]],COUNTIF(Table1[[#This Row],[2019-Apr]:[2025-July]],0)+1),0)</f>
        <v>0.7</v>
      </c>
      <c r="I1189" s="56">
        <f>IFERROR(MAX(Table1[[#This Row],[2019-Apr]:[2025-July]]),0)</f>
        <v>2</v>
      </c>
      <c r="J1189" s="4" cm="1">
        <f t="array" ref="J118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1.0833333333333333</v>
      </c>
      <c r="K1189" s="4">
        <v>4.5</v>
      </c>
      <c r="L1189" s="4">
        <f>IF(Table1[[#This Row],[Standard as per ISO]]&gt;=Table1[[#This Row],[Avg of best 6]],Table1[[#This Row],[Standard as per ISO]],Table1[[#This Row],[Avg of best 6]])</f>
        <v>4.5</v>
      </c>
      <c r="M1189" s="4" cm="1">
        <f t="array" ref="M1189">IFERROR(LOOKUP(2,1/(Table1[[#This Row],[2019-May]:[2025-July]]&lt;&gt;0),Table1[[#This Row],[2019-May]:[2025-July]]),0)</f>
        <v>1.2</v>
      </c>
      <c r="N1189" s="4">
        <f>COUNTIF(Table1[[#This Row],[2019-Apr]:[2025-July]],"&gt;="&amp;Table1[[#This Row],[Target]])</f>
        <v>0</v>
      </c>
      <c r="O1189" s="4">
        <f>IF(Table1[[#This Row],[Outliers 2Y]]=0,1,0)</f>
        <v>1</v>
      </c>
      <c r="P1189" s="4">
        <f>IF(Table1[[#This Row],[Last value]]&gt;1.5*Table1[[#This Row],[Target]],1,0)</f>
        <v>0</v>
      </c>
      <c r="Q1189" s="4">
        <f>IF(AND(1.5*Table1[[#This Row],[Target]]&gt;=Table1[[#This Row],[Last value]],Table1[[#This Row],[Last value]]&gt;Table1[[#This Row],[Target]]),1,0)</f>
        <v>0</v>
      </c>
      <c r="R1189" s="4">
        <f>IF(Table1[[#This Row],[Target]]&gt;=Table1[[#This Row],[Last value]],1,0)</f>
        <v>1</v>
      </c>
      <c r="S1189" s="4" t="str">
        <f t="shared" si="30"/>
        <v>Green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25">
        <v>1</v>
      </c>
      <c r="CM1189" s="4">
        <v>0.7</v>
      </c>
      <c r="CN1189" s="53">
        <v>2</v>
      </c>
      <c r="CO1189" s="54">
        <v>0.9</v>
      </c>
      <c r="CP1189" s="54">
        <v>0.7</v>
      </c>
      <c r="CQ1189" s="4">
        <v>1.2</v>
      </c>
    </row>
    <row r="1190" spans="1:95" s="55" customFormat="1" x14ac:dyDescent="0.35">
      <c r="A1190" s="55">
        <v>1189</v>
      </c>
      <c r="B1190" s="44" t="s">
        <v>1478</v>
      </c>
      <c r="C1190" s="27" t="s">
        <v>1396</v>
      </c>
      <c r="D1190" s="50" t="s">
        <v>93</v>
      </c>
      <c r="E1190" s="50" t="s">
        <v>89</v>
      </c>
      <c r="F1190" s="4">
        <f>IFERROR(AVERAGEIF(Table1[[#This Row],[2019-Apr]:[2025-July]],"&lt;&gt;0"),0)</f>
        <v>1.4333333333333333</v>
      </c>
      <c r="G1190" s="4">
        <f ca="1">IFERROR(AVERAGEIF(OFFSET(Table1[[#This Row],[Status]],0,COUNT(Table1[[#This Row],[2019-May]:[2025-July]]),1,-12),"&lt;&gt;0"),0)</f>
        <v>1.44</v>
      </c>
      <c r="H1190" s="55">
        <f>IFERROR(SMALL(Table1[[#This Row],[2019-Apr]:[2025-July]],COUNTIF(Table1[[#This Row],[2019-Apr]:[2025-July]],0)+1),0)</f>
        <v>0.7</v>
      </c>
      <c r="I1190" s="56">
        <f>IFERROR(MAX(Table1[[#This Row],[2019-Apr]:[2025-July]]),0)</f>
        <v>2.2000000000000002</v>
      </c>
      <c r="J1190" s="4" cm="1">
        <f t="array" ref="J119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1.4333333333333333</v>
      </c>
      <c r="K1190" s="4">
        <v>4.5</v>
      </c>
      <c r="L1190" s="4">
        <f>IF(Table1[[#This Row],[Standard as per ISO]]&gt;=Table1[[#This Row],[Avg of best 6]],Table1[[#This Row],[Standard as per ISO]],Table1[[#This Row],[Avg of best 6]])</f>
        <v>4.5</v>
      </c>
      <c r="M1190" s="4" cm="1">
        <f t="array" ref="M1190">IFERROR(LOOKUP(2,1/(Table1[[#This Row],[2019-May]:[2025-July]]&lt;&gt;0),Table1[[#This Row],[2019-May]:[2025-July]]),0)</f>
        <v>1.4</v>
      </c>
      <c r="N1190" s="4">
        <f>COUNTIF(Table1[[#This Row],[2019-Apr]:[2025-July]],"&gt;="&amp;Table1[[#This Row],[Target]])</f>
        <v>0</v>
      </c>
      <c r="O1190" s="4">
        <f>IF(Table1[[#This Row],[Outliers 2Y]]=0,1,0)</f>
        <v>1</v>
      </c>
      <c r="P1190" s="4">
        <f>IF(Table1[[#This Row],[Last value]]&gt;1.5*Table1[[#This Row],[Target]],1,0)</f>
        <v>0</v>
      </c>
      <c r="Q1190" s="4">
        <f>IF(AND(1.5*Table1[[#This Row],[Target]]&gt;=Table1[[#This Row],[Last value]],Table1[[#This Row],[Last value]]&gt;Table1[[#This Row],[Target]]),1,0)</f>
        <v>0</v>
      </c>
      <c r="R1190" s="4">
        <f>IF(Table1[[#This Row],[Target]]&gt;=Table1[[#This Row],[Last value]],1,0)</f>
        <v>1</v>
      </c>
      <c r="S1190" s="4" t="str">
        <f t="shared" si="30"/>
        <v>Green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25">
        <v>1.3</v>
      </c>
      <c r="CM1190" s="4">
        <v>1.7</v>
      </c>
      <c r="CN1190" s="53">
        <v>0.7</v>
      </c>
      <c r="CO1190" s="54">
        <v>2.2000000000000002</v>
      </c>
      <c r="CP1190" s="54">
        <v>1.3</v>
      </c>
      <c r="CQ1190" s="4">
        <v>1.4</v>
      </c>
    </row>
    <row r="1191" spans="1:95" s="55" customFormat="1" x14ac:dyDescent="0.35">
      <c r="A1191" s="55">
        <v>1190</v>
      </c>
      <c r="B1191" s="44" t="s">
        <v>1478</v>
      </c>
      <c r="C1191" s="27" t="s">
        <v>1397</v>
      </c>
      <c r="D1191" s="50" t="s">
        <v>93</v>
      </c>
      <c r="E1191" s="50" t="s">
        <v>89</v>
      </c>
      <c r="F1191" s="4">
        <f>IFERROR(AVERAGEIF(Table1[[#This Row],[2019-Apr]:[2025-July]],"&lt;&gt;0"),0)</f>
        <v>4.1499999999999995</v>
      </c>
      <c r="G1191" s="4">
        <f ca="1">IFERROR(AVERAGEIF(OFFSET(Table1[[#This Row],[Status]],0,COUNT(Table1[[#This Row],[2019-May]:[2025-July]]),1,-12),"&lt;&gt;0"),0)</f>
        <v>4.0600000000000005</v>
      </c>
      <c r="H1191" s="55">
        <f>IFERROR(SMALL(Table1[[#This Row],[2019-Apr]:[2025-July]],COUNTIF(Table1[[#This Row],[2019-Apr]:[2025-July]],0)+1),0)</f>
        <v>3</v>
      </c>
      <c r="I1191" s="56">
        <f>IFERROR(MAX(Table1[[#This Row],[2019-Apr]:[2025-July]]),0)</f>
        <v>5.6</v>
      </c>
      <c r="J1191" s="4" cm="1">
        <f t="array" ref="J119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4.1499999999999995</v>
      </c>
      <c r="K1191" s="4">
        <v>4.5</v>
      </c>
      <c r="L1191" s="4">
        <f>IF(Table1[[#This Row],[Standard as per ISO]]&gt;=Table1[[#This Row],[Avg of best 6]],Table1[[#This Row],[Standard as per ISO]],Table1[[#This Row],[Avg of best 6]])</f>
        <v>4.5</v>
      </c>
      <c r="M1191" s="4" cm="1">
        <f t="array" ref="M1191">IFERROR(LOOKUP(2,1/(Table1[[#This Row],[2019-May]:[2025-July]]&lt;&gt;0),Table1[[#This Row],[2019-May]:[2025-July]]),0)</f>
        <v>4.5999999999999996</v>
      </c>
      <c r="N1191" s="4">
        <f>COUNTIF(Table1[[#This Row],[2019-Apr]:[2025-July]],"&gt;="&amp;Table1[[#This Row],[Target]])</f>
        <v>2</v>
      </c>
      <c r="O1191" s="4">
        <f>IF(Table1[[#This Row],[Outliers 2Y]]=0,1,0)</f>
        <v>0</v>
      </c>
      <c r="P1191" s="4">
        <f>IF(Table1[[#This Row],[Last value]]&gt;1.5*Table1[[#This Row],[Target]],1,0)</f>
        <v>0</v>
      </c>
      <c r="Q1191" s="4">
        <f>IF(AND(1.5*Table1[[#This Row],[Target]]&gt;=Table1[[#This Row],[Last value]],Table1[[#This Row],[Last value]]&gt;Table1[[#This Row],[Target]]),1,0)</f>
        <v>1</v>
      </c>
      <c r="R1191" s="4">
        <f>IF(Table1[[#This Row],[Target]]&gt;=Table1[[#This Row],[Last value]],1,0)</f>
        <v>0</v>
      </c>
      <c r="S1191" s="4" t="str">
        <f t="shared" si="30"/>
        <v>Yellow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25">
        <v>5.6</v>
      </c>
      <c r="CM1191" s="4">
        <v>4.4000000000000004</v>
      </c>
      <c r="CN1191" s="53">
        <v>3.1</v>
      </c>
      <c r="CO1191" s="54">
        <v>4.2</v>
      </c>
      <c r="CP1191" s="54">
        <v>3</v>
      </c>
      <c r="CQ1191" s="4">
        <v>4.5999999999999996</v>
      </c>
    </row>
    <row r="1192" spans="1:95" s="55" customFormat="1" x14ac:dyDescent="0.35">
      <c r="A1192" s="55">
        <v>1191</v>
      </c>
      <c r="B1192" s="44" t="s">
        <v>1478</v>
      </c>
      <c r="C1192" s="27" t="s">
        <v>1398</v>
      </c>
      <c r="D1192" s="50" t="s">
        <v>93</v>
      </c>
      <c r="E1192" s="50" t="s">
        <v>89</v>
      </c>
      <c r="F1192" s="4">
        <f>IFERROR(AVERAGEIF(Table1[[#This Row],[2019-Apr]:[2025-July]],"&lt;&gt;0"),0)</f>
        <v>1.2166666666666666</v>
      </c>
      <c r="G1192" s="4">
        <f ca="1">IFERROR(AVERAGEIF(OFFSET(Table1[[#This Row],[Status]],0,COUNT(Table1[[#This Row],[2019-May]:[2025-July]]),1,-12),"&lt;&gt;0"),0)</f>
        <v>1.1000000000000001</v>
      </c>
      <c r="H1192" s="55">
        <f>IFERROR(SMALL(Table1[[#This Row],[2019-Apr]:[2025-July]],COUNTIF(Table1[[#This Row],[2019-Apr]:[2025-July]],0)+1),0)</f>
        <v>0.9</v>
      </c>
      <c r="I1192" s="56">
        <f>IFERROR(MAX(Table1[[#This Row],[2019-Apr]:[2025-July]]),0)</f>
        <v>1.8</v>
      </c>
      <c r="J1192" s="4" cm="1">
        <f t="array" ref="J119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1.2166666666666666</v>
      </c>
      <c r="K1192" s="4">
        <v>4.5</v>
      </c>
      <c r="L1192" s="4">
        <f>IF(Table1[[#This Row],[Standard as per ISO]]&gt;=Table1[[#This Row],[Avg of best 6]],Table1[[#This Row],[Standard as per ISO]],Table1[[#This Row],[Avg of best 6]])</f>
        <v>4.5</v>
      </c>
      <c r="M1192" s="4" cm="1">
        <f t="array" ref="M1192">IFERROR(LOOKUP(2,1/(Table1[[#This Row],[2019-May]:[2025-July]]&lt;&gt;0),Table1[[#This Row],[2019-May]:[2025-July]]),0)</f>
        <v>1.8</v>
      </c>
      <c r="N1192" s="4">
        <f>COUNTIF(Table1[[#This Row],[2019-Apr]:[2025-July]],"&gt;="&amp;Table1[[#This Row],[Target]])</f>
        <v>0</v>
      </c>
      <c r="O1192" s="4">
        <f>IF(Table1[[#This Row],[Outliers 2Y]]=0,1,0)</f>
        <v>1</v>
      </c>
      <c r="P1192" s="4">
        <f>IF(Table1[[#This Row],[Last value]]&gt;1.5*Table1[[#This Row],[Target]],1,0)</f>
        <v>0</v>
      </c>
      <c r="Q1192" s="4">
        <f>IF(AND(1.5*Table1[[#This Row],[Target]]&gt;=Table1[[#This Row],[Last value]],Table1[[#This Row],[Last value]]&gt;Table1[[#This Row],[Target]]),1,0)</f>
        <v>0</v>
      </c>
      <c r="R1192" s="4">
        <f>IF(Table1[[#This Row],[Target]]&gt;=Table1[[#This Row],[Last value]],1,0)</f>
        <v>1</v>
      </c>
      <c r="S1192" s="4" t="str">
        <f t="shared" si="30"/>
        <v>Green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25">
        <v>1.5</v>
      </c>
      <c r="CM1192" s="4">
        <v>0.9</v>
      </c>
      <c r="CN1192" s="53">
        <v>1.2</v>
      </c>
      <c r="CO1192" s="54">
        <v>0.9</v>
      </c>
      <c r="CP1192" s="54">
        <v>1</v>
      </c>
      <c r="CQ1192" s="4">
        <v>1.8</v>
      </c>
    </row>
    <row r="1193" spans="1:95" s="55" customFormat="1" x14ac:dyDescent="0.35">
      <c r="A1193" s="55">
        <v>1192</v>
      </c>
      <c r="B1193" s="44" t="s">
        <v>1478</v>
      </c>
      <c r="C1193" s="27" t="s">
        <v>1399</v>
      </c>
      <c r="D1193" s="50" t="s">
        <v>93</v>
      </c>
      <c r="E1193" s="50" t="s">
        <v>89</v>
      </c>
      <c r="F1193" s="4">
        <f>IFERROR(AVERAGEIF(Table1[[#This Row],[2019-Apr]:[2025-July]],"&lt;&gt;0"),0)</f>
        <v>2.3833333333333333</v>
      </c>
      <c r="G1193" s="4">
        <f ca="1">IFERROR(AVERAGEIF(OFFSET(Table1[[#This Row],[Status]],0,COUNT(Table1[[#This Row],[2019-May]:[2025-July]]),1,-12),"&lt;&gt;0"),0)</f>
        <v>2.2800000000000002</v>
      </c>
      <c r="H1193" s="55">
        <f>IFERROR(SMALL(Table1[[#This Row],[2019-Apr]:[2025-July]],COUNTIF(Table1[[#This Row],[2019-Apr]:[2025-July]],0)+1),0)</f>
        <v>1.5</v>
      </c>
      <c r="I1193" s="56">
        <f>IFERROR(MAX(Table1[[#This Row],[2019-Apr]:[2025-July]]),0)</f>
        <v>2.9</v>
      </c>
      <c r="J1193" s="4" cm="1">
        <f t="array" ref="J119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2.3833333333333333</v>
      </c>
      <c r="K1193" s="4">
        <v>4.5</v>
      </c>
      <c r="L1193" s="4">
        <f>IF(Table1[[#This Row],[Standard as per ISO]]&gt;=Table1[[#This Row],[Avg of best 6]],Table1[[#This Row],[Standard as per ISO]],Table1[[#This Row],[Avg of best 6]])</f>
        <v>4.5</v>
      </c>
      <c r="M1193" s="4" cm="1">
        <f t="array" ref="M1193">IFERROR(LOOKUP(2,1/(Table1[[#This Row],[2019-May]:[2025-July]]&lt;&gt;0),Table1[[#This Row],[2019-May]:[2025-July]]),0)</f>
        <v>2.9</v>
      </c>
      <c r="N1193" s="4">
        <f>COUNTIF(Table1[[#This Row],[2019-Apr]:[2025-July]],"&gt;="&amp;Table1[[#This Row],[Target]])</f>
        <v>0</v>
      </c>
      <c r="O1193" s="4">
        <f>IF(Table1[[#This Row],[Outliers 2Y]]=0,1,0)</f>
        <v>1</v>
      </c>
      <c r="P1193" s="4">
        <f>IF(Table1[[#This Row],[Last value]]&gt;1.5*Table1[[#This Row],[Target]],1,0)</f>
        <v>0</v>
      </c>
      <c r="Q1193" s="4">
        <f>IF(AND(1.5*Table1[[#This Row],[Target]]&gt;=Table1[[#This Row],[Last value]],Table1[[#This Row],[Last value]]&gt;Table1[[#This Row],[Target]]),1,0)</f>
        <v>0</v>
      </c>
      <c r="R1193" s="4">
        <f>IF(Table1[[#This Row],[Target]]&gt;=Table1[[#This Row],[Last value]],1,0)</f>
        <v>1</v>
      </c>
      <c r="S1193" s="4" t="str">
        <f t="shared" si="30"/>
        <v>Green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25">
        <v>1.5</v>
      </c>
      <c r="CM1193" s="4">
        <v>2.9</v>
      </c>
      <c r="CN1193" s="53">
        <v>2.7</v>
      </c>
      <c r="CO1193" s="54">
        <v>1.7</v>
      </c>
      <c r="CP1193" s="54">
        <v>2.6</v>
      </c>
      <c r="CQ1193" s="4">
        <v>2.9</v>
      </c>
    </row>
    <row r="1194" spans="1:95" s="55" customFormat="1" x14ac:dyDescent="0.35">
      <c r="A1194" s="55">
        <v>1193</v>
      </c>
      <c r="B1194" s="44" t="s">
        <v>1478</v>
      </c>
      <c r="C1194" s="27" t="s">
        <v>1400</v>
      </c>
      <c r="D1194" s="50" t="s">
        <v>93</v>
      </c>
      <c r="E1194" s="50" t="s">
        <v>89</v>
      </c>
      <c r="F1194" s="4">
        <f>IFERROR(AVERAGEIF(Table1[[#This Row],[2019-Apr]:[2025-July]],"&lt;&gt;0"),0)</f>
        <v>1.7833333333333332</v>
      </c>
      <c r="G1194" s="4">
        <f ca="1">IFERROR(AVERAGEIF(OFFSET(Table1[[#This Row],[Status]],0,COUNT(Table1[[#This Row],[2019-May]:[2025-July]]),1,-12),"&lt;&gt;0"),0)</f>
        <v>1.5399999999999998</v>
      </c>
      <c r="H1194" s="55">
        <f>IFERROR(SMALL(Table1[[#This Row],[2019-Apr]:[2025-July]],COUNTIF(Table1[[#This Row],[2019-Apr]:[2025-July]],0)+1),0)</f>
        <v>0.8</v>
      </c>
      <c r="I1194" s="56">
        <f>IFERROR(MAX(Table1[[#This Row],[2019-Apr]:[2025-July]]),0)</f>
        <v>3.1</v>
      </c>
      <c r="J1194" s="4" cm="1">
        <f t="array" ref="J119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1.7833333333333332</v>
      </c>
      <c r="K1194" s="4">
        <v>4.5</v>
      </c>
      <c r="L1194" s="4">
        <f>IF(Table1[[#This Row],[Standard as per ISO]]&gt;=Table1[[#This Row],[Avg of best 6]],Table1[[#This Row],[Standard as per ISO]],Table1[[#This Row],[Avg of best 6]])</f>
        <v>4.5</v>
      </c>
      <c r="M1194" s="4" cm="1">
        <f t="array" ref="M1194">IFERROR(LOOKUP(2,1/(Table1[[#This Row],[2019-May]:[2025-July]]&lt;&gt;0),Table1[[#This Row],[2019-May]:[2025-July]]),0)</f>
        <v>3</v>
      </c>
      <c r="N1194" s="4">
        <f>COUNTIF(Table1[[#This Row],[2019-Apr]:[2025-July]],"&gt;="&amp;Table1[[#This Row],[Target]])</f>
        <v>0</v>
      </c>
      <c r="O1194" s="4">
        <f>IF(Table1[[#This Row],[Outliers 2Y]]=0,1,0)</f>
        <v>1</v>
      </c>
      <c r="P1194" s="4">
        <f>IF(Table1[[#This Row],[Last value]]&gt;1.5*Table1[[#This Row],[Target]],1,0)</f>
        <v>0</v>
      </c>
      <c r="Q1194" s="4">
        <f>IF(AND(1.5*Table1[[#This Row],[Target]]&gt;=Table1[[#This Row],[Last value]],Table1[[#This Row],[Last value]]&gt;Table1[[#This Row],[Target]]),1,0)</f>
        <v>0</v>
      </c>
      <c r="R1194" s="4">
        <f>IF(Table1[[#This Row],[Target]]&gt;=Table1[[#This Row],[Last value]],1,0)</f>
        <v>1</v>
      </c>
      <c r="S1194" s="4" t="str">
        <f t="shared" si="30"/>
        <v>Green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25">
        <v>3.1</v>
      </c>
      <c r="CM1194" s="4">
        <v>1</v>
      </c>
      <c r="CN1194" s="53">
        <v>1.8</v>
      </c>
      <c r="CO1194" s="54">
        <v>1</v>
      </c>
      <c r="CP1194" s="54">
        <v>0.8</v>
      </c>
      <c r="CQ1194" s="4">
        <v>3</v>
      </c>
    </row>
    <row r="1195" spans="1:95" s="55" customFormat="1" x14ac:dyDescent="0.35">
      <c r="A1195" s="55">
        <v>1194</v>
      </c>
      <c r="B1195" s="44" t="s">
        <v>1478</v>
      </c>
      <c r="C1195" s="27" t="s">
        <v>1401</v>
      </c>
      <c r="D1195" s="50" t="s">
        <v>93</v>
      </c>
      <c r="E1195" s="50" t="s">
        <v>89</v>
      </c>
      <c r="F1195" s="4">
        <f>IFERROR(AVERAGEIF(Table1[[#This Row],[2019-Apr]:[2025-July]],"&lt;&gt;0"),0)</f>
        <v>3.3166666666666664</v>
      </c>
      <c r="G1195" s="4">
        <f ca="1">IFERROR(AVERAGEIF(OFFSET(Table1[[#This Row],[Status]],0,COUNT(Table1[[#This Row],[2019-May]:[2025-July]]),1,-12),"&lt;&gt;0"),0)</f>
        <v>3.06</v>
      </c>
      <c r="H1195" s="55">
        <f>IFERROR(SMALL(Table1[[#This Row],[2019-Apr]:[2025-July]],COUNTIF(Table1[[#This Row],[2019-Apr]:[2025-July]],0)+1),0)</f>
        <v>2.2000000000000002</v>
      </c>
      <c r="I1195" s="56">
        <f>IFERROR(MAX(Table1[[#This Row],[2019-Apr]:[2025-July]]),0)</f>
        <v>4.5999999999999996</v>
      </c>
      <c r="J1195" s="4" cm="1">
        <f t="array" ref="J119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3.3166666666666664</v>
      </c>
      <c r="K1195" s="4">
        <v>4.5</v>
      </c>
      <c r="L1195" s="4">
        <f>IF(Table1[[#This Row],[Standard as per ISO]]&gt;=Table1[[#This Row],[Avg of best 6]],Table1[[#This Row],[Standard as per ISO]],Table1[[#This Row],[Avg of best 6]])</f>
        <v>4.5</v>
      </c>
      <c r="M1195" s="4" cm="1">
        <f t="array" ref="M1195">IFERROR(LOOKUP(2,1/(Table1[[#This Row],[2019-May]:[2025-July]]&lt;&gt;0),Table1[[#This Row],[2019-May]:[2025-July]]),0)</f>
        <v>4.5999999999999996</v>
      </c>
      <c r="N1195" s="4">
        <f>COUNTIF(Table1[[#This Row],[2019-Apr]:[2025-July]],"&gt;="&amp;Table1[[#This Row],[Target]])</f>
        <v>1</v>
      </c>
      <c r="O1195" s="4">
        <f>IF(Table1[[#This Row],[Outliers 2Y]]=0,1,0)</f>
        <v>0</v>
      </c>
      <c r="P1195" s="4">
        <f>IF(Table1[[#This Row],[Last value]]&gt;1.5*Table1[[#This Row],[Target]],1,0)</f>
        <v>0</v>
      </c>
      <c r="Q1195" s="4">
        <f>IF(AND(1.5*Table1[[#This Row],[Target]]&gt;=Table1[[#This Row],[Last value]],Table1[[#This Row],[Last value]]&gt;Table1[[#This Row],[Target]]),1,0)</f>
        <v>1</v>
      </c>
      <c r="R1195" s="4">
        <f>IF(Table1[[#This Row],[Target]]&gt;=Table1[[#This Row],[Last value]],1,0)</f>
        <v>0</v>
      </c>
      <c r="S1195" s="4" t="str">
        <f t="shared" si="30"/>
        <v>Yellow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25">
        <v>3.1</v>
      </c>
      <c r="CM1195" s="4">
        <v>4</v>
      </c>
      <c r="CN1195" s="53">
        <v>2.2000000000000002</v>
      </c>
      <c r="CO1195" s="54">
        <v>3.8</v>
      </c>
      <c r="CP1195" s="54">
        <v>2.2000000000000002</v>
      </c>
      <c r="CQ1195" s="4">
        <v>4.5999999999999996</v>
      </c>
    </row>
    <row r="1196" spans="1:95" s="55" customFormat="1" x14ac:dyDescent="0.35">
      <c r="A1196" s="55">
        <v>1195</v>
      </c>
      <c r="B1196" s="44" t="s">
        <v>1478</v>
      </c>
      <c r="C1196" s="27" t="s">
        <v>1402</v>
      </c>
      <c r="D1196" s="50" t="s">
        <v>93</v>
      </c>
      <c r="E1196" s="50" t="s">
        <v>89</v>
      </c>
      <c r="F1196" s="4">
        <f>IFERROR(AVERAGEIF(Table1[[#This Row],[2019-Apr]:[2025-July]],"&lt;&gt;0"),0)</f>
        <v>3.25</v>
      </c>
      <c r="G1196" s="4">
        <f ca="1">IFERROR(AVERAGEIF(OFFSET(Table1[[#This Row],[Status]],0,COUNT(Table1[[#This Row],[2019-May]:[2025-July]]),1,-12),"&lt;&gt;0"),0)</f>
        <v>2.96</v>
      </c>
      <c r="H1196" s="55">
        <f>IFERROR(SMALL(Table1[[#This Row],[2019-Apr]:[2025-July]],COUNTIF(Table1[[#This Row],[2019-Apr]:[2025-July]],0)+1),0)</f>
        <v>2</v>
      </c>
      <c r="I1196" s="56">
        <f>IFERROR(MAX(Table1[[#This Row],[2019-Apr]:[2025-July]]),0)</f>
        <v>4.7</v>
      </c>
      <c r="J1196" s="4" cm="1">
        <f t="array" ref="J119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3.25</v>
      </c>
      <c r="K1196" s="4">
        <v>4.5</v>
      </c>
      <c r="L1196" s="4">
        <f>IF(Table1[[#This Row],[Standard as per ISO]]&gt;=Table1[[#This Row],[Avg of best 6]],Table1[[#This Row],[Standard as per ISO]],Table1[[#This Row],[Avg of best 6]])</f>
        <v>4.5</v>
      </c>
      <c r="M1196" s="4" cm="1">
        <f t="array" ref="M1196">IFERROR(LOOKUP(2,1/(Table1[[#This Row],[2019-May]:[2025-July]]&lt;&gt;0),Table1[[#This Row],[2019-May]:[2025-July]]),0)</f>
        <v>4.7</v>
      </c>
      <c r="N1196" s="4">
        <f>COUNTIF(Table1[[#This Row],[2019-Apr]:[2025-July]],"&gt;="&amp;Table1[[#This Row],[Target]])</f>
        <v>2</v>
      </c>
      <c r="O1196" s="4">
        <f>IF(Table1[[#This Row],[Outliers 2Y]]=0,1,0)</f>
        <v>0</v>
      </c>
      <c r="P1196" s="4">
        <f>IF(Table1[[#This Row],[Last value]]&gt;1.5*Table1[[#This Row],[Target]],1,0)</f>
        <v>0</v>
      </c>
      <c r="Q1196" s="4">
        <f>IF(AND(1.5*Table1[[#This Row],[Target]]&gt;=Table1[[#This Row],[Last value]],Table1[[#This Row],[Last value]]&gt;Table1[[#This Row],[Target]]),1,0)</f>
        <v>1</v>
      </c>
      <c r="R1196" s="4">
        <f>IF(Table1[[#This Row],[Target]]&gt;=Table1[[#This Row],[Last value]],1,0)</f>
        <v>0</v>
      </c>
      <c r="S1196" s="4" t="str">
        <f t="shared" si="30"/>
        <v>Yellow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25">
        <v>4.5</v>
      </c>
      <c r="CM1196" s="4">
        <v>2</v>
      </c>
      <c r="CN1196" s="53">
        <v>3.4</v>
      </c>
      <c r="CO1196" s="54">
        <v>2.4</v>
      </c>
      <c r="CP1196" s="54">
        <v>2.5</v>
      </c>
      <c r="CQ1196" s="4">
        <v>4.7</v>
      </c>
    </row>
    <row r="1197" spans="1:95" s="55" customFormat="1" x14ac:dyDescent="0.35">
      <c r="A1197" s="55">
        <v>1196</v>
      </c>
      <c r="B1197" s="44" t="s">
        <v>1478</v>
      </c>
      <c r="C1197" s="27" t="s">
        <v>1403</v>
      </c>
      <c r="D1197" s="50" t="s">
        <v>93</v>
      </c>
      <c r="E1197" s="50" t="s">
        <v>89</v>
      </c>
      <c r="F1197" s="4">
        <f>IFERROR(AVERAGEIF(Table1[[#This Row],[2019-Apr]:[2025-July]],"&lt;&gt;0"),0)</f>
        <v>3.6999999999999993</v>
      </c>
      <c r="G1197" s="4">
        <f ca="1">IFERROR(AVERAGEIF(OFFSET(Table1[[#This Row],[Status]],0,COUNT(Table1[[#This Row],[2019-May]:[2025-July]]),1,-12),"&lt;&gt;0"),0)</f>
        <v>3.8599999999999994</v>
      </c>
      <c r="H1197" s="55">
        <f>IFERROR(SMALL(Table1[[#This Row],[2019-Apr]:[2025-July]],COUNTIF(Table1[[#This Row],[2019-Apr]:[2025-July]],0)+1),0)</f>
        <v>2.7</v>
      </c>
      <c r="I1197" s="56">
        <f>IFERROR(MAX(Table1[[#This Row],[2019-Apr]:[2025-July]]),0)</f>
        <v>4.7</v>
      </c>
      <c r="J1197" s="4" cm="1">
        <f t="array" ref="J119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3.6999999999999997</v>
      </c>
      <c r="K1197" s="4">
        <v>4.5</v>
      </c>
      <c r="L1197" s="4">
        <f>IF(Table1[[#This Row],[Standard as per ISO]]&gt;=Table1[[#This Row],[Avg of best 6]],Table1[[#This Row],[Standard as per ISO]],Table1[[#This Row],[Avg of best 6]])</f>
        <v>4.5</v>
      </c>
      <c r="M1197" s="4" cm="1">
        <f t="array" ref="M1197">IFERROR(LOOKUP(2,1/(Table1[[#This Row],[2019-May]:[2025-July]]&lt;&gt;0),Table1[[#This Row],[2019-May]:[2025-July]]),0)</f>
        <v>2.9</v>
      </c>
      <c r="N1197" s="4">
        <f>COUNTIF(Table1[[#This Row],[2019-Apr]:[2025-July]],"&gt;="&amp;Table1[[#This Row],[Target]])</f>
        <v>2</v>
      </c>
      <c r="O1197" s="4">
        <f>IF(Table1[[#This Row],[Outliers 2Y]]=0,1,0)</f>
        <v>0</v>
      </c>
      <c r="P1197" s="4">
        <f>IF(Table1[[#This Row],[Last value]]&gt;1.5*Table1[[#This Row],[Target]],1,0)</f>
        <v>0</v>
      </c>
      <c r="Q1197" s="4">
        <f>IF(AND(1.5*Table1[[#This Row],[Target]]&gt;=Table1[[#This Row],[Last value]],Table1[[#This Row],[Last value]]&gt;Table1[[#This Row],[Target]]),1,0)</f>
        <v>0</v>
      </c>
      <c r="R1197" s="4">
        <f>IF(Table1[[#This Row],[Target]]&gt;=Table1[[#This Row],[Last value]],1,0)</f>
        <v>1</v>
      </c>
      <c r="S1197" s="4" t="str">
        <f t="shared" si="30"/>
        <v>Green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25">
        <v>3.2</v>
      </c>
      <c r="CM1197" s="4">
        <v>4.5999999999999996</v>
      </c>
      <c r="CN1197" s="53">
        <v>4.0999999999999996</v>
      </c>
      <c r="CO1197" s="54">
        <v>4.7</v>
      </c>
      <c r="CP1197" s="54">
        <v>2.7</v>
      </c>
      <c r="CQ1197" s="4">
        <v>2.9</v>
      </c>
    </row>
    <row r="1198" spans="1:95" s="55" customFormat="1" x14ac:dyDescent="0.35">
      <c r="A1198" s="55">
        <v>1197</v>
      </c>
      <c r="B1198" s="44" t="s">
        <v>1478</v>
      </c>
      <c r="C1198" s="27" t="s">
        <v>1404</v>
      </c>
      <c r="D1198" s="50" t="s">
        <v>93</v>
      </c>
      <c r="E1198" s="50" t="s">
        <v>89</v>
      </c>
      <c r="F1198" s="4">
        <f>IFERROR(AVERAGEIF(Table1[[#This Row],[2019-Apr]:[2025-July]],"&lt;&gt;0"),0)</f>
        <v>1.3499999999999999</v>
      </c>
      <c r="G1198" s="4">
        <f ca="1">IFERROR(AVERAGEIF(OFFSET(Table1[[#This Row],[Status]],0,COUNT(Table1[[#This Row],[2019-May]:[2025-July]]),1,-12),"&lt;&gt;0"),0)</f>
        <v>1.3399999999999999</v>
      </c>
      <c r="H1198" s="55">
        <f>IFERROR(SMALL(Table1[[#This Row],[2019-Apr]:[2025-July]],COUNTIF(Table1[[#This Row],[2019-Apr]:[2025-July]],0)+1),0)</f>
        <v>1.1000000000000001</v>
      </c>
      <c r="I1198" s="56">
        <f>IFERROR(MAX(Table1[[#This Row],[2019-Apr]:[2025-July]]),0)</f>
        <v>1.6</v>
      </c>
      <c r="J1198" s="4" cm="1">
        <f t="array" ref="J119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1.3499999999999999</v>
      </c>
      <c r="K1198" s="4">
        <v>4.5</v>
      </c>
      <c r="L1198" s="4">
        <f>IF(Table1[[#This Row],[Standard as per ISO]]&gt;=Table1[[#This Row],[Avg of best 6]],Table1[[#This Row],[Standard as per ISO]],Table1[[#This Row],[Avg of best 6]])</f>
        <v>4.5</v>
      </c>
      <c r="M1198" s="4" cm="1">
        <f t="array" ref="M1198">IFERROR(LOOKUP(2,1/(Table1[[#This Row],[2019-May]:[2025-July]]&lt;&gt;0),Table1[[#This Row],[2019-May]:[2025-July]]),0)</f>
        <v>1.4</v>
      </c>
      <c r="N1198" s="4">
        <f>COUNTIF(Table1[[#This Row],[2019-Apr]:[2025-July]],"&gt;="&amp;Table1[[#This Row],[Target]])</f>
        <v>0</v>
      </c>
      <c r="O1198" s="4">
        <f>IF(Table1[[#This Row],[Outliers 2Y]]=0,1,0)</f>
        <v>1</v>
      </c>
      <c r="P1198" s="4">
        <f>IF(Table1[[#This Row],[Last value]]&gt;1.5*Table1[[#This Row],[Target]],1,0)</f>
        <v>0</v>
      </c>
      <c r="Q1198" s="4">
        <f>IF(AND(1.5*Table1[[#This Row],[Target]]&gt;=Table1[[#This Row],[Last value]],Table1[[#This Row],[Last value]]&gt;Table1[[#This Row],[Target]]),1,0)</f>
        <v>0</v>
      </c>
      <c r="R1198" s="4">
        <f>IF(Table1[[#This Row],[Target]]&gt;=Table1[[#This Row],[Last value]],1,0)</f>
        <v>1</v>
      </c>
      <c r="S1198" s="4" t="str">
        <f t="shared" si="30"/>
        <v>Green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25">
        <v>1.2</v>
      </c>
      <c r="CM1198" s="4">
        <v>1.3</v>
      </c>
      <c r="CN1198" s="53">
        <v>1.6</v>
      </c>
      <c r="CO1198" s="54">
        <v>1.1000000000000001</v>
      </c>
      <c r="CP1198" s="54">
        <v>1.5</v>
      </c>
      <c r="CQ1198" s="4">
        <v>1.4</v>
      </c>
    </row>
    <row r="1199" spans="1:95" s="55" customFormat="1" x14ac:dyDescent="0.35">
      <c r="A1199" s="55">
        <v>1198</v>
      </c>
      <c r="B1199" s="44" t="s">
        <v>1478</v>
      </c>
      <c r="C1199" s="27" t="s">
        <v>1405</v>
      </c>
      <c r="D1199" s="50" t="s">
        <v>93</v>
      </c>
      <c r="E1199" s="50" t="s">
        <v>89</v>
      </c>
      <c r="F1199" s="4">
        <f>IFERROR(AVERAGEIF(Table1[[#This Row],[2019-Apr]:[2025-July]],"&lt;&gt;0"),0)</f>
        <v>9.1833333333333336</v>
      </c>
      <c r="G1199" s="4">
        <f ca="1">IFERROR(AVERAGEIF(OFFSET(Table1[[#This Row],[Status]],0,COUNT(Table1[[#This Row],[2019-May]:[2025-July]]),1,-12),"&lt;&gt;0"),0)</f>
        <v>10.220000000000001</v>
      </c>
      <c r="H1199" s="55">
        <f>IFERROR(SMALL(Table1[[#This Row],[2019-Apr]:[2025-July]],COUNTIF(Table1[[#This Row],[2019-Apr]:[2025-July]],0)+1),0)</f>
        <v>1.9</v>
      </c>
      <c r="I1199" s="56">
        <f>IFERROR(MAX(Table1[[#This Row],[2019-Apr]:[2025-July]]),0)</f>
        <v>25.1</v>
      </c>
      <c r="J1199" s="4" cm="1">
        <f t="array" ref="J119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9.1833333333333336</v>
      </c>
      <c r="K1199" s="4">
        <v>4.5</v>
      </c>
      <c r="L1199" s="4">
        <f>IF(Table1[[#This Row],[Standard as per ISO]]&gt;=Table1[[#This Row],[Avg of best 6]],Table1[[#This Row],[Standard as per ISO]],Table1[[#This Row],[Avg of best 6]])</f>
        <v>9.1833333333333336</v>
      </c>
      <c r="M1199" s="4" cm="1">
        <f t="array" ref="M1199">IFERROR(LOOKUP(2,1/(Table1[[#This Row],[2019-May]:[2025-July]]&lt;&gt;0),Table1[[#This Row],[2019-May]:[2025-July]]),0)</f>
        <v>4</v>
      </c>
      <c r="N1199" s="4">
        <f>COUNTIF(Table1[[#This Row],[2019-Apr]:[2025-July]],"&gt;="&amp;Table1[[#This Row],[Target]])</f>
        <v>2</v>
      </c>
      <c r="O1199" s="4">
        <f>IF(Table1[[#This Row],[Outliers 2Y]]=0,1,0)</f>
        <v>0</v>
      </c>
      <c r="P1199" s="4">
        <f>IF(Table1[[#This Row],[Last value]]&gt;1.5*Table1[[#This Row],[Target]],1,0)</f>
        <v>0</v>
      </c>
      <c r="Q1199" s="4">
        <f>IF(AND(1.5*Table1[[#This Row],[Target]]&gt;=Table1[[#This Row],[Last value]],Table1[[#This Row],[Last value]]&gt;Table1[[#This Row],[Target]]),1,0)</f>
        <v>0</v>
      </c>
      <c r="R1199" s="4">
        <f>IF(Table1[[#This Row],[Target]]&gt;=Table1[[#This Row],[Last value]],1,0)</f>
        <v>1</v>
      </c>
      <c r="S1199" s="4" t="str">
        <f t="shared" si="30"/>
        <v>Green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25">
        <v>14</v>
      </c>
      <c r="CM1199" s="4">
        <v>7.3</v>
      </c>
      <c r="CN1199" s="53">
        <v>25.1</v>
      </c>
      <c r="CO1199" s="54">
        <v>1.9</v>
      </c>
      <c r="CP1199" s="54">
        <v>2.8</v>
      </c>
      <c r="CQ1199" s="4">
        <v>4</v>
      </c>
    </row>
    <row r="1200" spans="1:95" s="55" customFormat="1" x14ac:dyDescent="0.35">
      <c r="A1200" s="55">
        <v>1199</v>
      </c>
      <c r="B1200" s="44" t="s">
        <v>1478</v>
      </c>
      <c r="C1200" s="27" t="s">
        <v>1406</v>
      </c>
      <c r="D1200" s="50" t="s">
        <v>93</v>
      </c>
      <c r="E1200" s="50" t="s">
        <v>89</v>
      </c>
      <c r="F1200" s="4">
        <f>IFERROR(AVERAGEIF(Table1[[#This Row],[2019-Apr]:[2025-July]],"&lt;&gt;0"),0)</f>
        <v>4.7250000000000005</v>
      </c>
      <c r="G1200" s="4">
        <f ca="1">IFERROR(AVERAGEIF(OFFSET(Table1[[#This Row],[Status]],0,COUNT(Table1[[#This Row],[2019-May]:[2025-July]]),1,-12),"&lt;&gt;0"),0)</f>
        <v>4.9000000000000004</v>
      </c>
      <c r="H1200" s="55">
        <f>IFERROR(SMALL(Table1[[#This Row],[2019-Apr]:[2025-July]],COUNTIF(Table1[[#This Row],[2019-Apr]:[2025-July]],0)+1),0)</f>
        <v>4.2</v>
      </c>
      <c r="I1200" s="56">
        <f>IFERROR(MAX(Table1[[#This Row],[2019-Apr]:[2025-July]]),0)</f>
        <v>5.4</v>
      </c>
      <c r="J1200" s="4" cm="1">
        <f t="array" ref="J120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4.7250000000000005</v>
      </c>
      <c r="K1200" s="4">
        <v>4.5</v>
      </c>
      <c r="L1200" s="4">
        <f>IF(Table1[[#This Row],[Standard as per ISO]]&gt;=Table1[[#This Row],[Avg of best 6]],Table1[[#This Row],[Standard as per ISO]],Table1[[#This Row],[Avg of best 6]])</f>
        <v>4.7250000000000005</v>
      </c>
      <c r="M1200" s="4" cm="1">
        <f t="array" ref="M1200">IFERROR(LOOKUP(2,1/(Table1[[#This Row],[2019-May]:[2025-July]]&lt;&gt;0),Table1[[#This Row],[2019-May]:[2025-July]]),0)</f>
        <v>4.2</v>
      </c>
      <c r="N1200" s="4">
        <f>COUNTIF(Table1[[#This Row],[2019-Apr]:[2025-July]],"&gt;="&amp;Table1[[#This Row],[Target]])</f>
        <v>1</v>
      </c>
      <c r="O1200" s="4">
        <f>IF(Table1[[#This Row],[Outliers 2Y]]=0,1,0)</f>
        <v>0</v>
      </c>
      <c r="P1200" s="4">
        <f>IF(Table1[[#This Row],[Last value]]&gt;1.5*Table1[[#This Row],[Target]],1,0)</f>
        <v>0</v>
      </c>
      <c r="Q1200" s="4">
        <f>IF(AND(1.5*Table1[[#This Row],[Target]]&gt;=Table1[[#This Row],[Last value]],Table1[[#This Row],[Last value]]&gt;Table1[[#This Row],[Target]]),1,0)</f>
        <v>0</v>
      </c>
      <c r="R1200" s="4">
        <f>IF(Table1[[#This Row],[Target]]&gt;=Table1[[#This Row],[Last value]],1,0)</f>
        <v>1</v>
      </c>
      <c r="S1200" s="4" t="str">
        <f t="shared" si="30"/>
        <v>Green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25">
        <v>5.4</v>
      </c>
      <c r="CM1200" s="4">
        <v>0</v>
      </c>
      <c r="CN1200" s="53">
        <v>4.7</v>
      </c>
      <c r="CO1200" s="54">
        <v>4.5999999999999996</v>
      </c>
      <c r="CP1200" s="54">
        <v>0</v>
      </c>
      <c r="CQ1200" s="4">
        <v>4.2</v>
      </c>
    </row>
    <row r="1201" spans="1:95" s="55" customFormat="1" x14ac:dyDescent="0.35">
      <c r="A1201" s="55">
        <v>1200</v>
      </c>
      <c r="B1201" s="44" t="s">
        <v>1478</v>
      </c>
      <c r="C1201" s="27" t="s">
        <v>1407</v>
      </c>
      <c r="D1201" s="50" t="s">
        <v>93</v>
      </c>
      <c r="E1201" s="50" t="s">
        <v>89</v>
      </c>
      <c r="F1201" s="4">
        <f>IFERROR(AVERAGEIF(Table1[[#This Row],[2019-Apr]:[2025-July]],"&lt;&gt;0"),0)</f>
        <v>2.2999999999999998</v>
      </c>
      <c r="G1201" s="4">
        <f ca="1">IFERROR(AVERAGEIF(OFFSET(Table1[[#This Row],[Status]],0,COUNT(Table1[[#This Row],[2019-May]:[2025-July]]),1,-12),"&lt;&gt;0"),0)</f>
        <v>2.2999999999999998</v>
      </c>
      <c r="H1201" s="55">
        <f>IFERROR(SMALL(Table1[[#This Row],[2019-Apr]:[2025-July]],COUNTIF(Table1[[#This Row],[2019-Apr]:[2025-July]],0)+1),0)</f>
        <v>2.2999999999999998</v>
      </c>
      <c r="I1201" s="56">
        <f>IFERROR(MAX(Table1[[#This Row],[2019-Apr]:[2025-July]]),0)</f>
        <v>2.2999999999999998</v>
      </c>
      <c r="J1201" s="4" cm="1">
        <f t="array" ref="J120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2.2999999999999998</v>
      </c>
      <c r="K1201" s="4">
        <v>4.5</v>
      </c>
      <c r="L1201" s="4">
        <f>IF(Table1[[#This Row],[Standard as per ISO]]&gt;=Table1[[#This Row],[Avg of best 6]],Table1[[#This Row],[Standard as per ISO]],Table1[[#This Row],[Avg of best 6]])</f>
        <v>4.5</v>
      </c>
      <c r="M1201" s="4" cm="1">
        <f t="array" ref="M1201">IFERROR(LOOKUP(2,1/(Table1[[#This Row],[2019-May]:[2025-July]]&lt;&gt;0),Table1[[#This Row],[2019-May]:[2025-July]]),0)</f>
        <v>2.2999999999999998</v>
      </c>
      <c r="N1201" s="4">
        <f>COUNTIF(Table1[[#This Row],[2019-Apr]:[2025-July]],"&gt;="&amp;Table1[[#This Row],[Target]])</f>
        <v>0</v>
      </c>
      <c r="O1201" s="4">
        <f>IF(Table1[[#This Row],[Outliers 2Y]]=0,1,0)</f>
        <v>1</v>
      </c>
      <c r="P1201" s="4">
        <f>IF(Table1[[#This Row],[Last value]]&gt;1.5*Table1[[#This Row],[Target]],1,0)</f>
        <v>0</v>
      </c>
      <c r="Q1201" s="4">
        <f>IF(AND(1.5*Table1[[#This Row],[Target]]&gt;=Table1[[#This Row],[Last value]],Table1[[#This Row],[Last value]]&gt;Table1[[#This Row],[Target]]),1,0)</f>
        <v>0</v>
      </c>
      <c r="R1201" s="4">
        <f>IF(Table1[[#This Row],[Target]]&gt;=Table1[[#This Row],[Last value]],1,0)</f>
        <v>1</v>
      </c>
      <c r="S1201" s="4" t="str">
        <f t="shared" si="30"/>
        <v>Green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25">
        <v>2.2999999999999998</v>
      </c>
      <c r="CM1201" s="4">
        <v>0</v>
      </c>
      <c r="CN1201" s="53">
        <v>0</v>
      </c>
      <c r="CO1201" s="54">
        <v>0</v>
      </c>
      <c r="CP1201" s="54">
        <v>0</v>
      </c>
      <c r="CQ1201" s="4">
        <v>0</v>
      </c>
    </row>
    <row r="1202" spans="1:95" s="55" customFormat="1" x14ac:dyDescent="0.35">
      <c r="A1202" s="55">
        <v>1201</v>
      </c>
      <c r="B1202" s="44" t="s">
        <v>1478</v>
      </c>
      <c r="C1202" s="27" t="s">
        <v>1408</v>
      </c>
      <c r="D1202" s="50" t="s">
        <v>93</v>
      </c>
      <c r="E1202" s="50" t="s">
        <v>89</v>
      </c>
      <c r="F1202" s="4">
        <f>IFERROR(AVERAGEIF(Table1[[#This Row],[2019-Apr]:[2025-July]],"&lt;&gt;0"),0)</f>
        <v>1.7999999999999998</v>
      </c>
      <c r="G1202" s="4">
        <f ca="1">IFERROR(AVERAGEIF(OFFSET(Table1[[#This Row],[Status]],0,COUNT(Table1[[#This Row],[2019-May]:[2025-July]]),1,-12),"&lt;&gt;0"),0)</f>
        <v>1.8666666666666665</v>
      </c>
      <c r="H1202" s="55">
        <f>IFERROR(SMALL(Table1[[#This Row],[2019-Apr]:[2025-July]],COUNTIF(Table1[[#This Row],[2019-Apr]:[2025-July]],0)+1),0)</f>
        <v>1.2</v>
      </c>
      <c r="I1202" s="56">
        <f>IFERROR(MAX(Table1[[#This Row],[2019-Apr]:[2025-July]]),0)</f>
        <v>2.8</v>
      </c>
      <c r="J1202" s="4" cm="1">
        <f t="array" ref="J120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1.7999999999999998</v>
      </c>
      <c r="K1202" s="4">
        <v>4.5</v>
      </c>
      <c r="L1202" s="4">
        <f>IF(Table1[[#This Row],[Standard as per ISO]]&gt;=Table1[[#This Row],[Avg of best 6]],Table1[[#This Row],[Standard as per ISO]],Table1[[#This Row],[Avg of best 6]])</f>
        <v>4.5</v>
      </c>
      <c r="M1202" s="4" cm="1">
        <f t="array" ref="M1202">IFERROR(LOOKUP(2,1/(Table1[[#This Row],[2019-May]:[2025-July]]&lt;&gt;0),Table1[[#This Row],[2019-May]:[2025-July]]),0)</f>
        <v>1.6</v>
      </c>
      <c r="N1202" s="4">
        <f>COUNTIF(Table1[[#This Row],[2019-Apr]:[2025-July]],"&gt;="&amp;Table1[[#This Row],[Target]])</f>
        <v>0</v>
      </c>
      <c r="O1202" s="4">
        <f>IF(Table1[[#This Row],[Outliers 2Y]]=0,1,0)</f>
        <v>1</v>
      </c>
      <c r="P1202" s="4">
        <f>IF(Table1[[#This Row],[Last value]]&gt;1.5*Table1[[#This Row],[Target]],1,0)</f>
        <v>0</v>
      </c>
      <c r="Q1202" s="4">
        <f>IF(AND(1.5*Table1[[#This Row],[Target]]&gt;=Table1[[#This Row],[Last value]],Table1[[#This Row],[Last value]]&gt;Table1[[#This Row],[Target]]),1,0)</f>
        <v>0</v>
      </c>
      <c r="R1202" s="4">
        <f>IF(Table1[[#This Row],[Target]]&gt;=Table1[[#This Row],[Last value]],1,0)</f>
        <v>1</v>
      </c>
      <c r="S1202" s="4" t="str">
        <f t="shared" si="30"/>
        <v>Green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25">
        <v>1.2</v>
      </c>
      <c r="CM1202" s="4">
        <v>0</v>
      </c>
      <c r="CN1202" s="53">
        <v>0</v>
      </c>
      <c r="CO1202" s="54">
        <v>2.8</v>
      </c>
      <c r="CP1202" s="54">
        <v>1.6</v>
      </c>
      <c r="CQ1202" s="4">
        <v>1.6</v>
      </c>
    </row>
    <row r="1203" spans="1:95" s="55" customFormat="1" x14ac:dyDescent="0.35">
      <c r="A1203" s="55">
        <v>1202</v>
      </c>
      <c r="B1203" s="44" t="s">
        <v>1478</v>
      </c>
      <c r="C1203" s="27" t="s">
        <v>1409</v>
      </c>
      <c r="D1203" s="50" t="s">
        <v>93</v>
      </c>
      <c r="E1203" s="50" t="s">
        <v>89</v>
      </c>
      <c r="F1203" s="4">
        <f>IFERROR(AVERAGEIF(Table1[[#This Row],[2019-Apr]:[2025-July]],"&lt;&gt;0"),0)</f>
        <v>1.4333333333333336</v>
      </c>
      <c r="G1203" s="4">
        <f ca="1">IFERROR(AVERAGEIF(OFFSET(Table1[[#This Row],[Status]],0,COUNT(Table1[[#This Row],[2019-May]:[2025-July]]),1,-12),"&lt;&gt;0"),0)</f>
        <v>1.4333333333333336</v>
      </c>
      <c r="H1203" s="55">
        <f>IFERROR(SMALL(Table1[[#This Row],[2019-Apr]:[2025-July]],COUNTIF(Table1[[#This Row],[2019-Apr]:[2025-July]],0)+1),0)</f>
        <v>1.2</v>
      </c>
      <c r="I1203" s="56">
        <f>IFERROR(MAX(Table1[[#This Row],[2019-Apr]:[2025-July]]),0)</f>
        <v>1.6</v>
      </c>
      <c r="J1203" s="4" cm="1">
        <f t="array" ref="J120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1.4333333333333336</v>
      </c>
      <c r="K1203" s="4">
        <v>4.5</v>
      </c>
      <c r="L1203" s="4">
        <f>IF(Table1[[#This Row],[Standard as per ISO]]&gt;=Table1[[#This Row],[Avg of best 6]],Table1[[#This Row],[Standard as per ISO]],Table1[[#This Row],[Avg of best 6]])</f>
        <v>4.5</v>
      </c>
      <c r="M1203" s="4" cm="1">
        <f t="array" ref="M1203">IFERROR(LOOKUP(2,1/(Table1[[#This Row],[2019-May]:[2025-July]]&lt;&gt;0),Table1[[#This Row],[2019-May]:[2025-July]]),0)</f>
        <v>1.6</v>
      </c>
      <c r="N1203" s="4">
        <f>COUNTIF(Table1[[#This Row],[2019-Apr]:[2025-July]],"&gt;="&amp;Table1[[#This Row],[Target]])</f>
        <v>0</v>
      </c>
      <c r="O1203" s="4">
        <f>IF(Table1[[#This Row],[Outliers 2Y]]=0,1,0)</f>
        <v>1</v>
      </c>
      <c r="P1203" s="4">
        <f>IF(Table1[[#This Row],[Last value]]&gt;1.5*Table1[[#This Row],[Target]],1,0)</f>
        <v>0</v>
      </c>
      <c r="Q1203" s="4">
        <f>IF(AND(1.5*Table1[[#This Row],[Target]]&gt;=Table1[[#This Row],[Last value]],Table1[[#This Row],[Last value]]&gt;Table1[[#This Row],[Target]]),1,0)</f>
        <v>0</v>
      </c>
      <c r="R1203" s="4">
        <f>IF(Table1[[#This Row],[Target]]&gt;=Table1[[#This Row],[Last value]],1,0)</f>
        <v>1</v>
      </c>
      <c r="S1203" s="4" t="str">
        <f t="shared" si="30"/>
        <v>Green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34">
        <v>0</v>
      </c>
      <c r="CM1203" s="4">
        <v>1.5</v>
      </c>
      <c r="CN1203" s="53">
        <v>0</v>
      </c>
      <c r="CO1203" s="54">
        <v>1.2</v>
      </c>
      <c r="CP1203" s="54">
        <v>1.6</v>
      </c>
      <c r="CQ1203" s="4">
        <v>0</v>
      </c>
    </row>
    <row r="1204" spans="1:95" s="55" customFormat="1" x14ac:dyDescent="0.35">
      <c r="A1204" s="55">
        <v>1203</v>
      </c>
      <c r="B1204" s="44" t="s">
        <v>1478</v>
      </c>
      <c r="C1204" s="27" t="s">
        <v>1410</v>
      </c>
      <c r="D1204" s="50" t="s">
        <v>93</v>
      </c>
      <c r="E1204" s="50" t="s">
        <v>89</v>
      </c>
      <c r="F1204" s="4">
        <f>IFERROR(AVERAGEIF(Table1[[#This Row],[2019-Apr]:[2025-July]],"&lt;&gt;0"),0)</f>
        <v>2.35</v>
      </c>
      <c r="G1204" s="4">
        <f ca="1">IFERROR(AVERAGEIF(OFFSET(Table1[[#This Row],[Status]],0,COUNT(Table1[[#This Row],[2019-May]:[2025-July]]),1,-12),"&lt;&gt;0"),0)</f>
        <v>1.6</v>
      </c>
      <c r="H1204" s="55">
        <f>IFERROR(SMALL(Table1[[#This Row],[2019-Apr]:[2025-July]],COUNTIF(Table1[[#This Row],[2019-Apr]:[2025-July]],0)+1),0)</f>
        <v>1.6</v>
      </c>
      <c r="I1204" s="56">
        <f>IFERROR(MAX(Table1[[#This Row],[2019-Apr]:[2025-July]]),0)</f>
        <v>3.1</v>
      </c>
      <c r="J1204" s="4" cm="1">
        <f t="array" ref="J120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2.35</v>
      </c>
      <c r="K1204" s="4">
        <v>4.5</v>
      </c>
      <c r="L1204" s="4">
        <f>IF(Table1[[#This Row],[Standard as per ISO]]&gt;=Table1[[#This Row],[Avg of best 6]],Table1[[#This Row],[Standard as per ISO]],Table1[[#This Row],[Avg of best 6]])</f>
        <v>4.5</v>
      </c>
      <c r="M1204" s="4" cm="1">
        <f t="array" ref="M1204">IFERROR(LOOKUP(2,1/(Table1[[#This Row],[2019-May]:[2025-July]]&lt;&gt;0),Table1[[#This Row],[2019-May]:[2025-July]]),0)</f>
        <v>3.1</v>
      </c>
      <c r="N1204" s="4">
        <f>COUNTIF(Table1[[#This Row],[2019-Apr]:[2025-July]],"&gt;="&amp;Table1[[#This Row],[Target]])</f>
        <v>0</v>
      </c>
      <c r="O1204" s="4">
        <f>IF(Table1[[#This Row],[Outliers 2Y]]=0,1,0)</f>
        <v>1</v>
      </c>
      <c r="P1204" s="4">
        <f>IF(Table1[[#This Row],[Last value]]&gt;1.5*Table1[[#This Row],[Target]],1,0)</f>
        <v>0</v>
      </c>
      <c r="Q1204" s="4">
        <f>IF(AND(1.5*Table1[[#This Row],[Target]]&gt;=Table1[[#This Row],[Last value]],Table1[[#This Row],[Last value]]&gt;Table1[[#This Row],[Target]]),1,0)</f>
        <v>0</v>
      </c>
      <c r="R1204" s="4">
        <f>IF(Table1[[#This Row],[Target]]&gt;=Table1[[#This Row],[Last value]],1,0)</f>
        <v>1</v>
      </c>
      <c r="S1204" s="4" t="str">
        <f t="shared" si="30"/>
        <v>Green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34">
        <v>0</v>
      </c>
      <c r="CM1204" s="4">
        <v>1.6</v>
      </c>
      <c r="CN1204" s="53">
        <v>0</v>
      </c>
      <c r="CO1204" s="54">
        <v>0</v>
      </c>
      <c r="CP1204" s="54">
        <v>0</v>
      </c>
      <c r="CQ1204" s="4">
        <v>3.1</v>
      </c>
    </row>
    <row r="1205" spans="1:95" s="55" customFormat="1" x14ac:dyDescent="0.35">
      <c r="A1205" s="55">
        <v>1204</v>
      </c>
      <c r="B1205" s="44" t="s">
        <v>1478</v>
      </c>
      <c r="C1205" s="27" t="s">
        <v>1411</v>
      </c>
      <c r="D1205" s="50" t="s">
        <v>93</v>
      </c>
      <c r="E1205" s="50" t="s">
        <v>89</v>
      </c>
      <c r="F1205" s="4">
        <f>IFERROR(AVERAGEIF(Table1[[#This Row],[2019-Apr]:[2025-July]],"&lt;&gt;0"),0)</f>
        <v>0.9</v>
      </c>
      <c r="G1205" s="4">
        <f ca="1">IFERROR(AVERAGEIF(OFFSET(Table1[[#This Row],[Status]],0,COUNT(Table1[[#This Row],[2019-May]:[2025-July]]),1,-12),"&lt;&gt;0"),0)</f>
        <v>0.92500000000000004</v>
      </c>
      <c r="H1205" s="55">
        <f>IFERROR(SMALL(Table1[[#This Row],[2019-Apr]:[2025-July]],COUNTIF(Table1[[#This Row],[2019-Apr]:[2025-July]],0)+1),0)</f>
        <v>0.7</v>
      </c>
      <c r="I1205" s="56">
        <f>IFERROR(MAX(Table1[[#This Row],[2019-Apr]:[2025-July]]),0)</f>
        <v>1.3</v>
      </c>
      <c r="J1205" s="4" cm="1">
        <f t="array" ref="J120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</v>
      </c>
      <c r="K1205" s="4">
        <v>4.5</v>
      </c>
      <c r="L1205" s="4">
        <f>IF(Table1[[#This Row],[Standard as per ISO]]&gt;=Table1[[#This Row],[Avg of best 6]],Table1[[#This Row],[Standard as per ISO]],Table1[[#This Row],[Avg of best 6]])</f>
        <v>4.5</v>
      </c>
      <c r="M1205" s="4" cm="1">
        <f t="array" ref="M1205">IFERROR(LOOKUP(2,1/(Table1[[#This Row],[2019-May]:[2025-July]]&lt;&gt;0),Table1[[#This Row],[2019-May]:[2025-July]]),0)</f>
        <v>0.8</v>
      </c>
      <c r="N1205" s="4">
        <f>COUNTIF(Table1[[#This Row],[2019-Apr]:[2025-July]],"&gt;="&amp;Table1[[#This Row],[Target]])</f>
        <v>0</v>
      </c>
      <c r="O1205" s="4">
        <f>IF(Table1[[#This Row],[Outliers 2Y]]=0,1,0)</f>
        <v>1</v>
      </c>
      <c r="P1205" s="4">
        <f>IF(Table1[[#This Row],[Last value]]&gt;1.5*Table1[[#This Row],[Target]],1,0)</f>
        <v>0</v>
      </c>
      <c r="Q1205" s="4">
        <f>IF(AND(1.5*Table1[[#This Row],[Target]]&gt;=Table1[[#This Row],[Last value]],Table1[[#This Row],[Last value]]&gt;Table1[[#This Row],[Target]]),1,0)</f>
        <v>0</v>
      </c>
      <c r="R1205" s="4">
        <f>IF(Table1[[#This Row],[Target]]&gt;=Table1[[#This Row],[Last value]],1,0)</f>
        <v>1</v>
      </c>
      <c r="S1205" s="4" t="str">
        <f t="shared" si="30"/>
        <v>Green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25">
        <v>0.7</v>
      </c>
      <c r="CM1205" s="4">
        <v>0</v>
      </c>
      <c r="CN1205" s="53">
        <v>1.3</v>
      </c>
      <c r="CO1205" s="54">
        <v>0.9</v>
      </c>
      <c r="CP1205" s="54">
        <v>0.8</v>
      </c>
      <c r="CQ1205" s="4">
        <v>0.8</v>
      </c>
    </row>
    <row r="1206" spans="1:95" s="55" customFormat="1" x14ac:dyDescent="0.35">
      <c r="A1206" s="55">
        <v>1205</v>
      </c>
      <c r="B1206" s="44" t="s">
        <v>1478</v>
      </c>
      <c r="C1206" s="27" t="s">
        <v>1412</v>
      </c>
      <c r="D1206" s="50" t="s">
        <v>93</v>
      </c>
      <c r="E1206" s="50" t="s">
        <v>89</v>
      </c>
      <c r="F1206" s="4">
        <f>IFERROR(AVERAGEIF(Table1[[#This Row],[2019-Apr]:[2025-July]],"&lt;&gt;0"),0)</f>
        <v>0.9</v>
      </c>
      <c r="G1206" s="4">
        <f ca="1">IFERROR(AVERAGEIF(OFFSET(Table1[[#This Row],[Status]],0,COUNT(Table1[[#This Row],[2019-May]:[2025-July]]),1,-12),"&lt;&gt;0"),0)</f>
        <v>0.95</v>
      </c>
      <c r="H1206" s="55">
        <f>IFERROR(SMALL(Table1[[#This Row],[2019-Apr]:[2025-July]],COUNTIF(Table1[[#This Row],[2019-Apr]:[2025-July]],0)+1),0)</f>
        <v>0.6</v>
      </c>
      <c r="I1206" s="56">
        <f>IFERROR(MAX(Table1[[#This Row],[2019-Apr]:[2025-July]]),0)</f>
        <v>1.7</v>
      </c>
      <c r="J1206" s="4" cm="1">
        <f t="array" ref="J120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</v>
      </c>
      <c r="K1206" s="4">
        <v>4.5</v>
      </c>
      <c r="L1206" s="4">
        <f>IF(Table1[[#This Row],[Standard as per ISO]]&gt;=Table1[[#This Row],[Avg of best 6]],Table1[[#This Row],[Standard as per ISO]],Table1[[#This Row],[Avg of best 6]])</f>
        <v>4.5</v>
      </c>
      <c r="M1206" s="4" cm="1">
        <f t="array" ref="M1206">IFERROR(LOOKUP(2,1/(Table1[[#This Row],[2019-May]:[2025-July]]&lt;&gt;0),Table1[[#This Row],[2019-May]:[2025-July]]),0)</f>
        <v>0.7</v>
      </c>
      <c r="N1206" s="4">
        <f>COUNTIF(Table1[[#This Row],[2019-Apr]:[2025-July]],"&gt;="&amp;Table1[[#This Row],[Target]])</f>
        <v>0</v>
      </c>
      <c r="O1206" s="4">
        <f>IF(Table1[[#This Row],[Outliers 2Y]]=0,1,0)</f>
        <v>1</v>
      </c>
      <c r="P1206" s="4">
        <f>IF(Table1[[#This Row],[Last value]]&gt;1.5*Table1[[#This Row],[Target]],1,0)</f>
        <v>0</v>
      </c>
      <c r="Q1206" s="4">
        <f>IF(AND(1.5*Table1[[#This Row],[Target]]&gt;=Table1[[#This Row],[Last value]],Table1[[#This Row],[Last value]]&gt;Table1[[#This Row],[Target]]),1,0)</f>
        <v>0</v>
      </c>
      <c r="R1206" s="4">
        <f>IF(Table1[[#This Row],[Target]]&gt;=Table1[[#This Row],[Last value]],1,0)</f>
        <v>1</v>
      </c>
      <c r="S1206" s="4" t="str">
        <f t="shared" si="30"/>
        <v>Green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25">
        <v>0.7</v>
      </c>
      <c r="CM1206" s="4">
        <v>0</v>
      </c>
      <c r="CN1206" s="53">
        <v>0.6</v>
      </c>
      <c r="CO1206" s="54">
        <v>1.7</v>
      </c>
      <c r="CP1206" s="54">
        <v>0.8</v>
      </c>
      <c r="CQ1206" s="4">
        <v>0.7</v>
      </c>
    </row>
    <row r="1207" spans="1:95" s="55" customFormat="1" x14ac:dyDescent="0.35">
      <c r="A1207" s="55">
        <v>1206</v>
      </c>
      <c r="B1207" s="44" t="s">
        <v>1478</v>
      </c>
      <c r="C1207" s="27" t="s">
        <v>1413</v>
      </c>
      <c r="D1207" s="50" t="s">
        <v>93</v>
      </c>
      <c r="E1207" s="50" t="s">
        <v>89</v>
      </c>
      <c r="F1207" s="4">
        <f>IFERROR(AVERAGEIF(Table1[[#This Row],[2019-Apr]:[2025-July]],"&lt;&gt;0"),0)</f>
        <v>0.75</v>
      </c>
      <c r="G1207" s="4">
        <f ca="1">IFERROR(AVERAGEIF(OFFSET(Table1[[#This Row],[Status]],0,COUNT(Table1[[#This Row],[2019-May]:[2025-July]]),1,-12),"&lt;&gt;0"),0)</f>
        <v>0.76666666666666661</v>
      </c>
      <c r="H1207" s="55">
        <f>IFERROR(SMALL(Table1[[#This Row],[2019-Apr]:[2025-July]],COUNTIF(Table1[[#This Row],[2019-Apr]:[2025-July]],0)+1),0)</f>
        <v>0.5</v>
      </c>
      <c r="I1207" s="56">
        <f>IFERROR(MAX(Table1[[#This Row],[2019-Apr]:[2025-July]]),0)</f>
        <v>0.9</v>
      </c>
      <c r="J1207" s="4" cm="1">
        <f t="array" ref="J120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0.75</v>
      </c>
      <c r="K1207" s="4">
        <v>4.5</v>
      </c>
      <c r="L1207" s="4">
        <f>IF(Table1[[#This Row],[Standard as per ISO]]&gt;=Table1[[#This Row],[Avg of best 6]],Table1[[#This Row],[Standard as per ISO]],Table1[[#This Row],[Avg of best 6]])</f>
        <v>4.5</v>
      </c>
      <c r="M1207" s="4" cm="1">
        <f t="array" ref="M1207">IFERROR(LOOKUP(2,1/(Table1[[#This Row],[2019-May]:[2025-July]]&lt;&gt;0),Table1[[#This Row],[2019-May]:[2025-July]]),0)</f>
        <v>0.7</v>
      </c>
      <c r="N1207" s="4">
        <f>COUNTIF(Table1[[#This Row],[2019-Apr]:[2025-July]],"&gt;="&amp;Table1[[#This Row],[Target]])</f>
        <v>0</v>
      </c>
      <c r="O1207" s="4">
        <f>IF(Table1[[#This Row],[Outliers 2Y]]=0,1,0)</f>
        <v>1</v>
      </c>
      <c r="P1207" s="4">
        <f>IF(Table1[[#This Row],[Last value]]&gt;1.5*Table1[[#This Row],[Target]],1,0)</f>
        <v>0</v>
      </c>
      <c r="Q1207" s="4">
        <f>IF(AND(1.5*Table1[[#This Row],[Target]]&gt;=Table1[[#This Row],[Last value]],Table1[[#This Row],[Last value]]&gt;Table1[[#This Row],[Target]]),1,0)</f>
        <v>0</v>
      </c>
      <c r="R1207" s="4">
        <f>IF(Table1[[#This Row],[Target]]&gt;=Table1[[#This Row],[Last value]],1,0)</f>
        <v>1</v>
      </c>
      <c r="S1207" s="4" t="str">
        <f t="shared" si="30"/>
        <v>Green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25">
        <v>0.5</v>
      </c>
      <c r="CM1207" s="4">
        <v>0</v>
      </c>
      <c r="CN1207" s="53">
        <v>0</v>
      </c>
      <c r="CO1207" s="54">
        <v>0.9</v>
      </c>
      <c r="CP1207" s="54">
        <v>0.9</v>
      </c>
      <c r="CQ1207" s="4">
        <v>0.7</v>
      </c>
    </row>
    <row r="1208" spans="1:95" s="55" customFormat="1" x14ac:dyDescent="0.35">
      <c r="A1208" s="55">
        <v>1207</v>
      </c>
      <c r="B1208" s="44" t="s">
        <v>1478</v>
      </c>
      <c r="C1208" s="27" t="s">
        <v>1414</v>
      </c>
      <c r="D1208" s="50" t="s">
        <v>93</v>
      </c>
      <c r="E1208" s="50" t="s">
        <v>89</v>
      </c>
      <c r="F1208" s="4">
        <f>IFERROR(AVERAGEIF(Table1[[#This Row],[2019-Apr]:[2025-July]],"&lt;&gt;0"),0)</f>
        <v>1.25</v>
      </c>
      <c r="G1208" s="4">
        <f ca="1">IFERROR(AVERAGEIF(OFFSET(Table1[[#This Row],[Status]],0,COUNT(Table1[[#This Row],[2019-May]:[2025-July]]),1,-12),"&lt;&gt;0"),0)</f>
        <v>1.2</v>
      </c>
      <c r="H1208" s="55">
        <f>IFERROR(SMALL(Table1[[#This Row],[2019-Apr]:[2025-July]],COUNTIF(Table1[[#This Row],[2019-Apr]:[2025-July]],0)+1),0)</f>
        <v>0.7</v>
      </c>
      <c r="I1208" s="56">
        <f>IFERROR(MAX(Table1[[#This Row],[2019-Apr]:[2025-July]]),0)</f>
        <v>1.7</v>
      </c>
      <c r="J1208" s="4" cm="1">
        <f t="array" ref="J120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1.25</v>
      </c>
      <c r="K1208" s="4">
        <v>4.5</v>
      </c>
      <c r="L1208" s="4">
        <f>IF(Table1[[#This Row],[Standard as per ISO]]&gt;=Table1[[#This Row],[Avg of best 6]],Table1[[#This Row],[Standard as per ISO]],Table1[[#This Row],[Avg of best 6]])</f>
        <v>4.5</v>
      </c>
      <c r="M1208" s="4" cm="1">
        <f t="array" ref="M1208">IFERROR(LOOKUP(2,1/(Table1[[#This Row],[2019-May]:[2025-July]]&lt;&gt;0),Table1[[#This Row],[2019-May]:[2025-July]]),0)</f>
        <v>1.4</v>
      </c>
      <c r="N1208" s="4">
        <f>COUNTIF(Table1[[#This Row],[2019-Apr]:[2025-July]],"&gt;="&amp;Table1[[#This Row],[Target]])</f>
        <v>0</v>
      </c>
      <c r="O1208" s="4">
        <f>IF(Table1[[#This Row],[Outliers 2Y]]=0,1,0)</f>
        <v>1</v>
      </c>
      <c r="P1208" s="4">
        <f>IF(Table1[[#This Row],[Last value]]&gt;1.5*Table1[[#This Row],[Target]],1,0)</f>
        <v>0</v>
      </c>
      <c r="Q1208" s="4">
        <f>IF(AND(1.5*Table1[[#This Row],[Target]]&gt;=Table1[[#This Row],[Last value]],Table1[[#This Row],[Last value]]&gt;Table1[[#This Row],[Target]]),1,0)</f>
        <v>0</v>
      </c>
      <c r="R1208" s="4">
        <f>IF(Table1[[#This Row],[Target]]&gt;=Table1[[#This Row],[Last value]],1,0)</f>
        <v>1</v>
      </c>
      <c r="S1208" s="4" t="str">
        <f t="shared" si="30"/>
        <v>Green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25">
        <v>0.7</v>
      </c>
      <c r="CM1208" s="4">
        <v>0</v>
      </c>
      <c r="CN1208" s="53">
        <v>0</v>
      </c>
      <c r="CO1208" s="54">
        <v>1.7</v>
      </c>
      <c r="CP1208" s="54">
        <v>1.2</v>
      </c>
      <c r="CQ1208" s="4">
        <v>1.4</v>
      </c>
    </row>
    <row r="1209" spans="1:95" s="55" customFormat="1" x14ac:dyDescent="0.35">
      <c r="A1209" s="55">
        <v>1208</v>
      </c>
      <c r="B1209" s="44" t="s">
        <v>1478</v>
      </c>
      <c r="C1209" s="27" t="s">
        <v>1415</v>
      </c>
      <c r="D1209" s="50" t="s">
        <v>93</v>
      </c>
      <c r="E1209" s="50" t="s">
        <v>89</v>
      </c>
      <c r="F1209" s="4">
        <f>IFERROR(AVERAGEIF(Table1[[#This Row],[2019-Apr]:[2025-July]],"&lt;&gt;0"),0)</f>
        <v>1.6</v>
      </c>
      <c r="G1209" s="4">
        <f ca="1">IFERROR(AVERAGEIF(OFFSET(Table1[[#This Row],[Status]],0,COUNT(Table1[[#This Row],[2019-May]:[2025-July]]),1,-12),"&lt;&gt;0"),0)</f>
        <v>0.96666666666666679</v>
      </c>
      <c r="H1209" s="55">
        <f>IFERROR(SMALL(Table1[[#This Row],[2019-Apr]:[2025-July]],COUNTIF(Table1[[#This Row],[2019-Apr]:[2025-July]],0)+1),0)</f>
        <v>0.8</v>
      </c>
      <c r="I1209" s="56">
        <f>IFERROR(MAX(Table1[[#This Row],[2019-Apr]:[2025-July]]),0)</f>
        <v>3.5</v>
      </c>
      <c r="J1209" s="4" cm="1">
        <f t="array" ref="J120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</v>
      </c>
      <c r="K1209" s="4">
        <v>4.5</v>
      </c>
      <c r="L1209" s="4">
        <f>IF(Table1[[#This Row],[Standard as per ISO]]&gt;=Table1[[#This Row],[Avg of best 6]],Table1[[#This Row],[Standard as per ISO]],Table1[[#This Row],[Avg of best 6]])</f>
        <v>4.5</v>
      </c>
      <c r="M1209" s="4" cm="1">
        <f t="array" ref="M1209">IFERROR(LOOKUP(2,1/(Table1[[#This Row],[2019-May]:[2025-July]]&lt;&gt;0),Table1[[#This Row],[2019-May]:[2025-July]]),0)</f>
        <v>3.5</v>
      </c>
      <c r="N1209" s="4">
        <f>COUNTIF(Table1[[#This Row],[2019-Apr]:[2025-July]],"&gt;="&amp;Table1[[#This Row],[Target]])</f>
        <v>0</v>
      </c>
      <c r="O1209" s="4">
        <f>IF(Table1[[#This Row],[Outliers 2Y]]=0,1,0)</f>
        <v>1</v>
      </c>
      <c r="P1209" s="4">
        <f>IF(Table1[[#This Row],[Last value]]&gt;1.5*Table1[[#This Row],[Target]],1,0)</f>
        <v>0</v>
      </c>
      <c r="Q1209" s="4">
        <f>IF(AND(1.5*Table1[[#This Row],[Target]]&gt;=Table1[[#This Row],[Last value]],Table1[[#This Row],[Last value]]&gt;Table1[[#This Row],[Target]]),1,0)</f>
        <v>0</v>
      </c>
      <c r="R1209" s="4">
        <f>IF(Table1[[#This Row],[Target]]&gt;=Table1[[#This Row],[Last value]],1,0)</f>
        <v>1</v>
      </c>
      <c r="S1209" s="4" t="str">
        <f t="shared" si="30"/>
        <v>Green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25">
        <v>0.9</v>
      </c>
      <c r="CM1209" s="4">
        <v>0</v>
      </c>
      <c r="CN1209" s="53">
        <v>0</v>
      </c>
      <c r="CO1209" s="54">
        <v>1.2</v>
      </c>
      <c r="CP1209" s="54">
        <v>0.8</v>
      </c>
      <c r="CQ1209" s="4">
        <v>3.5</v>
      </c>
    </row>
    <row r="1210" spans="1:95" s="55" customFormat="1" x14ac:dyDescent="0.35">
      <c r="A1210" s="55">
        <v>1209</v>
      </c>
      <c r="B1210" s="44" t="s">
        <v>1478</v>
      </c>
      <c r="C1210" s="27" t="s">
        <v>1416</v>
      </c>
      <c r="D1210" s="50" t="s">
        <v>93</v>
      </c>
      <c r="E1210" s="50" t="s">
        <v>89</v>
      </c>
      <c r="F1210" s="4">
        <f>IFERROR(AVERAGEIF(Table1[[#This Row],[2019-Apr]:[2025-July]],"&lt;&gt;0"),0)</f>
        <v>1.4666666666666668</v>
      </c>
      <c r="G1210" s="4">
        <f ca="1">IFERROR(AVERAGEIF(OFFSET(Table1[[#This Row],[Status]],0,COUNT(Table1[[#This Row],[2019-May]:[2025-July]]),1,-12),"&lt;&gt;0"),0)</f>
        <v>0.45</v>
      </c>
      <c r="H1210" s="55">
        <f>IFERROR(SMALL(Table1[[#This Row],[2019-Apr]:[2025-July]],COUNTIF(Table1[[#This Row],[2019-Apr]:[2025-July]],0)+1),0)</f>
        <v>0.4</v>
      </c>
      <c r="I1210" s="56">
        <f>IFERROR(MAX(Table1[[#This Row],[2019-Apr]:[2025-July]]),0)</f>
        <v>3.5</v>
      </c>
      <c r="J1210" s="4" cm="1">
        <f t="array" ref="J121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1.4666666666666668</v>
      </c>
      <c r="K1210" s="4">
        <v>4.5</v>
      </c>
      <c r="L1210" s="4">
        <f>IF(Table1[[#This Row],[Standard as per ISO]]&gt;=Table1[[#This Row],[Avg of best 6]],Table1[[#This Row],[Standard as per ISO]],Table1[[#This Row],[Avg of best 6]])</f>
        <v>4.5</v>
      </c>
      <c r="M1210" s="4" cm="1">
        <f t="array" ref="M1210">IFERROR(LOOKUP(2,1/(Table1[[#This Row],[2019-May]:[2025-July]]&lt;&gt;0),Table1[[#This Row],[2019-May]:[2025-July]]),0)</f>
        <v>3.5</v>
      </c>
      <c r="N1210" s="4">
        <f>COUNTIF(Table1[[#This Row],[2019-Apr]:[2025-July]],"&gt;="&amp;Table1[[#This Row],[Target]])</f>
        <v>0</v>
      </c>
      <c r="O1210" s="4">
        <f>IF(Table1[[#This Row],[Outliers 2Y]]=0,1,0)</f>
        <v>1</v>
      </c>
      <c r="P1210" s="4">
        <f>IF(Table1[[#This Row],[Last value]]&gt;1.5*Table1[[#This Row],[Target]],1,0)</f>
        <v>0</v>
      </c>
      <c r="Q1210" s="4">
        <f>IF(AND(1.5*Table1[[#This Row],[Target]]&gt;=Table1[[#This Row],[Last value]],Table1[[#This Row],[Last value]]&gt;Table1[[#This Row],[Target]]),1,0)</f>
        <v>0</v>
      </c>
      <c r="R1210" s="4">
        <f>IF(Table1[[#This Row],[Target]]&gt;=Table1[[#This Row],[Last value]],1,0)</f>
        <v>1</v>
      </c>
      <c r="S1210" s="4" t="str">
        <f t="shared" si="30"/>
        <v>Green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25">
        <v>0.4</v>
      </c>
      <c r="CM1210" s="4">
        <v>0</v>
      </c>
      <c r="CN1210" s="53">
        <v>0</v>
      </c>
      <c r="CO1210" s="54">
        <v>0</v>
      </c>
      <c r="CP1210" s="54">
        <v>0.5</v>
      </c>
      <c r="CQ1210" s="4">
        <v>3.5</v>
      </c>
    </row>
    <row r="1211" spans="1:95" s="55" customFormat="1" x14ac:dyDescent="0.35">
      <c r="A1211" s="55">
        <v>1210</v>
      </c>
      <c r="B1211" s="44" t="s">
        <v>1478</v>
      </c>
      <c r="C1211" s="27" t="s">
        <v>1417</v>
      </c>
      <c r="D1211" s="50" t="s">
        <v>93</v>
      </c>
      <c r="E1211" s="50" t="s">
        <v>89</v>
      </c>
      <c r="F1211" s="4">
        <f>IFERROR(AVERAGEIF(Table1[[#This Row],[2019-Apr]:[2025-July]],"&lt;&gt;0"),0)</f>
        <v>0.8666666666666667</v>
      </c>
      <c r="G1211" s="4">
        <f ca="1">IFERROR(AVERAGEIF(OFFSET(Table1[[#This Row],[Status]],0,COUNT(Table1[[#This Row],[2019-May]:[2025-July]]),1,-12),"&lt;&gt;0"),0)</f>
        <v>0.8</v>
      </c>
      <c r="H1211" s="55">
        <f>IFERROR(SMALL(Table1[[#This Row],[2019-Apr]:[2025-July]],COUNTIF(Table1[[#This Row],[2019-Apr]:[2025-July]],0)+1),0)</f>
        <v>0.6</v>
      </c>
      <c r="I1211" s="56">
        <f>IFERROR(MAX(Table1[[#This Row],[2019-Apr]:[2025-July]]),0)</f>
        <v>1</v>
      </c>
      <c r="J1211" s="4" cm="1">
        <f t="array" ref="J121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0.8666666666666667</v>
      </c>
      <c r="K1211" s="4">
        <v>4.5</v>
      </c>
      <c r="L1211" s="4">
        <f>IF(Table1[[#This Row],[Standard as per ISO]]&gt;=Table1[[#This Row],[Avg of best 6]],Table1[[#This Row],[Standard as per ISO]],Table1[[#This Row],[Avg of best 6]])</f>
        <v>4.5</v>
      </c>
      <c r="M1211" s="4" cm="1">
        <f t="array" ref="M1211">IFERROR(LOOKUP(2,1/(Table1[[#This Row],[2019-May]:[2025-July]]&lt;&gt;0),Table1[[#This Row],[2019-May]:[2025-July]]),0)</f>
        <v>1</v>
      </c>
      <c r="N1211" s="4">
        <f>COUNTIF(Table1[[#This Row],[2019-Apr]:[2025-July]],"&gt;="&amp;Table1[[#This Row],[Target]])</f>
        <v>0</v>
      </c>
      <c r="O1211" s="4">
        <f>IF(Table1[[#This Row],[Outliers 2Y]]=0,1,0)</f>
        <v>1</v>
      </c>
      <c r="P1211" s="4">
        <f>IF(Table1[[#This Row],[Last value]]&gt;1.5*Table1[[#This Row],[Target]],1,0)</f>
        <v>0</v>
      </c>
      <c r="Q1211" s="4">
        <f>IF(AND(1.5*Table1[[#This Row],[Target]]&gt;=Table1[[#This Row],[Last value]],Table1[[#This Row],[Last value]]&gt;Table1[[#This Row],[Target]]),1,0)</f>
        <v>0</v>
      </c>
      <c r="R1211" s="4">
        <f>IF(Table1[[#This Row],[Target]]&gt;=Table1[[#This Row],[Last value]],1,0)</f>
        <v>1</v>
      </c>
      <c r="S1211" s="4" t="str">
        <f t="shared" si="30"/>
        <v>Green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25">
        <v>0.6</v>
      </c>
      <c r="CM1211" s="4">
        <v>0</v>
      </c>
      <c r="CN1211" s="53">
        <v>0</v>
      </c>
      <c r="CO1211" s="54">
        <v>0</v>
      </c>
      <c r="CP1211" s="54">
        <v>1</v>
      </c>
      <c r="CQ1211" s="4">
        <v>1</v>
      </c>
    </row>
    <row r="1212" spans="1:95" s="55" customFormat="1" x14ac:dyDescent="0.35">
      <c r="A1212" s="55">
        <v>1211</v>
      </c>
      <c r="B1212" s="44" t="s">
        <v>1478</v>
      </c>
      <c r="C1212" s="27" t="s">
        <v>1418</v>
      </c>
      <c r="D1212" s="50" t="s">
        <v>93</v>
      </c>
      <c r="E1212" s="50" t="s">
        <v>89</v>
      </c>
      <c r="F1212" s="4">
        <f>IFERROR(AVERAGEIF(Table1[[#This Row],[2019-Apr]:[2025-July]],"&lt;&gt;0"),0)</f>
        <v>1.9</v>
      </c>
      <c r="G1212" s="4">
        <f ca="1">IFERROR(AVERAGEIF(OFFSET(Table1[[#This Row],[Status]],0,COUNT(Table1[[#This Row],[2019-May]:[2025-July]]),1,-12),"&lt;&gt;0"),0)</f>
        <v>0</v>
      </c>
      <c r="H1212" s="55">
        <f>IFERROR(SMALL(Table1[[#This Row],[2019-Apr]:[2025-July]],COUNTIF(Table1[[#This Row],[2019-Apr]:[2025-July]],0)+1),0)</f>
        <v>1.9</v>
      </c>
      <c r="I1212" s="56">
        <f>IFERROR(MAX(Table1[[#This Row],[2019-Apr]:[2025-July]]),0)</f>
        <v>1.9</v>
      </c>
      <c r="J1212" s="4" cm="1">
        <f t="array" ref="J121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</v>
      </c>
      <c r="K1212" s="4">
        <v>4.5</v>
      </c>
      <c r="L1212" s="4">
        <f>IF(Table1[[#This Row],[Standard as per ISO]]&gt;=Table1[[#This Row],[Avg of best 6]],Table1[[#This Row],[Standard as per ISO]],Table1[[#This Row],[Avg of best 6]])</f>
        <v>4.5</v>
      </c>
      <c r="M1212" s="4" cm="1">
        <f t="array" ref="M1212">IFERROR(LOOKUP(2,1/(Table1[[#This Row],[2019-May]:[2025-July]]&lt;&gt;0),Table1[[#This Row],[2019-May]:[2025-July]]),0)</f>
        <v>1.9</v>
      </c>
      <c r="N1212" s="4">
        <f>COUNTIF(Table1[[#This Row],[2019-Apr]:[2025-July]],"&gt;="&amp;Table1[[#This Row],[Target]])</f>
        <v>0</v>
      </c>
      <c r="O1212" s="4">
        <f>IF(Table1[[#This Row],[Outliers 2Y]]=0,1,0)</f>
        <v>1</v>
      </c>
      <c r="P1212" s="4">
        <f>IF(Table1[[#This Row],[Last value]]&gt;1.5*Table1[[#This Row],[Target]],1,0)</f>
        <v>0</v>
      </c>
      <c r="Q1212" s="4">
        <f>IF(AND(1.5*Table1[[#This Row],[Target]]&gt;=Table1[[#This Row],[Last value]],Table1[[#This Row],[Last value]]&gt;Table1[[#This Row],[Target]]),1,0)</f>
        <v>0</v>
      </c>
      <c r="R1212" s="4">
        <f>IF(Table1[[#This Row],[Target]]&gt;=Table1[[#This Row],[Last value]],1,0)</f>
        <v>1</v>
      </c>
      <c r="S1212" s="4" t="str">
        <f t="shared" si="30"/>
        <v>Green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34">
        <v>0</v>
      </c>
      <c r="CM1212" s="4">
        <v>0</v>
      </c>
      <c r="CN1212" s="53">
        <v>0</v>
      </c>
      <c r="CO1212" s="54">
        <v>0</v>
      </c>
      <c r="CP1212" s="54">
        <v>0</v>
      </c>
      <c r="CQ1212" s="4">
        <v>1.9</v>
      </c>
    </row>
    <row r="1213" spans="1:95" s="55" customFormat="1" x14ac:dyDescent="0.35">
      <c r="A1213" s="55">
        <v>1212</v>
      </c>
      <c r="B1213" s="44" t="s">
        <v>1478</v>
      </c>
      <c r="C1213" s="27" t="s">
        <v>1419</v>
      </c>
      <c r="D1213" s="50" t="s">
        <v>93</v>
      </c>
      <c r="E1213" s="50" t="s">
        <v>89</v>
      </c>
      <c r="F1213" s="4">
        <f>IFERROR(AVERAGEIF(Table1[[#This Row],[2019-Apr]:[2025-July]],"&lt;&gt;0"),0)</f>
        <v>1.425</v>
      </c>
      <c r="G1213" s="4">
        <f ca="1">IFERROR(AVERAGEIF(OFFSET(Table1[[#This Row],[Status]],0,COUNT(Table1[[#This Row],[2019-May]:[2025-July]]),1,-12),"&lt;&gt;0"),0)</f>
        <v>1.5</v>
      </c>
      <c r="H1213" s="55">
        <f>IFERROR(SMALL(Table1[[#This Row],[2019-Apr]:[2025-July]],COUNTIF(Table1[[#This Row],[2019-Apr]:[2025-July]],0)+1),0)</f>
        <v>0.4</v>
      </c>
      <c r="I1213" s="56">
        <f>IFERROR(MAX(Table1[[#This Row],[2019-Apr]:[2025-July]]),0)</f>
        <v>2.4</v>
      </c>
      <c r="J1213" s="4" cm="1">
        <f t="array" ref="J121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1.425</v>
      </c>
      <c r="K1213" s="4">
        <v>4.5</v>
      </c>
      <c r="L1213" s="4">
        <f>IF(Table1[[#This Row],[Standard as per ISO]]&gt;=Table1[[#This Row],[Avg of best 6]],Table1[[#This Row],[Standard as per ISO]],Table1[[#This Row],[Avg of best 6]])</f>
        <v>4.5</v>
      </c>
      <c r="M1213" s="4" cm="1">
        <f t="array" ref="M1213">IFERROR(LOOKUP(2,1/(Table1[[#This Row],[2019-May]:[2025-July]]&lt;&gt;0),Table1[[#This Row],[2019-May]:[2025-July]]),0)</f>
        <v>1.2</v>
      </c>
      <c r="N1213" s="4">
        <f>COUNTIF(Table1[[#This Row],[2019-Apr]:[2025-July]],"&gt;="&amp;Table1[[#This Row],[Target]])</f>
        <v>0</v>
      </c>
      <c r="O1213" s="4">
        <f>IF(Table1[[#This Row],[Outliers 2Y]]=0,1,0)</f>
        <v>1</v>
      </c>
      <c r="P1213" s="4">
        <f>IF(Table1[[#This Row],[Last value]]&gt;1.5*Table1[[#This Row],[Target]],1,0)</f>
        <v>0</v>
      </c>
      <c r="Q1213" s="4">
        <f>IF(AND(1.5*Table1[[#This Row],[Target]]&gt;=Table1[[#This Row],[Last value]],Table1[[#This Row],[Last value]]&gt;Table1[[#This Row],[Target]]),1,0)</f>
        <v>0</v>
      </c>
      <c r="R1213" s="4">
        <f>IF(Table1[[#This Row],[Target]]&gt;=Table1[[#This Row],[Last value]],1,0)</f>
        <v>1</v>
      </c>
      <c r="S1213" s="4" t="str">
        <f t="shared" si="30"/>
        <v>Green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25">
        <v>0.4</v>
      </c>
      <c r="CM1213" s="4">
        <v>0</v>
      </c>
      <c r="CN1213" s="53">
        <v>0</v>
      </c>
      <c r="CO1213" s="54">
        <v>1.7</v>
      </c>
      <c r="CP1213" s="54">
        <v>2.4</v>
      </c>
      <c r="CQ1213" s="4">
        <v>1.2</v>
      </c>
    </row>
    <row r="1214" spans="1:95" s="55" customFormat="1" x14ac:dyDescent="0.35">
      <c r="A1214" s="55">
        <v>1213</v>
      </c>
      <c r="B1214" s="44" t="s">
        <v>1478</v>
      </c>
      <c r="C1214" s="27" t="s">
        <v>1420</v>
      </c>
      <c r="D1214" s="50" t="s">
        <v>93</v>
      </c>
      <c r="E1214" s="50" t="s">
        <v>89</v>
      </c>
      <c r="F1214" s="4">
        <f>IFERROR(AVERAGEIF(Table1[[#This Row],[2019-Apr]:[2025-July]],"&lt;&gt;0"),0)</f>
        <v>0.92500000000000004</v>
      </c>
      <c r="G1214" s="4">
        <f ca="1">IFERROR(AVERAGEIF(OFFSET(Table1[[#This Row],[Status]],0,COUNT(Table1[[#This Row],[2019-May]:[2025-July]]),1,-12),"&lt;&gt;0"),0)</f>
        <v>0.8666666666666667</v>
      </c>
      <c r="H1214" s="55">
        <f>IFERROR(SMALL(Table1[[#This Row],[2019-Apr]:[2025-July]],COUNTIF(Table1[[#This Row],[2019-Apr]:[2025-July]],0)+1),0)</f>
        <v>0.5</v>
      </c>
      <c r="I1214" s="56">
        <f>IFERROR(MAX(Table1[[#This Row],[2019-Apr]:[2025-July]]),0)</f>
        <v>1.2</v>
      </c>
      <c r="J1214" s="4" cm="1">
        <f t="array" ref="J121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0.92500000000000004</v>
      </c>
      <c r="K1214" s="4">
        <v>4.5</v>
      </c>
      <c r="L1214" s="4">
        <f>IF(Table1[[#This Row],[Standard as per ISO]]&gt;=Table1[[#This Row],[Avg of best 6]],Table1[[#This Row],[Standard as per ISO]],Table1[[#This Row],[Avg of best 6]])</f>
        <v>4.5</v>
      </c>
      <c r="M1214" s="4" cm="1">
        <f t="array" ref="M1214">IFERROR(LOOKUP(2,1/(Table1[[#This Row],[2019-May]:[2025-July]]&lt;&gt;0),Table1[[#This Row],[2019-May]:[2025-July]]),0)</f>
        <v>1.1000000000000001</v>
      </c>
      <c r="N1214" s="4">
        <f>COUNTIF(Table1[[#This Row],[2019-Apr]:[2025-July]],"&gt;="&amp;Table1[[#This Row],[Target]])</f>
        <v>0</v>
      </c>
      <c r="O1214" s="4">
        <f>IF(Table1[[#This Row],[Outliers 2Y]]=0,1,0)</f>
        <v>1</v>
      </c>
      <c r="P1214" s="4">
        <f>IF(Table1[[#This Row],[Last value]]&gt;1.5*Table1[[#This Row],[Target]],1,0)</f>
        <v>0</v>
      </c>
      <c r="Q1214" s="4">
        <f>IF(AND(1.5*Table1[[#This Row],[Target]]&gt;=Table1[[#This Row],[Last value]],Table1[[#This Row],[Last value]]&gt;Table1[[#This Row],[Target]]),1,0)</f>
        <v>0</v>
      </c>
      <c r="R1214" s="4">
        <f>IF(Table1[[#This Row],[Target]]&gt;=Table1[[#This Row],[Last value]],1,0)</f>
        <v>1</v>
      </c>
      <c r="S1214" s="4" t="str">
        <f t="shared" si="30"/>
        <v>Green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25">
        <v>0.5</v>
      </c>
      <c r="CM1214" s="4">
        <v>0</v>
      </c>
      <c r="CN1214" s="53">
        <v>0</v>
      </c>
      <c r="CO1214" s="54">
        <v>1.2</v>
      </c>
      <c r="CP1214" s="54">
        <v>0.9</v>
      </c>
      <c r="CQ1214" s="4">
        <v>1.1000000000000001</v>
      </c>
    </row>
    <row r="1215" spans="1:95" s="55" customFormat="1" x14ac:dyDescent="0.35">
      <c r="A1215" s="55">
        <v>1214</v>
      </c>
      <c r="B1215" s="44" t="s">
        <v>1478</v>
      </c>
      <c r="C1215" s="27" t="s">
        <v>1421</v>
      </c>
      <c r="D1215" s="50" t="s">
        <v>93</v>
      </c>
      <c r="E1215" s="50" t="s">
        <v>89</v>
      </c>
      <c r="F1215" s="4">
        <f>IFERROR(AVERAGEIF(Table1[[#This Row],[2019-Apr]:[2025-July]],"&lt;&gt;0"),0)</f>
        <v>1.125</v>
      </c>
      <c r="G1215" s="4">
        <f ca="1">IFERROR(AVERAGEIF(OFFSET(Table1[[#This Row],[Status]],0,COUNT(Table1[[#This Row],[2019-May]:[2025-July]]),1,-12),"&lt;&gt;0"),0)</f>
        <v>1</v>
      </c>
      <c r="H1215" s="55">
        <f>IFERROR(SMALL(Table1[[#This Row],[2019-Apr]:[2025-July]],COUNTIF(Table1[[#This Row],[2019-Apr]:[2025-July]],0)+1),0)</f>
        <v>0.6</v>
      </c>
      <c r="I1215" s="56">
        <f>IFERROR(MAX(Table1[[#This Row],[2019-Apr]:[2025-July]]),0)</f>
        <v>1.5</v>
      </c>
      <c r="J1215" s="4" cm="1">
        <f t="array" ref="J121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1.125</v>
      </c>
      <c r="K1215" s="4">
        <v>4.5</v>
      </c>
      <c r="L1215" s="4">
        <f>IF(Table1[[#This Row],[Standard as per ISO]]&gt;=Table1[[#This Row],[Avg of best 6]],Table1[[#This Row],[Standard as per ISO]],Table1[[#This Row],[Avg of best 6]])</f>
        <v>4.5</v>
      </c>
      <c r="M1215" s="4" cm="1">
        <f t="array" ref="M1215">IFERROR(LOOKUP(2,1/(Table1[[#This Row],[2019-May]:[2025-July]]&lt;&gt;0),Table1[[#This Row],[2019-May]:[2025-July]]),0)</f>
        <v>1.5</v>
      </c>
      <c r="N1215" s="4">
        <f>COUNTIF(Table1[[#This Row],[2019-Apr]:[2025-July]],"&gt;="&amp;Table1[[#This Row],[Target]])</f>
        <v>0</v>
      </c>
      <c r="O1215" s="4">
        <f>IF(Table1[[#This Row],[Outliers 2Y]]=0,1,0)</f>
        <v>1</v>
      </c>
      <c r="P1215" s="4">
        <f>IF(Table1[[#This Row],[Last value]]&gt;1.5*Table1[[#This Row],[Target]],1,0)</f>
        <v>0</v>
      </c>
      <c r="Q1215" s="4">
        <f>IF(AND(1.5*Table1[[#This Row],[Target]]&gt;=Table1[[#This Row],[Last value]],Table1[[#This Row],[Last value]]&gt;Table1[[#This Row],[Target]]),1,0)</f>
        <v>0</v>
      </c>
      <c r="R1215" s="4">
        <f>IF(Table1[[#This Row],[Target]]&gt;=Table1[[#This Row],[Last value]],1,0)</f>
        <v>1</v>
      </c>
      <c r="S1215" s="4" t="str">
        <f t="shared" si="30"/>
        <v>Green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25">
        <v>0.6</v>
      </c>
      <c r="CM1215" s="4">
        <v>0</v>
      </c>
      <c r="CN1215" s="53">
        <v>0</v>
      </c>
      <c r="CO1215" s="54">
        <v>1.4</v>
      </c>
      <c r="CP1215" s="54">
        <v>1</v>
      </c>
      <c r="CQ1215" s="4">
        <v>1.5</v>
      </c>
    </row>
    <row r="1216" spans="1:95" s="55" customFormat="1" x14ac:dyDescent="0.35">
      <c r="A1216" s="55">
        <v>1215</v>
      </c>
      <c r="B1216" s="44" t="s">
        <v>1478</v>
      </c>
      <c r="C1216" s="27" t="s">
        <v>1422</v>
      </c>
      <c r="D1216" s="50" t="s">
        <v>93</v>
      </c>
      <c r="E1216" s="50" t="s">
        <v>89</v>
      </c>
      <c r="F1216" s="4">
        <f>IFERROR(AVERAGEIF(Table1[[#This Row],[2019-Apr]:[2025-July]],"&lt;&gt;0"),0)</f>
        <v>1.6500000000000001</v>
      </c>
      <c r="G1216" s="4">
        <f ca="1">IFERROR(AVERAGEIF(OFFSET(Table1[[#This Row],[Status]],0,COUNT(Table1[[#This Row],[2019-May]:[2025-July]]),1,-12),"&lt;&gt;0"),0)</f>
        <v>1.8666666666666669</v>
      </c>
      <c r="H1216" s="55">
        <f>IFERROR(SMALL(Table1[[#This Row],[2019-Apr]:[2025-July]],COUNTIF(Table1[[#This Row],[2019-Apr]:[2025-July]],0)+1),0)</f>
        <v>0.8</v>
      </c>
      <c r="I1216" s="56">
        <f>IFERROR(MAX(Table1[[#This Row],[2019-Apr]:[2025-July]]),0)</f>
        <v>3.7</v>
      </c>
      <c r="J1216" s="4" cm="1">
        <f t="array" ref="J121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1.6500000000000001</v>
      </c>
      <c r="K1216" s="4">
        <v>4.5</v>
      </c>
      <c r="L1216" s="4">
        <f>IF(Table1[[#This Row],[Standard as per ISO]]&gt;=Table1[[#This Row],[Avg of best 6]],Table1[[#This Row],[Standard as per ISO]],Table1[[#This Row],[Avg of best 6]])</f>
        <v>4.5</v>
      </c>
      <c r="M1216" s="4" cm="1">
        <f t="array" ref="M1216">IFERROR(LOOKUP(2,1/(Table1[[#This Row],[2019-May]:[2025-July]]&lt;&gt;0),Table1[[#This Row],[2019-May]:[2025-July]]),0)</f>
        <v>1</v>
      </c>
      <c r="N1216" s="4">
        <f>COUNTIF(Table1[[#This Row],[2019-Apr]:[2025-July]],"&gt;="&amp;Table1[[#This Row],[Target]])</f>
        <v>0</v>
      </c>
      <c r="O1216" s="4">
        <f>IF(Table1[[#This Row],[Outliers 2Y]]=0,1,0)</f>
        <v>1</v>
      </c>
      <c r="P1216" s="4">
        <f>IF(Table1[[#This Row],[Last value]]&gt;1.5*Table1[[#This Row],[Target]],1,0)</f>
        <v>0</v>
      </c>
      <c r="Q1216" s="4">
        <f>IF(AND(1.5*Table1[[#This Row],[Target]]&gt;=Table1[[#This Row],[Last value]],Table1[[#This Row],[Last value]]&gt;Table1[[#This Row],[Target]]),1,0)</f>
        <v>0</v>
      </c>
      <c r="R1216" s="4">
        <f>IF(Table1[[#This Row],[Target]]&gt;=Table1[[#This Row],[Last value]],1,0)</f>
        <v>1</v>
      </c>
      <c r="S1216" s="4" t="str">
        <f t="shared" si="30"/>
        <v>Green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25">
        <v>0.8</v>
      </c>
      <c r="CM1216" s="4">
        <v>0</v>
      </c>
      <c r="CN1216" s="53">
        <v>0</v>
      </c>
      <c r="CO1216" s="54">
        <v>1.1000000000000001</v>
      </c>
      <c r="CP1216" s="54">
        <v>3.7</v>
      </c>
      <c r="CQ1216" s="4">
        <v>1</v>
      </c>
    </row>
    <row r="1217" spans="1:95" s="55" customFormat="1" x14ac:dyDescent="0.35">
      <c r="A1217" s="55">
        <v>1216</v>
      </c>
      <c r="B1217" s="44" t="s">
        <v>1478</v>
      </c>
      <c r="C1217" s="27" t="s">
        <v>1423</v>
      </c>
      <c r="D1217" s="50" t="s">
        <v>93</v>
      </c>
      <c r="E1217" s="50" t="s">
        <v>89</v>
      </c>
      <c r="F1217" s="4">
        <f>IFERROR(AVERAGEIF(Table1[[#This Row],[2019-Apr]:[2025-July]],"&lt;&gt;0"),0)</f>
        <v>0.8</v>
      </c>
      <c r="G1217" s="4">
        <f ca="1">IFERROR(AVERAGEIF(OFFSET(Table1[[#This Row],[Status]],0,COUNT(Table1[[#This Row],[2019-May]:[2025-July]]),1,-12),"&lt;&gt;0"),0)</f>
        <v>0.6</v>
      </c>
      <c r="H1217" s="55">
        <f>IFERROR(SMALL(Table1[[#This Row],[2019-Apr]:[2025-July]],COUNTIF(Table1[[#This Row],[2019-Apr]:[2025-July]],0)+1),0)</f>
        <v>0.6</v>
      </c>
      <c r="I1217" s="56">
        <f>IFERROR(MAX(Table1[[#This Row],[2019-Apr]:[2025-July]]),0)</f>
        <v>1</v>
      </c>
      <c r="J1217" s="4" cm="1">
        <f t="array" ref="J121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</v>
      </c>
      <c r="K1217" s="4">
        <v>4.5</v>
      </c>
      <c r="L1217" s="4">
        <f>IF(Table1[[#This Row],[Standard as per ISO]]&gt;=Table1[[#This Row],[Avg of best 6]],Table1[[#This Row],[Standard as per ISO]],Table1[[#This Row],[Avg of best 6]])</f>
        <v>4.5</v>
      </c>
      <c r="M1217" s="4" cm="1">
        <f t="array" ref="M1217">IFERROR(LOOKUP(2,1/(Table1[[#This Row],[2019-May]:[2025-July]]&lt;&gt;0),Table1[[#This Row],[2019-May]:[2025-July]]),0)</f>
        <v>1</v>
      </c>
      <c r="N1217" s="4">
        <f>COUNTIF(Table1[[#This Row],[2019-Apr]:[2025-July]],"&gt;="&amp;Table1[[#This Row],[Target]])</f>
        <v>0</v>
      </c>
      <c r="O1217" s="4">
        <f>IF(Table1[[#This Row],[Outliers 2Y]]=0,1,0)</f>
        <v>1</v>
      </c>
      <c r="P1217" s="4">
        <f>IF(Table1[[#This Row],[Last value]]&gt;1.5*Table1[[#This Row],[Target]],1,0)</f>
        <v>0</v>
      </c>
      <c r="Q1217" s="4">
        <f>IF(AND(1.5*Table1[[#This Row],[Target]]&gt;=Table1[[#This Row],[Last value]],Table1[[#This Row],[Last value]]&gt;Table1[[#This Row],[Target]]),1,0)</f>
        <v>0</v>
      </c>
      <c r="R1217" s="4">
        <f>IF(Table1[[#This Row],[Target]]&gt;=Table1[[#This Row],[Last value]],1,0)</f>
        <v>1</v>
      </c>
      <c r="S1217" s="4" t="str">
        <f t="shared" si="30"/>
        <v>Green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25">
        <v>0.6</v>
      </c>
      <c r="CM1217" s="4">
        <v>0</v>
      </c>
      <c r="CN1217" s="53">
        <v>0</v>
      </c>
      <c r="CO1217" s="54">
        <v>0</v>
      </c>
      <c r="CP1217" s="54">
        <v>0</v>
      </c>
      <c r="CQ1217" s="4">
        <v>1</v>
      </c>
    </row>
    <row r="1218" spans="1:95" s="55" customFormat="1" x14ac:dyDescent="0.35">
      <c r="A1218" s="55">
        <v>1217</v>
      </c>
      <c r="B1218" s="44" t="s">
        <v>1478</v>
      </c>
      <c r="C1218" s="27" t="s">
        <v>1424</v>
      </c>
      <c r="D1218" s="50" t="s">
        <v>93</v>
      </c>
      <c r="E1218" s="50" t="s">
        <v>89</v>
      </c>
      <c r="F1218" s="4">
        <f>IFERROR(AVERAGEIF(Table1[[#This Row],[2019-Apr]:[2025-July]],"&lt;&gt;0"),0)</f>
        <v>1.2</v>
      </c>
      <c r="G1218" s="4">
        <f ca="1">IFERROR(AVERAGEIF(OFFSET(Table1[[#This Row],[Status]],0,COUNT(Table1[[#This Row],[2019-May]:[2025-July]]),1,-12),"&lt;&gt;0"),0)</f>
        <v>0</v>
      </c>
      <c r="H1218" s="55">
        <f>IFERROR(SMALL(Table1[[#This Row],[2019-Apr]:[2025-July]],COUNTIF(Table1[[#This Row],[2019-Apr]:[2025-July]],0)+1),0)</f>
        <v>1.2</v>
      </c>
      <c r="I1218" s="56">
        <f>IFERROR(MAX(Table1[[#This Row],[2019-Apr]:[2025-July]]),0)</f>
        <v>1.2</v>
      </c>
      <c r="J1218" s="4" cm="1">
        <f t="array" ref="J121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</v>
      </c>
      <c r="K1218" s="4">
        <v>4.5</v>
      </c>
      <c r="L1218" s="4">
        <f>IF(Table1[[#This Row],[Standard as per ISO]]&gt;=Table1[[#This Row],[Avg of best 6]],Table1[[#This Row],[Standard as per ISO]],Table1[[#This Row],[Avg of best 6]])</f>
        <v>4.5</v>
      </c>
      <c r="M1218" s="4" cm="1">
        <f t="array" ref="M1218">IFERROR(LOOKUP(2,1/(Table1[[#This Row],[2019-May]:[2025-July]]&lt;&gt;0),Table1[[#This Row],[2019-May]:[2025-July]]),0)</f>
        <v>1.2</v>
      </c>
      <c r="N1218" s="4">
        <f>COUNTIF(Table1[[#This Row],[2019-Apr]:[2025-July]],"&gt;="&amp;Table1[[#This Row],[Target]])</f>
        <v>0</v>
      </c>
      <c r="O1218" s="4">
        <f>IF(Table1[[#This Row],[Outliers 2Y]]=0,1,0)</f>
        <v>1</v>
      </c>
      <c r="P1218" s="4">
        <f>IF(Table1[[#This Row],[Last value]]&gt;1.5*Table1[[#This Row],[Target]],1,0)</f>
        <v>0</v>
      </c>
      <c r="Q1218" s="4">
        <f>IF(AND(1.5*Table1[[#This Row],[Target]]&gt;=Table1[[#This Row],[Last value]],Table1[[#This Row],[Last value]]&gt;Table1[[#This Row],[Target]]),1,0)</f>
        <v>0</v>
      </c>
      <c r="R1218" s="4">
        <f>IF(Table1[[#This Row],[Target]]&gt;=Table1[[#This Row],[Last value]],1,0)</f>
        <v>1</v>
      </c>
      <c r="S1218" s="4" t="str">
        <f t="shared" si="30"/>
        <v>Green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34">
        <v>0</v>
      </c>
      <c r="CM1218" s="4">
        <v>0</v>
      </c>
      <c r="CN1218" s="53">
        <v>0</v>
      </c>
      <c r="CO1218" s="54">
        <v>0</v>
      </c>
      <c r="CP1218" s="54">
        <v>0</v>
      </c>
      <c r="CQ1218" s="4">
        <v>1.2</v>
      </c>
    </row>
    <row r="1219" spans="1:95" s="55" customFormat="1" x14ac:dyDescent="0.35">
      <c r="A1219" s="55">
        <v>1218</v>
      </c>
      <c r="B1219" s="44" t="s">
        <v>1478</v>
      </c>
      <c r="C1219" s="27" t="s">
        <v>1425</v>
      </c>
      <c r="D1219" s="50" t="s">
        <v>93</v>
      </c>
      <c r="E1219" s="50" t="s">
        <v>89</v>
      </c>
      <c r="F1219" s="4">
        <f>IFERROR(AVERAGEIF(Table1[[#This Row],[2019-Apr]:[2025-July]],"&lt;&gt;0"),0)</f>
        <v>0.8600000000000001</v>
      </c>
      <c r="G1219" s="4">
        <f ca="1">IFERROR(AVERAGEIF(OFFSET(Table1[[#This Row],[Status]],0,COUNT(Table1[[#This Row],[2019-May]:[2025-July]]),1,-12),"&lt;&gt;0"),0)</f>
        <v>0.8</v>
      </c>
      <c r="H1219" s="55">
        <f>IFERROR(SMALL(Table1[[#This Row],[2019-Apr]:[2025-July]],COUNTIF(Table1[[#This Row],[2019-Apr]:[2025-July]],0)+1),0)</f>
        <v>0.5</v>
      </c>
      <c r="I1219" s="56">
        <f>IFERROR(MAX(Table1[[#This Row],[2019-Apr]:[2025-July]]),0)</f>
        <v>1.1000000000000001</v>
      </c>
      <c r="J1219" s="4" cm="1">
        <f t="array" ref="J121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0.8600000000000001</v>
      </c>
      <c r="K1219" s="4">
        <v>4.5</v>
      </c>
      <c r="L1219" s="4">
        <f>IF(Table1[[#This Row],[Standard as per ISO]]&gt;=Table1[[#This Row],[Avg of best 6]],Table1[[#This Row],[Standard as per ISO]],Table1[[#This Row],[Avg of best 6]])</f>
        <v>4.5</v>
      </c>
      <c r="M1219" s="4" cm="1">
        <f t="array" ref="M1219">IFERROR(LOOKUP(2,1/(Table1[[#This Row],[2019-May]:[2025-July]]&lt;&gt;0),Table1[[#This Row],[2019-May]:[2025-July]]),0)</f>
        <v>1.1000000000000001</v>
      </c>
      <c r="N1219" s="4">
        <f>COUNTIF(Table1[[#This Row],[2019-Apr]:[2025-July]],"&gt;="&amp;Table1[[#This Row],[Target]])</f>
        <v>0</v>
      </c>
      <c r="O1219" s="4">
        <f>IF(Table1[[#This Row],[Outliers 2Y]]=0,1,0)</f>
        <v>1</v>
      </c>
      <c r="P1219" s="4">
        <f>IF(Table1[[#This Row],[Last value]]&gt;1.5*Table1[[#This Row],[Target]],1,0)</f>
        <v>0</v>
      </c>
      <c r="Q1219" s="4">
        <f>IF(AND(1.5*Table1[[#This Row],[Target]]&gt;=Table1[[#This Row],[Last value]],Table1[[#This Row],[Last value]]&gt;Table1[[#This Row],[Target]]),1,0)</f>
        <v>0</v>
      </c>
      <c r="R1219" s="4">
        <f>IF(Table1[[#This Row],[Target]]&gt;=Table1[[#This Row],[Last value]],1,0)</f>
        <v>1</v>
      </c>
      <c r="S1219" s="4" t="str">
        <f t="shared" si="30"/>
        <v>Green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25">
        <v>1</v>
      </c>
      <c r="CM1219" s="4">
        <v>0.6</v>
      </c>
      <c r="CN1219" s="53">
        <v>0</v>
      </c>
      <c r="CO1219" s="54">
        <v>1.1000000000000001</v>
      </c>
      <c r="CP1219" s="54">
        <v>0.5</v>
      </c>
      <c r="CQ1219" s="4">
        <v>1.1000000000000001</v>
      </c>
    </row>
    <row r="1220" spans="1:95" s="55" customFormat="1" x14ac:dyDescent="0.35">
      <c r="A1220" s="55">
        <v>1219</v>
      </c>
      <c r="B1220" s="44" t="s">
        <v>1478</v>
      </c>
      <c r="C1220" s="27" t="s">
        <v>1426</v>
      </c>
      <c r="D1220" s="50" t="s">
        <v>93</v>
      </c>
      <c r="E1220" s="50" t="s">
        <v>89</v>
      </c>
      <c r="F1220" s="4">
        <f>IFERROR(AVERAGEIF(Table1[[#This Row],[2019-Apr]:[2025-July]],"&lt;&gt;0"),0)</f>
        <v>0.88000000000000012</v>
      </c>
      <c r="G1220" s="4">
        <f ca="1">IFERROR(AVERAGEIF(OFFSET(Table1[[#This Row],[Status]],0,COUNT(Table1[[#This Row],[2019-May]:[2025-July]]),1,-12),"&lt;&gt;0"),0)</f>
        <v>0.875</v>
      </c>
      <c r="H1220" s="55">
        <f>IFERROR(SMALL(Table1[[#This Row],[2019-Apr]:[2025-July]],COUNTIF(Table1[[#This Row],[2019-Apr]:[2025-July]],0)+1),0)</f>
        <v>0.7</v>
      </c>
      <c r="I1220" s="56">
        <f>IFERROR(MAX(Table1[[#This Row],[2019-Apr]:[2025-July]]),0)</f>
        <v>1.1000000000000001</v>
      </c>
      <c r="J1220" s="4" cm="1">
        <f t="array" ref="J122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0.88000000000000012</v>
      </c>
      <c r="K1220" s="4">
        <v>4.5</v>
      </c>
      <c r="L1220" s="4">
        <f>IF(Table1[[#This Row],[Standard as per ISO]]&gt;=Table1[[#This Row],[Avg of best 6]],Table1[[#This Row],[Standard as per ISO]],Table1[[#This Row],[Avg of best 6]])</f>
        <v>4.5</v>
      </c>
      <c r="M1220" s="4" cm="1">
        <f t="array" ref="M1220">IFERROR(LOOKUP(2,1/(Table1[[#This Row],[2019-May]:[2025-July]]&lt;&gt;0),Table1[[#This Row],[2019-May]:[2025-July]]),0)</f>
        <v>0.9</v>
      </c>
      <c r="N1220" s="4">
        <f>COUNTIF(Table1[[#This Row],[2019-Apr]:[2025-July]],"&gt;="&amp;Table1[[#This Row],[Target]])</f>
        <v>0</v>
      </c>
      <c r="O1220" s="4">
        <f>IF(Table1[[#This Row],[Outliers 2Y]]=0,1,0)</f>
        <v>1</v>
      </c>
      <c r="P1220" s="4">
        <f>IF(Table1[[#This Row],[Last value]]&gt;1.5*Table1[[#This Row],[Target]],1,0)</f>
        <v>0</v>
      </c>
      <c r="Q1220" s="4">
        <f>IF(AND(1.5*Table1[[#This Row],[Target]]&gt;=Table1[[#This Row],[Last value]],Table1[[#This Row],[Last value]]&gt;Table1[[#This Row],[Target]]),1,0)</f>
        <v>0</v>
      </c>
      <c r="R1220" s="4">
        <f>IF(Table1[[#This Row],[Target]]&gt;=Table1[[#This Row],[Last value]],1,0)</f>
        <v>1</v>
      </c>
      <c r="S1220" s="4" t="str">
        <f t="shared" si="30"/>
        <v>Green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25">
        <v>0.9</v>
      </c>
      <c r="CM1220" s="4">
        <v>0.7</v>
      </c>
      <c r="CN1220" s="53">
        <v>0</v>
      </c>
      <c r="CO1220" s="54">
        <v>1.1000000000000001</v>
      </c>
      <c r="CP1220" s="54">
        <v>0.8</v>
      </c>
      <c r="CQ1220" s="4">
        <v>0.9</v>
      </c>
    </row>
    <row r="1221" spans="1:95" s="55" customFormat="1" x14ac:dyDescent="0.35">
      <c r="A1221" s="55">
        <v>1220</v>
      </c>
      <c r="B1221" s="44" t="s">
        <v>1478</v>
      </c>
      <c r="C1221" s="27" t="s">
        <v>1427</v>
      </c>
      <c r="D1221" s="50" t="s">
        <v>93</v>
      </c>
      <c r="E1221" s="50" t="s">
        <v>89</v>
      </c>
      <c r="F1221" s="4">
        <f>IFERROR(AVERAGEIF(Table1[[#This Row],[2019-Apr]:[2025-July]],"&lt;&gt;0"),0)</f>
        <v>0.72</v>
      </c>
      <c r="G1221" s="4">
        <f ca="1">IFERROR(AVERAGEIF(OFFSET(Table1[[#This Row],[Status]],0,COUNT(Table1[[#This Row],[2019-May]:[2025-July]]),1,-12),"&lt;&gt;0"),0)</f>
        <v>0.75</v>
      </c>
      <c r="H1221" s="55">
        <f>IFERROR(SMALL(Table1[[#This Row],[2019-Apr]:[2025-July]],COUNTIF(Table1[[#This Row],[2019-Apr]:[2025-July]],0)+1),0)</f>
        <v>0.6</v>
      </c>
      <c r="I1221" s="56">
        <f>IFERROR(MAX(Table1[[#This Row],[2019-Apr]:[2025-July]]),0)</f>
        <v>1.1000000000000001</v>
      </c>
      <c r="J1221" s="4" cm="1">
        <f t="array" ref="J122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0.72</v>
      </c>
      <c r="K1221" s="4">
        <v>4.5</v>
      </c>
      <c r="L1221" s="4">
        <f>IF(Table1[[#This Row],[Standard as per ISO]]&gt;=Table1[[#This Row],[Avg of best 6]],Table1[[#This Row],[Standard as per ISO]],Table1[[#This Row],[Avg of best 6]])</f>
        <v>4.5</v>
      </c>
      <c r="M1221" s="4" cm="1">
        <f t="array" ref="M1221">IFERROR(LOOKUP(2,1/(Table1[[#This Row],[2019-May]:[2025-July]]&lt;&gt;0),Table1[[#This Row],[2019-May]:[2025-July]]),0)</f>
        <v>0.6</v>
      </c>
      <c r="N1221" s="4">
        <f>COUNTIF(Table1[[#This Row],[2019-Apr]:[2025-July]],"&gt;="&amp;Table1[[#This Row],[Target]])</f>
        <v>0</v>
      </c>
      <c r="O1221" s="4">
        <f>IF(Table1[[#This Row],[Outliers 2Y]]=0,1,0)</f>
        <v>1</v>
      </c>
      <c r="P1221" s="4">
        <f>IF(Table1[[#This Row],[Last value]]&gt;1.5*Table1[[#This Row],[Target]],1,0)</f>
        <v>0</v>
      </c>
      <c r="Q1221" s="4">
        <f>IF(AND(1.5*Table1[[#This Row],[Target]]&gt;=Table1[[#This Row],[Last value]],Table1[[#This Row],[Last value]]&gt;Table1[[#This Row],[Target]]),1,0)</f>
        <v>0</v>
      </c>
      <c r="R1221" s="4">
        <f>IF(Table1[[#This Row],[Target]]&gt;=Table1[[#This Row],[Last value]],1,0)</f>
        <v>1</v>
      </c>
      <c r="S1221" s="4" t="str">
        <f t="shared" si="30"/>
        <v>Green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25">
        <v>0.6</v>
      </c>
      <c r="CM1221" s="4">
        <v>0.7</v>
      </c>
      <c r="CN1221" s="53">
        <v>0</v>
      </c>
      <c r="CO1221" s="54">
        <v>1.1000000000000001</v>
      </c>
      <c r="CP1221" s="54">
        <v>0.6</v>
      </c>
      <c r="CQ1221" s="4">
        <v>0.6</v>
      </c>
    </row>
    <row r="1222" spans="1:95" s="55" customFormat="1" x14ac:dyDescent="0.35">
      <c r="A1222" s="55">
        <v>1221</v>
      </c>
      <c r="B1222" s="44" t="s">
        <v>1478</v>
      </c>
      <c r="C1222" s="27" t="s">
        <v>1428</v>
      </c>
      <c r="D1222" s="50" t="s">
        <v>93</v>
      </c>
      <c r="E1222" s="50" t="s">
        <v>89</v>
      </c>
      <c r="F1222" s="4">
        <f>IFERROR(AVERAGEIF(Table1[[#This Row],[2019-Apr]:[2025-July]],"&lt;&gt;0"),0)</f>
        <v>1</v>
      </c>
      <c r="G1222" s="4">
        <f ca="1">IFERROR(AVERAGEIF(OFFSET(Table1[[#This Row],[Status]],0,COUNT(Table1[[#This Row],[2019-May]:[2025-July]]),1,-12),"&lt;&gt;0"),0)</f>
        <v>0.7</v>
      </c>
      <c r="H1222" s="55">
        <f>IFERROR(SMALL(Table1[[#This Row],[2019-Apr]:[2025-July]],COUNTIF(Table1[[#This Row],[2019-Apr]:[2025-July]],0)+1),0)</f>
        <v>0.4</v>
      </c>
      <c r="I1222" s="56">
        <f>IFERROR(MAX(Table1[[#This Row],[2019-Apr]:[2025-July]]),0)</f>
        <v>2.2000000000000002</v>
      </c>
      <c r="J1222" s="4" cm="1">
        <f t="array" ref="J122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</v>
      </c>
      <c r="K1222" s="4">
        <v>4.5</v>
      </c>
      <c r="L1222" s="4">
        <f>IF(Table1[[#This Row],[Standard as per ISO]]&gt;=Table1[[#This Row],[Avg of best 6]],Table1[[#This Row],[Standard as per ISO]],Table1[[#This Row],[Avg of best 6]])</f>
        <v>4.5</v>
      </c>
      <c r="M1222" s="4" cm="1">
        <f t="array" ref="M1222">IFERROR(LOOKUP(2,1/(Table1[[#This Row],[2019-May]:[2025-July]]&lt;&gt;0),Table1[[#This Row],[2019-May]:[2025-July]]),0)</f>
        <v>2.2000000000000002</v>
      </c>
      <c r="N1222" s="4">
        <f>COUNTIF(Table1[[#This Row],[2019-Apr]:[2025-July]],"&gt;="&amp;Table1[[#This Row],[Target]])</f>
        <v>0</v>
      </c>
      <c r="O1222" s="4">
        <f>IF(Table1[[#This Row],[Outliers 2Y]]=0,1,0)</f>
        <v>1</v>
      </c>
      <c r="P1222" s="4">
        <f>IF(Table1[[#This Row],[Last value]]&gt;1.5*Table1[[#This Row],[Target]],1,0)</f>
        <v>0</v>
      </c>
      <c r="Q1222" s="4">
        <f>IF(AND(1.5*Table1[[#This Row],[Target]]&gt;=Table1[[#This Row],[Last value]],Table1[[#This Row],[Last value]]&gt;Table1[[#This Row],[Target]]),1,0)</f>
        <v>0</v>
      </c>
      <c r="R1222" s="4">
        <f>IF(Table1[[#This Row],[Target]]&gt;=Table1[[#This Row],[Last value]],1,0)</f>
        <v>1</v>
      </c>
      <c r="S1222" s="4" t="str">
        <f t="shared" si="30"/>
        <v>Green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25">
        <v>0.4</v>
      </c>
      <c r="CM1222" s="4">
        <v>0.5</v>
      </c>
      <c r="CN1222" s="53">
        <v>0</v>
      </c>
      <c r="CO1222" s="54">
        <v>1.1000000000000001</v>
      </c>
      <c r="CP1222" s="54">
        <v>0.8</v>
      </c>
      <c r="CQ1222" s="4">
        <v>2.2000000000000002</v>
      </c>
    </row>
    <row r="1223" spans="1:95" s="55" customFormat="1" x14ac:dyDescent="0.35">
      <c r="A1223" s="55">
        <v>1222</v>
      </c>
      <c r="B1223" s="44" t="s">
        <v>1478</v>
      </c>
      <c r="C1223" s="27" t="s">
        <v>1429</v>
      </c>
      <c r="D1223" s="50" t="s">
        <v>93</v>
      </c>
      <c r="E1223" s="50" t="s">
        <v>89</v>
      </c>
      <c r="F1223" s="4">
        <f>IFERROR(AVERAGEIF(Table1[[#This Row],[2019-Apr]:[2025-July]],"&lt;&gt;0"),0)</f>
        <v>0.74999999999999989</v>
      </c>
      <c r="G1223" s="4">
        <f ca="1">IFERROR(AVERAGEIF(OFFSET(Table1[[#This Row],[Status]],0,COUNT(Table1[[#This Row],[2019-May]:[2025-July]]),1,-12),"&lt;&gt;0"),0)</f>
        <v>0.83333333333333315</v>
      </c>
      <c r="H1223" s="55">
        <f>IFERROR(SMALL(Table1[[#This Row],[2019-Apr]:[2025-July]],COUNTIF(Table1[[#This Row],[2019-Apr]:[2025-July]],0)+1),0)</f>
        <v>0.4</v>
      </c>
      <c r="I1223" s="56">
        <f>IFERROR(MAX(Table1[[#This Row],[2019-Apr]:[2025-July]]),0)</f>
        <v>1.4</v>
      </c>
      <c r="J1223" s="4" cm="1">
        <f t="array" ref="J122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0.74999999999999989</v>
      </c>
      <c r="K1223" s="4">
        <v>4.5</v>
      </c>
      <c r="L1223" s="4">
        <f>IF(Table1[[#This Row],[Standard as per ISO]]&gt;=Table1[[#This Row],[Avg of best 6]],Table1[[#This Row],[Standard as per ISO]],Table1[[#This Row],[Avg of best 6]])</f>
        <v>4.5</v>
      </c>
      <c r="M1223" s="4" cm="1">
        <f t="array" ref="M1223">IFERROR(LOOKUP(2,1/(Table1[[#This Row],[2019-May]:[2025-July]]&lt;&gt;0),Table1[[#This Row],[2019-May]:[2025-July]]),0)</f>
        <v>0.5</v>
      </c>
      <c r="N1223" s="4">
        <f>COUNTIF(Table1[[#This Row],[2019-Apr]:[2025-July]],"&gt;="&amp;Table1[[#This Row],[Target]])</f>
        <v>0</v>
      </c>
      <c r="O1223" s="4">
        <f>IF(Table1[[#This Row],[Outliers 2Y]]=0,1,0)</f>
        <v>1</v>
      </c>
      <c r="P1223" s="4">
        <f>IF(Table1[[#This Row],[Last value]]&gt;1.5*Table1[[#This Row],[Target]],1,0)</f>
        <v>0</v>
      </c>
      <c r="Q1223" s="4">
        <f>IF(AND(1.5*Table1[[#This Row],[Target]]&gt;=Table1[[#This Row],[Last value]],Table1[[#This Row],[Last value]]&gt;Table1[[#This Row],[Target]]),1,0)</f>
        <v>0</v>
      </c>
      <c r="R1223" s="4">
        <f>IF(Table1[[#This Row],[Target]]&gt;=Table1[[#This Row],[Last value]],1,0)</f>
        <v>1</v>
      </c>
      <c r="S1223" s="4" t="str">
        <f t="shared" si="30"/>
        <v>Green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25">
        <v>0.7</v>
      </c>
      <c r="CM1223" s="4">
        <v>0</v>
      </c>
      <c r="CN1223" s="53">
        <v>0</v>
      </c>
      <c r="CO1223" s="54">
        <v>1.4</v>
      </c>
      <c r="CP1223" s="54">
        <v>0.4</v>
      </c>
      <c r="CQ1223" s="4">
        <v>0.5</v>
      </c>
    </row>
    <row r="1224" spans="1:95" s="55" customFormat="1" x14ac:dyDescent="0.35">
      <c r="A1224" s="55">
        <v>1223</v>
      </c>
      <c r="B1224" s="44" t="s">
        <v>1478</v>
      </c>
      <c r="C1224" s="27" t="s">
        <v>1430</v>
      </c>
      <c r="D1224" s="50" t="s">
        <v>93</v>
      </c>
      <c r="E1224" s="50" t="s">
        <v>89</v>
      </c>
      <c r="F1224" s="4">
        <f>IFERROR(AVERAGEIF(Table1[[#This Row],[2019-Apr]:[2025-July]],"&lt;&gt;0"),0)</f>
        <v>0.625</v>
      </c>
      <c r="G1224" s="4">
        <f ca="1">IFERROR(AVERAGEIF(OFFSET(Table1[[#This Row],[Status]],0,COUNT(Table1[[#This Row],[2019-May]:[2025-July]]),1,-12),"&lt;&gt;0"),0)</f>
        <v>0.6</v>
      </c>
      <c r="H1224" s="55">
        <f>IFERROR(SMALL(Table1[[#This Row],[2019-Apr]:[2025-July]],COUNTIF(Table1[[#This Row],[2019-Apr]:[2025-July]],0)+1),0)</f>
        <v>0.4</v>
      </c>
      <c r="I1224" s="56">
        <f>IFERROR(MAX(Table1[[#This Row],[2019-Apr]:[2025-July]]),0)</f>
        <v>0.9</v>
      </c>
      <c r="J1224" s="4" cm="1">
        <f t="array" ref="J122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0.625</v>
      </c>
      <c r="K1224" s="4">
        <v>4.5</v>
      </c>
      <c r="L1224" s="4">
        <f>IF(Table1[[#This Row],[Standard as per ISO]]&gt;=Table1[[#This Row],[Avg of best 6]],Table1[[#This Row],[Standard as per ISO]],Table1[[#This Row],[Avg of best 6]])</f>
        <v>4.5</v>
      </c>
      <c r="M1224" s="4" cm="1">
        <f t="array" ref="M1224">IFERROR(LOOKUP(2,1/(Table1[[#This Row],[2019-May]:[2025-July]]&lt;&gt;0),Table1[[#This Row],[2019-May]:[2025-July]]),0)</f>
        <v>0.7</v>
      </c>
      <c r="N1224" s="4">
        <f>COUNTIF(Table1[[#This Row],[2019-Apr]:[2025-July]],"&gt;="&amp;Table1[[#This Row],[Target]])</f>
        <v>0</v>
      </c>
      <c r="O1224" s="4">
        <f>IF(Table1[[#This Row],[Outliers 2Y]]=0,1,0)</f>
        <v>1</v>
      </c>
      <c r="P1224" s="4">
        <f>IF(Table1[[#This Row],[Last value]]&gt;1.5*Table1[[#This Row],[Target]],1,0)</f>
        <v>0</v>
      </c>
      <c r="Q1224" s="4">
        <f>IF(AND(1.5*Table1[[#This Row],[Target]]&gt;=Table1[[#This Row],[Last value]],Table1[[#This Row],[Last value]]&gt;Table1[[#This Row],[Target]]),1,0)</f>
        <v>0</v>
      </c>
      <c r="R1224" s="4">
        <f>IF(Table1[[#This Row],[Target]]&gt;=Table1[[#This Row],[Last value]],1,0)</f>
        <v>1</v>
      </c>
      <c r="S1224" s="4" t="str">
        <f t="shared" si="30"/>
        <v>Green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25">
        <v>0.4</v>
      </c>
      <c r="CM1224" s="4">
        <v>0</v>
      </c>
      <c r="CN1224" s="53">
        <v>0</v>
      </c>
      <c r="CO1224" s="54">
        <v>0.9</v>
      </c>
      <c r="CP1224" s="54">
        <v>0.5</v>
      </c>
      <c r="CQ1224" s="4">
        <v>0.7</v>
      </c>
    </row>
    <row r="1225" spans="1:95" s="55" customFormat="1" x14ac:dyDescent="0.35">
      <c r="A1225" s="55">
        <v>1224</v>
      </c>
      <c r="B1225" s="44" t="s">
        <v>1478</v>
      </c>
      <c r="C1225" s="27" t="s">
        <v>1431</v>
      </c>
      <c r="D1225" s="50" t="s">
        <v>93</v>
      </c>
      <c r="E1225" s="50" t="s">
        <v>89</v>
      </c>
      <c r="F1225" s="4">
        <f>IFERROR(AVERAGEIF(Table1[[#This Row],[2019-Apr]:[2025-July]],"&lt;&gt;0"),0)</f>
        <v>0.75</v>
      </c>
      <c r="G1225" s="4">
        <f ca="1">IFERROR(AVERAGEIF(OFFSET(Table1[[#This Row],[Status]],0,COUNT(Table1[[#This Row],[2019-May]:[2025-July]]),1,-12),"&lt;&gt;0"),0)</f>
        <v>0.73333333333333339</v>
      </c>
      <c r="H1225" s="55">
        <f>IFERROR(SMALL(Table1[[#This Row],[2019-Apr]:[2025-July]],COUNTIF(Table1[[#This Row],[2019-Apr]:[2025-July]],0)+1),0)</f>
        <v>0.5</v>
      </c>
      <c r="I1225" s="56">
        <f>IFERROR(MAX(Table1[[#This Row],[2019-Apr]:[2025-July]]),0)</f>
        <v>1.2</v>
      </c>
      <c r="J1225" s="4" cm="1">
        <f t="array" ref="J122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0.75</v>
      </c>
      <c r="K1225" s="4">
        <v>4.5</v>
      </c>
      <c r="L1225" s="4">
        <f>IF(Table1[[#This Row],[Standard as per ISO]]&gt;=Table1[[#This Row],[Avg of best 6]],Table1[[#This Row],[Standard as per ISO]],Table1[[#This Row],[Avg of best 6]])</f>
        <v>4.5</v>
      </c>
      <c r="M1225" s="4" cm="1">
        <f t="array" ref="M1225">IFERROR(LOOKUP(2,1/(Table1[[#This Row],[2019-May]:[2025-July]]&lt;&gt;0),Table1[[#This Row],[2019-May]:[2025-July]]),0)</f>
        <v>0.8</v>
      </c>
      <c r="N1225" s="4">
        <f>COUNTIF(Table1[[#This Row],[2019-Apr]:[2025-July]],"&gt;="&amp;Table1[[#This Row],[Target]])</f>
        <v>0</v>
      </c>
      <c r="O1225" s="4">
        <f>IF(Table1[[#This Row],[Outliers 2Y]]=0,1,0)</f>
        <v>1</v>
      </c>
      <c r="P1225" s="4">
        <f>IF(Table1[[#This Row],[Last value]]&gt;1.5*Table1[[#This Row],[Target]],1,0)</f>
        <v>0</v>
      </c>
      <c r="Q1225" s="4">
        <f>IF(AND(1.5*Table1[[#This Row],[Target]]&gt;=Table1[[#This Row],[Last value]],Table1[[#This Row],[Last value]]&gt;Table1[[#This Row],[Target]]),1,0)</f>
        <v>0</v>
      </c>
      <c r="R1225" s="4">
        <f>IF(Table1[[#This Row],[Target]]&gt;=Table1[[#This Row],[Last value]],1,0)</f>
        <v>1</v>
      </c>
      <c r="S1225" s="4" t="str">
        <f t="shared" si="30"/>
        <v>Green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25">
        <v>0.5</v>
      </c>
      <c r="CM1225" s="4">
        <v>0</v>
      </c>
      <c r="CN1225" s="53">
        <v>0</v>
      </c>
      <c r="CO1225" s="54">
        <v>1.2</v>
      </c>
      <c r="CP1225" s="54">
        <v>0.5</v>
      </c>
      <c r="CQ1225" s="4">
        <v>0.8</v>
      </c>
    </row>
    <row r="1226" spans="1:95" s="55" customFormat="1" x14ac:dyDescent="0.35">
      <c r="A1226" s="55">
        <v>1225</v>
      </c>
      <c r="B1226" s="44" t="s">
        <v>1478</v>
      </c>
      <c r="C1226" s="27" t="s">
        <v>1432</v>
      </c>
      <c r="D1226" s="50" t="s">
        <v>93</v>
      </c>
      <c r="E1226" s="50" t="s">
        <v>89</v>
      </c>
      <c r="F1226" s="4">
        <f>IFERROR(AVERAGEIF(Table1[[#This Row],[2019-Apr]:[2025-July]],"&lt;&gt;0"),0)</f>
        <v>0.70000000000000007</v>
      </c>
      <c r="G1226" s="4">
        <f ca="1">IFERROR(AVERAGEIF(OFFSET(Table1[[#This Row],[Status]],0,COUNT(Table1[[#This Row],[2019-May]:[2025-July]]),1,-12),"&lt;&gt;0"),0)</f>
        <v>0.73333333333333339</v>
      </c>
      <c r="H1226" s="55">
        <f>IFERROR(SMALL(Table1[[#This Row],[2019-Apr]:[2025-July]],COUNTIF(Table1[[#This Row],[2019-Apr]:[2025-July]],0)+1),0)</f>
        <v>0.5</v>
      </c>
      <c r="I1226" s="56">
        <f>IFERROR(MAX(Table1[[#This Row],[2019-Apr]:[2025-July]]),0)</f>
        <v>1.2</v>
      </c>
      <c r="J1226" s="4" cm="1">
        <f t="array" ref="J122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0.70000000000000007</v>
      </c>
      <c r="K1226" s="4">
        <v>4.5</v>
      </c>
      <c r="L1226" s="4">
        <f>IF(Table1[[#This Row],[Standard as per ISO]]&gt;=Table1[[#This Row],[Avg of best 6]],Table1[[#This Row],[Standard as per ISO]],Table1[[#This Row],[Avg of best 6]])</f>
        <v>4.5</v>
      </c>
      <c r="M1226" s="4" cm="1">
        <f t="array" ref="M1226">IFERROR(LOOKUP(2,1/(Table1[[#This Row],[2019-May]:[2025-July]]&lt;&gt;0),Table1[[#This Row],[2019-May]:[2025-July]]),0)</f>
        <v>0.6</v>
      </c>
      <c r="N1226" s="4">
        <f>COUNTIF(Table1[[#This Row],[2019-Apr]:[2025-July]],"&gt;="&amp;Table1[[#This Row],[Target]])</f>
        <v>0</v>
      </c>
      <c r="O1226" s="4">
        <f>IF(Table1[[#This Row],[Outliers 2Y]]=0,1,0)</f>
        <v>1</v>
      </c>
      <c r="P1226" s="4">
        <f>IF(Table1[[#This Row],[Last value]]&gt;1.5*Table1[[#This Row],[Target]],1,0)</f>
        <v>0</v>
      </c>
      <c r="Q1226" s="4">
        <f>IF(AND(1.5*Table1[[#This Row],[Target]]&gt;=Table1[[#This Row],[Last value]],Table1[[#This Row],[Last value]]&gt;Table1[[#This Row],[Target]]),1,0)</f>
        <v>0</v>
      </c>
      <c r="R1226" s="4">
        <f>IF(Table1[[#This Row],[Target]]&gt;=Table1[[#This Row],[Last value]],1,0)</f>
        <v>1</v>
      </c>
      <c r="S1226" s="4" t="str">
        <f t="shared" si="30"/>
        <v>Green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25">
        <v>0.5</v>
      </c>
      <c r="CM1226" s="4">
        <v>0</v>
      </c>
      <c r="CN1226" s="53">
        <v>0</v>
      </c>
      <c r="CO1226" s="54">
        <v>1.2</v>
      </c>
      <c r="CP1226" s="54">
        <v>0.5</v>
      </c>
      <c r="CQ1226" s="4">
        <v>0.6</v>
      </c>
    </row>
    <row r="1227" spans="1:95" s="55" customFormat="1" x14ac:dyDescent="0.35">
      <c r="A1227" s="55">
        <v>1226</v>
      </c>
      <c r="B1227" s="44" t="s">
        <v>1478</v>
      </c>
      <c r="C1227" s="27" t="s">
        <v>1433</v>
      </c>
      <c r="D1227" s="50" t="s">
        <v>93</v>
      </c>
      <c r="E1227" s="50" t="s">
        <v>89</v>
      </c>
      <c r="F1227" s="4">
        <f>IFERROR(AVERAGEIF(Table1[[#This Row],[2019-Apr]:[2025-July]],"&lt;&gt;0"),0)</f>
        <v>1.1000000000000001</v>
      </c>
      <c r="G1227" s="4">
        <f ca="1">IFERROR(AVERAGEIF(OFFSET(Table1[[#This Row],[Status]],0,COUNT(Table1[[#This Row],[2019-May]:[2025-July]]),1,-12),"&lt;&gt;0"),0)</f>
        <v>1.3</v>
      </c>
      <c r="H1227" s="55">
        <f>IFERROR(SMALL(Table1[[#This Row],[2019-Apr]:[2025-July]],COUNTIF(Table1[[#This Row],[2019-Apr]:[2025-July]],0)+1),0)</f>
        <v>0.4</v>
      </c>
      <c r="I1227" s="56">
        <f>IFERROR(MAX(Table1[[#This Row],[2019-Apr]:[2025-July]]),0)</f>
        <v>1.8</v>
      </c>
      <c r="J1227" s="4" cm="1">
        <f t="array" ref="J122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1.1000000000000001</v>
      </c>
      <c r="K1227" s="4">
        <v>4.5</v>
      </c>
      <c r="L1227" s="4">
        <f>IF(Table1[[#This Row],[Standard as per ISO]]&gt;=Table1[[#This Row],[Avg of best 6]],Table1[[#This Row],[Standard as per ISO]],Table1[[#This Row],[Avg of best 6]])</f>
        <v>4.5</v>
      </c>
      <c r="M1227" s="4" cm="1">
        <f t="array" ref="M1227">IFERROR(LOOKUP(2,1/(Table1[[#This Row],[2019-May]:[2025-July]]&lt;&gt;0),Table1[[#This Row],[2019-May]:[2025-July]]),0)</f>
        <v>0.5</v>
      </c>
      <c r="N1227" s="4">
        <f>COUNTIF(Table1[[#This Row],[2019-Apr]:[2025-July]],"&gt;="&amp;Table1[[#This Row],[Target]])</f>
        <v>0</v>
      </c>
      <c r="O1227" s="4">
        <f>IF(Table1[[#This Row],[Outliers 2Y]]=0,1,0)</f>
        <v>1</v>
      </c>
      <c r="P1227" s="4">
        <f>IF(Table1[[#This Row],[Last value]]&gt;1.5*Table1[[#This Row],[Target]],1,0)</f>
        <v>0</v>
      </c>
      <c r="Q1227" s="4">
        <f>IF(AND(1.5*Table1[[#This Row],[Target]]&gt;=Table1[[#This Row],[Last value]],Table1[[#This Row],[Last value]]&gt;Table1[[#This Row],[Target]]),1,0)</f>
        <v>0</v>
      </c>
      <c r="R1227" s="4">
        <f>IF(Table1[[#This Row],[Target]]&gt;=Table1[[#This Row],[Last value]],1,0)</f>
        <v>1</v>
      </c>
      <c r="S1227" s="4" t="str">
        <f t="shared" si="30"/>
        <v>Green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25">
        <v>1.7</v>
      </c>
      <c r="CM1227" s="4">
        <v>0</v>
      </c>
      <c r="CN1227" s="53">
        <v>0</v>
      </c>
      <c r="CO1227" s="54">
        <v>1.8</v>
      </c>
      <c r="CP1227" s="54">
        <v>0.4</v>
      </c>
      <c r="CQ1227" s="4">
        <v>0.5</v>
      </c>
    </row>
    <row r="1228" spans="1:95" s="55" customFormat="1" x14ac:dyDescent="0.35">
      <c r="A1228" s="55">
        <v>1227</v>
      </c>
      <c r="B1228" s="44" t="s">
        <v>1478</v>
      </c>
      <c r="C1228" s="27" t="s">
        <v>1434</v>
      </c>
      <c r="D1228" s="50" t="s">
        <v>93</v>
      </c>
      <c r="E1228" s="50" t="s">
        <v>89</v>
      </c>
      <c r="F1228" s="4">
        <f>IFERROR(AVERAGEIF(Table1[[#This Row],[2019-Apr]:[2025-July]],"&lt;&gt;0"),0)</f>
        <v>1.2749999999999999</v>
      </c>
      <c r="G1228" s="4">
        <f ca="1">IFERROR(AVERAGEIF(OFFSET(Table1[[#This Row],[Status]],0,COUNT(Table1[[#This Row],[2019-May]:[2025-July]]),1,-12),"&lt;&gt;0"),0)</f>
        <v>1.5333333333333332</v>
      </c>
      <c r="H1228" s="55">
        <f>IFERROR(SMALL(Table1[[#This Row],[2019-Apr]:[2025-July]],COUNTIF(Table1[[#This Row],[2019-Apr]:[2025-July]],0)+1),0)</f>
        <v>0.5</v>
      </c>
      <c r="I1228" s="56">
        <f>IFERROR(MAX(Table1[[#This Row],[2019-Apr]:[2025-July]]),0)</f>
        <v>2.9</v>
      </c>
      <c r="J1228" s="4" cm="1">
        <f t="array" ref="J122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1.2749999999999999</v>
      </c>
      <c r="K1228" s="4">
        <v>4.5</v>
      </c>
      <c r="L1228" s="4">
        <f>IF(Table1[[#This Row],[Standard as per ISO]]&gt;=Table1[[#This Row],[Avg of best 6]],Table1[[#This Row],[Standard as per ISO]],Table1[[#This Row],[Avg of best 6]])</f>
        <v>4.5</v>
      </c>
      <c r="M1228" s="4" cm="1">
        <f t="array" ref="M1228">IFERROR(LOOKUP(2,1/(Table1[[#This Row],[2019-May]:[2025-July]]&lt;&gt;0),Table1[[#This Row],[2019-May]:[2025-July]]),0)</f>
        <v>0.5</v>
      </c>
      <c r="N1228" s="4">
        <f>COUNTIF(Table1[[#This Row],[2019-Apr]:[2025-July]],"&gt;="&amp;Table1[[#This Row],[Target]])</f>
        <v>0</v>
      </c>
      <c r="O1228" s="4">
        <f>IF(Table1[[#This Row],[Outliers 2Y]]=0,1,0)</f>
        <v>1</v>
      </c>
      <c r="P1228" s="4">
        <f>IF(Table1[[#This Row],[Last value]]&gt;1.5*Table1[[#This Row],[Target]],1,0)</f>
        <v>0</v>
      </c>
      <c r="Q1228" s="4">
        <f>IF(AND(1.5*Table1[[#This Row],[Target]]&gt;=Table1[[#This Row],[Last value]],Table1[[#This Row],[Last value]]&gt;Table1[[#This Row],[Target]]),1,0)</f>
        <v>0</v>
      </c>
      <c r="R1228" s="4">
        <f>IF(Table1[[#This Row],[Target]]&gt;=Table1[[#This Row],[Last value]],1,0)</f>
        <v>1</v>
      </c>
      <c r="S1228" s="4" t="str">
        <f t="shared" si="30"/>
        <v>Green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25">
        <v>1</v>
      </c>
      <c r="CM1228" s="4">
        <v>0</v>
      </c>
      <c r="CN1228" s="53">
        <v>0</v>
      </c>
      <c r="CO1228" s="54">
        <v>2.9</v>
      </c>
      <c r="CP1228" s="54">
        <v>0.7</v>
      </c>
      <c r="CQ1228" s="4">
        <v>0.5</v>
      </c>
    </row>
    <row r="1229" spans="1:95" s="55" customFormat="1" x14ac:dyDescent="0.35">
      <c r="A1229" s="55">
        <v>1228</v>
      </c>
      <c r="B1229" s="44" t="s">
        <v>1478</v>
      </c>
      <c r="C1229" s="27" t="s">
        <v>1435</v>
      </c>
      <c r="D1229" s="50" t="s">
        <v>93</v>
      </c>
      <c r="E1229" s="50" t="s">
        <v>89</v>
      </c>
      <c r="F1229" s="4">
        <f>IFERROR(AVERAGEIF(Table1[[#This Row],[2019-Apr]:[2025-July]],"&lt;&gt;0"),0)</f>
        <v>0.5</v>
      </c>
      <c r="G1229" s="4">
        <f ca="1">IFERROR(AVERAGEIF(OFFSET(Table1[[#This Row],[Status]],0,COUNT(Table1[[#This Row],[2019-May]:[2025-July]]),1,-12),"&lt;&gt;0"),0)</f>
        <v>0.56666666666666676</v>
      </c>
      <c r="H1229" s="55">
        <f>IFERROR(SMALL(Table1[[#This Row],[2019-Apr]:[2025-July]],COUNTIF(Table1[[#This Row],[2019-Apr]:[2025-July]],0)+1),0)</f>
        <v>0.3</v>
      </c>
      <c r="I1229" s="56">
        <f>IFERROR(MAX(Table1[[#This Row],[2019-Apr]:[2025-July]]),0)</f>
        <v>0.9</v>
      </c>
      <c r="J1229" s="4" cm="1">
        <f t="array" ref="J122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</v>
      </c>
      <c r="K1229" s="4">
        <v>4.5</v>
      </c>
      <c r="L1229" s="4">
        <f>IF(Table1[[#This Row],[Standard as per ISO]]&gt;=Table1[[#This Row],[Avg of best 6]],Table1[[#This Row],[Standard as per ISO]],Table1[[#This Row],[Avg of best 6]])</f>
        <v>4.5</v>
      </c>
      <c r="M1229" s="4" cm="1">
        <f t="array" ref="M1229">IFERROR(LOOKUP(2,1/(Table1[[#This Row],[2019-May]:[2025-July]]&lt;&gt;0),Table1[[#This Row],[2019-May]:[2025-July]]),0)</f>
        <v>0.3</v>
      </c>
      <c r="N1229" s="4">
        <f>COUNTIF(Table1[[#This Row],[2019-Apr]:[2025-July]],"&gt;="&amp;Table1[[#This Row],[Target]])</f>
        <v>0</v>
      </c>
      <c r="O1229" s="4">
        <f>IF(Table1[[#This Row],[Outliers 2Y]]=0,1,0)</f>
        <v>1</v>
      </c>
      <c r="P1229" s="4">
        <f>IF(Table1[[#This Row],[Last value]]&gt;1.5*Table1[[#This Row],[Target]],1,0)</f>
        <v>0</v>
      </c>
      <c r="Q1229" s="4">
        <f>IF(AND(1.5*Table1[[#This Row],[Target]]&gt;=Table1[[#This Row],[Last value]],Table1[[#This Row],[Last value]]&gt;Table1[[#This Row],[Target]]),1,0)</f>
        <v>0</v>
      </c>
      <c r="R1229" s="4">
        <f>IF(Table1[[#This Row],[Target]]&gt;=Table1[[#This Row],[Last value]],1,0)</f>
        <v>1</v>
      </c>
      <c r="S1229" s="4" t="str">
        <f t="shared" si="30"/>
        <v>Green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25">
        <v>0.4</v>
      </c>
      <c r="CM1229" s="4">
        <v>0</v>
      </c>
      <c r="CN1229" s="53">
        <v>0</v>
      </c>
      <c r="CO1229" s="54">
        <v>0.9</v>
      </c>
      <c r="CP1229" s="54">
        <v>0.4</v>
      </c>
      <c r="CQ1229" s="4">
        <v>0.3</v>
      </c>
    </row>
    <row r="1230" spans="1:95" s="55" customFormat="1" x14ac:dyDescent="0.35">
      <c r="A1230" s="55">
        <v>1229</v>
      </c>
      <c r="B1230" s="44" t="s">
        <v>1478</v>
      </c>
      <c r="C1230" s="27" t="s">
        <v>1436</v>
      </c>
      <c r="D1230" s="50" t="s">
        <v>93</v>
      </c>
      <c r="E1230" s="50" t="s">
        <v>89</v>
      </c>
      <c r="F1230" s="4">
        <f>IFERROR(AVERAGEIF(Table1[[#This Row],[2019-Apr]:[2025-July]],"&lt;&gt;0"),0)</f>
        <v>0.5</v>
      </c>
      <c r="G1230" s="4">
        <f ca="1">IFERROR(AVERAGEIF(OFFSET(Table1[[#This Row],[Status]],0,COUNT(Table1[[#This Row],[2019-May]:[2025-July]]),1,-12),"&lt;&gt;0"),0)</f>
        <v>0.5</v>
      </c>
      <c r="H1230" s="55">
        <f>IFERROR(SMALL(Table1[[#This Row],[2019-Apr]:[2025-July]],COUNTIF(Table1[[#This Row],[2019-Apr]:[2025-July]],0)+1),0)</f>
        <v>0.5</v>
      </c>
      <c r="I1230" s="56">
        <f>IFERROR(MAX(Table1[[#This Row],[2019-Apr]:[2025-July]]),0)</f>
        <v>0.5</v>
      </c>
      <c r="J1230" s="4" cm="1">
        <f t="array" ref="J123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</v>
      </c>
      <c r="K1230" s="4">
        <v>4.5</v>
      </c>
      <c r="L1230" s="4">
        <f>IF(Table1[[#This Row],[Standard as per ISO]]&gt;=Table1[[#This Row],[Avg of best 6]],Table1[[#This Row],[Standard as per ISO]],Table1[[#This Row],[Avg of best 6]])</f>
        <v>4.5</v>
      </c>
      <c r="M1230" s="4" cm="1">
        <f t="array" ref="M1230">IFERROR(LOOKUP(2,1/(Table1[[#This Row],[2019-May]:[2025-July]]&lt;&gt;0),Table1[[#This Row],[2019-May]:[2025-July]]),0)</f>
        <v>0.5</v>
      </c>
      <c r="N1230" s="4">
        <f>COUNTIF(Table1[[#This Row],[2019-Apr]:[2025-July]],"&gt;="&amp;Table1[[#This Row],[Target]])</f>
        <v>0</v>
      </c>
      <c r="O1230" s="4">
        <f>IF(Table1[[#This Row],[Outliers 2Y]]=0,1,0)</f>
        <v>1</v>
      </c>
      <c r="P1230" s="4">
        <f>IF(Table1[[#This Row],[Last value]]&gt;1.5*Table1[[#This Row],[Target]],1,0)</f>
        <v>0</v>
      </c>
      <c r="Q1230" s="4">
        <f>IF(AND(1.5*Table1[[#This Row],[Target]]&gt;=Table1[[#This Row],[Last value]],Table1[[#This Row],[Last value]]&gt;Table1[[#This Row],[Target]]),1,0)</f>
        <v>0</v>
      </c>
      <c r="R1230" s="4">
        <f>IF(Table1[[#This Row],[Target]]&gt;=Table1[[#This Row],[Last value]],1,0)</f>
        <v>1</v>
      </c>
      <c r="S1230" s="4" t="str">
        <f t="shared" si="30"/>
        <v>Green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25">
        <v>0.5</v>
      </c>
      <c r="CM1230" s="4">
        <v>0</v>
      </c>
      <c r="CN1230" s="53">
        <v>0</v>
      </c>
      <c r="CO1230" s="54">
        <v>0.5</v>
      </c>
      <c r="CP1230" s="54">
        <v>0.5</v>
      </c>
      <c r="CQ1230" s="4">
        <v>0.5</v>
      </c>
    </row>
    <row r="1231" spans="1:95" s="55" customFormat="1" x14ac:dyDescent="0.35">
      <c r="A1231" s="55">
        <v>1230</v>
      </c>
      <c r="B1231" s="55" t="s">
        <v>1521</v>
      </c>
      <c r="C1231" s="51" t="s">
        <v>1522</v>
      </c>
      <c r="D1231" s="50" t="s">
        <v>93</v>
      </c>
      <c r="E1231" s="50" t="s">
        <v>89</v>
      </c>
      <c r="F1231" s="4">
        <f>IFERROR(AVERAGEIF(Table1[[#This Row],[2019-Apr]:[2025-July]],"&lt;&gt;0"),0)</f>
        <v>4.7</v>
      </c>
      <c r="G1231" s="4">
        <f ca="1">IFERROR(AVERAGEIF(OFFSET(Table1[[#This Row],[Status]],0,COUNT(Table1[[#This Row],[2019-May]:[2025-July]]),1,-12),"&lt;&gt;0"),0)</f>
        <v>4.7</v>
      </c>
      <c r="H1231" s="55">
        <f>IFERROR(SMALL(Table1[[#This Row],[2019-Apr]:[2025-July]],COUNTIF(Table1[[#This Row],[2019-Apr]:[2025-July]],0)+1),0)</f>
        <v>4.7</v>
      </c>
      <c r="I1231" s="56">
        <f>IFERROR(MAX(Table1[[#This Row],[2019-Apr]:[2025-July]]),0)</f>
        <v>4.7</v>
      </c>
      <c r="J1231" s="4" cm="1">
        <f t="array" ref="J123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4.7</v>
      </c>
      <c r="K1231" s="4">
        <v>4.5</v>
      </c>
      <c r="L1231" s="4">
        <f>IF(Table1[[#This Row],[Standard as per ISO]]&gt;=Table1[[#This Row],[Avg of best 6]],Table1[[#This Row],[Standard as per ISO]],Table1[[#This Row],[Avg of best 6]])</f>
        <v>4.7</v>
      </c>
      <c r="M1231" s="4" cm="1">
        <f t="array" ref="M1231">IFERROR(LOOKUP(2,1/(Table1[[#This Row],[2019-May]:[2025-July]]&lt;&gt;0),Table1[[#This Row],[2019-May]:[2025-July]]),0)</f>
        <v>4.7</v>
      </c>
      <c r="N1231" s="4">
        <f>COUNTIF(Table1[[#This Row],[2019-Apr]:[2025-July]],"&gt;="&amp;Table1[[#This Row],[Target]])</f>
        <v>1</v>
      </c>
      <c r="O1231" s="4">
        <f>IF(Table1[[#This Row],[Outliers 2Y]]=0,1,0)</f>
        <v>0</v>
      </c>
      <c r="P1231" s="4">
        <f>IF(Table1[[#This Row],[Last value]]&gt;1.5*Table1[[#This Row],[Target]],1,0)</f>
        <v>0</v>
      </c>
      <c r="Q1231" s="4">
        <f>IF(AND(1.5*Table1[[#This Row],[Target]]&gt;=Table1[[#This Row],[Last value]],Table1[[#This Row],[Last value]]&gt;Table1[[#This Row],[Target]]),1,0)</f>
        <v>0</v>
      </c>
      <c r="R1231" s="4">
        <f>IF(Table1[[#This Row],[Target]]&gt;=Table1[[#This Row],[Last value]],1,0)</f>
        <v>1</v>
      </c>
      <c r="S1231" s="4" t="str">
        <f>IF(P1231=1, "Red", IF(Q1231=1, "Yellow", "Green"))</f>
        <v>Green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0</v>
      </c>
      <c r="CP1231" s="54">
        <v>4.7</v>
      </c>
      <c r="CQ1231" s="4">
        <v>0</v>
      </c>
    </row>
    <row r="1232" spans="1:95" s="55" customFormat="1" x14ac:dyDescent="0.35">
      <c r="A1232" s="55">
        <v>1231</v>
      </c>
      <c r="B1232" s="55" t="s">
        <v>1521</v>
      </c>
      <c r="C1232" s="51" t="s">
        <v>1523</v>
      </c>
      <c r="D1232" s="50" t="s">
        <v>93</v>
      </c>
      <c r="E1232" s="50" t="s">
        <v>89</v>
      </c>
      <c r="F1232" s="4">
        <f>IFERROR(AVERAGEIF(Table1[[#This Row],[2019-Apr]:[2025-July]],"&lt;&gt;0"),0)</f>
        <v>0</v>
      </c>
      <c r="G1232" s="4">
        <f ca="1">IFERROR(AVERAGEIF(OFFSET(Table1[[#This Row],[Status]],0,COUNT(Table1[[#This Row],[2019-May]:[2025-July]]),1,-12),"&lt;&gt;0"),0)</f>
        <v>0</v>
      </c>
      <c r="H1232" s="55">
        <f>IFERROR(SMALL(Table1[[#This Row],[2019-Apr]:[2025-July]],COUNTIF(Table1[[#This Row],[2019-Apr]:[2025-July]],0)+1),0)</f>
        <v>0</v>
      </c>
      <c r="I1232" s="56">
        <f>IFERROR(MAX(Table1[[#This Row],[2019-Apr]:[2025-July]]),0)</f>
        <v>0</v>
      </c>
      <c r="J1232" s="58" cm="1">
        <f t="array" ref="J123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32" s="4">
        <v>4.5</v>
      </c>
      <c r="L1232" s="58">
        <f>IF(Table1[[#This Row],[Standard as per ISO]]&gt;=Table1[[#This Row],[Avg of best 6]],Table1[[#This Row],[Standard as per ISO]],Table1[[#This Row],[Avg of best 6]])</f>
        <v>4.5</v>
      </c>
      <c r="M1232" s="58" cm="1">
        <f t="array" ref="M1232">IFERROR(LOOKUP(2,1/(Table1[[#This Row],[2019-May]:[2025-July]]&lt;&gt;0),Table1[[#This Row],[2019-May]:[2025-July]]),0)</f>
        <v>0</v>
      </c>
      <c r="N1232" s="58">
        <f>COUNTIF(Table1[[#This Row],[2019-Apr]:[2025-July]],"&gt;="&amp;Table1[[#This Row],[Target]])</f>
        <v>0</v>
      </c>
      <c r="O1232" s="58">
        <f>IF(Table1[[#This Row],[Outliers 2Y]]=0,1,0)</f>
        <v>1</v>
      </c>
      <c r="P1232" s="58">
        <f>IF(Table1[[#This Row],[Last value]]&gt;1.5*Table1[[#This Row],[Target]],1,0)</f>
        <v>0</v>
      </c>
      <c r="Q1232" s="58">
        <f>IF(AND(1.5*Table1[[#This Row],[Target]]&gt;=Table1[[#This Row],[Last value]],Table1[[#This Row],[Last value]]&gt;Table1[[#This Row],[Target]]),1,0)</f>
        <v>0</v>
      </c>
      <c r="R1232" s="58">
        <f>IF(Table1[[#This Row],[Target]]&gt;=Table1[[#This Row],[Last value]],1,0)</f>
        <v>1</v>
      </c>
      <c r="S1232" s="58" t="str">
        <f>IF(P1232=1, "Red", IF(Q1232=1, "Yellow", "Green"))</f>
        <v>Green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0</v>
      </c>
      <c r="CP1232" s="54">
        <v>0</v>
      </c>
      <c r="CQ1232" s="4">
        <v>0</v>
      </c>
    </row>
    <row r="1233" spans="1:95" s="55" customFormat="1" x14ac:dyDescent="0.35">
      <c r="A1233" s="55">
        <v>1232</v>
      </c>
      <c r="B1233" s="55" t="s">
        <v>1521</v>
      </c>
      <c r="C1233" s="51" t="s">
        <v>1524</v>
      </c>
      <c r="D1233" s="50" t="s">
        <v>93</v>
      </c>
      <c r="E1233" s="50" t="s">
        <v>91</v>
      </c>
      <c r="F1233" s="4">
        <f>IFERROR(AVERAGEIF(Table1[[#This Row],[2019-Apr]:[2025-July]],"&lt;&gt;0"),0)</f>
        <v>0.9</v>
      </c>
      <c r="G1233" s="4">
        <f ca="1">IFERROR(AVERAGEIF(OFFSET(Table1[[#This Row],[Status]],0,COUNT(Table1[[#This Row],[2019-May]:[2025-July]]),1,-12),"&lt;&gt;0"),0)</f>
        <v>0.9</v>
      </c>
      <c r="H1233" s="55">
        <f>IFERROR(SMALL(Table1[[#This Row],[2019-Apr]:[2025-July]],COUNTIF(Table1[[#This Row],[2019-Apr]:[2025-July]],0)+1),0)</f>
        <v>0.9</v>
      </c>
      <c r="I1233" s="56">
        <f>IFERROR(MAX(Table1[[#This Row],[2019-Apr]:[2025-July]]),0)</f>
        <v>0.9</v>
      </c>
      <c r="J1233" s="4" cm="1">
        <f t="array" ref="J123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</v>
      </c>
      <c r="K1233" s="4">
        <v>4.5</v>
      </c>
      <c r="L1233" s="4">
        <f>IF(Table1[[#This Row],[Standard as per ISO]]&gt;=Table1[[#This Row],[Avg of best 6]],Table1[[#This Row],[Standard as per ISO]],Table1[[#This Row],[Avg of best 6]])</f>
        <v>4.5</v>
      </c>
      <c r="M1233" s="4" cm="1">
        <f t="array" ref="M1233">IFERROR(LOOKUP(2,1/(Table1[[#This Row],[2019-May]:[2025-July]]&lt;&gt;0),Table1[[#This Row],[2019-May]:[2025-July]]),0)</f>
        <v>0.9</v>
      </c>
      <c r="N1233" s="4">
        <f>COUNTIF(Table1[[#This Row],[2019-Apr]:[2025-July]],"&gt;="&amp;Table1[[#This Row],[Target]])</f>
        <v>0</v>
      </c>
      <c r="O1233" s="4">
        <f>IF(Table1[[#This Row],[Outliers 2Y]]=0,1,0)</f>
        <v>1</v>
      </c>
      <c r="P1233" s="4">
        <f>IF(Table1[[#This Row],[Last value]]&gt;1.5*Table1[[#This Row],[Target]],1,0)</f>
        <v>0</v>
      </c>
      <c r="Q1233" s="4">
        <f>IF(AND(1.5*Table1[[#This Row],[Target]]&gt;=Table1[[#This Row],[Last value]],Table1[[#This Row],[Last value]]&gt;Table1[[#This Row],[Target]]),1,0)</f>
        <v>0</v>
      </c>
      <c r="R1233" s="4">
        <f>IF(Table1[[#This Row],[Target]]&gt;=Table1[[#This Row],[Last value]],1,0)</f>
        <v>1</v>
      </c>
      <c r="S1233" s="4" t="str">
        <f t="shared" ref="S1233:S1265" si="31">IF(P1233=1, "Red", IF(Q1233=1, "Yellow", "Green"))</f>
        <v>Green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0</v>
      </c>
      <c r="CP1233" s="54">
        <v>0.9</v>
      </c>
      <c r="CQ1233" s="4">
        <v>0</v>
      </c>
    </row>
    <row r="1234" spans="1:95" s="55" customFormat="1" x14ac:dyDescent="0.35">
      <c r="A1234" s="55">
        <v>1233</v>
      </c>
      <c r="B1234" s="55" t="s">
        <v>1521</v>
      </c>
      <c r="C1234" s="51" t="s">
        <v>1525</v>
      </c>
      <c r="D1234" s="50" t="s">
        <v>93</v>
      </c>
      <c r="E1234" s="50" t="s">
        <v>91</v>
      </c>
      <c r="F1234" s="4">
        <f>IFERROR(AVERAGEIF(Table1[[#This Row],[2019-Apr]:[2025-July]],"&lt;&gt;0"),0)</f>
        <v>1.2</v>
      </c>
      <c r="G1234" s="4">
        <f ca="1">IFERROR(AVERAGEIF(OFFSET(Table1[[#This Row],[Status]],0,COUNT(Table1[[#This Row],[2019-May]:[2025-July]]),1,-12),"&lt;&gt;0"),0)</f>
        <v>1.2</v>
      </c>
      <c r="H1234" s="55">
        <f>IFERROR(SMALL(Table1[[#This Row],[2019-Apr]:[2025-July]],COUNTIF(Table1[[#This Row],[2019-Apr]:[2025-July]],0)+1),0)</f>
        <v>1.2</v>
      </c>
      <c r="I1234" s="56">
        <f>IFERROR(MAX(Table1[[#This Row],[2019-Apr]:[2025-July]]),0)</f>
        <v>1.2</v>
      </c>
      <c r="J1234" s="4" cm="1">
        <f t="array" ref="J123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</v>
      </c>
      <c r="K1234" s="4">
        <v>4.5</v>
      </c>
      <c r="L1234" s="4">
        <f>IF(Table1[[#This Row],[Standard as per ISO]]&gt;=Table1[[#This Row],[Avg of best 6]],Table1[[#This Row],[Standard as per ISO]],Table1[[#This Row],[Avg of best 6]])</f>
        <v>4.5</v>
      </c>
      <c r="M1234" s="4" cm="1">
        <f t="array" ref="M1234">IFERROR(LOOKUP(2,1/(Table1[[#This Row],[2019-May]:[2025-July]]&lt;&gt;0),Table1[[#This Row],[2019-May]:[2025-July]]),0)</f>
        <v>1.2</v>
      </c>
      <c r="N1234" s="4">
        <f>COUNTIF(Table1[[#This Row],[2019-Apr]:[2025-July]],"&gt;="&amp;Table1[[#This Row],[Target]])</f>
        <v>0</v>
      </c>
      <c r="O1234" s="4">
        <f>IF(Table1[[#This Row],[Outliers 2Y]]=0,1,0)</f>
        <v>1</v>
      </c>
      <c r="P1234" s="4">
        <f>IF(Table1[[#This Row],[Last value]]&gt;1.5*Table1[[#This Row],[Target]],1,0)</f>
        <v>0</v>
      </c>
      <c r="Q1234" s="4">
        <f>IF(AND(1.5*Table1[[#This Row],[Target]]&gt;=Table1[[#This Row],[Last value]],Table1[[#This Row],[Last value]]&gt;Table1[[#This Row],[Target]]),1,0)</f>
        <v>0</v>
      </c>
      <c r="R1234" s="4">
        <f>IF(Table1[[#This Row],[Target]]&gt;=Table1[[#This Row],[Last value]],1,0)</f>
        <v>1</v>
      </c>
      <c r="S1234" s="4" t="str">
        <f t="shared" si="31"/>
        <v>Green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0</v>
      </c>
      <c r="CP1234" s="54">
        <v>1.2</v>
      </c>
      <c r="CQ1234" s="4">
        <v>0</v>
      </c>
    </row>
    <row r="1235" spans="1:95" s="55" customFormat="1" x14ac:dyDescent="0.35">
      <c r="A1235" s="55">
        <v>1234</v>
      </c>
      <c r="B1235" s="55" t="s">
        <v>1521</v>
      </c>
      <c r="C1235" s="51" t="s">
        <v>1526</v>
      </c>
      <c r="D1235" s="50" t="s">
        <v>93</v>
      </c>
      <c r="E1235" s="50" t="s">
        <v>89</v>
      </c>
      <c r="F1235" s="4">
        <f>IFERROR(AVERAGEIF(Table1[[#This Row],[2019-Apr]:[2025-July]],"&lt;&gt;0"),0)</f>
        <v>1.1000000000000001</v>
      </c>
      <c r="G1235" s="4">
        <f ca="1">IFERROR(AVERAGEIF(OFFSET(Table1[[#This Row],[Status]],0,COUNT(Table1[[#This Row],[2019-May]:[2025-July]]),1,-12),"&lt;&gt;0"),0)</f>
        <v>1.1000000000000001</v>
      </c>
      <c r="H1235" s="55">
        <f>IFERROR(SMALL(Table1[[#This Row],[2019-Apr]:[2025-July]],COUNTIF(Table1[[#This Row],[2019-Apr]:[2025-July]],0)+1),0)</f>
        <v>1.1000000000000001</v>
      </c>
      <c r="I1235" s="56">
        <f>IFERROR(MAX(Table1[[#This Row],[2019-Apr]:[2025-July]]),0)</f>
        <v>1.1000000000000001</v>
      </c>
      <c r="J1235" s="4" cm="1">
        <f t="array" ref="J123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1.1000000000000001</v>
      </c>
      <c r="K1235" s="4">
        <v>4.5</v>
      </c>
      <c r="L1235" s="4">
        <f>IF(Table1[[#This Row],[Standard as per ISO]]&gt;=Table1[[#This Row],[Avg of best 6]],Table1[[#This Row],[Standard as per ISO]],Table1[[#This Row],[Avg of best 6]])</f>
        <v>4.5</v>
      </c>
      <c r="M1235" s="4" cm="1">
        <f t="array" ref="M1235">IFERROR(LOOKUP(2,1/(Table1[[#This Row],[2019-May]:[2025-July]]&lt;&gt;0),Table1[[#This Row],[2019-May]:[2025-July]]),0)</f>
        <v>1.1000000000000001</v>
      </c>
      <c r="N1235" s="4">
        <f>COUNTIF(Table1[[#This Row],[2019-Apr]:[2025-July]],"&gt;="&amp;Table1[[#This Row],[Target]])</f>
        <v>0</v>
      </c>
      <c r="O1235" s="4">
        <f>IF(Table1[[#This Row],[Outliers 2Y]]=0,1,0)</f>
        <v>1</v>
      </c>
      <c r="P1235" s="4">
        <f>IF(Table1[[#This Row],[Last value]]&gt;1.5*Table1[[#This Row],[Target]],1,0)</f>
        <v>0</v>
      </c>
      <c r="Q1235" s="4">
        <f>IF(AND(1.5*Table1[[#This Row],[Target]]&gt;=Table1[[#This Row],[Last value]],Table1[[#This Row],[Last value]]&gt;Table1[[#This Row],[Target]]),1,0)</f>
        <v>0</v>
      </c>
      <c r="R1235" s="4">
        <f>IF(Table1[[#This Row],[Target]]&gt;=Table1[[#This Row],[Last value]],1,0)</f>
        <v>1</v>
      </c>
      <c r="S1235" s="4" t="str">
        <f t="shared" si="31"/>
        <v>Green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0</v>
      </c>
      <c r="CP1235" s="54">
        <v>1.1000000000000001</v>
      </c>
      <c r="CQ1235" s="4">
        <v>0</v>
      </c>
    </row>
    <row r="1236" spans="1:95" s="55" customFormat="1" x14ac:dyDescent="0.35">
      <c r="A1236" s="55">
        <v>1235</v>
      </c>
      <c r="B1236" s="55" t="s">
        <v>1521</v>
      </c>
      <c r="C1236" s="51" t="s">
        <v>1527</v>
      </c>
      <c r="D1236" s="50" t="s">
        <v>93</v>
      </c>
      <c r="E1236" s="50" t="s">
        <v>89</v>
      </c>
      <c r="F1236" s="4">
        <f>IFERROR(AVERAGEIF(Table1[[#This Row],[2019-Apr]:[2025-July]],"&lt;&gt;0"),0)</f>
        <v>0</v>
      </c>
      <c r="G1236" s="4">
        <f ca="1">IFERROR(AVERAGEIF(OFFSET(Table1[[#This Row],[Status]],0,COUNT(Table1[[#This Row],[2019-May]:[2025-July]]),1,-12),"&lt;&gt;0"),0)</f>
        <v>0</v>
      </c>
      <c r="H1236" s="55">
        <f>IFERROR(SMALL(Table1[[#This Row],[2019-Apr]:[2025-July]],COUNTIF(Table1[[#This Row],[2019-Apr]:[2025-July]],0)+1),0)</f>
        <v>0</v>
      </c>
      <c r="I1236" s="56">
        <f>IFERROR(MAX(Table1[[#This Row],[2019-Apr]:[2025-July]]),0)</f>
        <v>0</v>
      </c>
      <c r="J1236" s="4" cm="1">
        <f t="array" ref="J123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36" s="4">
        <v>4.5</v>
      </c>
      <c r="L1236" s="4">
        <f>IF(Table1[[#This Row],[Standard as per ISO]]&gt;=Table1[[#This Row],[Avg of best 6]],Table1[[#This Row],[Standard as per ISO]],Table1[[#This Row],[Avg of best 6]])</f>
        <v>4.5</v>
      </c>
      <c r="M1236" s="4" cm="1">
        <f t="array" ref="M1236">IFERROR(LOOKUP(2,1/(Table1[[#This Row],[2019-May]:[2025-July]]&lt;&gt;0),Table1[[#This Row],[2019-May]:[2025-July]]),0)</f>
        <v>0</v>
      </c>
      <c r="N1236" s="4">
        <f>COUNTIF(Table1[[#This Row],[2019-Apr]:[2025-July]],"&gt;="&amp;Table1[[#This Row],[Target]])</f>
        <v>0</v>
      </c>
      <c r="O1236" s="4">
        <f>IF(Table1[[#This Row],[Outliers 2Y]]=0,1,0)</f>
        <v>1</v>
      </c>
      <c r="P1236" s="4">
        <f>IF(Table1[[#This Row],[Last value]]&gt;1.5*Table1[[#This Row],[Target]],1,0)</f>
        <v>0</v>
      </c>
      <c r="Q1236" s="4">
        <f>IF(AND(1.5*Table1[[#This Row],[Target]]&gt;=Table1[[#This Row],[Last value]],Table1[[#This Row],[Last value]]&gt;Table1[[#This Row],[Target]]),1,0)</f>
        <v>0</v>
      </c>
      <c r="R1236" s="4">
        <f>IF(Table1[[#This Row],[Target]]&gt;=Table1[[#This Row],[Last value]],1,0)</f>
        <v>1</v>
      </c>
      <c r="S1236" s="4" t="str">
        <f t="shared" si="31"/>
        <v>Green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0</v>
      </c>
      <c r="CP1236" s="54">
        <v>0</v>
      </c>
      <c r="CQ1236" s="4">
        <v>0</v>
      </c>
    </row>
    <row r="1237" spans="1:95" s="55" customFormat="1" x14ac:dyDescent="0.35">
      <c r="A1237" s="55">
        <v>1236</v>
      </c>
      <c r="B1237" s="55" t="s">
        <v>1521</v>
      </c>
      <c r="C1237" s="51" t="s">
        <v>1528</v>
      </c>
      <c r="D1237" s="50" t="s">
        <v>93</v>
      </c>
      <c r="E1237" s="50" t="s">
        <v>89</v>
      </c>
      <c r="F1237" s="4">
        <f>IFERROR(AVERAGEIF(Table1[[#This Row],[2019-Apr]:[2025-July]],"&lt;&gt;0"),0)</f>
        <v>2.15</v>
      </c>
      <c r="G1237" s="4">
        <f ca="1">IFERROR(AVERAGEIF(OFFSET(Table1[[#This Row],[Status]],0,COUNT(Table1[[#This Row],[2019-May]:[2025-July]]),1,-12),"&lt;&gt;0"),0)</f>
        <v>1.5</v>
      </c>
      <c r="H1237" s="55">
        <f>IFERROR(SMALL(Table1[[#This Row],[2019-Apr]:[2025-July]],COUNTIF(Table1[[#This Row],[2019-Apr]:[2025-July]],0)+1),0)</f>
        <v>1.5</v>
      </c>
      <c r="I1237" s="56">
        <f>IFERROR(MAX(Table1[[#This Row],[2019-Apr]:[2025-July]]),0)</f>
        <v>2.8</v>
      </c>
      <c r="J1237" s="4" cm="1">
        <f t="array" ref="J123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2.15</v>
      </c>
      <c r="K1237" s="4">
        <v>4.5</v>
      </c>
      <c r="L1237" s="4">
        <f>IF(Table1[[#This Row],[Standard as per ISO]]&gt;=Table1[[#This Row],[Avg of best 6]],Table1[[#This Row],[Standard as per ISO]],Table1[[#This Row],[Avg of best 6]])</f>
        <v>4.5</v>
      </c>
      <c r="M1237" s="4" cm="1">
        <f t="array" ref="M1237">IFERROR(LOOKUP(2,1/(Table1[[#This Row],[2019-May]:[2025-July]]&lt;&gt;0),Table1[[#This Row],[2019-May]:[2025-July]]),0)</f>
        <v>2.8</v>
      </c>
      <c r="N1237" s="4">
        <f>COUNTIF(Table1[[#This Row],[2019-Apr]:[2025-July]],"&gt;="&amp;Table1[[#This Row],[Target]])</f>
        <v>0</v>
      </c>
      <c r="O1237" s="4">
        <f>IF(Table1[[#This Row],[Outliers 2Y]]=0,1,0)</f>
        <v>1</v>
      </c>
      <c r="P1237" s="4">
        <f>IF(Table1[[#This Row],[Last value]]&gt;1.5*Table1[[#This Row],[Target]],1,0)</f>
        <v>0</v>
      </c>
      <c r="Q1237" s="4">
        <f>IF(AND(1.5*Table1[[#This Row],[Target]]&gt;=Table1[[#This Row],[Last value]],Table1[[#This Row],[Last value]]&gt;Table1[[#This Row],[Target]]),1,0)</f>
        <v>0</v>
      </c>
      <c r="R1237" s="4">
        <f>IF(Table1[[#This Row],[Target]]&gt;=Table1[[#This Row],[Last value]],1,0)</f>
        <v>1</v>
      </c>
      <c r="S1237" s="4" t="str">
        <f t="shared" si="31"/>
        <v>Green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0</v>
      </c>
      <c r="CP1237" s="54">
        <v>1.5</v>
      </c>
      <c r="CQ1237" s="4">
        <v>2.8</v>
      </c>
    </row>
    <row r="1238" spans="1:95" s="55" customFormat="1" x14ac:dyDescent="0.35">
      <c r="A1238" s="55">
        <v>1237</v>
      </c>
      <c r="B1238" s="55" t="s">
        <v>1521</v>
      </c>
      <c r="C1238" s="51" t="s">
        <v>1529</v>
      </c>
      <c r="D1238" s="50" t="s">
        <v>93</v>
      </c>
      <c r="E1238" s="50" t="s">
        <v>89</v>
      </c>
      <c r="F1238" s="4">
        <f>IFERROR(AVERAGEIF(Table1[[#This Row],[2019-Apr]:[2025-July]],"&lt;&gt;0"),0)</f>
        <v>2.15</v>
      </c>
      <c r="G1238" s="4">
        <f ca="1">IFERROR(AVERAGEIF(OFFSET(Table1[[#This Row],[Status]],0,COUNT(Table1[[#This Row],[2019-May]:[2025-July]]),1,-12),"&lt;&gt;0"),0)</f>
        <v>1.8</v>
      </c>
      <c r="H1238" s="55">
        <f>IFERROR(SMALL(Table1[[#This Row],[2019-Apr]:[2025-July]],COUNTIF(Table1[[#This Row],[2019-Apr]:[2025-July]],0)+1),0)</f>
        <v>1.8</v>
      </c>
      <c r="I1238" s="56">
        <f>IFERROR(MAX(Table1[[#This Row],[2019-Apr]:[2025-July]]),0)</f>
        <v>2.5</v>
      </c>
      <c r="J1238" s="4" cm="1">
        <f t="array" ref="J123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2.15</v>
      </c>
      <c r="K1238" s="4">
        <v>4.5</v>
      </c>
      <c r="L1238" s="4">
        <f>IF(Table1[[#This Row],[Standard as per ISO]]&gt;=Table1[[#This Row],[Avg of best 6]],Table1[[#This Row],[Standard as per ISO]],Table1[[#This Row],[Avg of best 6]])</f>
        <v>4.5</v>
      </c>
      <c r="M1238" s="4" cm="1">
        <f t="array" ref="M1238">IFERROR(LOOKUP(2,1/(Table1[[#This Row],[2019-May]:[2025-July]]&lt;&gt;0),Table1[[#This Row],[2019-May]:[2025-July]]),0)</f>
        <v>2.5</v>
      </c>
      <c r="N1238" s="4">
        <f>COUNTIF(Table1[[#This Row],[2019-Apr]:[2025-July]],"&gt;="&amp;Table1[[#This Row],[Target]])</f>
        <v>0</v>
      </c>
      <c r="O1238" s="4">
        <f>IF(Table1[[#This Row],[Outliers 2Y]]=0,1,0)</f>
        <v>1</v>
      </c>
      <c r="P1238" s="4">
        <f>IF(Table1[[#This Row],[Last value]]&gt;1.5*Table1[[#This Row],[Target]],1,0)</f>
        <v>0</v>
      </c>
      <c r="Q1238" s="4">
        <f>IF(AND(1.5*Table1[[#This Row],[Target]]&gt;=Table1[[#This Row],[Last value]],Table1[[#This Row],[Last value]]&gt;Table1[[#This Row],[Target]]),1,0)</f>
        <v>0</v>
      </c>
      <c r="R1238" s="4">
        <f>IF(Table1[[#This Row],[Target]]&gt;=Table1[[#This Row],[Last value]],1,0)</f>
        <v>1</v>
      </c>
      <c r="S1238" s="4" t="str">
        <f t="shared" si="31"/>
        <v>Green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0</v>
      </c>
      <c r="CP1238" s="54">
        <v>1.8</v>
      </c>
      <c r="CQ1238" s="4">
        <v>2.5</v>
      </c>
    </row>
    <row r="1239" spans="1:95" s="55" customFormat="1" x14ac:dyDescent="0.35">
      <c r="A1239" s="55">
        <v>1238</v>
      </c>
      <c r="B1239" s="55" t="s">
        <v>1521</v>
      </c>
      <c r="C1239" s="51" t="s">
        <v>1530</v>
      </c>
      <c r="D1239" s="50" t="s">
        <v>93</v>
      </c>
      <c r="E1239" s="50" t="s">
        <v>89</v>
      </c>
      <c r="F1239" s="4">
        <f>IFERROR(AVERAGEIF(Table1[[#This Row],[2019-Apr]:[2025-July]],"&lt;&gt;0"),0)</f>
        <v>3.1</v>
      </c>
      <c r="G1239" s="4">
        <f ca="1">IFERROR(AVERAGEIF(OFFSET(Table1[[#This Row],[Status]],0,COUNT(Table1[[#This Row],[2019-May]:[2025-July]]),1,-12),"&lt;&gt;0"),0)</f>
        <v>2.7</v>
      </c>
      <c r="H1239" s="55">
        <f>IFERROR(SMALL(Table1[[#This Row],[2019-Apr]:[2025-July]],COUNTIF(Table1[[#This Row],[2019-Apr]:[2025-July]],0)+1),0)</f>
        <v>2.7</v>
      </c>
      <c r="I1239" s="56">
        <f>IFERROR(MAX(Table1[[#This Row],[2019-Apr]:[2025-July]]),0)</f>
        <v>3.5</v>
      </c>
      <c r="J1239" s="4" cm="1">
        <f t="array" ref="J123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</v>
      </c>
      <c r="K1239" s="4">
        <v>4.5</v>
      </c>
      <c r="L1239" s="4">
        <f>IF(Table1[[#This Row],[Standard as per ISO]]&gt;=Table1[[#This Row],[Avg of best 6]],Table1[[#This Row],[Standard as per ISO]],Table1[[#This Row],[Avg of best 6]])</f>
        <v>4.5</v>
      </c>
      <c r="M1239" s="4" cm="1">
        <f t="array" ref="M1239">IFERROR(LOOKUP(2,1/(Table1[[#This Row],[2019-May]:[2025-July]]&lt;&gt;0),Table1[[#This Row],[2019-May]:[2025-July]]),0)</f>
        <v>3.5</v>
      </c>
      <c r="N1239" s="4">
        <f>COUNTIF(Table1[[#This Row],[2019-Apr]:[2025-July]],"&gt;="&amp;Table1[[#This Row],[Target]])</f>
        <v>0</v>
      </c>
      <c r="O1239" s="4">
        <f>IF(Table1[[#This Row],[Outliers 2Y]]=0,1,0)</f>
        <v>1</v>
      </c>
      <c r="P1239" s="4">
        <f>IF(Table1[[#This Row],[Last value]]&gt;1.5*Table1[[#This Row],[Target]],1,0)</f>
        <v>0</v>
      </c>
      <c r="Q1239" s="4">
        <f>IF(AND(1.5*Table1[[#This Row],[Target]]&gt;=Table1[[#This Row],[Last value]],Table1[[#This Row],[Last value]]&gt;Table1[[#This Row],[Target]]),1,0)</f>
        <v>0</v>
      </c>
      <c r="R1239" s="4">
        <f>IF(Table1[[#This Row],[Target]]&gt;=Table1[[#This Row],[Last value]],1,0)</f>
        <v>1</v>
      </c>
      <c r="S1239" s="4" t="str">
        <f t="shared" si="31"/>
        <v>Green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0</v>
      </c>
      <c r="CP1239" s="54">
        <v>2.7</v>
      </c>
      <c r="CQ1239" s="4">
        <v>3.5</v>
      </c>
    </row>
    <row r="1240" spans="1:95" s="55" customFormat="1" x14ac:dyDescent="0.35">
      <c r="A1240" s="55">
        <v>1239</v>
      </c>
      <c r="B1240" s="55" t="s">
        <v>1521</v>
      </c>
      <c r="C1240" s="51" t="s">
        <v>1531</v>
      </c>
      <c r="D1240" s="50" t="s">
        <v>93</v>
      </c>
      <c r="E1240" s="50" t="s">
        <v>89</v>
      </c>
      <c r="F1240" s="4">
        <f>IFERROR(AVERAGEIF(Table1[[#This Row],[2019-Apr]:[2025-July]],"&lt;&gt;0"),0)</f>
        <v>3.05</v>
      </c>
      <c r="G1240" s="4">
        <f ca="1">IFERROR(AVERAGEIF(OFFSET(Table1[[#This Row],[Status]],0,COUNT(Table1[[#This Row],[2019-May]:[2025-July]]),1,-12),"&lt;&gt;0"),0)</f>
        <v>3.4</v>
      </c>
      <c r="H1240" s="55">
        <f>IFERROR(SMALL(Table1[[#This Row],[2019-Apr]:[2025-July]],COUNTIF(Table1[[#This Row],[2019-Apr]:[2025-July]],0)+1),0)</f>
        <v>2.7</v>
      </c>
      <c r="I1240" s="56">
        <f>IFERROR(MAX(Table1[[#This Row],[2019-Apr]:[2025-July]]),0)</f>
        <v>3.4</v>
      </c>
      <c r="J1240" s="4" cm="1">
        <f t="array" ref="J124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3.05</v>
      </c>
      <c r="K1240" s="4">
        <v>4.5</v>
      </c>
      <c r="L1240" s="4">
        <f>IF(Table1[[#This Row],[Standard as per ISO]]&gt;=Table1[[#This Row],[Avg of best 6]],Table1[[#This Row],[Standard as per ISO]],Table1[[#This Row],[Avg of best 6]])</f>
        <v>4.5</v>
      </c>
      <c r="M1240" s="4" cm="1">
        <f t="array" ref="M1240">IFERROR(LOOKUP(2,1/(Table1[[#This Row],[2019-May]:[2025-July]]&lt;&gt;0),Table1[[#This Row],[2019-May]:[2025-July]]),0)</f>
        <v>2.7</v>
      </c>
      <c r="N1240" s="4">
        <f>COUNTIF(Table1[[#This Row],[2019-Apr]:[2025-July]],"&gt;="&amp;Table1[[#This Row],[Target]])</f>
        <v>0</v>
      </c>
      <c r="O1240" s="4">
        <f>IF(Table1[[#This Row],[Outliers 2Y]]=0,1,0)</f>
        <v>1</v>
      </c>
      <c r="P1240" s="4">
        <f>IF(Table1[[#This Row],[Last value]]&gt;1.5*Table1[[#This Row],[Target]],1,0)</f>
        <v>0</v>
      </c>
      <c r="Q1240" s="4">
        <f>IF(AND(1.5*Table1[[#This Row],[Target]]&gt;=Table1[[#This Row],[Last value]],Table1[[#This Row],[Last value]]&gt;Table1[[#This Row],[Target]]),1,0)</f>
        <v>0</v>
      </c>
      <c r="R1240" s="4">
        <f>IF(Table1[[#This Row],[Target]]&gt;=Table1[[#This Row],[Last value]],1,0)</f>
        <v>1</v>
      </c>
      <c r="S1240" s="4" t="str">
        <f t="shared" si="31"/>
        <v>Green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0</v>
      </c>
      <c r="CP1240" s="54">
        <v>3.4</v>
      </c>
      <c r="CQ1240" s="4">
        <v>2.7</v>
      </c>
    </row>
    <row r="1241" spans="1:95" s="55" customFormat="1" x14ac:dyDescent="0.35">
      <c r="A1241" s="55">
        <v>1240</v>
      </c>
      <c r="B1241" s="55" t="s">
        <v>1521</v>
      </c>
      <c r="C1241" s="51" t="s">
        <v>1532</v>
      </c>
      <c r="D1241" s="50" t="s">
        <v>93</v>
      </c>
      <c r="E1241" s="50" t="s">
        <v>91</v>
      </c>
      <c r="F1241" s="4">
        <f>IFERROR(AVERAGEIF(Table1[[#This Row],[2019-Apr]:[2025-July]],"&lt;&gt;0"),0)</f>
        <v>0.7</v>
      </c>
      <c r="G1241" s="4">
        <f ca="1">IFERROR(AVERAGEIF(OFFSET(Table1[[#This Row],[Status]],0,COUNT(Table1[[#This Row],[2019-May]:[2025-July]]),1,-12),"&lt;&gt;0"),0)</f>
        <v>0.7</v>
      </c>
      <c r="H1241" s="55">
        <f>IFERROR(SMALL(Table1[[#This Row],[2019-Apr]:[2025-July]],COUNTIF(Table1[[#This Row],[2019-Apr]:[2025-July]],0)+1),0)</f>
        <v>0.7</v>
      </c>
      <c r="I1241" s="56">
        <f>IFERROR(MAX(Table1[[#This Row],[2019-Apr]:[2025-July]]),0)</f>
        <v>0.7</v>
      </c>
      <c r="J1241" s="4" cm="1">
        <f t="array" ref="J124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</v>
      </c>
      <c r="K1241" s="4">
        <v>4.5</v>
      </c>
      <c r="L1241" s="4">
        <f>IF(Table1[[#This Row],[Standard as per ISO]]&gt;=Table1[[#This Row],[Avg of best 6]],Table1[[#This Row],[Standard as per ISO]],Table1[[#This Row],[Avg of best 6]])</f>
        <v>4.5</v>
      </c>
      <c r="M1241" s="4" cm="1">
        <f t="array" ref="M1241">IFERROR(LOOKUP(2,1/(Table1[[#This Row],[2019-May]:[2025-July]]&lt;&gt;0),Table1[[#This Row],[2019-May]:[2025-July]]),0)</f>
        <v>0.7</v>
      </c>
      <c r="N1241" s="4">
        <f>COUNTIF(Table1[[#This Row],[2019-Apr]:[2025-July]],"&gt;="&amp;Table1[[#This Row],[Target]])</f>
        <v>0</v>
      </c>
      <c r="O1241" s="4">
        <f>IF(Table1[[#This Row],[Outliers 2Y]]=0,1,0)</f>
        <v>1</v>
      </c>
      <c r="P1241" s="4">
        <f>IF(Table1[[#This Row],[Last value]]&gt;1.5*Table1[[#This Row],[Target]],1,0)</f>
        <v>0</v>
      </c>
      <c r="Q1241" s="4">
        <f>IF(AND(1.5*Table1[[#This Row],[Target]]&gt;=Table1[[#This Row],[Last value]],Table1[[#This Row],[Last value]]&gt;Table1[[#This Row],[Target]]),1,0)</f>
        <v>0</v>
      </c>
      <c r="R1241" s="4">
        <f>IF(Table1[[#This Row],[Target]]&gt;=Table1[[#This Row],[Last value]],1,0)</f>
        <v>1</v>
      </c>
      <c r="S1241" s="4" t="str">
        <f t="shared" si="31"/>
        <v>Green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0</v>
      </c>
      <c r="CP1241" s="54">
        <v>0.7</v>
      </c>
      <c r="CQ1241" s="4">
        <v>0</v>
      </c>
    </row>
    <row r="1242" spans="1:95" s="55" customFormat="1" x14ac:dyDescent="0.35">
      <c r="A1242" s="55">
        <v>1241</v>
      </c>
      <c r="B1242" s="55" t="s">
        <v>1521</v>
      </c>
      <c r="C1242" s="51" t="s">
        <v>1533</v>
      </c>
      <c r="D1242" s="50" t="s">
        <v>93</v>
      </c>
      <c r="E1242" s="50" t="s">
        <v>89</v>
      </c>
      <c r="F1242" s="4">
        <f>IFERROR(AVERAGEIF(Table1[[#This Row],[2019-Apr]:[2025-July]],"&lt;&gt;0"),0)</f>
        <v>4.4000000000000004</v>
      </c>
      <c r="G1242" s="4">
        <f ca="1">IFERROR(AVERAGEIF(OFFSET(Table1[[#This Row],[Status]],0,COUNT(Table1[[#This Row],[2019-May]:[2025-July]]),1,-12),"&lt;&gt;0"),0)</f>
        <v>4.4000000000000004</v>
      </c>
      <c r="H1242" s="55">
        <f>IFERROR(SMALL(Table1[[#This Row],[2019-Apr]:[2025-July]],COUNTIF(Table1[[#This Row],[2019-Apr]:[2025-July]],0)+1),0)</f>
        <v>4.4000000000000004</v>
      </c>
      <c r="I1242" s="56">
        <f>IFERROR(MAX(Table1[[#This Row],[2019-Apr]:[2025-July]]),0)</f>
        <v>4.4000000000000004</v>
      </c>
      <c r="J1242" s="4" cm="1">
        <f t="array" ref="J124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4.4000000000000004</v>
      </c>
      <c r="K1242" s="4">
        <v>4.5</v>
      </c>
      <c r="L1242" s="4">
        <f>IF(Table1[[#This Row],[Standard as per ISO]]&gt;=Table1[[#This Row],[Avg of best 6]],Table1[[#This Row],[Standard as per ISO]],Table1[[#This Row],[Avg of best 6]])</f>
        <v>4.5</v>
      </c>
      <c r="M1242" s="4" cm="1">
        <f t="array" ref="M1242">IFERROR(LOOKUP(2,1/(Table1[[#This Row],[2019-May]:[2025-July]]&lt;&gt;0),Table1[[#This Row],[2019-May]:[2025-July]]),0)</f>
        <v>4.4000000000000004</v>
      </c>
      <c r="N1242" s="4">
        <f>COUNTIF(Table1[[#This Row],[2019-Apr]:[2025-July]],"&gt;="&amp;Table1[[#This Row],[Target]])</f>
        <v>0</v>
      </c>
      <c r="O1242" s="4">
        <f>IF(Table1[[#This Row],[Outliers 2Y]]=0,1,0)</f>
        <v>1</v>
      </c>
      <c r="P1242" s="4">
        <f>IF(Table1[[#This Row],[Last value]]&gt;1.5*Table1[[#This Row],[Target]],1,0)</f>
        <v>0</v>
      </c>
      <c r="Q1242" s="4">
        <f>IF(AND(1.5*Table1[[#This Row],[Target]]&gt;=Table1[[#This Row],[Last value]],Table1[[#This Row],[Last value]]&gt;Table1[[#This Row],[Target]]),1,0)</f>
        <v>0</v>
      </c>
      <c r="R1242" s="4">
        <f>IF(Table1[[#This Row],[Target]]&gt;=Table1[[#This Row],[Last value]],1,0)</f>
        <v>1</v>
      </c>
      <c r="S1242" s="4" t="str">
        <f t="shared" si="31"/>
        <v>Green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0</v>
      </c>
      <c r="CP1242" s="54">
        <v>4.4000000000000004</v>
      </c>
      <c r="CQ1242" s="4">
        <v>0</v>
      </c>
    </row>
    <row r="1243" spans="1:95" s="55" customFormat="1" x14ac:dyDescent="0.35">
      <c r="A1243" s="55">
        <v>1242</v>
      </c>
      <c r="B1243" s="55" t="s">
        <v>1521</v>
      </c>
      <c r="C1243" s="51" t="s">
        <v>1534</v>
      </c>
      <c r="D1243" s="50" t="s">
        <v>93</v>
      </c>
      <c r="E1243" s="50" t="s">
        <v>89</v>
      </c>
      <c r="F1243" s="4">
        <f>IFERROR(AVERAGEIF(Table1[[#This Row],[2019-Apr]:[2025-July]],"&lt;&gt;0"),0)</f>
        <v>1.75</v>
      </c>
      <c r="G1243" s="4">
        <f ca="1">IFERROR(AVERAGEIF(OFFSET(Table1[[#This Row],[Status]],0,COUNT(Table1[[#This Row],[2019-May]:[2025-July]]),1,-12),"&lt;&gt;0"),0)</f>
        <v>1.2</v>
      </c>
      <c r="H1243" s="55">
        <f>IFERROR(SMALL(Table1[[#This Row],[2019-Apr]:[2025-July]],COUNTIF(Table1[[#This Row],[2019-Apr]:[2025-July]],0)+1),0)</f>
        <v>1.2</v>
      </c>
      <c r="I1243" s="56">
        <f>IFERROR(MAX(Table1[[#This Row],[2019-Apr]:[2025-July]]),0)</f>
        <v>2.2999999999999998</v>
      </c>
      <c r="J1243" s="4" cm="1">
        <f t="array" ref="J124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1.75</v>
      </c>
      <c r="K1243" s="4">
        <v>4.5</v>
      </c>
      <c r="L1243" s="4">
        <f>IF(Table1[[#This Row],[Standard as per ISO]]&gt;=Table1[[#This Row],[Avg of best 6]],Table1[[#This Row],[Standard as per ISO]],Table1[[#This Row],[Avg of best 6]])</f>
        <v>4.5</v>
      </c>
      <c r="M1243" s="4" cm="1">
        <f t="array" ref="M1243">IFERROR(LOOKUP(2,1/(Table1[[#This Row],[2019-May]:[2025-July]]&lt;&gt;0),Table1[[#This Row],[2019-May]:[2025-July]]),0)</f>
        <v>2.2999999999999998</v>
      </c>
      <c r="N1243" s="4">
        <f>COUNTIF(Table1[[#This Row],[2019-Apr]:[2025-July]],"&gt;="&amp;Table1[[#This Row],[Target]])</f>
        <v>0</v>
      </c>
      <c r="O1243" s="4">
        <f>IF(Table1[[#This Row],[Outliers 2Y]]=0,1,0)</f>
        <v>1</v>
      </c>
      <c r="P1243" s="4">
        <f>IF(Table1[[#This Row],[Last value]]&gt;1.5*Table1[[#This Row],[Target]],1,0)</f>
        <v>0</v>
      </c>
      <c r="Q1243" s="4">
        <f>IF(AND(1.5*Table1[[#This Row],[Target]]&gt;=Table1[[#This Row],[Last value]],Table1[[#This Row],[Last value]]&gt;Table1[[#This Row],[Target]]),1,0)</f>
        <v>0</v>
      </c>
      <c r="R1243" s="4">
        <f>IF(Table1[[#This Row],[Target]]&gt;=Table1[[#This Row],[Last value]],1,0)</f>
        <v>1</v>
      </c>
      <c r="S1243" s="4" t="str">
        <f t="shared" si="31"/>
        <v>Green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0</v>
      </c>
      <c r="CP1243" s="54">
        <v>1.2</v>
      </c>
      <c r="CQ1243" s="4">
        <v>2.2999999999999998</v>
      </c>
    </row>
    <row r="1244" spans="1:95" s="55" customFormat="1" x14ac:dyDescent="0.35">
      <c r="A1244" s="55">
        <v>1243</v>
      </c>
      <c r="B1244" s="55" t="s">
        <v>1521</v>
      </c>
      <c r="C1244" s="51" t="s">
        <v>1535</v>
      </c>
      <c r="D1244" s="50" t="s">
        <v>93</v>
      </c>
      <c r="E1244" s="50" t="s">
        <v>89</v>
      </c>
      <c r="F1244" s="4">
        <f>IFERROR(AVERAGEIF(Table1[[#This Row],[2019-Apr]:[2025-July]],"&lt;&gt;0"),0)</f>
        <v>3.6</v>
      </c>
      <c r="G1244" s="4">
        <f ca="1">IFERROR(AVERAGEIF(OFFSET(Table1[[#This Row],[Status]],0,COUNT(Table1[[#This Row],[2019-May]:[2025-July]]),1,-12),"&lt;&gt;0"),0)</f>
        <v>3.6</v>
      </c>
      <c r="H1244" s="55">
        <f>IFERROR(SMALL(Table1[[#This Row],[2019-Apr]:[2025-July]],COUNTIF(Table1[[#This Row],[2019-Apr]:[2025-July]],0)+1),0)</f>
        <v>3.6</v>
      </c>
      <c r="I1244" s="56">
        <f>IFERROR(MAX(Table1[[#This Row],[2019-Apr]:[2025-July]]),0)</f>
        <v>3.6</v>
      </c>
      <c r="J1244" s="4" cm="1">
        <f t="array" ref="J124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3.6</v>
      </c>
      <c r="K1244" s="4">
        <v>4.5</v>
      </c>
      <c r="L1244" s="4">
        <f>IF(Table1[[#This Row],[Standard as per ISO]]&gt;=Table1[[#This Row],[Avg of best 6]],Table1[[#This Row],[Standard as per ISO]],Table1[[#This Row],[Avg of best 6]])</f>
        <v>4.5</v>
      </c>
      <c r="M1244" s="4" cm="1">
        <f t="array" ref="M1244">IFERROR(LOOKUP(2,1/(Table1[[#This Row],[2019-May]:[2025-July]]&lt;&gt;0),Table1[[#This Row],[2019-May]:[2025-July]]),0)</f>
        <v>3.6</v>
      </c>
      <c r="N1244" s="4">
        <f>COUNTIF(Table1[[#This Row],[2019-Apr]:[2025-July]],"&gt;="&amp;Table1[[#This Row],[Target]])</f>
        <v>0</v>
      </c>
      <c r="O1244" s="4">
        <f>IF(Table1[[#This Row],[Outliers 2Y]]=0,1,0)</f>
        <v>1</v>
      </c>
      <c r="P1244" s="4">
        <f>IF(Table1[[#This Row],[Last value]]&gt;1.5*Table1[[#This Row],[Target]],1,0)</f>
        <v>0</v>
      </c>
      <c r="Q1244" s="4">
        <f>IF(AND(1.5*Table1[[#This Row],[Target]]&gt;=Table1[[#This Row],[Last value]],Table1[[#This Row],[Last value]]&gt;Table1[[#This Row],[Target]]),1,0)</f>
        <v>0</v>
      </c>
      <c r="R1244" s="4">
        <f>IF(Table1[[#This Row],[Target]]&gt;=Table1[[#This Row],[Last value]],1,0)</f>
        <v>1</v>
      </c>
      <c r="S1244" s="4" t="str">
        <f t="shared" si="31"/>
        <v>Green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0</v>
      </c>
      <c r="CP1244" s="54">
        <v>3.6</v>
      </c>
      <c r="CQ1244" s="4">
        <v>0</v>
      </c>
    </row>
    <row r="1245" spans="1:95" s="55" customFormat="1" x14ac:dyDescent="0.35">
      <c r="A1245" s="55">
        <v>1244</v>
      </c>
      <c r="B1245" s="55" t="s">
        <v>1521</v>
      </c>
      <c r="C1245" s="51" t="s">
        <v>1536</v>
      </c>
      <c r="D1245" s="50" t="s">
        <v>93</v>
      </c>
      <c r="E1245" s="50" t="s">
        <v>89</v>
      </c>
      <c r="F1245" s="4">
        <f>IFERROR(AVERAGEIF(Table1[[#This Row],[2019-Apr]:[2025-July]],"&lt;&gt;0"),0)</f>
        <v>1</v>
      </c>
      <c r="G1245" s="4">
        <f ca="1">IFERROR(AVERAGEIF(OFFSET(Table1[[#This Row],[Status]],0,COUNT(Table1[[#This Row],[2019-May]:[2025-July]]),1,-12),"&lt;&gt;0"),0)</f>
        <v>0</v>
      </c>
      <c r="H1245" s="55">
        <f>IFERROR(SMALL(Table1[[#This Row],[2019-Apr]:[2025-July]],COUNTIF(Table1[[#This Row],[2019-Apr]:[2025-July]],0)+1),0)</f>
        <v>1</v>
      </c>
      <c r="I1245" s="56">
        <f>IFERROR(MAX(Table1[[#This Row],[2019-Apr]:[2025-July]]),0)</f>
        <v>1</v>
      </c>
      <c r="J1245" s="4" cm="1">
        <f t="array" ref="J124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</v>
      </c>
      <c r="K1245" s="4">
        <v>4.5</v>
      </c>
      <c r="L1245" s="4">
        <f>IF(Table1[[#This Row],[Standard as per ISO]]&gt;=Table1[[#This Row],[Avg of best 6]],Table1[[#This Row],[Standard as per ISO]],Table1[[#This Row],[Avg of best 6]])</f>
        <v>4.5</v>
      </c>
      <c r="M1245" s="4" cm="1">
        <f t="array" ref="M1245">IFERROR(LOOKUP(2,1/(Table1[[#This Row],[2019-May]:[2025-July]]&lt;&gt;0),Table1[[#This Row],[2019-May]:[2025-July]]),0)</f>
        <v>1</v>
      </c>
      <c r="N1245" s="4">
        <f>COUNTIF(Table1[[#This Row],[2019-Apr]:[2025-July]],"&gt;="&amp;Table1[[#This Row],[Target]])</f>
        <v>0</v>
      </c>
      <c r="O1245" s="4">
        <f>IF(Table1[[#This Row],[Outliers 2Y]]=0,1,0)</f>
        <v>1</v>
      </c>
      <c r="P1245" s="4">
        <f>IF(Table1[[#This Row],[Last value]]&gt;1.5*Table1[[#This Row],[Target]],1,0)</f>
        <v>0</v>
      </c>
      <c r="Q1245" s="4">
        <f>IF(AND(1.5*Table1[[#This Row],[Target]]&gt;=Table1[[#This Row],[Last value]],Table1[[#This Row],[Last value]]&gt;Table1[[#This Row],[Target]]),1,0)</f>
        <v>0</v>
      </c>
      <c r="R1245" s="4">
        <f>IF(Table1[[#This Row],[Target]]&gt;=Table1[[#This Row],[Last value]],1,0)</f>
        <v>1</v>
      </c>
      <c r="S1245" s="4" t="str">
        <f t="shared" si="31"/>
        <v>Green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0</v>
      </c>
      <c r="CP1245" s="54">
        <v>0</v>
      </c>
      <c r="CQ1245" s="4">
        <v>1</v>
      </c>
    </row>
    <row r="1246" spans="1:95" s="55" customFormat="1" x14ac:dyDescent="0.35">
      <c r="A1246" s="55">
        <v>1245</v>
      </c>
      <c r="B1246" s="55" t="s">
        <v>1521</v>
      </c>
      <c r="C1246" s="51" t="s">
        <v>1537</v>
      </c>
      <c r="D1246" s="50" t="s">
        <v>93</v>
      </c>
      <c r="E1246" s="50" t="s">
        <v>89</v>
      </c>
      <c r="F1246" s="4">
        <f>IFERROR(AVERAGEIF(Table1[[#This Row],[2019-Apr]:[2025-July]],"&lt;&gt;0"),0)</f>
        <v>0</v>
      </c>
      <c r="G1246" s="4">
        <f ca="1">IFERROR(AVERAGEIF(OFFSET(Table1[[#This Row],[Status]],0,COUNT(Table1[[#This Row],[2019-May]:[2025-July]]),1,-12),"&lt;&gt;0"),0)</f>
        <v>0</v>
      </c>
      <c r="H1246" s="55">
        <f>IFERROR(SMALL(Table1[[#This Row],[2019-Apr]:[2025-July]],COUNTIF(Table1[[#This Row],[2019-Apr]:[2025-July]],0)+1),0)</f>
        <v>0</v>
      </c>
      <c r="I1246" s="56">
        <f>IFERROR(MAX(Table1[[#This Row],[2019-Apr]:[2025-July]]),0)</f>
        <v>0</v>
      </c>
      <c r="J1246" s="4" cm="1">
        <f t="array" ref="J124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46" s="4">
        <v>4.5</v>
      </c>
      <c r="L1246" s="4">
        <f>IF(Table1[[#This Row],[Standard as per ISO]]&gt;=Table1[[#This Row],[Avg of best 6]],Table1[[#This Row],[Standard as per ISO]],Table1[[#This Row],[Avg of best 6]])</f>
        <v>4.5</v>
      </c>
      <c r="M1246" s="4" cm="1">
        <f t="array" ref="M1246">IFERROR(LOOKUP(2,1/(Table1[[#This Row],[2019-May]:[2025-July]]&lt;&gt;0),Table1[[#This Row],[2019-May]:[2025-July]]),0)</f>
        <v>0</v>
      </c>
      <c r="N1246" s="4">
        <f>COUNTIF(Table1[[#This Row],[2019-Apr]:[2025-July]],"&gt;="&amp;Table1[[#This Row],[Target]])</f>
        <v>0</v>
      </c>
      <c r="O1246" s="4">
        <f>IF(Table1[[#This Row],[Outliers 2Y]]=0,1,0)</f>
        <v>1</v>
      </c>
      <c r="P1246" s="4">
        <f>IF(Table1[[#This Row],[Last value]]&gt;1.5*Table1[[#This Row],[Target]],1,0)</f>
        <v>0</v>
      </c>
      <c r="Q1246" s="4">
        <f>IF(AND(1.5*Table1[[#This Row],[Target]]&gt;=Table1[[#This Row],[Last value]],Table1[[#This Row],[Last value]]&gt;Table1[[#This Row],[Target]]),1,0)</f>
        <v>0</v>
      </c>
      <c r="R1246" s="4">
        <f>IF(Table1[[#This Row],[Target]]&gt;=Table1[[#This Row],[Last value]],1,0)</f>
        <v>1</v>
      </c>
      <c r="S1246" s="4" t="str">
        <f t="shared" si="31"/>
        <v>Green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0</v>
      </c>
      <c r="CP1246" s="54">
        <v>0</v>
      </c>
      <c r="CQ1246" s="4">
        <v>0</v>
      </c>
    </row>
    <row r="1247" spans="1:95" s="55" customFormat="1" x14ac:dyDescent="0.35">
      <c r="A1247" s="55">
        <v>1246</v>
      </c>
      <c r="B1247" s="55" t="s">
        <v>1521</v>
      </c>
      <c r="C1247" s="51" t="s">
        <v>1538</v>
      </c>
      <c r="D1247" s="50" t="s">
        <v>93</v>
      </c>
      <c r="E1247" s="50" t="s">
        <v>89</v>
      </c>
      <c r="F1247" s="4">
        <f>IFERROR(AVERAGEIF(Table1[[#This Row],[2019-Apr]:[2025-July]],"&lt;&gt;0"),0)</f>
        <v>0</v>
      </c>
      <c r="G1247" s="4">
        <f ca="1">IFERROR(AVERAGEIF(OFFSET(Table1[[#This Row],[Status]],0,COUNT(Table1[[#This Row],[2019-May]:[2025-July]]),1,-12),"&lt;&gt;0"),0)</f>
        <v>0</v>
      </c>
      <c r="H1247" s="55">
        <f>IFERROR(SMALL(Table1[[#This Row],[2019-Apr]:[2025-July]],COUNTIF(Table1[[#This Row],[2019-Apr]:[2025-July]],0)+1),0)</f>
        <v>0</v>
      </c>
      <c r="I1247" s="56">
        <f>IFERROR(MAX(Table1[[#This Row],[2019-Apr]:[2025-July]]),0)</f>
        <v>0</v>
      </c>
      <c r="J1247" s="4" cm="1">
        <f t="array" ref="J124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47" s="4">
        <v>4.5</v>
      </c>
      <c r="L1247" s="4">
        <f>IF(Table1[[#This Row],[Standard as per ISO]]&gt;=Table1[[#This Row],[Avg of best 6]],Table1[[#This Row],[Standard as per ISO]],Table1[[#This Row],[Avg of best 6]])</f>
        <v>4.5</v>
      </c>
      <c r="M1247" s="4" cm="1">
        <f t="array" ref="M1247">IFERROR(LOOKUP(2,1/(Table1[[#This Row],[2019-May]:[2025-July]]&lt;&gt;0),Table1[[#This Row],[2019-May]:[2025-July]]),0)</f>
        <v>0</v>
      </c>
      <c r="N1247" s="4">
        <f>COUNTIF(Table1[[#This Row],[2019-Apr]:[2025-July]],"&gt;="&amp;Table1[[#This Row],[Target]])</f>
        <v>0</v>
      </c>
      <c r="O1247" s="4">
        <f>IF(Table1[[#This Row],[Outliers 2Y]]=0,1,0)</f>
        <v>1</v>
      </c>
      <c r="P1247" s="4">
        <f>IF(Table1[[#This Row],[Last value]]&gt;1.5*Table1[[#This Row],[Target]],1,0)</f>
        <v>0</v>
      </c>
      <c r="Q1247" s="4">
        <f>IF(AND(1.5*Table1[[#This Row],[Target]]&gt;=Table1[[#This Row],[Last value]],Table1[[#This Row],[Last value]]&gt;Table1[[#This Row],[Target]]),1,0)</f>
        <v>0</v>
      </c>
      <c r="R1247" s="4">
        <f>IF(Table1[[#This Row],[Target]]&gt;=Table1[[#This Row],[Last value]],1,0)</f>
        <v>1</v>
      </c>
      <c r="S1247" s="4" t="str">
        <f t="shared" si="31"/>
        <v>Green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0</v>
      </c>
      <c r="CP1247" s="54">
        <v>0</v>
      </c>
      <c r="CQ1247" s="4">
        <v>0</v>
      </c>
    </row>
    <row r="1248" spans="1:95" s="55" customFormat="1" x14ac:dyDescent="0.35">
      <c r="A1248" s="55">
        <v>1247</v>
      </c>
      <c r="B1248" s="55" t="s">
        <v>1521</v>
      </c>
      <c r="C1248" s="51" t="s">
        <v>1539</v>
      </c>
      <c r="D1248" s="50" t="s">
        <v>93</v>
      </c>
      <c r="E1248" s="50" t="s">
        <v>89</v>
      </c>
      <c r="F1248" s="4">
        <f>IFERROR(AVERAGEIF(Table1[[#This Row],[2019-Apr]:[2025-July]],"&lt;&gt;0"),0)</f>
        <v>0</v>
      </c>
      <c r="G1248" s="4">
        <f ca="1">IFERROR(AVERAGEIF(OFFSET(Table1[[#This Row],[Status]],0,COUNT(Table1[[#This Row],[2019-May]:[2025-July]]),1,-12),"&lt;&gt;0"),0)</f>
        <v>0</v>
      </c>
      <c r="H1248" s="55">
        <f>IFERROR(SMALL(Table1[[#This Row],[2019-Apr]:[2025-July]],COUNTIF(Table1[[#This Row],[2019-Apr]:[2025-July]],0)+1),0)</f>
        <v>0</v>
      </c>
      <c r="I1248" s="56">
        <f>IFERROR(MAX(Table1[[#This Row],[2019-Apr]:[2025-July]]),0)</f>
        <v>0</v>
      </c>
      <c r="J1248" s="4" cm="1">
        <f t="array" ref="J124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48" s="4">
        <v>4.5</v>
      </c>
      <c r="L1248" s="4">
        <f>IF(Table1[[#This Row],[Standard as per ISO]]&gt;=Table1[[#This Row],[Avg of best 6]],Table1[[#This Row],[Standard as per ISO]],Table1[[#This Row],[Avg of best 6]])</f>
        <v>4.5</v>
      </c>
      <c r="M1248" s="4" cm="1">
        <f t="array" ref="M1248">IFERROR(LOOKUP(2,1/(Table1[[#This Row],[2019-May]:[2025-July]]&lt;&gt;0),Table1[[#This Row],[2019-May]:[2025-July]]),0)</f>
        <v>0</v>
      </c>
      <c r="N1248" s="4">
        <f>COUNTIF(Table1[[#This Row],[2019-Apr]:[2025-July]],"&gt;="&amp;Table1[[#This Row],[Target]])</f>
        <v>0</v>
      </c>
      <c r="O1248" s="4">
        <f>IF(Table1[[#This Row],[Outliers 2Y]]=0,1,0)</f>
        <v>1</v>
      </c>
      <c r="P1248" s="4">
        <f>IF(Table1[[#This Row],[Last value]]&gt;1.5*Table1[[#This Row],[Target]],1,0)</f>
        <v>0</v>
      </c>
      <c r="Q1248" s="4">
        <f>IF(AND(1.5*Table1[[#This Row],[Target]]&gt;=Table1[[#This Row],[Last value]],Table1[[#This Row],[Last value]]&gt;Table1[[#This Row],[Target]]),1,0)</f>
        <v>0</v>
      </c>
      <c r="R1248" s="4">
        <f>IF(Table1[[#This Row],[Target]]&gt;=Table1[[#This Row],[Last value]],1,0)</f>
        <v>1</v>
      </c>
      <c r="S1248" s="4" t="str">
        <f t="shared" si="31"/>
        <v>Green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0</v>
      </c>
      <c r="CP1248" s="54">
        <v>0</v>
      </c>
      <c r="CQ1248" s="4">
        <v>0</v>
      </c>
    </row>
    <row r="1249" spans="1:95" s="55" customFormat="1" x14ac:dyDescent="0.35">
      <c r="A1249" s="55">
        <v>1248</v>
      </c>
      <c r="B1249" s="55" t="s">
        <v>1521</v>
      </c>
      <c r="C1249" s="51" t="s">
        <v>1540</v>
      </c>
      <c r="D1249" s="50" t="s">
        <v>93</v>
      </c>
      <c r="E1249" s="50" t="s">
        <v>91</v>
      </c>
      <c r="F1249" s="4">
        <f>IFERROR(AVERAGEIF(Table1[[#This Row],[2019-Apr]:[2025-July]],"&lt;&gt;0"),0)</f>
        <v>0</v>
      </c>
      <c r="G1249" s="4">
        <f ca="1">IFERROR(AVERAGEIF(OFFSET(Table1[[#This Row],[Status]],0,COUNT(Table1[[#This Row],[2019-May]:[2025-July]]),1,-12),"&lt;&gt;0"),0)</f>
        <v>0</v>
      </c>
      <c r="H1249" s="55">
        <f>IFERROR(SMALL(Table1[[#This Row],[2019-Apr]:[2025-July]],COUNTIF(Table1[[#This Row],[2019-Apr]:[2025-July]],0)+1),0)</f>
        <v>0</v>
      </c>
      <c r="I1249" s="56">
        <f>IFERROR(MAX(Table1[[#This Row],[2019-Apr]:[2025-July]]),0)</f>
        <v>0</v>
      </c>
      <c r="J1249" s="4" cm="1">
        <f t="array" ref="J124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49" s="4">
        <v>4.5</v>
      </c>
      <c r="L1249" s="4">
        <f>IF(Table1[[#This Row],[Standard as per ISO]]&gt;=Table1[[#This Row],[Avg of best 6]],Table1[[#This Row],[Standard as per ISO]],Table1[[#This Row],[Avg of best 6]])</f>
        <v>4.5</v>
      </c>
      <c r="M1249" s="4" cm="1">
        <f t="array" ref="M1249">IFERROR(LOOKUP(2,1/(Table1[[#This Row],[2019-May]:[2025-July]]&lt;&gt;0),Table1[[#This Row],[2019-May]:[2025-July]]),0)</f>
        <v>0</v>
      </c>
      <c r="N1249" s="4">
        <f>COUNTIF(Table1[[#This Row],[2019-Apr]:[2025-July]],"&gt;="&amp;Table1[[#This Row],[Target]])</f>
        <v>0</v>
      </c>
      <c r="O1249" s="4">
        <f>IF(Table1[[#This Row],[Outliers 2Y]]=0,1,0)</f>
        <v>1</v>
      </c>
      <c r="P1249" s="4">
        <f>IF(Table1[[#This Row],[Last value]]&gt;1.5*Table1[[#This Row],[Target]],1,0)</f>
        <v>0</v>
      </c>
      <c r="Q1249" s="4">
        <f>IF(AND(1.5*Table1[[#This Row],[Target]]&gt;=Table1[[#This Row],[Last value]],Table1[[#This Row],[Last value]]&gt;Table1[[#This Row],[Target]]),1,0)</f>
        <v>0</v>
      </c>
      <c r="R1249" s="4">
        <f>IF(Table1[[#This Row],[Target]]&gt;=Table1[[#This Row],[Last value]],1,0)</f>
        <v>1</v>
      </c>
      <c r="S1249" s="4" t="str">
        <f t="shared" si="31"/>
        <v>Green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0</v>
      </c>
      <c r="CP1249" s="54">
        <v>0</v>
      </c>
      <c r="CQ1249" s="4">
        <v>0</v>
      </c>
    </row>
    <row r="1250" spans="1:95" s="55" customFormat="1" x14ac:dyDescent="0.35">
      <c r="A1250" s="55">
        <v>1249</v>
      </c>
      <c r="B1250" s="55" t="s">
        <v>1521</v>
      </c>
      <c r="C1250" s="51" t="s">
        <v>1541</v>
      </c>
      <c r="D1250" s="50" t="s">
        <v>93</v>
      </c>
      <c r="E1250" s="50" t="s">
        <v>91</v>
      </c>
      <c r="F1250" s="4">
        <f>IFERROR(AVERAGEIF(Table1[[#This Row],[2019-Apr]:[2025-July]],"&lt;&gt;0"),0)</f>
        <v>0</v>
      </c>
      <c r="G1250" s="4">
        <f ca="1">IFERROR(AVERAGEIF(OFFSET(Table1[[#This Row],[Status]],0,COUNT(Table1[[#This Row],[2019-May]:[2025-July]]),1,-12),"&lt;&gt;0"),0)</f>
        <v>0</v>
      </c>
      <c r="H1250" s="55">
        <f>IFERROR(SMALL(Table1[[#This Row],[2019-Apr]:[2025-July]],COUNTIF(Table1[[#This Row],[2019-Apr]:[2025-July]],0)+1),0)</f>
        <v>0</v>
      </c>
      <c r="I1250" s="56">
        <f>IFERROR(MAX(Table1[[#This Row],[2019-Apr]:[2025-July]]),0)</f>
        <v>0</v>
      </c>
      <c r="J1250" s="4" cm="1">
        <f t="array" ref="J125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50" s="4">
        <v>4.5</v>
      </c>
      <c r="L1250" s="4">
        <f>IF(Table1[[#This Row],[Standard as per ISO]]&gt;=Table1[[#This Row],[Avg of best 6]],Table1[[#This Row],[Standard as per ISO]],Table1[[#This Row],[Avg of best 6]])</f>
        <v>4.5</v>
      </c>
      <c r="M1250" s="4" cm="1">
        <f t="array" ref="M1250">IFERROR(LOOKUP(2,1/(Table1[[#This Row],[2019-May]:[2025-July]]&lt;&gt;0),Table1[[#This Row],[2019-May]:[2025-July]]),0)</f>
        <v>0</v>
      </c>
      <c r="N1250" s="4">
        <f>COUNTIF(Table1[[#This Row],[2019-Apr]:[2025-July]],"&gt;="&amp;Table1[[#This Row],[Target]])</f>
        <v>0</v>
      </c>
      <c r="O1250" s="4">
        <f>IF(Table1[[#This Row],[Outliers 2Y]]=0,1,0)</f>
        <v>1</v>
      </c>
      <c r="P1250" s="4">
        <f>IF(Table1[[#This Row],[Last value]]&gt;1.5*Table1[[#This Row],[Target]],1,0)</f>
        <v>0</v>
      </c>
      <c r="Q1250" s="4">
        <f>IF(AND(1.5*Table1[[#This Row],[Target]]&gt;=Table1[[#This Row],[Last value]],Table1[[#This Row],[Last value]]&gt;Table1[[#This Row],[Target]]),1,0)</f>
        <v>0</v>
      </c>
      <c r="R1250" s="4">
        <f>IF(Table1[[#This Row],[Target]]&gt;=Table1[[#This Row],[Last value]],1,0)</f>
        <v>1</v>
      </c>
      <c r="S1250" s="4" t="str">
        <f t="shared" si="31"/>
        <v>Green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0</v>
      </c>
      <c r="CP1250" s="54">
        <v>0</v>
      </c>
      <c r="CQ1250" s="4">
        <v>0</v>
      </c>
    </row>
    <row r="1251" spans="1:95" s="55" customFormat="1" x14ac:dyDescent="0.35">
      <c r="A1251" s="55">
        <v>1250</v>
      </c>
      <c r="B1251" s="55" t="s">
        <v>1521</v>
      </c>
      <c r="C1251" s="51" t="s">
        <v>1542</v>
      </c>
      <c r="D1251" s="50" t="s">
        <v>93</v>
      </c>
      <c r="E1251" s="50" t="s">
        <v>91</v>
      </c>
      <c r="F1251" s="4">
        <f>IFERROR(AVERAGEIF(Table1[[#This Row],[2019-Apr]:[2025-July]],"&lt;&gt;0"),0)</f>
        <v>0</v>
      </c>
      <c r="G1251" s="4">
        <f ca="1">IFERROR(AVERAGEIF(OFFSET(Table1[[#This Row],[Status]],0,COUNT(Table1[[#This Row],[2019-May]:[2025-July]]),1,-12),"&lt;&gt;0"),0)</f>
        <v>0</v>
      </c>
      <c r="H1251" s="55">
        <f>IFERROR(SMALL(Table1[[#This Row],[2019-Apr]:[2025-July]],COUNTIF(Table1[[#This Row],[2019-Apr]:[2025-July]],0)+1),0)</f>
        <v>0</v>
      </c>
      <c r="I1251" s="56">
        <f>IFERROR(MAX(Table1[[#This Row],[2019-Apr]:[2025-July]]),0)</f>
        <v>0</v>
      </c>
      <c r="J1251" s="4" cm="1">
        <f t="array" ref="J125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51" s="4">
        <v>4.5</v>
      </c>
      <c r="L1251" s="4">
        <f>IF(Table1[[#This Row],[Standard as per ISO]]&gt;=Table1[[#This Row],[Avg of best 6]],Table1[[#This Row],[Standard as per ISO]],Table1[[#This Row],[Avg of best 6]])</f>
        <v>4.5</v>
      </c>
      <c r="M1251" s="4" cm="1">
        <f t="array" ref="M1251">IFERROR(LOOKUP(2,1/(Table1[[#This Row],[2019-May]:[2025-July]]&lt;&gt;0),Table1[[#This Row],[2019-May]:[2025-July]]),0)</f>
        <v>0</v>
      </c>
      <c r="N1251" s="4">
        <f>COUNTIF(Table1[[#This Row],[2019-Apr]:[2025-July]],"&gt;="&amp;Table1[[#This Row],[Target]])</f>
        <v>0</v>
      </c>
      <c r="O1251" s="4">
        <f>IF(Table1[[#This Row],[Outliers 2Y]]=0,1,0)</f>
        <v>1</v>
      </c>
      <c r="P1251" s="4">
        <f>IF(Table1[[#This Row],[Last value]]&gt;1.5*Table1[[#This Row],[Target]],1,0)</f>
        <v>0</v>
      </c>
      <c r="Q1251" s="4">
        <f>IF(AND(1.5*Table1[[#This Row],[Target]]&gt;=Table1[[#This Row],[Last value]],Table1[[#This Row],[Last value]]&gt;Table1[[#This Row],[Target]]),1,0)</f>
        <v>0</v>
      </c>
      <c r="R1251" s="4">
        <f>IF(Table1[[#This Row],[Target]]&gt;=Table1[[#This Row],[Last value]],1,0)</f>
        <v>1</v>
      </c>
      <c r="S1251" s="4" t="str">
        <f t="shared" si="31"/>
        <v>Green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0</v>
      </c>
      <c r="CP1251" s="54">
        <v>0</v>
      </c>
      <c r="CQ1251" s="4">
        <v>0</v>
      </c>
    </row>
    <row r="1252" spans="1:95" s="55" customFormat="1" x14ac:dyDescent="0.35">
      <c r="A1252" s="55">
        <v>1251</v>
      </c>
      <c r="B1252" s="55" t="s">
        <v>1521</v>
      </c>
      <c r="C1252" s="51" t="s">
        <v>1543</v>
      </c>
      <c r="D1252" s="50" t="s">
        <v>93</v>
      </c>
      <c r="E1252" s="50" t="s">
        <v>91</v>
      </c>
      <c r="F1252" s="4">
        <f>IFERROR(AVERAGEIF(Table1[[#This Row],[2019-Apr]:[2025-July]],"&lt;&gt;0"),0)</f>
        <v>0</v>
      </c>
      <c r="G1252" s="4">
        <f ca="1">IFERROR(AVERAGEIF(OFFSET(Table1[[#This Row],[Status]],0,COUNT(Table1[[#This Row],[2019-May]:[2025-July]]),1,-12),"&lt;&gt;0"),0)</f>
        <v>0</v>
      </c>
      <c r="H1252" s="55">
        <f>IFERROR(SMALL(Table1[[#This Row],[2019-Apr]:[2025-July]],COUNTIF(Table1[[#This Row],[2019-Apr]:[2025-July]],0)+1),0)</f>
        <v>0</v>
      </c>
      <c r="I1252" s="56">
        <f>IFERROR(MAX(Table1[[#This Row],[2019-Apr]:[2025-July]]),0)</f>
        <v>0</v>
      </c>
      <c r="J1252" s="4" cm="1">
        <f t="array" ref="J125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52" s="4">
        <v>4.5</v>
      </c>
      <c r="L1252" s="4">
        <f>IF(Table1[[#This Row],[Standard as per ISO]]&gt;=Table1[[#This Row],[Avg of best 6]],Table1[[#This Row],[Standard as per ISO]],Table1[[#This Row],[Avg of best 6]])</f>
        <v>4.5</v>
      </c>
      <c r="M1252" s="4" cm="1">
        <f t="array" ref="M1252">IFERROR(LOOKUP(2,1/(Table1[[#This Row],[2019-May]:[2025-July]]&lt;&gt;0),Table1[[#This Row],[2019-May]:[2025-July]]),0)</f>
        <v>0</v>
      </c>
      <c r="N1252" s="4">
        <f>COUNTIF(Table1[[#This Row],[2019-Apr]:[2025-July]],"&gt;="&amp;Table1[[#This Row],[Target]])</f>
        <v>0</v>
      </c>
      <c r="O1252" s="4">
        <f>IF(Table1[[#This Row],[Outliers 2Y]]=0,1,0)</f>
        <v>1</v>
      </c>
      <c r="P1252" s="4">
        <f>IF(Table1[[#This Row],[Last value]]&gt;1.5*Table1[[#This Row],[Target]],1,0)</f>
        <v>0</v>
      </c>
      <c r="Q1252" s="4">
        <f>IF(AND(1.5*Table1[[#This Row],[Target]]&gt;=Table1[[#This Row],[Last value]],Table1[[#This Row],[Last value]]&gt;Table1[[#This Row],[Target]]),1,0)</f>
        <v>0</v>
      </c>
      <c r="R1252" s="4">
        <f>IF(Table1[[#This Row],[Target]]&gt;=Table1[[#This Row],[Last value]],1,0)</f>
        <v>1</v>
      </c>
      <c r="S1252" s="4" t="str">
        <f t="shared" si="31"/>
        <v>Green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0</v>
      </c>
      <c r="CP1252" s="54">
        <v>0</v>
      </c>
      <c r="CQ1252" s="4">
        <v>0</v>
      </c>
    </row>
    <row r="1253" spans="1:95" s="55" customFormat="1" x14ac:dyDescent="0.35">
      <c r="A1253" s="55">
        <v>1252</v>
      </c>
      <c r="B1253" s="55" t="s">
        <v>1521</v>
      </c>
      <c r="C1253" s="51" t="s">
        <v>1544</v>
      </c>
      <c r="D1253" s="50" t="s">
        <v>93</v>
      </c>
      <c r="E1253" s="50" t="s">
        <v>89</v>
      </c>
      <c r="F1253" s="4">
        <f>IFERROR(AVERAGEIF(Table1[[#This Row],[2019-Apr]:[2025-July]],"&lt;&gt;0"),0)</f>
        <v>1.3</v>
      </c>
      <c r="G1253" s="4">
        <f ca="1">IFERROR(AVERAGEIF(OFFSET(Table1[[#This Row],[Status]],0,COUNT(Table1[[#This Row],[2019-May]:[2025-July]]),1,-12),"&lt;&gt;0"),0)</f>
        <v>1.3</v>
      </c>
      <c r="H1253" s="55">
        <f>IFERROR(SMALL(Table1[[#This Row],[2019-Apr]:[2025-July]],COUNTIF(Table1[[#This Row],[2019-Apr]:[2025-July]],0)+1),0)</f>
        <v>1.3</v>
      </c>
      <c r="I1253" s="56">
        <f>IFERROR(MAX(Table1[[#This Row],[2019-Apr]:[2025-July]]),0)</f>
        <v>1.3</v>
      </c>
      <c r="J1253" s="4" cm="1">
        <f t="array" ref="J125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</v>
      </c>
      <c r="K1253" s="4">
        <v>4.5</v>
      </c>
      <c r="L1253" s="4">
        <f>IF(Table1[[#This Row],[Standard as per ISO]]&gt;=Table1[[#This Row],[Avg of best 6]],Table1[[#This Row],[Standard as per ISO]],Table1[[#This Row],[Avg of best 6]])</f>
        <v>4.5</v>
      </c>
      <c r="M1253" s="4" cm="1">
        <f t="array" ref="M1253">IFERROR(LOOKUP(2,1/(Table1[[#This Row],[2019-May]:[2025-July]]&lt;&gt;0),Table1[[#This Row],[2019-May]:[2025-July]]),0)</f>
        <v>1.3</v>
      </c>
      <c r="N1253" s="4">
        <f>COUNTIF(Table1[[#This Row],[2019-Apr]:[2025-July]],"&gt;="&amp;Table1[[#This Row],[Target]])</f>
        <v>0</v>
      </c>
      <c r="O1253" s="4">
        <f>IF(Table1[[#This Row],[Outliers 2Y]]=0,1,0)</f>
        <v>1</v>
      </c>
      <c r="P1253" s="4">
        <f>IF(Table1[[#This Row],[Last value]]&gt;1.5*Table1[[#This Row],[Target]],1,0)</f>
        <v>0</v>
      </c>
      <c r="Q1253" s="4">
        <f>IF(AND(1.5*Table1[[#This Row],[Target]]&gt;=Table1[[#This Row],[Last value]],Table1[[#This Row],[Last value]]&gt;Table1[[#This Row],[Target]]),1,0)</f>
        <v>0</v>
      </c>
      <c r="R1253" s="4">
        <f>IF(Table1[[#This Row],[Target]]&gt;=Table1[[#This Row],[Last value]],1,0)</f>
        <v>1</v>
      </c>
      <c r="S1253" s="4" t="str">
        <f t="shared" si="31"/>
        <v>Green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54">
        <v>1.3</v>
      </c>
      <c r="CQ1253" s="4">
        <v>0</v>
      </c>
    </row>
    <row r="1254" spans="1:95" s="55" customFormat="1" x14ac:dyDescent="0.35">
      <c r="A1254" s="55">
        <v>1253</v>
      </c>
      <c r="B1254" s="55" t="s">
        <v>1521</v>
      </c>
      <c r="C1254" s="51" t="s">
        <v>1545</v>
      </c>
      <c r="D1254" s="50" t="s">
        <v>93</v>
      </c>
      <c r="E1254" s="50" t="s">
        <v>89</v>
      </c>
      <c r="F1254" s="4">
        <f>IFERROR(AVERAGEIF(Table1[[#This Row],[2019-Apr]:[2025-July]],"&lt;&gt;0"),0)</f>
        <v>0.8</v>
      </c>
      <c r="G1254" s="4">
        <f ca="1">IFERROR(AVERAGEIF(OFFSET(Table1[[#This Row],[Status]],0,COUNT(Table1[[#This Row],[2019-May]:[2025-July]]),1,-12),"&lt;&gt;0"),0)</f>
        <v>0.8</v>
      </c>
      <c r="H1254" s="55">
        <f>IFERROR(SMALL(Table1[[#This Row],[2019-Apr]:[2025-July]],COUNTIF(Table1[[#This Row],[2019-Apr]:[2025-July]],0)+1),0)</f>
        <v>0.8</v>
      </c>
      <c r="I1254" s="56">
        <f>IFERROR(MAX(Table1[[#This Row],[2019-Apr]:[2025-July]]),0)</f>
        <v>0.8</v>
      </c>
      <c r="J1254" s="4" cm="1">
        <f t="array" ref="J125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</v>
      </c>
      <c r="K1254" s="4">
        <v>4.5</v>
      </c>
      <c r="L1254" s="4">
        <f>IF(Table1[[#This Row],[Standard as per ISO]]&gt;=Table1[[#This Row],[Avg of best 6]],Table1[[#This Row],[Standard as per ISO]],Table1[[#This Row],[Avg of best 6]])</f>
        <v>4.5</v>
      </c>
      <c r="M1254" s="4" cm="1">
        <f t="array" ref="M1254">IFERROR(LOOKUP(2,1/(Table1[[#This Row],[2019-May]:[2025-July]]&lt;&gt;0),Table1[[#This Row],[2019-May]:[2025-July]]),0)</f>
        <v>0.8</v>
      </c>
      <c r="N1254" s="4">
        <f>COUNTIF(Table1[[#This Row],[2019-Apr]:[2025-July]],"&gt;="&amp;Table1[[#This Row],[Target]])</f>
        <v>0</v>
      </c>
      <c r="O1254" s="4">
        <f>IF(Table1[[#This Row],[Outliers 2Y]]=0,1,0)</f>
        <v>1</v>
      </c>
      <c r="P1254" s="4">
        <f>IF(Table1[[#This Row],[Last value]]&gt;1.5*Table1[[#This Row],[Target]],1,0)</f>
        <v>0</v>
      </c>
      <c r="Q1254" s="4">
        <f>IF(AND(1.5*Table1[[#This Row],[Target]]&gt;=Table1[[#This Row],[Last value]],Table1[[#This Row],[Last value]]&gt;Table1[[#This Row],[Target]]),1,0)</f>
        <v>0</v>
      </c>
      <c r="R1254" s="4">
        <f>IF(Table1[[#This Row],[Target]]&gt;=Table1[[#This Row],[Last value]],1,0)</f>
        <v>1</v>
      </c>
      <c r="S1254" s="4" t="str">
        <f t="shared" si="31"/>
        <v>Green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0</v>
      </c>
      <c r="CP1254" s="54">
        <v>0.8</v>
      </c>
      <c r="CQ1254" s="4">
        <v>0</v>
      </c>
    </row>
    <row r="1255" spans="1:95" s="55" customFormat="1" x14ac:dyDescent="0.35">
      <c r="A1255" s="55">
        <v>1254</v>
      </c>
      <c r="B1255" s="55" t="s">
        <v>1521</v>
      </c>
      <c r="C1255" s="51" t="s">
        <v>1546</v>
      </c>
      <c r="D1255" s="50" t="s">
        <v>93</v>
      </c>
      <c r="E1255" s="50" t="s">
        <v>89</v>
      </c>
      <c r="F1255" s="4">
        <f>IFERROR(AVERAGEIF(Table1[[#This Row],[2019-Apr]:[2025-July]],"&lt;&gt;0"),0)</f>
        <v>0</v>
      </c>
      <c r="G1255" s="4">
        <f ca="1">IFERROR(AVERAGEIF(OFFSET(Table1[[#This Row],[Status]],0,COUNT(Table1[[#This Row],[2019-May]:[2025-July]]),1,-12),"&lt;&gt;0"),0)</f>
        <v>0</v>
      </c>
      <c r="H1255" s="55">
        <f>IFERROR(SMALL(Table1[[#This Row],[2019-Apr]:[2025-July]],COUNTIF(Table1[[#This Row],[2019-Apr]:[2025-July]],0)+1),0)</f>
        <v>0</v>
      </c>
      <c r="I1255" s="56">
        <f>IFERROR(MAX(Table1[[#This Row],[2019-Apr]:[2025-July]]),0)</f>
        <v>0</v>
      </c>
      <c r="J1255" s="4" cm="1">
        <f t="array" ref="J125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55" s="4">
        <v>4.5</v>
      </c>
      <c r="L1255" s="4">
        <f>IF(Table1[[#This Row],[Standard as per ISO]]&gt;=Table1[[#This Row],[Avg of best 6]],Table1[[#This Row],[Standard as per ISO]],Table1[[#This Row],[Avg of best 6]])</f>
        <v>4.5</v>
      </c>
      <c r="M1255" s="4" cm="1">
        <f t="array" ref="M1255">IFERROR(LOOKUP(2,1/(Table1[[#This Row],[2019-May]:[2025-July]]&lt;&gt;0),Table1[[#This Row],[2019-May]:[2025-July]]),0)</f>
        <v>0</v>
      </c>
      <c r="N1255" s="4">
        <f>COUNTIF(Table1[[#This Row],[2019-Apr]:[2025-July]],"&gt;="&amp;Table1[[#This Row],[Target]])</f>
        <v>0</v>
      </c>
      <c r="O1255" s="4">
        <f>IF(Table1[[#This Row],[Outliers 2Y]]=0,1,0)</f>
        <v>1</v>
      </c>
      <c r="P1255" s="4">
        <f>IF(Table1[[#This Row],[Last value]]&gt;1.5*Table1[[#This Row],[Target]],1,0)</f>
        <v>0</v>
      </c>
      <c r="Q1255" s="4">
        <f>IF(AND(1.5*Table1[[#This Row],[Target]]&gt;=Table1[[#This Row],[Last value]],Table1[[#This Row],[Last value]]&gt;Table1[[#This Row],[Target]]),1,0)</f>
        <v>0</v>
      </c>
      <c r="R1255" s="4">
        <f>IF(Table1[[#This Row],[Target]]&gt;=Table1[[#This Row],[Last value]],1,0)</f>
        <v>1</v>
      </c>
      <c r="S1255" s="4" t="str">
        <f t="shared" si="31"/>
        <v>Green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0</v>
      </c>
      <c r="CP1255" s="54">
        <v>0</v>
      </c>
      <c r="CQ1255" s="4">
        <v>0</v>
      </c>
    </row>
    <row r="1256" spans="1:95" s="55" customFormat="1" x14ac:dyDescent="0.35">
      <c r="A1256" s="55">
        <v>1255</v>
      </c>
      <c r="B1256" s="55" t="s">
        <v>1521</v>
      </c>
      <c r="C1256" s="51" t="s">
        <v>1547</v>
      </c>
      <c r="D1256" s="50" t="s">
        <v>93</v>
      </c>
      <c r="E1256" s="50" t="s">
        <v>89</v>
      </c>
      <c r="F1256" s="4">
        <f>IFERROR(AVERAGEIF(Table1[[#This Row],[2019-Apr]:[2025-July]],"&lt;&gt;0"),0)</f>
        <v>0</v>
      </c>
      <c r="G1256" s="4">
        <f ca="1">IFERROR(AVERAGEIF(OFFSET(Table1[[#This Row],[Status]],0,COUNT(Table1[[#This Row],[2019-May]:[2025-July]]),1,-12),"&lt;&gt;0"),0)</f>
        <v>0</v>
      </c>
      <c r="H1256" s="55">
        <f>IFERROR(SMALL(Table1[[#This Row],[2019-Apr]:[2025-July]],COUNTIF(Table1[[#This Row],[2019-Apr]:[2025-July]],0)+1),0)</f>
        <v>0</v>
      </c>
      <c r="I1256" s="56">
        <f>IFERROR(MAX(Table1[[#This Row],[2019-Apr]:[2025-July]]),0)</f>
        <v>0</v>
      </c>
      <c r="J1256" s="4" cm="1">
        <f t="array" ref="J125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56" s="4">
        <v>4.5</v>
      </c>
      <c r="L1256" s="4">
        <f>IF(Table1[[#This Row],[Standard as per ISO]]&gt;=Table1[[#This Row],[Avg of best 6]],Table1[[#This Row],[Standard as per ISO]],Table1[[#This Row],[Avg of best 6]])</f>
        <v>4.5</v>
      </c>
      <c r="M1256" s="4" cm="1">
        <f t="array" ref="M1256">IFERROR(LOOKUP(2,1/(Table1[[#This Row],[2019-May]:[2025-July]]&lt;&gt;0),Table1[[#This Row],[2019-May]:[2025-July]]),0)</f>
        <v>0</v>
      </c>
      <c r="N1256" s="4">
        <f>COUNTIF(Table1[[#This Row],[2019-Apr]:[2025-July]],"&gt;="&amp;Table1[[#This Row],[Target]])</f>
        <v>0</v>
      </c>
      <c r="O1256" s="4">
        <f>IF(Table1[[#This Row],[Outliers 2Y]]=0,1,0)</f>
        <v>1</v>
      </c>
      <c r="P1256" s="4">
        <f>IF(Table1[[#This Row],[Last value]]&gt;1.5*Table1[[#This Row],[Target]],1,0)</f>
        <v>0</v>
      </c>
      <c r="Q1256" s="4">
        <f>IF(AND(1.5*Table1[[#This Row],[Target]]&gt;=Table1[[#This Row],[Last value]],Table1[[#This Row],[Last value]]&gt;Table1[[#This Row],[Target]]),1,0)</f>
        <v>0</v>
      </c>
      <c r="R1256" s="4">
        <f>IF(Table1[[#This Row],[Target]]&gt;=Table1[[#This Row],[Last value]],1,0)</f>
        <v>1</v>
      </c>
      <c r="S1256" s="4" t="str">
        <f t="shared" si="31"/>
        <v>Green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0</v>
      </c>
      <c r="CP1256" s="54">
        <v>0</v>
      </c>
      <c r="CQ1256" s="4">
        <v>0</v>
      </c>
    </row>
    <row r="1257" spans="1:95" s="55" customFormat="1" x14ac:dyDescent="0.35">
      <c r="A1257" s="55">
        <v>1256</v>
      </c>
      <c r="B1257" s="55" t="s">
        <v>1521</v>
      </c>
      <c r="C1257" s="51" t="s">
        <v>1548</v>
      </c>
      <c r="D1257" s="50" t="s">
        <v>93</v>
      </c>
      <c r="E1257" s="50" t="s">
        <v>89</v>
      </c>
      <c r="F1257" s="4">
        <f>IFERROR(AVERAGEIF(Table1[[#This Row],[2019-Apr]:[2025-July]],"&lt;&gt;0"),0)</f>
        <v>0</v>
      </c>
      <c r="G1257" s="4">
        <f ca="1">IFERROR(AVERAGEIF(OFFSET(Table1[[#This Row],[Status]],0,COUNT(Table1[[#This Row],[2019-May]:[2025-July]]),1,-12),"&lt;&gt;0"),0)</f>
        <v>0</v>
      </c>
      <c r="H1257" s="55">
        <f>IFERROR(SMALL(Table1[[#This Row],[2019-Apr]:[2025-July]],COUNTIF(Table1[[#This Row],[2019-Apr]:[2025-July]],0)+1),0)</f>
        <v>0</v>
      </c>
      <c r="I1257" s="56">
        <f>IFERROR(MAX(Table1[[#This Row],[2019-Apr]:[2025-July]]),0)</f>
        <v>0</v>
      </c>
      <c r="J1257" s="4" cm="1">
        <f t="array" ref="J125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57" s="4">
        <v>4.5</v>
      </c>
      <c r="L1257" s="4">
        <f>IF(Table1[[#This Row],[Standard as per ISO]]&gt;=Table1[[#This Row],[Avg of best 6]],Table1[[#This Row],[Standard as per ISO]],Table1[[#This Row],[Avg of best 6]])</f>
        <v>4.5</v>
      </c>
      <c r="M1257" s="4" cm="1">
        <f t="array" ref="M1257">IFERROR(LOOKUP(2,1/(Table1[[#This Row],[2019-May]:[2025-July]]&lt;&gt;0),Table1[[#This Row],[2019-May]:[2025-July]]),0)</f>
        <v>0</v>
      </c>
      <c r="N1257" s="4">
        <f>COUNTIF(Table1[[#This Row],[2019-Apr]:[2025-July]],"&gt;="&amp;Table1[[#This Row],[Target]])</f>
        <v>0</v>
      </c>
      <c r="O1257" s="4">
        <f>IF(Table1[[#This Row],[Outliers 2Y]]=0,1,0)</f>
        <v>1</v>
      </c>
      <c r="P1257" s="4">
        <f>IF(Table1[[#This Row],[Last value]]&gt;1.5*Table1[[#This Row],[Target]],1,0)</f>
        <v>0</v>
      </c>
      <c r="Q1257" s="4">
        <f>IF(AND(1.5*Table1[[#This Row],[Target]]&gt;=Table1[[#This Row],[Last value]],Table1[[#This Row],[Last value]]&gt;Table1[[#This Row],[Target]]),1,0)</f>
        <v>0</v>
      </c>
      <c r="R1257" s="4">
        <f>IF(Table1[[#This Row],[Target]]&gt;=Table1[[#This Row],[Last value]],1,0)</f>
        <v>1</v>
      </c>
      <c r="S1257" s="4" t="str">
        <f t="shared" si="31"/>
        <v>Green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0</v>
      </c>
      <c r="CP1257" s="54">
        <v>0</v>
      </c>
      <c r="CQ1257" s="4">
        <v>0</v>
      </c>
    </row>
    <row r="1258" spans="1:95" s="55" customFormat="1" x14ac:dyDescent="0.35">
      <c r="A1258" s="55">
        <v>1257</v>
      </c>
      <c r="B1258" s="55" t="s">
        <v>1521</v>
      </c>
      <c r="C1258" s="51" t="s">
        <v>1549</v>
      </c>
      <c r="D1258" s="50" t="s">
        <v>93</v>
      </c>
      <c r="E1258" s="50" t="s">
        <v>89</v>
      </c>
      <c r="F1258" s="4">
        <f>IFERROR(AVERAGEIF(Table1[[#This Row],[2019-Apr]:[2025-July]],"&lt;&gt;0"),0)</f>
        <v>1.9</v>
      </c>
      <c r="G1258" s="4">
        <f ca="1">IFERROR(AVERAGEIF(OFFSET(Table1[[#This Row],[Status]],0,COUNT(Table1[[#This Row],[2019-May]:[2025-July]]),1,-12),"&lt;&gt;0"),0)</f>
        <v>1.9</v>
      </c>
      <c r="H1258" s="55">
        <f>IFERROR(SMALL(Table1[[#This Row],[2019-Apr]:[2025-July]],COUNTIF(Table1[[#This Row],[2019-Apr]:[2025-July]],0)+1),0)</f>
        <v>1.9</v>
      </c>
      <c r="I1258" s="56">
        <f>IFERROR(MAX(Table1[[#This Row],[2019-Apr]:[2025-July]]),0)</f>
        <v>1.9</v>
      </c>
      <c r="J1258" s="4" cm="1">
        <f t="array" ref="J125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</v>
      </c>
      <c r="K1258" s="4">
        <v>4.5</v>
      </c>
      <c r="L1258" s="4">
        <f>IF(Table1[[#This Row],[Standard as per ISO]]&gt;=Table1[[#This Row],[Avg of best 6]],Table1[[#This Row],[Standard as per ISO]],Table1[[#This Row],[Avg of best 6]])</f>
        <v>4.5</v>
      </c>
      <c r="M1258" s="4" cm="1">
        <f t="array" ref="M1258">IFERROR(LOOKUP(2,1/(Table1[[#This Row],[2019-May]:[2025-July]]&lt;&gt;0),Table1[[#This Row],[2019-May]:[2025-July]]),0)</f>
        <v>1.9</v>
      </c>
      <c r="N1258" s="4">
        <f>COUNTIF(Table1[[#This Row],[2019-Apr]:[2025-July]],"&gt;="&amp;Table1[[#This Row],[Target]])</f>
        <v>0</v>
      </c>
      <c r="O1258" s="4">
        <f>IF(Table1[[#This Row],[Outliers 2Y]]=0,1,0)</f>
        <v>1</v>
      </c>
      <c r="P1258" s="4">
        <f>IF(Table1[[#This Row],[Last value]]&gt;1.5*Table1[[#This Row],[Target]],1,0)</f>
        <v>0</v>
      </c>
      <c r="Q1258" s="4">
        <f>IF(AND(1.5*Table1[[#This Row],[Target]]&gt;=Table1[[#This Row],[Last value]],Table1[[#This Row],[Last value]]&gt;Table1[[#This Row],[Target]]),1,0)</f>
        <v>0</v>
      </c>
      <c r="R1258" s="4">
        <f>IF(Table1[[#This Row],[Target]]&gt;=Table1[[#This Row],[Last value]],1,0)</f>
        <v>1</v>
      </c>
      <c r="S1258" s="4" t="str">
        <f t="shared" si="31"/>
        <v>Green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0</v>
      </c>
      <c r="CP1258" s="54">
        <v>1.9</v>
      </c>
      <c r="CQ1258" s="4">
        <v>0</v>
      </c>
    </row>
    <row r="1259" spans="1:95" s="55" customFormat="1" x14ac:dyDescent="0.35">
      <c r="A1259" s="55">
        <v>1258</v>
      </c>
      <c r="B1259" s="55" t="s">
        <v>1521</v>
      </c>
      <c r="C1259" s="51" t="s">
        <v>1550</v>
      </c>
      <c r="D1259" s="50" t="s">
        <v>93</v>
      </c>
      <c r="E1259" s="50" t="s">
        <v>89</v>
      </c>
      <c r="F1259" s="4">
        <f>IFERROR(AVERAGEIF(Table1[[#This Row],[2019-Apr]:[2025-July]],"&lt;&gt;0"),0)</f>
        <v>2.2999999999999998</v>
      </c>
      <c r="G1259" s="4">
        <f ca="1">IFERROR(AVERAGEIF(OFFSET(Table1[[#This Row],[Status]],0,COUNT(Table1[[#This Row],[2019-May]:[2025-July]]),1,-12),"&lt;&gt;0"),0)</f>
        <v>2.2999999999999998</v>
      </c>
      <c r="H1259" s="55">
        <f>IFERROR(SMALL(Table1[[#This Row],[2019-Apr]:[2025-July]],COUNTIF(Table1[[#This Row],[2019-Apr]:[2025-July]],0)+1),0)</f>
        <v>2.2999999999999998</v>
      </c>
      <c r="I1259" s="56">
        <f>IFERROR(MAX(Table1[[#This Row],[2019-Apr]:[2025-July]]),0)</f>
        <v>2.2999999999999998</v>
      </c>
      <c r="J1259" s="4" cm="1">
        <f t="array" ref="J125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2.2999999999999998</v>
      </c>
      <c r="K1259" s="4">
        <v>4.5</v>
      </c>
      <c r="L1259" s="4">
        <f>IF(Table1[[#This Row],[Standard as per ISO]]&gt;=Table1[[#This Row],[Avg of best 6]],Table1[[#This Row],[Standard as per ISO]],Table1[[#This Row],[Avg of best 6]])</f>
        <v>4.5</v>
      </c>
      <c r="M1259" s="4" cm="1">
        <f t="array" ref="M1259">IFERROR(LOOKUP(2,1/(Table1[[#This Row],[2019-May]:[2025-July]]&lt;&gt;0),Table1[[#This Row],[2019-May]:[2025-July]]),0)</f>
        <v>2.2999999999999998</v>
      </c>
      <c r="N1259" s="4">
        <f>COUNTIF(Table1[[#This Row],[2019-Apr]:[2025-July]],"&gt;="&amp;Table1[[#This Row],[Target]])</f>
        <v>0</v>
      </c>
      <c r="O1259" s="4">
        <f>IF(Table1[[#This Row],[Outliers 2Y]]=0,1,0)</f>
        <v>1</v>
      </c>
      <c r="P1259" s="4">
        <f>IF(Table1[[#This Row],[Last value]]&gt;1.5*Table1[[#This Row],[Target]],1,0)</f>
        <v>0</v>
      </c>
      <c r="Q1259" s="4">
        <f>IF(AND(1.5*Table1[[#This Row],[Target]]&gt;=Table1[[#This Row],[Last value]],Table1[[#This Row],[Last value]]&gt;Table1[[#This Row],[Target]]),1,0)</f>
        <v>0</v>
      </c>
      <c r="R1259" s="4">
        <f>IF(Table1[[#This Row],[Target]]&gt;=Table1[[#This Row],[Last value]],1,0)</f>
        <v>1</v>
      </c>
      <c r="S1259" s="4" t="str">
        <f t="shared" si="31"/>
        <v>Green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0</v>
      </c>
      <c r="CP1259" s="54">
        <v>2.2999999999999998</v>
      </c>
      <c r="CQ1259" s="4">
        <v>0</v>
      </c>
    </row>
    <row r="1260" spans="1:95" s="55" customFormat="1" x14ac:dyDescent="0.35">
      <c r="A1260" s="55">
        <v>1259</v>
      </c>
      <c r="B1260" s="55" t="s">
        <v>1521</v>
      </c>
      <c r="C1260" s="51" t="s">
        <v>1551</v>
      </c>
      <c r="D1260" s="50" t="s">
        <v>93</v>
      </c>
      <c r="E1260" s="50" t="s">
        <v>89</v>
      </c>
      <c r="F1260" s="4">
        <f>IFERROR(AVERAGEIF(Table1[[#This Row],[2019-Apr]:[2025-July]],"&lt;&gt;0"),0)</f>
        <v>1.6</v>
      </c>
      <c r="G1260" s="4">
        <f ca="1">IFERROR(AVERAGEIF(OFFSET(Table1[[#This Row],[Status]],0,COUNT(Table1[[#This Row],[2019-May]:[2025-July]]),1,-12),"&lt;&gt;0"),0)</f>
        <v>1.6</v>
      </c>
      <c r="H1260" s="55">
        <f>IFERROR(SMALL(Table1[[#This Row],[2019-Apr]:[2025-July]],COUNTIF(Table1[[#This Row],[2019-Apr]:[2025-July]],0)+1),0)</f>
        <v>1.6</v>
      </c>
      <c r="I1260" s="56">
        <f>IFERROR(MAX(Table1[[#This Row],[2019-Apr]:[2025-July]]),0)</f>
        <v>1.6</v>
      </c>
      <c r="J1260" s="4" cm="1">
        <f t="array" ref="J126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</v>
      </c>
      <c r="K1260" s="4">
        <v>4.5</v>
      </c>
      <c r="L1260" s="4">
        <f>IF(Table1[[#This Row],[Standard as per ISO]]&gt;=Table1[[#This Row],[Avg of best 6]],Table1[[#This Row],[Standard as per ISO]],Table1[[#This Row],[Avg of best 6]])</f>
        <v>4.5</v>
      </c>
      <c r="M1260" s="4" cm="1">
        <f t="array" ref="M1260">IFERROR(LOOKUP(2,1/(Table1[[#This Row],[2019-May]:[2025-July]]&lt;&gt;0),Table1[[#This Row],[2019-May]:[2025-July]]),0)</f>
        <v>1.6</v>
      </c>
      <c r="N1260" s="4">
        <f>COUNTIF(Table1[[#This Row],[2019-Apr]:[2025-July]],"&gt;="&amp;Table1[[#This Row],[Target]])</f>
        <v>0</v>
      </c>
      <c r="O1260" s="4">
        <f>IF(Table1[[#This Row],[Outliers 2Y]]=0,1,0)</f>
        <v>1</v>
      </c>
      <c r="P1260" s="4">
        <f>IF(Table1[[#This Row],[Last value]]&gt;1.5*Table1[[#This Row],[Target]],1,0)</f>
        <v>0</v>
      </c>
      <c r="Q1260" s="4">
        <f>IF(AND(1.5*Table1[[#This Row],[Target]]&gt;=Table1[[#This Row],[Last value]],Table1[[#This Row],[Last value]]&gt;Table1[[#This Row],[Target]]),1,0)</f>
        <v>0</v>
      </c>
      <c r="R1260" s="4">
        <f>IF(Table1[[#This Row],[Target]]&gt;=Table1[[#This Row],[Last value]],1,0)</f>
        <v>1</v>
      </c>
      <c r="S1260" s="4" t="str">
        <f t="shared" si="31"/>
        <v>Green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0</v>
      </c>
      <c r="CP1260" s="54">
        <v>1.6</v>
      </c>
      <c r="CQ1260" s="4">
        <v>0</v>
      </c>
    </row>
    <row r="1261" spans="1:95" s="55" customFormat="1" x14ac:dyDescent="0.35">
      <c r="A1261" s="55">
        <v>1260</v>
      </c>
      <c r="B1261" s="55" t="s">
        <v>1521</v>
      </c>
      <c r="C1261" s="51" t="s">
        <v>1552</v>
      </c>
      <c r="D1261" s="50" t="s">
        <v>93</v>
      </c>
      <c r="E1261" s="50" t="s">
        <v>89</v>
      </c>
      <c r="F1261" s="4">
        <f>IFERROR(AVERAGEIF(Table1[[#This Row],[2019-Apr]:[2025-July]],"&lt;&gt;0"),0)</f>
        <v>1.3</v>
      </c>
      <c r="G1261" s="4">
        <f ca="1">IFERROR(AVERAGEIF(OFFSET(Table1[[#This Row],[Status]],0,COUNT(Table1[[#This Row],[2019-May]:[2025-July]]),1,-12),"&lt;&gt;0"),0)</f>
        <v>1.3</v>
      </c>
      <c r="H1261" s="55">
        <f>IFERROR(SMALL(Table1[[#This Row],[2019-Apr]:[2025-July]],COUNTIF(Table1[[#This Row],[2019-Apr]:[2025-July]],0)+1),0)</f>
        <v>1.3</v>
      </c>
      <c r="I1261" s="56">
        <f>IFERROR(MAX(Table1[[#This Row],[2019-Apr]:[2025-July]]),0)</f>
        <v>1.3</v>
      </c>
      <c r="J1261" s="4" cm="1">
        <f t="array" ref="J126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</v>
      </c>
      <c r="K1261" s="4">
        <v>4.5</v>
      </c>
      <c r="L1261" s="4">
        <f>IF(Table1[[#This Row],[Standard as per ISO]]&gt;=Table1[[#This Row],[Avg of best 6]],Table1[[#This Row],[Standard as per ISO]],Table1[[#This Row],[Avg of best 6]])</f>
        <v>4.5</v>
      </c>
      <c r="M1261" s="4" cm="1">
        <f t="array" ref="M1261">IFERROR(LOOKUP(2,1/(Table1[[#This Row],[2019-May]:[2025-July]]&lt;&gt;0),Table1[[#This Row],[2019-May]:[2025-July]]),0)</f>
        <v>1.3</v>
      </c>
      <c r="N1261" s="4">
        <f>COUNTIF(Table1[[#This Row],[2019-Apr]:[2025-July]],"&gt;="&amp;Table1[[#This Row],[Target]])</f>
        <v>0</v>
      </c>
      <c r="O1261" s="4">
        <f>IF(Table1[[#This Row],[Outliers 2Y]]=0,1,0)</f>
        <v>1</v>
      </c>
      <c r="P1261" s="4">
        <f>IF(Table1[[#This Row],[Last value]]&gt;1.5*Table1[[#This Row],[Target]],1,0)</f>
        <v>0</v>
      </c>
      <c r="Q1261" s="4">
        <f>IF(AND(1.5*Table1[[#This Row],[Target]]&gt;=Table1[[#This Row],[Last value]],Table1[[#This Row],[Last value]]&gt;Table1[[#This Row],[Target]]),1,0)</f>
        <v>0</v>
      </c>
      <c r="R1261" s="4">
        <f>IF(Table1[[#This Row],[Target]]&gt;=Table1[[#This Row],[Last value]],1,0)</f>
        <v>1</v>
      </c>
      <c r="S1261" s="4" t="str">
        <f t="shared" si="31"/>
        <v>Green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0</v>
      </c>
      <c r="CP1261" s="54">
        <v>1.3</v>
      </c>
      <c r="CQ1261" s="4">
        <v>0</v>
      </c>
    </row>
    <row r="1262" spans="1:95" s="55" customFormat="1" x14ac:dyDescent="0.35">
      <c r="A1262" s="55">
        <v>1261</v>
      </c>
      <c r="B1262" s="55" t="s">
        <v>1521</v>
      </c>
      <c r="C1262" s="51" t="s">
        <v>1553</v>
      </c>
      <c r="D1262" s="50" t="s">
        <v>93</v>
      </c>
      <c r="E1262" s="50" t="s">
        <v>89</v>
      </c>
      <c r="F1262" s="4">
        <f>IFERROR(AVERAGEIF(Table1[[#This Row],[2019-Apr]:[2025-July]],"&lt;&gt;0"),0)</f>
        <v>0</v>
      </c>
      <c r="G1262" s="4">
        <f ca="1">IFERROR(AVERAGEIF(OFFSET(Table1[[#This Row],[Status]],0,COUNT(Table1[[#This Row],[2019-May]:[2025-July]]),1,-12),"&lt;&gt;0"),0)</f>
        <v>0</v>
      </c>
      <c r="H1262" s="55">
        <f>IFERROR(SMALL(Table1[[#This Row],[2019-Apr]:[2025-July]],COUNTIF(Table1[[#This Row],[2019-Apr]:[2025-July]],0)+1),0)</f>
        <v>0</v>
      </c>
      <c r="I1262" s="56">
        <f>IFERROR(MAX(Table1[[#This Row],[2019-Apr]:[2025-July]]),0)</f>
        <v>0</v>
      </c>
      <c r="J1262" s="4" cm="1">
        <f t="array" ref="J126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62" s="4">
        <v>4.5</v>
      </c>
      <c r="L1262" s="4">
        <f>IF(Table1[[#This Row],[Standard as per ISO]]&gt;=Table1[[#This Row],[Avg of best 6]],Table1[[#This Row],[Standard as per ISO]],Table1[[#This Row],[Avg of best 6]])</f>
        <v>4.5</v>
      </c>
      <c r="M1262" s="4" cm="1">
        <f t="array" ref="M1262">IFERROR(LOOKUP(2,1/(Table1[[#This Row],[2019-May]:[2025-July]]&lt;&gt;0),Table1[[#This Row],[2019-May]:[2025-July]]),0)</f>
        <v>0</v>
      </c>
      <c r="N1262" s="4">
        <f>COUNTIF(Table1[[#This Row],[2019-Apr]:[2025-July]],"&gt;="&amp;Table1[[#This Row],[Target]])</f>
        <v>0</v>
      </c>
      <c r="O1262" s="4">
        <f>IF(Table1[[#This Row],[Outliers 2Y]]=0,1,0)</f>
        <v>1</v>
      </c>
      <c r="P1262" s="4">
        <f>IF(Table1[[#This Row],[Last value]]&gt;1.5*Table1[[#This Row],[Target]],1,0)</f>
        <v>0</v>
      </c>
      <c r="Q1262" s="4">
        <f>IF(AND(1.5*Table1[[#This Row],[Target]]&gt;=Table1[[#This Row],[Last value]],Table1[[#This Row],[Last value]]&gt;Table1[[#This Row],[Target]]),1,0)</f>
        <v>0</v>
      </c>
      <c r="R1262" s="4">
        <f>IF(Table1[[#This Row],[Target]]&gt;=Table1[[#This Row],[Last value]],1,0)</f>
        <v>1</v>
      </c>
      <c r="S1262" s="4" t="str">
        <f t="shared" si="31"/>
        <v>Green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0</v>
      </c>
      <c r="CP1262" s="54">
        <v>0</v>
      </c>
      <c r="CQ1262" s="4">
        <v>0</v>
      </c>
    </row>
    <row r="1263" spans="1:95" s="55" customFormat="1" x14ac:dyDescent="0.35">
      <c r="A1263" s="55">
        <v>1262</v>
      </c>
      <c r="B1263" s="55" t="s">
        <v>1521</v>
      </c>
      <c r="C1263" s="51" t="s">
        <v>1554</v>
      </c>
      <c r="D1263" s="50" t="s">
        <v>93</v>
      </c>
      <c r="E1263" s="50" t="s">
        <v>89</v>
      </c>
      <c r="F1263" s="4">
        <f>IFERROR(AVERAGEIF(Table1[[#This Row],[2019-Apr]:[2025-July]],"&lt;&gt;0"),0)</f>
        <v>0</v>
      </c>
      <c r="G1263" s="4">
        <f ca="1">IFERROR(AVERAGEIF(OFFSET(Table1[[#This Row],[Status]],0,COUNT(Table1[[#This Row],[2019-May]:[2025-July]]),1,-12),"&lt;&gt;0"),0)</f>
        <v>0</v>
      </c>
      <c r="H1263" s="55">
        <f>IFERROR(SMALL(Table1[[#This Row],[2019-Apr]:[2025-July]],COUNTIF(Table1[[#This Row],[2019-Apr]:[2025-July]],0)+1),0)</f>
        <v>0</v>
      </c>
      <c r="I1263" s="56">
        <f>IFERROR(MAX(Table1[[#This Row],[2019-Apr]:[2025-July]]),0)</f>
        <v>0</v>
      </c>
      <c r="J1263" s="4" cm="1">
        <f t="array" ref="J126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63" s="4">
        <v>4.5</v>
      </c>
      <c r="L1263" s="4">
        <f>IF(Table1[[#This Row],[Standard as per ISO]]&gt;=Table1[[#This Row],[Avg of best 6]],Table1[[#This Row],[Standard as per ISO]],Table1[[#This Row],[Avg of best 6]])</f>
        <v>4.5</v>
      </c>
      <c r="M1263" s="4" cm="1">
        <f t="array" ref="M1263">IFERROR(LOOKUP(2,1/(Table1[[#This Row],[2019-May]:[2025-July]]&lt;&gt;0),Table1[[#This Row],[2019-May]:[2025-July]]),0)</f>
        <v>0</v>
      </c>
      <c r="N1263" s="4">
        <f>COUNTIF(Table1[[#This Row],[2019-Apr]:[2025-July]],"&gt;="&amp;Table1[[#This Row],[Target]])</f>
        <v>0</v>
      </c>
      <c r="O1263" s="4">
        <f>IF(Table1[[#This Row],[Outliers 2Y]]=0,1,0)</f>
        <v>1</v>
      </c>
      <c r="P1263" s="4">
        <f>IF(Table1[[#This Row],[Last value]]&gt;1.5*Table1[[#This Row],[Target]],1,0)</f>
        <v>0</v>
      </c>
      <c r="Q1263" s="4">
        <f>IF(AND(1.5*Table1[[#This Row],[Target]]&gt;=Table1[[#This Row],[Last value]],Table1[[#This Row],[Last value]]&gt;Table1[[#This Row],[Target]]),1,0)</f>
        <v>0</v>
      </c>
      <c r="R1263" s="4">
        <f>IF(Table1[[#This Row],[Target]]&gt;=Table1[[#This Row],[Last value]],1,0)</f>
        <v>1</v>
      </c>
      <c r="S1263" s="4" t="str">
        <f t="shared" si="31"/>
        <v>Green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0</v>
      </c>
      <c r="CP1263" s="54">
        <v>0</v>
      </c>
      <c r="CQ1263" s="4">
        <v>0</v>
      </c>
    </row>
    <row r="1264" spans="1:95" s="55" customFormat="1" x14ac:dyDescent="0.35">
      <c r="A1264" s="55">
        <v>1263</v>
      </c>
      <c r="B1264" s="55" t="s">
        <v>1521</v>
      </c>
      <c r="C1264" s="51" t="s">
        <v>1555</v>
      </c>
      <c r="D1264" s="50" t="s">
        <v>93</v>
      </c>
      <c r="E1264" s="50" t="s">
        <v>89</v>
      </c>
      <c r="F1264" s="4">
        <f>IFERROR(AVERAGEIF(Table1[[#This Row],[2019-Apr]:[2025-July]],"&lt;&gt;0"),0)</f>
        <v>4.5999999999999996</v>
      </c>
      <c r="G1264" s="4">
        <f ca="1">IFERROR(AVERAGEIF(OFFSET(Table1[[#This Row],[Status]],0,COUNT(Table1[[#This Row],[2019-May]:[2025-July]]),1,-12),"&lt;&gt;0"),0)</f>
        <v>4.5999999999999996</v>
      </c>
      <c r="H1264" s="55">
        <f>IFERROR(SMALL(Table1[[#This Row],[2019-Apr]:[2025-July]],COUNTIF(Table1[[#This Row],[2019-Apr]:[2025-July]],0)+1),0)</f>
        <v>4.5999999999999996</v>
      </c>
      <c r="I1264" s="56">
        <f>IFERROR(MAX(Table1[[#This Row],[2019-Apr]:[2025-July]]),0)</f>
        <v>4.5999999999999996</v>
      </c>
      <c r="J1264" s="4" cm="1">
        <f t="array" ref="J126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4.5999999999999996</v>
      </c>
      <c r="K1264" s="4">
        <v>4.5</v>
      </c>
      <c r="L1264" s="4">
        <f>IF(Table1[[#This Row],[Standard as per ISO]]&gt;=Table1[[#This Row],[Avg of best 6]],Table1[[#This Row],[Standard as per ISO]],Table1[[#This Row],[Avg of best 6]])</f>
        <v>4.5999999999999996</v>
      </c>
      <c r="M1264" s="4" cm="1">
        <f t="array" ref="M1264">IFERROR(LOOKUP(2,1/(Table1[[#This Row],[2019-May]:[2025-July]]&lt;&gt;0),Table1[[#This Row],[2019-May]:[2025-July]]),0)</f>
        <v>4.5999999999999996</v>
      </c>
      <c r="N1264" s="4">
        <f>COUNTIF(Table1[[#This Row],[2019-Apr]:[2025-July]],"&gt;="&amp;Table1[[#This Row],[Target]])</f>
        <v>1</v>
      </c>
      <c r="O1264" s="4">
        <f>IF(Table1[[#This Row],[Outliers 2Y]]=0,1,0)</f>
        <v>0</v>
      </c>
      <c r="P1264" s="4">
        <f>IF(Table1[[#This Row],[Last value]]&gt;1.5*Table1[[#This Row],[Target]],1,0)</f>
        <v>0</v>
      </c>
      <c r="Q1264" s="4">
        <f>IF(AND(1.5*Table1[[#This Row],[Target]]&gt;=Table1[[#This Row],[Last value]],Table1[[#This Row],[Last value]]&gt;Table1[[#This Row],[Target]]),1,0)</f>
        <v>0</v>
      </c>
      <c r="R1264" s="4">
        <f>IF(Table1[[#This Row],[Target]]&gt;=Table1[[#This Row],[Last value]],1,0)</f>
        <v>1</v>
      </c>
      <c r="S1264" s="4" t="str">
        <f t="shared" si="31"/>
        <v>Green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0</v>
      </c>
      <c r="CP1264" s="54">
        <v>4.5999999999999996</v>
      </c>
      <c r="CQ1264" s="4">
        <v>0</v>
      </c>
    </row>
    <row r="1265" spans="1:95" s="55" customFormat="1" x14ac:dyDescent="0.35">
      <c r="A1265" s="55">
        <v>1264</v>
      </c>
      <c r="B1265" s="55" t="s">
        <v>1521</v>
      </c>
      <c r="C1265" s="51" t="s">
        <v>1556</v>
      </c>
      <c r="D1265" s="50" t="s">
        <v>93</v>
      </c>
      <c r="E1265" s="50" t="s">
        <v>91</v>
      </c>
      <c r="F1265" s="4">
        <f>IFERROR(AVERAGEIF(Table1[[#This Row],[2019-Apr]:[2025-July]],"&lt;&gt;0"),0)</f>
        <v>0</v>
      </c>
      <c r="G1265" s="4">
        <f ca="1">IFERROR(AVERAGEIF(OFFSET(Table1[[#This Row],[Status]],0,COUNT(Table1[[#This Row],[2019-May]:[2025-July]]),1,-12),"&lt;&gt;0"),0)</f>
        <v>0</v>
      </c>
      <c r="H1265" s="55">
        <f>IFERROR(SMALL(Table1[[#This Row],[2019-Apr]:[2025-July]],COUNTIF(Table1[[#This Row],[2019-Apr]:[2025-July]],0)+1),0)</f>
        <v>0</v>
      </c>
      <c r="I1265" s="56">
        <f>IFERROR(MAX(Table1[[#This Row],[2019-Apr]:[2025-July]]),0)</f>
        <v>0</v>
      </c>
      <c r="J1265" s="4" cm="1">
        <f t="array" ref="J126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65" s="4">
        <v>4.5</v>
      </c>
      <c r="L1265" s="4">
        <f>IF(Table1[[#This Row],[Standard as per ISO]]&gt;=Table1[[#This Row],[Avg of best 6]],Table1[[#This Row],[Standard as per ISO]],Table1[[#This Row],[Avg of best 6]])</f>
        <v>4.5</v>
      </c>
      <c r="M1265" s="4" cm="1">
        <f t="array" ref="M1265">IFERROR(LOOKUP(2,1/(Table1[[#This Row],[2019-May]:[2025-July]]&lt;&gt;0),Table1[[#This Row],[2019-May]:[2025-July]]),0)</f>
        <v>0</v>
      </c>
      <c r="N1265" s="4">
        <f>COUNTIF(Table1[[#This Row],[2019-Apr]:[2025-July]],"&gt;="&amp;Table1[[#This Row],[Target]])</f>
        <v>0</v>
      </c>
      <c r="O1265" s="4">
        <f>IF(Table1[[#This Row],[Outliers 2Y]]=0,1,0)</f>
        <v>1</v>
      </c>
      <c r="P1265" s="4">
        <f>IF(Table1[[#This Row],[Last value]]&gt;1.5*Table1[[#This Row],[Target]],1,0)</f>
        <v>0</v>
      </c>
      <c r="Q1265" s="4">
        <f>IF(AND(1.5*Table1[[#This Row],[Target]]&gt;=Table1[[#This Row],[Last value]],Table1[[#This Row],[Last value]]&gt;Table1[[#This Row],[Target]]),1,0)</f>
        <v>0</v>
      </c>
      <c r="R1265" s="4">
        <f>IF(Table1[[#This Row],[Target]]&gt;=Table1[[#This Row],[Last value]],1,0)</f>
        <v>1</v>
      </c>
      <c r="S1265" s="4" t="str">
        <f t="shared" si="31"/>
        <v>Green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0</v>
      </c>
      <c r="CP1265" s="54">
        <v>0</v>
      </c>
      <c r="CQ1265" s="4">
        <v>0</v>
      </c>
    </row>
    <row r="1266" spans="1:95" x14ac:dyDescent="0.35">
      <c r="A1266" s="55">
        <v>1265</v>
      </c>
      <c r="B1266" s="23" t="s">
        <v>126</v>
      </c>
      <c r="C1266" s="30" t="s">
        <v>1257</v>
      </c>
      <c r="D1266" s="3" t="s">
        <v>88</v>
      </c>
      <c r="E1266" s="30" t="s">
        <v>91</v>
      </c>
      <c r="F1266" s="4">
        <f>IFERROR(AVERAGEIF(Table1[[#This Row],[2019-Apr]:[2025-July]],"&lt;&gt;0"),0)</f>
        <v>0</v>
      </c>
      <c r="G1266" s="4">
        <f ca="1">IFERROR(AVERAGEIF(OFFSET(Table1[[#This Row],[Status]],0,COUNT(Table1[[#This Row],[2019-May]:[2025-July]]),1,-12),"&lt;&gt;0"),0)</f>
        <v>0</v>
      </c>
      <c r="H1266" s="55">
        <f>IFERROR(SMALL(Table1[[#This Row],[2019-Apr]:[2025-July]],COUNTIF(Table1[[#This Row],[2019-Apr]:[2025-July]],0)+1),0)</f>
        <v>0</v>
      </c>
      <c r="I1266" s="56">
        <f>IFERROR(MAX(Table1[[#This Row],[2019-Apr]:[2025-July]]),0)</f>
        <v>0</v>
      </c>
      <c r="J1266" s="4" cm="1">
        <f t="array" ref="J126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66" s="4">
        <v>4.5</v>
      </c>
      <c r="L1266" s="4">
        <f>IF(Table1[[#This Row],[Standard as per ISO]]&gt;=Table1[[#This Row],[Avg of best 6]],Table1[[#This Row],[Standard as per ISO]],Table1[[#This Row],[Avg of best 6]])</f>
        <v>4.5</v>
      </c>
      <c r="M1266" s="4" cm="1">
        <f t="array" ref="M1266">IFERROR(LOOKUP(2,1/(Table1[[#This Row],[2019-May]:[2025-July]]&lt;&gt;0),Table1[[#This Row],[2019-May]:[2025-July]]),0)</f>
        <v>0</v>
      </c>
      <c r="N1266" s="4">
        <f>COUNTIF(Table1[[#This Row],[2019-Apr]:[2025-July]],"&gt;="&amp;Table1[[#This Row],[Target]])</f>
        <v>0</v>
      </c>
      <c r="O1266" s="4">
        <f>IF(Table1[[#This Row],[Outliers 2Y]]=0,1,0)</f>
        <v>1</v>
      </c>
      <c r="P1266" s="4">
        <f>IF(Table1[[#This Row],[Last value]]&gt;1.5*Table1[[#This Row],[Target]],1,0)</f>
        <v>0</v>
      </c>
      <c r="Q1266" s="4">
        <f>IF(AND(1.5*Table1[[#This Row],[Target]]&gt;=Table1[[#This Row],[Last value]],Table1[[#This Row],[Last value]]&gt;Table1[[#This Row],[Target]]),1,0)</f>
        <v>0</v>
      </c>
      <c r="R1266" s="4">
        <f>IF(Table1[[#This Row],[Target]]&gt;=Table1[[#This Row],[Last value]],1,0)</f>
        <v>1</v>
      </c>
      <c r="S1266" s="4" t="str">
        <f t="shared" si="30"/>
        <v>Green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34">
        <v>0</v>
      </c>
      <c r="CK1266" s="34">
        <v>0</v>
      </c>
      <c r="CL1266" s="34">
        <v>0</v>
      </c>
      <c r="CM1266" s="4">
        <v>0</v>
      </c>
      <c r="CN1266" s="53">
        <v>0</v>
      </c>
      <c r="CO1266" s="54">
        <v>0</v>
      </c>
      <c r="CP1266" s="54">
        <v>0</v>
      </c>
      <c r="CQ1266" s="4">
        <v>0</v>
      </c>
    </row>
    <row r="1267" spans="1:95" x14ac:dyDescent="0.35">
      <c r="A1267" s="55">
        <v>1266</v>
      </c>
      <c r="B1267" s="23" t="s">
        <v>126</v>
      </c>
      <c r="C1267" s="30" t="s">
        <v>1258</v>
      </c>
      <c r="D1267" s="3" t="s">
        <v>88</v>
      </c>
      <c r="E1267" s="30" t="s">
        <v>91</v>
      </c>
      <c r="F1267" s="4">
        <f>IFERROR(AVERAGEIF(Table1[[#This Row],[2019-Apr]:[2025-July]],"&lt;&gt;0"),0)</f>
        <v>2.54</v>
      </c>
      <c r="G1267" s="4">
        <f ca="1">IFERROR(AVERAGEIF(OFFSET(Table1[[#This Row],[Status]],0,COUNT(Table1[[#This Row],[2019-May]:[2025-July]]),1,-12),"&lt;&gt;0"),0)</f>
        <v>2.54</v>
      </c>
      <c r="H1267" s="55">
        <f>IFERROR(SMALL(Table1[[#This Row],[2019-Apr]:[2025-July]],COUNTIF(Table1[[#This Row],[2019-Apr]:[2025-July]],0)+1),0)</f>
        <v>2.54</v>
      </c>
      <c r="I1267" s="56">
        <f>IFERROR(MAX(Table1[[#This Row],[2019-Apr]:[2025-July]]),0)</f>
        <v>2.54</v>
      </c>
      <c r="J1267" s="4" cm="1">
        <f t="array" ref="J126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2.54</v>
      </c>
      <c r="K1267" s="4">
        <v>4.5</v>
      </c>
      <c r="L1267" s="4">
        <f>IF(Table1[[#This Row],[Standard as per ISO]]&gt;=Table1[[#This Row],[Avg of best 6]],Table1[[#This Row],[Standard as per ISO]],Table1[[#This Row],[Avg of best 6]])</f>
        <v>4.5</v>
      </c>
      <c r="M1267" s="4" cm="1">
        <f t="array" ref="M1267">IFERROR(LOOKUP(2,1/(Table1[[#This Row],[2019-May]:[2025-July]]&lt;&gt;0),Table1[[#This Row],[2019-May]:[2025-July]]),0)</f>
        <v>2.54</v>
      </c>
      <c r="N1267" s="4">
        <f>COUNTIF(Table1[[#This Row],[2019-Apr]:[2025-July]],"&gt;="&amp;Table1[[#This Row],[Target]])</f>
        <v>0</v>
      </c>
      <c r="O1267" s="4">
        <f>IF(Table1[[#This Row],[Outliers 2Y]]=0,1,0)</f>
        <v>1</v>
      </c>
      <c r="P1267" s="4">
        <f>IF(Table1[[#This Row],[Last value]]&gt;1.5*Table1[[#This Row],[Target]],1,0)</f>
        <v>0</v>
      </c>
      <c r="Q1267" s="4">
        <f>IF(AND(1.5*Table1[[#This Row],[Target]]&gt;=Table1[[#This Row],[Last value]],Table1[[#This Row],[Last value]]&gt;Table1[[#This Row],[Target]]),1,0)</f>
        <v>0</v>
      </c>
      <c r="R1267" s="4">
        <f>IF(Table1[[#This Row],[Target]]&gt;=Table1[[#This Row],[Last value]],1,0)</f>
        <v>1</v>
      </c>
      <c r="S1267" s="4" t="str">
        <f t="shared" si="30"/>
        <v>Green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2.54</v>
      </c>
      <c r="CI1267" s="4">
        <v>0</v>
      </c>
      <c r="CJ1267" s="34">
        <v>0</v>
      </c>
      <c r="CK1267" s="34">
        <v>0</v>
      </c>
      <c r="CL1267" s="34">
        <v>0</v>
      </c>
      <c r="CM1267" s="4">
        <v>0</v>
      </c>
      <c r="CN1267" s="53">
        <v>0</v>
      </c>
      <c r="CO1267" s="54">
        <v>0</v>
      </c>
      <c r="CP1267" s="54">
        <v>0</v>
      </c>
      <c r="CQ1267" s="4">
        <v>0</v>
      </c>
    </row>
    <row r="1268" spans="1:95" x14ac:dyDescent="0.35">
      <c r="A1268" s="55">
        <v>1267</v>
      </c>
      <c r="B1268" s="23" t="s">
        <v>126</v>
      </c>
      <c r="C1268" s="27" t="s">
        <v>1259</v>
      </c>
      <c r="D1268" s="3" t="s">
        <v>88</v>
      </c>
      <c r="E1268" s="27" t="s">
        <v>89</v>
      </c>
      <c r="F1268" s="4">
        <f>IFERROR(AVERAGEIF(Table1[[#This Row],[2019-Apr]:[2025-July]],"&lt;&gt;0"),0)</f>
        <v>0</v>
      </c>
      <c r="G1268" s="4">
        <f ca="1">IFERROR(AVERAGEIF(OFFSET(Table1[[#This Row],[Status]],0,COUNT(Table1[[#This Row],[2019-May]:[2025-July]]),1,-12),"&lt;&gt;0"),0)</f>
        <v>0</v>
      </c>
      <c r="H1268" s="55">
        <f>IFERROR(SMALL(Table1[[#This Row],[2019-Apr]:[2025-July]],COUNTIF(Table1[[#This Row],[2019-Apr]:[2025-July]],0)+1),0)</f>
        <v>0</v>
      </c>
      <c r="I1268" s="56">
        <f>IFERROR(MAX(Table1[[#This Row],[2019-Apr]:[2025-July]]),0)</f>
        <v>0</v>
      </c>
      <c r="J1268" s="4" cm="1">
        <f t="array" ref="J126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68" s="4">
        <v>4.5</v>
      </c>
      <c r="L1268" s="4">
        <f>IF(Table1[[#This Row],[Standard as per ISO]]&gt;=Table1[[#This Row],[Avg of best 6]],Table1[[#This Row],[Standard as per ISO]],Table1[[#This Row],[Avg of best 6]])</f>
        <v>4.5</v>
      </c>
      <c r="M1268" s="4" cm="1">
        <f t="array" ref="M1268">IFERROR(LOOKUP(2,1/(Table1[[#This Row],[2019-May]:[2025-July]]&lt;&gt;0),Table1[[#This Row],[2019-May]:[2025-July]]),0)</f>
        <v>0</v>
      </c>
      <c r="N1268" s="4">
        <f>COUNTIF(Table1[[#This Row],[2019-Apr]:[2025-July]],"&gt;="&amp;Table1[[#This Row],[Target]])</f>
        <v>0</v>
      </c>
      <c r="O1268" s="4">
        <f>IF(Table1[[#This Row],[Outliers 2Y]]=0,1,0)</f>
        <v>1</v>
      </c>
      <c r="P1268" s="4">
        <f>IF(Table1[[#This Row],[Last value]]&gt;1.5*Table1[[#This Row],[Target]],1,0)</f>
        <v>0</v>
      </c>
      <c r="Q1268" s="4">
        <f>IF(AND(1.5*Table1[[#This Row],[Target]]&gt;=Table1[[#This Row],[Last value]],Table1[[#This Row],[Last value]]&gt;Table1[[#This Row],[Target]]),1,0)</f>
        <v>0</v>
      </c>
      <c r="R1268" s="4">
        <f>IF(Table1[[#This Row],[Target]]&gt;=Table1[[#This Row],[Last value]],1,0)</f>
        <v>1</v>
      </c>
      <c r="S1268" s="4" t="str">
        <f t="shared" si="30"/>
        <v>Green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38">
        <v>0</v>
      </c>
      <c r="CK1268" s="38">
        <v>0</v>
      </c>
      <c r="CL1268" s="43">
        <v>0</v>
      </c>
      <c r="CM1268" s="4">
        <v>0</v>
      </c>
      <c r="CN1268" s="53">
        <v>0</v>
      </c>
      <c r="CO1268" s="54">
        <v>0</v>
      </c>
      <c r="CP1268" s="54">
        <v>0</v>
      </c>
      <c r="CQ1268" s="4">
        <v>0</v>
      </c>
    </row>
    <row r="1269" spans="1:95" x14ac:dyDescent="0.35">
      <c r="A1269" s="55">
        <v>1268</v>
      </c>
      <c r="B1269" s="23" t="s">
        <v>126</v>
      </c>
      <c r="C1269" s="27" t="s">
        <v>1260</v>
      </c>
      <c r="D1269" s="3" t="s">
        <v>88</v>
      </c>
      <c r="E1269" s="27" t="s">
        <v>89</v>
      </c>
      <c r="F1269" s="4">
        <f>IFERROR(AVERAGEIF(Table1[[#This Row],[2019-Apr]:[2025-July]],"&lt;&gt;0"),0)</f>
        <v>2.1949999999999998</v>
      </c>
      <c r="G1269" s="4">
        <f ca="1">IFERROR(AVERAGEIF(OFFSET(Table1[[#This Row],[Status]],0,COUNT(Table1[[#This Row],[2019-May]:[2025-July]]),1,-12),"&lt;&gt;0"),0)</f>
        <v>2.274</v>
      </c>
      <c r="H1269" s="55">
        <f>IFERROR(SMALL(Table1[[#This Row],[2019-Apr]:[2025-July]],COUNTIF(Table1[[#This Row],[2019-Apr]:[2025-July]],0)+1),0)</f>
        <v>1.8</v>
      </c>
      <c r="I1269" s="56">
        <f>IFERROR(MAX(Table1[[#This Row],[2019-Apr]:[2025-July]]),0)</f>
        <v>2.9</v>
      </c>
      <c r="J1269" s="4" cm="1">
        <f t="array" ref="J126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2.1949999999999998</v>
      </c>
      <c r="K1269" s="4">
        <v>4.5</v>
      </c>
      <c r="L1269" s="4">
        <f>IF(Table1[[#This Row],[Standard as per ISO]]&gt;=Table1[[#This Row],[Avg of best 6]],Table1[[#This Row],[Standard as per ISO]],Table1[[#This Row],[Avg of best 6]])</f>
        <v>4.5</v>
      </c>
      <c r="M1269" s="4" cm="1">
        <f t="array" ref="M1269">IFERROR(LOOKUP(2,1/(Table1[[#This Row],[2019-May]:[2025-July]]&lt;&gt;0),Table1[[#This Row],[2019-May]:[2025-July]]),0)</f>
        <v>1.8</v>
      </c>
      <c r="N1269" s="4">
        <f>COUNTIF(Table1[[#This Row],[2019-Apr]:[2025-July]],"&gt;="&amp;Table1[[#This Row],[Target]])</f>
        <v>0</v>
      </c>
      <c r="O1269" s="4">
        <f>IF(Table1[[#This Row],[Outliers 2Y]]=0,1,0)</f>
        <v>1</v>
      </c>
      <c r="P1269" s="4">
        <f>IF(Table1[[#This Row],[Last value]]&gt;1.5*Table1[[#This Row],[Target]],1,0)</f>
        <v>0</v>
      </c>
      <c r="Q1269" s="4">
        <f>IF(AND(1.5*Table1[[#This Row],[Target]]&gt;=Table1[[#This Row],[Last value]],Table1[[#This Row],[Last value]]&gt;Table1[[#This Row],[Target]]),1,0)</f>
        <v>0</v>
      </c>
      <c r="R1269" s="4">
        <f>IF(Table1[[#This Row],[Target]]&gt;=Table1[[#This Row],[Last value]],1,0)</f>
        <v>1</v>
      </c>
      <c r="S1269" s="4" t="str">
        <f t="shared" si="30"/>
        <v>Green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2.27</v>
      </c>
      <c r="CI1269" s="4">
        <v>0</v>
      </c>
      <c r="CJ1269" s="38">
        <v>0</v>
      </c>
      <c r="CK1269" s="38">
        <v>0</v>
      </c>
      <c r="CL1269" s="43">
        <v>0</v>
      </c>
      <c r="CM1269" s="4">
        <v>2.9</v>
      </c>
      <c r="CN1269" s="53">
        <v>1.9</v>
      </c>
      <c r="CO1269" s="54">
        <v>2.2000000000000002</v>
      </c>
      <c r="CP1269" s="54">
        <v>2.1</v>
      </c>
      <c r="CQ1269" s="4">
        <v>1.8</v>
      </c>
    </row>
    <row r="1270" spans="1:95" x14ac:dyDescent="0.35">
      <c r="A1270" s="55">
        <v>1269</v>
      </c>
      <c r="B1270" s="23" t="s">
        <v>126</v>
      </c>
      <c r="C1270" s="27" t="s">
        <v>1261</v>
      </c>
      <c r="D1270" s="3" t="s">
        <v>88</v>
      </c>
      <c r="E1270" s="27" t="s">
        <v>89</v>
      </c>
      <c r="F1270" s="4">
        <f>IFERROR(AVERAGEIF(Table1[[#This Row],[2019-Apr]:[2025-July]],"&lt;&gt;0"),0)</f>
        <v>2.3333333333333335</v>
      </c>
      <c r="G1270" s="4">
        <f ca="1">IFERROR(AVERAGEIF(OFFSET(Table1[[#This Row],[Status]],0,COUNT(Table1[[#This Row],[2019-May]:[2025-July]]),1,-12),"&lt;&gt;0"),0)</f>
        <v>2.3333333333333335</v>
      </c>
      <c r="H1270" s="55">
        <f>IFERROR(SMALL(Table1[[#This Row],[2019-Apr]:[2025-July]],COUNTIF(Table1[[#This Row],[2019-Apr]:[2025-July]],0)+1),0)</f>
        <v>1.7</v>
      </c>
      <c r="I1270" s="56">
        <f>IFERROR(MAX(Table1[[#This Row],[2019-Apr]:[2025-July]]),0)</f>
        <v>3.1</v>
      </c>
      <c r="J1270" s="4" cm="1">
        <f t="array" ref="J127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2.3333333333333335</v>
      </c>
      <c r="K1270" s="4">
        <v>4.5</v>
      </c>
      <c r="L1270" s="4">
        <f>IF(Table1[[#This Row],[Standard as per ISO]]&gt;=Table1[[#This Row],[Avg of best 6]],Table1[[#This Row],[Standard as per ISO]],Table1[[#This Row],[Avg of best 6]])</f>
        <v>4.5</v>
      </c>
      <c r="M1270" s="4" cm="1">
        <f t="array" ref="M1270">IFERROR(LOOKUP(2,1/(Table1[[#This Row],[2019-May]:[2025-July]]&lt;&gt;0),Table1[[#This Row],[2019-May]:[2025-July]]),0)</f>
        <v>2.2000000000000002</v>
      </c>
      <c r="N1270" s="4">
        <f>COUNTIF(Table1[[#This Row],[2019-Apr]:[2025-July]],"&gt;="&amp;Table1[[#This Row],[Target]])</f>
        <v>0</v>
      </c>
      <c r="O1270" s="4">
        <f>IF(Table1[[#This Row],[Outliers 2Y]]=0,1,0)</f>
        <v>1</v>
      </c>
      <c r="P1270" s="4">
        <f>IF(Table1[[#This Row],[Last value]]&gt;1.5*Table1[[#This Row],[Target]],1,0)</f>
        <v>0</v>
      </c>
      <c r="Q1270" s="4">
        <f>IF(AND(1.5*Table1[[#This Row],[Target]]&gt;=Table1[[#This Row],[Last value]],Table1[[#This Row],[Last value]]&gt;Table1[[#This Row],[Target]]),1,0)</f>
        <v>0</v>
      </c>
      <c r="R1270" s="4">
        <f>IF(Table1[[#This Row],[Target]]&gt;=Table1[[#This Row],[Last value]],1,0)</f>
        <v>1</v>
      </c>
      <c r="S1270" s="4" t="str">
        <f t="shared" si="30"/>
        <v>Green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38">
        <v>1.7</v>
      </c>
      <c r="CK1270" s="34">
        <v>3.1</v>
      </c>
      <c r="CL1270" s="43">
        <v>2.2000000000000002</v>
      </c>
      <c r="CM1270" s="4">
        <v>0</v>
      </c>
      <c r="CN1270" s="53">
        <v>0</v>
      </c>
      <c r="CO1270" s="54">
        <v>0</v>
      </c>
      <c r="CP1270" s="54">
        <v>0</v>
      </c>
      <c r="CQ1270" s="4">
        <v>0</v>
      </c>
    </row>
    <row r="1271" spans="1:95" x14ac:dyDescent="0.35">
      <c r="A1271" s="55">
        <v>1270</v>
      </c>
      <c r="B1271" s="23" t="s">
        <v>126</v>
      </c>
      <c r="C1271" s="27" t="s">
        <v>1262</v>
      </c>
      <c r="D1271" s="3" t="s">
        <v>88</v>
      </c>
      <c r="E1271" s="27" t="s">
        <v>89</v>
      </c>
      <c r="F1271" s="4">
        <f>IFERROR(AVERAGEIF(Table1[[#This Row],[2019-Apr]:[2025-July]],"&lt;&gt;0"),0)</f>
        <v>1.7600000000000002</v>
      </c>
      <c r="G1271" s="4">
        <f ca="1">IFERROR(AVERAGEIF(OFFSET(Table1[[#This Row],[Status]],0,COUNT(Table1[[#This Row],[2019-May]:[2025-July]]),1,-12),"&lt;&gt;0"),0)</f>
        <v>1.7500000000000002</v>
      </c>
      <c r="H1271" s="55">
        <f>IFERROR(SMALL(Table1[[#This Row],[2019-Apr]:[2025-July]],COUNTIF(Table1[[#This Row],[2019-Apr]:[2025-July]],0)+1),0)</f>
        <v>1.6</v>
      </c>
      <c r="I1271" s="56">
        <f>IFERROR(MAX(Table1[[#This Row],[2019-Apr]:[2025-July]]),0)</f>
        <v>2.1</v>
      </c>
      <c r="J1271" s="4" cm="1">
        <f t="array" ref="J127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1.7600000000000002</v>
      </c>
      <c r="K1271" s="4">
        <v>4.5</v>
      </c>
      <c r="L1271" s="4">
        <f>IF(Table1[[#This Row],[Standard as per ISO]]&gt;=Table1[[#This Row],[Avg of best 6]],Table1[[#This Row],[Standard as per ISO]],Table1[[#This Row],[Avg of best 6]])</f>
        <v>4.5</v>
      </c>
      <c r="M1271" s="4" cm="1">
        <f t="array" ref="M1271">IFERROR(LOOKUP(2,1/(Table1[[#This Row],[2019-May]:[2025-July]]&lt;&gt;0),Table1[[#This Row],[2019-May]:[2025-July]]),0)</f>
        <v>1.8</v>
      </c>
      <c r="N1271" s="4">
        <f>COUNTIF(Table1[[#This Row],[2019-Apr]:[2025-July]],"&gt;="&amp;Table1[[#This Row],[Target]])</f>
        <v>0</v>
      </c>
      <c r="O1271" s="4">
        <f>IF(Table1[[#This Row],[Outliers 2Y]]=0,1,0)</f>
        <v>1</v>
      </c>
      <c r="P1271" s="4">
        <f>IF(Table1[[#This Row],[Last value]]&gt;1.5*Table1[[#This Row],[Target]],1,0)</f>
        <v>0</v>
      </c>
      <c r="Q1271" s="4">
        <f>IF(AND(1.5*Table1[[#This Row],[Target]]&gt;=Table1[[#This Row],[Last value]],Table1[[#This Row],[Last value]]&gt;Table1[[#This Row],[Target]]),1,0)</f>
        <v>0</v>
      </c>
      <c r="R1271" s="4">
        <f>IF(Table1[[#This Row],[Target]]&gt;=Table1[[#This Row],[Last value]],1,0)</f>
        <v>1</v>
      </c>
      <c r="S1271" s="4" t="str">
        <f t="shared" si="30"/>
        <v>Green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38">
        <v>0</v>
      </c>
      <c r="CK1271" s="34">
        <v>1.6</v>
      </c>
      <c r="CL1271" s="43">
        <v>0</v>
      </c>
      <c r="CM1271" s="4">
        <v>2.1</v>
      </c>
      <c r="CN1271" s="53">
        <v>0</v>
      </c>
      <c r="CO1271" s="54">
        <v>1.6</v>
      </c>
      <c r="CP1271" s="54">
        <v>1.7</v>
      </c>
      <c r="CQ1271" s="4">
        <v>1.8</v>
      </c>
    </row>
    <row r="1272" spans="1:95" x14ac:dyDescent="0.35">
      <c r="A1272" s="55">
        <v>1271</v>
      </c>
      <c r="B1272" s="23" t="s">
        <v>126</v>
      </c>
      <c r="C1272" s="27" t="s">
        <v>1263</v>
      </c>
      <c r="D1272" s="3" t="s">
        <v>88</v>
      </c>
      <c r="E1272" s="27" t="s">
        <v>89</v>
      </c>
      <c r="F1272" s="4">
        <f>IFERROR(AVERAGEIF(Table1[[#This Row],[2019-Apr]:[2025-July]],"&lt;&gt;0"),0)</f>
        <v>1.2</v>
      </c>
      <c r="G1272" s="4">
        <f ca="1">IFERROR(AVERAGEIF(OFFSET(Table1[[#This Row],[Status]],0,COUNT(Table1[[#This Row],[2019-May]:[2025-July]]),1,-12),"&lt;&gt;0"),0)</f>
        <v>1.2</v>
      </c>
      <c r="H1272" s="55">
        <f>IFERROR(SMALL(Table1[[#This Row],[2019-Apr]:[2025-July]],COUNTIF(Table1[[#This Row],[2019-Apr]:[2025-July]],0)+1),0)</f>
        <v>1.2</v>
      </c>
      <c r="I1272" s="56">
        <f>IFERROR(MAX(Table1[[#This Row],[2019-Apr]:[2025-July]]),0)</f>
        <v>1.2</v>
      </c>
      <c r="J1272" s="4" cm="1">
        <f t="array" ref="J127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</v>
      </c>
      <c r="K1272" s="4">
        <v>4.5</v>
      </c>
      <c r="L1272" s="4">
        <f>IF(Table1[[#This Row],[Standard as per ISO]]&gt;=Table1[[#This Row],[Avg of best 6]],Table1[[#This Row],[Standard as per ISO]],Table1[[#This Row],[Avg of best 6]])</f>
        <v>4.5</v>
      </c>
      <c r="M1272" s="4" cm="1">
        <f t="array" ref="M1272">IFERROR(LOOKUP(2,1/(Table1[[#This Row],[2019-May]:[2025-July]]&lt;&gt;0),Table1[[#This Row],[2019-May]:[2025-July]]),0)</f>
        <v>1.2</v>
      </c>
      <c r="N1272" s="4">
        <f>COUNTIF(Table1[[#This Row],[2019-Apr]:[2025-July]],"&gt;="&amp;Table1[[#This Row],[Target]])</f>
        <v>0</v>
      </c>
      <c r="O1272" s="4">
        <f>IF(Table1[[#This Row],[Outliers 2Y]]=0,1,0)</f>
        <v>1</v>
      </c>
      <c r="P1272" s="4">
        <f>IF(Table1[[#This Row],[Last value]]&gt;1.5*Table1[[#This Row],[Target]],1,0)</f>
        <v>0</v>
      </c>
      <c r="Q1272" s="4">
        <f>IF(AND(1.5*Table1[[#This Row],[Target]]&gt;=Table1[[#This Row],[Last value]],Table1[[#This Row],[Last value]]&gt;Table1[[#This Row],[Target]]),1,0)</f>
        <v>0</v>
      </c>
      <c r="R1272" s="4">
        <f>IF(Table1[[#This Row],[Target]]&gt;=Table1[[#This Row],[Last value]],1,0)</f>
        <v>1</v>
      </c>
      <c r="S1272" s="4" t="str">
        <f t="shared" si="30"/>
        <v>Green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38">
        <v>1.2</v>
      </c>
      <c r="CK1272" s="38">
        <v>0</v>
      </c>
      <c r="CL1272" s="43">
        <v>0</v>
      </c>
      <c r="CM1272" s="4">
        <v>0</v>
      </c>
      <c r="CN1272" s="53">
        <v>0</v>
      </c>
      <c r="CO1272" s="54">
        <v>0</v>
      </c>
      <c r="CP1272" s="54">
        <v>0</v>
      </c>
      <c r="CQ1272" s="4">
        <v>0</v>
      </c>
    </row>
    <row r="1273" spans="1:95" x14ac:dyDescent="0.35">
      <c r="A1273" s="55">
        <v>1272</v>
      </c>
      <c r="B1273" s="23" t="s">
        <v>126</v>
      </c>
      <c r="C1273" s="27" t="s">
        <v>1264</v>
      </c>
      <c r="D1273" s="3" t="s">
        <v>88</v>
      </c>
      <c r="E1273" s="27" t="s">
        <v>89</v>
      </c>
      <c r="F1273" s="4">
        <f>IFERROR(AVERAGEIF(Table1[[#This Row],[2019-Apr]:[2025-July]],"&lt;&gt;0"),0)</f>
        <v>0.6</v>
      </c>
      <c r="G1273" s="4">
        <f ca="1">IFERROR(AVERAGEIF(OFFSET(Table1[[#This Row],[Status]],0,COUNT(Table1[[#This Row],[2019-May]:[2025-July]]),1,-12),"&lt;&gt;0"),0)</f>
        <v>0.6</v>
      </c>
      <c r="H1273" s="55">
        <f>IFERROR(SMALL(Table1[[#This Row],[2019-Apr]:[2025-July]],COUNTIF(Table1[[#This Row],[2019-Apr]:[2025-July]],0)+1),0)</f>
        <v>0.5</v>
      </c>
      <c r="I1273" s="56">
        <f>IFERROR(MAX(Table1[[#This Row],[2019-Apr]:[2025-July]]),0)</f>
        <v>0.7</v>
      </c>
      <c r="J1273" s="4" cm="1">
        <f t="array" ref="J127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</v>
      </c>
      <c r="K1273" s="4">
        <v>4.5</v>
      </c>
      <c r="L1273" s="4">
        <f>IF(Table1[[#This Row],[Standard as per ISO]]&gt;=Table1[[#This Row],[Avg of best 6]],Table1[[#This Row],[Standard as per ISO]],Table1[[#This Row],[Avg of best 6]])</f>
        <v>4.5</v>
      </c>
      <c r="M1273" s="4" cm="1">
        <f t="array" ref="M1273">IFERROR(LOOKUP(2,1/(Table1[[#This Row],[2019-May]:[2025-July]]&lt;&gt;0),Table1[[#This Row],[2019-May]:[2025-July]]),0)</f>
        <v>0.6</v>
      </c>
      <c r="N1273" s="4">
        <f>COUNTIF(Table1[[#This Row],[2019-Apr]:[2025-July]],"&gt;="&amp;Table1[[#This Row],[Target]])</f>
        <v>0</v>
      </c>
      <c r="O1273" s="4">
        <f>IF(Table1[[#This Row],[Outliers 2Y]]=0,1,0)</f>
        <v>1</v>
      </c>
      <c r="P1273" s="4">
        <f>IF(Table1[[#This Row],[Last value]]&gt;1.5*Table1[[#This Row],[Target]],1,0)</f>
        <v>0</v>
      </c>
      <c r="Q1273" s="4">
        <f>IF(AND(1.5*Table1[[#This Row],[Target]]&gt;=Table1[[#This Row],[Last value]],Table1[[#This Row],[Last value]]&gt;Table1[[#This Row],[Target]]),1,0)</f>
        <v>0</v>
      </c>
      <c r="R1273" s="4">
        <f>IF(Table1[[#This Row],[Target]]&gt;=Table1[[#This Row],[Last value]],1,0)</f>
        <v>1</v>
      </c>
      <c r="S1273" s="4" t="str">
        <f t="shared" si="30"/>
        <v>Green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38">
        <v>0</v>
      </c>
      <c r="CK1273" s="38">
        <v>0</v>
      </c>
      <c r="CL1273" s="43">
        <v>0</v>
      </c>
      <c r="CM1273" s="4">
        <v>0.6</v>
      </c>
      <c r="CN1273" s="53">
        <v>0</v>
      </c>
      <c r="CO1273" s="54">
        <v>0.5</v>
      </c>
      <c r="CP1273" s="54">
        <v>0.7</v>
      </c>
      <c r="CQ1273" s="4">
        <v>0.6</v>
      </c>
    </row>
    <row r="1274" spans="1:95" x14ac:dyDescent="0.35">
      <c r="A1274" s="55">
        <v>1273</v>
      </c>
      <c r="B1274" s="23" t="s">
        <v>126</v>
      </c>
      <c r="C1274" s="27" t="s">
        <v>1265</v>
      </c>
      <c r="D1274" s="3" t="s">
        <v>88</v>
      </c>
      <c r="E1274" s="27" t="s">
        <v>89</v>
      </c>
      <c r="F1274" s="4">
        <f>IFERROR(AVERAGEIF(Table1[[#This Row],[2019-Apr]:[2025-July]],"&lt;&gt;0"),0)</f>
        <v>1.7000000000000002</v>
      </c>
      <c r="G1274" s="4">
        <f ca="1">IFERROR(AVERAGEIF(OFFSET(Table1[[#This Row],[Status]],0,COUNT(Table1[[#This Row],[2019-May]:[2025-July]]),1,-12),"&lt;&gt;0"),0)</f>
        <v>1.7000000000000002</v>
      </c>
      <c r="H1274" s="55">
        <f>IFERROR(SMALL(Table1[[#This Row],[2019-Apr]:[2025-July]],COUNTIF(Table1[[#This Row],[2019-Apr]:[2025-July]],0)+1),0)</f>
        <v>1.6</v>
      </c>
      <c r="I1274" s="56">
        <f>IFERROR(MAX(Table1[[#This Row],[2019-Apr]:[2025-July]]),0)</f>
        <v>1.8</v>
      </c>
      <c r="J1274" s="4" cm="1">
        <f t="array" ref="J127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1.7000000000000002</v>
      </c>
      <c r="K1274" s="4">
        <v>4.5</v>
      </c>
      <c r="L1274" s="4">
        <f>IF(Table1[[#This Row],[Standard as per ISO]]&gt;=Table1[[#This Row],[Avg of best 6]],Table1[[#This Row],[Standard as per ISO]],Table1[[#This Row],[Avg of best 6]])</f>
        <v>4.5</v>
      </c>
      <c r="M1274" s="4" cm="1">
        <f t="array" ref="M1274">IFERROR(LOOKUP(2,1/(Table1[[#This Row],[2019-May]:[2025-July]]&lt;&gt;0),Table1[[#This Row],[2019-May]:[2025-July]]),0)</f>
        <v>1.8</v>
      </c>
      <c r="N1274" s="4">
        <f>COUNTIF(Table1[[#This Row],[2019-Apr]:[2025-July]],"&gt;="&amp;Table1[[#This Row],[Target]])</f>
        <v>0</v>
      </c>
      <c r="O1274" s="4">
        <f>IF(Table1[[#This Row],[Outliers 2Y]]=0,1,0)</f>
        <v>1</v>
      </c>
      <c r="P1274" s="4">
        <f>IF(Table1[[#This Row],[Last value]]&gt;1.5*Table1[[#This Row],[Target]],1,0)</f>
        <v>0</v>
      </c>
      <c r="Q1274" s="4">
        <f>IF(AND(1.5*Table1[[#This Row],[Target]]&gt;=Table1[[#This Row],[Last value]],Table1[[#This Row],[Last value]]&gt;Table1[[#This Row],[Target]]),1,0)</f>
        <v>0</v>
      </c>
      <c r="R1274" s="4">
        <f>IF(Table1[[#This Row],[Target]]&gt;=Table1[[#This Row],[Last value]],1,0)</f>
        <v>1</v>
      </c>
      <c r="S1274" s="4" t="str">
        <f t="shared" si="30"/>
        <v>Green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38">
        <v>1.6</v>
      </c>
      <c r="CK1274" s="34">
        <v>1.8</v>
      </c>
      <c r="CL1274" s="43">
        <v>0</v>
      </c>
      <c r="CM1274" s="4">
        <v>0</v>
      </c>
      <c r="CN1274" s="53">
        <v>0</v>
      </c>
      <c r="CO1274" s="54">
        <v>0</v>
      </c>
      <c r="CP1274" s="54">
        <v>0</v>
      </c>
      <c r="CQ1274" s="4">
        <v>0</v>
      </c>
    </row>
    <row r="1275" spans="1:95" x14ac:dyDescent="0.35">
      <c r="A1275" s="55">
        <v>1274</v>
      </c>
      <c r="B1275" s="23" t="s">
        <v>126</v>
      </c>
      <c r="C1275" s="27" t="s">
        <v>1266</v>
      </c>
      <c r="D1275" s="3" t="s">
        <v>88</v>
      </c>
      <c r="E1275" s="27" t="s">
        <v>89</v>
      </c>
      <c r="F1275" s="4">
        <f>IFERROR(AVERAGEIF(Table1[[#This Row],[2019-Apr]:[2025-July]],"&lt;&gt;0"),0)</f>
        <v>2.2000000000000002</v>
      </c>
      <c r="G1275" s="4">
        <f ca="1">IFERROR(AVERAGEIF(OFFSET(Table1[[#This Row],[Status]],0,COUNT(Table1[[#This Row],[2019-May]:[2025-July]]),1,-12),"&lt;&gt;0"),0)</f>
        <v>2.2000000000000002</v>
      </c>
      <c r="H1275" s="55">
        <f>IFERROR(SMALL(Table1[[#This Row],[2019-Apr]:[2025-July]],COUNTIF(Table1[[#This Row],[2019-Apr]:[2025-July]],0)+1),0)</f>
        <v>2.2000000000000002</v>
      </c>
      <c r="I1275" s="56">
        <f>IFERROR(MAX(Table1[[#This Row],[2019-Apr]:[2025-July]]),0)</f>
        <v>2.2000000000000002</v>
      </c>
      <c r="J1275" s="4" cm="1">
        <f t="array" ref="J127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2.2000000000000002</v>
      </c>
      <c r="K1275" s="4">
        <v>4.5</v>
      </c>
      <c r="L1275" s="4">
        <f>IF(Table1[[#This Row],[Standard as per ISO]]&gt;=Table1[[#This Row],[Avg of best 6]],Table1[[#This Row],[Standard as per ISO]],Table1[[#This Row],[Avg of best 6]])</f>
        <v>4.5</v>
      </c>
      <c r="M1275" s="4" cm="1">
        <f t="array" ref="M1275">IFERROR(LOOKUP(2,1/(Table1[[#This Row],[2019-May]:[2025-July]]&lt;&gt;0),Table1[[#This Row],[2019-May]:[2025-July]]),0)</f>
        <v>2.2000000000000002</v>
      </c>
      <c r="N1275" s="4">
        <f>COUNTIF(Table1[[#This Row],[2019-Apr]:[2025-July]],"&gt;="&amp;Table1[[#This Row],[Target]])</f>
        <v>0</v>
      </c>
      <c r="O1275" s="4">
        <f>IF(Table1[[#This Row],[Outliers 2Y]]=0,1,0)</f>
        <v>1</v>
      </c>
      <c r="P1275" s="4">
        <f>IF(Table1[[#This Row],[Last value]]&gt;1.5*Table1[[#This Row],[Target]],1,0)</f>
        <v>0</v>
      </c>
      <c r="Q1275" s="4">
        <f>IF(AND(1.5*Table1[[#This Row],[Target]]&gt;=Table1[[#This Row],[Last value]],Table1[[#This Row],[Last value]]&gt;Table1[[#This Row],[Target]]),1,0)</f>
        <v>0</v>
      </c>
      <c r="R1275" s="4">
        <f>IF(Table1[[#This Row],[Target]]&gt;=Table1[[#This Row],[Last value]],1,0)</f>
        <v>1</v>
      </c>
      <c r="S1275" s="4" t="str">
        <f t="shared" si="30"/>
        <v>Green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38">
        <v>2.2000000000000002</v>
      </c>
      <c r="CK1275" s="34">
        <v>2.2000000000000002</v>
      </c>
      <c r="CL1275" s="43">
        <v>0</v>
      </c>
      <c r="CM1275" s="4">
        <v>0</v>
      </c>
      <c r="CN1275" s="53">
        <v>0</v>
      </c>
      <c r="CO1275" s="54">
        <v>0</v>
      </c>
      <c r="CP1275" s="54">
        <v>0</v>
      </c>
      <c r="CQ1275" s="4">
        <v>0</v>
      </c>
    </row>
    <row r="1276" spans="1:95" x14ac:dyDescent="0.35">
      <c r="A1276" s="55">
        <v>1275</v>
      </c>
      <c r="B1276" s="23" t="s">
        <v>126</v>
      </c>
      <c r="C1276" s="27" t="s">
        <v>1267</v>
      </c>
      <c r="D1276" s="3" t="s">
        <v>88</v>
      </c>
      <c r="E1276" s="27" t="s">
        <v>89</v>
      </c>
      <c r="F1276" s="4">
        <f>IFERROR(AVERAGEIF(Table1[[#This Row],[2019-Apr]:[2025-July]],"&lt;&gt;0"),0)</f>
        <v>3.15</v>
      </c>
      <c r="G1276" s="4">
        <f ca="1">IFERROR(AVERAGEIF(OFFSET(Table1[[#This Row],[Status]],0,COUNT(Table1[[#This Row],[2019-May]:[2025-July]]),1,-12),"&lt;&gt;0"),0)</f>
        <v>3.15</v>
      </c>
      <c r="H1276" s="55">
        <f>IFERROR(SMALL(Table1[[#This Row],[2019-Apr]:[2025-July]],COUNTIF(Table1[[#This Row],[2019-Apr]:[2025-July]],0)+1),0)</f>
        <v>2.75</v>
      </c>
      <c r="I1276" s="56">
        <f>IFERROR(MAX(Table1[[#This Row],[2019-Apr]:[2025-July]]),0)</f>
        <v>3.8</v>
      </c>
      <c r="J1276" s="4" cm="1">
        <f t="array" ref="J127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3.15</v>
      </c>
      <c r="K1276" s="4">
        <v>4.5</v>
      </c>
      <c r="L1276" s="4">
        <f>IF(Table1[[#This Row],[Standard as per ISO]]&gt;=Table1[[#This Row],[Avg of best 6]],Table1[[#This Row],[Standard as per ISO]],Table1[[#This Row],[Avg of best 6]])</f>
        <v>4.5</v>
      </c>
      <c r="M1276" s="4" cm="1">
        <f t="array" ref="M1276">IFERROR(LOOKUP(2,1/(Table1[[#This Row],[2019-May]:[2025-July]]&lt;&gt;0),Table1[[#This Row],[2019-May]:[2025-July]]),0)</f>
        <v>2.9</v>
      </c>
      <c r="N1276" s="4">
        <f>COUNTIF(Table1[[#This Row],[2019-Apr]:[2025-July]],"&gt;="&amp;Table1[[#This Row],[Target]])</f>
        <v>0</v>
      </c>
      <c r="O1276" s="4">
        <f>IF(Table1[[#This Row],[Outliers 2Y]]=0,1,0)</f>
        <v>1</v>
      </c>
      <c r="P1276" s="4">
        <f>IF(Table1[[#This Row],[Last value]]&gt;1.5*Table1[[#This Row],[Target]],1,0)</f>
        <v>0</v>
      </c>
      <c r="Q1276" s="4">
        <f>IF(AND(1.5*Table1[[#This Row],[Target]]&gt;=Table1[[#This Row],[Last value]],Table1[[#This Row],[Last value]]&gt;Table1[[#This Row],[Target]]),1,0)</f>
        <v>0</v>
      </c>
      <c r="R1276" s="4">
        <f>IF(Table1[[#This Row],[Target]]&gt;=Table1[[#This Row],[Last value]],1,0)</f>
        <v>1</v>
      </c>
      <c r="S1276" s="4" t="str">
        <f t="shared" si="30"/>
        <v>Green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2.75</v>
      </c>
      <c r="CI1276" s="4">
        <v>0</v>
      </c>
      <c r="CJ1276" s="38">
        <v>0</v>
      </c>
      <c r="CK1276" s="38">
        <v>0</v>
      </c>
      <c r="CL1276" s="43">
        <v>3.8</v>
      </c>
      <c r="CM1276" s="4">
        <v>2.9</v>
      </c>
      <c r="CN1276" s="53">
        <v>0</v>
      </c>
      <c r="CO1276" s="54">
        <v>0</v>
      </c>
      <c r="CP1276" s="54">
        <v>0</v>
      </c>
      <c r="CQ1276" s="4">
        <v>0</v>
      </c>
    </row>
    <row r="1277" spans="1:95" x14ac:dyDescent="0.35">
      <c r="A1277" s="55">
        <v>1276</v>
      </c>
      <c r="B1277" s="23" t="s">
        <v>126</v>
      </c>
      <c r="C1277" s="27" t="s">
        <v>1268</v>
      </c>
      <c r="D1277" s="3" t="s">
        <v>88</v>
      </c>
      <c r="E1277" s="27" t="s">
        <v>89</v>
      </c>
      <c r="F1277" s="4">
        <f>IFERROR(AVERAGEIF(Table1[[#This Row],[2019-Apr]:[2025-July]],"&lt;&gt;0"),0)</f>
        <v>1.5825</v>
      </c>
      <c r="G1277" s="4">
        <f ca="1">IFERROR(AVERAGEIF(OFFSET(Table1[[#This Row],[Status]],0,COUNT(Table1[[#This Row],[2019-May]:[2025-July]]),1,-12),"&lt;&gt;0"),0)</f>
        <v>1.5825</v>
      </c>
      <c r="H1277" s="55">
        <f>IFERROR(SMALL(Table1[[#This Row],[2019-Apr]:[2025-July]],COUNTIF(Table1[[#This Row],[2019-Apr]:[2025-July]],0)+1),0)</f>
        <v>1.2</v>
      </c>
      <c r="I1277" s="56">
        <f>IFERROR(MAX(Table1[[#This Row],[2019-Apr]:[2025-July]]),0)</f>
        <v>1.93</v>
      </c>
      <c r="J1277" s="4" cm="1">
        <f t="array" ref="J127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1.5825</v>
      </c>
      <c r="K1277" s="4">
        <v>4.5</v>
      </c>
      <c r="L1277" s="4">
        <f>IF(Table1[[#This Row],[Standard as per ISO]]&gt;=Table1[[#This Row],[Avg of best 6]],Table1[[#This Row],[Standard as per ISO]],Table1[[#This Row],[Avg of best 6]])</f>
        <v>4.5</v>
      </c>
      <c r="M1277" s="4" cm="1">
        <f t="array" ref="M1277">IFERROR(LOOKUP(2,1/(Table1[[#This Row],[2019-May]:[2025-July]]&lt;&gt;0),Table1[[#This Row],[2019-May]:[2025-July]]),0)</f>
        <v>1.2</v>
      </c>
      <c r="N1277" s="4">
        <f>COUNTIF(Table1[[#This Row],[2019-Apr]:[2025-July]],"&gt;="&amp;Table1[[#This Row],[Target]])</f>
        <v>0</v>
      </c>
      <c r="O1277" s="4">
        <f>IF(Table1[[#This Row],[Outliers 2Y]]=0,1,0)</f>
        <v>1</v>
      </c>
      <c r="P1277" s="4">
        <f>IF(Table1[[#This Row],[Last value]]&gt;1.5*Table1[[#This Row],[Target]],1,0)</f>
        <v>0</v>
      </c>
      <c r="Q1277" s="4">
        <f>IF(AND(1.5*Table1[[#This Row],[Target]]&gt;=Table1[[#This Row],[Last value]],Table1[[#This Row],[Last value]]&gt;Table1[[#This Row],[Target]]),1,0)</f>
        <v>0</v>
      </c>
      <c r="R1277" s="4">
        <f>IF(Table1[[#This Row],[Target]]&gt;=Table1[[#This Row],[Last value]],1,0)</f>
        <v>1</v>
      </c>
      <c r="S1277" s="4" t="str">
        <f t="shared" si="30"/>
        <v>Green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1.93</v>
      </c>
      <c r="CI1277" s="4">
        <v>0</v>
      </c>
      <c r="CJ1277" s="38">
        <v>0</v>
      </c>
      <c r="CK1277" s="38">
        <v>0</v>
      </c>
      <c r="CL1277" s="43">
        <v>0</v>
      </c>
      <c r="CM1277" s="4">
        <v>0</v>
      </c>
      <c r="CN1277" s="53">
        <v>1.4</v>
      </c>
      <c r="CO1277" s="54">
        <v>1.8</v>
      </c>
      <c r="CP1277" s="54">
        <v>1.2</v>
      </c>
      <c r="CQ1277" s="4">
        <v>0</v>
      </c>
    </row>
    <row r="1278" spans="1:95" x14ac:dyDescent="0.35">
      <c r="A1278" s="55">
        <v>1277</v>
      </c>
      <c r="B1278" s="23" t="s">
        <v>126</v>
      </c>
      <c r="C1278" s="27" t="s">
        <v>1269</v>
      </c>
      <c r="D1278" s="3" t="s">
        <v>88</v>
      </c>
      <c r="E1278" s="27" t="s">
        <v>89</v>
      </c>
      <c r="F1278" s="4">
        <f>IFERROR(AVERAGEIF(Table1[[#This Row],[2019-Apr]:[2025-July]],"&lt;&gt;0"),0)</f>
        <v>0.64</v>
      </c>
      <c r="G1278" s="4">
        <f ca="1">IFERROR(AVERAGEIF(OFFSET(Table1[[#This Row],[Status]],0,COUNT(Table1[[#This Row],[2019-May]:[2025-July]]),1,-12),"&lt;&gt;0"),0)</f>
        <v>0.625</v>
      </c>
      <c r="H1278" s="55">
        <f>IFERROR(SMALL(Table1[[#This Row],[2019-Apr]:[2025-July]],COUNTIF(Table1[[#This Row],[2019-Apr]:[2025-July]],0)+1),0)</f>
        <v>0.5</v>
      </c>
      <c r="I1278" s="56">
        <f>IFERROR(MAX(Table1[[#This Row],[2019-Apr]:[2025-July]]),0)</f>
        <v>0.8</v>
      </c>
      <c r="J1278" s="4" cm="1">
        <f t="array" ref="J127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0.64</v>
      </c>
      <c r="K1278" s="4">
        <v>4.5</v>
      </c>
      <c r="L1278" s="4">
        <f>IF(Table1[[#This Row],[Standard as per ISO]]&gt;=Table1[[#This Row],[Avg of best 6]],Table1[[#This Row],[Standard as per ISO]],Table1[[#This Row],[Avg of best 6]])</f>
        <v>4.5</v>
      </c>
      <c r="M1278" s="4" cm="1">
        <f t="array" ref="M1278">IFERROR(LOOKUP(2,1/(Table1[[#This Row],[2019-May]:[2025-July]]&lt;&gt;0),Table1[[#This Row],[2019-May]:[2025-July]]),0)</f>
        <v>0.7</v>
      </c>
      <c r="N1278" s="4">
        <f>COUNTIF(Table1[[#This Row],[2019-Apr]:[2025-July]],"&gt;="&amp;Table1[[#This Row],[Target]])</f>
        <v>0</v>
      </c>
      <c r="O1278" s="4">
        <f>IF(Table1[[#This Row],[Outliers 2Y]]=0,1,0)</f>
        <v>1</v>
      </c>
      <c r="P1278" s="4">
        <f>IF(Table1[[#This Row],[Last value]]&gt;1.5*Table1[[#This Row],[Target]],1,0)</f>
        <v>0</v>
      </c>
      <c r="Q1278" s="4">
        <f>IF(AND(1.5*Table1[[#This Row],[Target]]&gt;=Table1[[#This Row],[Last value]],Table1[[#This Row],[Last value]]&gt;Table1[[#This Row],[Target]]),1,0)</f>
        <v>0</v>
      </c>
      <c r="R1278" s="4">
        <f>IF(Table1[[#This Row],[Target]]&gt;=Table1[[#This Row],[Last value]],1,0)</f>
        <v>1</v>
      </c>
      <c r="S1278" s="4" t="str">
        <f t="shared" si="30"/>
        <v>Green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38">
        <v>0.7</v>
      </c>
      <c r="CK1278" s="34">
        <v>0.5</v>
      </c>
      <c r="CL1278" s="43">
        <v>0.8</v>
      </c>
      <c r="CM1278" s="4">
        <v>0.5</v>
      </c>
      <c r="CN1278" s="53">
        <v>0</v>
      </c>
      <c r="CO1278" s="54">
        <v>0</v>
      </c>
      <c r="CP1278" s="54">
        <v>0</v>
      </c>
      <c r="CQ1278" s="4">
        <v>0.7</v>
      </c>
    </row>
    <row r="1279" spans="1:95" x14ac:dyDescent="0.35">
      <c r="A1279" s="55">
        <v>1278</v>
      </c>
      <c r="B1279" s="23" t="s">
        <v>126</v>
      </c>
      <c r="C1279" s="27" t="s">
        <v>1270</v>
      </c>
      <c r="D1279" s="3" t="s">
        <v>88</v>
      </c>
      <c r="E1279" s="27" t="s">
        <v>89</v>
      </c>
      <c r="F1279" s="4">
        <f>IFERROR(AVERAGEIF(Table1[[#This Row],[2019-Apr]:[2025-July]],"&lt;&gt;0"),0)</f>
        <v>0.5</v>
      </c>
      <c r="G1279" s="4">
        <f ca="1">IFERROR(AVERAGEIF(OFFSET(Table1[[#This Row],[Status]],0,COUNT(Table1[[#This Row],[2019-May]:[2025-July]]),1,-12),"&lt;&gt;0"),0)</f>
        <v>0.5</v>
      </c>
      <c r="H1279" s="55">
        <f>IFERROR(SMALL(Table1[[#This Row],[2019-Apr]:[2025-July]],COUNTIF(Table1[[#This Row],[2019-Apr]:[2025-July]],0)+1),0)</f>
        <v>0.5</v>
      </c>
      <c r="I1279" s="56">
        <f>IFERROR(MAX(Table1[[#This Row],[2019-Apr]:[2025-July]]),0)</f>
        <v>0.5</v>
      </c>
      <c r="J1279" s="4" cm="1">
        <f t="array" ref="J127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</v>
      </c>
      <c r="K1279" s="4">
        <v>4.5</v>
      </c>
      <c r="L1279" s="4">
        <f>IF(Table1[[#This Row],[Standard as per ISO]]&gt;=Table1[[#This Row],[Avg of best 6]],Table1[[#This Row],[Standard as per ISO]],Table1[[#This Row],[Avg of best 6]])</f>
        <v>4.5</v>
      </c>
      <c r="M1279" s="4" cm="1">
        <f t="array" ref="M1279">IFERROR(LOOKUP(2,1/(Table1[[#This Row],[2019-May]:[2025-July]]&lt;&gt;0),Table1[[#This Row],[2019-May]:[2025-July]]),0)</f>
        <v>0.5</v>
      </c>
      <c r="N1279" s="4">
        <f>COUNTIF(Table1[[#This Row],[2019-Apr]:[2025-July]],"&gt;="&amp;Table1[[#This Row],[Target]])</f>
        <v>0</v>
      </c>
      <c r="O1279" s="4">
        <f>IF(Table1[[#This Row],[Outliers 2Y]]=0,1,0)</f>
        <v>1</v>
      </c>
      <c r="P1279" s="4">
        <f>IF(Table1[[#This Row],[Last value]]&gt;1.5*Table1[[#This Row],[Target]],1,0)</f>
        <v>0</v>
      </c>
      <c r="Q1279" s="4">
        <f>IF(AND(1.5*Table1[[#This Row],[Target]]&gt;=Table1[[#This Row],[Last value]],Table1[[#This Row],[Last value]]&gt;Table1[[#This Row],[Target]]),1,0)</f>
        <v>0</v>
      </c>
      <c r="R1279" s="4">
        <f>IF(Table1[[#This Row],[Target]]&gt;=Table1[[#This Row],[Last value]],1,0)</f>
        <v>1</v>
      </c>
      <c r="S1279" s="4" t="str">
        <f t="shared" si="30"/>
        <v>Green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38">
        <v>0</v>
      </c>
      <c r="CK1279" s="38">
        <v>0</v>
      </c>
      <c r="CL1279" s="43">
        <v>0</v>
      </c>
      <c r="CM1279" s="4">
        <v>0</v>
      </c>
      <c r="CN1279" s="53">
        <v>0.5</v>
      </c>
      <c r="CO1279" s="54">
        <v>0.5</v>
      </c>
      <c r="CP1279" s="54">
        <v>0</v>
      </c>
      <c r="CQ1279" s="4">
        <v>0</v>
      </c>
    </row>
    <row r="1280" spans="1:95" x14ac:dyDescent="0.35">
      <c r="A1280" s="55">
        <v>1279</v>
      </c>
      <c r="B1280" s="23" t="s">
        <v>126</v>
      </c>
      <c r="C1280" s="27" t="s">
        <v>1271</v>
      </c>
      <c r="D1280" s="3" t="s">
        <v>88</v>
      </c>
      <c r="E1280" s="27" t="s">
        <v>89</v>
      </c>
      <c r="F1280" s="4">
        <f>IFERROR(AVERAGEIF(Table1[[#This Row],[2019-Apr]:[2025-July]],"&lt;&gt;0"),0)</f>
        <v>1.0333333333333334</v>
      </c>
      <c r="G1280" s="4">
        <f ca="1">IFERROR(AVERAGEIF(OFFSET(Table1[[#This Row],[Status]],0,COUNT(Table1[[#This Row],[2019-May]:[2025-July]]),1,-12),"&lt;&gt;0"),0)</f>
        <v>0.8600000000000001</v>
      </c>
      <c r="H1280" s="55">
        <f>IFERROR(SMALL(Table1[[#This Row],[2019-Apr]:[2025-July]],COUNTIF(Table1[[#This Row],[2019-Apr]:[2025-July]],0)+1),0)</f>
        <v>0.5</v>
      </c>
      <c r="I1280" s="56">
        <f>IFERROR(MAX(Table1[[#This Row],[2019-Apr]:[2025-July]]),0)</f>
        <v>1.9</v>
      </c>
      <c r="J1280" s="4" cm="1">
        <f t="array" ref="J128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1.0333333333333334</v>
      </c>
      <c r="K1280" s="4">
        <v>4.5</v>
      </c>
      <c r="L1280" s="4">
        <f>IF(Table1[[#This Row],[Standard as per ISO]]&gt;=Table1[[#This Row],[Avg of best 6]],Table1[[#This Row],[Standard as per ISO]],Table1[[#This Row],[Avg of best 6]])</f>
        <v>4.5</v>
      </c>
      <c r="M1280" s="4" cm="1">
        <f t="array" ref="M1280">IFERROR(LOOKUP(2,1/(Table1[[#This Row],[2019-May]:[2025-July]]&lt;&gt;0),Table1[[#This Row],[2019-May]:[2025-July]]),0)</f>
        <v>1.9</v>
      </c>
      <c r="N1280" s="4">
        <f>COUNTIF(Table1[[#This Row],[2019-Apr]:[2025-July]],"&gt;="&amp;Table1[[#This Row],[Target]])</f>
        <v>0</v>
      </c>
      <c r="O1280" s="4">
        <f>IF(Table1[[#This Row],[Outliers 2Y]]=0,1,0)</f>
        <v>1</v>
      </c>
      <c r="P1280" s="4">
        <f>IF(Table1[[#This Row],[Last value]]&gt;1.5*Table1[[#This Row],[Target]],1,0)</f>
        <v>0</v>
      </c>
      <c r="Q1280" s="4">
        <f>IF(AND(1.5*Table1[[#This Row],[Target]]&gt;=Table1[[#This Row],[Last value]],Table1[[#This Row],[Last value]]&gt;Table1[[#This Row],[Target]]),1,0)</f>
        <v>0</v>
      </c>
      <c r="R1280" s="4">
        <f>IF(Table1[[#This Row],[Target]]&gt;=Table1[[#This Row],[Last value]],1,0)</f>
        <v>1</v>
      </c>
      <c r="S1280" s="4" t="str">
        <f t="shared" si="30"/>
        <v>Green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38">
        <v>0.6</v>
      </c>
      <c r="CK1280" s="34">
        <v>0.5</v>
      </c>
      <c r="CL1280" s="43">
        <v>0.6</v>
      </c>
      <c r="CM1280" s="4">
        <v>1</v>
      </c>
      <c r="CN1280" s="53">
        <v>0</v>
      </c>
      <c r="CO1280" s="54">
        <v>0</v>
      </c>
      <c r="CP1280" s="54">
        <v>1.6</v>
      </c>
      <c r="CQ1280" s="4">
        <v>1.9</v>
      </c>
    </row>
    <row r="1281" spans="1:95" x14ac:dyDescent="0.35">
      <c r="A1281" s="55">
        <v>1280</v>
      </c>
      <c r="B1281" s="23" t="s">
        <v>126</v>
      </c>
      <c r="C1281" s="27" t="s">
        <v>1272</v>
      </c>
      <c r="D1281" s="3" t="s">
        <v>88</v>
      </c>
      <c r="E1281" s="27" t="s">
        <v>89</v>
      </c>
      <c r="F1281" s="4">
        <f>IFERROR(AVERAGEIF(Table1[[#This Row],[2019-Apr]:[2025-July]],"&lt;&gt;0"),0)</f>
        <v>1.35</v>
      </c>
      <c r="G1281" s="4">
        <f ca="1">IFERROR(AVERAGEIF(OFFSET(Table1[[#This Row],[Status]],0,COUNT(Table1[[#This Row],[2019-May]:[2025-July]]),1,-12),"&lt;&gt;0"),0)</f>
        <v>1.3</v>
      </c>
      <c r="H1281" s="55">
        <f>IFERROR(SMALL(Table1[[#This Row],[2019-Apr]:[2025-July]],COUNTIF(Table1[[#This Row],[2019-Apr]:[2025-July]],0)+1),0)</f>
        <v>1.3</v>
      </c>
      <c r="I1281" s="56">
        <f>IFERROR(MAX(Table1[[#This Row],[2019-Apr]:[2025-July]]),0)</f>
        <v>1.4</v>
      </c>
      <c r="J1281" s="4" cm="1">
        <f t="array" ref="J128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1.35</v>
      </c>
      <c r="K1281" s="4">
        <v>4.5</v>
      </c>
      <c r="L1281" s="4">
        <f>IF(Table1[[#This Row],[Standard as per ISO]]&gt;=Table1[[#This Row],[Avg of best 6]],Table1[[#This Row],[Standard as per ISO]],Table1[[#This Row],[Avg of best 6]])</f>
        <v>4.5</v>
      </c>
      <c r="M1281" s="4" cm="1">
        <f t="array" ref="M1281">IFERROR(LOOKUP(2,1/(Table1[[#This Row],[2019-May]:[2025-July]]&lt;&gt;0),Table1[[#This Row],[2019-May]:[2025-July]]),0)</f>
        <v>1.4</v>
      </c>
      <c r="N1281" s="4">
        <f>COUNTIF(Table1[[#This Row],[2019-Apr]:[2025-July]],"&gt;="&amp;Table1[[#This Row],[Target]])</f>
        <v>0</v>
      </c>
      <c r="O1281" s="4">
        <f>IF(Table1[[#This Row],[Outliers 2Y]]=0,1,0)</f>
        <v>1</v>
      </c>
      <c r="P1281" s="4">
        <f>IF(Table1[[#This Row],[Last value]]&gt;1.5*Table1[[#This Row],[Target]],1,0)</f>
        <v>0</v>
      </c>
      <c r="Q1281" s="4">
        <f>IF(AND(1.5*Table1[[#This Row],[Target]]&gt;=Table1[[#This Row],[Last value]],Table1[[#This Row],[Last value]]&gt;Table1[[#This Row],[Target]]),1,0)</f>
        <v>0</v>
      </c>
      <c r="R1281" s="4">
        <f>IF(Table1[[#This Row],[Target]]&gt;=Table1[[#This Row],[Last value]],1,0)</f>
        <v>1</v>
      </c>
      <c r="S1281" s="4" t="str">
        <f t="shared" si="30"/>
        <v>Green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38">
        <v>0</v>
      </c>
      <c r="CK1281" s="38">
        <v>0</v>
      </c>
      <c r="CL1281" s="43">
        <v>0</v>
      </c>
      <c r="CM1281" s="4">
        <v>0</v>
      </c>
      <c r="CN1281" s="53">
        <v>0</v>
      </c>
      <c r="CO1281" s="54">
        <v>0</v>
      </c>
      <c r="CP1281" s="54">
        <v>1.3</v>
      </c>
      <c r="CQ1281" s="4">
        <v>1.4</v>
      </c>
    </row>
    <row r="1282" spans="1:95" x14ac:dyDescent="0.35">
      <c r="A1282" s="55">
        <v>1281</v>
      </c>
      <c r="B1282" s="23" t="s">
        <v>126</v>
      </c>
      <c r="C1282" s="27" t="s">
        <v>1273</v>
      </c>
      <c r="D1282" s="3" t="s">
        <v>88</v>
      </c>
      <c r="E1282" s="27" t="s">
        <v>89</v>
      </c>
      <c r="F1282" s="4">
        <f>IFERROR(AVERAGEIF(Table1[[#This Row],[2019-Apr]:[2025-July]],"&lt;&gt;0"),0)</f>
        <v>0.70000000000000007</v>
      </c>
      <c r="G1282" s="4">
        <f ca="1">IFERROR(AVERAGEIF(OFFSET(Table1[[#This Row],[Status]],0,COUNT(Table1[[#This Row],[2019-May]:[2025-July]]),1,-12),"&lt;&gt;0"),0)</f>
        <v>0.70000000000000007</v>
      </c>
      <c r="H1282" s="55">
        <f>IFERROR(SMALL(Table1[[#This Row],[2019-Apr]:[2025-July]],COUNTIF(Table1[[#This Row],[2019-Apr]:[2025-July]],0)+1),0)</f>
        <v>0.5</v>
      </c>
      <c r="I1282" s="56">
        <f>IFERROR(MAX(Table1[[#This Row],[2019-Apr]:[2025-July]]),0)</f>
        <v>0.9</v>
      </c>
      <c r="J1282" s="4" cm="1">
        <f t="array" ref="J128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0.70000000000000007</v>
      </c>
      <c r="K1282" s="4">
        <v>4.5</v>
      </c>
      <c r="L1282" s="4">
        <f>IF(Table1[[#This Row],[Standard as per ISO]]&gt;=Table1[[#This Row],[Avg of best 6]],Table1[[#This Row],[Standard as per ISO]],Table1[[#This Row],[Avg of best 6]])</f>
        <v>4.5</v>
      </c>
      <c r="M1282" s="4" cm="1">
        <f t="array" ref="M1282">IFERROR(LOOKUP(2,1/(Table1[[#This Row],[2019-May]:[2025-July]]&lt;&gt;0),Table1[[#This Row],[2019-May]:[2025-July]]),0)</f>
        <v>0.8</v>
      </c>
      <c r="N1282" s="4">
        <f>COUNTIF(Table1[[#This Row],[2019-Apr]:[2025-July]],"&gt;="&amp;Table1[[#This Row],[Target]])</f>
        <v>0</v>
      </c>
      <c r="O1282" s="4">
        <f>IF(Table1[[#This Row],[Outliers 2Y]]=0,1,0)</f>
        <v>1</v>
      </c>
      <c r="P1282" s="4">
        <f>IF(Table1[[#This Row],[Last value]]&gt;1.5*Table1[[#This Row],[Target]],1,0)</f>
        <v>0</v>
      </c>
      <c r="Q1282" s="4">
        <f>IF(AND(1.5*Table1[[#This Row],[Target]]&gt;=Table1[[#This Row],[Last value]],Table1[[#This Row],[Last value]]&gt;Table1[[#This Row],[Target]]),1,0)</f>
        <v>0</v>
      </c>
      <c r="R1282" s="4">
        <f>IF(Table1[[#This Row],[Target]]&gt;=Table1[[#This Row],[Last value]],1,0)</f>
        <v>1</v>
      </c>
      <c r="S1282" s="4" t="str">
        <f t="shared" si="30"/>
        <v>Green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38">
        <v>0.9</v>
      </c>
      <c r="CK1282" s="34">
        <v>0.6</v>
      </c>
      <c r="CL1282" s="43">
        <v>0.8</v>
      </c>
      <c r="CM1282" s="4">
        <v>0.6</v>
      </c>
      <c r="CN1282" s="53">
        <v>0.5</v>
      </c>
      <c r="CO1282" s="54">
        <v>0.8</v>
      </c>
      <c r="CP1282" s="54">
        <v>0</v>
      </c>
      <c r="CQ1282" s="4">
        <v>0</v>
      </c>
    </row>
    <row r="1283" spans="1:95" x14ac:dyDescent="0.35">
      <c r="A1283" s="55">
        <v>1282</v>
      </c>
      <c r="B1283" s="23" t="s">
        <v>126</v>
      </c>
      <c r="C1283" s="27" t="s">
        <v>1274</v>
      </c>
      <c r="D1283" s="3" t="s">
        <v>88</v>
      </c>
      <c r="E1283" s="27" t="s">
        <v>91</v>
      </c>
      <c r="F1283" s="4">
        <f>IFERROR(AVERAGEIF(Table1[[#This Row],[2019-Apr]:[2025-July]],"&lt;&gt;0"),0)</f>
        <v>0</v>
      </c>
      <c r="G1283" s="4">
        <f ca="1">IFERROR(AVERAGEIF(OFFSET(Table1[[#This Row],[Status]],0,COUNT(Table1[[#This Row],[2019-May]:[2025-July]]),1,-12),"&lt;&gt;0"),0)</f>
        <v>0</v>
      </c>
      <c r="H1283" s="55">
        <f>IFERROR(SMALL(Table1[[#This Row],[2019-Apr]:[2025-July]],COUNTIF(Table1[[#This Row],[2019-Apr]:[2025-July]],0)+1),0)</f>
        <v>0</v>
      </c>
      <c r="I1283" s="56">
        <f>IFERROR(MAX(Table1[[#This Row],[2019-Apr]:[2025-July]]),0)</f>
        <v>0</v>
      </c>
      <c r="J1283" s="4" cm="1">
        <f t="array" ref="J128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83" s="4">
        <v>4.5</v>
      </c>
      <c r="L1283" s="4">
        <f>IF(Table1[[#This Row],[Standard as per ISO]]&gt;=Table1[[#This Row],[Avg of best 6]],Table1[[#This Row],[Standard as per ISO]],Table1[[#This Row],[Avg of best 6]])</f>
        <v>4.5</v>
      </c>
      <c r="M1283" s="4" cm="1">
        <f t="array" ref="M1283">IFERROR(LOOKUP(2,1/(Table1[[#This Row],[2019-May]:[2025-July]]&lt;&gt;0),Table1[[#This Row],[2019-May]:[2025-July]]),0)</f>
        <v>0</v>
      </c>
      <c r="N1283" s="4">
        <f>COUNTIF(Table1[[#This Row],[2019-Apr]:[2025-July]],"&gt;="&amp;Table1[[#This Row],[Target]])</f>
        <v>0</v>
      </c>
      <c r="O1283" s="4">
        <f>IF(Table1[[#This Row],[Outliers 2Y]]=0,1,0)</f>
        <v>1</v>
      </c>
      <c r="P1283" s="4">
        <f>IF(Table1[[#This Row],[Last value]]&gt;1.5*Table1[[#This Row],[Target]],1,0)</f>
        <v>0</v>
      </c>
      <c r="Q1283" s="4">
        <f>IF(AND(1.5*Table1[[#This Row],[Target]]&gt;=Table1[[#This Row],[Last value]],Table1[[#This Row],[Last value]]&gt;Table1[[#This Row],[Target]]),1,0)</f>
        <v>0</v>
      </c>
      <c r="R1283" s="4">
        <f>IF(Table1[[#This Row],[Target]]&gt;=Table1[[#This Row],[Last value]],1,0)</f>
        <v>1</v>
      </c>
      <c r="S1283" s="4" t="str">
        <f t="shared" si="30"/>
        <v>Green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38">
        <v>0</v>
      </c>
      <c r="CK1283" s="38">
        <v>0</v>
      </c>
      <c r="CL1283" s="34">
        <v>0</v>
      </c>
      <c r="CM1283" s="4">
        <v>0</v>
      </c>
      <c r="CN1283" s="53">
        <v>0</v>
      </c>
      <c r="CO1283" s="54">
        <v>0</v>
      </c>
      <c r="CP1283" s="54">
        <v>0</v>
      </c>
      <c r="CQ1283" s="4">
        <v>0</v>
      </c>
    </row>
    <row r="1284" spans="1:95" x14ac:dyDescent="0.35">
      <c r="A1284" s="55">
        <v>1283</v>
      </c>
      <c r="B1284" s="23" t="s">
        <v>126</v>
      </c>
      <c r="C1284" s="27" t="s">
        <v>1275</v>
      </c>
      <c r="D1284" s="3" t="s">
        <v>88</v>
      </c>
      <c r="E1284" s="27" t="s">
        <v>91</v>
      </c>
      <c r="F1284" s="4">
        <f>IFERROR(AVERAGEIF(Table1[[#This Row],[2019-Apr]:[2025-July]],"&lt;&gt;0"),0)</f>
        <v>1.71</v>
      </c>
      <c r="G1284" s="4">
        <f ca="1">IFERROR(AVERAGEIF(OFFSET(Table1[[#This Row],[Status]],0,COUNT(Table1[[#This Row],[2019-May]:[2025-July]]),1,-12),"&lt;&gt;0"),0)</f>
        <v>1.71</v>
      </c>
      <c r="H1284" s="55">
        <f>IFERROR(SMALL(Table1[[#This Row],[2019-Apr]:[2025-July]],COUNTIF(Table1[[#This Row],[2019-Apr]:[2025-July]],0)+1),0)</f>
        <v>1.71</v>
      </c>
      <c r="I1284" s="56">
        <f>IFERROR(MAX(Table1[[#This Row],[2019-Apr]:[2025-July]]),0)</f>
        <v>1.71</v>
      </c>
      <c r="J1284" s="4" cm="1">
        <f t="array" ref="J128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1.71</v>
      </c>
      <c r="K1284" s="4">
        <v>4.5</v>
      </c>
      <c r="L1284" s="4">
        <f>IF(Table1[[#This Row],[Standard as per ISO]]&gt;=Table1[[#This Row],[Avg of best 6]],Table1[[#This Row],[Standard as per ISO]],Table1[[#This Row],[Avg of best 6]])</f>
        <v>4.5</v>
      </c>
      <c r="M1284" s="4" cm="1">
        <f t="array" ref="M1284">IFERROR(LOOKUP(2,1/(Table1[[#This Row],[2019-May]:[2025-July]]&lt;&gt;0),Table1[[#This Row],[2019-May]:[2025-July]]),0)</f>
        <v>1.71</v>
      </c>
      <c r="N1284" s="4">
        <f>COUNTIF(Table1[[#This Row],[2019-Apr]:[2025-July]],"&gt;="&amp;Table1[[#This Row],[Target]])</f>
        <v>0</v>
      </c>
      <c r="O1284" s="4">
        <f>IF(Table1[[#This Row],[Outliers 2Y]]=0,1,0)</f>
        <v>1</v>
      </c>
      <c r="P1284" s="4">
        <f>IF(Table1[[#This Row],[Last value]]&gt;1.5*Table1[[#This Row],[Target]],1,0)</f>
        <v>0</v>
      </c>
      <c r="Q1284" s="4">
        <f>IF(AND(1.5*Table1[[#This Row],[Target]]&gt;=Table1[[#This Row],[Last value]],Table1[[#This Row],[Last value]]&gt;Table1[[#This Row],[Target]]),1,0)</f>
        <v>0</v>
      </c>
      <c r="R1284" s="4">
        <f>IF(Table1[[#This Row],[Target]]&gt;=Table1[[#This Row],[Last value]],1,0)</f>
        <v>1</v>
      </c>
      <c r="S1284" s="4" t="str">
        <f t="shared" si="30"/>
        <v>Green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1.71</v>
      </c>
      <c r="CI1284" s="4">
        <v>0</v>
      </c>
      <c r="CJ1284" s="38">
        <v>0</v>
      </c>
      <c r="CK1284" s="38">
        <v>0</v>
      </c>
      <c r="CL1284" s="34">
        <v>0</v>
      </c>
      <c r="CM1284" s="4">
        <v>0</v>
      </c>
      <c r="CN1284" s="53">
        <v>0</v>
      </c>
      <c r="CO1284" s="54">
        <v>0</v>
      </c>
      <c r="CP1284" s="54">
        <v>0</v>
      </c>
      <c r="CQ1284" s="4">
        <v>0</v>
      </c>
    </row>
    <row r="1285" spans="1:95" x14ac:dyDescent="0.35">
      <c r="A1285" s="55">
        <v>1284</v>
      </c>
      <c r="B1285" s="23" t="s">
        <v>126</v>
      </c>
      <c r="C1285" s="27" t="s">
        <v>1276</v>
      </c>
      <c r="D1285" s="3" t="s">
        <v>88</v>
      </c>
      <c r="E1285" s="27" t="s">
        <v>89</v>
      </c>
      <c r="F1285" s="4">
        <f>IFERROR(AVERAGEIF(Table1[[#This Row],[2019-Apr]:[2025-July]],"&lt;&gt;0"),0)</f>
        <v>1.0966666666666667</v>
      </c>
      <c r="G1285" s="4">
        <f ca="1">IFERROR(AVERAGEIF(OFFSET(Table1[[#This Row],[Status]],0,COUNT(Table1[[#This Row],[2019-May]:[2025-July]]),1,-12),"&lt;&gt;0"),0)</f>
        <v>1.1359999999999999</v>
      </c>
      <c r="H1285" s="55">
        <f>IFERROR(SMALL(Table1[[#This Row],[2019-Apr]:[2025-July]],COUNTIF(Table1[[#This Row],[2019-Apr]:[2025-July]],0)+1),0)</f>
        <v>0.88</v>
      </c>
      <c r="I1285" s="56">
        <f>IFERROR(MAX(Table1[[#This Row],[2019-Apr]:[2025-July]]),0)</f>
        <v>1.6</v>
      </c>
      <c r="J1285" s="4" cm="1">
        <f t="array" ref="J128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1.0966666666666667</v>
      </c>
      <c r="K1285" s="4">
        <v>4.5</v>
      </c>
      <c r="L1285" s="4">
        <f>IF(Table1[[#This Row],[Standard as per ISO]]&gt;=Table1[[#This Row],[Avg of best 6]],Table1[[#This Row],[Standard as per ISO]],Table1[[#This Row],[Avg of best 6]])</f>
        <v>4.5</v>
      </c>
      <c r="M1285" s="4" cm="1">
        <f t="array" ref="M1285">IFERROR(LOOKUP(2,1/(Table1[[#This Row],[2019-May]:[2025-July]]&lt;&gt;0),Table1[[#This Row],[2019-May]:[2025-July]]),0)</f>
        <v>0.9</v>
      </c>
      <c r="N1285" s="4">
        <f>COUNTIF(Table1[[#This Row],[2019-Apr]:[2025-July]],"&gt;="&amp;Table1[[#This Row],[Target]])</f>
        <v>0</v>
      </c>
      <c r="O1285" s="4">
        <f>IF(Table1[[#This Row],[Outliers 2Y]]=0,1,0)</f>
        <v>1</v>
      </c>
      <c r="P1285" s="4">
        <f>IF(Table1[[#This Row],[Last value]]&gt;1.5*Table1[[#This Row],[Target]],1,0)</f>
        <v>0</v>
      </c>
      <c r="Q1285" s="4">
        <f>IF(AND(1.5*Table1[[#This Row],[Target]]&gt;=Table1[[#This Row],[Last value]],Table1[[#This Row],[Last value]]&gt;Table1[[#This Row],[Target]]),1,0)</f>
        <v>0</v>
      </c>
      <c r="R1285" s="4">
        <f>IF(Table1[[#This Row],[Target]]&gt;=Table1[[#This Row],[Last value]],1,0)</f>
        <v>1</v>
      </c>
      <c r="S1285" s="4" t="str">
        <f t="shared" si="30"/>
        <v>Green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0.88</v>
      </c>
      <c r="CI1285" s="4">
        <v>0</v>
      </c>
      <c r="CJ1285" s="38">
        <v>0</v>
      </c>
      <c r="CK1285" s="38">
        <v>0</v>
      </c>
      <c r="CL1285" s="43">
        <v>0</v>
      </c>
      <c r="CM1285" s="4">
        <v>1.2</v>
      </c>
      <c r="CN1285" s="53">
        <v>1</v>
      </c>
      <c r="CO1285" s="54">
        <v>1.6</v>
      </c>
      <c r="CP1285" s="54">
        <v>1</v>
      </c>
      <c r="CQ1285" s="4">
        <v>0.9</v>
      </c>
    </row>
    <row r="1286" spans="1:95" x14ac:dyDescent="0.35">
      <c r="A1286" s="55">
        <v>1285</v>
      </c>
      <c r="B1286" s="23" t="s">
        <v>126</v>
      </c>
      <c r="C1286" s="27" t="s">
        <v>1277</v>
      </c>
      <c r="D1286" s="3" t="s">
        <v>88</v>
      </c>
      <c r="E1286" s="27" t="s">
        <v>89</v>
      </c>
      <c r="F1286" s="4">
        <f>IFERROR(AVERAGEIF(Table1[[#This Row],[2019-Apr]:[2025-July]],"&lt;&gt;0"),0)</f>
        <v>1.1000000000000001</v>
      </c>
      <c r="G1286" s="4">
        <f ca="1">IFERROR(AVERAGEIF(OFFSET(Table1[[#This Row],[Status]],0,COUNT(Table1[[#This Row],[2019-May]:[2025-July]]),1,-12),"&lt;&gt;0"),0)</f>
        <v>1.1000000000000001</v>
      </c>
      <c r="H1286" s="55">
        <f>IFERROR(SMALL(Table1[[#This Row],[2019-Apr]:[2025-July]],COUNTIF(Table1[[#This Row],[2019-Apr]:[2025-July]],0)+1),0)</f>
        <v>1.1000000000000001</v>
      </c>
      <c r="I1286" s="56">
        <f>IFERROR(MAX(Table1[[#This Row],[2019-Apr]:[2025-July]]),0)</f>
        <v>1.1000000000000001</v>
      </c>
      <c r="J1286" s="4" cm="1">
        <f t="array" ref="J128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1.1000000000000001</v>
      </c>
      <c r="K1286" s="4">
        <v>4.5</v>
      </c>
      <c r="L1286" s="4">
        <f>IF(Table1[[#This Row],[Standard as per ISO]]&gt;=Table1[[#This Row],[Avg of best 6]],Table1[[#This Row],[Standard as per ISO]],Table1[[#This Row],[Avg of best 6]])</f>
        <v>4.5</v>
      </c>
      <c r="M1286" s="4" cm="1">
        <f t="array" ref="M1286">IFERROR(LOOKUP(2,1/(Table1[[#This Row],[2019-May]:[2025-July]]&lt;&gt;0),Table1[[#This Row],[2019-May]:[2025-July]]),0)</f>
        <v>1.1000000000000001</v>
      </c>
      <c r="N1286" s="4">
        <f>COUNTIF(Table1[[#This Row],[2019-Apr]:[2025-July]],"&gt;="&amp;Table1[[#This Row],[Target]])</f>
        <v>0</v>
      </c>
      <c r="O1286" s="4">
        <f>IF(Table1[[#This Row],[Outliers 2Y]]=0,1,0)</f>
        <v>1</v>
      </c>
      <c r="P1286" s="4">
        <f>IF(Table1[[#This Row],[Last value]]&gt;1.5*Table1[[#This Row],[Target]],1,0)</f>
        <v>0</v>
      </c>
      <c r="Q1286" s="4">
        <f>IF(AND(1.5*Table1[[#This Row],[Target]]&gt;=Table1[[#This Row],[Last value]],Table1[[#This Row],[Last value]]&gt;Table1[[#This Row],[Target]]),1,0)</f>
        <v>0</v>
      </c>
      <c r="R1286" s="4">
        <f>IF(Table1[[#This Row],[Target]]&gt;=Table1[[#This Row],[Last value]],1,0)</f>
        <v>1</v>
      </c>
      <c r="S1286" s="4" t="str">
        <f t="shared" si="30"/>
        <v>Green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38">
        <v>1.1000000000000001</v>
      </c>
      <c r="CK1286" s="38">
        <v>0</v>
      </c>
      <c r="CL1286" s="43">
        <v>1.1000000000000001</v>
      </c>
      <c r="CM1286" s="4">
        <v>0</v>
      </c>
      <c r="CN1286" s="53">
        <v>0</v>
      </c>
      <c r="CO1286" s="54">
        <v>0</v>
      </c>
      <c r="CP1286" s="54">
        <v>0</v>
      </c>
      <c r="CQ1286" s="4">
        <v>0</v>
      </c>
    </row>
    <row r="1287" spans="1:95" x14ac:dyDescent="0.35">
      <c r="A1287" s="55">
        <v>1286</v>
      </c>
      <c r="B1287" s="23" t="s">
        <v>126</v>
      </c>
      <c r="C1287" s="27" t="s">
        <v>1278</v>
      </c>
      <c r="D1287" s="3" t="s">
        <v>88</v>
      </c>
      <c r="E1287" s="27" t="s">
        <v>91</v>
      </c>
      <c r="F1287" s="4">
        <f>IFERROR(AVERAGEIF(Table1[[#This Row],[2019-Apr]:[2025-July]],"&lt;&gt;0"),0)</f>
        <v>0.65</v>
      </c>
      <c r="G1287" s="4">
        <f ca="1">IFERROR(AVERAGEIF(OFFSET(Table1[[#This Row],[Status]],0,COUNT(Table1[[#This Row],[2019-May]:[2025-July]]),1,-12),"&lt;&gt;0"),0)</f>
        <v>0.65</v>
      </c>
      <c r="H1287" s="55">
        <f>IFERROR(SMALL(Table1[[#This Row],[2019-Apr]:[2025-July]],COUNTIF(Table1[[#This Row],[2019-Apr]:[2025-July]],0)+1),0)</f>
        <v>0.65</v>
      </c>
      <c r="I1287" s="56">
        <f>IFERROR(MAX(Table1[[#This Row],[2019-Apr]:[2025-July]]),0)</f>
        <v>0.65</v>
      </c>
      <c r="J1287" s="4" cm="1">
        <f t="array" ref="J128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0.65</v>
      </c>
      <c r="K1287" s="4">
        <v>4.5</v>
      </c>
      <c r="L1287" s="4">
        <f>IF(Table1[[#This Row],[Standard as per ISO]]&gt;=Table1[[#This Row],[Avg of best 6]],Table1[[#This Row],[Standard as per ISO]],Table1[[#This Row],[Avg of best 6]])</f>
        <v>4.5</v>
      </c>
      <c r="M1287" s="4" cm="1">
        <f t="array" ref="M1287">IFERROR(LOOKUP(2,1/(Table1[[#This Row],[2019-May]:[2025-July]]&lt;&gt;0),Table1[[#This Row],[2019-May]:[2025-July]]),0)</f>
        <v>0.65</v>
      </c>
      <c r="N1287" s="4">
        <f>COUNTIF(Table1[[#This Row],[2019-Apr]:[2025-July]],"&gt;="&amp;Table1[[#This Row],[Target]])</f>
        <v>0</v>
      </c>
      <c r="O1287" s="4">
        <f>IF(Table1[[#This Row],[Outliers 2Y]]=0,1,0)</f>
        <v>1</v>
      </c>
      <c r="P1287" s="4">
        <f>IF(Table1[[#This Row],[Last value]]&gt;1.5*Table1[[#This Row],[Target]],1,0)</f>
        <v>0</v>
      </c>
      <c r="Q1287" s="4">
        <f>IF(AND(1.5*Table1[[#This Row],[Target]]&gt;=Table1[[#This Row],[Last value]],Table1[[#This Row],[Last value]]&gt;Table1[[#This Row],[Target]]),1,0)</f>
        <v>0</v>
      </c>
      <c r="R1287" s="4">
        <f>IF(Table1[[#This Row],[Target]]&gt;=Table1[[#This Row],[Last value]],1,0)</f>
        <v>1</v>
      </c>
      <c r="S1287" s="4" t="str">
        <f t="shared" si="30"/>
        <v>Green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0.65</v>
      </c>
      <c r="CI1287" s="4">
        <v>0</v>
      </c>
      <c r="CJ1287" s="38">
        <v>0</v>
      </c>
      <c r="CK1287" s="38">
        <v>0</v>
      </c>
      <c r="CL1287" s="34">
        <v>0</v>
      </c>
      <c r="CM1287" s="4">
        <v>0</v>
      </c>
      <c r="CN1287" s="53">
        <v>0</v>
      </c>
      <c r="CO1287" s="54">
        <v>0</v>
      </c>
      <c r="CP1287" s="54">
        <v>0</v>
      </c>
      <c r="CQ1287" s="4">
        <v>0</v>
      </c>
    </row>
    <row r="1288" spans="1:95" x14ac:dyDescent="0.35">
      <c r="A1288" s="55">
        <v>1287</v>
      </c>
      <c r="B1288" s="23" t="s">
        <v>126</v>
      </c>
      <c r="C1288" s="27" t="s">
        <v>1279</v>
      </c>
      <c r="D1288" s="3" t="s">
        <v>88</v>
      </c>
      <c r="E1288" s="27" t="s">
        <v>91</v>
      </c>
      <c r="F1288" s="4">
        <f>IFERROR(AVERAGEIF(Table1[[#This Row],[2019-Apr]:[2025-July]],"&lt;&gt;0"),0)</f>
        <v>0</v>
      </c>
      <c r="G1288" s="4">
        <f ca="1">IFERROR(AVERAGEIF(OFFSET(Table1[[#This Row],[Status]],0,COUNT(Table1[[#This Row],[2019-May]:[2025-July]]),1,-12),"&lt;&gt;0"),0)</f>
        <v>0</v>
      </c>
      <c r="H1288" s="55">
        <f>IFERROR(SMALL(Table1[[#This Row],[2019-Apr]:[2025-July]],COUNTIF(Table1[[#This Row],[2019-Apr]:[2025-July]],0)+1),0)</f>
        <v>0</v>
      </c>
      <c r="I1288" s="56">
        <f>IFERROR(MAX(Table1[[#This Row],[2019-Apr]:[2025-July]]),0)</f>
        <v>0</v>
      </c>
      <c r="J1288" s="4" cm="1">
        <f t="array" ref="J128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88" s="4">
        <v>4.5</v>
      </c>
      <c r="L1288" s="4">
        <f>IF(Table1[[#This Row],[Standard as per ISO]]&gt;=Table1[[#This Row],[Avg of best 6]],Table1[[#This Row],[Standard as per ISO]],Table1[[#This Row],[Avg of best 6]])</f>
        <v>4.5</v>
      </c>
      <c r="M1288" s="4" cm="1">
        <f t="array" ref="M1288">IFERROR(LOOKUP(2,1/(Table1[[#This Row],[2019-May]:[2025-July]]&lt;&gt;0),Table1[[#This Row],[2019-May]:[2025-July]]),0)</f>
        <v>0</v>
      </c>
      <c r="N1288" s="4">
        <f>COUNTIF(Table1[[#This Row],[2019-Apr]:[2025-July]],"&gt;="&amp;Table1[[#This Row],[Target]])</f>
        <v>0</v>
      </c>
      <c r="O1288" s="4">
        <f>IF(Table1[[#This Row],[Outliers 2Y]]=0,1,0)</f>
        <v>1</v>
      </c>
      <c r="P1288" s="4">
        <f>IF(Table1[[#This Row],[Last value]]&gt;1.5*Table1[[#This Row],[Target]],1,0)</f>
        <v>0</v>
      </c>
      <c r="Q1288" s="4">
        <f>IF(AND(1.5*Table1[[#This Row],[Target]]&gt;=Table1[[#This Row],[Last value]],Table1[[#This Row],[Last value]]&gt;Table1[[#This Row],[Target]]),1,0)</f>
        <v>0</v>
      </c>
      <c r="R1288" s="4">
        <f>IF(Table1[[#This Row],[Target]]&gt;=Table1[[#This Row],[Last value]],1,0)</f>
        <v>1</v>
      </c>
      <c r="S1288" s="4" t="str">
        <f t="shared" si="30"/>
        <v>Green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38">
        <v>0</v>
      </c>
      <c r="CK1288" s="38">
        <v>0</v>
      </c>
      <c r="CL1288" s="34">
        <v>0</v>
      </c>
      <c r="CM1288" s="4">
        <v>0</v>
      </c>
      <c r="CN1288" s="53">
        <v>0</v>
      </c>
      <c r="CO1288" s="54">
        <v>0</v>
      </c>
      <c r="CP1288" s="54">
        <v>0</v>
      </c>
      <c r="CQ1288" s="4">
        <v>0</v>
      </c>
    </row>
    <row r="1289" spans="1:95" x14ac:dyDescent="0.35">
      <c r="A1289" s="55">
        <v>1288</v>
      </c>
      <c r="B1289" s="23" t="s">
        <v>126</v>
      </c>
      <c r="C1289" s="27" t="s">
        <v>1280</v>
      </c>
      <c r="D1289" s="3" t="s">
        <v>88</v>
      </c>
      <c r="E1289" s="27" t="s">
        <v>91</v>
      </c>
      <c r="F1289" s="4">
        <f>IFERROR(AVERAGEIF(Table1[[#This Row],[2019-Apr]:[2025-July]],"&lt;&gt;0"),0)</f>
        <v>0</v>
      </c>
      <c r="G1289" s="4">
        <f ca="1">IFERROR(AVERAGEIF(OFFSET(Table1[[#This Row],[Status]],0,COUNT(Table1[[#This Row],[2019-May]:[2025-July]]),1,-12),"&lt;&gt;0"),0)</f>
        <v>0</v>
      </c>
      <c r="H1289" s="55">
        <f>IFERROR(SMALL(Table1[[#This Row],[2019-Apr]:[2025-July]],COUNTIF(Table1[[#This Row],[2019-Apr]:[2025-July]],0)+1),0)</f>
        <v>0</v>
      </c>
      <c r="I1289" s="56">
        <f>IFERROR(MAX(Table1[[#This Row],[2019-Apr]:[2025-July]]),0)</f>
        <v>0</v>
      </c>
      <c r="J1289" s="4" cm="1">
        <f t="array" ref="J128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89" s="4">
        <v>4.5</v>
      </c>
      <c r="L1289" s="4">
        <f>IF(Table1[[#This Row],[Standard as per ISO]]&gt;=Table1[[#This Row],[Avg of best 6]],Table1[[#This Row],[Standard as per ISO]],Table1[[#This Row],[Avg of best 6]])</f>
        <v>4.5</v>
      </c>
      <c r="M1289" s="4" cm="1">
        <f t="array" ref="M1289">IFERROR(LOOKUP(2,1/(Table1[[#This Row],[2019-May]:[2025-July]]&lt;&gt;0),Table1[[#This Row],[2019-May]:[2025-July]]),0)</f>
        <v>0</v>
      </c>
      <c r="N1289" s="4">
        <f>COUNTIF(Table1[[#This Row],[2019-Apr]:[2025-July]],"&gt;="&amp;Table1[[#This Row],[Target]])</f>
        <v>0</v>
      </c>
      <c r="O1289" s="4">
        <f>IF(Table1[[#This Row],[Outliers 2Y]]=0,1,0)</f>
        <v>1</v>
      </c>
      <c r="P1289" s="4">
        <f>IF(Table1[[#This Row],[Last value]]&gt;1.5*Table1[[#This Row],[Target]],1,0)</f>
        <v>0</v>
      </c>
      <c r="Q1289" s="4">
        <f>IF(AND(1.5*Table1[[#This Row],[Target]]&gt;=Table1[[#This Row],[Last value]],Table1[[#This Row],[Last value]]&gt;Table1[[#This Row],[Target]]),1,0)</f>
        <v>0</v>
      </c>
      <c r="R1289" s="4">
        <f>IF(Table1[[#This Row],[Target]]&gt;=Table1[[#This Row],[Last value]],1,0)</f>
        <v>1</v>
      </c>
      <c r="S1289" s="4" t="str">
        <f t="shared" si="30"/>
        <v>Green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38">
        <v>0</v>
      </c>
      <c r="CK1289" s="38">
        <v>0</v>
      </c>
      <c r="CL1289" s="34">
        <v>0</v>
      </c>
      <c r="CM1289" s="4">
        <v>0</v>
      </c>
      <c r="CN1289" s="53">
        <v>0</v>
      </c>
      <c r="CO1289" s="54">
        <v>0</v>
      </c>
      <c r="CP1289" s="54">
        <v>0</v>
      </c>
      <c r="CQ1289" s="4">
        <v>0</v>
      </c>
    </row>
    <row r="1290" spans="1:95" x14ac:dyDescent="0.35">
      <c r="A1290" s="55">
        <v>1289</v>
      </c>
      <c r="B1290" s="23" t="s">
        <v>126</v>
      </c>
      <c r="C1290" s="27" t="s">
        <v>1281</v>
      </c>
      <c r="D1290" s="3" t="s">
        <v>88</v>
      </c>
      <c r="E1290" s="27" t="s">
        <v>91</v>
      </c>
      <c r="F1290" s="4">
        <f>IFERROR(AVERAGEIF(Table1[[#This Row],[2019-Apr]:[2025-July]],"&lt;&gt;0"),0)</f>
        <v>0</v>
      </c>
      <c r="G1290" s="4">
        <f ca="1">IFERROR(AVERAGEIF(OFFSET(Table1[[#This Row],[Status]],0,COUNT(Table1[[#This Row],[2019-May]:[2025-July]]),1,-12),"&lt;&gt;0"),0)</f>
        <v>0</v>
      </c>
      <c r="H1290" s="55">
        <f>IFERROR(SMALL(Table1[[#This Row],[2019-Apr]:[2025-July]],COUNTIF(Table1[[#This Row],[2019-Apr]:[2025-July]],0)+1),0)</f>
        <v>0</v>
      </c>
      <c r="I1290" s="56">
        <f>IFERROR(MAX(Table1[[#This Row],[2019-Apr]:[2025-July]]),0)</f>
        <v>0</v>
      </c>
      <c r="J1290" s="4" cm="1">
        <f t="array" ref="J129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290" s="4">
        <v>4.5</v>
      </c>
      <c r="L1290" s="4">
        <f>IF(Table1[[#This Row],[Standard as per ISO]]&gt;=Table1[[#This Row],[Avg of best 6]],Table1[[#This Row],[Standard as per ISO]],Table1[[#This Row],[Avg of best 6]])</f>
        <v>4.5</v>
      </c>
      <c r="M1290" s="4" cm="1">
        <f t="array" ref="M1290">IFERROR(LOOKUP(2,1/(Table1[[#This Row],[2019-May]:[2025-July]]&lt;&gt;0),Table1[[#This Row],[2019-May]:[2025-July]]),0)</f>
        <v>0</v>
      </c>
      <c r="N1290" s="4">
        <f>COUNTIF(Table1[[#This Row],[2019-Apr]:[2025-July]],"&gt;="&amp;Table1[[#This Row],[Target]])</f>
        <v>0</v>
      </c>
      <c r="O1290" s="4">
        <f>IF(Table1[[#This Row],[Outliers 2Y]]=0,1,0)</f>
        <v>1</v>
      </c>
      <c r="P1290" s="4">
        <f>IF(Table1[[#This Row],[Last value]]&gt;1.5*Table1[[#This Row],[Target]],1,0)</f>
        <v>0</v>
      </c>
      <c r="Q1290" s="4">
        <f>IF(AND(1.5*Table1[[#This Row],[Target]]&gt;=Table1[[#This Row],[Last value]],Table1[[#This Row],[Last value]]&gt;Table1[[#This Row],[Target]]),1,0)</f>
        <v>0</v>
      </c>
      <c r="R1290" s="4">
        <f>IF(Table1[[#This Row],[Target]]&gt;=Table1[[#This Row],[Last value]],1,0)</f>
        <v>1</v>
      </c>
      <c r="S1290" s="4" t="str">
        <f t="shared" si="30"/>
        <v>Green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38">
        <v>0</v>
      </c>
      <c r="CK1290" s="38">
        <v>0</v>
      </c>
      <c r="CL1290" s="34">
        <v>0</v>
      </c>
      <c r="CM1290" s="4">
        <v>0</v>
      </c>
      <c r="CN1290" s="53">
        <v>0</v>
      </c>
      <c r="CO1290" s="54">
        <v>0</v>
      </c>
      <c r="CP1290" s="54">
        <v>0</v>
      </c>
      <c r="CQ1290" s="4">
        <v>0</v>
      </c>
    </row>
    <row r="1291" spans="1:95" x14ac:dyDescent="0.35">
      <c r="A1291" s="55">
        <v>1290</v>
      </c>
      <c r="B1291" s="23" t="s">
        <v>126</v>
      </c>
      <c r="C1291" s="27" t="s">
        <v>1282</v>
      </c>
      <c r="D1291" s="3" t="s">
        <v>88</v>
      </c>
      <c r="E1291" s="27" t="s">
        <v>89</v>
      </c>
      <c r="F1291" s="4">
        <f>IFERROR(AVERAGEIF(Table1[[#This Row],[2019-Apr]:[2025-July]],"&lt;&gt;0"),0)</f>
        <v>0.8</v>
      </c>
      <c r="G1291" s="4">
        <f ca="1">IFERROR(AVERAGEIF(OFFSET(Table1[[#This Row],[Status]],0,COUNT(Table1[[#This Row],[2019-May]:[2025-July]]),1,-12),"&lt;&gt;0"),0)</f>
        <v>0.8</v>
      </c>
      <c r="H1291" s="55">
        <f>IFERROR(SMALL(Table1[[#This Row],[2019-Apr]:[2025-July]],COUNTIF(Table1[[#This Row],[2019-Apr]:[2025-July]],0)+1),0)</f>
        <v>0.8</v>
      </c>
      <c r="I1291" s="56">
        <f>IFERROR(MAX(Table1[[#This Row],[2019-Apr]:[2025-July]]),0)</f>
        <v>0.8</v>
      </c>
      <c r="J1291" s="4" cm="1">
        <f t="array" ref="J129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</v>
      </c>
      <c r="K1291" s="4">
        <v>4.5</v>
      </c>
      <c r="L1291" s="4">
        <f>IF(Table1[[#This Row],[Standard as per ISO]]&gt;=Table1[[#This Row],[Avg of best 6]],Table1[[#This Row],[Standard as per ISO]],Table1[[#This Row],[Avg of best 6]])</f>
        <v>4.5</v>
      </c>
      <c r="M1291" s="4" cm="1">
        <f t="array" ref="M1291">IFERROR(LOOKUP(2,1/(Table1[[#This Row],[2019-May]:[2025-July]]&lt;&gt;0),Table1[[#This Row],[2019-May]:[2025-July]]),0)</f>
        <v>0.8</v>
      </c>
      <c r="N1291" s="4">
        <f>COUNTIF(Table1[[#This Row],[2019-Apr]:[2025-July]],"&gt;="&amp;Table1[[#This Row],[Target]])</f>
        <v>0</v>
      </c>
      <c r="O1291" s="4">
        <f>IF(Table1[[#This Row],[Outliers 2Y]]=0,1,0)</f>
        <v>1</v>
      </c>
      <c r="P1291" s="4">
        <f>IF(Table1[[#This Row],[Last value]]&gt;1.5*Table1[[#This Row],[Target]],1,0)</f>
        <v>0</v>
      </c>
      <c r="Q1291" s="4">
        <f>IF(AND(1.5*Table1[[#This Row],[Target]]&gt;=Table1[[#This Row],[Last value]],Table1[[#This Row],[Last value]]&gt;Table1[[#This Row],[Target]]),1,0)</f>
        <v>0</v>
      </c>
      <c r="R1291" s="4">
        <f>IF(Table1[[#This Row],[Target]]&gt;=Table1[[#This Row],[Last value]],1,0)</f>
        <v>1</v>
      </c>
      <c r="S1291" s="4" t="str">
        <f t="shared" si="30"/>
        <v>Green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38">
        <v>0</v>
      </c>
      <c r="CK1291" s="38">
        <v>0</v>
      </c>
      <c r="CL1291" s="43">
        <v>0</v>
      </c>
      <c r="CM1291" s="4">
        <v>0</v>
      </c>
      <c r="CN1291" s="53">
        <v>0</v>
      </c>
      <c r="CO1291" s="54">
        <v>0.8</v>
      </c>
      <c r="CP1291" s="54">
        <v>0</v>
      </c>
      <c r="CQ1291" s="4">
        <v>0</v>
      </c>
    </row>
    <row r="1292" spans="1:95" x14ac:dyDescent="0.35">
      <c r="A1292" s="55">
        <v>1291</v>
      </c>
      <c r="B1292" s="23" t="s">
        <v>126</v>
      </c>
      <c r="C1292" s="27" t="s">
        <v>1283</v>
      </c>
      <c r="D1292" s="3" t="s">
        <v>88</v>
      </c>
      <c r="E1292" s="27" t="s">
        <v>89</v>
      </c>
      <c r="F1292" s="4">
        <f>IFERROR(AVERAGEIF(Table1[[#This Row],[2019-Apr]:[2025-July]],"&lt;&gt;0"),0)</f>
        <v>0.8244444444444442</v>
      </c>
      <c r="G1292" s="4">
        <f ca="1">IFERROR(AVERAGEIF(OFFSET(Table1[[#This Row],[Status]],0,COUNT(Table1[[#This Row],[2019-May]:[2025-July]]),1,-12),"&lt;&gt;0"),0)</f>
        <v>0.85249999999999981</v>
      </c>
      <c r="H1292" s="55">
        <f>IFERROR(SMALL(Table1[[#This Row],[2019-Apr]:[2025-July]],COUNTIF(Table1[[#This Row],[2019-Apr]:[2025-July]],0)+1),0)</f>
        <v>0.6</v>
      </c>
      <c r="I1292" s="56">
        <f>IFERROR(MAX(Table1[[#This Row],[2019-Apr]:[2025-July]]),0)</f>
        <v>1.4</v>
      </c>
      <c r="J1292" s="4" cm="1">
        <f t="array" ref="J129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0.68333333333333346</v>
      </c>
      <c r="K1292" s="4">
        <v>4.5</v>
      </c>
      <c r="L1292" s="4">
        <f>IF(Table1[[#This Row],[Standard as per ISO]]&gt;=Table1[[#This Row],[Avg of best 6]],Table1[[#This Row],[Standard as per ISO]],Table1[[#This Row],[Avg of best 6]])</f>
        <v>4.5</v>
      </c>
      <c r="M1292" s="4" cm="1">
        <f t="array" ref="M1292">IFERROR(LOOKUP(2,1/(Table1[[#This Row],[2019-May]:[2025-July]]&lt;&gt;0),Table1[[#This Row],[2019-May]:[2025-July]]),0)</f>
        <v>0.6</v>
      </c>
      <c r="N1292" s="4">
        <f>COUNTIF(Table1[[#This Row],[2019-Apr]:[2025-July]],"&gt;="&amp;Table1[[#This Row],[Target]])</f>
        <v>0</v>
      </c>
      <c r="O1292" s="4">
        <f>IF(Table1[[#This Row],[Outliers 2Y]]=0,1,0)</f>
        <v>1</v>
      </c>
      <c r="P1292" s="4">
        <f>IF(Table1[[#This Row],[Last value]]&gt;1.5*Table1[[#This Row],[Target]],1,0)</f>
        <v>0</v>
      </c>
      <c r="Q1292" s="4">
        <f>IF(AND(1.5*Table1[[#This Row],[Target]]&gt;=Table1[[#This Row],[Last value]],Table1[[#This Row],[Last value]]&gt;Table1[[#This Row],[Target]]),1,0)</f>
        <v>0</v>
      </c>
      <c r="R1292" s="4">
        <f>IF(Table1[[#This Row],[Target]]&gt;=Table1[[#This Row],[Last value]],1,0)</f>
        <v>1</v>
      </c>
      <c r="S1292" s="4" t="str">
        <f t="shared" si="30"/>
        <v>Green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0.6</v>
      </c>
      <c r="CH1292" s="4">
        <v>0.92</v>
      </c>
      <c r="CI1292" s="4">
        <v>0</v>
      </c>
      <c r="CJ1292" s="34">
        <v>0.7</v>
      </c>
      <c r="CK1292" s="34">
        <v>0.9</v>
      </c>
      <c r="CL1292" s="43">
        <v>0.7</v>
      </c>
      <c r="CM1292" s="4">
        <v>1</v>
      </c>
      <c r="CN1292" s="53">
        <v>1.4</v>
      </c>
      <c r="CO1292" s="54">
        <v>0</v>
      </c>
      <c r="CP1292" s="54">
        <v>0.6</v>
      </c>
      <c r="CQ1292" s="4">
        <v>0.6</v>
      </c>
    </row>
    <row r="1293" spans="1:95" x14ac:dyDescent="0.35">
      <c r="A1293" s="55">
        <v>1292</v>
      </c>
      <c r="B1293" s="23" t="s">
        <v>126</v>
      </c>
      <c r="C1293" s="27" t="s">
        <v>1284</v>
      </c>
      <c r="D1293" s="3" t="s">
        <v>88</v>
      </c>
      <c r="E1293" s="27" t="s">
        <v>89</v>
      </c>
      <c r="F1293" s="4">
        <f>IFERROR(AVERAGEIF(Table1[[#This Row],[2019-Apr]:[2025-July]],"&lt;&gt;0"),0)</f>
        <v>1.0275000000000001</v>
      </c>
      <c r="G1293" s="4">
        <f ca="1">IFERROR(AVERAGEIF(OFFSET(Table1[[#This Row],[Status]],0,COUNT(Table1[[#This Row],[2019-May]:[2025-July]]),1,-12),"&lt;&gt;0"),0)</f>
        <v>1.0275000000000001</v>
      </c>
      <c r="H1293" s="55">
        <f>IFERROR(SMALL(Table1[[#This Row],[2019-Apr]:[2025-July]],COUNTIF(Table1[[#This Row],[2019-Apr]:[2025-July]],0)+1),0)</f>
        <v>0.8</v>
      </c>
      <c r="I1293" s="56">
        <f>IFERROR(MAX(Table1[[#This Row],[2019-Apr]:[2025-July]]),0)</f>
        <v>1.3</v>
      </c>
      <c r="J1293" s="4" cm="1">
        <f t="array" ref="J129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1.0275000000000001</v>
      </c>
      <c r="K1293" s="4">
        <v>4.5</v>
      </c>
      <c r="L1293" s="4">
        <f>IF(Table1[[#This Row],[Standard as per ISO]]&gt;=Table1[[#This Row],[Avg of best 6]],Table1[[#This Row],[Standard as per ISO]],Table1[[#This Row],[Avg of best 6]])</f>
        <v>4.5</v>
      </c>
      <c r="M1293" s="4" cm="1">
        <f t="array" ref="M1293">IFERROR(LOOKUP(2,1/(Table1[[#This Row],[2019-May]:[2025-July]]&lt;&gt;0),Table1[[#This Row],[2019-May]:[2025-July]]),0)</f>
        <v>0.8</v>
      </c>
      <c r="N1293" s="4">
        <f>COUNTIF(Table1[[#This Row],[2019-Apr]:[2025-July]],"&gt;="&amp;Table1[[#This Row],[Target]])</f>
        <v>0</v>
      </c>
      <c r="O1293" s="4">
        <f>IF(Table1[[#This Row],[Outliers 2Y]]=0,1,0)</f>
        <v>1</v>
      </c>
      <c r="P1293" s="4">
        <f>IF(Table1[[#This Row],[Last value]]&gt;1.5*Table1[[#This Row],[Target]],1,0)</f>
        <v>0</v>
      </c>
      <c r="Q1293" s="4">
        <f>IF(AND(1.5*Table1[[#This Row],[Target]]&gt;=Table1[[#This Row],[Last value]],Table1[[#This Row],[Last value]]&gt;Table1[[#This Row],[Target]]),1,0)</f>
        <v>0</v>
      </c>
      <c r="R1293" s="4">
        <f>IF(Table1[[#This Row],[Target]]&gt;=Table1[[#This Row],[Last value]],1,0)</f>
        <v>1</v>
      </c>
      <c r="S1293" s="4" t="str">
        <f t="shared" ref="S1293:S1356" si="32">IF(P1293=1, "Red", IF(Q1293=1, "Yellow", "Green"))</f>
        <v>Green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1.01</v>
      </c>
      <c r="CI1293" s="4">
        <v>0</v>
      </c>
      <c r="CJ1293" s="34">
        <v>0</v>
      </c>
      <c r="CK1293" s="38">
        <v>0</v>
      </c>
      <c r="CL1293" s="43">
        <v>1.3</v>
      </c>
      <c r="CM1293" s="4">
        <v>0</v>
      </c>
      <c r="CN1293" s="53">
        <v>1</v>
      </c>
      <c r="CO1293" s="54">
        <v>0</v>
      </c>
      <c r="CP1293" s="54">
        <v>0.8</v>
      </c>
      <c r="CQ1293" s="4">
        <v>0</v>
      </c>
    </row>
    <row r="1294" spans="1:95" x14ac:dyDescent="0.35">
      <c r="A1294" s="55">
        <v>1293</v>
      </c>
      <c r="B1294" s="23" t="s">
        <v>126</v>
      </c>
      <c r="C1294" s="27" t="s">
        <v>1285</v>
      </c>
      <c r="D1294" s="3" t="s">
        <v>88</v>
      </c>
      <c r="E1294" s="27" t="s">
        <v>89</v>
      </c>
      <c r="F1294" s="4">
        <f>IFERROR(AVERAGEIF(Table1[[#This Row],[2019-Apr]:[2025-July]],"&lt;&gt;0"),0)</f>
        <v>1</v>
      </c>
      <c r="G1294" s="4">
        <f ca="1">IFERROR(AVERAGEIF(OFFSET(Table1[[#This Row],[Status]],0,COUNT(Table1[[#This Row],[2019-May]:[2025-July]]),1,-12),"&lt;&gt;0"),0)</f>
        <v>1.04</v>
      </c>
      <c r="H1294" s="55">
        <f>IFERROR(SMALL(Table1[[#This Row],[2019-Apr]:[2025-July]],COUNTIF(Table1[[#This Row],[2019-Apr]:[2025-July]],0)+1),0)</f>
        <v>0.8</v>
      </c>
      <c r="I1294" s="56">
        <f>IFERROR(MAX(Table1[[#This Row],[2019-Apr]:[2025-July]]),0)</f>
        <v>1.3</v>
      </c>
      <c r="J1294" s="4" cm="1">
        <f t="array" ref="J129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</v>
      </c>
      <c r="K1294" s="4">
        <v>4.5</v>
      </c>
      <c r="L1294" s="4">
        <f>IF(Table1[[#This Row],[Standard as per ISO]]&gt;=Table1[[#This Row],[Avg of best 6]],Table1[[#This Row],[Standard as per ISO]],Table1[[#This Row],[Avg of best 6]])</f>
        <v>4.5</v>
      </c>
      <c r="M1294" s="4" cm="1">
        <f t="array" ref="M1294">IFERROR(LOOKUP(2,1/(Table1[[#This Row],[2019-May]:[2025-July]]&lt;&gt;0),Table1[[#This Row],[2019-May]:[2025-July]]),0)</f>
        <v>0.8</v>
      </c>
      <c r="N1294" s="4">
        <f>COUNTIF(Table1[[#This Row],[2019-Apr]:[2025-July]],"&gt;="&amp;Table1[[#This Row],[Target]])</f>
        <v>0</v>
      </c>
      <c r="O1294" s="4">
        <f>IF(Table1[[#This Row],[Outliers 2Y]]=0,1,0)</f>
        <v>1</v>
      </c>
      <c r="P1294" s="4">
        <f>IF(Table1[[#This Row],[Last value]]&gt;1.5*Table1[[#This Row],[Target]],1,0)</f>
        <v>0</v>
      </c>
      <c r="Q1294" s="4">
        <f>IF(AND(1.5*Table1[[#This Row],[Target]]&gt;=Table1[[#This Row],[Last value]],Table1[[#This Row],[Last value]]&gt;Table1[[#This Row],[Target]]),1,0)</f>
        <v>0</v>
      </c>
      <c r="R1294" s="4">
        <f>IF(Table1[[#This Row],[Target]]&gt;=Table1[[#This Row],[Last value]],1,0)</f>
        <v>1</v>
      </c>
      <c r="S1294" s="4" t="str">
        <f t="shared" si="32"/>
        <v>Green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1</v>
      </c>
      <c r="CH1294" s="4">
        <v>0</v>
      </c>
      <c r="CI1294" s="4">
        <v>0</v>
      </c>
      <c r="CJ1294" s="34">
        <v>0.9</v>
      </c>
      <c r="CK1294" s="34">
        <v>1</v>
      </c>
      <c r="CL1294" s="43">
        <v>0</v>
      </c>
      <c r="CM1294" s="4">
        <v>1.3</v>
      </c>
      <c r="CN1294" s="53">
        <v>0</v>
      </c>
      <c r="CO1294" s="54">
        <v>1</v>
      </c>
      <c r="CP1294" s="54">
        <v>0</v>
      </c>
      <c r="CQ1294" s="4">
        <v>0.8</v>
      </c>
    </row>
    <row r="1295" spans="1:95" x14ac:dyDescent="0.35">
      <c r="A1295" s="55">
        <v>1294</v>
      </c>
      <c r="B1295" s="23" t="s">
        <v>126</v>
      </c>
      <c r="C1295" s="27" t="s">
        <v>1286</v>
      </c>
      <c r="D1295" s="3" t="s">
        <v>88</v>
      </c>
      <c r="E1295" s="27" t="s">
        <v>89</v>
      </c>
      <c r="F1295" s="4">
        <f>IFERROR(AVERAGEIF(Table1[[#This Row],[2019-Apr]:[2025-July]],"&lt;&gt;0"),0)</f>
        <v>1.0528571428571429</v>
      </c>
      <c r="G1295" s="4">
        <f ca="1">IFERROR(AVERAGEIF(OFFSET(Table1[[#This Row],[Status]],0,COUNT(Table1[[#This Row],[2019-May]:[2025-July]]),1,-12),"&lt;&gt;0"),0)</f>
        <v>1.0783333333333334</v>
      </c>
      <c r="H1295" s="55">
        <f>IFERROR(SMALL(Table1[[#This Row],[2019-Apr]:[2025-July]],COUNTIF(Table1[[#This Row],[2019-Apr]:[2025-July]],0)+1),0)</f>
        <v>0.76</v>
      </c>
      <c r="I1295" s="56">
        <f>IFERROR(MAX(Table1[[#This Row],[2019-Apr]:[2025-July]]),0)</f>
        <v>1.73</v>
      </c>
      <c r="J1295" s="4" cm="1">
        <f t="array" ref="J129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0.94000000000000006</v>
      </c>
      <c r="K1295" s="4">
        <v>4.5</v>
      </c>
      <c r="L1295" s="4">
        <f>IF(Table1[[#This Row],[Standard as per ISO]]&gt;=Table1[[#This Row],[Avg of best 6]],Table1[[#This Row],[Standard as per ISO]],Table1[[#This Row],[Avg of best 6]])</f>
        <v>4.5</v>
      </c>
      <c r="M1295" s="4" cm="1">
        <f t="array" ref="M1295">IFERROR(LOOKUP(2,1/(Table1[[#This Row],[2019-May]:[2025-July]]&lt;&gt;0),Table1[[#This Row],[2019-May]:[2025-July]]),0)</f>
        <v>0.9</v>
      </c>
      <c r="N1295" s="4">
        <f>COUNTIF(Table1[[#This Row],[2019-Apr]:[2025-July]],"&gt;="&amp;Table1[[#This Row],[Target]])</f>
        <v>0</v>
      </c>
      <c r="O1295" s="4">
        <f>IF(Table1[[#This Row],[Outliers 2Y]]=0,1,0)</f>
        <v>1</v>
      </c>
      <c r="P1295" s="4">
        <f>IF(Table1[[#This Row],[Last value]]&gt;1.5*Table1[[#This Row],[Target]],1,0)</f>
        <v>0</v>
      </c>
      <c r="Q1295" s="4">
        <f>IF(AND(1.5*Table1[[#This Row],[Target]]&gt;=Table1[[#This Row],[Last value]],Table1[[#This Row],[Last value]]&gt;Table1[[#This Row],[Target]]),1,0)</f>
        <v>0</v>
      </c>
      <c r="R1295" s="4">
        <f>IF(Table1[[#This Row],[Target]]&gt;=Table1[[#This Row],[Last value]],1,0)</f>
        <v>1</v>
      </c>
      <c r="S1295" s="4" t="str">
        <f t="shared" si="32"/>
        <v>Green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1.73</v>
      </c>
      <c r="CG1295" s="4">
        <v>0.76</v>
      </c>
      <c r="CH1295" s="4">
        <v>0.88</v>
      </c>
      <c r="CI1295" s="4">
        <v>0</v>
      </c>
      <c r="CJ1295" s="34">
        <v>1</v>
      </c>
      <c r="CK1295" s="38">
        <v>0</v>
      </c>
      <c r="CL1295" s="43">
        <v>0</v>
      </c>
      <c r="CM1295" s="4">
        <v>1.1000000000000001</v>
      </c>
      <c r="CN1295" s="53">
        <v>0</v>
      </c>
      <c r="CO1295" s="54">
        <v>0</v>
      </c>
      <c r="CP1295" s="54">
        <v>1</v>
      </c>
      <c r="CQ1295" s="4">
        <v>0.9</v>
      </c>
    </row>
    <row r="1296" spans="1:95" x14ac:dyDescent="0.35">
      <c r="A1296" s="55">
        <v>1295</v>
      </c>
      <c r="B1296" s="23" t="s">
        <v>126</v>
      </c>
      <c r="C1296" s="27" t="s">
        <v>1287</v>
      </c>
      <c r="D1296" s="3" t="s">
        <v>88</v>
      </c>
      <c r="E1296" s="27" t="s">
        <v>89</v>
      </c>
      <c r="F1296" s="4">
        <f>IFERROR(AVERAGEIF(Table1[[#This Row],[2019-Apr]:[2025-July]],"&lt;&gt;0"),0)</f>
        <v>0.92500000000000004</v>
      </c>
      <c r="G1296" s="4">
        <f ca="1">IFERROR(AVERAGEIF(OFFSET(Table1[[#This Row],[Status]],0,COUNT(Table1[[#This Row],[2019-May]:[2025-July]]),1,-12),"&lt;&gt;0"),0)</f>
        <v>0.92500000000000004</v>
      </c>
      <c r="H1296" s="55">
        <f>IFERROR(SMALL(Table1[[#This Row],[2019-Apr]:[2025-July]],COUNTIF(Table1[[#This Row],[2019-Apr]:[2025-July]],0)+1),0)</f>
        <v>0.8</v>
      </c>
      <c r="I1296" s="56">
        <f>IFERROR(MAX(Table1[[#This Row],[2019-Apr]:[2025-July]]),0)</f>
        <v>1</v>
      </c>
      <c r="J1296" s="4" cm="1">
        <f t="array" ref="J129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0.92500000000000004</v>
      </c>
      <c r="K1296" s="4">
        <v>4.5</v>
      </c>
      <c r="L1296" s="4">
        <f>IF(Table1[[#This Row],[Standard as per ISO]]&gt;=Table1[[#This Row],[Avg of best 6]],Table1[[#This Row],[Standard as per ISO]],Table1[[#This Row],[Avg of best 6]])</f>
        <v>4.5</v>
      </c>
      <c r="M1296" s="4" cm="1">
        <f t="array" ref="M1296">IFERROR(LOOKUP(2,1/(Table1[[#This Row],[2019-May]:[2025-July]]&lt;&gt;0),Table1[[#This Row],[2019-May]:[2025-July]]),0)</f>
        <v>0.8</v>
      </c>
      <c r="N1296" s="4">
        <f>COUNTIF(Table1[[#This Row],[2019-Apr]:[2025-July]],"&gt;="&amp;Table1[[#This Row],[Target]])</f>
        <v>0</v>
      </c>
      <c r="O1296" s="4">
        <f>IF(Table1[[#This Row],[Outliers 2Y]]=0,1,0)</f>
        <v>1</v>
      </c>
      <c r="P1296" s="4">
        <f>IF(Table1[[#This Row],[Last value]]&gt;1.5*Table1[[#This Row],[Target]],1,0)</f>
        <v>0</v>
      </c>
      <c r="Q1296" s="4">
        <f>IF(AND(1.5*Table1[[#This Row],[Target]]&gt;=Table1[[#This Row],[Last value]],Table1[[#This Row],[Last value]]&gt;Table1[[#This Row],[Target]]),1,0)</f>
        <v>0</v>
      </c>
      <c r="R1296" s="4">
        <f>IF(Table1[[#This Row],[Target]]&gt;=Table1[[#This Row],[Last value]],1,0)</f>
        <v>1</v>
      </c>
      <c r="S1296" s="4" t="str">
        <f t="shared" si="32"/>
        <v>Green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34">
        <v>0</v>
      </c>
      <c r="CK1296" s="34">
        <v>0.9</v>
      </c>
      <c r="CL1296" s="43">
        <v>1</v>
      </c>
      <c r="CM1296" s="4">
        <v>0</v>
      </c>
      <c r="CN1296" s="53">
        <v>1</v>
      </c>
      <c r="CO1296" s="54">
        <v>0.8</v>
      </c>
      <c r="CP1296" s="54">
        <v>0</v>
      </c>
      <c r="CQ1296" s="4">
        <v>0</v>
      </c>
    </row>
    <row r="1297" spans="1:95" x14ac:dyDescent="0.35">
      <c r="A1297" s="55">
        <v>1296</v>
      </c>
      <c r="B1297" s="23" t="s">
        <v>126</v>
      </c>
      <c r="C1297" s="27" t="s">
        <v>1288</v>
      </c>
      <c r="D1297" s="3" t="s">
        <v>88</v>
      </c>
      <c r="E1297" s="27" t="s">
        <v>89</v>
      </c>
      <c r="F1297" s="4">
        <f>IFERROR(AVERAGEIF(Table1[[#This Row],[2019-Apr]:[2025-July]],"&lt;&gt;0"),0)</f>
        <v>3.5324999999999998</v>
      </c>
      <c r="G1297" s="4">
        <f ca="1">IFERROR(AVERAGEIF(OFFSET(Table1[[#This Row],[Status]],0,COUNT(Table1[[#This Row],[2019-May]:[2025-July]]),1,-12),"&lt;&gt;0"),0)</f>
        <v>3.5324999999999998</v>
      </c>
      <c r="H1297" s="55">
        <f>IFERROR(SMALL(Table1[[#This Row],[2019-Apr]:[2025-July]],COUNTIF(Table1[[#This Row],[2019-Apr]:[2025-July]],0)+1),0)</f>
        <v>2.8</v>
      </c>
      <c r="I1297" s="56">
        <f>IFERROR(MAX(Table1[[#This Row],[2019-Apr]:[2025-July]]),0)</f>
        <v>4.5999999999999996</v>
      </c>
      <c r="J1297" s="4" cm="1">
        <f t="array" ref="J129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3.5324999999999998</v>
      </c>
      <c r="K1297" s="4">
        <v>4.5</v>
      </c>
      <c r="L1297" s="4">
        <f>IF(Table1[[#This Row],[Standard as per ISO]]&gt;=Table1[[#This Row],[Avg of best 6]],Table1[[#This Row],[Standard as per ISO]],Table1[[#This Row],[Avg of best 6]])</f>
        <v>4.5</v>
      </c>
      <c r="M1297" s="4" cm="1">
        <f t="array" ref="M1297">IFERROR(LOOKUP(2,1/(Table1[[#This Row],[2019-May]:[2025-July]]&lt;&gt;0),Table1[[#This Row],[2019-May]:[2025-July]]),0)</f>
        <v>2.8</v>
      </c>
      <c r="N1297" s="4">
        <f>COUNTIF(Table1[[#This Row],[2019-Apr]:[2025-July]],"&gt;="&amp;Table1[[#This Row],[Target]])</f>
        <v>1</v>
      </c>
      <c r="O1297" s="4">
        <f>IF(Table1[[#This Row],[Outliers 2Y]]=0,1,0)</f>
        <v>0</v>
      </c>
      <c r="P1297" s="4">
        <f>IF(Table1[[#This Row],[Last value]]&gt;1.5*Table1[[#This Row],[Target]],1,0)</f>
        <v>0</v>
      </c>
      <c r="Q1297" s="4">
        <f>IF(AND(1.5*Table1[[#This Row],[Target]]&gt;=Table1[[#This Row],[Last value]],Table1[[#This Row],[Last value]]&gt;Table1[[#This Row],[Target]]),1,0)</f>
        <v>0</v>
      </c>
      <c r="R1297" s="4">
        <f>IF(Table1[[#This Row],[Target]]&gt;=Table1[[#This Row],[Last value]],1,0)</f>
        <v>1</v>
      </c>
      <c r="S1297" s="4" t="str">
        <f t="shared" si="32"/>
        <v>Green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2.83</v>
      </c>
      <c r="CI1297" s="4">
        <v>0</v>
      </c>
      <c r="CJ1297" s="34">
        <v>0</v>
      </c>
      <c r="CK1297" s="34">
        <v>4.5999999999999996</v>
      </c>
      <c r="CL1297" s="43">
        <v>0</v>
      </c>
      <c r="CM1297" s="4">
        <v>3.9</v>
      </c>
      <c r="CN1297" s="53">
        <v>0</v>
      </c>
      <c r="CO1297" s="54">
        <v>2.8</v>
      </c>
      <c r="CP1297" s="54">
        <v>0</v>
      </c>
      <c r="CQ1297" s="4">
        <v>0</v>
      </c>
    </row>
    <row r="1298" spans="1:95" x14ac:dyDescent="0.35">
      <c r="A1298" s="55">
        <v>1297</v>
      </c>
      <c r="B1298" s="23" t="s">
        <v>126</v>
      </c>
      <c r="C1298" s="27" t="s">
        <v>1289</v>
      </c>
      <c r="D1298" s="3" t="s">
        <v>88</v>
      </c>
      <c r="E1298" s="27" t="s">
        <v>89</v>
      </c>
      <c r="F1298" s="4">
        <f>IFERROR(AVERAGEIF(Table1[[#This Row],[2019-Apr]:[2025-July]],"&lt;&gt;0"),0)</f>
        <v>2.3600000000000003</v>
      </c>
      <c r="G1298" s="4">
        <f ca="1">IFERROR(AVERAGEIF(OFFSET(Table1[[#This Row],[Status]],0,COUNT(Table1[[#This Row],[2019-May]:[2025-July]]),1,-12),"&lt;&gt;0"),0)</f>
        <v>2.625</v>
      </c>
      <c r="H1298" s="55">
        <f>IFERROR(SMALL(Table1[[#This Row],[2019-Apr]:[2025-July]],COUNTIF(Table1[[#This Row],[2019-Apr]:[2025-July]],0)+1),0)</f>
        <v>1.3</v>
      </c>
      <c r="I1298" s="56">
        <f>IFERROR(MAX(Table1[[#This Row],[2019-Apr]:[2025-July]]),0)</f>
        <v>5</v>
      </c>
      <c r="J1298" s="4" cm="1">
        <f t="array" ref="J129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2.3600000000000003</v>
      </c>
      <c r="K1298" s="4">
        <v>4.5</v>
      </c>
      <c r="L1298" s="4">
        <f>IF(Table1[[#This Row],[Standard as per ISO]]&gt;=Table1[[#This Row],[Avg of best 6]],Table1[[#This Row],[Standard as per ISO]],Table1[[#This Row],[Avg of best 6]])</f>
        <v>4.5</v>
      </c>
      <c r="M1298" s="4" cm="1">
        <f t="array" ref="M1298">IFERROR(LOOKUP(2,1/(Table1[[#This Row],[2019-May]:[2025-July]]&lt;&gt;0),Table1[[#This Row],[2019-May]:[2025-July]]),0)</f>
        <v>1.3</v>
      </c>
      <c r="N1298" s="4">
        <f>COUNTIF(Table1[[#This Row],[2019-Apr]:[2025-July]],"&gt;="&amp;Table1[[#This Row],[Target]])</f>
        <v>1</v>
      </c>
      <c r="O1298" s="4">
        <f>IF(Table1[[#This Row],[Outliers 2Y]]=0,1,0)</f>
        <v>0</v>
      </c>
      <c r="P1298" s="4">
        <f>IF(Table1[[#This Row],[Last value]]&gt;1.5*Table1[[#This Row],[Target]],1,0)</f>
        <v>0</v>
      </c>
      <c r="Q1298" s="4">
        <f>IF(AND(1.5*Table1[[#This Row],[Target]]&gt;=Table1[[#This Row],[Last value]],Table1[[#This Row],[Last value]]&gt;Table1[[#This Row],[Target]]),1,0)</f>
        <v>0</v>
      </c>
      <c r="R1298" s="4">
        <f>IF(Table1[[#This Row],[Target]]&gt;=Table1[[#This Row],[Last value]],1,0)</f>
        <v>1</v>
      </c>
      <c r="S1298" s="4" t="str">
        <f t="shared" si="32"/>
        <v>Green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38">
        <v>5</v>
      </c>
      <c r="CK1298" s="38">
        <v>0</v>
      </c>
      <c r="CL1298" s="43">
        <v>1.8</v>
      </c>
      <c r="CM1298" s="4">
        <v>0</v>
      </c>
      <c r="CN1298" s="53">
        <v>1.7</v>
      </c>
      <c r="CO1298" s="54">
        <v>0</v>
      </c>
      <c r="CP1298" s="54">
        <v>2</v>
      </c>
      <c r="CQ1298" s="4">
        <v>1.3</v>
      </c>
    </row>
    <row r="1299" spans="1:95" x14ac:dyDescent="0.35">
      <c r="A1299" s="55">
        <v>1298</v>
      </c>
      <c r="B1299" s="23" t="s">
        <v>126</v>
      </c>
      <c r="C1299" s="27" t="s">
        <v>1290</v>
      </c>
      <c r="D1299" s="3" t="s">
        <v>88</v>
      </c>
      <c r="E1299" s="27" t="s">
        <v>89</v>
      </c>
      <c r="F1299" s="4">
        <f>IFERROR(AVERAGEIF(Table1[[#This Row],[2019-Apr]:[2025-July]],"&lt;&gt;0"),0)</f>
        <v>1.42</v>
      </c>
      <c r="G1299" s="4">
        <f ca="1">IFERROR(AVERAGEIF(OFFSET(Table1[[#This Row],[Status]],0,COUNT(Table1[[#This Row],[2019-May]:[2025-July]]),1,-12),"&lt;&gt;0"),0)</f>
        <v>1.625</v>
      </c>
      <c r="H1299" s="55">
        <f>IFERROR(SMALL(Table1[[#This Row],[2019-Apr]:[2025-July]],COUNTIF(Table1[[#This Row],[2019-Apr]:[2025-July]],0)+1),0)</f>
        <v>0.6</v>
      </c>
      <c r="I1299" s="56">
        <f>IFERROR(MAX(Table1[[#This Row],[2019-Apr]:[2025-July]]),0)</f>
        <v>2.1</v>
      </c>
      <c r="J1299" s="4" cm="1">
        <f t="array" ref="J129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1.42</v>
      </c>
      <c r="K1299" s="4">
        <v>4.5</v>
      </c>
      <c r="L1299" s="4">
        <f>IF(Table1[[#This Row],[Standard as per ISO]]&gt;=Table1[[#This Row],[Avg of best 6]],Table1[[#This Row],[Standard as per ISO]],Table1[[#This Row],[Avg of best 6]])</f>
        <v>4.5</v>
      </c>
      <c r="M1299" s="4" cm="1">
        <f t="array" ref="M1299">IFERROR(LOOKUP(2,1/(Table1[[#This Row],[2019-May]:[2025-July]]&lt;&gt;0),Table1[[#This Row],[2019-May]:[2025-July]]),0)</f>
        <v>0.6</v>
      </c>
      <c r="N1299" s="4">
        <f>COUNTIF(Table1[[#This Row],[2019-Apr]:[2025-July]],"&gt;="&amp;Table1[[#This Row],[Target]])</f>
        <v>0</v>
      </c>
      <c r="O1299" s="4">
        <f>IF(Table1[[#This Row],[Outliers 2Y]]=0,1,0)</f>
        <v>1</v>
      </c>
      <c r="P1299" s="4">
        <f>IF(Table1[[#This Row],[Last value]]&gt;1.5*Table1[[#This Row],[Target]],1,0)</f>
        <v>0</v>
      </c>
      <c r="Q1299" s="4">
        <f>IF(AND(1.5*Table1[[#This Row],[Target]]&gt;=Table1[[#This Row],[Last value]],Table1[[#This Row],[Last value]]&gt;Table1[[#This Row],[Target]]),1,0)</f>
        <v>0</v>
      </c>
      <c r="R1299" s="4">
        <f>IF(Table1[[#This Row],[Target]]&gt;=Table1[[#This Row],[Last value]],1,0)</f>
        <v>1</v>
      </c>
      <c r="S1299" s="4" t="str">
        <f t="shared" si="32"/>
        <v>Green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38">
        <v>1.3</v>
      </c>
      <c r="CK1299" s="34">
        <v>1.5</v>
      </c>
      <c r="CL1299" s="43">
        <v>0</v>
      </c>
      <c r="CM1299" s="4">
        <v>1.6</v>
      </c>
      <c r="CN1299" s="53">
        <v>0</v>
      </c>
      <c r="CO1299" s="54">
        <v>2.1</v>
      </c>
      <c r="CP1299" s="54">
        <v>0</v>
      </c>
      <c r="CQ1299" s="4">
        <v>0.6</v>
      </c>
    </row>
    <row r="1300" spans="1:95" x14ac:dyDescent="0.35">
      <c r="A1300" s="55">
        <v>1299</v>
      </c>
      <c r="B1300" s="23" t="s">
        <v>126</v>
      </c>
      <c r="C1300" s="27" t="s">
        <v>1291</v>
      </c>
      <c r="D1300" s="3" t="s">
        <v>88</v>
      </c>
      <c r="E1300" s="27" t="s">
        <v>89</v>
      </c>
      <c r="F1300" s="4">
        <f>IFERROR(AVERAGEIF(Table1[[#This Row],[2019-Apr]:[2025-July]],"&lt;&gt;0"),0)</f>
        <v>1.1125</v>
      </c>
      <c r="G1300" s="4">
        <f ca="1">IFERROR(AVERAGEIF(OFFSET(Table1[[#This Row],[Status]],0,COUNT(Table1[[#This Row],[2019-May]:[2025-July]]),1,-12),"&lt;&gt;0"),0)</f>
        <v>1.1125</v>
      </c>
      <c r="H1300" s="55">
        <f>IFERROR(SMALL(Table1[[#This Row],[2019-Apr]:[2025-July]],COUNTIF(Table1[[#This Row],[2019-Apr]:[2025-July]],0)+1),0)</f>
        <v>0.75</v>
      </c>
      <c r="I1300" s="56">
        <f>IFERROR(MAX(Table1[[#This Row],[2019-Apr]:[2025-July]]),0)</f>
        <v>1.4</v>
      </c>
      <c r="J1300" s="4" cm="1">
        <f t="array" ref="J130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1.1125</v>
      </c>
      <c r="K1300" s="4">
        <v>4.5</v>
      </c>
      <c r="L1300" s="4">
        <f>IF(Table1[[#This Row],[Standard as per ISO]]&gt;=Table1[[#This Row],[Avg of best 6]],Table1[[#This Row],[Standard as per ISO]],Table1[[#This Row],[Avg of best 6]])</f>
        <v>4.5</v>
      </c>
      <c r="M1300" s="4" cm="1">
        <f t="array" ref="M1300">IFERROR(LOOKUP(2,1/(Table1[[#This Row],[2019-May]:[2025-July]]&lt;&gt;0),Table1[[#This Row],[2019-May]:[2025-July]]),0)</f>
        <v>1.3</v>
      </c>
      <c r="N1300" s="4">
        <f>COUNTIF(Table1[[#This Row],[2019-Apr]:[2025-July]],"&gt;="&amp;Table1[[#This Row],[Target]])</f>
        <v>0</v>
      </c>
      <c r="O1300" s="4">
        <f>IF(Table1[[#This Row],[Outliers 2Y]]=0,1,0)</f>
        <v>1</v>
      </c>
      <c r="P1300" s="4">
        <f>IF(Table1[[#This Row],[Last value]]&gt;1.5*Table1[[#This Row],[Target]],1,0)</f>
        <v>0</v>
      </c>
      <c r="Q1300" s="4">
        <f>IF(AND(1.5*Table1[[#This Row],[Target]]&gt;=Table1[[#This Row],[Last value]],Table1[[#This Row],[Last value]]&gt;Table1[[#This Row],[Target]]),1,0)</f>
        <v>0</v>
      </c>
      <c r="R1300" s="4">
        <f>IF(Table1[[#This Row],[Target]]&gt;=Table1[[#This Row],[Last value]],1,0)</f>
        <v>1</v>
      </c>
      <c r="S1300" s="4" t="str">
        <f t="shared" si="32"/>
        <v>Green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0.75</v>
      </c>
      <c r="CI1300" s="4">
        <v>0</v>
      </c>
      <c r="CJ1300" s="34">
        <v>0</v>
      </c>
      <c r="CK1300" s="38">
        <v>0</v>
      </c>
      <c r="CL1300" s="43">
        <v>1</v>
      </c>
      <c r="CM1300" s="4">
        <v>0</v>
      </c>
      <c r="CN1300" s="53">
        <v>1.4</v>
      </c>
      <c r="CO1300" s="54">
        <v>0</v>
      </c>
      <c r="CP1300" s="54">
        <v>1.3</v>
      </c>
      <c r="CQ1300" s="4">
        <v>0</v>
      </c>
    </row>
    <row r="1301" spans="1:95" x14ac:dyDescent="0.35">
      <c r="A1301" s="55">
        <v>1300</v>
      </c>
      <c r="B1301" s="23" t="s">
        <v>126</v>
      </c>
      <c r="C1301" s="27" t="s">
        <v>1292</v>
      </c>
      <c r="D1301" s="3" t="s">
        <v>88</v>
      </c>
      <c r="E1301" s="27" t="s">
        <v>90</v>
      </c>
      <c r="F1301" s="4">
        <f>IFERROR(AVERAGEIF(Table1[[#This Row],[2019-Apr]:[2025-July]],"&lt;&gt;0"),0)</f>
        <v>1.58</v>
      </c>
      <c r="G1301" s="4">
        <f ca="1">IFERROR(AVERAGEIF(OFFSET(Table1[[#This Row],[Status]],0,COUNT(Table1[[#This Row],[2019-May]:[2025-July]]),1,-12),"&lt;&gt;0"),0)</f>
        <v>1.51</v>
      </c>
      <c r="H1301" s="55">
        <f>IFERROR(SMALL(Table1[[#This Row],[2019-Apr]:[2025-July]],COUNTIF(Table1[[#This Row],[2019-Apr]:[2025-July]],0)+1),0)</f>
        <v>1</v>
      </c>
      <c r="I1301" s="56">
        <f>IFERROR(MAX(Table1[[#This Row],[2019-Apr]:[2025-July]]),0)</f>
        <v>2.06</v>
      </c>
      <c r="J1301" s="4" cm="1">
        <f t="array" ref="J130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</v>
      </c>
      <c r="K1301" s="4">
        <v>4.5</v>
      </c>
      <c r="L1301" s="4">
        <f>IF(Table1[[#This Row],[Standard as per ISO]]&gt;=Table1[[#This Row],[Avg of best 6]],Table1[[#This Row],[Standard as per ISO]],Table1[[#This Row],[Avg of best 6]])</f>
        <v>4.5</v>
      </c>
      <c r="M1301" s="4" cm="1">
        <f t="array" ref="M1301">IFERROR(LOOKUP(2,1/(Table1[[#This Row],[2019-May]:[2025-July]]&lt;&gt;0),Table1[[#This Row],[2019-May]:[2025-July]]),0)</f>
        <v>2</v>
      </c>
      <c r="N1301" s="4">
        <f>COUNTIF(Table1[[#This Row],[2019-Apr]:[2025-July]],"&gt;="&amp;Table1[[#This Row],[Target]])</f>
        <v>0</v>
      </c>
      <c r="O1301" s="4">
        <f>IF(Table1[[#This Row],[Outliers 2Y]]=0,1,0)</f>
        <v>1</v>
      </c>
      <c r="P1301" s="4">
        <f>IF(Table1[[#This Row],[Last value]]&gt;1.5*Table1[[#This Row],[Target]],1,0)</f>
        <v>0</v>
      </c>
      <c r="Q1301" s="4">
        <f>IF(AND(1.5*Table1[[#This Row],[Target]]&gt;=Table1[[#This Row],[Last value]],Table1[[#This Row],[Last value]]&gt;Table1[[#This Row],[Target]]),1,0)</f>
        <v>0</v>
      </c>
      <c r="R1301" s="4">
        <f>IF(Table1[[#This Row],[Target]]&gt;=Table1[[#This Row],[Last value]],1,0)</f>
        <v>1</v>
      </c>
      <c r="S1301" s="4" t="str">
        <f t="shared" si="32"/>
        <v>Green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1.42</v>
      </c>
      <c r="CF1301" s="4">
        <v>0</v>
      </c>
      <c r="CG1301" s="4">
        <v>1.22</v>
      </c>
      <c r="CH1301" s="4">
        <v>1.76</v>
      </c>
      <c r="CI1301" s="4">
        <v>0</v>
      </c>
      <c r="CJ1301" s="34">
        <v>1.6</v>
      </c>
      <c r="CK1301" s="34">
        <v>1</v>
      </c>
      <c r="CL1301" s="43">
        <v>0</v>
      </c>
      <c r="CM1301" s="4">
        <v>0</v>
      </c>
      <c r="CN1301" s="53">
        <v>0</v>
      </c>
      <c r="CO1301" s="54">
        <v>0</v>
      </c>
      <c r="CP1301" s="54">
        <v>2.06</v>
      </c>
      <c r="CQ1301" s="4">
        <v>2</v>
      </c>
    </row>
    <row r="1302" spans="1:95" x14ac:dyDescent="0.35">
      <c r="A1302" s="55">
        <v>1301</v>
      </c>
      <c r="B1302" s="23" t="s">
        <v>126</v>
      </c>
      <c r="C1302" s="27" t="s">
        <v>1293</v>
      </c>
      <c r="D1302" s="3" t="s">
        <v>88</v>
      </c>
      <c r="E1302" s="27" t="s">
        <v>90</v>
      </c>
      <c r="F1302" s="4">
        <f>IFERROR(AVERAGEIF(Table1[[#This Row],[2019-Apr]:[2025-July]],"&lt;&gt;0"),0)</f>
        <v>1.5549999999999999</v>
      </c>
      <c r="G1302" s="4">
        <f ca="1">IFERROR(AVERAGEIF(OFFSET(Table1[[#This Row],[Status]],0,COUNT(Table1[[#This Row],[2019-May]:[2025-July]]),1,-12),"&lt;&gt;0"),0)</f>
        <v>1.5549999999999999</v>
      </c>
      <c r="H1302" s="55">
        <f>IFERROR(SMALL(Table1[[#This Row],[2019-Apr]:[2025-July]],COUNTIF(Table1[[#This Row],[2019-Apr]:[2025-July]],0)+1),0)</f>
        <v>1.1000000000000001</v>
      </c>
      <c r="I1302" s="56">
        <f>IFERROR(MAX(Table1[[#This Row],[2019-Apr]:[2025-July]]),0)</f>
        <v>2.4</v>
      </c>
      <c r="J1302" s="4" cm="1">
        <f t="array" ref="J130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1.5549999999999999</v>
      </c>
      <c r="K1302" s="4">
        <v>4.5</v>
      </c>
      <c r="L1302" s="4">
        <f>IF(Table1[[#This Row],[Standard as per ISO]]&gt;=Table1[[#This Row],[Avg of best 6]],Table1[[#This Row],[Standard as per ISO]],Table1[[#This Row],[Avg of best 6]])</f>
        <v>4.5</v>
      </c>
      <c r="M1302" s="4" cm="1">
        <f t="array" ref="M1302">IFERROR(LOOKUP(2,1/(Table1[[#This Row],[2019-May]:[2025-July]]&lt;&gt;0),Table1[[#This Row],[2019-May]:[2025-July]]),0)</f>
        <v>1.2</v>
      </c>
      <c r="N1302" s="4">
        <f>COUNTIF(Table1[[#This Row],[2019-Apr]:[2025-July]],"&gt;="&amp;Table1[[#This Row],[Target]])</f>
        <v>0</v>
      </c>
      <c r="O1302" s="4">
        <f>IF(Table1[[#This Row],[Outliers 2Y]]=0,1,0)</f>
        <v>1</v>
      </c>
      <c r="P1302" s="4">
        <f>IF(Table1[[#This Row],[Last value]]&gt;1.5*Table1[[#This Row],[Target]],1,0)</f>
        <v>0</v>
      </c>
      <c r="Q1302" s="4">
        <f>IF(AND(1.5*Table1[[#This Row],[Target]]&gt;=Table1[[#This Row],[Last value]],Table1[[#This Row],[Last value]]&gt;Table1[[#This Row],[Target]]),1,0)</f>
        <v>0</v>
      </c>
      <c r="R1302" s="4">
        <f>IF(Table1[[#This Row],[Target]]&gt;=Table1[[#This Row],[Last value]],1,0)</f>
        <v>1</v>
      </c>
      <c r="S1302" s="4" t="str">
        <f t="shared" si="32"/>
        <v>Green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2.4</v>
      </c>
      <c r="CF1302" s="4">
        <v>0</v>
      </c>
      <c r="CG1302" s="4">
        <v>1.73</v>
      </c>
      <c r="CH1302" s="4">
        <v>0</v>
      </c>
      <c r="CI1302" s="4">
        <v>0</v>
      </c>
      <c r="CJ1302" s="34">
        <v>0</v>
      </c>
      <c r="CK1302" s="38">
        <v>0</v>
      </c>
      <c r="CL1302" s="43">
        <v>1.1000000000000001</v>
      </c>
      <c r="CM1302" s="4">
        <v>1.2</v>
      </c>
      <c r="CN1302" s="53">
        <v>1.7</v>
      </c>
      <c r="CO1302" s="52">
        <v>1.2</v>
      </c>
      <c r="CP1302" s="54">
        <v>0</v>
      </c>
      <c r="CQ1302" s="4">
        <v>0</v>
      </c>
    </row>
    <row r="1303" spans="1:95" x14ac:dyDescent="0.35">
      <c r="A1303" s="55">
        <v>1302</v>
      </c>
      <c r="B1303" s="23" t="s">
        <v>126</v>
      </c>
      <c r="C1303" s="27" t="s">
        <v>1294</v>
      </c>
      <c r="D1303" s="3" t="s">
        <v>88</v>
      </c>
      <c r="E1303" s="27" t="s">
        <v>90</v>
      </c>
      <c r="F1303" s="4">
        <f>IFERROR(AVERAGEIF(Table1[[#This Row],[2019-Apr]:[2025-July]],"&lt;&gt;0"),0)</f>
        <v>1.6540000000000004</v>
      </c>
      <c r="G1303" s="4">
        <f ca="1">IFERROR(AVERAGEIF(OFFSET(Table1[[#This Row],[Status]],0,COUNT(Table1[[#This Row],[2019-May]:[2025-July]]),1,-12),"&lt;&gt;0"),0)</f>
        <v>1.6933333333333336</v>
      </c>
      <c r="H1303" s="55">
        <f>IFERROR(SMALL(Table1[[#This Row],[2019-Apr]:[2025-July]],COUNTIF(Table1[[#This Row],[2019-Apr]:[2025-July]],0)+1),0)</f>
        <v>0.67</v>
      </c>
      <c r="I1303" s="56">
        <f>IFERROR(MAX(Table1[[#This Row],[2019-Apr]:[2025-July]]),0)</f>
        <v>2.4</v>
      </c>
      <c r="J1303" s="4" cm="1">
        <f t="array" ref="J130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1.3066666666666666</v>
      </c>
      <c r="K1303" s="4">
        <v>4.5</v>
      </c>
      <c r="L1303" s="4">
        <f>IF(Table1[[#This Row],[Standard as per ISO]]&gt;=Table1[[#This Row],[Avg of best 6]],Table1[[#This Row],[Standard as per ISO]],Table1[[#This Row],[Avg of best 6]])</f>
        <v>4.5</v>
      </c>
      <c r="M1303" s="4" cm="1">
        <f t="array" ref="M1303">IFERROR(LOOKUP(2,1/(Table1[[#This Row],[2019-May]:[2025-July]]&lt;&gt;0),Table1[[#This Row],[2019-May]:[2025-July]]),0)</f>
        <v>1.3</v>
      </c>
      <c r="N1303" s="4">
        <f>COUNTIF(Table1[[#This Row],[2019-Apr]:[2025-July]],"&gt;="&amp;Table1[[#This Row],[Target]])</f>
        <v>0</v>
      </c>
      <c r="O1303" s="4">
        <f>IF(Table1[[#This Row],[Outliers 2Y]]=0,1,0)</f>
        <v>1</v>
      </c>
      <c r="P1303" s="4">
        <f>IF(Table1[[#This Row],[Last value]]&gt;1.5*Table1[[#This Row],[Target]],1,0)</f>
        <v>0</v>
      </c>
      <c r="Q1303" s="4">
        <f>IF(AND(1.5*Table1[[#This Row],[Target]]&gt;=Table1[[#This Row],[Last value]],Table1[[#This Row],[Last value]]&gt;Table1[[#This Row],[Target]]),1,0)</f>
        <v>0</v>
      </c>
      <c r="R1303" s="4">
        <f>IF(Table1[[#This Row],[Target]]&gt;=Table1[[#This Row],[Last value]],1,0)</f>
        <v>1</v>
      </c>
      <c r="S1303" s="4" t="str">
        <f t="shared" si="32"/>
        <v>Green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0.67</v>
      </c>
      <c r="CH1303" s="4">
        <v>1.29</v>
      </c>
      <c r="CI1303" s="4">
        <v>0</v>
      </c>
      <c r="CJ1303" s="34">
        <v>1.3</v>
      </c>
      <c r="CK1303" s="34">
        <v>2.4</v>
      </c>
      <c r="CL1303" s="43">
        <v>2.2000000000000002</v>
      </c>
      <c r="CM1303" s="4">
        <v>1.7</v>
      </c>
      <c r="CN1303" s="50">
        <v>2.2000000000000002</v>
      </c>
      <c r="CO1303" s="52">
        <v>1.9</v>
      </c>
      <c r="CP1303" s="52">
        <v>1.58</v>
      </c>
      <c r="CQ1303" s="4">
        <v>1.3</v>
      </c>
    </row>
    <row r="1304" spans="1:95" x14ac:dyDescent="0.35">
      <c r="A1304" s="55">
        <v>1303</v>
      </c>
      <c r="B1304" s="23" t="s">
        <v>126</v>
      </c>
      <c r="C1304" s="27" t="s">
        <v>1295</v>
      </c>
      <c r="D1304" s="3" t="s">
        <v>88</v>
      </c>
      <c r="E1304" s="27" t="s">
        <v>90</v>
      </c>
      <c r="F1304" s="4">
        <f>IFERROR(AVERAGEIF(Table1[[#This Row],[2019-Apr]:[2025-July]],"&lt;&gt;0"),0)</f>
        <v>2.4108333333333332</v>
      </c>
      <c r="G1304" s="4">
        <f ca="1">IFERROR(AVERAGEIF(OFFSET(Table1[[#This Row],[Status]],0,COUNT(Table1[[#This Row],[2019-May]:[2025-July]]),1,-12),"&lt;&gt;0"),0)</f>
        <v>2.4572727272727275</v>
      </c>
      <c r="H1304" s="55">
        <f>IFERROR(SMALL(Table1[[#This Row],[2019-Apr]:[2025-July]],COUNTIF(Table1[[#This Row],[2019-Apr]:[2025-July]],0)+1),0)</f>
        <v>1.6</v>
      </c>
      <c r="I1304" s="56">
        <f>IFERROR(MAX(Table1[[#This Row],[2019-Apr]:[2025-July]]),0)</f>
        <v>3.55</v>
      </c>
      <c r="J1304" s="4" cm="1">
        <f t="array" ref="J130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2.0133333333333332</v>
      </c>
      <c r="K1304" s="4">
        <v>4.5</v>
      </c>
      <c r="L1304" s="4">
        <f>IF(Table1[[#This Row],[Standard as per ISO]]&gt;=Table1[[#This Row],[Avg of best 6]],Table1[[#This Row],[Standard as per ISO]],Table1[[#This Row],[Avg of best 6]])</f>
        <v>4.5</v>
      </c>
      <c r="M1304" s="4" cm="1">
        <f t="array" ref="M1304">IFERROR(LOOKUP(2,1/(Table1[[#This Row],[2019-May]:[2025-July]]&lt;&gt;0),Table1[[#This Row],[2019-May]:[2025-July]]),0)</f>
        <v>1.9</v>
      </c>
      <c r="N1304" s="4">
        <f>COUNTIF(Table1[[#This Row],[2019-Apr]:[2025-July]],"&gt;="&amp;Table1[[#This Row],[Target]])</f>
        <v>0</v>
      </c>
      <c r="O1304" s="4">
        <f>IF(Table1[[#This Row],[Outliers 2Y]]=0,1,0)</f>
        <v>1</v>
      </c>
      <c r="P1304" s="4">
        <f>IF(Table1[[#This Row],[Last value]]&gt;1.5*Table1[[#This Row],[Target]],1,0)</f>
        <v>0</v>
      </c>
      <c r="Q1304" s="4">
        <f>IF(AND(1.5*Table1[[#This Row],[Target]]&gt;=Table1[[#This Row],[Last value]],Table1[[#This Row],[Last value]]&gt;Table1[[#This Row],[Target]]),1,0)</f>
        <v>0</v>
      </c>
      <c r="R1304" s="4">
        <f>IF(Table1[[#This Row],[Target]]&gt;=Table1[[#This Row],[Last value]],1,0)</f>
        <v>1</v>
      </c>
      <c r="S1304" s="4" t="str">
        <f t="shared" si="32"/>
        <v>Green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2.4900000000000002</v>
      </c>
      <c r="CF1304" s="4">
        <v>2.66</v>
      </c>
      <c r="CG1304" s="4">
        <v>3.55</v>
      </c>
      <c r="CH1304" s="4">
        <v>3.25</v>
      </c>
      <c r="CI1304" s="4">
        <v>2.12</v>
      </c>
      <c r="CJ1304" s="34">
        <v>0</v>
      </c>
      <c r="CK1304" s="34">
        <v>2.5</v>
      </c>
      <c r="CL1304" s="43">
        <v>1.6</v>
      </c>
      <c r="CM1304" s="4">
        <v>2.2999999999999998</v>
      </c>
      <c r="CN1304" s="50">
        <v>2.4</v>
      </c>
      <c r="CO1304" s="52">
        <v>2.2999999999999998</v>
      </c>
      <c r="CP1304" s="52">
        <v>1.86</v>
      </c>
      <c r="CQ1304" s="4">
        <v>1.9</v>
      </c>
    </row>
    <row r="1305" spans="1:95" x14ac:dyDescent="0.35">
      <c r="A1305" s="55">
        <v>1304</v>
      </c>
      <c r="B1305" s="23" t="s">
        <v>126</v>
      </c>
      <c r="C1305" s="27" t="s">
        <v>1296</v>
      </c>
      <c r="D1305" s="3" t="s">
        <v>88</v>
      </c>
      <c r="E1305" s="27" t="s">
        <v>90</v>
      </c>
      <c r="F1305" s="4">
        <f>IFERROR(AVERAGEIF(Table1[[#This Row],[2019-Apr]:[2025-July]],"&lt;&gt;0"),0)</f>
        <v>1.5630000000000002</v>
      </c>
      <c r="G1305" s="4">
        <f ca="1">IFERROR(AVERAGEIF(OFFSET(Table1[[#This Row],[Status]],0,COUNT(Table1[[#This Row],[2019-May]:[2025-July]]),1,-12),"&lt;&gt;0"),0)</f>
        <v>1.5922222222222222</v>
      </c>
      <c r="H1305" s="55">
        <f>IFERROR(SMALL(Table1[[#This Row],[2019-Apr]:[2025-July]],COUNTIF(Table1[[#This Row],[2019-Apr]:[2025-July]],0)+1),0)</f>
        <v>0.96</v>
      </c>
      <c r="I1305" s="56">
        <f>IFERROR(MAX(Table1[[#This Row],[2019-Apr]:[2025-July]]),0)</f>
        <v>1.9</v>
      </c>
      <c r="J1305" s="4" cm="1">
        <f t="array" ref="J130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1.3766666666666667</v>
      </c>
      <c r="K1305" s="4">
        <v>4.5</v>
      </c>
      <c r="L1305" s="4">
        <f>IF(Table1[[#This Row],[Standard as per ISO]]&gt;=Table1[[#This Row],[Avg of best 6]],Table1[[#This Row],[Standard as per ISO]],Table1[[#This Row],[Avg of best 6]])</f>
        <v>4.5</v>
      </c>
      <c r="M1305" s="4" cm="1">
        <f t="array" ref="M1305">IFERROR(LOOKUP(2,1/(Table1[[#This Row],[2019-May]:[2025-July]]&lt;&gt;0),Table1[[#This Row],[2019-May]:[2025-July]]),0)</f>
        <v>1.3</v>
      </c>
      <c r="N1305" s="4">
        <f>COUNTIF(Table1[[#This Row],[2019-Apr]:[2025-July]],"&gt;="&amp;Table1[[#This Row],[Target]])</f>
        <v>0</v>
      </c>
      <c r="O1305" s="4">
        <f>IF(Table1[[#This Row],[Outliers 2Y]]=0,1,0)</f>
        <v>1</v>
      </c>
      <c r="P1305" s="4">
        <f>IF(Table1[[#This Row],[Last value]]&gt;1.5*Table1[[#This Row],[Target]],1,0)</f>
        <v>0</v>
      </c>
      <c r="Q1305" s="4">
        <f>IF(AND(1.5*Table1[[#This Row],[Target]]&gt;=Table1[[#This Row],[Last value]],Table1[[#This Row],[Last value]]&gt;Table1[[#This Row],[Target]]),1,0)</f>
        <v>0</v>
      </c>
      <c r="R1305" s="4">
        <f>IF(Table1[[#This Row],[Target]]&gt;=Table1[[#This Row],[Last value]],1,0)</f>
        <v>1</v>
      </c>
      <c r="S1305" s="4" t="str">
        <f t="shared" si="32"/>
        <v>Green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0.96</v>
      </c>
      <c r="CH1305" s="4">
        <v>1.72</v>
      </c>
      <c r="CI1305" s="4">
        <v>0</v>
      </c>
      <c r="CJ1305" s="34">
        <v>1.5</v>
      </c>
      <c r="CK1305" s="34">
        <v>1.4</v>
      </c>
      <c r="CL1305" s="43">
        <v>1.9</v>
      </c>
      <c r="CM1305" s="4">
        <v>1.9</v>
      </c>
      <c r="CN1305" s="50">
        <v>1.5</v>
      </c>
      <c r="CO1305" s="52">
        <v>1.6</v>
      </c>
      <c r="CP1305" s="52">
        <v>1.85</v>
      </c>
      <c r="CQ1305" s="4">
        <v>1.3</v>
      </c>
    </row>
    <row r="1306" spans="1:95" x14ac:dyDescent="0.35">
      <c r="A1306" s="55">
        <v>1305</v>
      </c>
      <c r="B1306" s="23" t="s">
        <v>126</v>
      </c>
      <c r="C1306" s="27" t="s">
        <v>1297</v>
      </c>
      <c r="D1306" s="3" t="s">
        <v>88</v>
      </c>
      <c r="E1306" s="27" t="s">
        <v>90</v>
      </c>
      <c r="F1306" s="4">
        <f>IFERROR(AVERAGEIF(Table1[[#This Row],[2019-Apr]:[2025-July]],"&lt;&gt;0"),0)</f>
        <v>2.0570000000000004</v>
      </c>
      <c r="G1306" s="4">
        <f ca="1">IFERROR(AVERAGEIF(OFFSET(Table1[[#This Row],[Status]],0,COUNT(Table1[[#This Row],[2019-May]:[2025-July]]),1,-12),"&lt;&gt;0"),0)</f>
        <v>2.0300000000000002</v>
      </c>
      <c r="H1306" s="55">
        <f>IFERROR(SMALL(Table1[[#This Row],[2019-Apr]:[2025-July]],COUNTIF(Table1[[#This Row],[2019-Apr]:[2025-July]],0)+1),0)</f>
        <v>1.37</v>
      </c>
      <c r="I1306" s="56">
        <f>IFERROR(MAX(Table1[[#This Row],[2019-Apr]:[2025-July]]),0)</f>
        <v>3.2</v>
      </c>
      <c r="J1306" s="4" cm="1">
        <f t="array" ref="J130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1.7616666666666667</v>
      </c>
      <c r="K1306" s="4">
        <v>4.5</v>
      </c>
      <c r="L1306" s="4">
        <f>IF(Table1[[#This Row],[Standard as per ISO]]&gt;=Table1[[#This Row],[Avg of best 6]],Table1[[#This Row],[Standard as per ISO]],Table1[[#This Row],[Avg of best 6]])</f>
        <v>4.5</v>
      </c>
      <c r="M1306" s="4" cm="1">
        <f t="array" ref="M1306">IFERROR(LOOKUP(2,1/(Table1[[#This Row],[2019-May]:[2025-July]]&lt;&gt;0),Table1[[#This Row],[2019-May]:[2025-July]]),0)</f>
        <v>2.2999999999999998</v>
      </c>
      <c r="N1306" s="4">
        <f>COUNTIF(Table1[[#This Row],[2019-Apr]:[2025-July]],"&gt;="&amp;Table1[[#This Row],[Target]])</f>
        <v>0</v>
      </c>
      <c r="O1306" s="4">
        <f>IF(Table1[[#This Row],[Outliers 2Y]]=0,1,0)</f>
        <v>1</v>
      </c>
      <c r="P1306" s="4">
        <f>IF(Table1[[#This Row],[Last value]]&gt;1.5*Table1[[#This Row],[Target]],1,0)</f>
        <v>0</v>
      </c>
      <c r="Q1306" s="4">
        <f>IF(AND(1.5*Table1[[#This Row],[Target]]&gt;=Table1[[#This Row],[Last value]],Table1[[#This Row],[Last value]]&gt;Table1[[#This Row],[Target]]),1,0)</f>
        <v>0</v>
      </c>
      <c r="R1306" s="4">
        <f>IF(Table1[[#This Row],[Target]]&gt;=Table1[[#This Row],[Last value]],1,0)</f>
        <v>1</v>
      </c>
      <c r="S1306" s="4" t="str">
        <f t="shared" si="32"/>
        <v>Green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1.37</v>
      </c>
      <c r="CH1306" s="4">
        <v>1.77</v>
      </c>
      <c r="CI1306" s="4">
        <v>0</v>
      </c>
      <c r="CJ1306" s="34">
        <v>1.9</v>
      </c>
      <c r="CK1306" s="34">
        <v>2.2000000000000002</v>
      </c>
      <c r="CL1306" s="43">
        <v>3.2</v>
      </c>
      <c r="CM1306" s="4">
        <v>2</v>
      </c>
      <c r="CN1306" s="50">
        <v>2.2999999999999998</v>
      </c>
      <c r="CO1306" s="52">
        <v>1.7</v>
      </c>
      <c r="CP1306" s="52">
        <v>1.83</v>
      </c>
      <c r="CQ1306" s="4">
        <v>2.2999999999999998</v>
      </c>
    </row>
    <row r="1307" spans="1:95" x14ac:dyDescent="0.35">
      <c r="A1307" s="55">
        <v>1306</v>
      </c>
      <c r="B1307" s="23" t="s">
        <v>126</v>
      </c>
      <c r="C1307" s="27" t="s">
        <v>1298</v>
      </c>
      <c r="D1307" s="3" t="s">
        <v>88</v>
      </c>
      <c r="E1307" s="27" t="s">
        <v>91</v>
      </c>
      <c r="F1307" s="4">
        <f>IFERROR(AVERAGEIF(Table1[[#This Row],[2019-Apr]:[2025-July]],"&lt;&gt;0"),0)</f>
        <v>0.85</v>
      </c>
      <c r="G1307" s="4">
        <f ca="1">IFERROR(AVERAGEIF(OFFSET(Table1[[#This Row],[Status]],0,COUNT(Table1[[#This Row],[2019-May]:[2025-July]]),1,-12),"&lt;&gt;0"),0)</f>
        <v>0.85</v>
      </c>
      <c r="H1307" s="55">
        <f>IFERROR(SMALL(Table1[[#This Row],[2019-Apr]:[2025-July]],COUNTIF(Table1[[#This Row],[2019-Apr]:[2025-July]],0)+1),0)</f>
        <v>0.85</v>
      </c>
      <c r="I1307" s="56">
        <f>IFERROR(MAX(Table1[[#This Row],[2019-Apr]:[2025-July]]),0)</f>
        <v>0.85</v>
      </c>
      <c r="J1307" s="4" cm="1">
        <f t="array" ref="J130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0.85</v>
      </c>
      <c r="K1307" s="4">
        <v>4.5</v>
      </c>
      <c r="L1307" s="4">
        <f>IF(Table1[[#This Row],[Standard as per ISO]]&gt;=Table1[[#This Row],[Avg of best 6]],Table1[[#This Row],[Standard as per ISO]],Table1[[#This Row],[Avg of best 6]])</f>
        <v>4.5</v>
      </c>
      <c r="M1307" s="4" cm="1">
        <f t="array" ref="M1307">IFERROR(LOOKUP(2,1/(Table1[[#This Row],[2019-May]:[2025-July]]&lt;&gt;0),Table1[[#This Row],[2019-May]:[2025-July]]),0)</f>
        <v>0.85</v>
      </c>
      <c r="N1307" s="4">
        <f>COUNTIF(Table1[[#This Row],[2019-Apr]:[2025-July]],"&gt;="&amp;Table1[[#This Row],[Target]])</f>
        <v>0</v>
      </c>
      <c r="O1307" s="4">
        <f>IF(Table1[[#This Row],[Outliers 2Y]]=0,1,0)</f>
        <v>1</v>
      </c>
      <c r="P1307" s="4">
        <f>IF(Table1[[#This Row],[Last value]]&gt;1.5*Table1[[#This Row],[Target]],1,0)</f>
        <v>0</v>
      </c>
      <c r="Q1307" s="4">
        <f>IF(AND(1.5*Table1[[#This Row],[Target]]&gt;=Table1[[#This Row],[Last value]],Table1[[#This Row],[Last value]]&gt;Table1[[#This Row],[Target]]),1,0)</f>
        <v>0</v>
      </c>
      <c r="R1307" s="4">
        <f>IF(Table1[[#This Row],[Target]]&gt;=Table1[[#This Row],[Last value]],1,0)</f>
        <v>1</v>
      </c>
      <c r="S1307" s="4" t="str">
        <f t="shared" si="32"/>
        <v>Green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0.85</v>
      </c>
      <c r="CI1307" s="4">
        <v>0</v>
      </c>
      <c r="CJ1307" s="34">
        <v>0</v>
      </c>
      <c r="CK1307" s="38">
        <v>0</v>
      </c>
      <c r="CL1307" s="34">
        <v>0</v>
      </c>
      <c r="CM1307" s="4">
        <v>0</v>
      </c>
      <c r="CN1307" s="53">
        <v>0</v>
      </c>
      <c r="CO1307" s="54">
        <v>0</v>
      </c>
      <c r="CP1307" s="54">
        <v>0</v>
      </c>
      <c r="CQ1307" s="4">
        <v>0</v>
      </c>
    </row>
    <row r="1308" spans="1:95" x14ac:dyDescent="0.35">
      <c r="A1308" s="55">
        <v>1307</v>
      </c>
      <c r="B1308" s="23" t="s">
        <v>126</v>
      </c>
      <c r="C1308" s="27" t="s">
        <v>1299</v>
      </c>
      <c r="D1308" s="3" t="s">
        <v>88</v>
      </c>
      <c r="E1308" s="27" t="s">
        <v>91</v>
      </c>
      <c r="F1308" s="4">
        <f>IFERROR(AVERAGEIF(Table1[[#This Row],[2019-Apr]:[2025-July]],"&lt;&gt;0"),0)</f>
        <v>0</v>
      </c>
      <c r="G1308" s="4">
        <f ca="1">IFERROR(AVERAGEIF(OFFSET(Table1[[#This Row],[Status]],0,COUNT(Table1[[#This Row],[2019-May]:[2025-July]]),1,-12),"&lt;&gt;0"),0)</f>
        <v>0</v>
      </c>
      <c r="H1308" s="55">
        <f>IFERROR(SMALL(Table1[[#This Row],[2019-Apr]:[2025-July]],COUNTIF(Table1[[#This Row],[2019-Apr]:[2025-July]],0)+1),0)</f>
        <v>0</v>
      </c>
      <c r="I1308" s="56">
        <f>IFERROR(MAX(Table1[[#This Row],[2019-Apr]:[2025-July]]),0)</f>
        <v>0</v>
      </c>
      <c r="J1308" s="4" cm="1">
        <f t="array" ref="J130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308" s="4">
        <v>4.5</v>
      </c>
      <c r="L1308" s="4">
        <f>IF(Table1[[#This Row],[Standard as per ISO]]&gt;=Table1[[#This Row],[Avg of best 6]],Table1[[#This Row],[Standard as per ISO]],Table1[[#This Row],[Avg of best 6]])</f>
        <v>4.5</v>
      </c>
      <c r="M1308" s="4" cm="1">
        <f t="array" ref="M1308">IFERROR(LOOKUP(2,1/(Table1[[#This Row],[2019-May]:[2025-July]]&lt;&gt;0),Table1[[#This Row],[2019-May]:[2025-July]]),0)</f>
        <v>0</v>
      </c>
      <c r="N1308" s="4">
        <f>COUNTIF(Table1[[#This Row],[2019-Apr]:[2025-July]],"&gt;="&amp;Table1[[#This Row],[Target]])</f>
        <v>0</v>
      </c>
      <c r="O1308" s="4">
        <f>IF(Table1[[#This Row],[Outliers 2Y]]=0,1,0)</f>
        <v>1</v>
      </c>
      <c r="P1308" s="4">
        <f>IF(Table1[[#This Row],[Last value]]&gt;1.5*Table1[[#This Row],[Target]],1,0)</f>
        <v>0</v>
      </c>
      <c r="Q1308" s="4">
        <f>IF(AND(1.5*Table1[[#This Row],[Target]]&gt;=Table1[[#This Row],[Last value]],Table1[[#This Row],[Last value]]&gt;Table1[[#This Row],[Target]]),1,0)</f>
        <v>0</v>
      </c>
      <c r="R1308" s="4">
        <f>IF(Table1[[#This Row],[Target]]&gt;=Table1[[#This Row],[Last value]],1,0)</f>
        <v>1</v>
      </c>
      <c r="S1308" s="4" t="str">
        <f t="shared" si="32"/>
        <v>Green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34">
        <v>0</v>
      </c>
      <c r="CK1308" s="38">
        <v>0</v>
      </c>
      <c r="CL1308" s="34">
        <v>0</v>
      </c>
      <c r="CM1308" s="4">
        <v>0</v>
      </c>
      <c r="CN1308" s="53">
        <v>0</v>
      </c>
      <c r="CO1308" s="54">
        <v>0</v>
      </c>
      <c r="CP1308" s="54">
        <v>0</v>
      </c>
      <c r="CQ1308" s="4">
        <v>0</v>
      </c>
    </row>
    <row r="1309" spans="1:95" x14ac:dyDescent="0.35">
      <c r="A1309" s="55">
        <v>1308</v>
      </c>
      <c r="B1309" s="23" t="s">
        <v>126</v>
      </c>
      <c r="C1309" s="27" t="s">
        <v>1300</v>
      </c>
      <c r="D1309" s="3" t="s">
        <v>88</v>
      </c>
      <c r="E1309" s="27" t="s">
        <v>91</v>
      </c>
      <c r="F1309" s="4">
        <f>IFERROR(AVERAGEIF(Table1[[#This Row],[2019-Apr]:[2025-July]],"&lt;&gt;0"),0)</f>
        <v>0.38</v>
      </c>
      <c r="G1309" s="4">
        <f ca="1">IFERROR(AVERAGEIF(OFFSET(Table1[[#This Row],[Status]],0,COUNT(Table1[[#This Row],[2019-May]:[2025-July]]),1,-12),"&lt;&gt;0"),0)</f>
        <v>0.38</v>
      </c>
      <c r="H1309" s="55">
        <f>IFERROR(SMALL(Table1[[#This Row],[2019-Apr]:[2025-July]],COUNTIF(Table1[[#This Row],[2019-Apr]:[2025-July]],0)+1),0)</f>
        <v>0.38</v>
      </c>
      <c r="I1309" s="56">
        <f>IFERROR(MAX(Table1[[#This Row],[2019-Apr]:[2025-July]]),0)</f>
        <v>0.38</v>
      </c>
      <c r="J1309" s="4" cm="1">
        <f t="array" ref="J130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0.38</v>
      </c>
      <c r="K1309" s="4">
        <v>4.5</v>
      </c>
      <c r="L1309" s="4">
        <f>IF(Table1[[#This Row],[Standard as per ISO]]&gt;=Table1[[#This Row],[Avg of best 6]],Table1[[#This Row],[Standard as per ISO]],Table1[[#This Row],[Avg of best 6]])</f>
        <v>4.5</v>
      </c>
      <c r="M1309" s="4" cm="1">
        <f t="array" ref="M1309">IFERROR(LOOKUP(2,1/(Table1[[#This Row],[2019-May]:[2025-July]]&lt;&gt;0),Table1[[#This Row],[2019-May]:[2025-July]]),0)</f>
        <v>0.38</v>
      </c>
      <c r="N1309" s="4">
        <f>COUNTIF(Table1[[#This Row],[2019-Apr]:[2025-July]],"&gt;="&amp;Table1[[#This Row],[Target]])</f>
        <v>0</v>
      </c>
      <c r="O1309" s="4">
        <f>IF(Table1[[#This Row],[Outliers 2Y]]=0,1,0)</f>
        <v>1</v>
      </c>
      <c r="P1309" s="4">
        <f>IF(Table1[[#This Row],[Last value]]&gt;1.5*Table1[[#This Row],[Target]],1,0)</f>
        <v>0</v>
      </c>
      <c r="Q1309" s="4">
        <f>IF(AND(1.5*Table1[[#This Row],[Target]]&gt;=Table1[[#This Row],[Last value]],Table1[[#This Row],[Last value]]&gt;Table1[[#This Row],[Target]]),1,0)</f>
        <v>0</v>
      </c>
      <c r="R1309" s="4">
        <f>IF(Table1[[#This Row],[Target]]&gt;=Table1[[#This Row],[Last value]],1,0)</f>
        <v>1</v>
      </c>
      <c r="S1309" s="4" t="str">
        <f t="shared" si="32"/>
        <v>Green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0.38</v>
      </c>
      <c r="CI1309" s="4">
        <v>0</v>
      </c>
      <c r="CJ1309" s="34">
        <v>0</v>
      </c>
      <c r="CK1309" s="38">
        <v>0</v>
      </c>
      <c r="CL1309" s="34">
        <v>0</v>
      </c>
      <c r="CM1309" s="4">
        <v>0</v>
      </c>
      <c r="CN1309" s="53">
        <v>0</v>
      </c>
      <c r="CO1309" s="54">
        <v>0</v>
      </c>
      <c r="CP1309" s="54">
        <v>0</v>
      </c>
      <c r="CQ1309" s="4">
        <v>0</v>
      </c>
    </row>
    <row r="1310" spans="1:95" x14ac:dyDescent="0.35">
      <c r="A1310" s="55">
        <v>1309</v>
      </c>
      <c r="B1310" s="23" t="s">
        <v>126</v>
      </c>
      <c r="C1310" s="27" t="s">
        <v>1301</v>
      </c>
      <c r="D1310" s="3" t="s">
        <v>88</v>
      </c>
      <c r="E1310" s="27" t="s">
        <v>91</v>
      </c>
      <c r="F1310" s="4">
        <f>IFERROR(AVERAGEIF(Table1[[#This Row],[2019-Apr]:[2025-July]],"&lt;&gt;0"),0)</f>
        <v>0</v>
      </c>
      <c r="G1310" s="4">
        <f ca="1">IFERROR(AVERAGEIF(OFFSET(Table1[[#This Row],[Status]],0,COUNT(Table1[[#This Row],[2019-May]:[2025-July]]),1,-12),"&lt;&gt;0"),0)</f>
        <v>0</v>
      </c>
      <c r="H1310" s="55">
        <f>IFERROR(SMALL(Table1[[#This Row],[2019-Apr]:[2025-July]],COUNTIF(Table1[[#This Row],[2019-Apr]:[2025-July]],0)+1),0)</f>
        <v>0</v>
      </c>
      <c r="I1310" s="56">
        <f>IFERROR(MAX(Table1[[#This Row],[2019-Apr]:[2025-July]]),0)</f>
        <v>0</v>
      </c>
      <c r="J1310" s="4" cm="1">
        <f t="array" ref="J131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310" s="4">
        <v>4.5</v>
      </c>
      <c r="L1310" s="4">
        <f>IF(Table1[[#This Row],[Standard as per ISO]]&gt;=Table1[[#This Row],[Avg of best 6]],Table1[[#This Row],[Standard as per ISO]],Table1[[#This Row],[Avg of best 6]])</f>
        <v>4.5</v>
      </c>
      <c r="M1310" s="4" cm="1">
        <f t="array" ref="M1310">IFERROR(LOOKUP(2,1/(Table1[[#This Row],[2019-May]:[2025-July]]&lt;&gt;0),Table1[[#This Row],[2019-May]:[2025-July]]),0)</f>
        <v>0</v>
      </c>
      <c r="N1310" s="4">
        <f>COUNTIF(Table1[[#This Row],[2019-Apr]:[2025-July]],"&gt;="&amp;Table1[[#This Row],[Target]])</f>
        <v>0</v>
      </c>
      <c r="O1310" s="4">
        <f>IF(Table1[[#This Row],[Outliers 2Y]]=0,1,0)</f>
        <v>1</v>
      </c>
      <c r="P1310" s="4">
        <f>IF(Table1[[#This Row],[Last value]]&gt;1.5*Table1[[#This Row],[Target]],1,0)</f>
        <v>0</v>
      </c>
      <c r="Q1310" s="4">
        <f>IF(AND(1.5*Table1[[#This Row],[Target]]&gt;=Table1[[#This Row],[Last value]],Table1[[#This Row],[Last value]]&gt;Table1[[#This Row],[Target]]),1,0)</f>
        <v>0</v>
      </c>
      <c r="R1310" s="4">
        <f>IF(Table1[[#This Row],[Target]]&gt;=Table1[[#This Row],[Last value]],1,0)</f>
        <v>1</v>
      </c>
      <c r="S1310" s="4" t="str">
        <f t="shared" si="32"/>
        <v>Green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34">
        <v>0</v>
      </c>
      <c r="CK1310" s="38">
        <v>0</v>
      </c>
      <c r="CL1310" s="34">
        <v>0</v>
      </c>
      <c r="CM1310" s="4">
        <v>0</v>
      </c>
      <c r="CN1310" s="53">
        <v>0</v>
      </c>
      <c r="CO1310" s="54">
        <v>0</v>
      </c>
      <c r="CP1310" s="54">
        <v>0</v>
      </c>
      <c r="CQ1310" s="4">
        <v>0</v>
      </c>
    </row>
    <row r="1311" spans="1:95" x14ac:dyDescent="0.35">
      <c r="A1311" s="55">
        <v>1310</v>
      </c>
      <c r="B1311" s="23" t="s">
        <v>126</v>
      </c>
      <c r="C1311" s="27" t="s">
        <v>1302</v>
      </c>
      <c r="D1311" s="3" t="s">
        <v>88</v>
      </c>
      <c r="E1311" s="27" t="s">
        <v>89</v>
      </c>
      <c r="F1311" s="4">
        <f>IFERROR(AVERAGEIF(Table1[[#This Row],[2019-Apr]:[2025-July]],"&lt;&gt;0"),0)</f>
        <v>0</v>
      </c>
      <c r="G1311" s="4">
        <f ca="1">IFERROR(AVERAGEIF(OFFSET(Table1[[#This Row],[Status]],0,COUNT(Table1[[#This Row],[2019-May]:[2025-July]]),1,-12),"&lt;&gt;0"),0)</f>
        <v>0</v>
      </c>
      <c r="H1311" s="55">
        <f>IFERROR(SMALL(Table1[[#This Row],[2019-Apr]:[2025-July]],COUNTIF(Table1[[#This Row],[2019-Apr]:[2025-July]],0)+1),0)</f>
        <v>0</v>
      </c>
      <c r="I1311" s="56">
        <f>IFERROR(MAX(Table1[[#This Row],[2019-Apr]:[2025-July]]),0)</f>
        <v>0</v>
      </c>
      <c r="J1311" s="4" cm="1">
        <f t="array" ref="J131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311" s="4">
        <v>4.5</v>
      </c>
      <c r="L1311" s="4">
        <f>IF(Table1[[#This Row],[Standard as per ISO]]&gt;=Table1[[#This Row],[Avg of best 6]],Table1[[#This Row],[Standard as per ISO]],Table1[[#This Row],[Avg of best 6]])</f>
        <v>4.5</v>
      </c>
      <c r="M1311" s="4" cm="1">
        <f t="array" ref="M1311">IFERROR(LOOKUP(2,1/(Table1[[#This Row],[2019-May]:[2025-July]]&lt;&gt;0),Table1[[#This Row],[2019-May]:[2025-July]]),0)</f>
        <v>0</v>
      </c>
      <c r="N1311" s="4">
        <f>COUNTIF(Table1[[#This Row],[2019-Apr]:[2025-July]],"&gt;="&amp;Table1[[#This Row],[Target]])</f>
        <v>0</v>
      </c>
      <c r="O1311" s="4">
        <f>IF(Table1[[#This Row],[Outliers 2Y]]=0,1,0)</f>
        <v>1</v>
      </c>
      <c r="P1311" s="4">
        <f>IF(Table1[[#This Row],[Last value]]&gt;1.5*Table1[[#This Row],[Target]],1,0)</f>
        <v>0</v>
      </c>
      <c r="Q1311" s="4">
        <f>IF(AND(1.5*Table1[[#This Row],[Target]]&gt;=Table1[[#This Row],[Last value]],Table1[[#This Row],[Last value]]&gt;Table1[[#This Row],[Target]]),1,0)</f>
        <v>0</v>
      </c>
      <c r="R1311" s="4">
        <f>IF(Table1[[#This Row],[Target]]&gt;=Table1[[#This Row],[Last value]],1,0)</f>
        <v>1</v>
      </c>
      <c r="S1311" s="4" t="str">
        <f t="shared" si="32"/>
        <v>Green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34">
        <v>0</v>
      </c>
      <c r="CK1311" s="38">
        <v>0</v>
      </c>
      <c r="CL1311" s="43">
        <v>0</v>
      </c>
      <c r="CM1311" s="4">
        <v>0</v>
      </c>
      <c r="CN1311" s="53">
        <v>0</v>
      </c>
      <c r="CO1311" s="54">
        <v>0</v>
      </c>
      <c r="CP1311" s="54">
        <v>0</v>
      </c>
      <c r="CQ1311" s="4">
        <v>0</v>
      </c>
    </row>
    <row r="1312" spans="1:95" x14ac:dyDescent="0.35">
      <c r="A1312" s="55">
        <v>1311</v>
      </c>
      <c r="B1312" s="23" t="s">
        <v>126</v>
      </c>
      <c r="C1312" s="27" t="s">
        <v>1303</v>
      </c>
      <c r="D1312" s="3" t="s">
        <v>88</v>
      </c>
      <c r="E1312" s="27" t="s">
        <v>89</v>
      </c>
      <c r="F1312" s="4">
        <f>IFERROR(AVERAGEIF(Table1[[#This Row],[2019-Apr]:[2025-July]],"&lt;&gt;0"),0)</f>
        <v>2.84</v>
      </c>
      <c r="G1312" s="4">
        <f ca="1">IFERROR(AVERAGEIF(OFFSET(Table1[[#This Row],[Status]],0,COUNT(Table1[[#This Row],[2019-May]:[2025-July]]),1,-12),"&lt;&gt;0"),0)</f>
        <v>2.3677777777777775</v>
      </c>
      <c r="H1312" s="55">
        <f>IFERROR(SMALL(Table1[[#This Row],[2019-Apr]:[2025-July]],COUNTIF(Table1[[#This Row],[2019-Apr]:[2025-July]],0)+1),0)</f>
        <v>1.56</v>
      </c>
      <c r="I1312" s="56">
        <f>IFERROR(MAX(Table1[[#This Row],[2019-Apr]:[2025-July]]),0)</f>
        <v>6</v>
      </c>
      <c r="J1312" s="4" cm="1">
        <f t="array" ref="J131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2.0683333333333334</v>
      </c>
      <c r="K1312" s="4">
        <v>4.5</v>
      </c>
      <c r="L1312" s="4">
        <f>IF(Table1[[#This Row],[Standard as per ISO]]&gt;=Table1[[#This Row],[Avg of best 6]],Table1[[#This Row],[Standard as per ISO]],Table1[[#This Row],[Avg of best 6]])</f>
        <v>4.5</v>
      </c>
      <c r="M1312" s="4" cm="1">
        <f t="array" ref="M1312">IFERROR(LOOKUP(2,1/(Table1[[#This Row],[2019-May]:[2025-July]]&lt;&gt;0),Table1[[#This Row],[2019-May]:[2025-July]]),0)</f>
        <v>6</v>
      </c>
      <c r="N1312" s="4">
        <f>COUNTIF(Table1[[#This Row],[2019-Apr]:[2025-July]],"&gt;="&amp;Table1[[#This Row],[Target]])</f>
        <v>1</v>
      </c>
      <c r="O1312" s="4">
        <f>IF(Table1[[#This Row],[Outliers 2Y]]=0,1,0)</f>
        <v>0</v>
      </c>
      <c r="P1312" s="4">
        <f>IF(Table1[[#This Row],[Last value]]&gt;1.5*Table1[[#This Row],[Target]],1,0)</f>
        <v>0</v>
      </c>
      <c r="Q1312" s="4">
        <f>IF(AND(1.5*Table1[[#This Row],[Target]]&gt;=Table1[[#This Row],[Last value]],Table1[[#This Row],[Last value]]&gt;Table1[[#This Row],[Target]]),1,0)</f>
        <v>1</v>
      </c>
      <c r="R1312" s="4">
        <f>IF(Table1[[#This Row],[Target]]&gt;=Table1[[#This Row],[Last value]],1,0)</f>
        <v>0</v>
      </c>
      <c r="S1312" s="4" t="str">
        <f t="shared" si="32"/>
        <v>Yellow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3.93</v>
      </c>
      <c r="CE1312" s="4">
        <v>0</v>
      </c>
      <c r="CF1312" s="4">
        <v>0</v>
      </c>
      <c r="CG1312" s="4">
        <v>1.56</v>
      </c>
      <c r="CH1312" s="4">
        <v>2.25</v>
      </c>
      <c r="CI1312" s="4">
        <v>0</v>
      </c>
      <c r="CJ1312" s="34">
        <v>2.2999999999999998</v>
      </c>
      <c r="CK1312" s="34">
        <v>2.2000000000000002</v>
      </c>
      <c r="CL1312" s="43">
        <v>2.2999999999999998</v>
      </c>
      <c r="CM1312" s="4">
        <v>2.7</v>
      </c>
      <c r="CN1312" s="53">
        <v>2.7</v>
      </c>
      <c r="CO1312" s="54">
        <v>3.5</v>
      </c>
      <c r="CP1312" s="54">
        <v>1.8</v>
      </c>
      <c r="CQ1312" s="4">
        <v>6</v>
      </c>
    </row>
    <row r="1313" spans="1:95" x14ac:dyDescent="0.35">
      <c r="A1313" s="55">
        <v>1312</v>
      </c>
      <c r="B1313" s="23" t="s">
        <v>126</v>
      </c>
      <c r="C1313" s="27" t="s">
        <v>1304</v>
      </c>
      <c r="D1313" s="3" t="s">
        <v>88</v>
      </c>
      <c r="E1313" s="27" t="s">
        <v>89</v>
      </c>
      <c r="F1313" s="4">
        <f>IFERROR(AVERAGEIF(Table1[[#This Row],[2019-Apr]:[2025-July]],"&lt;&gt;0"),0)</f>
        <v>1.7077777777777778</v>
      </c>
      <c r="G1313" s="4">
        <f ca="1">IFERROR(AVERAGEIF(OFFSET(Table1[[#This Row],[Status]],0,COUNT(Table1[[#This Row],[2019-May]:[2025-July]]),1,-12),"&lt;&gt;0"),0)</f>
        <v>1.7337500000000001</v>
      </c>
      <c r="H1313" s="55">
        <f>IFERROR(SMALL(Table1[[#This Row],[2019-Apr]:[2025-July]],COUNTIF(Table1[[#This Row],[2019-Apr]:[2025-July]],0)+1),0)</f>
        <v>1.3</v>
      </c>
      <c r="I1313" s="56">
        <f>IFERROR(MAX(Table1[[#This Row],[2019-Apr]:[2025-July]]),0)</f>
        <v>2.27</v>
      </c>
      <c r="J1313" s="4" cm="1">
        <f t="array" ref="J131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1.5166666666666668</v>
      </c>
      <c r="K1313" s="4">
        <v>4.5</v>
      </c>
      <c r="L1313" s="4">
        <f>IF(Table1[[#This Row],[Standard as per ISO]]&gt;=Table1[[#This Row],[Avg of best 6]],Table1[[#This Row],[Standard as per ISO]],Table1[[#This Row],[Avg of best 6]])</f>
        <v>4.5</v>
      </c>
      <c r="M1313" s="4" cm="1">
        <f t="array" ref="M1313">IFERROR(LOOKUP(2,1/(Table1[[#This Row],[2019-May]:[2025-July]]&lt;&gt;0),Table1[[#This Row],[2019-May]:[2025-July]]),0)</f>
        <v>1.5</v>
      </c>
      <c r="N1313" s="4">
        <f>COUNTIF(Table1[[#This Row],[2019-Apr]:[2025-July]],"&gt;="&amp;Table1[[#This Row],[Target]])</f>
        <v>0</v>
      </c>
      <c r="O1313" s="4">
        <f>IF(Table1[[#This Row],[Outliers 2Y]]=0,1,0)</f>
        <v>1</v>
      </c>
      <c r="P1313" s="4">
        <f>IF(Table1[[#This Row],[Last value]]&gt;1.5*Table1[[#This Row],[Target]],1,0)</f>
        <v>0</v>
      </c>
      <c r="Q1313" s="4">
        <f>IF(AND(1.5*Table1[[#This Row],[Target]]&gt;=Table1[[#This Row],[Last value]],Table1[[#This Row],[Last value]]&gt;Table1[[#This Row],[Target]]),1,0)</f>
        <v>0</v>
      </c>
      <c r="R1313" s="4">
        <f>IF(Table1[[#This Row],[Target]]&gt;=Table1[[#This Row],[Last value]],1,0)</f>
        <v>1</v>
      </c>
      <c r="S1313" s="4" t="str">
        <f t="shared" si="32"/>
        <v>Green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2.27</v>
      </c>
      <c r="CH1313" s="4">
        <v>0</v>
      </c>
      <c r="CI1313" s="4">
        <v>0</v>
      </c>
      <c r="CJ1313" s="38">
        <v>1.6</v>
      </c>
      <c r="CK1313" s="34">
        <v>1.5</v>
      </c>
      <c r="CL1313" s="43">
        <v>1.3</v>
      </c>
      <c r="CM1313" s="4">
        <v>2</v>
      </c>
      <c r="CN1313" s="53">
        <v>1.8</v>
      </c>
      <c r="CO1313" s="54">
        <v>1.4</v>
      </c>
      <c r="CP1313" s="54">
        <v>2</v>
      </c>
      <c r="CQ1313" s="4">
        <v>1.5</v>
      </c>
    </row>
    <row r="1314" spans="1:95" x14ac:dyDescent="0.35">
      <c r="A1314" s="55">
        <v>1313</v>
      </c>
      <c r="B1314" s="23" t="s">
        <v>126</v>
      </c>
      <c r="C1314" s="27" t="s">
        <v>1305</v>
      </c>
      <c r="D1314" s="3" t="s">
        <v>88</v>
      </c>
      <c r="E1314" s="27" t="s">
        <v>89</v>
      </c>
      <c r="F1314" s="4">
        <f>IFERROR(AVERAGEIF(Table1[[#This Row],[2019-Apr]:[2025-July]],"&lt;&gt;0"),0)</f>
        <v>2.6</v>
      </c>
      <c r="G1314" s="4">
        <f ca="1">IFERROR(AVERAGEIF(OFFSET(Table1[[#This Row],[Status]],0,COUNT(Table1[[#This Row],[2019-May]:[2025-July]]),1,-12),"&lt;&gt;0"),0)</f>
        <v>0</v>
      </c>
      <c r="H1314" s="55">
        <f>IFERROR(SMALL(Table1[[#This Row],[2019-Apr]:[2025-July]],COUNTIF(Table1[[#This Row],[2019-Apr]:[2025-July]],0)+1),0)</f>
        <v>2.6</v>
      </c>
      <c r="I1314" s="56">
        <f>IFERROR(MAX(Table1[[#This Row],[2019-Apr]:[2025-July]]),0)</f>
        <v>2.6</v>
      </c>
      <c r="J1314" s="4" cm="1">
        <f t="array" ref="J131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</v>
      </c>
      <c r="K1314" s="4">
        <v>4.5</v>
      </c>
      <c r="L1314" s="4">
        <f>IF(Table1[[#This Row],[Standard as per ISO]]&gt;=Table1[[#This Row],[Avg of best 6]],Table1[[#This Row],[Standard as per ISO]],Table1[[#This Row],[Avg of best 6]])</f>
        <v>4.5</v>
      </c>
      <c r="M1314" s="4" cm="1">
        <f t="array" ref="M1314">IFERROR(LOOKUP(2,1/(Table1[[#This Row],[2019-May]:[2025-July]]&lt;&gt;0),Table1[[#This Row],[2019-May]:[2025-July]]),0)</f>
        <v>2.6</v>
      </c>
      <c r="N1314" s="4">
        <f>COUNTIF(Table1[[#This Row],[2019-Apr]:[2025-July]],"&gt;="&amp;Table1[[#This Row],[Target]])</f>
        <v>0</v>
      </c>
      <c r="O1314" s="4">
        <f>IF(Table1[[#This Row],[Outliers 2Y]]=0,1,0)</f>
        <v>1</v>
      </c>
      <c r="P1314" s="4">
        <f>IF(Table1[[#This Row],[Last value]]&gt;1.5*Table1[[#This Row],[Target]],1,0)</f>
        <v>0</v>
      </c>
      <c r="Q1314" s="4">
        <f>IF(AND(1.5*Table1[[#This Row],[Target]]&gt;=Table1[[#This Row],[Last value]],Table1[[#This Row],[Last value]]&gt;Table1[[#This Row],[Target]]),1,0)</f>
        <v>0</v>
      </c>
      <c r="R1314" s="4">
        <f>IF(Table1[[#This Row],[Target]]&gt;=Table1[[#This Row],[Last value]],1,0)</f>
        <v>1</v>
      </c>
      <c r="S1314" s="4" t="str">
        <f t="shared" si="32"/>
        <v>Green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34">
        <v>0</v>
      </c>
      <c r="CK1314" s="38">
        <v>0</v>
      </c>
      <c r="CL1314" s="43">
        <v>0</v>
      </c>
      <c r="CM1314" s="4">
        <v>0</v>
      </c>
      <c r="CN1314" s="53">
        <v>0</v>
      </c>
      <c r="CO1314" s="54">
        <v>0</v>
      </c>
      <c r="CP1314" s="54">
        <v>0</v>
      </c>
      <c r="CQ1314" s="4">
        <v>2.6</v>
      </c>
    </row>
    <row r="1315" spans="1:95" x14ac:dyDescent="0.35">
      <c r="A1315" s="55">
        <v>1314</v>
      </c>
      <c r="B1315" s="23" t="s">
        <v>126</v>
      </c>
      <c r="C1315" s="27" t="s">
        <v>1306</v>
      </c>
      <c r="D1315" s="3" t="s">
        <v>88</v>
      </c>
      <c r="E1315" s="27" t="s">
        <v>89</v>
      </c>
      <c r="F1315" s="4">
        <f>IFERROR(AVERAGEIF(Table1[[#This Row],[2019-Apr]:[2025-July]],"&lt;&gt;0"),0)</f>
        <v>1.1812499999999999</v>
      </c>
      <c r="G1315" s="4">
        <f ca="1">IFERROR(AVERAGEIF(OFFSET(Table1[[#This Row],[Status]],0,COUNT(Table1[[#This Row],[2019-May]:[2025-July]]),1,-12),"&lt;&gt;0"),0)</f>
        <v>1.1785714285714286</v>
      </c>
      <c r="H1315" s="55">
        <f>IFERROR(SMALL(Table1[[#This Row],[2019-Apr]:[2025-July]],COUNTIF(Table1[[#This Row],[2019-Apr]:[2025-July]],0)+1),0)</f>
        <v>1</v>
      </c>
      <c r="I1315" s="56">
        <f>IFERROR(MAX(Table1[[#This Row],[2019-Apr]:[2025-July]]),0)</f>
        <v>1.3</v>
      </c>
      <c r="J1315" s="4" cm="1">
        <f t="array" ref="J131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1.1416666666666666</v>
      </c>
      <c r="K1315" s="4">
        <v>4.5</v>
      </c>
      <c r="L1315" s="4">
        <f>IF(Table1[[#This Row],[Standard as per ISO]]&gt;=Table1[[#This Row],[Avg of best 6]],Table1[[#This Row],[Standard as per ISO]],Table1[[#This Row],[Avg of best 6]])</f>
        <v>4.5</v>
      </c>
      <c r="M1315" s="4" cm="1">
        <f t="array" ref="M1315">IFERROR(LOOKUP(2,1/(Table1[[#This Row],[2019-May]:[2025-July]]&lt;&gt;0),Table1[[#This Row],[2019-May]:[2025-July]]),0)</f>
        <v>1.2</v>
      </c>
      <c r="N1315" s="4">
        <f>COUNTIF(Table1[[#This Row],[2019-Apr]:[2025-July]],"&gt;="&amp;Table1[[#This Row],[Target]])</f>
        <v>0</v>
      </c>
      <c r="O1315" s="4">
        <f>IF(Table1[[#This Row],[Outliers 2Y]]=0,1,0)</f>
        <v>1</v>
      </c>
      <c r="P1315" s="4">
        <f>IF(Table1[[#This Row],[Last value]]&gt;1.5*Table1[[#This Row],[Target]],1,0)</f>
        <v>0</v>
      </c>
      <c r="Q1315" s="4">
        <f>IF(AND(1.5*Table1[[#This Row],[Target]]&gt;=Table1[[#This Row],[Last value]],Table1[[#This Row],[Last value]]&gt;Table1[[#This Row],[Target]]),1,0)</f>
        <v>0</v>
      </c>
      <c r="R1315" s="4">
        <f>IF(Table1[[#This Row],[Target]]&gt;=Table1[[#This Row],[Last value]],1,0)</f>
        <v>1</v>
      </c>
      <c r="S1315" s="4" t="str">
        <f t="shared" si="32"/>
        <v>Green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1.3</v>
      </c>
      <c r="CF1315" s="4">
        <v>0</v>
      </c>
      <c r="CG1315" s="4">
        <v>1.1299999999999999</v>
      </c>
      <c r="CH1315" s="4">
        <v>1.1200000000000001</v>
      </c>
      <c r="CI1315" s="4">
        <v>0</v>
      </c>
      <c r="CJ1315" s="38">
        <v>1.1000000000000001</v>
      </c>
      <c r="CK1315" s="34">
        <v>1.3</v>
      </c>
      <c r="CL1315" s="43">
        <v>0</v>
      </c>
      <c r="CM1315" s="4">
        <v>0</v>
      </c>
      <c r="CN1315" s="53">
        <v>1.3</v>
      </c>
      <c r="CO1315" s="54">
        <v>1</v>
      </c>
      <c r="CP1315" s="54">
        <v>0</v>
      </c>
      <c r="CQ1315" s="4">
        <v>1.2</v>
      </c>
    </row>
    <row r="1316" spans="1:95" x14ac:dyDescent="0.35">
      <c r="A1316" s="55">
        <v>1315</v>
      </c>
      <c r="B1316" s="23" t="s">
        <v>126</v>
      </c>
      <c r="C1316" s="27" t="s">
        <v>1307</v>
      </c>
      <c r="D1316" s="3" t="s">
        <v>88</v>
      </c>
      <c r="E1316" s="27" t="s">
        <v>89</v>
      </c>
      <c r="F1316" s="4">
        <f>IFERROR(AVERAGEIF(Table1[[#This Row],[2019-Apr]:[2025-July]],"&lt;&gt;0"),0)</f>
        <v>4.88</v>
      </c>
      <c r="G1316" s="4">
        <f ca="1">IFERROR(AVERAGEIF(OFFSET(Table1[[#This Row],[Status]],0,COUNT(Table1[[#This Row],[2019-May]:[2025-July]]),1,-12),"&lt;&gt;0"),0)</f>
        <v>5.0225</v>
      </c>
      <c r="H1316" s="55">
        <f>IFERROR(SMALL(Table1[[#This Row],[2019-Apr]:[2025-July]],COUNTIF(Table1[[#This Row],[2019-Apr]:[2025-July]],0)+1),0)</f>
        <v>2.19</v>
      </c>
      <c r="I1316" s="56">
        <f>IFERROR(MAX(Table1[[#This Row],[2019-Apr]:[2025-July]]),0)</f>
        <v>13.5</v>
      </c>
      <c r="J1316" s="4" cm="1">
        <f t="array" ref="J131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4.88</v>
      </c>
      <c r="K1316" s="4">
        <v>4.5</v>
      </c>
      <c r="L1316" s="4">
        <f>IF(Table1[[#This Row],[Standard as per ISO]]&gt;=Table1[[#This Row],[Avg of best 6]],Table1[[#This Row],[Standard as per ISO]],Table1[[#This Row],[Avg of best 6]])</f>
        <v>4.88</v>
      </c>
      <c r="M1316" s="4" cm="1">
        <f t="array" ref="M1316">IFERROR(LOOKUP(2,1/(Table1[[#This Row],[2019-May]:[2025-July]]&lt;&gt;0),Table1[[#This Row],[2019-May]:[2025-July]]),0)</f>
        <v>2.2000000000000002</v>
      </c>
      <c r="N1316" s="4">
        <f>COUNTIF(Table1[[#This Row],[2019-Apr]:[2025-July]],"&gt;="&amp;Table1[[#This Row],[Target]])</f>
        <v>1</v>
      </c>
      <c r="O1316" s="4">
        <f>IF(Table1[[#This Row],[Outliers 2Y]]=0,1,0)</f>
        <v>0</v>
      </c>
      <c r="P1316" s="4">
        <f>IF(Table1[[#This Row],[Last value]]&gt;1.5*Table1[[#This Row],[Target]],1,0)</f>
        <v>0</v>
      </c>
      <c r="Q1316" s="4">
        <f>IF(AND(1.5*Table1[[#This Row],[Target]]&gt;=Table1[[#This Row],[Last value]],Table1[[#This Row],[Last value]]&gt;Table1[[#This Row],[Target]]),1,0)</f>
        <v>0</v>
      </c>
      <c r="R1316" s="4">
        <f>IF(Table1[[#This Row],[Target]]&gt;=Table1[[#This Row],[Last value]],1,0)</f>
        <v>1</v>
      </c>
      <c r="S1316" s="4" t="str">
        <f t="shared" si="32"/>
        <v>Green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4.3099999999999996</v>
      </c>
      <c r="CE1316" s="4">
        <v>2.19</v>
      </c>
      <c r="CF1316" s="4">
        <v>0</v>
      </c>
      <c r="CG1316" s="4">
        <v>0</v>
      </c>
      <c r="CH1316" s="4">
        <v>0</v>
      </c>
      <c r="CI1316" s="4">
        <v>0</v>
      </c>
      <c r="CJ1316" s="34">
        <v>0</v>
      </c>
      <c r="CK1316" s="38">
        <v>0</v>
      </c>
      <c r="CL1316" s="43">
        <v>13.5</v>
      </c>
      <c r="CM1316" s="4">
        <v>2.2000000000000002</v>
      </c>
      <c r="CN1316" s="53">
        <v>0</v>
      </c>
      <c r="CO1316" s="54">
        <v>0</v>
      </c>
      <c r="CP1316" s="54">
        <v>2.2000000000000002</v>
      </c>
      <c r="CQ1316" s="4">
        <v>0</v>
      </c>
    </row>
    <row r="1317" spans="1:95" x14ac:dyDescent="0.35">
      <c r="A1317" s="55">
        <v>1316</v>
      </c>
      <c r="B1317" s="23" t="s">
        <v>126</v>
      </c>
      <c r="C1317" s="27" t="s">
        <v>1308</v>
      </c>
      <c r="D1317" s="3" t="s">
        <v>88</v>
      </c>
      <c r="E1317" s="27" t="s">
        <v>89</v>
      </c>
      <c r="F1317" s="4">
        <f>IFERROR(AVERAGEIF(Table1[[#This Row],[2019-Apr]:[2025-July]],"&lt;&gt;0"),0)</f>
        <v>1.1000000000000001</v>
      </c>
      <c r="G1317" s="4">
        <f ca="1">IFERROR(AVERAGEIF(OFFSET(Table1[[#This Row],[Status]],0,COUNT(Table1[[#This Row],[2019-May]:[2025-July]]),1,-12),"&lt;&gt;0"),0)</f>
        <v>1.1000000000000001</v>
      </c>
      <c r="H1317" s="55">
        <f>IFERROR(SMALL(Table1[[#This Row],[2019-Apr]:[2025-July]],COUNTIF(Table1[[#This Row],[2019-Apr]:[2025-July]],0)+1),0)</f>
        <v>1.1000000000000001</v>
      </c>
      <c r="I1317" s="56">
        <f>IFERROR(MAX(Table1[[#This Row],[2019-Apr]:[2025-July]]),0)</f>
        <v>1.1000000000000001</v>
      </c>
      <c r="J1317" s="4" cm="1">
        <f t="array" ref="J131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1.1000000000000001</v>
      </c>
      <c r="K1317" s="4">
        <v>4.5</v>
      </c>
      <c r="L1317" s="4">
        <f>IF(Table1[[#This Row],[Standard as per ISO]]&gt;=Table1[[#This Row],[Avg of best 6]],Table1[[#This Row],[Standard as per ISO]],Table1[[#This Row],[Avg of best 6]])</f>
        <v>4.5</v>
      </c>
      <c r="M1317" s="4" cm="1">
        <f t="array" ref="M1317">IFERROR(LOOKUP(2,1/(Table1[[#This Row],[2019-May]:[2025-July]]&lt;&gt;0),Table1[[#This Row],[2019-May]:[2025-July]]),0)</f>
        <v>1.1000000000000001</v>
      </c>
      <c r="N1317" s="4">
        <f>COUNTIF(Table1[[#This Row],[2019-Apr]:[2025-July]],"&gt;="&amp;Table1[[#This Row],[Target]])</f>
        <v>0</v>
      </c>
      <c r="O1317" s="4">
        <f>IF(Table1[[#This Row],[Outliers 2Y]]=0,1,0)</f>
        <v>1</v>
      </c>
      <c r="P1317" s="4">
        <f>IF(Table1[[#This Row],[Last value]]&gt;1.5*Table1[[#This Row],[Target]],1,0)</f>
        <v>0</v>
      </c>
      <c r="Q1317" s="4">
        <f>IF(AND(1.5*Table1[[#This Row],[Target]]&gt;=Table1[[#This Row],[Last value]],Table1[[#This Row],[Last value]]&gt;Table1[[#This Row],[Target]]),1,0)</f>
        <v>0</v>
      </c>
      <c r="R1317" s="4">
        <f>IF(Table1[[#This Row],[Target]]&gt;=Table1[[#This Row],[Last value]],1,0)</f>
        <v>1</v>
      </c>
      <c r="S1317" s="4" t="str">
        <f t="shared" si="32"/>
        <v>Green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34">
        <v>0</v>
      </c>
      <c r="CK1317" s="34">
        <v>1.1000000000000001</v>
      </c>
      <c r="CL1317" s="43">
        <v>0</v>
      </c>
      <c r="CM1317" s="4">
        <v>0</v>
      </c>
      <c r="CN1317" s="53">
        <v>0</v>
      </c>
      <c r="CO1317" s="54">
        <v>0</v>
      </c>
      <c r="CP1317" s="54">
        <v>0</v>
      </c>
      <c r="CQ1317" s="4">
        <v>0</v>
      </c>
    </row>
    <row r="1318" spans="1:95" x14ac:dyDescent="0.35">
      <c r="A1318" s="55">
        <v>1317</v>
      </c>
      <c r="B1318" s="23" t="s">
        <v>126</v>
      </c>
      <c r="C1318" s="27" t="s">
        <v>1309</v>
      </c>
      <c r="D1318" s="3" t="s">
        <v>88</v>
      </c>
      <c r="E1318" s="27" t="s">
        <v>89</v>
      </c>
      <c r="F1318" s="4">
        <f>IFERROR(AVERAGEIF(Table1[[#This Row],[2019-Apr]:[2025-July]],"&lt;&gt;0"),0)</f>
        <v>1.7312500000000002</v>
      </c>
      <c r="G1318" s="4">
        <f ca="1">IFERROR(AVERAGEIF(OFFSET(Table1[[#This Row],[Status]],0,COUNT(Table1[[#This Row],[2019-May]:[2025-July]]),1,-12),"&lt;&gt;0"),0)</f>
        <v>1.6642857142857144</v>
      </c>
      <c r="H1318" s="55">
        <f>IFERROR(SMALL(Table1[[#This Row],[2019-Apr]:[2025-July]],COUNTIF(Table1[[#This Row],[2019-Apr]:[2025-July]],0)+1),0)</f>
        <v>1.2</v>
      </c>
      <c r="I1318" s="56">
        <f>IFERROR(MAX(Table1[[#This Row],[2019-Apr]:[2025-July]]),0)</f>
        <v>2.2999999999999998</v>
      </c>
      <c r="J1318" s="4" cm="1">
        <f t="array" ref="J131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1.5583333333333333</v>
      </c>
      <c r="K1318" s="4">
        <v>4.5</v>
      </c>
      <c r="L1318" s="4">
        <f>IF(Table1[[#This Row],[Standard as per ISO]]&gt;=Table1[[#This Row],[Avg of best 6]],Table1[[#This Row],[Standard as per ISO]],Table1[[#This Row],[Avg of best 6]])</f>
        <v>4.5</v>
      </c>
      <c r="M1318" s="4" cm="1">
        <f t="array" ref="M1318">IFERROR(LOOKUP(2,1/(Table1[[#This Row],[2019-May]:[2025-July]]&lt;&gt;0),Table1[[#This Row],[2019-May]:[2025-July]]),0)</f>
        <v>2.2000000000000002</v>
      </c>
      <c r="N1318" s="4">
        <f>COUNTIF(Table1[[#This Row],[2019-Apr]:[2025-July]],"&gt;="&amp;Table1[[#This Row],[Target]])</f>
        <v>0</v>
      </c>
      <c r="O1318" s="4">
        <f>IF(Table1[[#This Row],[Outliers 2Y]]=0,1,0)</f>
        <v>1</v>
      </c>
      <c r="P1318" s="4">
        <f>IF(Table1[[#This Row],[Last value]]&gt;1.5*Table1[[#This Row],[Target]],1,0)</f>
        <v>0</v>
      </c>
      <c r="Q1318" s="4">
        <f>IF(AND(1.5*Table1[[#This Row],[Target]]&gt;=Table1[[#This Row],[Last value]],Table1[[#This Row],[Last value]]&gt;Table1[[#This Row],[Target]]),1,0)</f>
        <v>0</v>
      </c>
      <c r="R1318" s="4">
        <f>IF(Table1[[#This Row],[Target]]&gt;=Table1[[#This Row],[Last value]],1,0)</f>
        <v>1</v>
      </c>
      <c r="S1318" s="4" t="str">
        <f t="shared" si="32"/>
        <v>Green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1.95</v>
      </c>
      <c r="CI1318" s="4">
        <v>0</v>
      </c>
      <c r="CJ1318" s="38">
        <v>1.2</v>
      </c>
      <c r="CK1318" s="38">
        <v>0</v>
      </c>
      <c r="CL1318" s="43">
        <v>1.4</v>
      </c>
      <c r="CM1318" s="4">
        <v>1.2</v>
      </c>
      <c r="CN1318" s="53">
        <v>1.7</v>
      </c>
      <c r="CO1318" s="54">
        <v>2.2999999999999998</v>
      </c>
      <c r="CP1318" s="54">
        <v>1.9</v>
      </c>
      <c r="CQ1318" s="4">
        <v>2.2000000000000002</v>
      </c>
    </row>
    <row r="1319" spans="1:95" x14ac:dyDescent="0.35">
      <c r="A1319" s="55">
        <v>1318</v>
      </c>
      <c r="B1319" s="23" t="s">
        <v>126</v>
      </c>
      <c r="C1319" s="27" t="s">
        <v>1310</v>
      </c>
      <c r="D1319" s="3" t="s">
        <v>88</v>
      </c>
      <c r="E1319" s="27" t="s">
        <v>89</v>
      </c>
      <c r="F1319" s="4">
        <f>IFERROR(AVERAGEIF(Table1[[#This Row],[2019-Apr]:[2025-July]],"&lt;&gt;0"),0)</f>
        <v>1.1500000000000001</v>
      </c>
      <c r="G1319" s="4">
        <f ca="1">IFERROR(AVERAGEIF(OFFSET(Table1[[#This Row],[Status]],0,COUNT(Table1[[#This Row],[2019-May]:[2025-July]]),1,-12),"&lt;&gt;0"),0)</f>
        <v>1.08</v>
      </c>
      <c r="H1319" s="55">
        <f>IFERROR(SMALL(Table1[[#This Row],[2019-Apr]:[2025-July]],COUNTIF(Table1[[#This Row],[2019-Apr]:[2025-July]],0)+1),0)</f>
        <v>0.9</v>
      </c>
      <c r="I1319" s="56">
        <f>IFERROR(MAX(Table1[[#This Row],[2019-Apr]:[2025-July]]),0)</f>
        <v>1.5</v>
      </c>
      <c r="J1319" s="4" cm="1">
        <f t="array" ref="J131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1.1500000000000001</v>
      </c>
      <c r="K1319" s="4">
        <v>4.5</v>
      </c>
      <c r="L1319" s="4">
        <f>IF(Table1[[#This Row],[Standard as per ISO]]&gt;=Table1[[#This Row],[Avg of best 6]],Table1[[#This Row],[Standard as per ISO]],Table1[[#This Row],[Avg of best 6]])</f>
        <v>4.5</v>
      </c>
      <c r="M1319" s="4" cm="1">
        <f t="array" ref="M1319">IFERROR(LOOKUP(2,1/(Table1[[#This Row],[2019-May]:[2025-July]]&lt;&gt;0),Table1[[#This Row],[2019-May]:[2025-July]]),0)</f>
        <v>1.5</v>
      </c>
      <c r="N1319" s="4">
        <f>COUNTIF(Table1[[#This Row],[2019-Apr]:[2025-July]],"&gt;="&amp;Table1[[#This Row],[Target]])</f>
        <v>0</v>
      </c>
      <c r="O1319" s="4">
        <f>IF(Table1[[#This Row],[Outliers 2Y]]=0,1,0)</f>
        <v>1</v>
      </c>
      <c r="P1319" s="4">
        <f>IF(Table1[[#This Row],[Last value]]&gt;1.5*Table1[[#This Row],[Target]],1,0)</f>
        <v>0</v>
      </c>
      <c r="Q1319" s="4">
        <f>IF(AND(1.5*Table1[[#This Row],[Target]]&gt;=Table1[[#This Row],[Last value]],Table1[[#This Row],[Last value]]&gt;Table1[[#This Row],[Target]]),1,0)</f>
        <v>0</v>
      </c>
      <c r="R1319" s="4">
        <f>IF(Table1[[#This Row],[Target]]&gt;=Table1[[#This Row],[Last value]],1,0)</f>
        <v>1</v>
      </c>
      <c r="S1319" s="4" t="str">
        <f t="shared" si="32"/>
        <v>Green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1.1000000000000001</v>
      </c>
      <c r="CH1319" s="4">
        <v>0</v>
      </c>
      <c r="CI1319" s="4">
        <v>0</v>
      </c>
      <c r="CJ1319" s="38">
        <v>1.2</v>
      </c>
      <c r="CK1319" s="34">
        <v>1.3</v>
      </c>
      <c r="CL1319" s="43">
        <v>0</v>
      </c>
      <c r="CM1319" s="4">
        <v>0.9</v>
      </c>
      <c r="CN1319" s="53">
        <v>0</v>
      </c>
      <c r="CO1319" s="54">
        <v>0.9</v>
      </c>
      <c r="CP1319" s="54">
        <v>0</v>
      </c>
      <c r="CQ1319" s="4">
        <v>1.5</v>
      </c>
    </row>
    <row r="1320" spans="1:95" x14ac:dyDescent="0.35">
      <c r="A1320" s="55">
        <v>1319</v>
      </c>
      <c r="B1320" s="23" t="s">
        <v>126</v>
      </c>
      <c r="C1320" s="27" t="s">
        <v>1311</v>
      </c>
      <c r="D1320" s="3" t="s">
        <v>88</v>
      </c>
      <c r="E1320" s="27" t="s">
        <v>89</v>
      </c>
      <c r="F1320" s="4">
        <f>IFERROR(AVERAGEIF(Table1[[#This Row],[2019-Apr]:[2025-July]],"&lt;&gt;0"),0)</f>
        <v>0.95250000000000001</v>
      </c>
      <c r="G1320" s="4">
        <f ca="1">IFERROR(AVERAGEIF(OFFSET(Table1[[#This Row],[Status]],0,COUNT(Table1[[#This Row],[2019-May]:[2025-July]]),1,-12),"&lt;&gt;0"),0)</f>
        <v>0.95250000000000001</v>
      </c>
      <c r="H1320" s="55">
        <f>IFERROR(SMALL(Table1[[#This Row],[2019-Apr]:[2025-July]],COUNTIF(Table1[[#This Row],[2019-Apr]:[2025-July]],0)+1),0)</f>
        <v>0.51</v>
      </c>
      <c r="I1320" s="56">
        <f>IFERROR(MAX(Table1[[#This Row],[2019-Apr]:[2025-July]]),0)</f>
        <v>1.1000000000000001</v>
      </c>
      <c r="J1320" s="4" cm="1">
        <f t="array" ref="J132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0.95250000000000001</v>
      </c>
      <c r="K1320" s="4">
        <v>4.5</v>
      </c>
      <c r="L1320" s="4">
        <f>IF(Table1[[#This Row],[Standard as per ISO]]&gt;=Table1[[#This Row],[Avg of best 6]],Table1[[#This Row],[Standard as per ISO]],Table1[[#This Row],[Avg of best 6]])</f>
        <v>4.5</v>
      </c>
      <c r="M1320" s="4" cm="1">
        <f t="array" ref="M1320">IFERROR(LOOKUP(2,1/(Table1[[#This Row],[2019-May]:[2025-July]]&lt;&gt;0),Table1[[#This Row],[2019-May]:[2025-July]]),0)</f>
        <v>1.1000000000000001</v>
      </c>
      <c r="N1320" s="4">
        <f>COUNTIF(Table1[[#This Row],[2019-Apr]:[2025-July]],"&gt;="&amp;Table1[[#This Row],[Target]])</f>
        <v>0</v>
      </c>
      <c r="O1320" s="4">
        <f>IF(Table1[[#This Row],[Outliers 2Y]]=0,1,0)</f>
        <v>1</v>
      </c>
      <c r="P1320" s="4">
        <f>IF(Table1[[#This Row],[Last value]]&gt;1.5*Table1[[#This Row],[Target]],1,0)</f>
        <v>0</v>
      </c>
      <c r="Q1320" s="4">
        <f>IF(AND(1.5*Table1[[#This Row],[Target]]&gt;=Table1[[#This Row],[Last value]],Table1[[#This Row],[Last value]]&gt;Table1[[#This Row],[Target]]),1,0)</f>
        <v>0</v>
      </c>
      <c r="R1320" s="4">
        <f>IF(Table1[[#This Row],[Target]]&gt;=Table1[[#This Row],[Last value]],1,0)</f>
        <v>1</v>
      </c>
      <c r="S1320" s="4" t="str">
        <f t="shared" si="32"/>
        <v>Green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0.51</v>
      </c>
      <c r="CI1320" s="4">
        <v>0</v>
      </c>
      <c r="CJ1320" s="34">
        <v>0</v>
      </c>
      <c r="CK1320" s="38">
        <v>0</v>
      </c>
      <c r="CL1320" s="43">
        <v>1.1000000000000001</v>
      </c>
      <c r="CM1320" s="4">
        <v>0</v>
      </c>
      <c r="CN1320" s="53">
        <v>1.1000000000000001</v>
      </c>
      <c r="CO1320" s="54">
        <v>0</v>
      </c>
      <c r="CP1320" s="54">
        <v>1.1000000000000001</v>
      </c>
      <c r="CQ1320" s="4">
        <v>0</v>
      </c>
    </row>
    <row r="1321" spans="1:95" x14ac:dyDescent="0.35">
      <c r="A1321" s="55">
        <v>1320</v>
      </c>
      <c r="B1321" s="23" t="s">
        <v>126</v>
      </c>
      <c r="C1321" s="27" t="s">
        <v>1312</v>
      </c>
      <c r="D1321" s="3" t="s">
        <v>88</v>
      </c>
      <c r="E1321" s="27" t="s">
        <v>91</v>
      </c>
      <c r="F1321" s="4">
        <f>IFERROR(AVERAGEIF(Table1[[#This Row],[2019-Apr]:[2025-July]],"&lt;&gt;0"),0)</f>
        <v>1.2250000000000001</v>
      </c>
      <c r="G1321" s="4">
        <f ca="1">IFERROR(AVERAGEIF(OFFSET(Table1[[#This Row],[Status]],0,COUNT(Table1[[#This Row],[2019-May]:[2025-July]]),1,-12),"&lt;&gt;0"),0)</f>
        <v>1.2250000000000001</v>
      </c>
      <c r="H1321" s="55">
        <f>IFERROR(SMALL(Table1[[#This Row],[2019-Apr]:[2025-July]],COUNTIF(Table1[[#This Row],[2019-Apr]:[2025-July]],0)+1),0)</f>
        <v>0.94</v>
      </c>
      <c r="I1321" s="56">
        <f>IFERROR(MAX(Table1[[#This Row],[2019-Apr]:[2025-July]]),0)</f>
        <v>1.51</v>
      </c>
      <c r="J1321" s="4" cm="1">
        <f t="array" ref="J132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1.2250000000000001</v>
      </c>
      <c r="K1321" s="4">
        <v>4.5</v>
      </c>
      <c r="L1321" s="4">
        <f>IF(Table1[[#This Row],[Standard as per ISO]]&gt;=Table1[[#This Row],[Avg of best 6]],Table1[[#This Row],[Standard as per ISO]],Table1[[#This Row],[Avg of best 6]])</f>
        <v>4.5</v>
      </c>
      <c r="M1321" s="4" cm="1">
        <f t="array" ref="M1321">IFERROR(LOOKUP(2,1/(Table1[[#This Row],[2019-May]:[2025-July]]&lt;&gt;0),Table1[[#This Row],[2019-May]:[2025-July]]),0)</f>
        <v>1.51</v>
      </c>
      <c r="N1321" s="4">
        <f>COUNTIF(Table1[[#This Row],[2019-Apr]:[2025-July]],"&gt;="&amp;Table1[[#This Row],[Target]])</f>
        <v>0</v>
      </c>
      <c r="O1321" s="4">
        <f>IF(Table1[[#This Row],[Outliers 2Y]]=0,1,0)</f>
        <v>1</v>
      </c>
      <c r="P1321" s="4">
        <f>IF(Table1[[#This Row],[Last value]]&gt;1.5*Table1[[#This Row],[Target]],1,0)</f>
        <v>0</v>
      </c>
      <c r="Q1321" s="4">
        <f>IF(AND(1.5*Table1[[#This Row],[Target]]&gt;=Table1[[#This Row],[Last value]],Table1[[#This Row],[Last value]]&gt;Table1[[#This Row],[Target]]),1,0)</f>
        <v>0</v>
      </c>
      <c r="R1321" s="4">
        <f>IF(Table1[[#This Row],[Target]]&gt;=Table1[[#This Row],[Last value]],1,0)</f>
        <v>1</v>
      </c>
      <c r="S1321" s="4" t="str">
        <f t="shared" si="32"/>
        <v>Green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0.94</v>
      </c>
      <c r="CH1321" s="4">
        <v>1.51</v>
      </c>
      <c r="CI1321" s="4">
        <v>0</v>
      </c>
      <c r="CJ1321" s="34">
        <v>0</v>
      </c>
      <c r="CK1321" s="38">
        <v>0</v>
      </c>
      <c r="CL1321" s="34">
        <v>0</v>
      </c>
      <c r="CM1321" s="4">
        <v>0</v>
      </c>
      <c r="CN1321" s="53">
        <v>0</v>
      </c>
      <c r="CO1321" s="54">
        <v>0</v>
      </c>
      <c r="CP1321" s="54">
        <v>0</v>
      </c>
      <c r="CQ1321" s="4">
        <v>0</v>
      </c>
    </row>
    <row r="1322" spans="1:95" x14ac:dyDescent="0.35">
      <c r="A1322" s="55">
        <v>1321</v>
      </c>
      <c r="B1322" s="23" t="s">
        <v>126</v>
      </c>
      <c r="C1322" s="27" t="s">
        <v>1313</v>
      </c>
      <c r="D1322" s="3" t="s">
        <v>88</v>
      </c>
      <c r="E1322" s="27" t="s">
        <v>91</v>
      </c>
      <c r="F1322" s="4">
        <f>IFERROR(AVERAGEIF(Table1[[#This Row],[2019-Apr]:[2025-July]],"&lt;&gt;0"),0)</f>
        <v>0</v>
      </c>
      <c r="G1322" s="4">
        <f ca="1">IFERROR(AVERAGEIF(OFFSET(Table1[[#This Row],[Status]],0,COUNT(Table1[[#This Row],[2019-May]:[2025-July]]),1,-12),"&lt;&gt;0"),0)</f>
        <v>0</v>
      </c>
      <c r="H1322" s="55">
        <f>IFERROR(SMALL(Table1[[#This Row],[2019-Apr]:[2025-July]],COUNTIF(Table1[[#This Row],[2019-Apr]:[2025-July]],0)+1),0)</f>
        <v>0</v>
      </c>
      <c r="I1322" s="56">
        <f>IFERROR(MAX(Table1[[#This Row],[2019-Apr]:[2025-July]]),0)</f>
        <v>0</v>
      </c>
      <c r="J1322" s="4" cm="1">
        <f t="array" ref="J132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322" s="4">
        <v>4.5</v>
      </c>
      <c r="L1322" s="4">
        <f>IF(Table1[[#This Row],[Standard as per ISO]]&gt;=Table1[[#This Row],[Avg of best 6]],Table1[[#This Row],[Standard as per ISO]],Table1[[#This Row],[Avg of best 6]])</f>
        <v>4.5</v>
      </c>
      <c r="M1322" s="4" cm="1">
        <f t="array" ref="M1322">IFERROR(LOOKUP(2,1/(Table1[[#This Row],[2019-May]:[2025-July]]&lt;&gt;0),Table1[[#This Row],[2019-May]:[2025-July]]),0)</f>
        <v>0</v>
      </c>
      <c r="N1322" s="4">
        <f>COUNTIF(Table1[[#This Row],[2019-Apr]:[2025-July]],"&gt;="&amp;Table1[[#This Row],[Target]])</f>
        <v>0</v>
      </c>
      <c r="O1322" s="4">
        <f>IF(Table1[[#This Row],[Outliers 2Y]]=0,1,0)</f>
        <v>1</v>
      </c>
      <c r="P1322" s="4">
        <f>IF(Table1[[#This Row],[Last value]]&gt;1.5*Table1[[#This Row],[Target]],1,0)</f>
        <v>0</v>
      </c>
      <c r="Q1322" s="4">
        <f>IF(AND(1.5*Table1[[#This Row],[Target]]&gt;=Table1[[#This Row],[Last value]],Table1[[#This Row],[Last value]]&gt;Table1[[#This Row],[Target]]),1,0)</f>
        <v>0</v>
      </c>
      <c r="R1322" s="4">
        <f>IF(Table1[[#This Row],[Target]]&gt;=Table1[[#This Row],[Last value]],1,0)</f>
        <v>1</v>
      </c>
      <c r="S1322" s="4" t="str">
        <f t="shared" si="32"/>
        <v>Green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34">
        <v>0</v>
      </c>
      <c r="CK1322" s="38">
        <v>0</v>
      </c>
      <c r="CL1322" s="34">
        <v>0</v>
      </c>
      <c r="CM1322" s="4">
        <v>0</v>
      </c>
      <c r="CN1322" s="53">
        <v>0</v>
      </c>
      <c r="CO1322" s="54">
        <v>0</v>
      </c>
      <c r="CP1322" s="54">
        <v>0</v>
      </c>
      <c r="CQ1322" s="4">
        <v>0</v>
      </c>
    </row>
    <row r="1323" spans="1:95" x14ac:dyDescent="0.35">
      <c r="A1323" s="55">
        <v>1322</v>
      </c>
      <c r="B1323" s="23" t="s">
        <v>126</v>
      </c>
      <c r="C1323" s="27" t="s">
        <v>1314</v>
      </c>
      <c r="D1323" s="3" t="s">
        <v>88</v>
      </c>
      <c r="E1323" s="27" t="s">
        <v>91</v>
      </c>
      <c r="F1323" s="4">
        <f>IFERROR(AVERAGEIF(Table1[[#This Row],[2019-Apr]:[2025-July]],"&lt;&gt;0"),0)</f>
        <v>1.1499999999999999</v>
      </c>
      <c r="G1323" s="4">
        <f ca="1">IFERROR(AVERAGEIF(OFFSET(Table1[[#This Row],[Status]],0,COUNT(Table1[[#This Row],[2019-May]:[2025-July]]),1,-12),"&lt;&gt;0"),0)</f>
        <v>1.1499999999999999</v>
      </c>
      <c r="H1323" s="55">
        <f>IFERROR(SMALL(Table1[[#This Row],[2019-Apr]:[2025-July]],COUNTIF(Table1[[#This Row],[2019-Apr]:[2025-July]],0)+1),0)</f>
        <v>1.02</v>
      </c>
      <c r="I1323" s="56">
        <f>IFERROR(MAX(Table1[[#This Row],[2019-Apr]:[2025-July]]),0)</f>
        <v>1.28</v>
      </c>
      <c r="J1323" s="4" cm="1">
        <f t="array" ref="J132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1.1499999999999999</v>
      </c>
      <c r="K1323" s="4">
        <v>4.5</v>
      </c>
      <c r="L1323" s="4">
        <f>IF(Table1[[#This Row],[Standard as per ISO]]&gt;=Table1[[#This Row],[Avg of best 6]],Table1[[#This Row],[Standard as per ISO]],Table1[[#This Row],[Avg of best 6]])</f>
        <v>4.5</v>
      </c>
      <c r="M1323" s="4" cm="1">
        <f t="array" ref="M1323">IFERROR(LOOKUP(2,1/(Table1[[#This Row],[2019-May]:[2025-July]]&lt;&gt;0),Table1[[#This Row],[2019-May]:[2025-July]]),0)</f>
        <v>1.28</v>
      </c>
      <c r="N1323" s="4">
        <f>COUNTIF(Table1[[#This Row],[2019-Apr]:[2025-July]],"&gt;="&amp;Table1[[#This Row],[Target]])</f>
        <v>0</v>
      </c>
      <c r="O1323" s="4">
        <f>IF(Table1[[#This Row],[Outliers 2Y]]=0,1,0)</f>
        <v>1</v>
      </c>
      <c r="P1323" s="4">
        <f>IF(Table1[[#This Row],[Last value]]&gt;1.5*Table1[[#This Row],[Target]],1,0)</f>
        <v>0</v>
      </c>
      <c r="Q1323" s="4">
        <f>IF(AND(1.5*Table1[[#This Row],[Target]]&gt;=Table1[[#This Row],[Last value]],Table1[[#This Row],[Last value]]&gt;Table1[[#This Row],[Target]]),1,0)</f>
        <v>0</v>
      </c>
      <c r="R1323" s="4">
        <f>IF(Table1[[#This Row],[Target]]&gt;=Table1[[#This Row],[Last value]],1,0)</f>
        <v>1</v>
      </c>
      <c r="S1323" s="4" t="str">
        <f t="shared" si="32"/>
        <v>Green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1.02</v>
      </c>
      <c r="CH1323" s="4">
        <v>1.28</v>
      </c>
      <c r="CI1323" s="4">
        <v>0</v>
      </c>
      <c r="CJ1323" s="34">
        <v>0</v>
      </c>
      <c r="CK1323" s="38">
        <v>0</v>
      </c>
      <c r="CL1323" s="34">
        <v>0</v>
      </c>
      <c r="CM1323" s="4">
        <v>0</v>
      </c>
      <c r="CN1323" s="53">
        <v>0</v>
      </c>
      <c r="CO1323" s="54">
        <v>0</v>
      </c>
      <c r="CP1323" s="54">
        <v>0</v>
      </c>
      <c r="CQ1323" s="4">
        <v>0</v>
      </c>
    </row>
    <row r="1324" spans="1:95" x14ac:dyDescent="0.35">
      <c r="A1324" s="55">
        <v>1323</v>
      </c>
      <c r="B1324" s="23" t="s">
        <v>126</v>
      </c>
      <c r="C1324" s="27" t="s">
        <v>1315</v>
      </c>
      <c r="D1324" s="3" t="s">
        <v>88</v>
      </c>
      <c r="E1324" s="27" t="s">
        <v>91</v>
      </c>
      <c r="F1324" s="4">
        <f>IFERROR(AVERAGEIF(Table1[[#This Row],[2019-Apr]:[2025-July]],"&lt;&gt;0"),0)</f>
        <v>0</v>
      </c>
      <c r="G1324" s="4">
        <f ca="1">IFERROR(AVERAGEIF(OFFSET(Table1[[#This Row],[Status]],0,COUNT(Table1[[#This Row],[2019-May]:[2025-July]]),1,-12),"&lt;&gt;0"),0)</f>
        <v>0</v>
      </c>
      <c r="H1324" s="55">
        <f>IFERROR(SMALL(Table1[[#This Row],[2019-Apr]:[2025-July]],COUNTIF(Table1[[#This Row],[2019-Apr]:[2025-July]],0)+1),0)</f>
        <v>0</v>
      </c>
      <c r="I1324" s="56">
        <f>IFERROR(MAX(Table1[[#This Row],[2019-Apr]:[2025-July]]),0)</f>
        <v>0</v>
      </c>
      <c r="J1324" s="4" cm="1">
        <f t="array" ref="J132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324" s="4">
        <v>4.5</v>
      </c>
      <c r="L1324" s="4">
        <f>IF(Table1[[#This Row],[Standard as per ISO]]&gt;=Table1[[#This Row],[Avg of best 6]],Table1[[#This Row],[Standard as per ISO]],Table1[[#This Row],[Avg of best 6]])</f>
        <v>4.5</v>
      </c>
      <c r="M1324" s="4" cm="1">
        <f t="array" ref="M1324">IFERROR(LOOKUP(2,1/(Table1[[#This Row],[2019-May]:[2025-July]]&lt;&gt;0),Table1[[#This Row],[2019-May]:[2025-July]]),0)</f>
        <v>0</v>
      </c>
      <c r="N1324" s="4">
        <f>COUNTIF(Table1[[#This Row],[2019-Apr]:[2025-July]],"&gt;="&amp;Table1[[#This Row],[Target]])</f>
        <v>0</v>
      </c>
      <c r="O1324" s="4">
        <f>IF(Table1[[#This Row],[Outliers 2Y]]=0,1,0)</f>
        <v>1</v>
      </c>
      <c r="P1324" s="4">
        <f>IF(Table1[[#This Row],[Last value]]&gt;1.5*Table1[[#This Row],[Target]],1,0)</f>
        <v>0</v>
      </c>
      <c r="Q1324" s="4">
        <f>IF(AND(1.5*Table1[[#This Row],[Target]]&gt;=Table1[[#This Row],[Last value]],Table1[[#This Row],[Last value]]&gt;Table1[[#This Row],[Target]]),1,0)</f>
        <v>0</v>
      </c>
      <c r="R1324" s="4">
        <f>IF(Table1[[#This Row],[Target]]&gt;=Table1[[#This Row],[Last value]],1,0)</f>
        <v>1</v>
      </c>
      <c r="S1324" s="4" t="str">
        <f t="shared" si="32"/>
        <v>Green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34">
        <v>0</v>
      </c>
      <c r="CK1324" s="38">
        <v>0</v>
      </c>
      <c r="CL1324" s="34">
        <v>0</v>
      </c>
      <c r="CM1324" s="4">
        <v>0</v>
      </c>
      <c r="CN1324" s="53">
        <v>0</v>
      </c>
      <c r="CO1324" s="54">
        <v>0</v>
      </c>
      <c r="CP1324" s="54">
        <v>0</v>
      </c>
      <c r="CQ1324" s="4">
        <v>0</v>
      </c>
    </row>
    <row r="1325" spans="1:95" x14ac:dyDescent="0.35">
      <c r="A1325" s="55">
        <v>1324</v>
      </c>
      <c r="B1325" s="23" t="s">
        <v>126</v>
      </c>
      <c r="C1325" s="27" t="s">
        <v>1316</v>
      </c>
      <c r="D1325" s="3" t="s">
        <v>88</v>
      </c>
      <c r="E1325" s="27" t="s">
        <v>89</v>
      </c>
      <c r="F1325" s="4">
        <f>IFERROR(AVERAGEIF(Table1[[#This Row],[2019-Apr]:[2025-July]],"&lt;&gt;0"),0)</f>
        <v>1.5783333333333334</v>
      </c>
      <c r="G1325" s="4">
        <f ca="1">IFERROR(AVERAGEIF(OFFSET(Table1[[#This Row],[Status]],0,COUNT(Table1[[#This Row],[2019-May]:[2025-July]]),1,-12),"&lt;&gt;0"),0)</f>
        <v>1.5783333333333334</v>
      </c>
      <c r="H1325" s="55">
        <f>IFERROR(SMALL(Table1[[#This Row],[2019-Apr]:[2025-July]],COUNTIF(Table1[[#This Row],[2019-Apr]:[2025-July]],0)+1),0)</f>
        <v>1</v>
      </c>
      <c r="I1325" s="56">
        <f>IFERROR(MAX(Table1[[#This Row],[2019-Apr]:[2025-July]]),0)</f>
        <v>2.4</v>
      </c>
      <c r="J1325" s="4" cm="1">
        <f t="array" ref="J132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1.5783333333333334</v>
      </c>
      <c r="K1325" s="4">
        <v>4.5</v>
      </c>
      <c r="L1325" s="4">
        <f>IF(Table1[[#This Row],[Standard as per ISO]]&gt;=Table1[[#This Row],[Avg of best 6]],Table1[[#This Row],[Standard as per ISO]],Table1[[#This Row],[Avg of best 6]])</f>
        <v>4.5</v>
      </c>
      <c r="M1325" s="4" cm="1">
        <f t="array" ref="M1325">IFERROR(LOOKUP(2,1/(Table1[[#This Row],[2019-May]:[2025-July]]&lt;&gt;0),Table1[[#This Row],[2019-May]:[2025-July]]),0)</f>
        <v>1</v>
      </c>
      <c r="N1325" s="4">
        <f>COUNTIF(Table1[[#This Row],[2019-Apr]:[2025-July]],"&gt;="&amp;Table1[[#This Row],[Target]])</f>
        <v>0</v>
      </c>
      <c r="O1325" s="4">
        <f>IF(Table1[[#This Row],[Outliers 2Y]]=0,1,0)</f>
        <v>1</v>
      </c>
      <c r="P1325" s="4">
        <f>IF(Table1[[#This Row],[Last value]]&gt;1.5*Table1[[#This Row],[Target]],1,0)</f>
        <v>0</v>
      </c>
      <c r="Q1325" s="4">
        <f>IF(AND(1.5*Table1[[#This Row],[Target]]&gt;=Table1[[#This Row],[Last value]],Table1[[#This Row],[Last value]]&gt;Table1[[#This Row],[Target]]),1,0)</f>
        <v>0</v>
      </c>
      <c r="R1325" s="4">
        <f>IF(Table1[[#This Row],[Target]]&gt;=Table1[[#This Row],[Last value]],1,0)</f>
        <v>1</v>
      </c>
      <c r="S1325" s="4" t="str">
        <f t="shared" si="32"/>
        <v>Green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1.3</v>
      </c>
      <c r="CH1325" s="4">
        <v>1.77</v>
      </c>
      <c r="CI1325" s="4">
        <v>0</v>
      </c>
      <c r="CJ1325" s="34">
        <v>1.4</v>
      </c>
      <c r="CK1325" s="34">
        <v>1.6</v>
      </c>
      <c r="CL1325" s="43">
        <v>0</v>
      </c>
      <c r="CM1325" s="4">
        <v>2.4</v>
      </c>
      <c r="CN1325" s="53">
        <v>0</v>
      </c>
      <c r="CO1325" s="54">
        <v>0</v>
      </c>
      <c r="CP1325" s="54">
        <v>1</v>
      </c>
      <c r="CQ1325" s="4">
        <v>0</v>
      </c>
    </row>
    <row r="1326" spans="1:95" x14ac:dyDescent="0.35">
      <c r="A1326" s="55">
        <v>1325</v>
      </c>
      <c r="B1326" s="23" t="s">
        <v>126</v>
      </c>
      <c r="C1326" s="27" t="s">
        <v>1317</v>
      </c>
      <c r="D1326" s="3" t="s">
        <v>88</v>
      </c>
      <c r="E1326" s="27" t="s">
        <v>89</v>
      </c>
      <c r="F1326" s="4">
        <f>IFERROR(AVERAGEIF(Table1[[#This Row],[2019-Apr]:[2025-July]],"&lt;&gt;0"),0)</f>
        <v>1.2999999999999998</v>
      </c>
      <c r="G1326" s="4">
        <f ca="1">IFERROR(AVERAGEIF(OFFSET(Table1[[#This Row],[Status]],0,COUNT(Table1[[#This Row],[2019-May]:[2025-July]]),1,-12),"&lt;&gt;0"),0)</f>
        <v>1.2666666666666666</v>
      </c>
      <c r="H1326" s="55">
        <f>IFERROR(SMALL(Table1[[#This Row],[2019-Apr]:[2025-July]],COUNTIF(Table1[[#This Row],[2019-Apr]:[2025-July]],0)+1),0)</f>
        <v>0.9</v>
      </c>
      <c r="I1326" s="56">
        <f>IFERROR(MAX(Table1[[#This Row],[2019-Apr]:[2025-July]]),0)</f>
        <v>1.6</v>
      </c>
      <c r="J1326" s="4" cm="1">
        <f t="array" ref="J132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1.2999999999999998</v>
      </c>
      <c r="K1326" s="4">
        <v>4.5</v>
      </c>
      <c r="L1326" s="4">
        <f>IF(Table1[[#This Row],[Standard as per ISO]]&gt;=Table1[[#This Row],[Avg of best 6]],Table1[[#This Row],[Standard as per ISO]],Table1[[#This Row],[Avg of best 6]])</f>
        <v>4.5</v>
      </c>
      <c r="M1326" s="4" cm="1">
        <f t="array" ref="M1326">IFERROR(LOOKUP(2,1/(Table1[[#This Row],[2019-May]:[2025-July]]&lt;&gt;0),Table1[[#This Row],[2019-May]:[2025-July]]),0)</f>
        <v>1.4</v>
      </c>
      <c r="N1326" s="4">
        <f>COUNTIF(Table1[[#This Row],[2019-Apr]:[2025-July]],"&gt;="&amp;Table1[[#This Row],[Target]])</f>
        <v>0</v>
      </c>
      <c r="O1326" s="4">
        <f>IF(Table1[[#This Row],[Outliers 2Y]]=0,1,0)</f>
        <v>1</v>
      </c>
      <c r="P1326" s="4">
        <f>IF(Table1[[#This Row],[Last value]]&gt;1.5*Table1[[#This Row],[Target]],1,0)</f>
        <v>0</v>
      </c>
      <c r="Q1326" s="4">
        <f>IF(AND(1.5*Table1[[#This Row],[Target]]&gt;=Table1[[#This Row],[Last value]],Table1[[#This Row],[Last value]]&gt;Table1[[#This Row],[Target]]),1,0)</f>
        <v>0</v>
      </c>
      <c r="R1326" s="4">
        <f>IF(Table1[[#This Row],[Target]]&gt;=Table1[[#This Row],[Last value]],1,0)</f>
        <v>1</v>
      </c>
      <c r="S1326" s="4" t="str">
        <f t="shared" si="32"/>
        <v>Green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34">
        <v>0</v>
      </c>
      <c r="CK1326" s="38">
        <v>0</v>
      </c>
      <c r="CL1326" s="43">
        <v>0.9</v>
      </c>
      <c r="CM1326" s="4">
        <v>0</v>
      </c>
      <c r="CN1326" s="53">
        <v>1.6</v>
      </c>
      <c r="CO1326" s="54">
        <v>1.3</v>
      </c>
      <c r="CP1326" s="54">
        <v>0</v>
      </c>
      <c r="CQ1326" s="4">
        <v>1.4</v>
      </c>
    </row>
    <row r="1327" spans="1:95" x14ac:dyDescent="0.35">
      <c r="A1327" s="55">
        <v>1326</v>
      </c>
      <c r="B1327" s="23" t="s">
        <v>126</v>
      </c>
      <c r="C1327" s="27" t="s">
        <v>1318</v>
      </c>
      <c r="D1327" s="3" t="s">
        <v>88</v>
      </c>
      <c r="E1327" s="27" t="s">
        <v>89</v>
      </c>
      <c r="F1327" s="4">
        <f>IFERROR(AVERAGEIF(Table1[[#This Row],[2019-Apr]:[2025-July]],"&lt;&gt;0"),0)</f>
        <v>1.54</v>
      </c>
      <c r="G1327" s="4">
        <f ca="1">IFERROR(AVERAGEIF(OFFSET(Table1[[#This Row],[Status]],0,COUNT(Table1[[#This Row],[2019-May]:[2025-July]]),1,-12),"&lt;&gt;0"),0)</f>
        <v>1.5457142857142858</v>
      </c>
      <c r="H1327" s="55">
        <f>IFERROR(SMALL(Table1[[#This Row],[2019-Apr]:[2025-July]],COUNTIF(Table1[[#This Row],[2019-Apr]:[2025-July]],0)+1),0)</f>
        <v>1.2</v>
      </c>
      <c r="I1327" s="56">
        <f>IFERROR(MAX(Table1[[#This Row],[2019-Apr]:[2025-July]]),0)</f>
        <v>2.5</v>
      </c>
      <c r="J1327" s="4" cm="1">
        <f t="array" ref="J132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1.3366666666666667</v>
      </c>
      <c r="K1327" s="4">
        <v>4.5</v>
      </c>
      <c r="L1327" s="4">
        <f>IF(Table1[[#This Row],[Standard as per ISO]]&gt;=Table1[[#This Row],[Avg of best 6]],Table1[[#This Row],[Standard as per ISO]],Table1[[#This Row],[Avg of best 6]])</f>
        <v>4.5</v>
      </c>
      <c r="M1327" s="4" cm="1">
        <f t="array" ref="M1327">IFERROR(LOOKUP(2,1/(Table1[[#This Row],[2019-May]:[2025-July]]&lt;&gt;0),Table1[[#This Row],[2019-May]:[2025-July]]),0)</f>
        <v>1.5</v>
      </c>
      <c r="N1327" s="4">
        <f>COUNTIF(Table1[[#This Row],[2019-Apr]:[2025-July]],"&gt;="&amp;Table1[[#This Row],[Target]])</f>
        <v>0</v>
      </c>
      <c r="O1327" s="4">
        <f>IF(Table1[[#This Row],[Outliers 2Y]]=0,1,0)</f>
        <v>1</v>
      </c>
      <c r="P1327" s="4">
        <f>IF(Table1[[#This Row],[Last value]]&gt;1.5*Table1[[#This Row],[Target]],1,0)</f>
        <v>0</v>
      </c>
      <c r="Q1327" s="4">
        <f>IF(AND(1.5*Table1[[#This Row],[Target]]&gt;=Table1[[#This Row],[Last value]],Table1[[#This Row],[Last value]]&gt;Table1[[#This Row],[Target]]),1,0)</f>
        <v>0</v>
      </c>
      <c r="R1327" s="4">
        <f>IF(Table1[[#This Row],[Target]]&gt;=Table1[[#This Row],[Last value]],1,0)</f>
        <v>1</v>
      </c>
      <c r="S1327" s="4" t="str">
        <f t="shared" si="32"/>
        <v>Green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1.52</v>
      </c>
      <c r="CH1327" s="4">
        <v>2.5</v>
      </c>
      <c r="CI1327" s="4">
        <v>0</v>
      </c>
      <c r="CJ1327" s="38">
        <v>1.8</v>
      </c>
      <c r="CK1327" s="34">
        <v>1.2</v>
      </c>
      <c r="CL1327" s="43">
        <v>0</v>
      </c>
      <c r="CM1327" s="4">
        <v>1.2</v>
      </c>
      <c r="CN1327" s="53">
        <v>1.3</v>
      </c>
      <c r="CO1327" s="54">
        <v>1.3</v>
      </c>
      <c r="CP1327" s="54">
        <v>0</v>
      </c>
      <c r="CQ1327" s="4">
        <v>1.5</v>
      </c>
    </row>
    <row r="1328" spans="1:95" x14ac:dyDescent="0.35">
      <c r="A1328" s="55">
        <v>1327</v>
      </c>
      <c r="B1328" s="23" t="s">
        <v>126</v>
      </c>
      <c r="C1328" s="27" t="s">
        <v>1319</v>
      </c>
      <c r="D1328" s="3" t="s">
        <v>88</v>
      </c>
      <c r="E1328" s="27" t="s">
        <v>89</v>
      </c>
      <c r="F1328" s="4">
        <f>IFERROR(AVERAGEIF(Table1[[#This Row],[2019-Apr]:[2025-July]],"&lt;&gt;0"),0)</f>
        <v>1.75</v>
      </c>
      <c r="G1328" s="4">
        <f ca="1">IFERROR(AVERAGEIF(OFFSET(Table1[[#This Row],[Status]],0,COUNT(Table1[[#This Row],[2019-May]:[2025-July]]),1,-12),"&lt;&gt;0"),0)</f>
        <v>1.75</v>
      </c>
      <c r="H1328" s="55">
        <f>IFERROR(SMALL(Table1[[#This Row],[2019-Apr]:[2025-July]],COUNTIF(Table1[[#This Row],[2019-Apr]:[2025-July]],0)+1),0)</f>
        <v>1.6</v>
      </c>
      <c r="I1328" s="56">
        <f>IFERROR(MAX(Table1[[#This Row],[2019-Apr]:[2025-July]]),0)</f>
        <v>1.9</v>
      </c>
      <c r="J1328" s="4" cm="1">
        <f t="array" ref="J132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1.75</v>
      </c>
      <c r="K1328" s="4">
        <v>4.5</v>
      </c>
      <c r="L1328" s="4">
        <f>IF(Table1[[#This Row],[Standard as per ISO]]&gt;=Table1[[#This Row],[Avg of best 6]],Table1[[#This Row],[Standard as per ISO]],Table1[[#This Row],[Avg of best 6]])</f>
        <v>4.5</v>
      </c>
      <c r="M1328" s="4" cm="1">
        <f t="array" ref="M1328">IFERROR(LOOKUP(2,1/(Table1[[#This Row],[2019-May]:[2025-July]]&lt;&gt;0),Table1[[#This Row],[2019-May]:[2025-July]]),0)</f>
        <v>1.9</v>
      </c>
      <c r="N1328" s="4">
        <f>COUNTIF(Table1[[#This Row],[2019-Apr]:[2025-July]],"&gt;="&amp;Table1[[#This Row],[Target]])</f>
        <v>0</v>
      </c>
      <c r="O1328" s="4">
        <f>IF(Table1[[#This Row],[Outliers 2Y]]=0,1,0)</f>
        <v>1</v>
      </c>
      <c r="P1328" s="4">
        <f>IF(Table1[[#This Row],[Last value]]&gt;1.5*Table1[[#This Row],[Target]],1,0)</f>
        <v>0</v>
      </c>
      <c r="Q1328" s="4">
        <f>IF(AND(1.5*Table1[[#This Row],[Target]]&gt;=Table1[[#This Row],[Last value]],Table1[[#This Row],[Last value]]&gt;Table1[[#This Row],[Target]]),1,0)</f>
        <v>0</v>
      </c>
      <c r="R1328" s="4">
        <f>IF(Table1[[#This Row],[Target]]&gt;=Table1[[#This Row],[Last value]],1,0)</f>
        <v>1</v>
      </c>
      <c r="S1328" s="4" t="str">
        <f t="shared" si="32"/>
        <v>Green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34">
        <v>0</v>
      </c>
      <c r="CK1328" s="38">
        <v>0</v>
      </c>
      <c r="CL1328" s="43">
        <v>1.6</v>
      </c>
      <c r="CM1328" s="4">
        <v>0</v>
      </c>
      <c r="CN1328" s="53">
        <v>0</v>
      </c>
      <c r="CO1328" s="54">
        <v>0</v>
      </c>
      <c r="CP1328" s="54">
        <v>1.9</v>
      </c>
      <c r="CQ1328" s="4">
        <v>0</v>
      </c>
    </row>
    <row r="1329" spans="1:95" x14ac:dyDescent="0.35">
      <c r="A1329" s="55">
        <v>1328</v>
      </c>
      <c r="B1329" s="23" t="s">
        <v>126</v>
      </c>
      <c r="C1329" s="27" t="s">
        <v>1320</v>
      </c>
      <c r="D1329" s="3" t="s">
        <v>88</v>
      </c>
      <c r="E1329" s="27" t="s">
        <v>91</v>
      </c>
      <c r="F1329" s="4">
        <f>IFERROR(AVERAGEIF(Table1[[#This Row],[2019-Apr]:[2025-July]],"&lt;&gt;0"),0)</f>
        <v>0</v>
      </c>
      <c r="G1329" s="4">
        <f ca="1">IFERROR(AVERAGEIF(OFFSET(Table1[[#This Row],[Status]],0,COUNT(Table1[[#This Row],[2019-May]:[2025-July]]),1,-12),"&lt;&gt;0"),0)</f>
        <v>0</v>
      </c>
      <c r="H1329" s="55">
        <f>IFERROR(SMALL(Table1[[#This Row],[2019-Apr]:[2025-July]],COUNTIF(Table1[[#This Row],[2019-Apr]:[2025-July]],0)+1),0)</f>
        <v>0</v>
      </c>
      <c r="I1329" s="56">
        <f>IFERROR(MAX(Table1[[#This Row],[2019-Apr]:[2025-July]]),0)</f>
        <v>0</v>
      </c>
      <c r="J1329" s="4" cm="1">
        <f t="array" ref="J132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329" s="4">
        <v>4.5</v>
      </c>
      <c r="L1329" s="4">
        <f>IF(Table1[[#This Row],[Standard as per ISO]]&gt;=Table1[[#This Row],[Avg of best 6]],Table1[[#This Row],[Standard as per ISO]],Table1[[#This Row],[Avg of best 6]])</f>
        <v>4.5</v>
      </c>
      <c r="M1329" s="4" cm="1">
        <f t="array" ref="M1329">IFERROR(LOOKUP(2,1/(Table1[[#This Row],[2019-May]:[2025-July]]&lt;&gt;0),Table1[[#This Row],[2019-May]:[2025-July]]),0)</f>
        <v>0</v>
      </c>
      <c r="N1329" s="4">
        <f>COUNTIF(Table1[[#This Row],[2019-Apr]:[2025-July]],"&gt;="&amp;Table1[[#This Row],[Target]])</f>
        <v>0</v>
      </c>
      <c r="O1329" s="4">
        <f>IF(Table1[[#This Row],[Outliers 2Y]]=0,1,0)</f>
        <v>1</v>
      </c>
      <c r="P1329" s="4">
        <f>IF(Table1[[#This Row],[Last value]]&gt;1.5*Table1[[#This Row],[Target]],1,0)</f>
        <v>0</v>
      </c>
      <c r="Q1329" s="4">
        <f>IF(AND(1.5*Table1[[#This Row],[Target]]&gt;=Table1[[#This Row],[Last value]],Table1[[#This Row],[Last value]]&gt;Table1[[#This Row],[Target]]),1,0)</f>
        <v>0</v>
      </c>
      <c r="R1329" s="4">
        <f>IF(Table1[[#This Row],[Target]]&gt;=Table1[[#This Row],[Last value]],1,0)</f>
        <v>1</v>
      </c>
      <c r="S1329" s="4" t="str">
        <f t="shared" si="32"/>
        <v>Green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34">
        <v>0</v>
      </c>
      <c r="CK1329" s="38">
        <v>0</v>
      </c>
      <c r="CL1329" s="34">
        <v>0</v>
      </c>
      <c r="CM1329" s="4">
        <v>0</v>
      </c>
      <c r="CN1329" s="53">
        <v>0</v>
      </c>
      <c r="CO1329" s="54">
        <v>0</v>
      </c>
      <c r="CP1329" s="54">
        <v>0</v>
      </c>
      <c r="CQ1329" s="4">
        <v>0</v>
      </c>
    </row>
    <row r="1330" spans="1:95" x14ac:dyDescent="0.35">
      <c r="A1330" s="55">
        <v>1329</v>
      </c>
      <c r="B1330" s="23" t="s">
        <v>126</v>
      </c>
      <c r="C1330" s="29" t="s">
        <v>1321</v>
      </c>
      <c r="D1330" s="3" t="s">
        <v>93</v>
      </c>
      <c r="E1330" s="29" t="s">
        <v>89</v>
      </c>
      <c r="F1330" s="4">
        <f>IFERROR(AVERAGEIF(Table1[[#This Row],[2019-Apr]:[2025-July]],"&lt;&gt;0"),0)</f>
        <v>2.7737500000000002</v>
      </c>
      <c r="G1330" s="4">
        <f ca="1">IFERROR(AVERAGEIF(OFFSET(Table1[[#This Row],[Status]],0,COUNT(Table1[[#This Row],[2019-May]:[2025-July]]),1,-12),"&lt;&gt;0"),0)</f>
        <v>2.7416666666666667</v>
      </c>
      <c r="H1330" s="55">
        <f>IFERROR(SMALL(Table1[[#This Row],[2019-Apr]:[2025-July]],COUNTIF(Table1[[#This Row],[2019-Apr]:[2025-July]],0)+1),0)</f>
        <v>2.4</v>
      </c>
      <c r="I1330" s="56">
        <f>IFERROR(MAX(Table1[[#This Row],[2019-Apr]:[2025-July]]),0)</f>
        <v>3.16</v>
      </c>
      <c r="J1330" s="4" cm="1">
        <f t="array" ref="J133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2.6733333333333338</v>
      </c>
      <c r="K1330" s="4">
        <v>4.5</v>
      </c>
      <c r="L1330" s="4">
        <f>IF(Table1[[#This Row],[Standard as per ISO]]&gt;=Table1[[#This Row],[Avg of best 6]],Table1[[#This Row],[Standard as per ISO]],Table1[[#This Row],[Avg of best 6]])</f>
        <v>4.5</v>
      </c>
      <c r="M1330" s="4" cm="1">
        <f t="array" ref="M1330">IFERROR(LOOKUP(2,1/(Table1[[#This Row],[2019-May]:[2025-July]]&lt;&gt;0),Table1[[#This Row],[2019-May]:[2025-July]]),0)</f>
        <v>2.8</v>
      </c>
      <c r="N1330" s="4">
        <f>COUNTIF(Table1[[#This Row],[2019-Apr]:[2025-July]],"&gt;="&amp;Table1[[#This Row],[Target]])</f>
        <v>0</v>
      </c>
      <c r="O1330" s="4">
        <f>IF(Table1[[#This Row],[Outliers 2Y]]=0,1,0)</f>
        <v>1</v>
      </c>
      <c r="P1330" s="4">
        <f>IF(Table1[[#This Row],[Last value]]&gt;1.5*Table1[[#This Row],[Target]],1,0)</f>
        <v>0</v>
      </c>
      <c r="Q1330" s="4">
        <f>IF(AND(1.5*Table1[[#This Row],[Target]]&gt;=Table1[[#This Row],[Last value]],Table1[[#This Row],[Last value]]&gt;Table1[[#This Row],[Target]]),1,0)</f>
        <v>0</v>
      </c>
      <c r="R1330" s="4">
        <f>IF(Table1[[#This Row],[Target]]&gt;=Table1[[#This Row],[Last value]],1,0)</f>
        <v>1</v>
      </c>
      <c r="S1330" s="4" t="str">
        <f t="shared" si="32"/>
        <v>Green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2.94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2.99</v>
      </c>
      <c r="CH1330" s="4">
        <v>3.16</v>
      </c>
      <c r="CI1330" s="4">
        <v>0</v>
      </c>
      <c r="CJ1330" s="38">
        <v>2.8</v>
      </c>
      <c r="CK1330" s="38">
        <v>0</v>
      </c>
      <c r="CL1330" s="43">
        <v>2.5</v>
      </c>
      <c r="CM1330" s="4">
        <v>0</v>
      </c>
      <c r="CN1330" s="53">
        <v>0</v>
      </c>
      <c r="CO1330" s="54">
        <v>2.6</v>
      </c>
      <c r="CP1330" s="54">
        <v>2.4</v>
      </c>
      <c r="CQ1330" s="4">
        <v>2.8</v>
      </c>
    </row>
    <row r="1331" spans="1:95" x14ac:dyDescent="0.35">
      <c r="A1331" s="55">
        <v>1330</v>
      </c>
      <c r="B1331" s="23" t="s">
        <v>126</v>
      </c>
      <c r="C1331" s="29" t="s">
        <v>1322</v>
      </c>
      <c r="D1331" s="3" t="s">
        <v>93</v>
      </c>
      <c r="E1331" s="29" t="s">
        <v>89</v>
      </c>
      <c r="F1331" s="4">
        <f>IFERROR(AVERAGEIF(Table1[[#This Row],[2019-Apr]:[2025-July]],"&lt;&gt;0"),0)</f>
        <v>3.7936363636363635</v>
      </c>
      <c r="G1331" s="4">
        <f ca="1">IFERROR(AVERAGEIF(OFFSET(Table1[[#This Row],[Status]],0,COUNT(Table1[[#This Row],[2019-May]:[2025-July]]),1,-12),"&lt;&gt;0"),0)</f>
        <v>3.5012499999999998</v>
      </c>
      <c r="H1331" s="55">
        <f>IFERROR(SMALL(Table1[[#This Row],[2019-Apr]:[2025-July]],COUNTIF(Table1[[#This Row],[2019-Apr]:[2025-July]],0)+1),0)</f>
        <v>2</v>
      </c>
      <c r="I1331" s="56">
        <f>IFERROR(MAX(Table1[[#This Row],[2019-Apr]:[2025-July]]),0)</f>
        <v>6</v>
      </c>
      <c r="J1331" s="4" cm="1">
        <f t="array" ref="J133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2.9649999999999999</v>
      </c>
      <c r="K1331" s="4">
        <v>4.5</v>
      </c>
      <c r="L1331" s="4">
        <f>IF(Table1[[#This Row],[Standard as per ISO]]&gt;=Table1[[#This Row],[Avg of best 6]],Table1[[#This Row],[Standard as per ISO]],Table1[[#This Row],[Avg of best 6]])</f>
        <v>4.5</v>
      </c>
      <c r="M1331" s="4" cm="1">
        <f t="array" ref="M1331">IFERROR(LOOKUP(2,1/(Table1[[#This Row],[2019-May]:[2025-July]]&lt;&gt;0),Table1[[#This Row],[2019-May]:[2025-July]]),0)</f>
        <v>2.5</v>
      </c>
      <c r="N1331" s="4">
        <f>COUNTIF(Table1[[#This Row],[2019-Apr]:[2025-July]],"&gt;="&amp;Table1[[#This Row],[Target]])</f>
        <v>3</v>
      </c>
      <c r="O1331" s="4">
        <f>IF(Table1[[#This Row],[Outliers 2Y]]=0,1,0)</f>
        <v>0</v>
      </c>
      <c r="P1331" s="4">
        <f>IF(Table1[[#This Row],[Last value]]&gt;1.5*Table1[[#This Row],[Target]],1,0)</f>
        <v>0</v>
      </c>
      <c r="Q1331" s="4">
        <f>IF(AND(1.5*Table1[[#This Row],[Target]]&gt;=Table1[[#This Row],[Last value]],Table1[[#This Row],[Last value]]&gt;Table1[[#This Row],[Target]]),1,0)</f>
        <v>0</v>
      </c>
      <c r="R1331" s="4">
        <f>IF(Table1[[#This Row],[Target]]&gt;=Table1[[#This Row],[Last value]],1,0)</f>
        <v>1</v>
      </c>
      <c r="S1331" s="4" t="str">
        <f t="shared" si="32"/>
        <v>Green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3.84</v>
      </c>
      <c r="CB1331" s="4">
        <v>4.7</v>
      </c>
      <c r="CC1331" s="4">
        <v>0</v>
      </c>
      <c r="CD1331" s="4">
        <v>5.18</v>
      </c>
      <c r="CE1331" s="4">
        <v>0</v>
      </c>
      <c r="CF1331" s="4">
        <v>6</v>
      </c>
      <c r="CG1331" s="4">
        <v>3.7</v>
      </c>
      <c r="CH1331" s="4">
        <v>3.79</v>
      </c>
      <c r="CI1331" s="4">
        <v>4.22</v>
      </c>
      <c r="CJ1331" s="34">
        <v>0</v>
      </c>
      <c r="CK1331" s="34">
        <v>3.2</v>
      </c>
      <c r="CL1331" s="43">
        <v>0</v>
      </c>
      <c r="CM1331" s="4">
        <v>2</v>
      </c>
      <c r="CN1331" s="53">
        <v>2.6</v>
      </c>
      <c r="CO1331" s="54">
        <v>2.5</v>
      </c>
      <c r="CP1331" s="54">
        <v>0</v>
      </c>
      <c r="CQ1331" s="4">
        <v>0</v>
      </c>
    </row>
    <row r="1332" spans="1:95" x14ac:dyDescent="0.35">
      <c r="A1332" s="55">
        <v>1331</v>
      </c>
      <c r="B1332" s="23" t="s">
        <v>126</v>
      </c>
      <c r="C1332" s="29" t="s">
        <v>1323</v>
      </c>
      <c r="D1332" s="3" t="s">
        <v>93</v>
      </c>
      <c r="E1332" s="29" t="s">
        <v>89</v>
      </c>
      <c r="F1332" s="4">
        <f>IFERROR(AVERAGEIF(Table1[[#This Row],[2019-Apr]:[2025-July]],"&lt;&gt;0"),0)</f>
        <v>4.1900000000000004</v>
      </c>
      <c r="G1332" s="4">
        <f ca="1">IFERROR(AVERAGEIF(OFFSET(Table1[[#This Row],[Status]],0,COUNT(Table1[[#This Row],[2019-May]:[2025-July]]),1,-12),"&lt;&gt;0"),0)</f>
        <v>3.4962499999999999</v>
      </c>
      <c r="H1332" s="55">
        <f>IFERROR(SMALL(Table1[[#This Row],[2019-Apr]:[2025-July]],COUNTIF(Table1[[#This Row],[2019-Apr]:[2025-July]],0)+1),0)</f>
        <v>2.4</v>
      </c>
      <c r="I1332" s="56">
        <f>IFERROR(MAX(Table1[[#This Row],[2019-Apr]:[2025-July]]),0)</f>
        <v>6.29</v>
      </c>
      <c r="J1332" s="4" cm="1">
        <f t="array" ref="J133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3.3083333333333336</v>
      </c>
      <c r="K1332" s="4">
        <v>4.5</v>
      </c>
      <c r="L1332" s="4">
        <f>IF(Table1[[#This Row],[Standard as per ISO]]&gt;=Table1[[#This Row],[Avg of best 6]],Table1[[#This Row],[Standard as per ISO]],Table1[[#This Row],[Avg of best 6]])</f>
        <v>4.5</v>
      </c>
      <c r="M1332" s="4" cm="1">
        <f t="array" ref="M1332">IFERROR(LOOKUP(2,1/(Table1[[#This Row],[2019-May]:[2025-July]]&lt;&gt;0),Table1[[#This Row],[2019-May]:[2025-July]]),0)</f>
        <v>4.4000000000000004</v>
      </c>
      <c r="N1332" s="4">
        <f>COUNTIF(Table1[[#This Row],[2019-Apr]:[2025-July]],"&gt;="&amp;Table1[[#This Row],[Target]])</f>
        <v>3</v>
      </c>
      <c r="O1332" s="4">
        <f>IF(Table1[[#This Row],[Outliers 2Y]]=0,1,0)</f>
        <v>0</v>
      </c>
      <c r="P1332" s="4">
        <f>IF(Table1[[#This Row],[Last value]]&gt;1.5*Table1[[#This Row],[Target]],1,0)</f>
        <v>0</v>
      </c>
      <c r="Q1332" s="4">
        <f>IF(AND(1.5*Table1[[#This Row],[Target]]&gt;=Table1[[#This Row],[Last value]],Table1[[#This Row],[Last value]]&gt;Table1[[#This Row],[Target]]),1,0)</f>
        <v>0</v>
      </c>
      <c r="R1332" s="4">
        <f>IF(Table1[[#This Row],[Target]]&gt;=Table1[[#This Row],[Last value]],1,0)</f>
        <v>1</v>
      </c>
      <c r="S1332" s="4" t="str">
        <f t="shared" si="32"/>
        <v>Green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6.15</v>
      </c>
      <c r="CB1332" s="4">
        <v>5.47</v>
      </c>
      <c r="CC1332" s="4">
        <v>0</v>
      </c>
      <c r="CD1332" s="4">
        <v>6.29</v>
      </c>
      <c r="CE1332" s="4">
        <v>0</v>
      </c>
      <c r="CF1332" s="4">
        <v>0</v>
      </c>
      <c r="CG1332" s="4">
        <v>4.12</v>
      </c>
      <c r="CH1332" s="4">
        <v>0</v>
      </c>
      <c r="CI1332" s="4">
        <v>3.35</v>
      </c>
      <c r="CJ1332" s="38">
        <v>2.4</v>
      </c>
      <c r="CK1332" s="34">
        <v>3.6</v>
      </c>
      <c r="CL1332" s="43">
        <v>3.5</v>
      </c>
      <c r="CM1332" s="4">
        <v>3.2</v>
      </c>
      <c r="CN1332" s="53">
        <v>4</v>
      </c>
      <c r="CO1332" s="54">
        <v>0</v>
      </c>
      <c r="CP1332" s="54">
        <v>3.8</v>
      </c>
      <c r="CQ1332" s="4">
        <v>4.4000000000000004</v>
      </c>
    </row>
    <row r="1333" spans="1:95" x14ac:dyDescent="0.35">
      <c r="A1333" s="55">
        <v>1332</v>
      </c>
      <c r="B1333" s="23" t="s">
        <v>126</v>
      </c>
      <c r="C1333" s="29" t="s">
        <v>1324</v>
      </c>
      <c r="D1333" s="3" t="s">
        <v>93</v>
      </c>
      <c r="E1333" s="29" t="s">
        <v>89</v>
      </c>
      <c r="F1333" s="4">
        <f>IFERROR(AVERAGEIF(Table1[[#This Row],[2019-Apr]:[2025-July]],"&lt;&gt;0"),0)</f>
        <v>0.99888888888888894</v>
      </c>
      <c r="G1333" s="4">
        <f ca="1">IFERROR(AVERAGEIF(OFFSET(Table1[[#This Row],[Status]],0,COUNT(Table1[[#This Row],[2019-May]:[2025-July]]),1,-12),"&lt;&gt;0"),0)</f>
        <v>1.01125</v>
      </c>
      <c r="H1333" s="55">
        <f>IFERROR(SMALL(Table1[[#This Row],[2019-Apr]:[2025-July]],COUNTIF(Table1[[#This Row],[2019-Apr]:[2025-July]],0)+1),0)</f>
        <v>0.6</v>
      </c>
      <c r="I1333" s="56">
        <f>IFERROR(MAX(Table1[[#This Row],[2019-Apr]:[2025-July]]),0)</f>
        <v>1.33</v>
      </c>
      <c r="J1333" s="4" cm="1">
        <f t="array" ref="J133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0.87666666666666682</v>
      </c>
      <c r="K1333" s="4">
        <v>4.5</v>
      </c>
      <c r="L1333" s="4">
        <f>IF(Table1[[#This Row],[Standard as per ISO]]&gt;=Table1[[#This Row],[Avg of best 6]],Table1[[#This Row],[Standard as per ISO]],Table1[[#This Row],[Avg of best 6]])</f>
        <v>4.5</v>
      </c>
      <c r="M1333" s="4" cm="1">
        <f t="array" ref="M1333">IFERROR(LOOKUP(2,1/(Table1[[#This Row],[2019-May]:[2025-July]]&lt;&gt;0),Table1[[#This Row],[2019-May]:[2025-July]]),0)</f>
        <v>0.9</v>
      </c>
      <c r="N1333" s="4">
        <f>COUNTIF(Table1[[#This Row],[2019-Apr]:[2025-July]],"&gt;="&amp;Table1[[#This Row],[Target]])</f>
        <v>0</v>
      </c>
      <c r="O1333" s="4">
        <f>IF(Table1[[#This Row],[Outliers 2Y]]=0,1,0)</f>
        <v>1</v>
      </c>
      <c r="P1333" s="4">
        <f>IF(Table1[[#This Row],[Last value]]&gt;1.5*Table1[[#This Row],[Target]],1,0)</f>
        <v>0</v>
      </c>
      <c r="Q1333" s="4">
        <f>IF(AND(1.5*Table1[[#This Row],[Target]]&gt;=Table1[[#This Row],[Last value]],Table1[[#This Row],[Last value]]&gt;Table1[[#This Row],[Target]]),1,0)</f>
        <v>0</v>
      </c>
      <c r="R1333" s="4">
        <f>IF(Table1[[#This Row],[Target]]&gt;=Table1[[#This Row],[Last value]],1,0)</f>
        <v>1</v>
      </c>
      <c r="S1333" s="4" t="str">
        <f t="shared" si="32"/>
        <v>Green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1.33</v>
      </c>
      <c r="CH1333" s="4">
        <v>0.68</v>
      </c>
      <c r="CI1333" s="4">
        <v>0.88</v>
      </c>
      <c r="CJ1333" s="38">
        <v>1</v>
      </c>
      <c r="CK1333" s="38">
        <v>0</v>
      </c>
      <c r="CL1333" s="43">
        <v>0.6</v>
      </c>
      <c r="CM1333" s="4">
        <v>1.2</v>
      </c>
      <c r="CN1333" s="53">
        <v>0</v>
      </c>
      <c r="CO1333" s="54">
        <v>1.2</v>
      </c>
      <c r="CP1333" s="54">
        <v>1.2</v>
      </c>
      <c r="CQ1333" s="4">
        <v>0.9</v>
      </c>
    </row>
    <row r="1334" spans="1:95" x14ac:dyDescent="0.35">
      <c r="A1334" s="55">
        <v>1333</v>
      </c>
      <c r="B1334" s="23" t="s">
        <v>126</v>
      </c>
      <c r="C1334" s="29" t="s">
        <v>1325</v>
      </c>
      <c r="D1334" s="3" t="s">
        <v>93</v>
      </c>
      <c r="E1334" s="29" t="s">
        <v>89</v>
      </c>
      <c r="F1334" s="4">
        <f>IFERROR(AVERAGEIF(Table1[[#This Row],[2019-Apr]:[2025-July]],"&lt;&gt;0"),0)</f>
        <v>0.95000000000000018</v>
      </c>
      <c r="G1334" s="4">
        <f ca="1">IFERROR(AVERAGEIF(OFFSET(Table1[[#This Row],[Status]],0,COUNT(Table1[[#This Row],[2019-May]:[2025-July]]),1,-12),"&lt;&gt;0"),0)</f>
        <v>0.9571428571428573</v>
      </c>
      <c r="H1334" s="55">
        <f>IFERROR(SMALL(Table1[[#This Row],[2019-Apr]:[2025-July]],COUNTIF(Table1[[#This Row],[2019-Apr]:[2025-July]],0)+1),0)</f>
        <v>0.9</v>
      </c>
      <c r="I1334" s="56">
        <f>IFERROR(MAX(Table1[[#This Row],[2019-Apr]:[2025-July]]),0)</f>
        <v>1.1000000000000001</v>
      </c>
      <c r="J1334" s="4" cm="1">
        <f t="array" ref="J133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0.91166666666666663</v>
      </c>
      <c r="K1334" s="4">
        <v>4.5</v>
      </c>
      <c r="L1334" s="4">
        <f>IF(Table1[[#This Row],[Standard as per ISO]]&gt;=Table1[[#This Row],[Avg of best 6]],Table1[[#This Row],[Standard as per ISO]],Table1[[#This Row],[Avg of best 6]])</f>
        <v>4.5</v>
      </c>
      <c r="M1334" s="4" cm="1">
        <f t="array" ref="M1334">IFERROR(LOOKUP(2,1/(Table1[[#This Row],[2019-May]:[2025-July]]&lt;&gt;0),Table1[[#This Row],[2019-May]:[2025-July]]),0)</f>
        <v>0.9</v>
      </c>
      <c r="N1334" s="4">
        <f>COUNTIF(Table1[[#This Row],[2019-Apr]:[2025-July]],"&gt;="&amp;Table1[[#This Row],[Target]])</f>
        <v>0</v>
      </c>
      <c r="O1334" s="4">
        <f>IF(Table1[[#This Row],[Outliers 2Y]]=0,1,0)</f>
        <v>1</v>
      </c>
      <c r="P1334" s="4">
        <f>IF(Table1[[#This Row],[Last value]]&gt;1.5*Table1[[#This Row],[Target]],1,0)</f>
        <v>0</v>
      </c>
      <c r="Q1334" s="4">
        <f>IF(AND(1.5*Table1[[#This Row],[Target]]&gt;=Table1[[#This Row],[Last value]],Table1[[#This Row],[Last value]]&gt;Table1[[#This Row],[Target]]),1,0)</f>
        <v>0</v>
      </c>
      <c r="R1334" s="4">
        <f>IF(Table1[[#This Row],[Target]]&gt;=Table1[[#This Row],[Last value]],1,0)</f>
        <v>1</v>
      </c>
      <c r="S1334" s="4" t="str">
        <f t="shared" si="32"/>
        <v>Green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0.97</v>
      </c>
      <c r="CI1334" s="4">
        <v>1.03</v>
      </c>
      <c r="CJ1334" s="38">
        <v>1.1000000000000001</v>
      </c>
      <c r="CK1334" s="38">
        <v>0</v>
      </c>
      <c r="CL1334" s="43">
        <v>0.9</v>
      </c>
      <c r="CM1334" s="4">
        <v>0.9</v>
      </c>
      <c r="CN1334" s="53">
        <v>0</v>
      </c>
      <c r="CO1334" s="54">
        <v>0.9</v>
      </c>
      <c r="CP1334" s="54">
        <v>0.9</v>
      </c>
      <c r="CQ1334" s="4">
        <v>0.9</v>
      </c>
    </row>
    <row r="1335" spans="1:95" x14ac:dyDescent="0.35">
      <c r="A1335" s="55">
        <v>1334</v>
      </c>
      <c r="B1335" s="23" t="s">
        <v>126</v>
      </c>
      <c r="C1335" s="29" t="s">
        <v>1597</v>
      </c>
      <c r="D1335" s="3" t="s">
        <v>93</v>
      </c>
      <c r="E1335" s="29" t="s">
        <v>89</v>
      </c>
      <c r="F1335" s="4">
        <f>IFERROR(AVERAGEIF(Table1[[#This Row],[2019-Apr]:[2025-July]],"&lt;&gt;0"),0)</f>
        <v>2.8</v>
      </c>
      <c r="G1335" s="4">
        <f ca="1">IFERROR(AVERAGEIF(OFFSET(Table1[[#This Row],[Status]],0,COUNT(Table1[[#This Row],[2019-May]:[2025-July]]),1,-12),"&lt;&gt;0"),0)</f>
        <v>0</v>
      </c>
      <c r="H1335" s="55">
        <f>IFERROR(SMALL(Table1[[#This Row],[2019-Apr]:[2025-July]],COUNTIF(Table1[[#This Row],[2019-Apr]:[2025-July]],0)+1),0)</f>
        <v>2.8</v>
      </c>
      <c r="I1335" s="56">
        <f>IFERROR(MAX(Table1[[#This Row],[2019-Apr]:[2025-July]]),0)</f>
        <v>2.8</v>
      </c>
      <c r="J1335" s="4" cm="1">
        <f t="array" ref="J133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</v>
      </c>
      <c r="K1335" s="4">
        <v>4.5</v>
      </c>
      <c r="L1335" s="4">
        <f>IF(Table1[[#This Row],[Standard as per ISO]]&gt;=Table1[[#This Row],[Avg of best 6]],Table1[[#This Row],[Standard as per ISO]],Table1[[#This Row],[Avg of best 6]])</f>
        <v>4.5</v>
      </c>
      <c r="M1335" s="4" cm="1">
        <f t="array" ref="M1335">IFERROR(LOOKUP(2,1/(Table1[[#This Row],[2019-May]:[2025-July]]&lt;&gt;0),Table1[[#This Row],[2019-May]:[2025-July]]),0)</f>
        <v>2.8</v>
      </c>
      <c r="N1335" s="4">
        <f>COUNTIF(Table1[[#This Row],[2019-Apr]:[2025-July]],"&gt;="&amp;Table1[[#This Row],[Target]])</f>
        <v>0</v>
      </c>
      <c r="O1335" s="4">
        <f>IF(Table1[[#This Row],[Outliers 2Y]]=0,1,0)</f>
        <v>1</v>
      </c>
      <c r="P1335" s="4">
        <f>IF(Table1[[#This Row],[Last value]]&gt;1.5*Table1[[#This Row],[Target]],1,0)</f>
        <v>0</v>
      </c>
      <c r="Q1335" s="4">
        <f>IF(AND(1.5*Table1[[#This Row],[Target]]&gt;=Table1[[#This Row],[Last value]],Table1[[#This Row],[Last value]]&gt;Table1[[#This Row],[Target]]),1,0)</f>
        <v>0</v>
      </c>
      <c r="R1335" s="4">
        <f>IF(Table1[[#This Row],[Target]]&gt;=Table1[[#This Row],[Last value]],1,0)</f>
        <v>1</v>
      </c>
      <c r="S1335" s="4" t="str">
        <f t="shared" si="32"/>
        <v>Green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34">
        <v>0</v>
      </c>
      <c r="CK1335" s="38">
        <v>0</v>
      </c>
      <c r="CL1335" s="43">
        <v>0</v>
      </c>
      <c r="CM1335" s="4">
        <v>0</v>
      </c>
      <c r="CN1335" s="53">
        <v>0</v>
      </c>
      <c r="CO1335" s="54">
        <v>0</v>
      </c>
      <c r="CP1335" s="54">
        <v>0</v>
      </c>
      <c r="CQ1335" s="4">
        <v>2.8</v>
      </c>
    </row>
    <row r="1336" spans="1:95" x14ac:dyDescent="0.35">
      <c r="A1336" s="55">
        <v>1335</v>
      </c>
      <c r="B1336" s="23" t="s">
        <v>126</v>
      </c>
      <c r="C1336" s="29" t="s">
        <v>1326</v>
      </c>
      <c r="D1336" s="3" t="s">
        <v>93</v>
      </c>
      <c r="E1336" s="29" t="s">
        <v>89</v>
      </c>
      <c r="F1336" s="4">
        <f>IFERROR(AVERAGEIF(Table1[[#This Row],[2019-Apr]:[2025-July]],"&lt;&gt;0"),0)</f>
        <v>0.6</v>
      </c>
      <c r="G1336" s="4">
        <f ca="1">IFERROR(AVERAGEIF(OFFSET(Table1[[#This Row],[Status]],0,COUNT(Table1[[#This Row],[2019-May]:[2025-July]]),1,-12),"&lt;&gt;0"),0)</f>
        <v>0</v>
      </c>
      <c r="H1336" s="55">
        <f>IFERROR(SMALL(Table1[[#This Row],[2019-Apr]:[2025-July]],COUNTIF(Table1[[#This Row],[2019-Apr]:[2025-July]],0)+1),0)</f>
        <v>0.6</v>
      </c>
      <c r="I1336" s="56">
        <f>IFERROR(MAX(Table1[[#This Row],[2019-Apr]:[2025-July]]),0)</f>
        <v>0.6</v>
      </c>
      <c r="J1336" s="4" cm="1">
        <f t="array" ref="J133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</v>
      </c>
      <c r="K1336" s="4">
        <v>4.5</v>
      </c>
      <c r="L1336" s="4">
        <f>IF(Table1[[#This Row],[Standard as per ISO]]&gt;=Table1[[#This Row],[Avg of best 6]],Table1[[#This Row],[Standard as per ISO]],Table1[[#This Row],[Avg of best 6]])</f>
        <v>4.5</v>
      </c>
      <c r="M1336" s="4" cm="1">
        <f t="array" ref="M1336">IFERROR(LOOKUP(2,1/(Table1[[#This Row],[2019-May]:[2025-July]]&lt;&gt;0),Table1[[#This Row],[2019-May]:[2025-July]]),0)</f>
        <v>0.6</v>
      </c>
      <c r="N1336" s="4">
        <f>COUNTIF(Table1[[#This Row],[2019-Apr]:[2025-July]],"&gt;="&amp;Table1[[#This Row],[Target]])</f>
        <v>0</v>
      </c>
      <c r="O1336" s="4">
        <f>IF(Table1[[#This Row],[Outliers 2Y]]=0,1,0)</f>
        <v>1</v>
      </c>
      <c r="P1336" s="4">
        <f>IF(Table1[[#This Row],[Last value]]&gt;1.5*Table1[[#This Row],[Target]],1,0)</f>
        <v>0</v>
      </c>
      <c r="Q1336" s="4">
        <f>IF(AND(1.5*Table1[[#This Row],[Target]]&gt;=Table1[[#This Row],[Last value]],Table1[[#This Row],[Last value]]&gt;Table1[[#This Row],[Target]]),1,0)</f>
        <v>0</v>
      </c>
      <c r="R1336" s="4">
        <f>IF(Table1[[#This Row],[Target]]&gt;=Table1[[#This Row],[Last value]],1,0)</f>
        <v>1</v>
      </c>
      <c r="S1336" s="4" t="str">
        <f t="shared" si="32"/>
        <v>Green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34">
        <v>0</v>
      </c>
      <c r="CK1336" s="38">
        <v>0</v>
      </c>
      <c r="CL1336" s="43">
        <v>0</v>
      </c>
      <c r="CM1336" s="4">
        <v>0</v>
      </c>
      <c r="CN1336" s="53">
        <v>0</v>
      </c>
      <c r="CO1336" s="54">
        <v>0</v>
      </c>
      <c r="CP1336" s="54">
        <v>0</v>
      </c>
      <c r="CQ1336" s="4">
        <v>0.6</v>
      </c>
    </row>
    <row r="1337" spans="1:95" x14ac:dyDescent="0.35">
      <c r="A1337" s="55">
        <v>1336</v>
      </c>
      <c r="B1337" s="23" t="s">
        <v>126</v>
      </c>
      <c r="C1337" s="27" t="s">
        <v>1327</v>
      </c>
      <c r="D1337" s="3" t="s">
        <v>93</v>
      </c>
      <c r="E1337" s="27" t="s">
        <v>89</v>
      </c>
      <c r="F1337" s="4">
        <f>IFERROR(AVERAGEIF(Table1[[#This Row],[2019-Apr]:[2025-July]],"&lt;&gt;0"),0)</f>
        <v>1.623</v>
      </c>
      <c r="G1337" s="4">
        <f ca="1">IFERROR(AVERAGEIF(OFFSET(Table1[[#This Row],[Status]],0,COUNT(Table1[[#This Row],[2019-May]:[2025-July]]),1,-12),"&lt;&gt;0"),0)</f>
        <v>1.5255555555555556</v>
      </c>
      <c r="H1337" s="55">
        <f>IFERROR(SMALL(Table1[[#This Row],[2019-Apr]:[2025-July]],COUNTIF(Table1[[#This Row],[2019-Apr]:[2025-July]],0)+1),0)</f>
        <v>0.63</v>
      </c>
      <c r="I1337" s="56">
        <f>IFERROR(MAX(Table1[[#This Row],[2019-Apr]:[2025-July]]),0)</f>
        <v>2.7</v>
      </c>
      <c r="J1337" s="4" cm="1">
        <f t="array" ref="J133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1.1883333333333332</v>
      </c>
      <c r="K1337" s="4">
        <v>4.5</v>
      </c>
      <c r="L1337" s="4">
        <f>IF(Table1[[#This Row],[Standard as per ISO]]&gt;=Table1[[#This Row],[Avg of best 6]],Table1[[#This Row],[Standard as per ISO]],Table1[[#This Row],[Avg of best 6]])</f>
        <v>4.5</v>
      </c>
      <c r="M1337" s="4" cm="1">
        <f t="array" ref="M1337">IFERROR(LOOKUP(2,1/(Table1[[#This Row],[2019-May]:[2025-July]]&lt;&gt;0),Table1[[#This Row],[2019-May]:[2025-July]]),0)</f>
        <v>2.5</v>
      </c>
      <c r="N1337" s="4">
        <f>COUNTIF(Table1[[#This Row],[2019-Apr]:[2025-July]],"&gt;="&amp;Table1[[#This Row],[Target]])</f>
        <v>0</v>
      </c>
      <c r="O1337" s="4">
        <f>IF(Table1[[#This Row],[Outliers 2Y]]=0,1,0)</f>
        <v>1</v>
      </c>
      <c r="P1337" s="4">
        <f>IF(Table1[[#This Row],[Last value]]&gt;1.5*Table1[[#This Row],[Target]],1,0)</f>
        <v>0</v>
      </c>
      <c r="Q1337" s="4">
        <f>IF(AND(1.5*Table1[[#This Row],[Target]]&gt;=Table1[[#This Row],[Last value]],Table1[[#This Row],[Last value]]&gt;Table1[[#This Row],[Target]]),1,0)</f>
        <v>0</v>
      </c>
      <c r="R1337" s="4">
        <f>IF(Table1[[#This Row],[Target]]&gt;=Table1[[#This Row],[Last value]],1,0)</f>
        <v>1</v>
      </c>
      <c r="S1337" s="4" t="str">
        <f t="shared" si="32"/>
        <v>Green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1</v>
      </c>
      <c r="CH1337" s="4">
        <v>0</v>
      </c>
      <c r="CI1337" s="4">
        <v>0.63</v>
      </c>
      <c r="CJ1337" s="34">
        <v>1.4</v>
      </c>
      <c r="CK1337" s="34">
        <v>1.1000000000000001</v>
      </c>
      <c r="CL1337" s="43">
        <v>2.1</v>
      </c>
      <c r="CM1337" s="4">
        <v>1.8</v>
      </c>
      <c r="CN1337" s="53">
        <v>1.5</v>
      </c>
      <c r="CO1337" s="54">
        <v>1.5</v>
      </c>
      <c r="CP1337" s="54">
        <v>2.7</v>
      </c>
      <c r="CQ1337" s="4">
        <v>2.5</v>
      </c>
    </row>
    <row r="1338" spans="1:95" x14ac:dyDescent="0.35">
      <c r="A1338" s="55">
        <v>1337</v>
      </c>
      <c r="B1338" s="23" t="s">
        <v>126</v>
      </c>
      <c r="C1338" s="27" t="s">
        <v>1328</v>
      </c>
      <c r="D1338" s="3" t="s">
        <v>93</v>
      </c>
      <c r="E1338" s="27" t="s">
        <v>89</v>
      </c>
      <c r="F1338" s="4">
        <f>IFERROR(AVERAGEIF(Table1[[#This Row],[2019-Apr]:[2025-July]],"&lt;&gt;0"),0)</f>
        <v>0.93333333333333324</v>
      </c>
      <c r="G1338" s="4">
        <f ca="1">IFERROR(AVERAGEIF(OFFSET(Table1[[#This Row],[Status]],0,COUNT(Table1[[#This Row],[2019-May]:[2025-July]]),1,-12),"&lt;&gt;0"),0)</f>
        <v>0.9</v>
      </c>
      <c r="H1338" s="55">
        <f>IFERROR(SMALL(Table1[[#This Row],[2019-Apr]:[2025-July]],COUNTIF(Table1[[#This Row],[2019-Apr]:[2025-July]],0)+1),0)</f>
        <v>0.6</v>
      </c>
      <c r="I1338" s="56">
        <f>IFERROR(MAX(Table1[[#This Row],[2019-Apr]:[2025-July]]),0)</f>
        <v>1.5</v>
      </c>
      <c r="J1338" s="4" cm="1">
        <f t="array" ref="J133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0.93333333333333324</v>
      </c>
      <c r="K1338" s="4">
        <v>4.5</v>
      </c>
      <c r="L1338" s="4">
        <f>IF(Table1[[#This Row],[Standard as per ISO]]&gt;=Table1[[#This Row],[Avg of best 6]],Table1[[#This Row],[Standard as per ISO]],Table1[[#This Row],[Avg of best 6]])</f>
        <v>4.5</v>
      </c>
      <c r="M1338" s="4" cm="1">
        <f t="array" ref="M1338">IFERROR(LOOKUP(2,1/(Table1[[#This Row],[2019-May]:[2025-July]]&lt;&gt;0),Table1[[#This Row],[2019-May]:[2025-July]]),0)</f>
        <v>1.1000000000000001</v>
      </c>
      <c r="N1338" s="4">
        <f>COUNTIF(Table1[[#This Row],[2019-Apr]:[2025-July]],"&gt;="&amp;Table1[[#This Row],[Target]])</f>
        <v>0</v>
      </c>
      <c r="O1338" s="4">
        <f>IF(Table1[[#This Row],[Outliers 2Y]]=0,1,0)</f>
        <v>1</v>
      </c>
      <c r="P1338" s="4">
        <f>IF(Table1[[#This Row],[Last value]]&gt;1.5*Table1[[#This Row],[Target]],1,0)</f>
        <v>0</v>
      </c>
      <c r="Q1338" s="4">
        <f>IF(AND(1.5*Table1[[#This Row],[Target]]&gt;=Table1[[#This Row],[Last value]],Table1[[#This Row],[Last value]]&gt;Table1[[#This Row],[Target]]),1,0)</f>
        <v>0</v>
      </c>
      <c r="R1338" s="4">
        <f>IF(Table1[[#This Row],[Target]]&gt;=Table1[[#This Row],[Last value]],1,0)</f>
        <v>1</v>
      </c>
      <c r="S1338" s="4" t="str">
        <f t="shared" si="32"/>
        <v>Green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34">
        <v>0.7</v>
      </c>
      <c r="CK1338" s="34">
        <v>0.6</v>
      </c>
      <c r="CL1338" s="43">
        <v>0</v>
      </c>
      <c r="CM1338" s="4">
        <v>1.1000000000000001</v>
      </c>
      <c r="CN1338" s="53">
        <v>0</v>
      </c>
      <c r="CO1338" s="54">
        <v>0.6</v>
      </c>
      <c r="CP1338" s="54">
        <v>1.5</v>
      </c>
      <c r="CQ1338" s="4">
        <v>1.1000000000000001</v>
      </c>
    </row>
    <row r="1339" spans="1:95" x14ac:dyDescent="0.35">
      <c r="A1339" s="55">
        <v>1338</v>
      </c>
      <c r="B1339" s="23" t="s">
        <v>126</v>
      </c>
      <c r="C1339" s="27" t="s">
        <v>1329</v>
      </c>
      <c r="D1339" s="3" t="s">
        <v>93</v>
      </c>
      <c r="E1339" s="27" t="s">
        <v>89</v>
      </c>
      <c r="F1339" s="4">
        <f>IFERROR(AVERAGEIF(Table1[[#This Row],[2019-Apr]:[2025-July]],"&lt;&gt;0"),0)</f>
        <v>0.78888888888888897</v>
      </c>
      <c r="G1339" s="4">
        <f ca="1">IFERROR(AVERAGEIF(OFFSET(Table1[[#This Row],[Status]],0,COUNT(Table1[[#This Row],[2019-May]:[2025-July]]),1,-12),"&lt;&gt;0"),0)</f>
        <v>0.78888888888888897</v>
      </c>
      <c r="H1339" s="55">
        <f>IFERROR(SMALL(Table1[[#This Row],[2019-Apr]:[2025-July]],COUNTIF(Table1[[#This Row],[2019-Apr]:[2025-July]],0)+1),0)</f>
        <v>0.5</v>
      </c>
      <c r="I1339" s="56">
        <f>IFERROR(MAX(Table1[[#This Row],[2019-Apr]:[2025-July]]),0)</f>
        <v>1.2</v>
      </c>
      <c r="J1339" s="4" cm="1">
        <f t="array" ref="J133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0.65</v>
      </c>
      <c r="K1339" s="4">
        <v>4.5</v>
      </c>
      <c r="L1339" s="4">
        <f>IF(Table1[[#This Row],[Standard as per ISO]]&gt;=Table1[[#This Row],[Avg of best 6]],Table1[[#This Row],[Standard as per ISO]],Table1[[#This Row],[Avg of best 6]])</f>
        <v>4.5</v>
      </c>
      <c r="M1339" s="4" cm="1">
        <f t="array" ref="M1339">IFERROR(LOOKUP(2,1/(Table1[[#This Row],[2019-May]:[2025-July]]&lt;&gt;0),Table1[[#This Row],[2019-May]:[2025-July]]),0)</f>
        <v>0.5</v>
      </c>
      <c r="N1339" s="4">
        <f>COUNTIF(Table1[[#This Row],[2019-Apr]:[2025-July]],"&gt;="&amp;Table1[[#This Row],[Target]])</f>
        <v>0</v>
      </c>
      <c r="O1339" s="4">
        <f>IF(Table1[[#This Row],[Outliers 2Y]]=0,1,0)</f>
        <v>1</v>
      </c>
      <c r="P1339" s="4">
        <f>IF(Table1[[#This Row],[Last value]]&gt;1.5*Table1[[#This Row],[Target]],1,0)</f>
        <v>0</v>
      </c>
      <c r="Q1339" s="4">
        <f>IF(AND(1.5*Table1[[#This Row],[Target]]&gt;=Table1[[#This Row],[Last value]],Table1[[#This Row],[Last value]]&gt;Table1[[#This Row],[Target]]),1,0)</f>
        <v>0</v>
      </c>
      <c r="R1339" s="4">
        <f>IF(Table1[[#This Row],[Target]]&gt;=Table1[[#This Row],[Last value]],1,0)</f>
        <v>1</v>
      </c>
      <c r="S1339" s="4" t="str">
        <f t="shared" si="32"/>
        <v>Green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0.6</v>
      </c>
      <c r="CI1339" s="4">
        <v>0.5</v>
      </c>
      <c r="CJ1339" s="38">
        <v>0.6</v>
      </c>
      <c r="CK1339" s="34">
        <v>1</v>
      </c>
      <c r="CL1339" s="43">
        <v>0.8</v>
      </c>
      <c r="CM1339" s="4">
        <v>1.2</v>
      </c>
      <c r="CN1339" s="53">
        <v>0.9</v>
      </c>
      <c r="CO1339" s="54">
        <v>1</v>
      </c>
      <c r="CP1339" s="54">
        <v>0.5</v>
      </c>
      <c r="CQ1339" s="4">
        <v>0</v>
      </c>
    </row>
    <row r="1340" spans="1:95" x14ac:dyDescent="0.35">
      <c r="A1340" s="55">
        <v>1339</v>
      </c>
      <c r="B1340" s="23" t="s">
        <v>126</v>
      </c>
      <c r="C1340" s="27" t="s">
        <v>1330</v>
      </c>
      <c r="D1340" s="3" t="s">
        <v>93</v>
      </c>
      <c r="E1340" s="27" t="s">
        <v>89</v>
      </c>
      <c r="F1340" s="4">
        <f>IFERROR(AVERAGEIF(Table1[[#This Row],[2019-Apr]:[2025-July]],"&lt;&gt;0"),0)</f>
        <v>4.9880000000000004</v>
      </c>
      <c r="G1340" s="4">
        <f ca="1">IFERROR(AVERAGEIF(OFFSET(Table1[[#This Row],[Status]],0,COUNT(Table1[[#This Row],[2019-May]:[2025-July]]),1,-12),"&lt;&gt;0"),0)</f>
        <v>5.2644444444444449</v>
      </c>
      <c r="H1340" s="55">
        <f>IFERROR(SMALL(Table1[[#This Row],[2019-Apr]:[2025-July]],COUNTIF(Table1[[#This Row],[2019-Apr]:[2025-July]],0)+1),0)</f>
        <v>2.5</v>
      </c>
      <c r="I1340" s="56">
        <f>IFERROR(MAX(Table1[[#This Row],[2019-Apr]:[2025-July]]),0)</f>
        <v>8.1</v>
      </c>
      <c r="J1340" s="4" cm="1">
        <f t="array" ref="J134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3.913333333333334</v>
      </c>
      <c r="K1340" s="4">
        <v>4.5</v>
      </c>
      <c r="L1340" s="4">
        <f>IF(Table1[[#This Row],[Standard as per ISO]]&gt;=Table1[[#This Row],[Avg of best 6]],Table1[[#This Row],[Standard as per ISO]],Table1[[#This Row],[Avg of best 6]])</f>
        <v>4.5</v>
      </c>
      <c r="M1340" s="4" cm="1">
        <f t="array" ref="M1340">IFERROR(LOOKUP(2,1/(Table1[[#This Row],[2019-May]:[2025-July]]&lt;&gt;0),Table1[[#This Row],[2019-May]:[2025-July]]),0)</f>
        <v>2.5</v>
      </c>
      <c r="N1340" s="4">
        <f>COUNTIF(Table1[[#This Row],[2019-Apr]:[2025-July]],"&gt;="&amp;Table1[[#This Row],[Target]])</f>
        <v>6</v>
      </c>
      <c r="O1340" s="4">
        <f>IF(Table1[[#This Row],[Outliers 2Y]]=0,1,0)</f>
        <v>0</v>
      </c>
      <c r="P1340" s="4">
        <f>IF(Table1[[#This Row],[Last value]]&gt;1.5*Table1[[#This Row],[Target]],1,0)</f>
        <v>0</v>
      </c>
      <c r="Q1340" s="4">
        <f>IF(AND(1.5*Table1[[#This Row],[Target]]&gt;=Table1[[#This Row],[Last value]],Table1[[#This Row],[Last value]]&gt;Table1[[#This Row],[Target]]),1,0)</f>
        <v>0</v>
      </c>
      <c r="R1340" s="4">
        <f>IF(Table1[[#This Row],[Target]]&gt;=Table1[[#This Row],[Last value]],1,0)</f>
        <v>1</v>
      </c>
      <c r="S1340" s="4" t="str">
        <f t="shared" si="32"/>
        <v>Green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3.75</v>
      </c>
      <c r="CH1340" s="4">
        <v>4.71</v>
      </c>
      <c r="CI1340" s="4">
        <v>3.22</v>
      </c>
      <c r="CJ1340" s="38">
        <v>3.7</v>
      </c>
      <c r="CK1340" s="34">
        <v>5.7</v>
      </c>
      <c r="CL1340" s="43">
        <v>5.8</v>
      </c>
      <c r="CM1340" s="4">
        <v>6.8</v>
      </c>
      <c r="CN1340" s="53">
        <v>0</v>
      </c>
      <c r="CO1340" s="54">
        <v>8.1</v>
      </c>
      <c r="CP1340" s="54">
        <v>5.6</v>
      </c>
      <c r="CQ1340" s="4">
        <v>2.5</v>
      </c>
    </row>
    <row r="1341" spans="1:95" x14ac:dyDescent="0.35">
      <c r="A1341" s="55">
        <v>1340</v>
      </c>
      <c r="B1341" s="23" t="s">
        <v>126</v>
      </c>
      <c r="C1341" s="27" t="s">
        <v>1331</v>
      </c>
      <c r="D1341" s="3" t="s">
        <v>93</v>
      </c>
      <c r="E1341" s="27" t="s">
        <v>89</v>
      </c>
      <c r="F1341" s="4">
        <f>IFERROR(AVERAGEIF(Table1[[#This Row],[2019-Apr]:[2025-July]],"&lt;&gt;0"),0)</f>
        <v>3.3333333333333335</v>
      </c>
      <c r="G1341" s="4">
        <f ca="1">IFERROR(AVERAGEIF(OFFSET(Table1[[#This Row],[Status]],0,COUNT(Table1[[#This Row],[2019-May]:[2025-July]]),1,-12),"&lt;&gt;0"),0)</f>
        <v>2.5375000000000001</v>
      </c>
      <c r="H1341" s="55">
        <f>IFERROR(SMALL(Table1[[#This Row],[2019-Apr]:[2025-July]],COUNTIF(Table1[[#This Row],[2019-Apr]:[2025-July]],0)+1),0)</f>
        <v>1.95</v>
      </c>
      <c r="I1341" s="56">
        <f>IFERROR(MAX(Table1[[#This Row],[2019-Apr]:[2025-July]]),0)</f>
        <v>9.6999999999999993</v>
      </c>
      <c r="J1341" s="4" cm="1">
        <f t="array" ref="J134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2.3666666666666667</v>
      </c>
      <c r="K1341" s="4">
        <v>4.5</v>
      </c>
      <c r="L1341" s="4">
        <f>IF(Table1[[#This Row],[Standard as per ISO]]&gt;=Table1[[#This Row],[Avg of best 6]],Table1[[#This Row],[Standard as per ISO]],Table1[[#This Row],[Avg of best 6]])</f>
        <v>4.5</v>
      </c>
      <c r="M1341" s="4" cm="1">
        <f t="array" ref="M1341">IFERROR(LOOKUP(2,1/(Table1[[#This Row],[2019-May]:[2025-July]]&lt;&gt;0),Table1[[#This Row],[2019-May]:[2025-July]]),0)</f>
        <v>9.6999999999999993</v>
      </c>
      <c r="N1341" s="4">
        <f>COUNTIF(Table1[[#This Row],[2019-Apr]:[2025-July]],"&gt;="&amp;Table1[[#This Row],[Target]])</f>
        <v>1</v>
      </c>
      <c r="O1341" s="4">
        <f>IF(Table1[[#This Row],[Outliers 2Y]]=0,1,0)</f>
        <v>0</v>
      </c>
      <c r="P1341" s="4">
        <f>IF(Table1[[#This Row],[Last value]]&gt;1.5*Table1[[#This Row],[Target]],1,0)</f>
        <v>1</v>
      </c>
      <c r="Q1341" s="4">
        <f>IF(AND(1.5*Table1[[#This Row],[Target]]&gt;=Table1[[#This Row],[Last value]],Table1[[#This Row],[Last value]]&gt;Table1[[#This Row],[Target]]),1,0)</f>
        <v>0</v>
      </c>
      <c r="R1341" s="4">
        <f>IF(Table1[[#This Row],[Target]]&gt;=Table1[[#This Row],[Last value]],1,0)</f>
        <v>0</v>
      </c>
      <c r="S1341" s="4" t="str">
        <f t="shared" si="32"/>
        <v>Red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1.95</v>
      </c>
      <c r="CH1341" s="4">
        <v>2.4300000000000002</v>
      </c>
      <c r="CI1341" s="4">
        <v>2.82</v>
      </c>
      <c r="CJ1341" s="38">
        <v>2.1</v>
      </c>
      <c r="CK1341" s="34">
        <v>2.2999999999999998</v>
      </c>
      <c r="CL1341" s="43">
        <v>3</v>
      </c>
      <c r="CM1341" s="4">
        <v>0</v>
      </c>
      <c r="CN1341" s="53">
        <v>0</v>
      </c>
      <c r="CO1341" s="54">
        <v>3.1</v>
      </c>
      <c r="CP1341" s="54">
        <v>2.6</v>
      </c>
      <c r="CQ1341" s="4">
        <v>9.6999999999999993</v>
      </c>
    </row>
    <row r="1342" spans="1:95" x14ac:dyDescent="0.35">
      <c r="A1342" s="55">
        <v>1341</v>
      </c>
      <c r="B1342" s="23" t="s">
        <v>126</v>
      </c>
      <c r="C1342" s="27" t="s">
        <v>1332</v>
      </c>
      <c r="D1342" s="3" t="s">
        <v>93</v>
      </c>
      <c r="E1342" s="27" t="s">
        <v>89</v>
      </c>
      <c r="F1342" s="4">
        <f>IFERROR(AVERAGEIF(Table1[[#This Row],[2019-Apr]:[2025-July]],"&lt;&gt;0"),0)</f>
        <v>5.7288888888888883</v>
      </c>
      <c r="G1342" s="4">
        <f ca="1">IFERROR(AVERAGEIF(OFFSET(Table1[[#This Row],[Status]],0,COUNT(Table1[[#This Row],[2019-May]:[2025-July]]),1,-12),"&lt;&gt;0"),0)</f>
        <v>5.7824999999999998</v>
      </c>
      <c r="H1342" s="55">
        <f>IFERROR(SMALL(Table1[[#This Row],[2019-Apr]:[2025-July]],COUNTIF(Table1[[#This Row],[2019-Apr]:[2025-July]],0)+1),0)</f>
        <v>3.3</v>
      </c>
      <c r="I1342" s="56">
        <f>IFERROR(MAX(Table1[[#This Row],[2019-Apr]:[2025-July]]),0)</f>
        <v>8.9</v>
      </c>
      <c r="J1342" s="4" cm="1">
        <f t="array" ref="J134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4.7666666666666666</v>
      </c>
      <c r="K1342" s="4">
        <v>4.5</v>
      </c>
      <c r="L1342" s="4">
        <f>IF(Table1[[#This Row],[Standard as per ISO]]&gt;=Table1[[#This Row],[Avg of best 6]],Table1[[#This Row],[Standard as per ISO]],Table1[[#This Row],[Avg of best 6]])</f>
        <v>4.7666666666666666</v>
      </c>
      <c r="M1342" s="4" cm="1">
        <f t="array" ref="M1342">IFERROR(LOOKUP(2,1/(Table1[[#This Row],[2019-May]:[2025-July]]&lt;&gt;0),Table1[[#This Row],[2019-May]:[2025-July]]),0)</f>
        <v>5.3</v>
      </c>
      <c r="N1342" s="4">
        <f>COUNTIF(Table1[[#This Row],[2019-Apr]:[2025-July]],"&gt;="&amp;Table1[[#This Row],[Target]])</f>
        <v>7</v>
      </c>
      <c r="O1342" s="4">
        <f>IF(Table1[[#This Row],[Outliers 2Y]]=0,1,0)</f>
        <v>0</v>
      </c>
      <c r="P1342" s="4">
        <f>IF(Table1[[#This Row],[Last value]]&gt;1.5*Table1[[#This Row],[Target]],1,0)</f>
        <v>0</v>
      </c>
      <c r="Q1342" s="4">
        <f>IF(AND(1.5*Table1[[#This Row],[Target]]&gt;=Table1[[#This Row],[Last value]],Table1[[#This Row],[Last value]]&gt;Table1[[#This Row],[Target]]),1,0)</f>
        <v>1</v>
      </c>
      <c r="R1342" s="4">
        <f>IF(Table1[[#This Row],[Target]]&gt;=Table1[[#This Row],[Last value]],1,0)</f>
        <v>0</v>
      </c>
      <c r="S1342" s="4" t="str">
        <f t="shared" si="32"/>
        <v>Yellow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8.9</v>
      </c>
      <c r="CH1342" s="4">
        <v>6.06</v>
      </c>
      <c r="CI1342" s="4">
        <v>4.8</v>
      </c>
      <c r="CJ1342" s="38">
        <v>5.2</v>
      </c>
      <c r="CK1342" s="38">
        <v>0</v>
      </c>
      <c r="CL1342" s="43">
        <v>8</v>
      </c>
      <c r="CM1342" s="4">
        <v>4.4000000000000004</v>
      </c>
      <c r="CN1342" s="53">
        <v>0</v>
      </c>
      <c r="CO1342" s="54">
        <v>5.6</v>
      </c>
      <c r="CP1342" s="54">
        <v>3.3</v>
      </c>
      <c r="CQ1342" s="4">
        <v>5.3</v>
      </c>
    </row>
    <row r="1343" spans="1:95" x14ac:dyDescent="0.35">
      <c r="A1343" s="55">
        <v>1342</v>
      </c>
      <c r="B1343" s="23" t="s">
        <v>126</v>
      </c>
      <c r="C1343" s="29" t="s">
        <v>1333</v>
      </c>
      <c r="D1343" s="3" t="s">
        <v>94</v>
      </c>
      <c r="E1343" s="29" t="s">
        <v>89</v>
      </c>
      <c r="F1343" s="4">
        <f>IFERROR(AVERAGEIF(Table1[[#This Row],[2019-Apr]:[2025-July]],"&lt;&gt;0"),0)</f>
        <v>5.9900000000000011</v>
      </c>
      <c r="G1343" s="4">
        <f ca="1">IFERROR(AVERAGEIF(OFFSET(Table1[[#This Row],[Status]],0,COUNT(Table1[[#This Row],[2019-May]:[2025-July]]),1,-12),"&lt;&gt;0"),0)</f>
        <v>6.2383333333333342</v>
      </c>
      <c r="H1343" s="55">
        <f>IFERROR(SMALL(Table1[[#This Row],[2019-Apr]:[2025-July]],COUNTIF(Table1[[#This Row],[2019-Apr]:[2025-July]],0)+1),0)</f>
        <v>3.9</v>
      </c>
      <c r="I1343" s="56">
        <f>IFERROR(MAX(Table1[[#This Row],[2019-Apr]:[2025-July]]),0)</f>
        <v>10.55</v>
      </c>
      <c r="J1343" s="4" cm="1">
        <f t="array" ref="J134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5.23</v>
      </c>
      <c r="K1343" s="4">
        <v>4.5</v>
      </c>
      <c r="L1343" s="4">
        <f>IF(Table1[[#This Row],[Standard as per ISO]]&gt;=Table1[[#This Row],[Avg of best 6]],Table1[[#This Row],[Standard as per ISO]],Table1[[#This Row],[Avg of best 6]])</f>
        <v>5.23</v>
      </c>
      <c r="M1343" s="4" cm="1">
        <f t="array" ref="M1343">IFERROR(LOOKUP(2,1/(Table1[[#This Row],[2019-May]:[2025-July]]&lt;&gt;0),Table1[[#This Row],[2019-May]:[2025-July]]),0)</f>
        <v>4.5</v>
      </c>
      <c r="N1343" s="4">
        <f>COUNTIF(Table1[[#This Row],[2019-Apr]:[2025-July]],"&gt;="&amp;Table1[[#This Row],[Target]])</f>
        <v>2</v>
      </c>
      <c r="O1343" s="4">
        <f>IF(Table1[[#This Row],[Outliers 2Y]]=0,1,0)</f>
        <v>0</v>
      </c>
      <c r="P1343" s="4">
        <f>IF(Table1[[#This Row],[Last value]]&gt;1.5*Table1[[#This Row],[Target]],1,0)</f>
        <v>0</v>
      </c>
      <c r="Q1343" s="4">
        <f>IF(AND(1.5*Table1[[#This Row],[Target]]&gt;=Table1[[#This Row],[Last value]],Table1[[#This Row],[Last value]]&gt;Table1[[#This Row],[Target]]),1,0)</f>
        <v>0</v>
      </c>
      <c r="R1343" s="4">
        <f>IF(Table1[[#This Row],[Target]]&gt;=Table1[[#This Row],[Last value]],1,0)</f>
        <v>1</v>
      </c>
      <c r="S1343" s="4" t="str">
        <f t="shared" si="32"/>
        <v>Green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8.8800000000000008</v>
      </c>
      <c r="CI1343" s="4">
        <v>10.55</v>
      </c>
      <c r="CJ1343" s="34">
        <v>0</v>
      </c>
      <c r="CK1343" s="34">
        <v>5.0999999999999996</v>
      </c>
      <c r="CL1343" s="43">
        <v>4.8</v>
      </c>
      <c r="CM1343" s="4">
        <v>0</v>
      </c>
      <c r="CN1343" s="53">
        <v>0</v>
      </c>
      <c r="CO1343" s="54">
        <v>3.9</v>
      </c>
      <c r="CP1343" s="54">
        <v>4.2</v>
      </c>
      <c r="CQ1343" s="4">
        <v>4.5</v>
      </c>
    </row>
    <row r="1344" spans="1:95" x14ac:dyDescent="0.35">
      <c r="A1344" s="55">
        <v>1343</v>
      </c>
      <c r="B1344" s="23" t="s">
        <v>126</v>
      </c>
      <c r="C1344" s="29" t="s">
        <v>1334</v>
      </c>
      <c r="D1344" s="3" t="s">
        <v>94</v>
      </c>
      <c r="E1344" s="29" t="s">
        <v>89</v>
      </c>
      <c r="F1344" s="4">
        <f>IFERROR(AVERAGEIF(Table1[[#This Row],[2019-Apr]:[2025-July]],"&lt;&gt;0"),0)</f>
        <v>4.3833333333333337</v>
      </c>
      <c r="G1344" s="4">
        <f ca="1">IFERROR(AVERAGEIF(OFFSET(Table1[[#This Row],[Status]],0,COUNT(Table1[[#This Row],[2019-May]:[2025-July]]),1,-12),"&lt;&gt;0"),0)</f>
        <v>4.3400000000000007</v>
      </c>
      <c r="H1344" s="55">
        <f>IFERROR(SMALL(Table1[[#This Row],[2019-Apr]:[2025-July]],COUNTIF(Table1[[#This Row],[2019-Apr]:[2025-July]],0)+1),0)</f>
        <v>3.8</v>
      </c>
      <c r="I1344" s="56">
        <f>IFERROR(MAX(Table1[[#This Row],[2019-Apr]:[2025-July]]),0)</f>
        <v>5</v>
      </c>
      <c r="J1344" s="4" cm="1">
        <f t="array" ref="J134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4.3833333333333337</v>
      </c>
      <c r="K1344" s="4">
        <v>4.5</v>
      </c>
      <c r="L1344" s="4">
        <f>IF(Table1[[#This Row],[Standard as per ISO]]&gt;=Table1[[#This Row],[Avg of best 6]],Table1[[#This Row],[Standard as per ISO]],Table1[[#This Row],[Avg of best 6]])</f>
        <v>4.5</v>
      </c>
      <c r="M1344" s="4" cm="1">
        <f t="array" ref="M1344">IFERROR(LOOKUP(2,1/(Table1[[#This Row],[2019-May]:[2025-July]]&lt;&gt;0),Table1[[#This Row],[2019-May]:[2025-July]]),0)</f>
        <v>4.5999999999999996</v>
      </c>
      <c r="N1344" s="4">
        <f>COUNTIF(Table1[[#This Row],[2019-Apr]:[2025-July]],"&gt;="&amp;Table1[[#This Row],[Target]])</f>
        <v>3</v>
      </c>
      <c r="O1344" s="4">
        <f>IF(Table1[[#This Row],[Outliers 2Y]]=0,1,0)</f>
        <v>0</v>
      </c>
      <c r="P1344" s="4">
        <f>IF(Table1[[#This Row],[Last value]]&gt;1.5*Table1[[#This Row],[Target]],1,0)</f>
        <v>0</v>
      </c>
      <c r="Q1344" s="4">
        <f>IF(AND(1.5*Table1[[#This Row],[Target]]&gt;=Table1[[#This Row],[Last value]],Table1[[#This Row],[Last value]]&gt;Table1[[#This Row],[Target]]),1,0)</f>
        <v>1</v>
      </c>
      <c r="R1344" s="4">
        <f>IF(Table1[[#This Row],[Target]]&gt;=Table1[[#This Row],[Last value]],1,0)</f>
        <v>0</v>
      </c>
      <c r="S1344" s="4" t="str">
        <f t="shared" si="32"/>
        <v>Yellow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4.8</v>
      </c>
      <c r="CJ1344" s="34">
        <v>0</v>
      </c>
      <c r="CK1344" s="34">
        <v>5</v>
      </c>
      <c r="CL1344" s="43">
        <v>3.8</v>
      </c>
      <c r="CM1344" s="4">
        <v>0</v>
      </c>
      <c r="CN1344" s="53">
        <v>0</v>
      </c>
      <c r="CO1344" s="54">
        <v>4</v>
      </c>
      <c r="CP1344" s="54">
        <v>4.0999999999999996</v>
      </c>
      <c r="CQ1344" s="4">
        <v>4.5999999999999996</v>
      </c>
    </row>
    <row r="1345" spans="1:95" x14ac:dyDescent="0.35">
      <c r="A1345" s="55">
        <v>1344</v>
      </c>
      <c r="B1345" s="23" t="s">
        <v>126</v>
      </c>
      <c r="C1345" s="29" t="s">
        <v>1335</v>
      </c>
      <c r="D1345" s="3" t="s">
        <v>94</v>
      </c>
      <c r="E1345" s="29" t="s">
        <v>91</v>
      </c>
      <c r="F1345" s="4">
        <f>IFERROR(AVERAGEIF(Table1[[#This Row],[2019-Apr]:[2025-July]],"&lt;&gt;0"),0)</f>
        <v>1.04</v>
      </c>
      <c r="G1345" s="4">
        <f ca="1">IFERROR(AVERAGEIF(OFFSET(Table1[[#This Row],[Status]],0,COUNT(Table1[[#This Row],[2019-May]:[2025-July]]),1,-12),"&lt;&gt;0"),0)</f>
        <v>1.04</v>
      </c>
      <c r="H1345" s="55">
        <f>IFERROR(SMALL(Table1[[#This Row],[2019-Apr]:[2025-July]],COUNTIF(Table1[[#This Row],[2019-Apr]:[2025-July]],0)+1),0)</f>
        <v>1.04</v>
      </c>
      <c r="I1345" s="56">
        <f>IFERROR(MAX(Table1[[#This Row],[2019-Apr]:[2025-July]]),0)</f>
        <v>1.04</v>
      </c>
      <c r="J1345" s="4" cm="1">
        <f t="array" ref="J134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1.04</v>
      </c>
      <c r="K1345" s="4">
        <v>4.5</v>
      </c>
      <c r="L1345" s="4">
        <f>IF(Table1[[#This Row],[Standard as per ISO]]&gt;=Table1[[#This Row],[Avg of best 6]],Table1[[#This Row],[Standard as per ISO]],Table1[[#This Row],[Avg of best 6]])</f>
        <v>4.5</v>
      </c>
      <c r="M1345" s="4" cm="1">
        <f t="array" ref="M1345">IFERROR(LOOKUP(2,1/(Table1[[#This Row],[2019-May]:[2025-July]]&lt;&gt;0),Table1[[#This Row],[2019-May]:[2025-July]]),0)</f>
        <v>1.04</v>
      </c>
      <c r="N1345" s="4">
        <f>COUNTIF(Table1[[#This Row],[2019-Apr]:[2025-July]],"&gt;="&amp;Table1[[#This Row],[Target]])</f>
        <v>0</v>
      </c>
      <c r="O1345" s="4">
        <f>IF(Table1[[#This Row],[Outliers 2Y]]=0,1,0)</f>
        <v>1</v>
      </c>
      <c r="P1345" s="4">
        <f>IF(Table1[[#This Row],[Last value]]&gt;1.5*Table1[[#This Row],[Target]],1,0)</f>
        <v>0</v>
      </c>
      <c r="Q1345" s="4">
        <f>IF(AND(1.5*Table1[[#This Row],[Target]]&gt;=Table1[[#This Row],[Last value]],Table1[[#This Row],[Last value]]&gt;Table1[[#This Row],[Target]]),1,0)</f>
        <v>0</v>
      </c>
      <c r="R1345" s="4">
        <f>IF(Table1[[#This Row],[Target]]&gt;=Table1[[#This Row],[Last value]],1,0)</f>
        <v>1</v>
      </c>
      <c r="S1345" s="4" t="str">
        <f t="shared" si="32"/>
        <v>Green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1.04</v>
      </c>
      <c r="CH1345" s="4">
        <v>0</v>
      </c>
      <c r="CI1345" s="4">
        <v>0</v>
      </c>
      <c r="CJ1345" s="34">
        <v>0</v>
      </c>
      <c r="CK1345" s="38">
        <v>0</v>
      </c>
      <c r="CL1345" s="34">
        <v>0</v>
      </c>
      <c r="CM1345" s="4">
        <v>0</v>
      </c>
      <c r="CN1345" s="53">
        <v>0</v>
      </c>
      <c r="CO1345" s="54">
        <v>0</v>
      </c>
      <c r="CP1345" s="54">
        <v>0</v>
      </c>
      <c r="CQ1345" s="4">
        <v>0</v>
      </c>
    </row>
    <row r="1346" spans="1:95" x14ac:dyDescent="0.35">
      <c r="A1346" s="55">
        <v>1345</v>
      </c>
      <c r="B1346" s="23" t="s">
        <v>126</v>
      </c>
      <c r="C1346" s="29" t="s">
        <v>1336</v>
      </c>
      <c r="D1346" s="3" t="s">
        <v>94</v>
      </c>
      <c r="E1346" s="29" t="s">
        <v>91</v>
      </c>
      <c r="F1346" s="4">
        <f>IFERROR(AVERAGEIF(Table1[[#This Row],[2019-Apr]:[2025-July]],"&lt;&gt;0"),0)</f>
        <v>0.64</v>
      </c>
      <c r="G1346" s="4">
        <f ca="1">IFERROR(AVERAGEIF(OFFSET(Table1[[#This Row],[Status]],0,COUNT(Table1[[#This Row],[2019-May]:[2025-July]]),1,-12),"&lt;&gt;0"),0)</f>
        <v>0.64</v>
      </c>
      <c r="H1346" s="55">
        <f>IFERROR(SMALL(Table1[[#This Row],[2019-Apr]:[2025-July]],COUNTIF(Table1[[#This Row],[2019-Apr]:[2025-July]],0)+1),0)</f>
        <v>0.64</v>
      </c>
      <c r="I1346" s="56">
        <f>IFERROR(MAX(Table1[[#This Row],[2019-Apr]:[2025-July]]),0)</f>
        <v>0.64</v>
      </c>
      <c r="J1346" s="4" cm="1">
        <f t="array" ref="J134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0.64</v>
      </c>
      <c r="K1346" s="4">
        <v>4.5</v>
      </c>
      <c r="L1346" s="4">
        <f>IF(Table1[[#This Row],[Standard as per ISO]]&gt;=Table1[[#This Row],[Avg of best 6]],Table1[[#This Row],[Standard as per ISO]],Table1[[#This Row],[Avg of best 6]])</f>
        <v>4.5</v>
      </c>
      <c r="M1346" s="4" cm="1">
        <f t="array" ref="M1346">IFERROR(LOOKUP(2,1/(Table1[[#This Row],[2019-May]:[2025-July]]&lt;&gt;0),Table1[[#This Row],[2019-May]:[2025-July]]),0)</f>
        <v>0.64</v>
      </c>
      <c r="N1346" s="4">
        <f>COUNTIF(Table1[[#This Row],[2019-Apr]:[2025-July]],"&gt;="&amp;Table1[[#This Row],[Target]])</f>
        <v>0</v>
      </c>
      <c r="O1346" s="4">
        <f>IF(Table1[[#This Row],[Outliers 2Y]]=0,1,0)</f>
        <v>1</v>
      </c>
      <c r="P1346" s="4">
        <f>IF(Table1[[#This Row],[Last value]]&gt;1.5*Table1[[#This Row],[Target]],1,0)</f>
        <v>0</v>
      </c>
      <c r="Q1346" s="4">
        <f>IF(AND(1.5*Table1[[#This Row],[Target]]&gt;=Table1[[#This Row],[Last value]],Table1[[#This Row],[Last value]]&gt;Table1[[#This Row],[Target]]),1,0)</f>
        <v>0</v>
      </c>
      <c r="R1346" s="4">
        <f>IF(Table1[[#This Row],[Target]]&gt;=Table1[[#This Row],[Last value]],1,0)</f>
        <v>1</v>
      </c>
      <c r="S1346" s="4" t="str">
        <f t="shared" si="32"/>
        <v>Green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0.64</v>
      </c>
      <c r="CI1346" s="4">
        <v>0</v>
      </c>
      <c r="CJ1346" s="34">
        <v>0</v>
      </c>
      <c r="CK1346" s="38">
        <v>0</v>
      </c>
      <c r="CL1346" s="34">
        <v>0</v>
      </c>
      <c r="CM1346" s="4">
        <v>0</v>
      </c>
      <c r="CN1346" s="53">
        <v>0</v>
      </c>
      <c r="CO1346" s="54">
        <v>0</v>
      </c>
      <c r="CP1346" s="54">
        <v>0</v>
      </c>
      <c r="CQ1346" s="4">
        <v>0</v>
      </c>
    </row>
    <row r="1347" spans="1:95" x14ac:dyDescent="0.35">
      <c r="A1347" s="55">
        <v>1346</v>
      </c>
      <c r="B1347" s="23" t="s">
        <v>126</v>
      </c>
      <c r="C1347" s="29" t="s">
        <v>1337</v>
      </c>
      <c r="D1347" s="3" t="s">
        <v>94</v>
      </c>
      <c r="E1347" s="29" t="s">
        <v>91</v>
      </c>
      <c r="F1347" s="4">
        <f>IFERROR(AVERAGEIF(Table1[[#This Row],[2019-Apr]:[2025-July]],"&lt;&gt;0"),0)</f>
        <v>1</v>
      </c>
      <c r="G1347" s="4">
        <f ca="1">IFERROR(AVERAGEIF(OFFSET(Table1[[#This Row],[Status]],0,COUNT(Table1[[#This Row],[2019-May]:[2025-July]]),1,-12),"&lt;&gt;0"),0)</f>
        <v>1</v>
      </c>
      <c r="H1347" s="55">
        <f>IFERROR(SMALL(Table1[[#This Row],[2019-Apr]:[2025-July]],COUNTIF(Table1[[#This Row],[2019-Apr]:[2025-July]],0)+1),0)</f>
        <v>1</v>
      </c>
      <c r="I1347" s="56">
        <f>IFERROR(MAX(Table1[[#This Row],[2019-Apr]:[2025-July]]),0)</f>
        <v>1</v>
      </c>
      <c r="J1347" s="4" cm="1">
        <f t="array" ref="J134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</v>
      </c>
      <c r="K1347" s="4">
        <v>4.5</v>
      </c>
      <c r="L1347" s="4">
        <f>IF(Table1[[#This Row],[Standard as per ISO]]&gt;=Table1[[#This Row],[Avg of best 6]],Table1[[#This Row],[Standard as per ISO]],Table1[[#This Row],[Avg of best 6]])</f>
        <v>4.5</v>
      </c>
      <c r="M1347" s="4" cm="1">
        <f t="array" ref="M1347">IFERROR(LOOKUP(2,1/(Table1[[#This Row],[2019-May]:[2025-July]]&lt;&gt;0),Table1[[#This Row],[2019-May]:[2025-July]]),0)</f>
        <v>1</v>
      </c>
      <c r="N1347" s="4">
        <f>COUNTIF(Table1[[#This Row],[2019-Apr]:[2025-July]],"&gt;="&amp;Table1[[#This Row],[Target]])</f>
        <v>0</v>
      </c>
      <c r="O1347" s="4">
        <f>IF(Table1[[#This Row],[Outliers 2Y]]=0,1,0)</f>
        <v>1</v>
      </c>
      <c r="P1347" s="4">
        <f>IF(Table1[[#This Row],[Last value]]&gt;1.5*Table1[[#This Row],[Target]],1,0)</f>
        <v>0</v>
      </c>
      <c r="Q1347" s="4">
        <f>IF(AND(1.5*Table1[[#This Row],[Target]]&gt;=Table1[[#This Row],[Last value]],Table1[[#This Row],[Last value]]&gt;Table1[[#This Row],[Target]]),1,0)</f>
        <v>0</v>
      </c>
      <c r="R1347" s="4">
        <f>IF(Table1[[#This Row],[Target]]&gt;=Table1[[#This Row],[Last value]],1,0)</f>
        <v>1</v>
      </c>
      <c r="S1347" s="4" t="str">
        <f t="shared" si="32"/>
        <v>Green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1</v>
      </c>
      <c r="CH1347" s="4">
        <v>0</v>
      </c>
      <c r="CI1347" s="4">
        <v>0</v>
      </c>
      <c r="CJ1347" s="34">
        <v>0</v>
      </c>
      <c r="CK1347" s="38">
        <v>0</v>
      </c>
      <c r="CL1347" s="34">
        <v>0</v>
      </c>
      <c r="CM1347" s="4">
        <v>0</v>
      </c>
      <c r="CN1347" s="53">
        <v>0</v>
      </c>
      <c r="CO1347" s="54">
        <v>0</v>
      </c>
      <c r="CP1347" s="54">
        <v>0</v>
      </c>
      <c r="CQ1347" s="4">
        <v>0</v>
      </c>
    </row>
    <row r="1348" spans="1:95" x14ac:dyDescent="0.35">
      <c r="A1348" s="55">
        <v>1347</v>
      </c>
      <c r="B1348" s="23" t="s">
        <v>126</v>
      </c>
      <c r="C1348" s="29" t="s">
        <v>1338</v>
      </c>
      <c r="D1348" s="3" t="s">
        <v>94</v>
      </c>
      <c r="E1348" s="29" t="s">
        <v>91</v>
      </c>
      <c r="F1348" s="4">
        <f>IFERROR(AVERAGEIF(Table1[[#This Row],[2019-Apr]:[2025-July]],"&lt;&gt;0"),0)</f>
        <v>0.52</v>
      </c>
      <c r="G1348" s="4">
        <f ca="1">IFERROR(AVERAGEIF(OFFSET(Table1[[#This Row],[Status]],0,COUNT(Table1[[#This Row],[2019-May]:[2025-July]]),1,-12),"&lt;&gt;0"),0)</f>
        <v>0.52</v>
      </c>
      <c r="H1348" s="55">
        <f>IFERROR(SMALL(Table1[[#This Row],[2019-Apr]:[2025-July]],COUNTIF(Table1[[#This Row],[2019-Apr]:[2025-July]],0)+1),0)</f>
        <v>0.52</v>
      </c>
      <c r="I1348" s="56">
        <f>IFERROR(MAX(Table1[[#This Row],[2019-Apr]:[2025-July]]),0)</f>
        <v>0.52</v>
      </c>
      <c r="J1348" s="4" cm="1">
        <f t="array" ref="J134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0.52</v>
      </c>
      <c r="K1348" s="4">
        <v>4.5</v>
      </c>
      <c r="L1348" s="4">
        <f>IF(Table1[[#This Row],[Standard as per ISO]]&gt;=Table1[[#This Row],[Avg of best 6]],Table1[[#This Row],[Standard as per ISO]],Table1[[#This Row],[Avg of best 6]])</f>
        <v>4.5</v>
      </c>
      <c r="M1348" s="4" cm="1">
        <f t="array" ref="M1348">IFERROR(LOOKUP(2,1/(Table1[[#This Row],[2019-May]:[2025-July]]&lt;&gt;0),Table1[[#This Row],[2019-May]:[2025-July]]),0)</f>
        <v>0.52</v>
      </c>
      <c r="N1348" s="4">
        <f>COUNTIF(Table1[[#This Row],[2019-Apr]:[2025-July]],"&gt;="&amp;Table1[[#This Row],[Target]])</f>
        <v>0</v>
      </c>
      <c r="O1348" s="4">
        <f>IF(Table1[[#This Row],[Outliers 2Y]]=0,1,0)</f>
        <v>1</v>
      </c>
      <c r="P1348" s="4">
        <f>IF(Table1[[#This Row],[Last value]]&gt;1.5*Table1[[#This Row],[Target]],1,0)</f>
        <v>0</v>
      </c>
      <c r="Q1348" s="4">
        <f>IF(AND(1.5*Table1[[#This Row],[Target]]&gt;=Table1[[#This Row],[Last value]],Table1[[#This Row],[Last value]]&gt;Table1[[#This Row],[Target]]),1,0)</f>
        <v>0</v>
      </c>
      <c r="R1348" s="4">
        <f>IF(Table1[[#This Row],[Target]]&gt;=Table1[[#This Row],[Last value]],1,0)</f>
        <v>1</v>
      </c>
      <c r="S1348" s="4" t="str">
        <f t="shared" si="32"/>
        <v>Green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0.52</v>
      </c>
      <c r="CI1348" s="4">
        <v>0</v>
      </c>
      <c r="CJ1348" s="34">
        <v>0</v>
      </c>
      <c r="CK1348" s="38">
        <v>0</v>
      </c>
      <c r="CL1348" s="34">
        <v>0</v>
      </c>
      <c r="CM1348" s="4">
        <v>0</v>
      </c>
      <c r="CN1348" s="53">
        <v>0</v>
      </c>
      <c r="CO1348" s="54">
        <v>0</v>
      </c>
      <c r="CP1348" s="54">
        <v>0</v>
      </c>
      <c r="CQ1348" s="4">
        <v>0</v>
      </c>
    </row>
    <row r="1349" spans="1:95" x14ac:dyDescent="0.35">
      <c r="A1349" s="55">
        <v>1348</v>
      </c>
      <c r="B1349" s="23" t="s">
        <v>126</v>
      </c>
      <c r="C1349" s="27" t="s">
        <v>1339</v>
      </c>
      <c r="D1349" s="3" t="s">
        <v>94</v>
      </c>
      <c r="E1349" s="27" t="s">
        <v>91</v>
      </c>
      <c r="F1349" s="4">
        <f>IFERROR(AVERAGEIF(Table1[[#This Row],[2019-Apr]:[2025-July]],"&lt;&gt;0"),0)</f>
        <v>1.675</v>
      </c>
      <c r="G1349" s="4">
        <f ca="1">IFERROR(AVERAGEIF(OFFSET(Table1[[#This Row],[Status]],0,COUNT(Table1[[#This Row],[2019-May]:[2025-July]]),1,-12),"&lt;&gt;0"),0)</f>
        <v>1.675</v>
      </c>
      <c r="H1349" s="55">
        <f>IFERROR(SMALL(Table1[[#This Row],[2019-Apr]:[2025-July]],COUNTIF(Table1[[#This Row],[2019-Apr]:[2025-July]],0)+1),0)</f>
        <v>1.54</v>
      </c>
      <c r="I1349" s="56">
        <f>IFERROR(MAX(Table1[[#This Row],[2019-Apr]:[2025-July]]),0)</f>
        <v>1.81</v>
      </c>
      <c r="J1349" s="4" cm="1">
        <f t="array" ref="J134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1.675</v>
      </c>
      <c r="K1349" s="4">
        <v>4.5</v>
      </c>
      <c r="L1349" s="4">
        <f>IF(Table1[[#This Row],[Standard as per ISO]]&gt;=Table1[[#This Row],[Avg of best 6]],Table1[[#This Row],[Standard as per ISO]],Table1[[#This Row],[Avg of best 6]])</f>
        <v>4.5</v>
      </c>
      <c r="M1349" s="4" cm="1">
        <f t="array" ref="M1349">IFERROR(LOOKUP(2,1/(Table1[[#This Row],[2019-May]:[2025-July]]&lt;&gt;0),Table1[[#This Row],[2019-May]:[2025-July]]),0)</f>
        <v>1.54</v>
      </c>
      <c r="N1349" s="4">
        <f>COUNTIF(Table1[[#This Row],[2019-Apr]:[2025-July]],"&gt;="&amp;Table1[[#This Row],[Target]])</f>
        <v>0</v>
      </c>
      <c r="O1349" s="4">
        <f>IF(Table1[[#This Row],[Outliers 2Y]]=0,1,0)</f>
        <v>1</v>
      </c>
      <c r="P1349" s="4">
        <f>IF(Table1[[#This Row],[Last value]]&gt;1.5*Table1[[#This Row],[Target]],1,0)</f>
        <v>0</v>
      </c>
      <c r="Q1349" s="4">
        <f>IF(AND(1.5*Table1[[#This Row],[Target]]&gt;=Table1[[#This Row],[Last value]],Table1[[#This Row],[Last value]]&gt;Table1[[#This Row],[Target]]),1,0)</f>
        <v>0</v>
      </c>
      <c r="R1349" s="4">
        <f>IF(Table1[[#This Row],[Target]]&gt;=Table1[[#This Row],[Last value]],1,0)</f>
        <v>1</v>
      </c>
      <c r="S1349" s="4" t="str">
        <f t="shared" si="32"/>
        <v>Green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1.81</v>
      </c>
      <c r="CH1349" s="4">
        <v>1.54</v>
      </c>
      <c r="CI1349" s="4">
        <v>0</v>
      </c>
      <c r="CJ1349" s="34">
        <v>0</v>
      </c>
      <c r="CK1349" s="38">
        <v>0</v>
      </c>
      <c r="CL1349" s="34">
        <v>0</v>
      </c>
      <c r="CM1349" s="4">
        <v>0</v>
      </c>
      <c r="CN1349" s="53">
        <v>0</v>
      </c>
      <c r="CO1349" s="54">
        <v>0</v>
      </c>
      <c r="CP1349" s="54">
        <v>0</v>
      </c>
      <c r="CQ1349" s="4">
        <v>0</v>
      </c>
    </row>
    <row r="1350" spans="1:95" x14ac:dyDescent="0.35">
      <c r="A1350" s="55">
        <v>1349</v>
      </c>
      <c r="B1350" s="23" t="s">
        <v>126</v>
      </c>
      <c r="C1350" s="27" t="s">
        <v>1340</v>
      </c>
      <c r="D1350" s="3" t="s">
        <v>94</v>
      </c>
      <c r="E1350" s="27" t="s">
        <v>91</v>
      </c>
      <c r="F1350" s="4">
        <f>IFERROR(AVERAGEIF(Table1[[#This Row],[2019-Apr]:[2025-July]],"&lt;&gt;0"),0)</f>
        <v>0</v>
      </c>
      <c r="G1350" s="4">
        <f ca="1">IFERROR(AVERAGEIF(OFFSET(Table1[[#This Row],[Status]],0,COUNT(Table1[[#This Row],[2019-May]:[2025-July]]),1,-12),"&lt;&gt;0"),0)</f>
        <v>0</v>
      </c>
      <c r="H1350" s="55">
        <f>IFERROR(SMALL(Table1[[#This Row],[2019-Apr]:[2025-July]],COUNTIF(Table1[[#This Row],[2019-Apr]:[2025-July]],0)+1),0)</f>
        <v>0</v>
      </c>
      <c r="I1350" s="56">
        <f>IFERROR(MAX(Table1[[#This Row],[2019-Apr]:[2025-July]]),0)</f>
        <v>0</v>
      </c>
      <c r="J1350" s="4" cm="1">
        <f t="array" ref="J135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350" s="4">
        <v>4.5</v>
      </c>
      <c r="L1350" s="4">
        <f>IF(Table1[[#This Row],[Standard as per ISO]]&gt;=Table1[[#This Row],[Avg of best 6]],Table1[[#This Row],[Standard as per ISO]],Table1[[#This Row],[Avg of best 6]])</f>
        <v>4.5</v>
      </c>
      <c r="M1350" s="4" cm="1">
        <f t="array" ref="M1350">IFERROR(LOOKUP(2,1/(Table1[[#This Row],[2019-May]:[2025-July]]&lt;&gt;0),Table1[[#This Row],[2019-May]:[2025-July]]),0)</f>
        <v>0</v>
      </c>
      <c r="N1350" s="4">
        <f>COUNTIF(Table1[[#This Row],[2019-Apr]:[2025-July]],"&gt;="&amp;Table1[[#This Row],[Target]])</f>
        <v>0</v>
      </c>
      <c r="O1350" s="4">
        <f>IF(Table1[[#This Row],[Outliers 2Y]]=0,1,0)</f>
        <v>1</v>
      </c>
      <c r="P1350" s="4">
        <f>IF(Table1[[#This Row],[Last value]]&gt;1.5*Table1[[#This Row],[Target]],1,0)</f>
        <v>0</v>
      </c>
      <c r="Q1350" s="4">
        <f>IF(AND(1.5*Table1[[#This Row],[Target]]&gt;=Table1[[#This Row],[Last value]],Table1[[#This Row],[Last value]]&gt;Table1[[#This Row],[Target]]),1,0)</f>
        <v>0</v>
      </c>
      <c r="R1350" s="4">
        <f>IF(Table1[[#This Row],[Target]]&gt;=Table1[[#This Row],[Last value]],1,0)</f>
        <v>1</v>
      </c>
      <c r="S1350" s="4" t="str">
        <f t="shared" si="32"/>
        <v>Green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34">
        <v>0</v>
      </c>
      <c r="CK1350" s="38">
        <v>0</v>
      </c>
      <c r="CL1350" s="34">
        <v>0</v>
      </c>
      <c r="CM1350" s="4">
        <v>0</v>
      </c>
      <c r="CN1350" s="53">
        <v>0</v>
      </c>
      <c r="CO1350" s="54">
        <v>0</v>
      </c>
      <c r="CP1350" s="54">
        <v>0</v>
      </c>
      <c r="CQ1350" s="4">
        <v>0</v>
      </c>
    </row>
    <row r="1351" spans="1:95" x14ac:dyDescent="0.35">
      <c r="A1351" s="55">
        <v>1350</v>
      </c>
      <c r="B1351" s="23" t="s">
        <v>126</v>
      </c>
      <c r="C1351" s="27" t="s">
        <v>1341</v>
      </c>
      <c r="D1351" s="3" t="s">
        <v>94</v>
      </c>
      <c r="E1351" s="27" t="s">
        <v>91</v>
      </c>
      <c r="F1351" s="4">
        <f>IFERROR(AVERAGEIF(Table1[[#This Row],[2019-Apr]:[2025-July]],"&lt;&gt;0"),0)</f>
        <v>14.54</v>
      </c>
      <c r="G1351" s="4">
        <f ca="1">IFERROR(AVERAGEIF(OFFSET(Table1[[#This Row],[Status]],0,COUNT(Table1[[#This Row],[2019-May]:[2025-July]]),1,-12),"&lt;&gt;0"),0)</f>
        <v>14.54</v>
      </c>
      <c r="H1351" s="55">
        <f>IFERROR(SMALL(Table1[[#This Row],[2019-Apr]:[2025-July]],COUNTIF(Table1[[#This Row],[2019-Apr]:[2025-July]],0)+1),0)</f>
        <v>14.54</v>
      </c>
      <c r="I1351" s="56">
        <f>IFERROR(MAX(Table1[[#This Row],[2019-Apr]:[2025-July]]),0)</f>
        <v>14.54</v>
      </c>
      <c r="J1351" s="4" cm="1">
        <f t="array" ref="J135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14.54</v>
      </c>
      <c r="K1351" s="4">
        <v>4.5</v>
      </c>
      <c r="L1351" s="4">
        <f>IF(Table1[[#This Row],[Standard as per ISO]]&gt;=Table1[[#This Row],[Avg of best 6]],Table1[[#This Row],[Standard as per ISO]],Table1[[#This Row],[Avg of best 6]])</f>
        <v>14.54</v>
      </c>
      <c r="M1351" s="4" cm="1">
        <f t="array" ref="M1351">IFERROR(LOOKUP(2,1/(Table1[[#This Row],[2019-May]:[2025-July]]&lt;&gt;0),Table1[[#This Row],[2019-May]:[2025-July]]),0)</f>
        <v>14.54</v>
      </c>
      <c r="N1351" s="4">
        <f>COUNTIF(Table1[[#This Row],[2019-Apr]:[2025-July]],"&gt;="&amp;Table1[[#This Row],[Target]])</f>
        <v>1</v>
      </c>
      <c r="O1351" s="4">
        <f>IF(Table1[[#This Row],[Outliers 2Y]]=0,1,0)</f>
        <v>0</v>
      </c>
      <c r="P1351" s="4">
        <f>IF(Table1[[#This Row],[Last value]]&gt;1.5*Table1[[#This Row],[Target]],1,0)</f>
        <v>0</v>
      </c>
      <c r="Q1351" s="4">
        <f>IF(AND(1.5*Table1[[#This Row],[Target]]&gt;=Table1[[#This Row],[Last value]],Table1[[#This Row],[Last value]]&gt;Table1[[#This Row],[Target]]),1,0)</f>
        <v>0</v>
      </c>
      <c r="R1351" s="4">
        <f>IF(Table1[[#This Row],[Target]]&gt;=Table1[[#This Row],[Last value]],1,0)</f>
        <v>1</v>
      </c>
      <c r="S1351" s="4" t="str">
        <f t="shared" si="32"/>
        <v>Green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14.54</v>
      </c>
      <c r="CI1351" s="4">
        <v>0</v>
      </c>
      <c r="CJ1351" s="34">
        <v>0</v>
      </c>
      <c r="CK1351" s="38">
        <v>0</v>
      </c>
      <c r="CL1351" s="34">
        <v>0</v>
      </c>
      <c r="CM1351" s="4">
        <v>0</v>
      </c>
      <c r="CN1351" s="53">
        <v>0</v>
      </c>
      <c r="CO1351" s="54">
        <v>0</v>
      </c>
      <c r="CP1351" s="54">
        <v>0</v>
      </c>
      <c r="CQ1351" s="4">
        <v>0</v>
      </c>
    </row>
    <row r="1352" spans="1:95" x14ac:dyDescent="0.35">
      <c r="A1352" s="55">
        <v>1351</v>
      </c>
      <c r="B1352" s="23" t="s">
        <v>126</v>
      </c>
      <c r="C1352" s="27" t="s">
        <v>1342</v>
      </c>
      <c r="D1352" s="3" t="s">
        <v>94</v>
      </c>
      <c r="E1352" s="27" t="s">
        <v>91</v>
      </c>
      <c r="F1352" s="4">
        <f>IFERROR(AVERAGEIF(Table1[[#This Row],[2019-Apr]:[2025-July]],"&lt;&gt;0"),0)</f>
        <v>0.99</v>
      </c>
      <c r="G1352" s="4">
        <f ca="1">IFERROR(AVERAGEIF(OFFSET(Table1[[#This Row],[Status]],0,COUNT(Table1[[#This Row],[2019-May]:[2025-July]]),1,-12),"&lt;&gt;0"),0)</f>
        <v>0.99</v>
      </c>
      <c r="H1352" s="55">
        <f>IFERROR(SMALL(Table1[[#This Row],[2019-Apr]:[2025-July]],COUNTIF(Table1[[#This Row],[2019-Apr]:[2025-July]],0)+1),0)</f>
        <v>0.99</v>
      </c>
      <c r="I1352" s="56">
        <f>IFERROR(MAX(Table1[[#This Row],[2019-Apr]:[2025-July]]),0)</f>
        <v>0.99</v>
      </c>
      <c r="J1352" s="4" cm="1">
        <f t="array" ref="J135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0.99</v>
      </c>
      <c r="K1352" s="4">
        <v>4.5</v>
      </c>
      <c r="L1352" s="4">
        <f>IF(Table1[[#This Row],[Standard as per ISO]]&gt;=Table1[[#This Row],[Avg of best 6]],Table1[[#This Row],[Standard as per ISO]],Table1[[#This Row],[Avg of best 6]])</f>
        <v>4.5</v>
      </c>
      <c r="M1352" s="4" cm="1">
        <f t="array" ref="M1352">IFERROR(LOOKUP(2,1/(Table1[[#This Row],[2019-May]:[2025-July]]&lt;&gt;0),Table1[[#This Row],[2019-May]:[2025-July]]),0)</f>
        <v>0.99</v>
      </c>
      <c r="N1352" s="4">
        <f>COUNTIF(Table1[[#This Row],[2019-Apr]:[2025-July]],"&gt;="&amp;Table1[[#This Row],[Target]])</f>
        <v>0</v>
      </c>
      <c r="O1352" s="4">
        <f>IF(Table1[[#This Row],[Outliers 2Y]]=0,1,0)</f>
        <v>1</v>
      </c>
      <c r="P1352" s="4">
        <f>IF(Table1[[#This Row],[Last value]]&gt;1.5*Table1[[#This Row],[Target]],1,0)</f>
        <v>0</v>
      </c>
      <c r="Q1352" s="4">
        <f>IF(AND(1.5*Table1[[#This Row],[Target]]&gt;=Table1[[#This Row],[Last value]],Table1[[#This Row],[Last value]]&gt;Table1[[#This Row],[Target]]),1,0)</f>
        <v>0</v>
      </c>
      <c r="R1352" s="4">
        <f>IF(Table1[[#This Row],[Target]]&gt;=Table1[[#This Row],[Last value]],1,0)</f>
        <v>1</v>
      </c>
      <c r="S1352" s="4" t="str">
        <f t="shared" si="32"/>
        <v>Green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0.99</v>
      </c>
      <c r="CI1352" s="4">
        <v>0</v>
      </c>
      <c r="CJ1352" s="34">
        <v>0</v>
      </c>
      <c r="CK1352" s="38">
        <v>0</v>
      </c>
      <c r="CL1352" s="34">
        <v>0</v>
      </c>
      <c r="CM1352" s="4">
        <v>0</v>
      </c>
      <c r="CN1352" s="53">
        <v>0</v>
      </c>
      <c r="CO1352" s="54">
        <v>0</v>
      </c>
      <c r="CP1352" s="54">
        <v>0</v>
      </c>
      <c r="CQ1352" s="4">
        <v>0</v>
      </c>
    </row>
    <row r="1353" spans="1:95" x14ac:dyDescent="0.35">
      <c r="A1353" s="55">
        <v>1352</v>
      </c>
      <c r="B1353" s="23" t="s">
        <v>126</v>
      </c>
      <c r="C1353" s="27" t="s">
        <v>1343</v>
      </c>
      <c r="D1353" s="3" t="s">
        <v>94</v>
      </c>
      <c r="E1353" s="27" t="s">
        <v>91</v>
      </c>
      <c r="F1353" s="4">
        <f>IFERROR(AVERAGEIF(Table1[[#This Row],[2019-Apr]:[2025-July]],"&lt;&gt;0"),0)</f>
        <v>6.08</v>
      </c>
      <c r="G1353" s="4">
        <f ca="1">IFERROR(AVERAGEIF(OFFSET(Table1[[#This Row],[Status]],0,COUNT(Table1[[#This Row],[2019-May]:[2025-July]]),1,-12),"&lt;&gt;0"),0)</f>
        <v>6.08</v>
      </c>
      <c r="H1353" s="55">
        <f>IFERROR(SMALL(Table1[[#This Row],[2019-Apr]:[2025-July]],COUNTIF(Table1[[#This Row],[2019-Apr]:[2025-July]],0)+1),0)</f>
        <v>6.08</v>
      </c>
      <c r="I1353" s="56">
        <f>IFERROR(MAX(Table1[[#This Row],[2019-Apr]:[2025-July]]),0)</f>
        <v>6.08</v>
      </c>
      <c r="J1353" s="4" cm="1">
        <f t="array" ref="J135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6.08</v>
      </c>
      <c r="K1353" s="4">
        <v>4.5</v>
      </c>
      <c r="L1353" s="4">
        <f>IF(Table1[[#This Row],[Standard as per ISO]]&gt;=Table1[[#This Row],[Avg of best 6]],Table1[[#This Row],[Standard as per ISO]],Table1[[#This Row],[Avg of best 6]])</f>
        <v>6.08</v>
      </c>
      <c r="M1353" s="4" cm="1">
        <f t="array" ref="M1353">IFERROR(LOOKUP(2,1/(Table1[[#This Row],[2019-May]:[2025-July]]&lt;&gt;0),Table1[[#This Row],[2019-May]:[2025-July]]),0)</f>
        <v>6.08</v>
      </c>
      <c r="N1353" s="4">
        <f>COUNTIF(Table1[[#This Row],[2019-Apr]:[2025-July]],"&gt;="&amp;Table1[[#This Row],[Target]])</f>
        <v>1</v>
      </c>
      <c r="O1353" s="4">
        <f>IF(Table1[[#This Row],[Outliers 2Y]]=0,1,0)</f>
        <v>0</v>
      </c>
      <c r="P1353" s="4">
        <f>IF(Table1[[#This Row],[Last value]]&gt;1.5*Table1[[#This Row],[Target]],1,0)</f>
        <v>0</v>
      </c>
      <c r="Q1353" s="4">
        <f>IF(AND(1.5*Table1[[#This Row],[Target]]&gt;=Table1[[#This Row],[Last value]],Table1[[#This Row],[Last value]]&gt;Table1[[#This Row],[Target]]),1,0)</f>
        <v>0</v>
      </c>
      <c r="R1353" s="4">
        <f>IF(Table1[[#This Row],[Target]]&gt;=Table1[[#This Row],[Last value]],1,0)</f>
        <v>1</v>
      </c>
      <c r="S1353" s="4" t="str">
        <f t="shared" si="32"/>
        <v>Green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6.08</v>
      </c>
      <c r="CH1353" s="4">
        <v>0</v>
      </c>
      <c r="CI1353" s="4">
        <v>0</v>
      </c>
      <c r="CJ1353" s="34">
        <v>0</v>
      </c>
      <c r="CK1353" s="38">
        <v>0</v>
      </c>
      <c r="CL1353" s="34">
        <v>0</v>
      </c>
      <c r="CM1353" s="4">
        <v>0</v>
      </c>
      <c r="CN1353" s="53">
        <v>0</v>
      </c>
      <c r="CO1353" s="54">
        <v>0</v>
      </c>
      <c r="CP1353" s="54">
        <v>0</v>
      </c>
      <c r="CQ1353" s="4">
        <v>0</v>
      </c>
    </row>
    <row r="1354" spans="1:95" x14ac:dyDescent="0.35">
      <c r="A1354" s="55">
        <v>1353</v>
      </c>
      <c r="B1354" s="23" t="s">
        <v>126</v>
      </c>
      <c r="C1354" s="27" t="s">
        <v>1344</v>
      </c>
      <c r="D1354" s="3" t="s">
        <v>94</v>
      </c>
      <c r="E1354" s="27" t="s">
        <v>91</v>
      </c>
      <c r="F1354" s="4">
        <f>IFERROR(AVERAGEIF(Table1[[#This Row],[2019-Apr]:[2025-July]],"&lt;&gt;0"),0)</f>
        <v>1.125</v>
      </c>
      <c r="G1354" s="4">
        <f ca="1">IFERROR(AVERAGEIF(OFFSET(Table1[[#This Row],[Status]],0,COUNT(Table1[[#This Row],[2019-May]:[2025-July]]),1,-12),"&lt;&gt;0"),0)</f>
        <v>1.125</v>
      </c>
      <c r="H1354" s="55">
        <f>IFERROR(SMALL(Table1[[#This Row],[2019-Apr]:[2025-July]],COUNTIF(Table1[[#This Row],[2019-Apr]:[2025-July]],0)+1),0)</f>
        <v>0.85</v>
      </c>
      <c r="I1354" s="56">
        <f>IFERROR(MAX(Table1[[#This Row],[2019-Apr]:[2025-July]]),0)</f>
        <v>1.4</v>
      </c>
      <c r="J1354" s="4" cm="1">
        <f t="array" ref="J135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1.125</v>
      </c>
      <c r="K1354" s="4">
        <v>4.5</v>
      </c>
      <c r="L1354" s="4">
        <f>IF(Table1[[#This Row],[Standard as per ISO]]&gt;=Table1[[#This Row],[Avg of best 6]],Table1[[#This Row],[Standard as per ISO]],Table1[[#This Row],[Avg of best 6]])</f>
        <v>4.5</v>
      </c>
      <c r="M1354" s="4" cm="1">
        <f t="array" ref="M1354">IFERROR(LOOKUP(2,1/(Table1[[#This Row],[2019-May]:[2025-July]]&lt;&gt;0),Table1[[#This Row],[2019-May]:[2025-July]]),0)</f>
        <v>1.4</v>
      </c>
      <c r="N1354" s="4">
        <f>COUNTIF(Table1[[#This Row],[2019-Apr]:[2025-July]],"&gt;="&amp;Table1[[#This Row],[Target]])</f>
        <v>0</v>
      </c>
      <c r="O1354" s="4">
        <f>IF(Table1[[#This Row],[Outliers 2Y]]=0,1,0)</f>
        <v>1</v>
      </c>
      <c r="P1354" s="4">
        <f>IF(Table1[[#This Row],[Last value]]&gt;1.5*Table1[[#This Row],[Target]],1,0)</f>
        <v>0</v>
      </c>
      <c r="Q1354" s="4">
        <f>IF(AND(1.5*Table1[[#This Row],[Target]]&gt;=Table1[[#This Row],[Last value]],Table1[[#This Row],[Last value]]&gt;Table1[[#This Row],[Target]]),1,0)</f>
        <v>0</v>
      </c>
      <c r="R1354" s="4">
        <f>IF(Table1[[#This Row],[Target]]&gt;=Table1[[#This Row],[Last value]],1,0)</f>
        <v>1</v>
      </c>
      <c r="S1354" s="4" t="str">
        <f t="shared" si="32"/>
        <v>Green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0.85</v>
      </c>
      <c r="CH1354" s="4">
        <v>1.4</v>
      </c>
      <c r="CI1354" s="4">
        <v>0</v>
      </c>
      <c r="CJ1354" s="34">
        <v>0</v>
      </c>
      <c r="CK1354" s="38">
        <v>0</v>
      </c>
      <c r="CL1354" s="34">
        <v>0</v>
      </c>
      <c r="CM1354" s="4">
        <v>0</v>
      </c>
      <c r="CN1354" s="53">
        <v>0</v>
      </c>
      <c r="CO1354" s="54">
        <v>0</v>
      </c>
      <c r="CP1354" s="54">
        <v>0</v>
      </c>
      <c r="CQ1354" s="4">
        <v>0</v>
      </c>
    </row>
    <row r="1355" spans="1:95" x14ac:dyDescent="0.35">
      <c r="A1355" s="55">
        <v>1354</v>
      </c>
      <c r="B1355" s="23" t="s">
        <v>126</v>
      </c>
      <c r="C1355" s="29" t="s">
        <v>1345</v>
      </c>
      <c r="D1355" s="3" t="s">
        <v>94</v>
      </c>
      <c r="E1355" s="29" t="s">
        <v>89</v>
      </c>
      <c r="F1355" s="4">
        <f>IFERROR(AVERAGEIF(Table1[[#This Row],[2019-Apr]:[2025-July]],"&lt;&gt;0"),0)</f>
        <v>3.954444444444444</v>
      </c>
      <c r="G1355" s="4">
        <f ca="1">IFERROR(AVERAGEIF(OFFSET(Table1[[#This Row],[Status]],0,COUNT(Table1[[#This Row],[2019-May]:[2025-July]]),1,-12),"&lt;&gt;0"),0)</f>
        <v>3.8737499999999998</v>
      </c>
      <c r="H1355" s="55">
        <f>IFERROR(SMALL(Table1[[#This Row],[2019-Apr]:[2025-July]],COUNTIF(Table1[[#This Row],[2019-Apr]:[2025-July]],0)+1),0)</f>
        <v>2.93</v>
      </c>
      <c r="I1355" s="56">
        <f>IFERROR(MAX(Table1[[#This Row],[2019-Apr]:[2025-July]]),0)</f>
        <v>4.78</v>
      </c>
      <c r="J1355" s="4" cm="1">
        <f t="array" ref="J135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3.5850000000000004</v>
      </c>
      <c r="K1355" s="4">
        <v>4.5</v>
      </c>
      <c r="L1355" s="4">
        <f>IF(Table1[[#This Row],[Standard as per ISO]]&gt;=Table1[[#This Row],[Avg of best 6]],Table1[[#This Row],[Standard as per ISO]],Table1[[#This Row],[Avg of best 6]])</f>
        <v>4.5</v>
      </c>
      <c r="M1355" s="4" cm="1">
        <f t="array" ref="M1355">IFERROR(LOOKUP(2,1/(Table1[[#This Row],[2019-May]:[2025-July]]&lt;&gt;0),Table1[[#This Row],[2019-May]:[2025-July]]),0)</f>
        <v>4.5999999999999996</v>
      </c>
      <c r="N1355" s="4">
        <f>COUNTIF(Table1[[#This Row],[2019-Apr]:[2025-July]],"&gt;="&amp;Table1[[#This Row],[Target]])</f>
        <v>3</v>
      </c>
      <c r="O1355" s="4">
        <f>IF(Table1[[#This Row],[Outliers 2Y]]=0,1,0)</f>
        <v>0</v>
      </c>
      <c r="P1355" s="4">
        <f>IF(Table1[[#This Row],[Last value]]&gt;1.5*Table1[[#This Row],[Target]],1,0)</f>
        <v>0</v>
      </c>
      <c r="Q1355" s="4">
        <f>IF(AND(1.5*Table1[[#This Row],[Target]]&gt;=Table1[[#This Row],[Last value]],Table1[[#This Row],[Last value]]&gt;Table1[[#This Row],[Target]]),1,0)</f>
        <v>1</v>
      </c>
      <c r="R1355" s="4">
        <f>IF(Table1[[#This Row],[Target]]&gt;=Table1[[#This Row],[Last value]],1,0)</f>
        <v>0</v>
      </c>
      <c r="S1355" s="4" t="str">
        <f t="shared" si="32"/>
        <v>Yellow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4.78</v>
      </c>
      <c r="CH1355" s="4">
        <v>4.4800000000000004</v>
      </c>
      <c r="CI1355" s="4">
        <v>2.93</v>
      </c>
      <c r="CJ1355" s="34">
        <v>0</v>
      </c>
      <c r="CK1355" s="34">
        <v>3.5</v>
      </c>
      <c r="CL1355" s="43">
        <v>3.4</v>
      </c>
      <c r="CM1355" s="4">
        <v>3.7</v>
      </c>
      <c r="CN1355" s="53">
        <v>0</v>
      </c>
      <c r="CO1355" s="54">
        <v>3.5</v>
      </c>
      <c r="CP1355" s="54">
        <v>4.7</v>
      </c>
      <c r="CQ1355" s="4">
        <v>4.5999999999999996</v>
      </c>
    </row>
    <row r="1356" spans="1:95" x14ac:dyDescent="0.35">
      <c r="A1356" s="55">
        <v>1355</v>
      </c>
      <c r="B1356" s="23" t="s">
        <v>126</v>
      </c>
      <c r="C1356" s="29" t="s">
        <v>1346</v>
      </c>
      <c r="D1356" s="3" t="s">
        <v>94</v>
      </c>
      <c r="E1356" s="29" t="s">
        <v>89</v>
      </c>
      <c r="F1356" s="4">
        <f>IFERROR(AVERAGEIF(Table1[[#This Row],[2019-Apr]:[2025-July]],"&lt;&gt;0"),0)</f>
        <v>0</v>
      </c>
      <c r="G1356" s="4">
        <f ca="1">IFERROR(AVERAGEIF(OFFSET(Table1[[#This Row],[Status]],0,COUNT(Table1[[#This Row],[2019-May]:[2025-July]]),1,-12),"&lt;&gt;0"),0)</f>
        <v>0</v>
      </c>
      <c r="H1356" s="55">
        <f>IFERROR(SMALL(Table1[[#This Row],[2019-Apr]:[2025-July]],COUNTIF(Table1[[#This Row],[2019-Apr]:[2025-July]],0)+1),0)</f>
        <v>0</v>
      </c>
      <c r="I1356" s="56">
        <f>IFERROR(MAX(Table1[[#This Row],[2019-Apr]:[2025-July]]),0)</f>
        <v>0</v>
      </c>
      <c r="J1356" s="4" cm="1">
        <f t="array" ref="J135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356" s="4">
        <v>4.5</v>
      </c>
      <c r="L1356" s="4">
        <f>IF(Table1[[#This Row],[Standard as per ISO]]&gt;=Table1[[#This Row],[Avg of best 6]],Table1[[#This Row],[Standard as per ISO]],Table1[[#This Row],[Avg of best 6]])</f>
        <v>4.5</v>
      </c>
      <c r="M1356" s="4" cm="1">
        <f t="array" ref="M1356">IFERROR(LOOKUP(2,1/(Table1[[#This Row],[2019-May]:[2025-July]]&lt;&gt;0),Table1[[#This Row],[2019-May]:[2025-July]]),0)</f>
        <v>0</v>
      </c>
      <c r="N1356" s="4">
        <f>COUNTIF(Table1[[#This Row],[2019-Apr]:[2025-July]],"&gt;="&amp;Table1[[#This Row],[Target]])</f>
        <v>0</v>
      </c>
      <c r="O1356" s="4">
        <f>IF(Table1[[#This Row],[Outliers 2Y]]=0,1,0)</f>
        <v>1</v>
      </c>
      <c r="P1356" s="4">
        <f>IF(Table1[[#This Row],[Last value]]&gt;1.5*Table1[[#This Row],[Target]],1,0)</f>
        <v>0</v>
      </c>
      <c r="Q1356" s="4">
        <f>IF(AND(1.5*Table1[[#This Row],[Target]]&gt;=Table1[[#This Row],[Last value]],Table1[[#This Row],[Last value]]&gt;Table1[[#This Row],[Target]]),1,0)</f>
        <v>0</v>
      </c>
      <c r="R1356" s="4">
        <f>IF(Table1[[#This Row],[Target]]&gt;=Table1[[#This Row],[Last value]],1,0)</f>
        <v>1</v>
      </c>
      <c r="S1356" s="4" t="str">
        <f t="shared" si="32"/>
        <v>Green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34">
        <v>0</v>
      </c>
      <c r="CK1356" s="38">
        <v>0</v>
      </c>
      <c r="CL1356" s="43">
        <v>0</v>
      </c>
      <c r="CM1356" s="4">
        <v>0</v>
      </c>
      <c r="CN1356" s="53">
        <v>0</v>
      </c>
      <c r="CO1356" s="54">
        <v>0</v>
      </c>
      <c r="CP1356" s="54">
        <v>0</v>
      </c>
      <c r="CQ1356" s="4">
        <v>0</v>
      </c>
    </row>
    <row r="1357" spans="1:95" x14ac:dyDescent="0.35">
      <c r="A1357" s="55">
        <v>1356</v>
      </c>
      <c r="B1357" s="23" t="s">
        <v>126</v>
      </c>
      <c r="C1357" s="29" t="s">
        <v>1347</v>
      </c>
      <c r="D1357" s="3" t="s">
        <v>94</v>
      </c>
      <c r="E1357" s="29" t="s">
        <v>91</v>
      </c>
      <c r="F1357" s="4">
        <f>IFERROR(AVERAGEIF(Table1[[#This Row],[2019-Apr]:[2025-July]],"&lt;&gt;0"),0)</f>
        <v>0</v>
      </c>
      <c r="G1357" s="4">
        <f ca="1">IFERROR(AVERAGEIF(OFFSET(Table1[[#This Row],[Status]],0,COUNT(Table1[[#This Row],[2019-May]:[2025-July]]),1,-12),"&lt;&gt;0"),0)</f>
        <v>0</v>
      </c>
      <c r="H1357" s="55">
        <f>IFERROR(SMALL(Table1[[#This Row],[2019-Apr]:[2025-July]],COUNTIF(Table1[[#This Row],[2019-Apr]:[2025-July]],0)+1),0)</f>
        <v>0</v>
      </c>
      <c r="I1357" s="56">
        <f>IFERROR(MAX(Table1[[#This Row],[2019-Apr]:[2025-July]]),0)</f>
        <v>0</v>
      </c>
      <c r="J1357" s="4" cm="1">
        <f t="array" ref="J135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357" s="4">
        <v>4.5</v>
      </c>
      <c r="L1357" s="4">
        <f>IF(Table1[[#This Row],[Standard as per ISO]]&gt;=Table1[[#This Row],[Avg of best 6]],Table1[[#This Row],[Standard as per ISO]],Table1[[#This Row],[Avg of best 6]])</f>
        <v>4.5</v>
      </c>
      <c r="M1357" s="4" cm="1">
        <f t="array" ref="M1357">IFERROR(LOOKUP(2,1/(Table1[[#This Row],[2019-May]:[2025-July]]&lt;&gt;0),Table1[[#This Row],[2019-May]:[2025-July]]),0)</f>
        <v>0</v>
      </c>
      <c r="N1357" s="4">
        <f>COUNTIF(Table1[[#This Row],[2019-Apr]:[2025-July]],"&gt;="&amp;Table1[[#This Row],[Target]])</f>
        <v>0</v>
      </c>
      <c r="O1357" s="4">
        <f>IF(Table1[[#This Row],[Outliers 2Y]]=0,1,0)</f>
        <v>1</v>
      </c>
      <c r="P1357" s="4">
        <f>IF(Table1[[#This Row],[Last value]]&gt;1.5*Table1[[#This Row],[Target]],1,0)</f>
        <v>0</v>
      </c>
      <c r="Q1357" s="4">
        <f>IF(AND(1.5*Table1[[#This Row],[Target]]&gt;=Table1[[#This Row],[Last value]],Table1[[#This Row],[Last value]]&gt;Table1[[#This Row],[Target]]),1,0)</f>
        <v>0</v>
      </c>
      <c r="R1357" s="4">
        <f>IF(Table1[[#This Row],[Target]]&gt;=Table1[[#This Row],[Last value]],1,0)</f>
        <v>1</v>
      </c>
      <c r="S1357" s="4" t="str">
        <f t="shared" ref="S1357:S1399" si="33">IF(P1357=1, "Red", IF(Q1357=1, "Yellow", "Green"))</f>
        <v>Green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34">
        <v>0</v>
      </c>
      <c r="CK1357" s="38">
        <v>0</v>
      </c>
      <c r="CL1357" s="34">
        <v>0</v>
      </c>
      <c r="CM1357" s="4">
        <v>0</v>
      </c>
      <c r="CN1357" s="53">
        <v>0</v>
      </c>
      <c r="CO1357" s="54">
        <v>0</v>
      </c>
      <c r="CP1357" s="54">
        <v>0</v>
      </c>
      <c r="CQ1357" s="4">
        <v>0</v>
      </c>
    </row>
    <row r="1358" spans="1:95" x14ac:dyDescent="0.35">
      <c r="A1358" s="55">
        <v>1357</v>
      </c>
      <c r="B1358" s="23" t="s">
        <v>126</v>
      </c>
      <c r="C1358" s="29" t="s">
        <v>1348</v>
      </c>
      <c r="D1358" s="3" t="s">
        <v>94</v>
      </c>
      <c r="E1358" s="29" t="s">
        <v>91</v>
      </c>
      <c r="F1358" s="4">
        <f>IFERROR(AVERAGEIF(Table1[[#This Row],[2019-Apr]:[2025-July]],"&lt;&gt;0"),0)</f>
        <v>2.4033333333333338</v>
      </c>
      <c r="G1358" s="4">
        <f ca="1">IFERROR(AVERAGEIF(OFFSET(Table1[[#This Row],[Status]],0,COUNT(Table1[[#This Row],[2019-May]:[2025-July]]),1,-12),"&lt;&gt;0"),0)</f>
        <v>2.4033333333333338</v>
      </c>
      <c r="H1358" s="55">
        <f>IFERROR(SMALL(Table1[[#This Row],[2019-Apr]:[2025-July]],COUNTIF(Table1[[#This Row],[2019-Apr]:[2025-July]],0)+1),0)</f>
        <v>1.34</v>
      </c>
      <c r="I1358" s="56">
        <f>IFERROR(MAX(Table1[[#This Row],[2019-Apr]:[2025-July]]),0)</f>
        <v>3.27</v>
      </c>
      <c r="J1358" s="4" cm="1">
        <f t="array" ref="J135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2.4033333333333338</v>
      </c>
      <c r="K1358" s="4">
        <v>4.5</v>
      </c>
      <c r="L1358" s="4">
        <f>IF(Table1[[#This Row],[Standard as per ISO]]&gt;=Table1[[#This Row],[Avg of best 6]],Table1[[#This Row],[Standard as per ISO]],Table1[[#This Row],[Avg of best 6]])</f>
        <v>4.5</v>
      </c>
      <c r="M1358" s="4" cm="1">
        <f t="array" ref="M1358">IFERROR(LOOKUP(2,1/(Table1[[#This Row],[2019-May]:[2025-July]]&lt;&gt;0),Table1[[#This Row],[2019-May]:[2025-July]]),0)</f>
        <v>2.6</v>
      </c>
      <c r="N1358" s="4">
        <f>COUNTIF(Table1[[#This Row],[2019-Apr]:[2025-July]],"&gt;="&amp;Table1[[#This Row],[Target]])</f>
        <v>0</v>
      </c>
      <c r="O1358" s="4">
        <f>IF(Table1[[#This Row],[Outliers 2Y]]=0,1,0)</f>
        <v>1</v>
      </c>
      <c r="P1358" s="4">
        <f>IF(Table1[[#This Row],[Last value]]&gt;1.5*Table1[[#This Row],[Target]],1,0)</f>
        <v>0</v>
      </c>
      <c r="Q1358" s="4">
        <f>IF(AND(1.5*Table1[[#This Row],[Target]]&gt;=Table1[[#This Row],[Last value]],Table1[[#This Row],[Last value]]&gt;Table1[[#This Row],[Target]]),1,0)</f>
        <v>0</v>
      </c>
      <c r="R1358" s="4">
        <f>IF(Table1[[#This Row],[Target]]&gt;=Table1[[#This Row],[Last value]],1,0)</f>
        <v>1</v>
      </c>
      <c r="S1358" s="4" t="str">
        <f t="shared" si="33"/>
        <v>Green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3.27</v>
      </c>
      <c r="CH1358" s="4">
        <v>0</v>
      </c>
      <c r="CI1358" s="4">
        <v>1.34</v>
      </c>
      <c r="CJ1358" s="38">
        <v>2.6</v>
      </c>
      <c r="CK1358" s="38">
        <v>0</v>
      </c>
      <c r="CL1358" s="34">
        <v>0</v>
      </c>
      <c r="CM1358" s="4">
        <v>0</v>
      </c>
      <c r="CN1358" s="53">
        <v>0</v>
      </c>
      <c r="CO1358" s="54">
        <v>0</v>
      </c>
      <c r="CP1358" s="54">
        <v>0</v>
      </c>
      <c r="CQ1358" s="4">
        <v>0</v>
      </c>
    </row>
    <row r="1359" spans="1:95" x14ac:dyDescent="0.35">
      <c r="A1359" s="55">
        <v>1358</v>
      </c>
      <c r="B1359" s="23" t="s">
        <v>126</v>
      </c>
      <c r="C1359" s="29" t="s">
        <v>1349</v>
      </c>
      <c r="D1359" s="3" t="s">
        <v>94</v>
      </c>
      <c r="E1359" s="29" t="s">
        <v>91</v>
      </c>
      <c r="F1359" s="4">
        <f>IFERROR(AVERAGEIF(Table1[[#This Row],[2019-Apr]:[2025-July]],"&lt;&gt;0"),0)</f>
        <v>1.23</v>
      </c>
      <c r="G1359" s="4">
        <f ca="1">IFERROR(AVERAGEIF(OFFSET(Table1[[#This Row],[Status]],0,COUNT(Table1[[#This Row],[2019-May]:[2025-July]]),1,-12),"&lt;&gt;0"),0)</f>
        <v>1.23</v>
      </c>
      <c r="H1359" s="55">
        <f>IFERROR(SMALL(Table1[[#This Row],[2019-Apr]:[2025-July]],COUNTIF(Table1[[#This Row],[2019-Apr]:[2025-July]],0)+1),0)</f>
        <v>1.23</v>
      </c>
      <c r="I1359" s="56">
        <f>IFERROR(MAX(Table1[[#This Row],[2019-Apr]:[2025-July]]),0)</f>
        <v>1.23</v>
      </c>
      <c r="J1359" s="4" cm="1">
        <f t="array" ref="J135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1.23</v>
      </c>
      <c r="K1359" s="4">
        <v>4.5</v>
      </c>
      <c r="L1359" s="4">
        <f>IF(Table1[[#This Row],[Standard as per ISO]]&gt;=Table1[[#This Row],[Avg of best 6]],Table1[[#This Row],[Standard as per ISO]],Table1[[#This Row],[Avg of best 6]])</f>
        <v>4.5</v>
      </c>
      <c r="M1359" s="4" cm="1">
        <f t="array" ref="M1359">IFERROR(LOOKUP(2,1/(Table1[[#This Row],[2019-May]:[2025-July]]&lt;&gt;0),Table1[[#This Row],[2019-May]:[2025-July]]),0)</f>
        <v>1.23</v>
      </c>
      <c r="N1359" s="4">
        <f>COUNTIF(Table1[[#This Row],[2019-Apr]:[2025-July]],"&gt;="&amp;Table1[[#This Row],[Target]])</f>
        <v>0</v>
      </c>
      <c r="O1359" s="4">
        <f>IF(Table1[[#This Row],[Outliers 2Y]]=0,1,0)</f>
        <v>1</v>
      </c>
      <c r="P1359" s="4">
        <f>IF(Table1[[#This Row],[Last value]]&gt;1.5*Table1[[#This Row],[Target]],1,0)</f>
        <v>0</v>
      </c>
      <c r="Q1359" s="4">
        <f>IF(AND(1.5*Table1[[#This Row],[Target]]&gt;=Table1[[#This Row],[Last value]],Table1[[#This Row],[Last value]]&gt;Table1[[#This Row],[Target]]),1,0)</f>
        <v>0</v>
      </c>
      <c r="R1359" s="4">
        <f>IF(Table1[[#This Row],[Target]]&gt;=Table1[[#This Row],[Last value]],1,0)</f>
        <v>1</v>
      </c>
      <c r="S1359" s="4" t="str">
        <f t="shared" si="33"/>
        <v>Green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1.23</v>
      </c>
      <c r="CI1359" s="4">
        <v>0</v>
      </c>
      <c r="CJ1359" s="34">
        <v>0</v>
      </c>
      <c r="CK1359" s="38">
        <v>0</v>
      </c>
      <c r="CL1359" s="34">
        <v>0</v>
      </c>
      <c r="CM1359" s="4">
        <v>0</v>
      </c>
      <c r="CN1359" s="53">
        <v>0</v>
      </c>
      <c r="CO1359" s="54">
        <v>0</v>
      </c>
      <c r="CP1359" s="54">
        <v>0</v>
      </c>
      <c r="CQ1359" s="4">
        <v>0</v>
      </c>
    </row>
    <row r="1360" spans="1:95" x14ac:dyDescent="0.35">
      <c r="A1360" s="55">
        <v>1359</v>
      </c>
      <c r="B1360" s="23" t="s">
        <v>126</v>
      </c>
      <c r="C1360" s="29" t="s">
        <v>1350</v>
      </c>
      <c r="D1360" s="3" t="s">
        <v>94</v>
      </c>
      <c r="E1360" s="29" t="s">
        <v>89</v>
      </c>
      <c r="F1360" s="4">
        <f>IFERROR(AVERAGEIF(Table1[[#This Row],[2019-Apr]:[2025-July]],"&lt;&gt;0"),0)</f>
        <v>8.3640000000000008</v>
      </c>
      <c r="G1360" s="4">
        <f ca="1">IFERROR(AVERAGEIF(OFFSET(Table1[[#This Row],[Status]],0,COUNT(Table1[[#This Row],[2019-May]:[2025-July]]),1,-12),"&lt;&gt;0"),0)</f>
        <v>8.3640000000000008</v>
      </c>
      <c r="H1360" s="55">
        <f>IFERROR(SMALL(Table1[[#This Row],[2019-Apr]:[2025-July]],COUNTIF(Table1[[#This Row],[2019-Apr]:[2025-July]],0)+1),0)</f>
        <v>2.56</v>
      </c>
      <c r="I1360" s="56">
        <f>IFERROR(MAX(Table1[[#This Row],[2019-Apr]:[2025-July]]),0)</f>
        <v>29.26</v>
      </c>
      <c r="J1360" s="4" cm="1">
        <f t="array" ref="J136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8.3640000000000008</v>
      </c>
      <c r="K1360" s="4">
        <v>4.5</v>
      </c>
      <c r="L1360" s="4">
        <f>IF(Table1[[#This Row],[Standard as per ISO]]&gt;=Table1[[#This Row],[Avg of best 6]],Table1[[#This Row],[Standard as per ISO]],Table1[[#This Row],[Avg of best 6]])</f>
        <v>8.3640000000000008</v>
      </c>
      <c r="M1360" s="4" cm="1">
        <f t="array" ref="M1360">IFERROR(LOOKUP(2,1/(Table1[[#This Row],[2019-May]:[2025-July]]&lt;&gt;0),Table1[[#This Row],[2019-May]:[2025-July]]),0)</f>
        <v>3.5</v>
      </c>
      <c r="N1360" s="4">
        <f>COUNTIF(Table1[[#This Row],[2019-Apr]:[2025-July]],"&gt;="&amp;Table1[[#This Row],[Target]])</f>
        <v>1</v>
      </c>
      <c r="O1360" s="4">
        <f>IF(Table1[[#This Row],[Outliers 2Y]]=0,1,0)</f>
        <v>0</v>
      </c>
      <c r="P1360" s="4">
        <f>IF(Table1[[#This Row],[Last value]]&gt;1.5*Table1[[#This Row],[Target]],1,0)</f>
        <v>0</v>
      </c>
      <c r="Q1360" s="4">
        <f>IF(AND(1.5*Table1[[#This Row],[Target]]&gt;=Table1[[#This Row],[Last value]],Table1[[#This Row],[Last value]]&gt;Table1[[#This Row],[Target]]),1,0)</f>
        <v>0</v>
      </c>
      <c r="R1360" s="4">
        <f>IF(Table1[[#This Row],[Target]]&gt;=Table1[[#This Row],[Last value]],1,0)</f>
        <v>1</v>
      </c>
      <c r="S1360" s="4" t="str">
        <f t="shared" si="33"/>
        <v>Green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2.56</v>
      </c>
      <c r="CI1360" s="4">
        <v>29.26</v>
      </c>
      <c r="CJ1360" s="38">
        <v>3.8</v>
      </c>
      <c r="CK1360" s="38">
        <v>0</v>
      </c>
      <c r="CL1360" s="43">
        <v>2.7</v>
      </c>
      <c r="CM1360" s="4">
        <v>0</v>
      </c>
      <c r="CN1360" s="53">
        <v>0</v>
      </c>
      <c r="CO1360" s="54">
        <v>0</v>
      </c>
      <c r="CP1360" s="54">
        <v>3.5</v>
      </c>
      <c r="CQ1360" s="4">
        <v>0</v>
      </c>
    </row>
    <row r="1361" spans="1:95" x14ac:dyDescent="0.35">
      <c r="A1361" s="55">
        <v>1360</v>
      </c>
      <c r="B1361" s="23" t="s">
        <v>126</v>
      </c>
      <c r="C1361" s="29" t="s">
        <v>1351</v>
      </c>
      <c r="D1361" s="3" t="s">
        <v>94</v>
      </c>
      <c r="E1361" s="29" t="s">
        <v>89</v>
      </c>
      <c r="F1361" s="4">
        <f>IFERROR(AVERAGEIF(Table1[[#This Row],[2019-Apr]:[2025-July]],"&lt;&gt;0"),0)</f>
        <v>13.045</v>
      </c>
      <c r="G1361" s="4">
        <f ca="1">IFERROR(AVERAGEIF(OFFSET(Table1[[#This Row],[Status]],0,COUNT(Table1[[#This Row],[2019-May]:[2025-July]]),1,-12),"&lt;&gt;0"),0)</f>
        <v>13.09</v>
      </c>
      <c r="H1361" s="55">
        <f>IFERROR(SMALL(Table1[[#This Row],[2019-Apr]:[2025-July]],COUNTIF(Table1[[#This Row],[2019-Apr]:[2025-July]],0)+1),0)</f>
        <v>1.7</v>
      </c>
      <c r="I1361" s="56">
        <f>IFERROR(MAX(Table1[[#This Row],[2019-Apr]:[2025-July]]),0)</f>
        <v>29.01</v>
      </c>
      <c r="J1361" s="4" cm="1">
        <f t="array" ref="J136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9.7483333333333331</v>
      </c>
      <c r="K1361" s="4">
        <v>4.5</v>
      </c>
      <c r="L1361" s="4">
        <f>IF(Table1[[#This Row],[Standard as per ISO]]&gt;=Table1[[#This Row],[Avg of best 6]],Table1[[#This Row],[Standard as per ISO]],Table1[[#This Row],[Avg of best 6]])</f>
        <v>9.7483333333333331</v>
      </c>
      <c r="M1361" s="4" cm="1">
        <f t="array" ref="M1361">IFERROR(LOOKUP(2,1/(Table1[[#This Row],[2019-May]:[2025-July]]&lt;&gt;0),Table1[[#This Row],[2019-May]:[2025-July]]),0)</f>
        <v>12.73</v>
      </c>
      <c r="N1361" s="4">
        <f>COUNTIF(Table1[[#This Row],[2019-Apr]:[2025-July]],"&gt;="&amp;Table1[[#This Row],[Target]])</f>
        <v>6</v>
      </c>
      <c r="O1361" s="4">
        <f>IF(Table1[[#This Row],[Outliers 2Y]]=0,1,0)</f>
        <v>0</v>
      </c>
      <c r="P1361" s="4">
        <f>IF(Table1[[#This Row],[Last value]]&gt;1.5*Table1[[#This Row],[Target]],1,0)</f>
        <v>0</v>
      </c>
      <c r="Q1361" s="4">
        <f>IF(AND(1.5*Table1[[#This Row],[Target]]&gt;=Table1[[#This Row],[Last value]],Table1[[#This Row],[Last value]]&gt;Table1[[#This Row],[Target]]),1,0)</f>
        <v>1</v>
      </c>
      <c r="R1361" s="4">
        <f>IF(Table1[[#This Row],[Target]]&gt;=Table1[[#This Row],[Last value]],1,0)</f>
        <v>0</v>
      </c>
      <c r="S1361" s="4" t="str">
        <f t="shared" si="33"/>
        <v>Yellow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5.34</v>
      </c>
      <c r="CH1361" s="4">
        <v>13.32</v>
      </c>
      <c r="CI1361" s="4">
        <v>29.01</v>
      </c>
      <c r="CJ1361" s="34">
        <v>0</v>
      </c>
      <c r="CK1361" s="34">
        <v>13.4</v>
      </c>
      <c r="CL1361" s="43">
        <v>0</v>
      </c>
      <c r="CM1361" s="4">
        <v>12</v>
      </c>
      <c r="CN1361" s="53">
        <v>0</v>
      </c>
      <c r="CO1361" s="54">
        <v>16.86</v>
      </c>
      <c r="CP1361" s="54">
        <v>1.7</v>
      </c>
      <c r="CQ1361" s="4">
        <v>12.73</v>
      </c>
    </row>
    <row r="1362" spans="1:95" x14ac:dyDescent="0.35">
      <c r="A1362" s="55">
        <v>1361</v>
      </c>
      <c r="B1362" s="23" t="s">
        <v>126</v>
      </c>
      <c r="C1362" s="29" t="s">
        <v>1352</v>
      </c>
      <c r="D1362" s="3" t="s">
        <v>94</v>
      </c>
      <c r="E1362" s="29" t="s">
        <v>89</v>
      </c>
      <c r="F1362" s="4">
        <f>IFERROR(AVERAGEIF(Table1[[#This Row],[2019-Apr]:[2025-July]],"&lt;&gt;0"),0)</f>
        <v>7.4239999999999995</v>
      </c>
      <c r="G1362" s="4">
        <f ca="1">IFERROR(AVERAGEIF(OFFSET(Table1[[#This Row],[Status]],0,COUNT(Table1[[#This Row],[2019-May]:[2025-July]]),1,-12),"&lt;&gt;0"),0)</f>
        <v>6.6188888888888879</v>
      </c>
      <c r="H1362" s="55">
        <f>IFERROR(SMALL(Table1[[#This Row],[2019-Apr]:[2025-July]],COUNTIF(Table1[[#This Row],[2019-Apr]:[2025-July]],0)+1),0)</f>
        <v>2.23</v>
      </c>
      <c r="I1362" s="56">
        <f>IFERROR(MAX(Table1[[#This Row],[2019-Apr]:[2025-July]]),0)</f>
        <v>14.67</v>
      </c>
      <c r="J1362" s="4" cm="1">
        <f t="array" ref="J136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4.9616666666666669</v>
      </c>
      <c r="K1362" s="4">
        <v>4.5</v>
      </c>
      <c r="L1362" s="4">
        <f>IF(Table1[[#This Row],[Standard as per ISO]]&gt;=Table1[[#This Row],[Avg of best 6]],Table1[[#This Row],[Standard as per ISO]],Table1[[#This Row],[Avg of best 6]])</f>
        <v>4.9616666666666669</v>
      </c>
      <c r="M1362" s="4" cm="1">
        <f t="array" ref="M1362">IFERROR(LOOKUP(2,1/(Table1[[#This Row],[2019-May]:[2025-July]]&lt;&gt;0),Table1[[#This Row],[2019-May]:[2025-July]]),0)</f>
        <v>14.67</v>
      </c>
      <c r="N1362" s="4">
        <f>COUNTIF(Table1[[#This Row],[2019-Apr]:[2025-July]],"&gt;="&amp;Table1[[#This Row],[Target]])</f>
        <v>8</v>
      </c>
      <c r="O1362" s="4">
        <f>IF(Table1[[#This Row],[Outliers 2Y]]=0,1,0)</f>
        <v>0</v>
      </c>
      <c r="P1362" s="4">
        <f>IF(Table1[[#This Row],[Last value]]&gt;1.5*Table1[[#This Row],[Target]],1,0)</f>
        <v>1</v>
      </c>
      <c r="Q1362" s="4">
        <f>IF(AND(1.5*Table1[[#This Row],[Target]]&gt;=Table1[[#This Row],[Last value]],Table1[[#This Row],[Last value]]&gt;Table1[[#This Row],[Target]]),1,0)</f>
        <v>0</v>
      </c>
      <c r="R1362" s="4">
        <f>IF(Table1[[#This Row],[Target]]&gt;=Table1[[#This Row],[Last value]],1,0)</f>
        <v>0</v>
      </c>
      <c r="S1362" s="4" t="str">
        <f t="shared" si="33"/>
        <v>Red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5.3</v>
      </c>
      <c r="CH1362" s="4">
        <v>2.23</v>
      </c>
      <c r="CI1362" s="4">
        <v>7.14</v>
      </c>
      <c r="CJ1362" s="38">
        <v>2.2999999999999998</v>
      </c>
      <c r="CK1362" s="34">
        <v>7</v>
      </c>
      <c r="CL1362" s="43">
        <v>8.3000000000000007</v>
      </c>
      <c r="CM1362" s="4">
        <v>8.8000000000000007</v>
      </c>
      <c r="CN1362" s="53">
        <v>0</v>
      </c>
      <c r="CO1362" s="54">
        <v>12.7</v>
      </c>
      <c r="CP1362" s="54">
        <v>5.8</v>
      </c>
      <c r="CQ1362" s="4">
        <v>14.67</v>
      </c>
    </row>
    <row r="1363" spans="1:95" x14ac:dyDescent="0.35">
      <c r="A1363" s="55">
        <v>1362</v>
      </c>
      <c r="B1363" s="23" t="s">
        <v>126</v>
      </c>
      <c r="C1363" s="29" t="s">
        <v>1353</v>
      </c>
      <c r="D1363" s="3" t="s">
        <v>94</v>
      </c>
      <c r="E1363" s="29" t="s">
        <v>89</v>
      </c>
      <c r="F1363" s="4">
        <f>IFERROR(AVERAGEIF(Table1[[#This Row],[2019-Apr]:[2025-July]],"&lt;&gt;0"),0)</f>
        <v>3.5916666666666663</v>
      </c>
      <c r="G1363" s="4">
        <f ca="1">IFERROR(AVERAGEIF(OFFSET(Table1[[#This Row],[Status]],0,COUNT(Table1[[#This Row],[2019-May]:[2025-July]]),1,-12),"&lt;&gt;0"),0)</f>
        <v>3.5916666666666663</v>
      </c>
      <c r="H1363" s="55">
        <f>IFERROR(SMALL(Table1[[#This Row],[2019-Apr]:[2025-July]],COUNTIF(Table1[[#This Row],[2019-Apr]:[2025-July]],0)+1),0)</f>
        <v>3.3</v>
      </c>
      <c r="I1363" s="56">
        <f>IFERROR(MAX(Table1[[#This Row],[2019-Apr]:[2025-July]]),0)</f>
        <v>3.74</v>
      </c>
      <c r="J1363" s="4" cm="1">
        <f t="array" ref="J136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3.5916666666666663</v>
      </c>
      <c r="K1363" s="4">
        <v>4.5</v>
      </c>
      <c r="L1363" s="4">
        <f>IF(Table1[[#This Row],[Standard as per ISO]]&gt;=Table1[[#This Row],[Avg of best 6]],Table1[[#This Row],[Standard as per ISO]],Table1[[#This Row],[Avg of best 6]])</f>
        <v>4.5</v>
      </c>
      <c r="M1363" s="4" cm="1">
        <f t="array" ref="M1363">IFERROR(LOOKUP(2,1/(Table1[[#This Row],[2019-May]:[2025-July]]&lt;&gt;0),Table1[[#This Row],[2019-May]:[2025-July]]),0)</f>
        <v>3.7</v>
      </c>
      <c r="N1363" s="4">
        <f>COUNTIF(Table1[[#This Row],[2019-Apr]:[2025-July]],"&gt;="&amp;Table1[[#This Row],[Target]])</f>
        <v>0</v>
      </c>
      <c r="O1363" s="4">
        <f>IF(Table1[[#This Row],[Outliers 2Y]]=0,1,0)</f>
        <v>1</v>
      </c>
      <c r="P1363" s="4">
        <f>IF(Table1[[#This Row],[Last value]]&gt;1.5*Table1[[#This Row],[Target]],1,0)</f>
        <v>0</v>
      </c>
      <c r="Q1363" s="4">
        <f>IF(AND(1.5*Table1[[#This Row],[Target]]&gt;=Table1[[#This Row],[Last value]],Table1[[#This Row],[Last value]]&gt;Table1[[#This Row],[Target]]),1,0)</f>
        <v>0</v>
      </c>
      <c r="R1363" s="4">
        <f>IF(Table1[[#This Row],[Target]]&gt;=Table1[[#This Row],[Last value]],1,0)</f>
        <v>1</v>
      </c>
      <c r="S1363" s="4" t="str">
        <f t="shared" si="33"/>
        <v>Green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3.71</v>
      </c>
      <c r="CI1363" s="4">
        <v>3.74</v>
      </c>
      <c r="CJ1363" s="38">
        <v>3.4</v>
      </c>
      <c r="CK1363" s="34">
        <v>3.3</v>
      </c>
      <c r="CL1363" s="43">
        <v>0</v>
      </c>
      <c r="CM1363" s="4">
        <v>3.7</v>
      </c>
      <c r="CN1363" s="53">
        <v>0</v>
      </c>
      <c r="CO1363" s="54">
        <v>0</v>
      </c>
      <c r="CP1363" s="54">
        <v>3.7</v>
      </c>
      <c r="CQ1363" s="4">
        <v>0</v>
      </c>
    </row>
    <row r="1364" spans="1:95" x14ac:dyDescent="0.35">
      <c r="A1364" s="55">
        <v>1363</v>
      </c>
      <c r="B1364" s="23" t="s">
        <v>126</v>
      </c>
      <c r="C1364" s="29" t="s">
        <v>1354</v>
      </c>
      <c r="D1364" s="3" t="s">
        <v>94</v>
      </c>
      <c r="E1364" s="29" t="s">
        <v>89</v>
      </c>
      <c r="F1364" s="4">
        <f>IFERROR(AVERAGEIF(Table1[[#This Row],[2019-Apr]:[2025-July]],"&lt;&gt;0"),0)</f>
        <v>5.7159999999999993</v>
      </c>
      <c r="G1364" s="4">
        <f ca="1">IFERROR(AVERAGEIF(OFFSET(Table1[[#This Row],[Status]],0,COUNT(Table1[[#This Row],[2019-May]:[2025-July]]),1,-12),"&lt;&gt;0"),0)</f>
        <v>6.625</v>
      </c>
      <c r="H1364" s="55">
        <f>IFERROR(SMALL(Table1[[#This Row],[2019-Apr]:[2025-July]],COUNTIF(Table1[[#This Row],[2019-Apr]:[2025-July]],0)+1),0)</f>
        <v>2.08</v>
      </c>
      <c r="I1364" s="56">
        <f>IFERROR(MAX(Table1[[#This Row],[2019-Apr]:[2025-July]]),0)</f>
        <v>11.5</v>
      </c>
      <c r="J1364" s="4" cm="1">
        <f t="array" ref="J136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5.7159999999999993</v>
      </c>
      <c r="K1364" s="4">
        <v>4.5</v>
      </c>
      <c r="L1364" s="4">
        <f>IF(Table1[[#This Row],[Standard as per ISO]]&gt;=Table1[[#This Row],[Avg of best 6]],Table1[[#This Row],[Standard as per ISO]],Table1[[#This Row],[Avg of best 6]])</f>
        <v>5.7159999999999993</v>
      </c>
      <c r="M1364" s="4" cm="1">
        <f t="array" ref="M1364">IFERROR(LOOKUP(2,1/(Table1[[#This Row],[2019-May]:[2025-July]]&lt;&gt;0),Table1[[#This Row],[2019-May]:[2025-July]]),0)</f>
        <v>2.08</v>
      </c>
      <c r="N1364" s="4">
        <f>COUNTIF(Table1[[#This Row],[2019-Apr]:[2025-July]],"&gt;="&amp;Table1[[#This Row],[Target]])</f>
        <v>2</v>
      </c>
      <c r="O1364" s="4">
        <f>IF(Table1[[#This Row],[Outliers 2Y]]=0,1,0)</f>
        <v>0</v>
      </c>
      <c r="P1364" s="4">
        <f>IF(Table1[[#This Row],[Last value]]&gt;1.5*Table1[[#This Row],[Target]],1,0)</f>
        <v>0</v>
      </c>
      <c r="Q1364" s="4">
        <f>IF(AND(1.5*Table1[[#This Row],[Target]]&gt;=Table1[[#This Row],[Last value]],Table1[[#This Row],[Last value]]&gt;Table1[[#This Row],[Target]]),1,0)</f>
        <v>0</v>
      </c>
      <c r="R1364" s="4">
        <f>IF(Table1[[#This Row],[Target]]&gt;=Table1[[#This Row],[Last value]],1,0)</f>
        <v>1</v>
      </c>
      <c r="S1364" s="4" t="str">
        <f t="shared" si="33"/>
        <v>Green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11.5</v>
      </c>
      <c r="CI1364" s="4">
        <v>2.8</v>
      </c>
      <c r="CJ1364" s="34">
        <v>0</v>
      </c>
      <c r="CK1364" s="38">
        <v>0</v>
      </c>
      <c r="CL1364" s="43">
        <v>3.6</v>
      </c>
      <c r="CM1364" s="4">
        <v>0</v>
      </c>
      <c r="CN1364" s="53">
        <v>0</v>
      </c>
      <c r="CO1364" s="54">
        <v>0</v>
      </c>
      <c r="CP1364" s="54">
        <v>8.6</v>
      </c>
      <c r="CQ1364" s="4">
        <v>2.08</v>
      </c>
    </row>
    <row r="1365" spans="1:95" x14ac:dyDescent="0.35">
      <c r="A1365" s="55">
        <v>1364</v>
      </c>
      <c r="B1365" s="23" t="s">
        <v>126</v>
      </c>
      <c r="C1365" s="29" t="s">
        <v>1355</v>
      </c>
      <c r="D1365" s="3" t="s">
        <v>94</v>
      </c>
      <c r="E1365" s="29" t="s">
        <v>91</v>
      </c>
      <c r="F1365" s="4">
        <f>IFERROR(AVERAGEIF(Table1[[#This Row],[2019-Apr]:[2025-July]],"&lt;&gt;0"),0)</f>
        <v>0</v>
      </c>
      <c r="G1365" s="4">
        <f ca="1">IFERROR(AVERAGEIF(OFFSET(Table1[[#This Row],[Status]],0,COUNT(Table1[[#This Row],[2019-May]:[2025-July]]),1,-12),"&lt;&gt;0"),0)</f>
        <v>0</v>
      </c>
      <c r="H1365" s="55">
        <f>IFERROR(SMALL(Table1[[#This Row],[2019-Apr]:[2025-July]],COUNTIF(Table1[[#This Row],[2019-Apr]:[2025-July]],0)+1),0)</f>
        <v>0</v>
      </c>
      <c r="I1365" s="56">
        <f>IFERROR(MAX(Table1[[#This Row],[2019-Apr]:[2025-July]]),0)</f>
        <v>0</v>
      </c>
      <c r="J1365" s="4" cm="1">
        <f t="array" ref="J136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365" s="4">
        <v>4.5</v>
      </c>
      <c r="L1365" s="4">
        <f>IF(Table1[[#This Row],[Standard as per ISO]]&gt;=Table1[[#This Row],[Avg of best 6]],Table1[[#This Row],[Standard as per ISO]],Table1[[#This Row],[Avg of best 6]])</f>
        <v>4.5</v>
      </c>
      <c r="M1365" s="4" cm="1">
        <f t="array" ref="M1365">IFERROR(LOOKUP(2,1/(Table1[[#This Row],[2019-May]:[2025-July]]&lt;&gt;0),Table1[[#This Row],[2019-May]:[2025-July]]),0)</f>
        <v>0</v>
      </c>
      <c r="N1365" s="4">
        <f>COUNTIF(Table1[[#This Row],[2019-Apr]:[2025-July]],"&gt;="&amp;Table1[[#This Row],[Target]])</f>
        <v>0</v>
      </c>
      <c r="O1365" s="4">
        <f>IF(Table1[[#This Row],[Outliers 2Y]]=0,1,0)</f>
        <v>1</v>
      </c>
      <c r="P1365" s="4">
        <f>IF(Table1[[#This Row],[Last value]]&gt;1.5*Table1[[#This Row],[Target]],1,0)</f>
        <v>0</v>
      </c>
      <c r="Q1365" s="4">
        <f>IF(AND(1.5*Table1[[#This Row],[Target]]&gt;=Table1[[#This Row],[Last value]],Table1[[#This Row],[Last value]]&gt;Table1[[#This Row],[Target]]),1,0)</f>
        <v>0</v>
      </c>
      <c r="R1365" s="4">
        <f>IF(Table1[[#This Row],[Target]]&gt;=Table1[[#This Row],[Last value]],1,0)</f>
        <v>1</v>
      </c>
      <c r="S1365" s="4" t="str">
        <f t="shared" si="33"/>
        <v>Green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34">
        <v>0</v>
      </c>
      <c r="CK1365" s="38">
        <v>0</v>
      </c>
      <c r="CL1365" s="34">
        <v>0</v>
      </c>
      <c r="CM1365" s="4">
        <v>0</v>
      </c>
      <c r="CN1365" s="53">
        <v>0</v>
      </c>
      <c r="CO1365" s="54">
        <v>0</v>
      </c>
      <c r="CP1365" s="54">
        <v>0</v>
      </c>
      <c r="CQ1365" s="4">
        <v>0</v>
      </c>
    </row>
    <row r="1366" spans="1:95" x14ac:dyDescent="0.35">
      <c r="A1366" s="55">
        <v>1365</v>
      </c>
      <c r="B1366" s="23" t="s">
        <v>126</v>
      </c>
      <c r="C1366" s="29" t="s">
        <v>1356</v>
      </c>
      <c r="D1366" s="3" t="s">
        <v>94</v>
      </c>
      <c r="E1366" s="29" t="s">
        <v>91</v>
      </c>
      <c r="F1366" s="4">
        <f>IFERROR(AVERAGEIF(Table1[[#This Row],[2019-Apr]:[2025-July]],"&lt;&gt;0"),0)</f>
        <v>3.0449999999999999</v>
      </c>
      <c r="G1366" s="4">
        <f ca="1">IFERROR(AVERAGEIF(OFFSET(Table1[[#This Row],[Status]],0,COUNT(Table1[[#This Row],[2019-May]:[2025-July]]),1,-12),"&lt;&gt;0"),0)</f>
        <v>3.0449999999999999</v>
      </c>
      <c r="H1366" s="55">
        <f>IFERROR(SMALL(Table1[[#This Row],[2019-Apr]:[2025-July]],COUNTIF(Table1[[#This Row],[2019-Apr]:[2025-July]],0)+1),0)</f>
        <v>2.2999999999999998</v>
      </c>
      <c r="I1366" s="56">
        <f>IFERROR(MAX(Table1[[#This Row],[2019-Apr]:[2025-July]]),0)</f>
        <v>3.79</v>
      </c>
      <c r="J1366" s="4" cm="1">
        <f t="array" ref="J136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3.0449999999999999</v>
      </c>
      <c r="K1366" s="4">
        <v>4.5</v>
      </c>
      <c r="L1366" s="4">
        <f>IF(Table1[[#This Row],[Standard as per ISO]]&gt;=Table1[[#This Row],[Avg of best 6]],Table1[[#This Row],[Standard as per ISO]],Table1[[#This Row],[Avg of best 6]])</f>
        <v>4.5</v>
      </c>
      <c r="M1366" s="4" cm="1">
        <f t="array" ref="M1366">IFERROR(LOOKUP(2,1/(Table1[[#This Row],[2019-May]:[2025-July]]&lt;&gt;0),Table1[[#This Row],[2019-May]:[2025-July]]),0)</f>
        <v>2.2999999999999998</v>
      </c>
      <c r="N1366" s="4">
        <f>COUNTIF(Table1[[#This Row],[2019-Apr]:[2025-July]],"&gt;="&amp;Table1[[#This Row],[Target]])</f>
        <v>0</v>
      </c>
      <c r="O1366" s="4">
        <f>IF(Table1[[#This Row],[Outliers 2Y]]=0,1,0)</f>
        <v>1</v>
      </c>
      <c r="P1366" s="4">
        <f>IF(Table1[[#This Row],[Last value]]&gt;1.5*Table1[[#This Row],[Target]],1,0)</f>
        <v>0</v>
      </c>
      <c r="Q1366" s="4">
        <f>IF(AND(1.5*Table1[[#This Row],[Target]]&gt;=Table1[[#This Row],[Last value]],Table1[[#This Row],[Last value]]&gt;Table1[[#This Row],[Target]]),1,0)</f>
        <v>0</v>
      </c>
      <c r="R1366" s="4">
        <f>IF(Table1[[#This Row],[Target]]&gt;=Table1[[#This Row],[Last value]],1,0)</f>
        <v>1</v>
      </c>
      <c r="S1366" s="4" t="str">
        <f t="shared" si="33"/>
        <v>Green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3.79</v>
      </c>
      <c r="CJ1366" s="38">
        <v>2.2999999999999998</v>
      </c>
      <c r="CK1366" s="38">
        <v>0</v>
      </c>
      <c r="CL1366" s="34">
        <v>0</v>
      </c>
      <c r="CM1366" s="4">
        <v>0</v>
      </c>
      <c r="CN1366" s="53">
        <v>0</v>
      </c>
      <c r="CO1366" s="54">
        <v>0</v>
      </c>
      <c r="CP1366" s="54">
        <v>0</v>
      </c>
      <c r="CQ1366" s="4">
        <v>0</v>
      </c>
    </row>
    <row r="1367" spans="1:95" x14ac:dyDescent="0.35">
      <c r="A1367" s="55">
        <v>1366</v>
      </c>
      <c r="B1367" s="23" t="s">
        <v>126</v>
      </c>
      <c r="C1367" s="29" t="s">
        <v>1357</v>
      </c>
      <c r="D1367" s="3" t="s">
        <v>94</v>
      </c>
      <c r="E1367" s="29" t="s">
        <v>91</v>
      </c>
      <c r="F1367" s="4">
        <f>IFERROR(AVERAGEIF(Table1[[#This Row],[2019-Apr]:[2025-July]],"&lt;&gt;0"),0)</f>
        <v>3.7800000000000002</v>
      </c>
      <c r="G1367" s="4">
        <f ca="1">IFERROR(AVERAGEIF(OFFSET(Table1[[#This Row],[Status]],0,COUNT(Table1[[#This Row],[2019-May]:[2025-July]]),1,-12),"&lt;&gt;0"),0)</f>
        <v>3.7800000000000002</v>
      </c>
      <c r="H1367" s="55">
        <f>IFERROR(SMALL(Table1[[#This Row],[2019-Apr]:[2025-July]],COUNTIF(Table1[[#This Row],[2019-Apr]:[2025-July]],0)+1),0)</f>
        <v>3.69</v>
      </c>
      <c r="I1367" s="56">
        <f>IFERROR(MAX(Table1[[#This Row],[2019-Apr]:[2025-July]]),0)</f>
        <v>3.87</v>
      </c>
      <c r="J1367" s="4" cm="1">
        <f t="array" ref="J136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3.7800000000000002</v>
      </c>
      <c r="K1367" s="4">
        <v>4.5</v>
      </c>
      <c r="L1367" s="4">
        <f>IF(Table1[[#This Row],[Standard as per ISO]]&gt;=Table1[[#This Row],[Avg of best 6]],Table1[[#This Row],[Standard as per ISO]],Table1[[#This Row],[Avg of best 6]])</f>
        <v>4.5</v>
      </c>
      <c r="M1367" s="4" cm="1">
        <f t="array" ref="M1367">IFERROR(LOOKUP(2,1/(Table1[[#This Row],[2019-May]:[2025-July]]&lt;&gt;0),Table1[[#This Row],[2019-May]:[2025-July]]),0)</f>
        <v>3.69</v>
      </c>
      <c r="N1367" s="4">
        <f>COUNTIF(Table1[[#This Row],[2019-Apr]:[2025-July]],"&gt;="&amp;Table1[[#This Row],[Target]])</f>
        <v>0</v>
      </c>
      <c r="O1367" s="4">
        <f>IF(Table1[[#This Row],[Outliers 2Y]]=0,1,0)</f>
        <v>1</v>
      </c>
      <c r="P1367" s="4">
        <f>IF(Table1[[#This Row],[Last value]]&gt;1.5*Table1[[#This Row],[Target]],1,0)</f>
        <v>0</v>
      </c>
      <c r="Q1367" s="4">
        <f>IF(AND(1.5*Table1[[#This Row],[Target]]&gt;=Table1[[#This Row],[Last value]],Table1[[#This Row],[Last value]]&gt;Table1[[#This Row],[Target]]),1,0)</f>
        <v>0</v>
      </c>
      <c r="R1367" s="4">
        <f>IF(Table1[[#This Row],[Target]]&gt;=Table1[[#This Row],[Last value]],1,0)</f>
        <v>1</v>
      </c>
      <c r="S1367" s="4" t="str">
        <f t="shared" si="33"/>
        <v>Green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3.87</v>
      </c>
      <c r="CI1367" s="4">
        <v>3.69</v>
      </c>
      <c r="CJ1367" s="34">
        <v>0</v>
      </c>
      <c r="CK1367" s="38">
        <v>0</v>
      </c>
      <c r="CL1367" s="34">
        <v>0</v>
      </c>
      <c r="CM1367" s="4">
        <v>0</v>
      </c>
      <c r="CN1367" s="53">
        <v>0</v>
      </c>
      <c r="CO1367" s="54">
        <v>0</v>
      </c>
      <c r="CP1367" s="54">
        <v>0</v>
      </c>
      <c r="CQ1367" s="4">
        <v>0</v>
      </c>
    </row>
    <row r="1368" spans="1:95" x14ac:dyDescent="0.35">
      <c r="A1368" s="55">
        <v>1367</v>
      </c>
      <c r="B1368" s="23" t="s">
        <v>126</v>
      </c>
      <c r="C1368" s="29" t="s">
        <v>1358</v>
      </c>
      <c r="D1368" s="3" t="s">
        <v>94</v>
      </c>
      <c r="E1368" s="29" t="s">
        <v>89</v>
      </c>
      <c r="F1368" s="4">
        <f>IFERROR(AVERAGEIF(Table1[[#This Row],[2019-Apr]:[2025-July]],"&lt;&gt;0"),0)</f>
        <v>16.051428571428573</v>
      </c>
      <c r="G1368" s="4">
        <f ca="1">IFERROR(AVERAGEIF(OFFSET(Table1[[#This Row],[Status]],0,COUNT(Table1[[#This Row],[2019-May]:[2025-July]]),1,-12),"&lt;&gt;0"),0)</f>
        <v>14.800000000000002</v>
      </c>
      <c r="H1368" s="55">
        <f>IFERROR(SMALL(Table1[[#This Row],[2019-Apr]:[2025-July]],COUNTIF(Table1[[#This Row],[2019-Apr]:[2025-July]],0)+1),0)</f>
        <v>1.47</v>
      </c>
      <c r="I1368" s="56">
        <f>IFERROR(MAX(Table1[[#This Row],[2019-Apr]:[2025-July]]),0)</f>
        <v>28.8</v>
      </c>
      <c r="J1368" s="4" cm="1">
        <f t="array" ref="J136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13.926666666666668</v>
      </c>
      <c r="K1368" s="4">
        <v>4.5</v>
      </c>
      <c r="L1368" s="4">
        <f>IF(Table1[[#This Row],[Standard as per ISO]]&gt;=Table1[[#This Row],[Avg of best 6]],Table1[[#This Row],[Standard as per ISO]],Table1[[#This Row],[Avg of best 6]])</f>
        <v>13.926666666666668</v>
      </c>
      <c r="M1368" s="4" cm="1">
        <f t="array" ref="M1368">IFERROR(LOOKUP(2,1/(Table1[[#This Row],[2019-May]:[2025-July]]&lt;&gt;0),Table1[[#This Row],[2019-May]:[2025-July]]),0)</f>
        <v>23.56</v>
      </c>
      <c r="N1368" s="4">
        <f>COUNTIF(Table1[[#This Row],[2019-Apr]:[2025-July]],"&gt;="&amp;Table1[[#This Row],[Target]])</f>
        <v>5</v>
      </c>
      <c r="O1368" s="4">
        <f>IF(Table1[[#This Row],[Outliers 2Y]]=0,1,0)</f>
        <v>0</v>
      </c>
      <c r="P1368" s="4">
        <f>IF(Table1[[#This Row],[Last value]]&gt;1.5*Table1[[#This Row],[Target]],1,0)</f>
        <v>1</v>
      </c>
      <c r="Q1368" s="4">
        <f>IF(AND(1.5*Table1[[#This Row],[Target]]&gt;=Table1[[#This Row],[Last value]],Table1[[#This Row],[Last value]]&gt;Table1[[#This Row],[Target]]),1,0)</f>
        <v>0</v>
      </c>
      <c r="R1368" s="4">
        <f>IF(Table1[[#This Row],[Target]]&gt;=Table1[[#This Row],[Last value]],1,0)</f>
        <v>0</v>
      </c>
      <c r="S1368" s="4" t="str">
        <f t="shared" si="33"/>
        <v>Red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1.47</v>
      </c>
      <c r="CI1368" s="4">
        <v>4.13</v>
      </c>
      <c r="CJ1368" s="38">
        <v>28.8</v>
      </c>
      <c r="CK1368" s="34">
        <v>15</v>
      </c>
      <c r="CL1368" s="43">
        <v>0</v>
      </c>
      <c r="CM1368" s="4">
        <v>0</v>
      </c>
      <c r="CN1368" s="53">
        <v>0</v>
      </c>
      <c r="CO1368" s="54">
        <v>18.3</v>
      </c>
      <c r="CP1368" s="54">
        <v>21.1</v>
      </c>
      <c r="CQ1368" s="4">
        <v>23.56</v>
      </c>
    </row>
    <row r="1369" spans="1:95" x14ac:dyDescent="0.35">
      <c r="A1369" s="55">
        <v>1368</v>
      </c>
      <c r="B1369" s="23" t="s">
        <v>126</v>
      </c>
      <c r="C1369" s="29" t="s">
        <v>1359</v>
      </c>
      <c r="D1369" s="3" t="s">
        <v>94</v>
      </c>
      <c r="E1369" s="29" t="s">
        <v>89</v>
      </c>
      <c r="F1369" s="4">
        <f>IFERROR(AVERAGEIF(Table1[[#This Row],[2019-Apr]:[2025-July]],"&lt;&gt;0"),0)</f>
        <v>10.015714285714285</v>
      </c>
      <c r="G1369" s="4">
        <f ca="1">IFERROR(AVERAGEIF(OFFSET(Table1[[#This Row],[Status]],0,COUNT(Table1[[#This Row],[2019-May]:[2025-July]]),1,-12),"&lt;&gt;0"),0)</f>
        <v>9.34</v>
      </c>
      <c r="H1369" s="55">
        <f>IFERROR(SMALL(Table1[[#This Row],[2019-Apr]:[2025-July]],COUNTIF(Table1[[#This Row],[2019-Apr]:[2025-July]],0)+1),0)</f>
        <v>1.03</v>
      </c>
      <c r="I1369" s="56">
        <f>IFERROR(MAX(Table1[[#This Row],[2019-Apr]:[2025-July]]),0)</f>
        <v>18.5</v>
      </c>
      <c r="J1369" s="4" cm="1">
        <f t="array" ref="J136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8.6016666666666666</v>
      </c>
      <c r="K1369" s="4">
        <v>4.5</v>
      </c>
      <c r="L1369" s="4">
        <f>IF(Table1[[#This Row],[Standard as per ISO]]&gt;=Table1[[#This Row],[Avg of best 6]],Table1[[#This Row],[Standard as per ISO]],Table1[[#This Row],[Avg of best 6]])</f>
        <v>8.6016666666666666</v>
      </c>
      <c r="M1369" s="4" cm="1">
        <f t="array" ref="M1369">IFERROR(LOOKUP(2,1/(Table1[[#This Row],[2019-May]:[2025-July]]&lt;&gt;0),Table1[[#This Row],[2019-May]:[2025-July]]),0)</f>
        <v>14.07</v>
      </c>
      <c r="N1369" s="4">
        <f>COUNTIF(Table1[[#This Row],[2019-Apr]:[2025-July]],"&gt;="&amp;Table1[[#This Row],[Target]])</f>
        <v>4</v>
      </c>
      <c r="O1369" s="4">
        <f>IF(Table1[[#This Row],[Outliers 2Y]]=0,1,0)</f>
        <v>0</v>
      </c>
      <c r="P1369" s="4">
        <f>IF(Table1[[#This Row],[Last value]]&gt;1.5*Table1[[#This Row],[Target]],1,0)</f>
        <v>1</v>
      </c>
      <c r="Q1369" s="4">
        <f>IF(AND(1.5*Table1[[#This Row],[Target]]&gt;=Table1[[#This Row],[Last value]],Table1[[#This Row],[Last value]]&gt;Table1[[#This Row],[Target]]),1,0)</f>
        <v>0</v>
      </c>
      <c r="R1369" s="4">
        <f>IF(Table1[[#This Row],[Target]]&gt;=Table1[[#This Row],[Last value]],1,0)</f>
        <v>0</v>
      </c>
      <c r="S1369" s="4" t="str">
        <f t="shared" si="33"/>
        <v>Red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1.03</v>
      </c>
      <c r="CI1369" s="4">
        <v>3.61</v>
      </c>
      <c r="CJ1369" s="34">
        <v>0</v>
      </c>
      <c r="CK1369" s="38">
        <v>0</v>
      </c>
      <c r="CL1369" s="43">
        <v>12.6</v>
      </c>
      <c r="CM1369" s="4">
        <v>5.2</v>
      </c>
      <c r="CN1369" s="53">
        <v>0</v>
      </c>
      <c r="CO1369" s="54">
        <v>18.5</v>
      </c>
      <c r="CP1369" s="54">
        <v>15.1</v>
      </c>
      <c r="CQ1369" s="4">
        <v>14.07</v>
      </c>
    </row>
    <row r="1370" spans="1:95" x14ac:dyDescent="0.35">
      <c r="A1370" s="55">
        <v>1369</v>
      </c>
      <c r="B1370" s="23" t="s">
        <v>126</v>
      </c>
      <c r="C1370" s="29" t="s">
        <v>1360</v>
      </c>
      <c r="D1370" s="3" t="s">
        <v>94</v>
      </c>
      <c r="E1370" s="29" t="s">
        <v>89</v>
      </c>
      <c r="F1370" s="4">
        <f>IFERROR(AVERAGEIF(Table1[[#This Row],[2019-Apr]:[2025-July]],"&lt;&gt;0"),0)</f>
        <v>18.696249999999999</v>
      </c>
      <c r="G1370" s="4">
        <f ca="1">IFERROR(AVERAGEIF(OFFSET(Table1[[#This Row],[Status]],0,COUNT(Table1[[#This Row],[2019-May]:[2025-July]]),1,-12),"&lt;&gt;0"),0)</f>
        <v>18.696249999999999</v>
      </c>
      <c r="H1370" s="55">
        <f>IFERROR(SMALL(Table1[[#This Row],[2019-Apr]:[2025-July]],COUNTIF(Table1[[#This Row],[2019-Apr]:[2025-July]],0)+1),0)</f>
        <v>5.86</v>
      </c>
      <c r="I1370" s="56">
        <f>IFERROR(MAX(Table1[[#This Row],[2019-Apr]:[2025-July]]),0)</f>
        <v>28.7</v>
      </c>
      <c r="J1370" s="4" cm="1">
        <f t="array" ref="J137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16.111666666666665</v>
      </c>
      <c r="K1370" s="4">
        <v>4.5</v>
      </c>
      <c r="L1370" s="4">
        <f>IF(Table1[[#This Row],[Standard as per ISO]]&gt;=Table1[[#This Row],[Avg of best 6]],Table1[[#This Row],[Standard as per ISO]],Table1[[#This Row],[Avg of best 6]])</f>
        <v>16.111666666666665</v>
      </c>
      <c r="M1370" s="4" cm="1">
        <f t="array" ref="M1370">IFERROR(LOOKUP(2,1/(Table1[[#This Row],[2019-May]:[2025-July]]&lt;&gt;0),Table1[[#This Row],[2019-May]:[2025-July]]),0)</f>
        <v>21.6</v>
      </c>
      <c r="N1370" s="4">
        <f>COUNTIF(Table1[[#This Row],[2019-Apr]:[2025-July]],"&gt;="&amp;Table1[[#This Row],[Target]])</f>
        <v>5</v>
      </c>
      <c r="O1370" s="4">
        <f>IF(Table1[[#This Row],[Outliers 2Y]]=0,1,0)</f>
        <v>0</v>
      </c>
      <c r="P1370" s="4">
        <f>IF(Table1[[#This Row],[Last value]]&gt;1.5*Table1[[#This Row],[Target]],1,0)</f>
        <v>0</v>
      </c>
      <c r="Q1370" s="4">
        <f>IF(AND(1.5*Table1[[#This Row],[Target]]&gt;=Table1[[#This Row],[Last value]],Table1[[#This Row],[Last value]]&gt;Table1[[#This Row],[Target]]),1,0)</f>
        <v>1</v>
      </c>
      <c r="R1370" s="4">
        <f>IF(Table1[[#This Row],[Target]]&gt;=Table1[[#This Row],[Last value]],1,0)</f>
        <v>0</v>
      </c>
      <c r="S1370" s="4" t="str">
        <f t="shared" si="33"/>
        <v>Yellow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5.86</v>
      </c>
      <c r="CI1370" s="4">
        <v>15.71</v>
      </c>
      <c r="CJ1370" s="38">
        <v>24.2</v>
      </c>
      <c r="CK1370" s="34">
        <v>21.6</v>
      </c>
      <c r="CL1370" s="43">
        <v>28.7</v>
      </c>
      <c r="CM1370" s="4">
        <v>17.399999999999999</v>
      </c>
      <c r="CN1370" s="53">
        <v>0</v>
      </c>
      <c r="CO1370" s="54">
        <v>14.5</v>
      </c>
      <c r="CP1370" s="54">
        <v>21.6</v>
      </c>
      <c r="CQ1370" s="4">
        <v>0</v>
      </c>
    </row>
    <row r="1371" spans="1:95" x14ac:dyDescent="0.35">
      <c r="A1371" s="55">
        <v>1370</v>
      </c>
      <c r="B1371" s="23" t="s">
        <v>126</v>
      </c>
      <c r="C1371" s="27" t="s">
        <v>1361</v>
      </c>
      <c r="D1371" s="3" t="s">
        <v>94</v>
      </c>
      <c r="E1371" s="27" t="s">
        <v>95</v>
      </c>
      <c r="F1371" s="4">
        <f>IFERROR(AVERAGEIF(Table1[[#This Row],[2019-Apr]:[2025-July]],"&lt;&gt;0"),0)</f>
        <v>2.2200000000000002</v>
      </c>
      <c r="G1371" s="4">
        <f ca="1">IFERROR(AVERAGEIF(OFFSET(Table1[[#This Row],[Status]],0,COUNT(Table1[[#This Row],[2019-May]:[2025-July]]),1,-12),"&lt;&gt;0"),0)</f>
        <v>2.2200000000000002</v>
      </c>
      <c r="H1371" s="55">
        <f>IFERROR(SMALL(Table1[[#This Row],[2019-Apr]:[2025-July]],COUNTIF(Table1[[#This Row],[2019-Apr]:[2025-July]],0)+1),0)</f>
        <v>2.2200000000000002</v>
      </c>
      <c r="I1371" s="56">
        <f>IFERROR(MAX(Table1[[#This Row],[2019-Apr]:[2025-July]]),0)</f>
        <v>2.2200000000000002</v>
      </c>
      <c r="J1371" s="4" cm="1">
        <f t="array" ref="J137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2.2200000000000002</v>
      </c>
      <c r="K1371" s="4">
        <v>4.5</v>
      </c>
      <c r="L1371" s="4">
        <f>IF(Table1[[#This Row],[Standard as per ISO]]&gt;=Table1[[#This Row],[Avg of best 6]],Table1[[#This Row],[Standard as per ISO]],Table1[[#This Row],[Avg of best 6]])</f>
        <v>4.5</v>
      </c>
      <c r="M1371" s="4" cm="1">
        <f t="array" ref="M1371">IFERROR(LOOKUP(2,1/(Table1[[#This Row],[2019-May]:[2025-July]]&lt;&gt;0),Table1[[#This Row],[2019-May]:[2025-July]]),0)</f>
        <v>2.2200000000000002</v>
      </c>
      <c r="N1371" s="4">
        <f>COUNTIF(Table1[[#This Row],[2019-Apr]:[2025-July]],"&gt;="&amp;Table1[[#This Row],[Target]])</f>
        <v>0</v>
      </c>
      <c r="O1371" s="4">
        <f>IF(Table1[[#This Row],[Outliers 2Y]]=0,1,0)</f>
        <v>1</v>
      </c>
      <c r="P1371" s="4">
        <f>IF(Table1[[#This Row],[Last value]]&gt;1.5*Table1[[#This Row],[Target]],1,0)</f>
        <v>0</v>
      </c>
      <c r="Q1371" s="4">
        <f>IF(AND(1.5*Table1[[#This Row],[Target]]&gt;=Table1[[#This Row],[Last value]],Table1[[#This Row],[Last value]]&gt;Table1[[#This Row],[Target]]),1,0)</f>
        <v>0</v>
      </c>
      <c r="R1371" s="4">
        <f>IF(Table1[[#This Row],[Target]]&gt;=Table1[[#This Row],[Last value]],1,0)</f>
        <v>1</v>
      </c>
      <c r="S1371" s="4" t="str">
        <f t="shared" si="33"/>
        <v>Green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2.2200000000000002</v>
      </c>
      <c r="CI1371" s="4">
        <v>0</v>
      </c>
      <c r="CJ1371" s="34">
        <v>0</v>
      </c>
      <c r="CK1371" s="38">
        <v>0</v>
      </c>
      <c r="CL1371" s="34">
        <v>0</v>
      </c>
      <c r="CM1371" s="4">
        <v>0</v>
      </c>
      <c r="CN1371" s="53">
        <v>0</v>
      </c>
      <c r="CO1371" s="54">
        <v>0</v>
      </c>
      <c r="CP1371" s="54">
        <v>0</v>
      </c>
      <c r="CQ1371" s="4">
        <v>0</v>
      </c>
    </row>
    <row r="1372" spans="1:95" x14ac:dyDescent="0.35">
      <c r="A1372" s="55">
        <v>1371</v>
      </c>
      <c r="B1372" s="23" t="s">
        <v>126</v>
      </c>
      <c r="C1372" s="27" t="s">
        <v>1362</v>
      </c>
      <c r="D1372" s="3" t="s">
        <v>94</v>
      </c>
      <c r="E1372" s="27" t="s">
        <v>95</v>
      </c>
      <c r="F1372" s="4">
        <f>IFERROR(AVERAGEIF(Table1[[#This Row],[2019-Apr]:[2025-July]],"&lt;&gt;0"),0)</f>
        <v>2.0049999999999999</v>
      </c>
      <c r="G1372" s="4">
        <f ca="1">IFERROR(AVERAGEIF(OFFSET(Table1[[#This Row],[Status]],0,COUNT(Table1[[#This Row],[2019-May]:[2025-July]]),1,-12),"&lt;&gt;0"),0)</f>
        <v>2.0049999999999999</v>
      </c>
      <c r="H1372" s="55">
        <f>IFERROR(SMALL(Table1[[#This Row],[2019-Apr]:[2025-July]],COUNTIF(Table1[[#This Row],[2019-Apr]:[2025-July]],0)+1),0)</f>
        <v>1.7</v>
      </c>
      <c r="I1372" s="56">
        <f>IFERROR(MAX(Table1[[#This Row],[2019-Apr]:[2025-July]]),0)</f>
        <v>2.31</v>
      </c>
      <c r="J1372" s="4" cm="1">
        <f t="array" ref="J137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2.0049999999999999</v>
      </c>
      <c r="K1372" s="4">
        <v>4.5</v>
      </c>
      <c r="L1372" s="4">
        <f>IF(Table1[[#This Row],[Standard as per ISO]]&gt;=Table1[[#This Row],[Avg of best 6]],Table1[[#This Row],[Standard as per ISO]],Table1[[#This Row],[Avg of best 6]])</f>
        <v>4.5</v>
      </c>
      <c r="M1372" s="4" cm="1">
        <f t="array" ref="M1372">IFERROR(LOOKUP(2,1/(Table1[[#This Row],[2019-May]:[2025-July]]&lt;&gt;0),Table1[[#This Row],[2019-May]:[2025-July]]),0)</f>
        <v>1.7</v>
      </c>
      <c r="N1372" s="4">
        <f>COUNTIF(Table1[[#This Row],[2019-Apr]:[2025-July]],"&gt;="&amp;Table1[[#This Row],[Target]])</f>
        <v>0</v>
      </c>
      <c r="O1372" s="4">
        <f>IF(Table1[[#This Row],[Outliers 2Y]]=0,1,0)</f>
        <v>1</v>
      </c>
      <c r="P1372" s="4">
        <f>IF(Table1[[#This Row],[Last value]]&gt;1.5*Table1[[#This Row],[Target]],1,0)</f>
        <v>0</v>
      </c>
      <c r="Q1372" s="4">
        <f>IF(AND(1.5*Table1[[#This Row],[Target]]&gt;=Table1[[#This Row],[Last value]],Table1[[#This Row],[Last value]]&gt;Table1[[#This Row],[Target]]),1,0)</f>
        <v>0</v>
      </c>
      <c r="R1372" s="4">
        <f>IF(Table1[[#This Row],[Target]]&gt;=Table1[[#This Row],[Last value]],1,0)</f>
        <v>1</v>
      </c>
      <c r="S1372" s="4" t="str">
        <f t="shared" si="33"/>
        <v>Green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2.31</v>
      </c>
      <c r="CH1372" s="4">
        <v>1.7</v>
      </c>
      <c r="CI1372" s="4">
        <v>0</v>
      </c>
      <c r="CJ1372" s="34">
        <v>0</v>
      </c>
      <c r="CK1372" s="38">
        <v>0</v>
      </c>
      <c r="CL1372" s="34">
        <v>0</v>
      </c>
      <c r="CM1372" s="4">
        <v>0</v>
      </c>
      <c r="CN1372" s="53">
        <v>0</v>
      </c>
      <c r="CO1372" s="54">
        <v>0</v>
      </c>
      <c r="CP1372" s="54">
        <v>0</v>
      </c>
      <c r="CQ1372" s="4">
        <v>0</v>
      </c>
    </row>
    <row r="1373" spans="1:95" x14ac:dyDescent="0.35">
      <c r="A1373" s="55">
        <v>1372</v>
      </c>
      <c r="B1373" s="23" t="s">
        <v>126</v>
      </c>
      <c r="C1373" s="27" t="s">
        <v>1363</v>
      </c>
      <c r="D1373" s="3" t="s">
        <v>94</v>
      </c>
      <c r="E1373" s="27" t="s">
        <v>95</v>
      </c>
      <c r="F1373" s="4">
        <f>IFERROR(AVERAGEIF(Table1[[#This Row],[2019-Apr]:[2025-July]],"&lt;&gt;0"),0)</f>
        <v>2.1800000000000002</v>
      </c>
      <c r="G1373" s="4">
        <f ca="1">IFERROR(AVERAGEIF(OFFSET(Table1[[#This Row],[Status]],0,COUNT(Table1[[#This Row],[2019-May]:[2025-July]]),1,-12),"&lt;&gt;0"),0)</f>
        <v>2.1800000000000002</v>
      </c>
      <c r="H1373" s="55">
        <f>IFERROR(SMALL(Table1[[#This Row],[2019-Apr]:[2025-July]],COUNTIF(Table1[[#This Row],[2019-Apr]:[2025-July]],0)+1),0)</f>
        <v>1.86</v>
      </c>
      <c r="I1373" s="56">
        <f>IFERROR(MAX(Table1[[#This Row],[2019-Apr]:[2025-July]]),0)</f>
        <v>2.5</v>
      </c>
      <c r="J1373" s="4" cm="1">
        <f t="array" ref="J137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2.1800000000000002</v>
      </c>
      <c r="K1373" s="4">
        <v>4.5</v>
      </c>
      <c r="L1373" s="4">
        <f>IF(Table1[[#This Row],[Standard as per ISO]]&gt;=Table1[[#This Row],[Avg of best 6]],Table1[[#This Row],[Standard as per ISO]],Table1[[#This Row],[Avg of best 6]])</f>
        <v>4.5</v>
      </c>
      <c r="M1373" s="4" cm="1">
        <f t="array" ref="M1373">IFERROR(LOOKUP(2,1/(Table1[[#This Row],[2019-May]:[2025-July]]&lt;&gt;0),Table1[[#This Row],[2019-May]:[2025-July]]),0)</f>
        <v>2.5</v>
      </c>
      <c r="N1373" s="4">
        <f>COUNTIF(Table1[[#This Row],[2019-Apr]:[2025-July]],"&gt;="&amp;Table1[[#This Row],[Target]])</f>
        <v>0</v>
      </c>
      <c r="O1373" s="4">
        <f>IF(Table1[[#This Row],[Outliers 2Y]]=0,1,0)</f>
        <v>1</v>
      </c>
      <c r="P1373" s="4">
        <f>IF(Table1[[#This Row],[Last value]]&gt;1.5*Table1[[#This Row],[Target]],1,0)</f>
        <v>0</v>
      </c>
      <c r="Q1373" s="4">
        <f>IF(AND(1.5*Table1[[#This Row],[Target]]&gt;=Table1[[#This Row],[Last value]],Table1[[#This Row],[Last value]]&gt;Table1[[#This Row],[Target]]),1,0)</f>
        <v>0</v>
      </c>
      <c r="R1373" s="4">
        <f>IF(Table1[[#This Row],[Target]]&gt;=Table1[[#This Row],[Last value]],1,0)</f>
        <v>1</v>
      </c>
      <c r="S1373" s="4" t="str">
        <f t="shared" si="33"/>
        <v>Green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1.86</v>
      </c>
      <c r="CH1373" s="4">
        <v>2.5</v>
      </c>
      <c r="CI1373" s="4">
        <v>0</v>
      </c>
      <c r="CJ1373" s="34">
        <v>0</v>
      </c>
      <c r="CK1373" s="38">
        <v>0</v>
      </c>
      <c r="CL1373" s="34">
        <v>0</v>
      </c>
      <c r="CM1373" s="4">
        <v>0</v>
      </c>
      <c r="CN1373" s="53">
        <v>0</v>
      </c>
      <c r="CO1373" s="54">
        <v>0</v>
      </c>
      <c r="CP1373" s="54">
        <v>0</v>
      </c>
      <c r="CQ1373" s="4">
        <v>0</v>
      </c>
    </row>
    <row r="1374" spans="1:95" x14ac:dyDescent="0.35">
      <c r="A1374" s="55">
        <v>1373</v>
      </c>
      <c r="B1374" s="23" t="s">
        <v>126</v>
      </c>
      <c r="C1374" s="27" t="s">
        <v>1364</v>
      </c>
      <c r="D1374" s="3" t="s">
        <v>94</v>
      </c>
      <c r="E1374" s="27" t="s">
        <v>89</v>
      </c>
      <c r="F1374" s="4">
        <f>IFERROR(AVERAGEIF(Table1[[#This Row],[2019-Apr]:[2025-July]],"&lt;&gt;0"),0)</f>
        <v>2.6420000000000003</v>
      </c>
      <c r="G1374" s="4">
        <f ca="1">IFERROR(AVERAGEIF(OFFSET(Table1[[#This Row],[Status]],0,COUNT(Table1[[#This Row],[2019-May]:[2025-July]]),1,-12),"&lt;&gt;0"),0)</f>
        <v>2.6420000000000003</v>
      </c>
      <c r="H1374" s="55">
        <f>IFERROR(SMALL(Table1[[#This Row],[2019-Apr]:[2025-July]],COUNTIF(Table1[[#This Row],[2019-Apr]:[2025-July]],0)+1),0)</f>
        <v>2</v>
      </c>
      <c r="I1374" s="56">
        <f>IFERROR(MAX(Table1[[#This Row],[2019-Apr]:[2025-July]]),0)</f>
        <v>3.52</v>
      </c>
      <c r="J1374" s="4" cm="1">
        <f t="array" ref="J137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2.6420000000000003</v>
      </c>
      <c r="K1374" s="4">
        <v>4.5</v>
      </c>
      <c r="L1374" s="4">
        <f>IF(Table1[[#This Row],[Standard as per ISO]]&gt;=Table1[[#This Row],[Avg of best 6]],Table1[[#This Row],[Standard as per ISO]],Table1[[#This Row],[Avg of best 6]])</f>
        <v>4.5</v>
      </c>
      <c r="M1374" s="4" cm="1">
        <f t="array" ref="M1374">IFERROR(LOOKUP(2,1/(Table1[[#This Row],[2019-May]:[2025-July]]&lt;&gt;0),Table1[[#This Row],[2019-May]:[2025-July]]),0)</f>
        <v>2.8</v>
      </c>
      <c r="N1374" s="4">
        <f>COUNTIF(Table1[[#This Row],[2019-Apr]:[2025-July]],"&gt;="&amp;Table1[[#This Row],[Target]])</f>
        <v>0</v>
      </c>
      <c r="O1374" s="4">
        <f>IF(Table1[[#This Row],[Outliers 2Y]]=0,1,0)</f>
        <v>1</v>
      </c>
      <c r="P1374" s="4">
        <f>IF(Table1[[#This Row],[Last value]]&gt;1.5*Table1[[#This Row],[Target]],1,0)</f>
        <v>0</v>
      </c>
      <c r="Q1374" s="4">
        <f>IF(AND(1.5*Table1[[#This Row],[Target]]&gt;=Table1[[#This Row],[Last value]],Table1[[#This Row],[Last value]]&gt;Table1[[#This Row],[Target]]),1,0)</f>
        <v>0</v>
      </c>
      <c r="R1374" s="4">
        <f>IF(Table1[[#This Row],[Target]]&gt;=Table1[[#This Row],[Last value]],1,0)</f>
        <v>1</v>
      </c>
      <c r="S1374" s="4" t="str">
        <f t="shared" si="33"/>
        <v>Green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2.19</v>
      </c>
      <c r="CH1374" s="4">
        <v>0</v>
      </c>
      <c r="CI1374" s="4">
        <v>0</v>
      </c>
      <c r="CJ1374" s="34">
        <v>0</v>
      </c>
      <c r="CK1374" s="34">
        <v>2</v>
      </c>
      <c r="CL1374" s="43">
        <v>2.7</v>
      </c>
      <c r="CM1374" s="4">
        <v>0</v>
      </c>
      <c r="CN1374" s="53">
        <v>0</v>
      </c>
      <c r="CO1374" s="54">
        <v>3.52</v>
      </c>
      <c r="CP1374" s="54">
        <v>2.8</v>
      </c>
      <c r="CQ1374" s="4">
        <v>0</v>
      </c>
    </row>
    <row r="1375" spans="1:95" x14ac:dyDescent="0.35">
      <c r="A1375" s="55">
        <v>1374</v>
      </c>
      <c r="B1375" s="23" t="s">
        <v>126</v>
      </c>
      <c r="C1375" s="31" t="s">
        <v>1365</v>
      </c>
      <c r="D1375" s="3" t="s">
        <v>94</v>
      </c>
      <c r="E1375" s="27" t="s">
        <v>89</v>
      </c>
      <c r="F1375" s="4">
        <f>IFERROR(AVERAGEIF(Table1[[#This Row],[2019-Apr]:[2025-July]],"&lt;&gt;0"),0)</f>
        <v>4.6966666666666663</v>
      </c>
      <c r="G1375" s="4">
        <f ca="1">IFERROR(AVERAGEIF(OFFSET(Table1[[#This Row],[Status]],0,COUNT(Table1[[#This Row],[2019-May]:[2025-July]]),1,-12),"&lt;&gt;0"),0)</f>
        <v>5.0150000000000006</v>
      </c>
      <c r="H1375" s="55">
        <f>IFERROR(SMALL(Table1[[#This Row],[2019-Apr]:[2025-July]],COUNTIF(Table1[[#This Row],[2019-Apr]:[2025-July]],0)+1),0)</f>
        <v>3.63</v>
      </c>
      <c r="I1375" s="56">
        <f>IFERROR(MAX(Table1[[#This Row],[2019-Apr]:[2025-July]]),0)</f>
        <v>6.4</v>
      </c>
      <c r="J1375" s="4" cm="1">
        <f t="array" ref="J137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4.6966666666666663</v>
      </c>
      <c r="K1375" s="4">
        <v>4.5</v>
      </c>
      <c r="L1375" s="4">
        <f>IF(Table1[[#This Row],[Standard as per ISO]]&gt;=Table1[[#This Row],[Avg of best 6]],Table1[[#This Row],[Standard as per ISO]],Table1[[#This Row],[Avg of best 6]])</f>
        <v>4.6966666666666663</v>
      </c>
      <c r="M1375" s="4" cm="1">
        <f t="array" ref="M1375">IFERROR(LOOKUP(2,1/(Table1[[#This Row],[2019-May]:[2025-July]]&lt;&gt;0),Table1[[#This Row],[2019-May]:[2025-July]]),0)</f>
        <v>4.0599999999999996</v>
      </c>
      <c r="N1375" s="4">
        <f>COUNTIF(Table1[[#This Row],[2019-Apr]:[2025-July]],"&gt;="&amp;Table1[[#This Row],[Target]])</f>
        <v>1</v>
      </c>
      <c r="O1375" s="4">
        <f>IF(Table1[[#This Row],[Outliers 2Y]]=0,1,0)</f>
        <v>0</v>
      </c>
      <c r="P1375" s="4">
        <f>IF(Table1[[#This Row],[Last value]]&gt;1.5*Table1[[#This Row],[Target]],1,0)</f>
        <v>0</v>
      </c>
      <c r="Q1375" s="4">
        <f>IF(AND(1.5*Table1[[#This Row],[Target]]&gt;=Table1[[#This Row],[Last value]],Table1[[#This Row],[Last value]]&gt;Table1[[#This Row],[Target]]),1,0)</f>
        <v>0</v>
      </c>
      <c r="R1375" s="4">
        <f>IF(Table1[[#This Row],[Target]]&gt;=Table1[[#This Row],[Last value]],1,0)</f>
        <v>1</v>
      </c>
      <c r="S1375" s="4" t="str">
        <f t="shared" si="33"/>
        <v>Green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3.63</v>
      </c>
      <c r="CI1375" s="4">
        <v>0</v>
      </c>
      <c r="CJ1375" s="34">
        <v>0</v>
      </c>
      <c r="CK1375" s="38">
        <v>0</v>
      </c>
      <c r="CL1375" s="43">
        <v>0</v>
      </c>
      <c r="CM1375" s="4">
        <v>6.4</v>
      </c>
      <c r="CN1375" s="53">
        <v>0</v>
      </c>
      <c r="CO1375" s="54">
        <v>0</v>
      </c>
      <c r="CP1375" s="54">
        <v>0</v>
      </c>
      <c r="CQ1375" s="4">
        <v>4.0599999999999996</v>
      </c>
    </row>
    <row r="1376" spans="1:95" x14ac:dyDescent="0.35">
      <c r="A1376" s="55">
        <v>1375</v>
      </c>
      <c r="B1376" s="23" t="s">
        <v>126</v>
      </c>
      <c r="C1376" s="27" t="s">
        <v>1366</v>
      </c>
      <c r="D1376" s="3" t="s">
        <v>94</v>
      </c>
      <c r="E1376" s="27" t="s">
        <v>89</v>
      </c>
      <c r="F1376" s="4">
        <f>IFERROR(AVERAGEIF(Table1[[#This Row],[2019-Apr]:[2025-July]],"&lt;&gt;0"),0)</f>
        <v>3.9780000000000002</v>
      </c>
      <c r="G1376" s="4">
        <f ca="1">IFERROR(AVERAGEIF(OFFSET(Table1[[#This Row],[Status]],0,COUNT(Table1[[#This Row],[2019-May]:[2025-July]]),1,-12),"&lt;&gt;0"),0)</f>
        <v>3.9225000000000003</v>
      </c>
      <c r="H1376" s="55">
        <f>IFERROR(SMALL(Table1[[#This Row],[2019-Apr]:[2025-July]],COUNTIF(Table1[[#This Row],[2019-Apr]:[2025-July]],0)+1),0)</f>
        <v>2.69</v>
      </c>
      <c r="I1376" s="56">
        <f>IFERROR(MAX(Table1[[#This Row],[2019-Apr]:[2025-July]]),0)</f>
        <v>4.8</v>
      </c>
      <c r="J1376" s="4" cm="1">
        <f t="array" ref="J137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3.9780000000000002</v>
      </c>
      <c r="K1376" s="4">
        <v>4.5</v>
      </c>
      <c r="L1376" s="4">
        <f>IF(Table1[[#This Row],[Standard as per ISO]]&gt;=Table1[[#This Row],[Avg of best 6]],Table1[[#This Row],[Standard as per ISO]],Table1[[#This Row],[Avg of best 6]])</f>
        <v>4.5</v>
      </c>
      <c r="M1376" s="4" cm="1">
        <f t="array" ref="M1376">IFERROR(LOOKUP(2,1/(Table1[[#This Row],[2019-May]:[2025-July]]&lt;&gt;0),Table1[[#This Row],[2019-May]:[2025-July]]),0)</f>
        <v>4.2</v>
      </c>
      <c r="N1376" s="4">
        <f>COUNTIF(Table1[[#This Row],[2019-Apr]:[2025-July]],"&gt;="&amp;Table1[[#This Row],[Target]])</f>
        <v>1</v>
      </c>
      <c r="O1376" s="4">
        <f>IF(Table1[[#This Row],[Outliers 2Y]]=0,1,0)</f>
        <v>0</v>
      </c>
      <c r="P1376" s="4">
        <f>IF(Table1[[#This Row],[Last value]]&gt;1.5*Table1[[#This Row],[Target]],1,0)</f>
        <v>0</v>
      </c>
      <c r="Q1376" s="4">
        <f>IF(AND(1.5*Table1[[#This Row],[Target]]&gt;=Table1[[#This Row],[Last value]],Table1[[#This Row],[Last value]]&gt;Table1[[#This Row],[Target]]),1,0)</f>
        <v>0</v>
      </c>
      <c r="R1376" s="4">
        <f>IF(Table1[[#This Row],[Target]]&gt;=Table1[[#This Row],[Last value]],1,0)</f>
        <v>1</v>
      </c>
      <c r="S1376" s="4" t="str">
        <f t="shared" si="33"/>
        <v>Green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2.69</v>
      </c>
      <c r="CH1376" s="4">
        <v>0</v>
      </c>
      <c r="CI1376" s="4">
        <v>0</v>
      </c>
      <c r="CJ1376" s="34">
        <v>0</v>
      </c>
      <c r="CK1376" s="38">
        <v>0</v>
      </c>
      <c r="CL1376" s="43">
        <v>3.9</v>
      </c>
      <c r="CM1376" s="4">
        <v>0</v>
      </c>
      <c r="CN1376" s="53">
        <v>0</v>
      </c>
      <c r="CO1376" s="54">
        <v>4.8</v>
      </c>
      <c r="CP1376" s="54">
        <v>4.3</v>
      </c>
      <c r="CQ1376" s="4">
        <v>4.2</v>
      </c>
    </row>
    <row r="1377" spans="1:95" x14ac:dyDescent="0.35">
      <c r="A1377" s="55">
        <v>1376</v>
      </c>
      <c r="B1377" s="23" t="s">
        <v>126</v>
      </c>
      <c r="C1377" s="27" t="s">
        <v>1367</v>
      </c>
      <c r="D1377" s="3" t="s">
        <v>94</v>
      </c>
      <c r="E1377" s="27" t="s">
        <v>89</v>
      </c>
      <c r="F1377" s="4">
        <f>IFERROR(AVERAGEIF(Table1[[#This Row],[2019-Apr]:[2025-July]],"&lt;&gt;0"),0)</f>
        <v>4.7149999999999999</v>
      </c>
      <c r="G1377" s="4">
        <f ca="1">IFERROR(AVERAGEIF(OFFSET(Table1[[#This Row],[Status]],0,COUNT(Table1[[#This Row],[2019-May]:[2025-July]]),1,-12),"&lt;&gt;0"),0)</f>
        <v>4.7149999999999999</v>
      </c>
      <c r="H1377" s="55">
        <f>IFERROR(SMALL(Table1[[#This Row],[2019-Apr]:[2025-July]],COUNTIF(Table1[[#This Row],[2019-Apr]:[2025-July]],0)+1),0)</f>
        <v>3.24</v>
      </c>
      <c r="I1377" s="56">
        <f>IFERROR(MAX(Table1[[#This Row],[2019-Apr]:[2025-July]]),0)</f>
        <v>6.45</v>
      </c>
      <c r="J1377" s="4" cm="1">
        <f t="array" ref="J137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4.7149999999999999</v>
      </c>
      <c r="K1377" s="4">
        <v>4.5</v>
      </c>
      <c r="L1377" s="4">
        <f>IF(Table1[[#This Row],[Standard as per ISO]]&gt;=Table1[[#This Row],[Avg of best 6]],Table1[[#This Row],[Standard as per ISO]],Table1[[#This Row],[Avg of best 6]])</f>
        <v>4.7149999999999999</v>
      </c>
      <c r="M1377" s="4" cm="1">
        <f t="array" ref="M1377">IFERROR(LOOKUP(2,1/(Table1[[#This Row],[2019-May]:[2025-July]]&lt;&gt;0),Table1[[#This Row],[2019-May]:[2025-July]]),0)</f>
        <v>5.8</v>
      </c>
      <c r="N1377" s="4">
        <f>COUNTIF(Table1[[#This Row],[2019-Apr]:[2025-July]],"&gt;="&amp;Table1[[#This Row],[Target]])</f>
        <v>3</v>
      </c>
      <c r="O1377" s="4">
        <f>IF(Table1[[#This Row],[Outliers 2Y]]=0,1,0)</f>
        <v>0</v>
      </c>
      <c r="P1377" s="4">
        <f>IF(Table1[[#This Row],[Last value]]&gt;1.5*Table1[[#This Row],[Target]],1,0)</f>
        <v>0</v>
      </c>
      <c r="Q1377" s="4">
        <f>IF(AND(1.5*Table1[[#This Row],[Target]]&gt;=Table1[[#This Row],[Last value]],Table1[[#This Row],[Last value]]&gt;Table1[[#This Row],[Target]]),1,0)</f>
        <v>1</v>
      </c>
      <c r="R1377" s="4">
        <f>IF(Table1[[#This Row],[Target]]&gt;=Table1[[#This Row],[Last value]],1,0)</f>
        <v>0</v>
      </c>
      <c r="S1377" s="4" t="str">
        <f t="shared" si="33"/>
        <v>Yellow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3.24</v>
      </c>
      <c r="CH1377" s="4">
        <v>3.3</v>
      </c>
      <c r="CI1377" s="4">
        <v>0</v>
      </c>
      <c r="CJ1377" s="34">
        <v>0</v>
      </c>
      <c r="CK1377" s="34">
        <v>5.2</v>
      </c>
      <c r="CL1377" s="43">
        <v>0</v>
      </c>
      <c r="CM1377" s="4">
        <v>4.3</v>
      </c>
      <c r="CN1377" s="53">
        <v>0</v>
      </c>
      <c r="CO1377" s="54">
        <v>6.45</v>
      </c>
      <c r="CP1377" s="54">
        <v>5.8</v>
      </c>
      <c r="CQ1377" s="4">
        <v>0</v>
      </c>
    </row>
    <row r="1378" spans="1:95" x14ac:dyDescent="0.35">
      <c r="A1378" s="55">
        <v>1377</v>
      </c>
      <c r="B1378" s="23" t="s">
        <v>126</v>
      </c>
      <c r="C1378" s="27" t="s">
        <v>1368</v>
      </c>
      <c r="D1378" s="3" t="s">
        <v>94</v>
      </c>
      <c r="E1378" s="27" t="s">
        <v>89</v>
      </c>
      <c r="F1378" s="4">
        <f>IFERROR(AVERAGEIF(Table1[[#This Row],[2019-Apr]:[2025-July]],"&lt;&gt;0"),0)</f>
        <v>4.2399999999999993</v>
      </c>
      <c r="G1378" s="4">
        <f ca="1">IFERROR(AVERAGEIF(OFFSET(Table1[[#This Row],[Status]],0,COUNT(Table1[[#This Row],[2019-May]:[2025-July]]),1,-12),"&lt;&gt;0"),0)</f>
        <v>4.2679999999999998</v>
      </c>
      <c r="H1378" s="55">
        <f>IFERROR(SMALL(Table1[[#This Row],[2019-Apr]:[2025-July]],COUNTIF(Table1[[#This Row],[2019-Apr]:[2025-July]],0)+1),0)</f>
        <v>2.82</v>
      </c>
      <c r="I1378" s="56">
        <f>IFERROR(MAX(Table1[[#This Row],[2019-Apr]:[2025-July]]),0)</f>
        <v>5.7</v>
      </c>
      <c r="J1378" s="4" cm="1">
        <f t="array" ref="J137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4.2399999999999993</v>
      </c>
      <c r="K1378" s="4">
        <v>4.5</v>
      </c>
      <c r="L1378" s="4">
        <f>IF(Table1[[#This Row],[Standard as per ISO]]&gt;=Table1[[#This Row],[Avg of best 6]],Table1[[#This Row],[Standard as per ISO]],Table1[[#This Row],[Avg of best 6]])</f>
        <v>4.5</v>
      </c>
      <c r="M1378" s="4" cm="1">
        <f t="array" ref="M1378">IFERROR(LOOKUP(2,1/(Table1[[#This Row],[2019-May]:[2025-July]]&lt;&gt;0),Table1[[#This Row],[2019-May]:[2025-July]]),0)</f>
        <v>4.0999999999999996</v>
      </c>
      <c r="N1378" s="4">
        <f>COUNTIF(Table1[[#This Row],[2019-Apr]:[2025-July]],"&gt;="&amp;Table1[[#This Row],[Target]])</f>
        <v>2</v>
      </c>
      <c r="O1378" s="4">
        <f>IF(Table1[[#This Row],[Outliers 2Y]]=0,1,0)</f>
        <v>0</v>
      </c>
      <c r="P1378" s="4">
        <f>IF(Table1[[#This Row],[Last value]]&gt;1.5*Table1[[#This Row],[Target]],1,0)</f>
        <v>0</v>
      </c>
      <c r="Q1378" s="4">
        <f>IF(AND(1.5*Table1[[#This Row],[Target]]&gt;=Table1[[#This Row],[Last value]],Table1[[#This Row],[Last value]]&gt;Table1[[#This Row],[Target]]),1,0)</f>
        <v>0</v>
      </c>
      <c r="R1378" s="4">
        <f>IF(Table1[[#This Row],[Target]]&gt;=Table1[[#This Row],[Last value]],1,0)</f>
        <v>1</v>
      </c>
      <c r="S1378" s="4" t="str">
        <f t="shared" si="33"/>
        <v>Green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4.92</v>
      </c>
      <c r="CH1378" s="4">
        <v>2.82</v>
      </c>
      <c r="CI1378" s="4">
        <v>0</v>
      </c>
      <c r="CJ1378" s="34">
        <v>0</v>
      </c>
      <c r="CK1378" s="34">
        <v>5.7</v>
      </c>
      <c r="CL1378" s="43">
        <v>4.0999999999999996</v>
      </c>
      <c r="CM1378" s="4">
        <v>3.8</v>
      </c>
      <c r="CN1378" s="53">
        <v>0</v>
      </c>
      <c r="CO1378" s="54">
        <v>0</v>
      </c>
      <c r="CP1378" s="54">
        <v>0</v>
      </c>
      <c r="CQ1378" s="4">
        <v>4.0999999999999996</v>
      </c>
    </row>
    <row r="1379" spans="1:95" x14ac:dyDescent="0.35">
      <c r="A1379" s="55">
        <v>1378</v>
      </c>
      <c r="B1379" s="23" t="s">
        <v>126</v>
      </c>
      <c r="C1379" s="27" t="s">
        <v>1369</v>
      </c>
      <c r="D1379" s="3" t="s">
        <v>94</v>
      </c>
      <c r="E1379" s="27" t="s">
        <v>91</v>
      </c>
      <c r="F1379" s="4">
        <f>IFERROR(AVERAGEIF(Table1[[#This Row],[2019-Apr]:[2025-July]],"&lt;&gt;0"),0)</f>
        <v>0</v>
      </c>
      <c r="G1379" s="4">
        <f ca="1">IFERROR(AVERAGEIF(OFFSET(Table1[[#This Row],[Status]],0,COUNT(Table1[[#This Row],[2019-May]:[2025-July]]),1,-12),"&lt;&gt;0"),0)</f>
        <v>0</v>
      </c>
      <c r="H1379" s="55">
        <f>IFERROR(SMALL(Table1[[#This Row],[2019-Apr]:[2025-July]],COUNTIF(Table1[[#This Row],[2019-Apr]:[2025-July]],0)+1),0)</f>
        <v>0</v>
      </c>
      <c r="I1379" s="56">
        <f>IFERROR(MAX(Table1[[#This Row],[2019-Apr]:[2025-July]]),0)</f>
        <v>0</v>
      </c>
      <c r="J1379" s="4" cm="1">
        <f t="array" ref="J137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379" s="4">
        <v>4.5</v>
      </c>
      <c r="L1379" s="4">
        <f>IF(Table1[[#This Row],[Standard as per ISO]]&gt;=Table1[[#This Row],[Avg of best 6]],Table1[[#This Row],[Standard as per ISO]],Table1[[#This Row],[Avg of best 6]])</f>
        <v>4.5</v>
      </c>
      <c r="M1379" s="4" cm="1">
        <f t="array" ref="M1379">IFERROR(LOOKUP(2,1/(Table1[[#This Row],[2019-May]:[2025-July]]&lt;&gt;0),Table1[[#This Row],[2019-May]:[2025-July]]),0)</f>
        <v>0</v>
      </c>
      <c r="N1379" s="4">
        <f>COUNTIF(Table1[[#This Row],[2019-Apr]:[2025-July]],"&gt;="&amp;Table1[[#This Row],[Target]])</f>
        <v>0</v>
      </c>
      <c r="O1379" s="4">
        <f>IF(Table1[[#This Row],[Outliers 2Y]]=0,1,0)</f>
        <v>1</v>
      </c>
      <c r="P1379" s="4">
        <f>IF(Table1[[#This Row],[Last value]]&gt;1.5*Table1[[#This Row],[Target]],1,0)</f>
        <v>0</v>
      </c>
      <c r="Q1379" s="4">
        <f>IF(AND(1.5*Table1[[#This Row],[Target]]&gt;=Table1[[#This Row],[Last value]],Table1[[#This Row],[Last value]]&gt;Table1[[#This Row],[Target]]),1,0)</f>
        <v>0</v>
      </c>
      <c r="R1379" s="4">
        <f>IF(Table1[[#This Row],[Target]]&gt;=Table1[[#This Row],[Last value]],1,0)</f>
        <v>1</v>
      </c>
      <c r="S1379" s="4" t="str">
        <f t="shared" si="33"/>
        <v>Green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34">
        <v>0</v>
      </c>
      <c r="CK1379" s="38">
        <v>0</v>
      </c>
      <c r="CL1379" s="34">
        <v>0</v>
      </c>
      <c r="CM1379" s="4">
        <v>0</v>
      </c>
      <c r="CN1379" s="53">
        <v>0</v>
      </c>
      <c r="CO1379" s="54">
        <v>0</v>
      </c>
      <c r="CP1379" s="54">
        <v>0</v>
      </c>
      <c r="CQ1379" s="4">
        <v>0</v>
      </c>
    </row>
    <row r="1380" spans="1:95" x14ac:dyDescent="0.35">
      <c r="A1380" s="55">
        <v>1379</v>
      </c>
      <c r="B1380" s="23" t="s">
        <v>126</v>
      </c>
      <c r="C1380" s="27" t="s">
        <v>1370</v>
      </c>
      <c r="D1380" s="3" t="s">
        <v>94</v>
      </c>
      <c r="E1380" s="27" t="s">
        <v>91</v>
      </c>
      <c r="F1380" s="4">
        <f>IFERROR(AVERAGEIF(Table1[[#This Row],[2019-Apr]:[2025-July]],"&lt;&gt;0"),0)</f>
        <v>0</v>
      </c>
      <c r="G1380" s="4">
        <f ca="1">IFERROR(AVERAGEIF(OFFSET(Table1[[#This Row],[Status]],0,COUNT(Table1[[#This Row],[2019-May]:[2025-July]]),1,-12),"&lt;&gt;0"),0)</f>
        <v>0</v>
      </c>
      <c r="H1380" s="55">
        <f>IFERROR(SMALL(Table1[[#This Row],[2019-Apr]:[2025-July]],COUNTIF(Table1[[#This Row],[2019-Apr]:[2025-July]],0)+1),0)</f>
        <v>0</v>
      </c>
      <c r="I1380" s="56">
        <f>IFERROR(MAX(Table1[[#This Row],[2019-Apr]:[2025-July]]),0)</f>
        <v>0</v>
      </c>
      <c r="J1380" s="4" cm="1">
        <f t="array" ref="J138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380" s="4">
        <v>4.5</v>
      </c>
      <c r="L1380" s="4">
        <f>IF(Table1[[#This Row],[Standard as per ISO]]&gt;=Table1[[#This Row],[Avg of best 6]],Table1[[#This Row],[Standard as per ISO]],Table1[[#This Row],[Avg of best 6]])</f>
        <v>4.5</v>
      </c>
      <c r="M1380" s="4" cm="1">
        <f t="array" ref="M1380">IFERROR(LOOKUP(2,1/(Table1[[#This Row],[2019-May]:[2025-July]]&lt;&gt;0),Table1[[#This Row],[2019-May]:[2025-July]]),0)</f>
        <v>0</v>
      </c>
      <c r="N1380" s="4">
        <f>COUNTIF(Table1[[#This Row],[2019-Apr]:[2025-July]],"&gt;="&amp;Table1[[#This Row],[Target]])</f>
        <v>0</v>
      </c>
      <c r="O1380" s="4">
        <f>IF(Table1[[#This Row],[Outliers 2Y]]=0,1,0)</f>
        <v>1</v>
      </c>
      <c r="P1380" s="4">
        <f>IF(Table1[[#This Row],[Last value]]&gt;1.5*Table1[[#This Row],[Target]],1,0)</f>
        <v>0</v>
      </c>
      <c r="Q1380" s="4">
        <f>IF(AND(1.5*Table1[[#This Row],[Target]]&gt;=Table1[[#This Row],[Last value]],Table1[[#This Row],[Last value]]&gt;Table1[[#This Row],[Target]]),1,0)</f>
        <v>0</v>
      </c>
      <c r="R1380" s="4">
        <f>IF(Table1[[#This Row],[Target]]&gt;=Table1[[#This Row],[Last value]],1,0)</f>
        <v>1</v>
      </c>
      <c r="S1380" s="4" t="str">
        <f t="shared" si="33"/>
        <v>Green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34">
        <v>0</v>
      </c>
      <c r="CK1380" s="38">
        <v>0</v>
      </c>
      <c r="CL1380" s="34">
        <v>0</v>
      </c>
      <c r="CM1380" s="4">
        <v>0</v>
      </c>
      <c r="CN1380" s="53">
        <v>0</v>
      </c>
      <c r="CO1380" s="54">
        <v>0</v>
      </c>
      <c r="CP1380" s="54">
        <v>0</v>
      </c>
      <c r="CQ1380" s="4">
        <v>0</v>
      </c>
    </row>
    <row r="1381" spans="1:95" x14ac:dyDescent="0.35">
      <c r="A1381" s="55">
        <v>1380</v>
      </c>
      <c r="B1381" s="23" t="s">
        <v>126</v>
      </c>
      <c r="C1381" s="27" t="s">
        <v>1371</v>
      </c>
      <c r="D1381" s="3" t="s">
        <v>94</v>
      </c>
      <c r="E1381" s="27" t="s">
        <v>89</v>
      </c>
      <c r="F1381" s="4">
        <f>IFERROR(AVERAGEIF(Table1[[#This Row],[2019-Apr]:[2025-July]],"&lt;&gt;0"),0)</f>
        <v>2.6816666666666666</v>
      </c>
      <c r="G1381" s="4">
        <f ca="1">IFERROR(AVERAGEIF(OFFSET(Table1[[#This Row],[Status]],0,COUNT(Table1[[#This Row],[2019-May]:[2025-July]]),1,-12),"&lt;&gt;0"),0)</f>
        <v>2.4780000000000002</v>
      </c>
      <c r="H1381" s="55">
        <f>IFERROR(SMALL(Table1[[#This Row],[2019-Apr]:[2025-July]],COUNTIF(Table1[[#This Row],[2019-Apr]:[2025-July]],0)+1),0)</f>
        <v>1.58</v>
      </c>
      <c r="I1381" s="56">
        <f>IFERROR(MAX(Table1[[#This Row],[2019-Apr]:[2025-July]]),0)</f>
        <v>3.7</v>
      </c>
      <c r="J1381" s="4" cm="1">
        <f t="array" ref="J138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2.6816666666666666</v>
      </c>
      <c r="K1381" s="4">
        <v>4.5</v>
      </c>
      <c r="L1381" s="4">
        <f>IF(Table1[[#This Row],[Standard as per ISO]]&gt;=Table1[[#This Row],[Avg of best 6]],Table1[[#This Row],[Standard as per ISO]],Table1[[#This Row],[Avg of best 6]])</f>
        <v>4.5</v>
      </c>
      <c r="M1381" s="4" cm="1">
        <f t="array" ref="M1381">IFERROR(LOOKUP(2,1/(Table1[[#This Row],[2019-May]:[2025-July]]&lt;&gt;0),Table1[[#This Row],[2019-May]:[2025-July]]),0)</f>
        <v>3.7</v>
      </c>
      <c r="N1381" s="4">
        <f>COUNTIF(Table1[[#This Row],[2019-Apr]:[2025-July]],"&gt;="&amp;Table1[[#This Row],[Target]])</f>
        <v>0</v>
      </c>
      <c r="O1381" s="4">
        <f>IF(Table1[[#This Row],[Outliers 2Y]]=0,1,0)</f>
        <v>1</v>
      </c>
      <c r="P1381" s="4">
        <f>IF(Table1[[#This Row],[Last value]]&gt;1.5*Table1[[#This Row],[Target]],1,0)</f>
        <v>0</v>
      </c>
      <c r="Q1381" s="4">
        <f>IF(AND(1.5*Table1[[#This Row],[Target]]&gt;=Table1[[#This Row],[Last value]],Table1[[#This Row],[Last value]]&gt;Table1[[#This Row],[Target]]),1,0)</f>
        <v>0</v>
      </c>
      <c r="R1381" s="4">
        <f>IF(Table1[[#This Row],[Target]]&gt;=Table1[[#This Row],[Last value]],1,0)</f>
        <v>1</v>
      </c>
      <c r="S1381" s="4" t="str">
        <f t="shared" si="33"/>
        <v>Green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1.58</v>
      </c>
      <c r="CH1381" s="4">
        <v>2.16</v>
      </c>
      <c r="CI1381" s="4">
        <v>0</v>
      </c>
      <c r="CJ1381" s="34">
        <v>0</v>
      </c>
      <c r="CK1381" s="38">
        <v>0</v>
      </c>
      <c r="CL1381" s="43">
        <v>2.8</v>
      </c>
      <c r="CM1381" s="4">
        <v>0</v>
      </c>
      <c r="CN1381" s="53">
        <v>0</v>
      </c>
      <c r="CO1381" s="54">
        <v>2.78</v>
      </c>
      <c r="CP1381" s="54">
        <v>3.07</v>
      </c>
      <c r="CQ1381" s="4">
        <v>3.7</v>
      </c>
    </row>
    <row r="1382" spans="1:95" x14ac:dyDescent="0.35">
      <c r="A1382" s="55">
        <v>1381</v>
      </c>
      <c r="B1382" s="23" t="s">
        <v>126</v>
      </c>
      <c r="C1382" s="27" t="s">
        <v>1372</v>
      </c>
      <c r="D1382" s="3" t="s">
        <v>94</v>
      </c>
      <c r="E1382" s="27" t="s">
        <v>89</v>
      </c>
      <c r="F1382" s="4">
        <f>IFERROR(AVERAGEIF(Table1[[#This Row],[2019-Apr]:[2025-July]],"&lt;&gt;0"),0)</f>
        <v>2.26125</v>
      </c>
      <c r="G1382" s="4">
        <f ca="1">IFERROR(AVERAGEIF(OFFSET(Table1[[#This Row],[Status]],0,COUNT(Table1[[#This Row],[2019-May]:[2025-July]]),1,-12),"&lt;&gt;0"),0)</f>
        <v>2.2371428571428571</v>
      </c>
      <c r="H1382" s="55">
        <f>IFERROR(SMALL(Table1[[#This Row],[2019-Apr]:[2025-July]],COUNTIF(Table1[[#This Row],[2019-Apr]:[2025-July]],0)+1),0)</f>
        <v>1.71</v>
      </c>
      <c r="I1382" s="56">
        <f>IFERROR(MAX(Table1[[#This Row],[2019-Apr]:[2025-July]]),0)</f>
        <v>2.5299999999999998</v>
      </c>
      <c r="J1382" s="4" cm="1">
        <f t="array" ref="J138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2.1766666666666663</v>
      </c>
      <c r="K1382" s="4">
        <v>4.5</v>
      </c>
      <c r="L1382" s="4">
        <f>IF(Table1[[#This Row],[Standard as per ISO]]&gt;=Table1[[#This Row],[Avg of best 6]],Table1[[#This Row],[Standard as per ISO]],Table1[[#This Row],[Avg of best 6]])</f>
        <v>4.5</v>
      </c>
      <c r="M1382" s="4" cm="1">
        <f t="array" ref="M1382">IFERROR(LOOKUP(2,1/(Table1[[#This Row],[2019-May]:[2025-July]]&lt;&gt;0),Table1[[#This Row],[2019-May]:[2025-July]]),0)</f>
        <v>2.4300000000000002</v>
      </c>
      <c r="N1382" s="4">
        <f>COUNTIF(Table1[[#This Row],[2019-Apr]:[2025-July]],"&gt;="&amp;Table1[[#This Row],[Target]])</f>
        <v>0</v>
      </c>
      <c r="O1382" s="4">
        <f>IF(Table1[[#This Row],[Outliers 2Y]]=0,1,0)</f>
        <v>1</v>
      </c>
      <c r="P1382" s="4">
        <f>IF(Table1[[#This Row],[Last value]]&gt;1.5*Table1[[#This Row],[Target]],1,0)</f>
        <v>0</v>
      </c>
      <c r="Q1382" s="4">
        <f>IF(AND(1.5*Table1[[#This Row],[Target]]&gt;=Table1[[#This Row],[Last value]],Table1[[#This Row],[Last value]]&gt;Table1[[#This Row],[Target]]),1,0)</f>
        <v>0</v>
      </c>
      <c r="R1382" s="4">
        <f>IF(Table1[[#This Row],[Target]]&gt;=Table1[[#This Row],[Last value]],1,0)</f>
        <v>1</v>
      </c>
      <c r="S1382" s="4" t="str">
        <f t="shared" si="33"/>
        <v>Green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1.71</v>
      </c>
      <c r="CH1382" s="4">
        <v>2.5299999999999998</v>
      </c>
      <c r="CI1382" s="4">
        <v>0</v>
      </c>
      <c r="CJ1382" s="34">
        <v>0</v>
      </c>
      <c r="CK1382" s="34">
        <v>2.2999999999999998</v>
      </c>
      <c r="CL1382" s="43">
        <v>2.2999999999999998</v>
      </c>
      <c r="CM1382" s="4">
        <v>2.5</v>
      </c>
      <c r="CN1382" s="53">
        <v>0</v>
      </c>
      <c r="CO1382" s="54">
        <v>2.2200000000000002</v>
      </c>
      <c r="CP1382" s="54">
        <v>2.1</v>
      </c>
      <c r="CQ1382" s="4">
        <v>2.4300000000000002</v>
      </c>
    </row>
    <row r="1383" spans="1:95" x14ac:dyDescent="0.35">
      <c r="A1383" s="55">
        <v>1382</v>
      </c>
      <c r="B1383" s="23" t="s">
        <v>126</v>
      </c>
      <c r="C1383" s="27" t="s">
        <v>1373</v>
      </c>
      <c r="D1383" s="3" t="s">
        <v>94</v>
      </c>
      <c r="E1383" s="27" t="s">
        <v>89</v>
      </c>
      <c r="F1383" s="4">
        <f>IFERROR(AVERAGEIF(Table1[[#This Row],[2019-Apr]:[2025-July]],"&lt;&gt;0"),0)</f>
        <v>2.4166666666666665</v>
      </c>
      <c r="G1383" s="4">
        <f ca="1">IFERROR(AVERAGEIF(OFFSET(Table1[[#This Row],[Status]],0,COUNT(Table1[[#This Row],[2019-May]:[2025-July]]),1,-12),"&lt;&gt;0"),0)</f>
        <v>2.4166666666666665</v>
      </c>
      <c r="H1383" s="55">
        <f>IFERROR(SMALL(Table1[[#This Row],[2019-Apr]:[2025-July]],COUNTIF(Table1[[#This Row],[2019-Apr]:[2025-July]],0)+1),0)</f>
        <v>1.95</v>
      </c>
      <c r="I1383" s="56">
        <f>IFERROR(MAX(Table1[[#This Row],[2019-Apr]:[2025-July]]),0)</f>
        <v>2.8</v>
      </c>
      <c r="J1383" s="4" cm="1">
        <f t="array" ref="J138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2.4166666666666665</v>
      </c>
      <c r="K1383" s="4">
        <v>4.5</v>
      </c>
      <c r="L1383" s="4">
        <f>IF(Table1[[#This Row],[Standard as per ISO]]&gt;=Table1[[#This Row],[Avg of best 6]],Table1[[#This Row],[Standard as per ISO]],Table1[[#This Row],[Avg of best 6]])</f>
        <v>4.5</v>
      </c>
      <c r="M1383" s="4" cm="1">
        <f t="array" ref="M1383">IFERROR(LOOKUP(2,1/(Table1[[#This Row],[2019-May]:[2025-July]]&lt;&gt;0),Table1[[#This Row],[2019-May]:[2025-July]]),0)</f>
        <v>2.5</v>
      </c>
      <c r="N1383" s="4">
        <f>COUNTIF(Table1[[#This Row],[2019-Apr]:[2025-July]],"&gt;="&amp;Table1[[#This Row],[Target]])</f>
        <v>0</v>
      </c>
      <c r="O1383" s="4">
        <f>IF(Table1[[#This Row],[Outliers 2Y]]=0,1,0)</f>
        <v>1</v>
      </c>
      <c r="P1383" s="4">
        <f>IF(Table1[[#This Row],[Last value]]&gt;1.5*Table1[[#This Row],[Target]],1,0)</f>
        <v>0</v>
      </c>
      <c r="Q1383" s="4">
        <f>IF(AND(1.5*Table1[[#This Row],[Target]]&gt;=Table1[[#This Row],[Last value]],Table1[[#This Row],[Last value]]&gt;Table1[[#This Row],[Target]]),1,0)</f>
        <v>0</v>
      </c>
      <c r="R1383" s="4">
        <f>IF(Table1[[#This Row],[Target]]&gt;=Table1[[#This Row],[Last value]],1,0)</f>
        <v>1</v>
      </c>
      <c r="S1383" s="4" t="str">
        <f t="shared" si="33"/>
        <v>Green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1.95</v>
      </c>
      <c r="CH1383" s="4">
        <v>0</v>
      </c>
      <c r="CI1383" s="4">
        <v>0</v>
      </c>
      <c r="CJ1383" s="34">
        <v>0</v>
      </c>
      <c r="CK1383" s="34">
        <v>2.8</v>
      </c>
      <c r="CL1383" s="43">
        <v>0</v>
      </c>
      <c r="CM1383" s="4">
        <v>2.5</v>
      </c>
      <c r="CN1383" s="53">
        <v>0</v>
      </c>
      <c r="CO1383" s="54">
        <v>0</v>
      </c>
      <c r="CP1383" s="54">
        <v>0</v>
      </c>
      <c r="CQ1383" s="4">
        <v>0</v>
      </c>
    </row>
    <row r="1384" spans="1:95" x14ac:dyDescent="0.35">
      <c r="A1384" s="55">
        <v>1383</v>
      </c>
      <c r="B1384" s="23" t="s">
        <v>126</v>
      </c>
      <c r="C1384" s="27" t="s">
        <v>1374</v>
      </c>
      <c r="D1384" s="3" t="s">
        <v>94</v>
      </c>
      <c r="E1384" s="27" t="s">
        <v>89</v>
      </c>
      <c r="F1384" s="4">
        <f>IFERROR(AVERAGEIF(Table1[[#This Row],[2019-Apr]:[2025-July]],"&lt;&gt;0"),0)</f>
        <v>3.6799999999999997</v>
      </c>
      <c r="G1384" s="4">
        <f ca="1">IFERROR(AVERAGEIF(OFFSET(Table1[[#This Row],[Status]],0,COUNT(Table1[[#This Row],[2019-May]:[2025-July]]),1,-12),"&lt;&gt;0"),0)</f>
        <v>3.76</v>
      </c>
      <c r="H1384" s="55">
        <f>IFERROR(SMALL(Table1[[#This Row],[2019-Apr]:[2025-July]],COUNTIF(Table1[[#This Row],[2019-Apr]:[2025-July]],0)+1),0)</f>
        <v>2.6</v>
      </c>
      <c r="I1384" s="56">
        <f>IFERROR(MAX(Table1[[#This Row],[2019-Apr]:[2025-July]]),0)</f>
        <v>4.38</v>
      </c>
      <c r="J1384" s="4" cm="1">
        <f t="array" ref="J138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3.5633333333333339</v>
      </c>
      <c r="K1384" s="4">
        <v>4.5</v>
      </c>
      <c r="L1384" s="4">
        <f>IF(Table1[[#This Row],[Standard as per ISO]]&gt;=Table1[[#This Row],[Avg of best 6]],Table1[[#This Row],[Standard as per ISO]],Table1[[#This Row],[Avg of best 6]])</f>
        <v>4.5</v>
      </c>
      <c r="M1384" s="4" cm="1">
        <f t="array" ref="M1384">IFERROR(LOOKUP(2,1/(Table1[[#This Row],[2019-May]:[2025-July]]&lt;&gt;0),Table1[[#This Row],[2019-May]:[2025-July]]),0)</f>
        <v>3.2</v>
      </c>
      <c r="N1384" s="4">
        <f>COUNTIF(Table1[[#This Row],[2019-Apr]:[2025-July]],"&gt;="&amp;Table1[[#This Row],[Target]])</f>
        <v>0</v>
      </c>
      <c r="O1384" s="4">
        <f>IF(Table1[[#This Row],[Outliers 2Y]]=0,1,0)</f>
        <v>1</v>
      </c>
      <c r="P1384" s="4">
        <f>IF(Table1[[#This Row],[Last value]]&gt;1.5*Table1[[#This Row],[Target]],1,0)</f>
        <v>0</v>
      </c>
      <c r="Q1384" s="4">
        <f>IF(AND(1.5*Table1[[#This Row],[Target]]&gt;=Table1[[#This Row],[Last value]],Table1[[#This Row],[Last value]]&gt;Table1[[#This Row],[Target]]),1,0)</f>
        <v>0</v>
      </c>
      <c r="R1384" s="4">
        <f>IF(Table1[[#This Row],[Target]]&gt;=Table1[[#This Row],[Last value]],1,0)</f>
        <v>1</v>
      </c>
      <c r="S1384" s="4" t="str">
        <f t="shared" si="33"/>
        <v>Green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4.18</v>
      </c>
      <c r="CH1384" s="4">
        <v>4.38</v>
      </c>
      <c r="CI1384" s="4">
        <v>0</v>
      </c>
      <c r="CJ1384" s="34">
        <v>0</v>
      </c>
      <c r="CK1384" s="34">
        <v>2.6</v>
      </c>
      <c r="CL1384" s="43">
        <v>4</v>
      </c>
      <c r="CM1384" s="4">
        <v>3.9</v>
      </c>
      <c r="CN1384" s="53">
        <v>0</v>
      </c>
      <c r="CO1384" s="54">
        <v>0</v>
      </c>
      <c r="CP1384" s="54">
        <v>3.5</v>
      </c>
      <c r="CQ1384" s="4">
        <v>3.2</v>
      </c>
    </row>
    <row r="1385" spans="1:95" x14ac:dyDescent="0.35">
      <c r="A1385" s="55">
        <v>1384</v>
      </c>
      <c r="B1385" s="23" t="s">
        <v>126</v>
      </c>
      <c r="C1385" s="27" t="s">
        <v>1375</v>
      </c>
      <c r="D1385" s="3" t="s">
        <v>94</v>
      </c>
      <c r="E1385" s="27" t="s">
        <v>89</v>
      </c>
      <c r="F1385" s="4">
        <f>IFERROR(AVERAGEIF(Table1[[#This Row],[2019-Apr]:[2025-July]],"&lt;&gt;0"),0)</f>
        <v>2.3600000000000003</v>
      </c>
      <c r="G1385" s="4">
        <f ca="1">IFERROR(AVERAGEIF(OFFSET(Table1[[#This Row],[Status]],0,COUNT(Table1[[#This Row],[2019-May]:[2025-July]]),1,-12),"&lt;&gt;0"),0)</f>
        <v>2.3250000000000002</v>
      </c>
      <c r="H1385" s="55">
        <f>IFERROR(SMALL(Table1[[#This Row],[2019-Apr]:[2025-July]],COUNTIF(Table1[[#This Row],[2019-Apr]:[2025-July]],0)+1),0)</f>
        <v>2.2000000000000002</v>
      </c>
      <c r="I1385" s="56">
        <f>IFERROR(MAX(Table1[[#This Row],[2019-Apr]:[2025-July]]),0)</f>
        <v>2.5</v>
      </c>
      <c r="J1385" s="4" cm="1">
        <f t="array" ref="J138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2.3600000000000003</v>
      </c>
      <c r="K1385" s="4">
        <v>4.5</v>
      </c>
      <c r="L1385" s="4">
        <f>IF(Table1[[#This Row],[Standard as per ISO]]&gt;=Table1[[#This Row],[Avg of best 6]],Table1[[#This Row],[Standard as per ISO]],Table1[[#This Row],[Avg of best 6]])</f>
        <v>4.5</v>
      </c>
      <c r="M1385" s="4" cm="1">
        <f t="array" ref="M1385">IFERROR(LOOKUP(2,1/(Table1[[#This Row],[2019-May]:[2025-July]]&lt;&gt;0),Table1[[#This Row],[2019-May]:[2025-July]]),0)</f>
        <v>2.5</v>
      </c>
      <c r="N1385" s="4">
        <f>COUNTIF(Table1[[#This Row],[2019-Apr]:[2025-July]],"&gt;="&amp;Table1[[#This Row],[Target]])</f>
        <v>0</v>
      </c>
      <c r="O1385" s="4">
        <f>IF(Table1[[#This Row],[Outliers 2Y]]=0,1,0)</f>
        <v>1</v>
      </c>
      <c r="P1385" s="4">
        <f>IF(Table1[[#This Row],[Last value]]&gt;1.5*Table1[[#This Row],[Target]],1,0)</f>
        <v>0</v>
      </c>
      <c r="Q1385" s="4">
        <f>IF(AND(1.5*Table1[[#This Row],[Target]]&gt;=Table1[[#This Row],[Last value]],Table1[[#This Row],[Last value]]&gt;Table1[[#This Row],[Target]]),1,0)</f>
        <v>0</v>
      </c>
      <c r="R1385" s="4">
        <f>IF(Table1[[#This Row],[Target]]&gt;=Table1[[#This Row],[Last value]],1,0)</f>
        <v>1</v>
      </c>
      <c r="S1385" s="4" t="str">
        <f t="shared" si="33"/>
        <v>Green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2.5</v>
      </c>
      <c r="CH1385" s="4">
        <v>0</v>
      </c>
      <c r="CI1385" s="4">
        <v>0</v>
      </c>
      <c r="CJ1385" s="34">
        <v>0</v>
      </c>
      <c r="CK1385" s="38">
        <v>0</v>
      </c>
      <c r="CL1385" s="43">
        <v>0</v>
      </c>
      <c r="CM1385" s="4">
        <v>2.2999999999999998</v>
      </c>
      <c r="CN1385" s="53">
        <v>0</v>
      </c>
      <c r="CO1385" s="54">
        <v>2.2000000000000002</v>
      </c>
      <c r="CP1385" s="54">
        <v>2.2999999999999998</v>
      </c>
      <c r="CQ1385" s="4">
        <v>2.5</v>
      </c>
    </row>
    <row r="1386" spans="1:95" x14ac:dyDescent="0.35">
      <c r="A1386" s="55">
        <v>1385</v>
      </c>
      <c r="B1386" s="23" t="s">
        <v>126</v>
      </c>
      <c r="C1386" s="27" t="s">
        <v>1376</v>
      </c>
      <c r="D1386" s="3" t="s">
        <v>94</v>
      </c>
      <c r="E1386" s="27" t="s">
        <v>89</v>
      </c>
      <c r="F1386" s="4">
        <f>IFERROR(AVERAGEIF(Table1[[#This Row],[2019-Apr]:[2025-July]],"&lt;&gt;0"),0)</f>
        <v>3.2659999999999996</v>
      </c>
      <c r="G1386" s="4">
        <f ca="1">IFERROR(AVERAGEIF(OFFSET(Table1[[#This Row],[Status]],0,COUNT(Table1[[#This Row],[2019-May]:[2025-July]]),1,-12),"&lt;&gt;0"),0)</f>
        <v>3.2659999999999996</v>
      </c>
      <c r="H1386" s="55">
        <f>IFERROR(SMALL(Table1[[#This Row],[2019-Apr]:[2025-July]],COUNTIF(Table1[[#This Row],[2019-Apr]:[2025-July]],0)+1),0)</f>
        <v>2.72</v>
      </c>
      <c r="I1386" s="56">
        <f>IFERROR(MAX(Table1[[#This Row],[2019-Apr]:[2025-July]]),0)</f>
        <v>3.7</v>
      </c>
      <c r="J1386" s="4" cm="1">
        <f t="array" ref="J138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3.2659999999999996</v>
      </c>
      <c r="K1386" s="4">
        <v>4.5</v>
      </c>
      <c r="L1386" s="4">
        <f>IF(Table1[[#This Row],[Standard as per ISO]]&gt;=Table1[[#This Row],[Avg of best 6]],Table1[[#This Row],[Standard as per ISO]],Table1[[#This Row],[Avg of best 6]])</f>
        <v>4.5</v>
      </c>
      <c r="M1386" s="4" cm="1">
        <f t="array" ref="M1386">IFERROR(LOOKUP(2,1/(Table1[[#This Row],[2019-May]:[2025-July]]&lt;&gt;0),Table1[[#This Row],[2019-May]:[2025-July]]),0)</f>
        <v>3.49</v>
      </c>
      <c r="N1386" s="4">
        <f>COUNTIF(Table1[[#This Row],[2019-Apr]:[2025-July]],"&gt;="&amp;Table1[[#This Row],[Target]])</f>
        <v>0</v>
      </c>
      <c r="O1386" s="4">
        <f>IF(Table1[[#This Row],[Outliers 2Y]]=0,1,0)</f>
        <v>1</v>
      </c>
      <c r="P1386" s="4">
        <f>IF(Table1[[#This Row],[Last value]]&gt;1.5*Table1[[#This Row],[Target]],1,0)</f>
        <v>0</v>
      </c>
      <c r="Q1386" s="4">
        <f>IF(AND(1.5*Table1[[#This Row],[Target]]&gt;=Table1[[#This Row],[Last value]],Table1[[#This Row],[Last value]]&gt;Table1[[#This Row],[Target]]),1,0)</f>
        <v>0</v>
      </c>
      <c r="R1386" s="4">
        <f>IF(Table1[[#This Row],[Target]]&gt;=Table1[[#This Row],[Last value]],1,0)</f>
        <v>1</v>
      </c>
      <c r="S1386" s="4" t="str">
        <f t="shared" si="33"/>
        <v>Green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2.72</v>
      </c>
      <c r="CH1386" s="4">
        <v>3.22</v>
      </c>
      <c r="CI1386" s="4">
        <v>0</v>
      </c>
      <c r="CJ1386" s="34">
        <v>0</v>
      </c>
      <c r="CK1386" s="34">
        <v>3.2</v>
      </c>
      <c r="CL1386" s="43">
        <v>3.7</v>
      </c>
      <c r="CM1386" s="4">
        <v>0</v>
      </c>
      <c r="CN1386" s="53">
        <v>0</v>
      </c>
      <c r="CO1386" s="54">
        <v>3.49</v>
      </c>
      <c r="CP1386" s="54">
        <v>0</v>
      </c>
      <c r="CQ1386" s="4">
        <v>0</v>
      </c>
    </row>
    <row r="1387" spans="1:95" x14ac:dyDescent="0.35">
      <c r="A1387" s="55">
        <v>1386</v>
      </c>
      <c r="B1387" s="23" t="s">
        <v>126</v>
      </c>
      <c r="C1387" s="27" t="s">
        <v>1377</v>
      </c>
      <c r="D1387" s="3" t="s">
        <v>94</v>
      </c>
      <c r="E1387" s="27" t="s">
        <v>89</v>
      </c>
      <c r="F1387" s="4">
        <f>IFERROR(AVERAGEIF(Table1[[#This Row],[2019-Apr]:[2025-July]],"&lt;&gt;0"),0)</f>
        <v>2.1779999999999999</v>
      </c>
      <c r="G1387" s="4">
        <f ca="1">IFERROR(AVERAGEIF(OFFSET(Table1[[#This Row],[Status]],0,COUNT(Table1[[#This Row],[2019-May]:[2025-July]]),1,-12),"&lt;&gt;0"),0)</f>
        <v>2.1779999999999999</v>
      </c>
      <c r="H1387" s="55">
        <f>IFERROR(SMALL(Table1[[#This Row],[2019-Apr]:[2025-July]],COUNTIF(Table1[[#This Row],[2019-Apr]:[2025-July]],0)+1),0)</f>
        <v>1.5</v>
      </c>
      <c r="I1387" s="56">
        <f>IFERROR(MAX(Table1[[#This Row],[2019-Apr]:[2025-July]]),0)</f>
        <v>2.7</v>
      </c>
      <c r="J1387" s="4" cm="1">
        <f t="array" ref="J138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2.1779999999999999</v>
      </c>
      <c r="K1387" s="4">
        <v>4.5</v>
      </c>
      <c r="L1387" s="4">
        <f>IF(Table1[[#This Row],[Standard as per ISO]]&gt;=Table1[[#This Row],[Avg of best 6]],Table1[[#This Row],[Standard as per ISO]],Table1[[#This Row],[Avg of best 6]])</f>
        <v>4.5</v>
      </c>
      <c r="M1387" s="4" cm="1">
        <f t="array" ref="M1387">IFERROR(LOOKUP(2,1/(Table1[[#This Row],[2019-May]:[2025-July]]&lt;&gt;0),Table1[[#This Row],[2019-May]:[2025-July]]),0)</f>
        <v>1.5</v>
      </c>
      <c r="N1387" s="4">
        <f>COUNTIF(Table1[[#This Row],[2019-Apr]:[2025-July]],"&gt;="&amp;Table1[[#This Row],[Target]])</f>
        <v>0</v>
      </c>
      <c r="O1387" s="4">
        <f>IF(Table1[[#This Row],[Outliers 2Y]]=0,1,0)</f>
        <v>1</v>
      </c>
      <c r="P1387" s="4">
        <f>IF(Table1[[#This Row],[Last value]]&gt;1.5*Table1[[#This Row],[Target]],1,0)</f>
        <v>0</v>
      </c>
      <c r="Q1387" s="4">
        <f>IF(AND(1.5*Table1[[#This Row],[Target]]&gt;=Table1[[#This Row],[Last value]],Table1[[#This Row],[Last value]]&gt;Table1[[#This Row],[Target]]),1,0)</f>
        <v>0</v>
      </c>
      <c r="R1387" s="4">
        <f>IF(Table1[[#This Row],[Target]]&gt;=Table1[[#This Row],[Last value]],1,0)</f>
        <v>1</v>
      </c>
      <c r="S1387" s="4" t="str">
        <f t="shared" si="33"/>
        <v>Green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2.19</v>
      </c>
      <c r="CH1387" s="4">
        <v>0</v>
      </c>
      <c r="CI1387" s="4">
        <v>0</v>
      </c>
      <c r="CJ1387" s="34">
        <v>0</v>
      </c>
      <c r="CK1387" s="34">
        <v>2.1</v>
      </c>
      <c r="CL1387" s="43">
        <v>2.7</v>
      </c>
      <c r="CM1387" s="4">
        <v>2.4</v>
      </c>
      <c r="CN1387" s="53">
        <v>0</v>
      </c>
      <c r="CO1387" s="54">
        <v>0</v>
      </c>
      <c r="CP1387" s="54">
        <v>1.5</v>
      </c>
      <c r="CQ1387" s="4">
        <v>0</v>
      </c>
    </row>
    <row r="1388" spans="1:95" x14ac:dyDescent="0.35">
      <c r="A1388" s="55">
        <v>1387</v>
      </c>
      <c r="B1388" s="23" t="s">
        <v>126</v>
      </c>
      <c r="C1388" s="27" t="s">
        <v>1378</v>
      </c>
      <c r="D1388" s="3" t="s">
        <v>94</v>
      </c>
      <c r="E1388" s="27" t="s">
        <v>89</v>
      </c>
      <c r="F1388" s="4">
        <f>IFERROR(AVERAGEIF(Table1[[#This Row],[2019-Apr]:[2025-July]],"&lt;&gt;0"),0)</f>
        <v>1.7966666666666669</v>
      </c>
      <c r="G1388" s="4">
        <f ca="1">IFERROR(AVERAGEIF(OFFSET(Table1[[#This Row],[Status]],0,COUNT(Table1[[#This Row],[2019-May]:[2025-July]]),1,-12),"&lt;&gt;0"),0)</f>
        <v>1.8080000000000003</v>
      </c>
      <c r="H1388" s="55">
        <f>IFERROR(SMALL(Table1[[#This Row],[2019-Apr]:[2025-July]],COUNTIF(Table1[[#This Row],[2019-Apr]:[2025-July]],0)+1),0)</f>
        <v>1.61</v>
      </c>
      <c r="I1388" s="56">
        <f>IFERROR(MAX(Table1[[#This Row],[2019-Apr]:[2025-July]]),0)</f>
        <v>2.1</v>
      </c>
      <c r="J1388" s="4" cm="1">
        <f t="array" ref="J138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1.7966666666666666</v>
      </c>
      <c r="K1388" s="4">
        <v>4.5</v>
      </c>
      <c r="L1388" s="4">
        <f>IF(Table1[[#This Row],[Standard as per ISO]]&gt;=Table1[[#This Row],[Avg of best 6]],Table1[[#This Row],[Standard as per ISO]],Table1[[#This Row],[Avg of best 6]])</f>
        <v>4.5</v>
      </c>
      <c r="M1388" s="4" cm="1">
        <f t="array" ref="M1388">IFERROR(LOOKUP(2,1/(Table1[[#This Row],[2019-May]:[2025-July]]&lt;&gt;0),Table1[[#This Row],[2019-May]:[2025-July]]),0)</f>
        <v>1.74</v>
      </c>
      <c r="N1388" s="4">
        <f>COUNTIF(Table1[[#This Row],[2019-Apr]:[2025-July]],"&gt;="&amp;Table1[[#This Row],[Target]])</f>
        <v>0</v>
      </c>
      <c r="O1388" s="4">
        <f>IF(Table1[[#This Row],[Outliers 2Y]]=0,1,0)</f>
        <v>1</v>
      </c>
      <c r="P1388" s="4">
        <f>IF(Table1[[#This Row],[Last value]]&gt;1.5*Table1[[#This Row],[Target]],1,0)</f>
        <v>0</v>
      </c>
      <c r="Q1388" s="4">
        <f>IF(AND(1.5*Table1[[#This Row],[Target]]&gt;=Table1[[#This Row],[Last value]],Table1[[#This Row],[Last value]]&gt;Table1[[#This Row],[Target]]),1,0)</f>
        <v>0</v>
      </c>
      <c r="R1388" s="4">
        <f>IF(Table1[[#This Row],[Target]]&gt;=Table1[[#This Row],[Last value]],1,0)</f>
        <v>1</v>
      </c>
      <c r="S1388" s="4" t="str">
        <f t="shared" si="33"/>
        <v>Green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1.84</v>
      </c>
      <c r="CH1388" s="4">
        <v>1.79</v>
      </c>
      <c r="CI1388" s="4">
        <v>0</v>
      </c>
      <c r="CJ1388" s="34">
        <v>0</v>
      </c>
      <c r="CK1388" s="38">
        <v>0</v>
      </c>
      <c r="CL1388" s="43">
        <v>0</v>
      </c>
      <c r="CM1388" s="4">
        <v>1.7</v>
      </c>
      <c r="CN1388" s="53">
        <v>0</v>
      </c>
      <c r="CO1388" s="54">
        <v>1.61</v>
      </c>
      <c r="CP1388" s="54">
        <v>2.1</v>
      </c>
      <c r="CQ1388" s="4">
        <v>1.74</v>
      </c>
    </row>
    <row r="1389" spans="1:95" x14ac:dyDescent="0.35">
      <c r="A1389" s="55">
        <v>1388</v>
      </c>
      <c r="B1389" s="23" t="s">
        <v>126</v>
      </c>
      <c r="C1389" s="27" t="s">
        <v>1379</v>
      </c>
      <c r="D1389" s="3" t="s">
        <v>94</v>
      </c>
      <c r="E1389" s="27" t="s">
        <v>89</v>
      </c>
      <c r="F1389" s="4">
        <f>IFERROR(AVERAGEIF(Table1[[#This Row],[2019-Apr]:[2025-July]],"&lt;&gt;0"),0)</f>
        <v>2.2949999999999999</v>
      </c>
      <c r="G1389" s="4">
        <f ca="1">IFERROR(AVERAGEIF(OFFSET(Table1[[#This Row],[Status]],0,COUNT(Table1[[#This Row],[2019-May]:[2025-July]]),1,-12),"&lt;&gt;0"),0)</f>
        <v>2.3180000000000001</v>
      </c>
      <c r="H1389" s="55">
        <f>IFERROR(SMALL(Table1[[#This Row],[2019-Apr]:[2025-July]],COUNTIF(Table1[[#This Row],[2019-Apr]:[2025-July]],0)+1),0)</f>
        <v>2.13</v>
      </c>
      <c r="I1389" s="56">
        <f>IFERROR(MAX(Table1[[#This Row],[2019-Apr]:[2025-July]]),0)</f>
        <v>2.52</v>
      </c>
      <c r="J1389" s="4" cm="1">
        <f t="array" ref="J138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2.2950000000000004</v>
      </c>
      <c r="K1389" s="4">
        <v>4.5</v>
      </c>
      <c r="L1389" s="4">
        <f>IF(Table1[[#This Row],[Standard as per ISO]]&gt;=Table1[[#This Row],[Avg of best 6]],Table1[[#This Row],[Standard as per ISO]],Table1[[#This Row],[Avg of best 6]])</f>
        <v>4.5</v>
      </c>
      <c r="M1389" s="4" cm="1">
        <f t="array" ref="M1389">IFERROR(LOOKUP(2,1/(Table1[[#This Row],[2019-May]:[2025-July]]&lt;&gt;0),Table1[[#This Row],[2019-May]:[2025-July]]),0)</f>
        <v>2.1800000000000002</v>
      </c>
      <c r="N1389" s="4">
        <f>COUNTIF(Table1[[#This Row],[2019-Apr]:[2025-July]],"&gt;="&amp;Table1[[#This Row],[Target]])</f>
        <v>0</v>
      </c>
      <c r="O1389" s="4">
        <f>IF(Table1[[#This Row],[Outliers 2Y]]=0,1,0)</f>
        <v>1</v>
      </c>
      <c r="P1389" s="4">
        <f>IF(Table1[[#This Row],[Last value]]&gt;1.5*Table1[[#This Row],[Target]],1,0)</f>
        <v>0</v>
      </c>
      <c r="Q1389" s="4">
        <f>IF(AND(1.5*Table1[[#This Row],[Target]]&gt;=Table1[[#This Row],[Last value]],Table1[[#This Row],[Last value]]&gt;Table1[[#This Row],[Target]]),1,0)</f>
        <v>0</v>
      </c>
      <c r="R1389" s="4">
        <f>IF(Table1[[#This Row],[Target]]&gt;=Table1[[#This Row],[Last value]],1,0)</f>
        <v>1</v>
      </c>
      <c r="S1389" s="4" t="str">
        <f t="shared" si="33"/>
        <v>Green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2.52</v>
      </c>
      <c r="CH1389" s="4">
        <v>2.2400000000000002</v>
      </c>
      <c r="CI1389" s="4">
        <v>0</v>
      </c>
      <c r="CJ1389" s="34">
        <v>0</v>
      </c>
      <c r="CK1389" s="34">
        <v>2.4</v>
      </c>
      <c r="CL1389" s="43">
        <v>2.2999999999999998</v>
      </c>
      <c r="CM1389" s="4">
        <v>0</v>
      </c>
      <c r="CN1389" s="53">
        <v>0</v>
      </c>
      <c r="CO1389" s="54">
        <v>2.13</v>
      </c>
      <c r="CP1389" s="54">
        <v>0</v>
      </c>
      <c r="CQ1389" s="4">
        <v>2.1800000000000002</v>
      </c>
    </row>
    <row r="1390" spans="1:95" x14ac:dyDescent="0.35">
      <c r="A1390" s="55">
        <v>1389</v>
      </c>
      <c r="B1390" s="23" t="s">
        <v>126</v>
      </c>
      <c r="C1390" s="27" t="s">
        <v>1380</v>
      </c>
      <c r="D1390" s="3" t="s">
        <v>94</v>
      </c>
      <c r="E1390" s="27" t="s">
        <v>95</v>
      </c>
      <c r="F1390" s="4">
        <f>IFERROR(AVERAGEIF(Table1[[#This Row],[2019-Apr]:[2025-July]],"&lt;&gt;0"),0)</f>
        <v>2.71</v>
      </c>
      <c r="G1390" s="4">
        <f ca="1">IFERROR(AVERAGEIF(OFFSET(Table1[[#This Row],[Status]],0,COUNT(Table1[[#This Row],[2019-May]:[2025-July]]),1,-12),"&lt;&gt;0"),0)</f>
        <v>2.71</v>
      </c>
      <c r="H1390" s="55">
        <f>IFERROR(SMALL(Table1[[#This Row],[2019-Apr]:[2025-July]],COUNTIF(Table1[[#This Row],[2019-Apr]:[2025-July]],0)+1),0)</f>
        <v>2.5299999999999998</v>
      </c>
      <c r="I1390" s="56">
        <f>IFERROR(MAX(Table1[[#This Row],[2019-Apr]:[2025-July]]),0)</f>
        <v>2.89</v>
      </c>
      <c r="J1390" s="4" cm="1">
        <f t="array" ref="J139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2.71</v>
      </c>
      <c r="K1390" s="4">
        <v>4.5</v>
      </c>
      <c r="L1390" s="4">
        <f>IF(Table1[[#This Row],[Standard as per ISO]]&gt;=Table1[[#This Row],[Avg of best 6]],Table1[[#This Row],[Standard as per ISO]],Table1[[#This Row],[Avg of best 6]])</f>
        <v>4.5</v>
      </c>
      <c r="M1390" s="4" cm="1">
        <f t="array" ref="M1390">IFERROR(LOOKUP(2,1/(Table1[[#This Row],[2019-May]:[2025-July]]&lt;&gt;0),Table1[[#This Row],[2019-May]:[2025-July]]),0)</f>
        <v>2.5299999999999998</v>
      </c>
      <c r="N1390" s="4">
        <f>COUNTIF(Table1[[#This Row],[2019-Apr]:[2025-July]],"&gt;="&amp;Table1[[#This Row],[Target]])</f>
        <v>0</v>
      </c>
      <c r="O1390" s="4">
        <f>IF(Table1[[#This Row],[Outliers 2Y]]=0,1,0)</f>
        <v>1</v>
      </c>
      <c r="P1390" s="4">
        <f>IF(Table1[[#This Row],[Last value]]&gt;1.5*Table1[[#This Row],[Target]],1,0)</f>
        <v>0</v>
      </c>
      <c r="Q1390" s="4">
        <f>IF(AND(1.5*Table1[[#This Row],[Target]]&gt;=Table1[[#This Row],[Last value]],Table1[[#This Row],[Last value]]&gt;Table1[[#This Row],[Target]]),1,0)</f>
        <v>0</v>
      </c>
      <c r="R1390" s="4">
        <f>IF(Table1[[#This Row],[Target]]&gt;=Table1[[#This Row],[Last value]],1,0)</f>
        <v>1</v>
      </c>
      <c r="S1390" s="4" t="str">
        <f t="shared" si="33"/>
        <v>Green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2.89</v>
      </c>
      <c r="CH1390" s="4">
        <v>2.5299999999999998</v>
      </c>
      <c r="CI1390" s="4">
        <v>0</v>
      </c>
      <c r="CJ1390" s="34">
        <v>0</v>
      </c>
      <c r="CK1390" s="38">
        <v>0</v>
      </c>
      <c r="CL1390" s="34">
        <v>0</v>
      </c>
      <c r="CM1390" s="4">
        <v>0</v>
      </c>
      <c r="CN1390" s="53">
        <v>0</v>
      </c>
      <c r="CO1390" s="54">
        <v>0</v>
      </c>
      <c r="CP1390" s="54">
        <v>0</v>
      </c>
      <c r="CQ1390" s="4">
        <v>0</v>
      </c>
    </row>
    <row r="1391" spans="1:95" x14ac:dyDescent="0.35">
      <c r="A1391" s="55">
        <v>1390</v>
      </c>
      <c r="B1391" s="23" t="s">
        <v>126</v>
      </c>
      <c r="C1391" s="27" t="s">
        <v>1381</v>
      </c>
      <c r="D1391" s="3" t="s">
        <v>94</v>
      </c>
      <c r="E1391" s="27" t="s">
        <v>95</v>
      </c>
      <c r="F1391" s="4">
        <f>IFERROR(AVERAGEIF(Table1[[#This Row],[2019-Apr]:[2025-July]],"&lt;&gt;0"),0)</f>
        <v>5.5350000000000001</v>
      </c>
      <c r="G1391" s="4">
        <f ca="1">IFERROR(AVERAGEIF(OFFSET(Table1[[#This Row],[Status]],0,COUNT(Table1[[#This Row],[2019-May]:[2025-July]]),1,-12),"&lt;&gt;0"),0)</f>
        <v>5.5350000000000001</v>
      </c>
      <c r="H1391" s="55">
        <f>IFERROR(SMALL(Table1[[#This Row],[2019-Apr]:[2025-July]],COUNTIF(Table1[[#This Row],[2019-Apr]:[2025-July]],0)+1),0)</f>
        <v>2.82</v>
      </c>
      <c r="I1391" s="56">
        <f>IFERROR(MAX(Table1[[#This Row],[2019-Apr]:[2025-July]]),0)</f>
        <v>8.25</v>
      </c>
      <c r="J1391" s="4" cm="1">
        <f t="array" ref="J139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5.5350000000000001</v>
      </c>
      <c r="K1391" s="4">
        <v>4.5</v>
      </c>
      <c r="L1391" s="4">
        <f>IF(Table1[[#This Row],[Standard as per ISO]]&gt;=Table1[[#This Row],[Avg of best 6]],Table1[[#This Row],[Standard as per ISO]],Table1[[#This Row],[Avg of best 6]])</f>
        <v>5.5350000000000001</v>
      </c>
      <c r="M1391" s="4" cm="1">
        <f t="array" ref="M1391">IFERROR(LOOKUP(2,1/(Table1[[#This Row],[2019-May]:[2025-July]]&lt;&gt;0),Table1[[#This Row],[2019-May]:[2025-July]]),0)</f>
        <v>8.25</v>
      </c>
      <c r="N1391" s="4">
        <f>COUNTIF(Table1[[#This Row],[2019-Apr]:[2025-July]],"&gt;="&amp;Table1[[#This Row],[Target]])</f>
        <v>1</v>
      </c>
      <c r="O1391" s="4">
        <f>IF(Table1[[#This Row],[Outliers 2Y]]=0,1,0)</f>
        <v>0</v>
      </c>
      <c r="P1391" s="4">
        <f>IF(Table1[[#This Row],[Last value]]&gt;1.5*Table1[[#This Row],[Target]],1,0)</f>
        <v>0</v>
      </c>
      <c r="Q1391" s="4">
        <f>IF(AND(1.5*Table1[[#This Row],[Target]]&gt;=Table1[[#This Row],[Last value]],Table1[[#This Row],[Last value]]&gt;Table1[[#This Row],[Target]]),1,0)</f>
        <v>1</v>
      </c>
      <c r="R1391" s="4">
        <f>IF(Table1[[#This Row],[Target]]&gt;=Table1[[#This Row],[Last value]],1,0)</f>
        <v>0</v>
      </c>
      <c r="S1391" s="4" t="str">
        <f t="shared" si="33"/>
        <v>Yellow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2.82</v>
      </c>
      <c r="CH1391" s="4">
        <v>8.25</v>
      </c>
      <c r="CI1391" s="4">
        <v>0</v>
      </c>
      <c r="CJ1391" s="34">
        <v>0</v>
      </c>
      <c r="CK1391" s="38">
        <v>0</v>
      </c>
      <c r="CL1391" s="34">
        <v>0</v>
      </c>
      <c r="CM1391" s="4">
        <v>0</v>
      </c>
      <c r="CN1391" s="53">
        <v>0</v>
      </c>
      <c r="CO1391" s="54">
        <v>0</v>
      </c>
      <c r="CP1391" s="54">
        <v>0</v>
      </c>
      <c r="CQ1391" s="4">
        <v>0</v>
      </c>
    </row>
    <row r="1392" spans="1:95" x14ac:dyDescent="0.35">
      <c r="A1392" s="55">
        <v>1391</v>
      </c>
      <c r="B1392" s="23" t="s">
        <v>126</v>
      </c>
      <c r="C1392" s="27" t="s">
        <v>1382</v>
      </c>
      <c r="D1392" s="3" t="s">
        <v>94</v>
      </c>
      <c r="E1392" s="27" t="s">
        <v>95</v>
      </c>
      <c r="F1392" s="4">
        <f>IFERROR(AVERAGEIF(Table1[[#This Row],[2019-Apr]:[2025-July]],"&lt;&gt;0"),0)</f>
        <v>1.97</v>
      </c>
      <c r="G1392" s="4">
        <f ca="1">IFERROR(AVERAGEIF(OFFSET(Table1[[#This Row],[Status]],0,COUNT(Table1[[#This Row],[2019-May]:[2025-July]]),1,-12),"&lt;&gt;0"),0)</f>
        <v>1.97</v>
      </c>
      <c r="H1392" s="55">
        <f>IFERROR(SMALL(Table1[[#This Row],[2019-Apr]:[2025-July]],COUNTIF(Table1[[#This Row],[2019-Apr]:[2025-July]],0)+1),0)</f>
        <v>1.97</v>
      </c>
      <c r="I1392" s="56">
        <f>IFERROR(MAX(Table1[[#This Row],[2019-Apr]:[2025-July]]),0)</f>
        <v>1.97</v>
      </c>
      <c r="J1392" s="4" cm="1">
        <f t="array" ref="J139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1.97</v>
      </c>
      <c r="K1392" s="4">
        <v>4.5</v>
      </c>
      <c r="L1392" s="4">
        <f>IF(Table1[[#This Row],[Standard as per ISO]]&gt;=Table1[[#This Row],[Avg of best 6]],Table1[[#This Row],[Standard as per ISO]],Table1[[#This Row],[Avg of best 6]])</f>
        <v>4.5</v>
      </c>
      <c r="M1392" s="4" cm="1">
        <f t="array" ref="M1392">IFERROR(LOOKUP(2,1/(Table1[[#This Row],[2019-May]:[2025-July]]&lt;&gt;0),Table1[[#This Row],[2019-May]:[2025-July]]),0)</f>
        <v>1.97</v>
      </c>
      <c r="N1392" s="4">
        <f>COUNTIF(Table1[[#This Row],[2019-Apr]:[2025-July]],"&gt;="&amp;Table1[[#This Row],[Target]])</f>
        <v>0</v>
      </c>
      <c r="O1392" s="4">
        <f>IF(Table1[[#This Row],[Outliers 2Y]]=0,1,0)</f>
        <v>1</v>
      </c>
      <c r="P1392" s="4">
        <f>IF(Table1[[#This Row],[Last value]]&gt;1.5*Table1[[#This Row],[Target]],1,0)</f>
        <v>0</v>
      </c>
      <c r="Q1392" s="4">
        <f>IF(AND(1.5*Table1[[#This Row],[Target]]&gt;=Table1[[#This Row],[Last value]],Table1[[#This Row],[Last value]]&gt;Table1[[#This Row],[Target]]),1,0)</f>
        <v>0</v>
      </c>
      <c r="R1392" s="4">
        <f>IF(Table1[[#This Row],[Target]]&gt;=Table1[[#This Row],[Last value]],1,0)</f>
        <v>1</v>
      </c>
      <c r="S1392" s="4" t="str">
        <f t="shared" si="33"/>
        <v>Green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1.97</v>
      </c>
      <c r="CI1392" s="4">
        <v>0</v>
      </c>
      <c r="CJ1392" s="34">
        <v>0</v>
      </c>
      <c r="CK1392" s="38">
        <v>0</v>
      </c>
      <c r="CL1392" s="34">
        <v>0</v>
      </c>
      <c r="CM1392" s="4">
        <v>0</v>
      </c>
      <c r="CN1392" s="53">
        <v>0</v>
      </c>
      <c r="CO1392" s="54">
        <v>0</v>
      </c>
      <c r="CP1392" s="54">
        <v>0</v>
      </c>
      <c r="CQ1392" s="4">
        <v>0</v>
      </c>
    </row>
    <row r="1393" spans="1:95" x14ac:dyDescent="0.35">
      <c r="A1393" s="55">
        <v>1392</v>
      </c>
      <c r="B1393" s="23" t="s">
        <v>126</v>
      </c>
      <c r="C1393" s="27" t="s">
        <v>1383</v>
      </c>
      <c r="D1393" s="3" t="s">
        <v>88</v>
      </c>
      <c r="E1393" s="27" t="s">
        <v>95</v>
      </c>
      <c r="F1393" s="4">
        <f>IFERROR(AVERAGEIF(Table1[[#This Row],[2019-Apr]:[2025-July]],"&lt;&gt;0"),0)</f>
        <v>0</v>
      </c>
      <c r="G1393" s="4">
        <f ca="1">IFERROR(AVERAGEIF(OFFSET(Table1[[#This Row],[Status]],0,COUNT(Table1[[#This Row],[2019-May]:[2025-July]]),1,-12),"&lt;&gt;0"),0)</f>
        <v>0</v>
      </c>
      <c r="H1393" s="55">
        <f>IFERROR(SMALL(Table1[[#This Row],[2019-Apr]:[2025-July]],COUNTIF(Table1[[#This Row],[2019-Apr]:[2025-July]],0)+1),0)</f>
        <v>0</v>
      </c>
      <c r="I1393" s="56">
        <f>IFERROR(MAX(Table1[[#This Row],[2019-Apr]:[2025-July]]),0)</f>
        <v>0</v>
      </c>
      <c r="J1393" s="4" cm="1">
        <f t="array" ref="J139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393" s="4">
        <v>4.5</v>
      </c>
      <c r="L1393" s="4">
        <f>IF(Table1[[#This Row],[Standard as per ISO]]&gt;=Table1[[#This Row],[Avg of best 6]],Table1[[#This Row],[Standard as per ISO]],Table1[[#This Row],[Avg of best 6]])</f>
        <v>4.5</v>
      </c>
      <c r="M1393" s="4" cm="1">
        <f t="array" ref="M1393">IFERROR(LOOKUP(2,1/(Table1[[#This Row],[2019-May]:[2025-July]]&lt;&gt;0),Table1[[#This Row],[2019-May]:[2025-July]]),0)</f>
        <v>0</v>
      </c>
      <c r="N1393" s="4">
        <f>COUNTIF(Table1[[#This Row],[2019-Apr]:[2025-July]],"&gt;="&amp;Table1[[#This Row],[Target]])</f>
        <v>0</v>
      </c>
      <c r="O1393" s="4">
        <f>IF(Table1[[#This Row],[Outliers 2Y]]=0,1,0)</f>
        <v>1</v>
      </c>
      <c r="P1393" s="4">
        <f>IF(Table1[[#This Row],[Last value]]&gt;1.5*Table1[[#This Row],[Target]],1,0)</f>
        <v>0</v>
      </c>
      <c r="Q1393" s="4">
        <f>IF(AND(1.5*Table1[[#This Row],[Target]]&gt;=Table1[[#This Row],[Last value]],Table1[[#This Row],[Last value]]&gt;Table1[[#This Row],[Target]]),1,0)</f>
        <v>0</v>
      </c>
      <c r="R1393" s="4">
        <f>IF(Table1[[#This Row],[Target]]&gt;=Table1[[#This Row],[Last value]],1,0)</f>
        <v>1</v>
      </c>
      <c r="S1393" s="4" t="str">
        <f t="shared" si="33"/>
        <v>Green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34">
        <v>0</v>
      </c>
      <c r="CK1393" s="38">
        <v>0</v>
      </c>
      <c r="CL1393" s="34">
        <v>0</v>
      </c>
      <c r="CM1393" s="4">
        <v>0</v>
      </c>
      <c r="CN1393" s="53">
        <v>0</v>
      </c>
      <c r="CO1393" s="54">
        <v>0</v>
      </c>
      <c r="CP1393" s="54">
        <v>0</v>
      </c>
      <c r="CQ1393" s="4">
        <v>0</v>
      </c>
    </row>
    <row r="1394" spans="1:95" x14ac:dyDescent="0.35">
      <c r="A1394" s="55">
        <v>1393</v>
      </c>
      <c r="B1394" s="23" t="s">
        <v>126</v>
      </c>
      <c r="C1394" s="27" t="s">
        <v>1384</v>
      </c>
      <c r="D1394" s="3" t="s">
        <v>88</v>
      </c>
      <c r="E1394" s="27" t="s">
        <v>95</v>
      </c>
      <c r="F1394" s="4">
        <f>IFERROR(AVERAGEIF(Table1[[#This Row],[2019-Apr]:[2025-July]],"&lt;&gt;0"),0)</f>
        <v>0</v>
      </c>
      <c r="G1394" s="4">
        <f ca="1">IFERROR(AVERAGEIF(OFFSET(Table1[[#This Row],[Status]],0,COUNT(Table1[[#This Row],[2019-May]:[2025-July]]),1,-12),"&lt;&gt;0"),0)</f>
        <v>0</v>
      </c>
      <c r="H1394" s="55">
        <f>IFERROR(SMALL(Table1[[#This Row],[2019-Apr]:[2025-July]],COUNTIF(Table1[[#This Row],[2019-Apr]:[2025-July]],0)+1),0)</f>
        <v>0</v>
      </c>
      <c r="I1394" s="56">
        <f>IFERROR(MAX(Table1[[#This Row],[2019-Apr]:[2025-July]]),0)</f>
        <v>0</v>
      </c>
      <c r="J1394" s="4" cm="1">
        <f t="array" ref="J139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394" s="4">
        <v>4.5</v>
      </c>
      <c r="L1394" s="4">
        <f>IF(Table1[[#This Row],[Standard as per ISO]]&gt;=Table1[[#This Row],[Avg of best 6]],Table1[[#This Row],[Standard as per ISO]],Table1[[#This Row],[Avg of best 6]])</f>
        <v>4.5</v>
      </c>
      <c r="M1394" s="4" cm="1">
        <f t="array" ref="M1394">IFERROR(LOOKUP(2,1/(Table1[[#This Row],[2019-May]:[2025-July]]&lt;&gt;0),Table1[[#This Row],[2019-May]:[2025-July]]),0)</f>
        <v>0</v>
      </c>
      <c r="N1394" s="4">
        <f>COUNTIF(Table1[[#This Row],[2019-Apr]:[2025-July]],"&gt;="&amp;Table1[[#This Row],[Target]])</f>
        <v>0</v>
      </c>
      <c r="O1394" s="4">
        <f>IF(Table1[[#This Row],[Outliers 2Y]]=0,1,0)</f>
        <v>1</v>
      </c>
      <c r="P1394" s="4">
        <f>IF(Table1[[#This Row],[Last value]]&gt;1.5*Table1[[#This Row],[Target]],1,0)</f>
        <v>0</v>
      </c>
      <c r="Q1394" s="4">
        <f>IF(AND(1.5*Table1[[#This Row],[Target]]&gt;=Table1[[#This Row],[Last value]],Table1[[#This Row],[Last value]]&gt;Table1[[#This Row],[Target]]),1,0)</f>
        <v>0</v>
      </c>
      <c r="R1394" s="4">
        <f>IF(Table1[[#This Row],[Target]]&gt;=Table1[[#This Row],[Last value]],1,0)</f>
        <v>1</v>
      </c>
      <c r="S1394" s="4" t="str">
        <f t="shared" si="33"/>
        <v>Green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34">
        <v>0</v>
      </c>
      <c r="CK1394" s="38">
        <v>0</v>
      </c>
      <c r="CL1394" s="34">
        <v>0</v>
      </c>
      <c r="CM1394" s="4">
        <v>0</v>
      </c>
      <c r="CN1394" s="53">
        <v>0</v>
      </c>
      <c r="CO1394" s="54">
        <v>0</v>
      </c>
      <c r="CP1394" s="54">
        <v>0</v>
      </c>
      <c r="CQ1394" s="4">
        <v>0</v>
      </c>
    </row>
    <row r="1395" spans="1:95" x14ac:dyDescent="0.35">
      <c r="A1395" s="55">
        <v>1394</v>
      </c>
      <c r="B1395" s="23" t="s">
        <v>126</v>
      </c>
      <c r="C1395" s="27" t="s">
        <v>1385</v>
      </c>
      <c r="D1395" s="3" t="s">
        <v>88</v>
      </c>
      <c r="E1395" s="27" t="s">
        <v>95</v>
      </c>
      <c r="F1395" s="4">
        <f>IFERROR(AVERAGEIF(Table1[[#This Row],[2019-Apr]:[2025-July]],"&lt;&gt;0"),0)</f>
        <v>0</v>
      </c>
      <c r="G1395" s="4">
        <f ca="1">IFERROR(AVERAGEIF(OFFSET(Table1[[#This Row],[Status]],0,COUNT(Table1[[#This Row],[2019-May]:[2025-July]]),1,-12),"&lt;&gt;0"),0)</f>
        <v>0</v>
      </c>
      <c r="H1395" s="55">
        <f>IFERROR(SMALL(Table1[[#This Row],[2019-Apr]:[2025-July]],COUNTIF(Table1[[#This Row],[2019-Apr]:[2025-July]],0)+1),0)</f>
        <v>0</v>
      </c>
      <c r="I1395" s="56">
        <f>IFERROR(MAX(Table1[[#This Row],[2019-Apr]:[2025-July]]),0)</f>
        <v>0</v>
      </c>
      <c r="J1395" s="4" cm="1">
        <f t="array" ref="J139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395" s="4">
        <v>4.5</v>
      </c>
      <c r="L1395" s="4">
        <f>IF(Table1[[#This Row],[Standard as per ISO]]&gt;=Table1[[#This Row],[Avg of best 6]],Table1[[#This Row],[Standard as per ISO]],Table1[[#This Row],[Avg of best 6]])</f>
        <v>4.5</v>
      </c>
      <c r="M1395" s="4" cm="1">
        <f t="array" ref="M1395">IFERROR(LOOKUP(2,1/(Table1[[#This Row],[2019-May]:[2025-July]]&lt;&gt;0),Table1[[#This Row],[2019-May]:[2025-July]]),0)</f>
        <v>0</v>
      </c>
      <c r="N1395" s="4">
        <f>COUNTIF(Table1[[#This Row],[2019-Apr]:[2025-July]],"&gt;="&amp;Table1[[#This Row],[Target]])</f>
        <v>0</v>
      </c>
      <c r="O1395" s="4">
        <f>IF(Table1[[#This Row],[Outliers 2Y]]=0,1,0)</f>
        <v>1</v>
      </c>
      <c r="P1395" s="4">
        <f>IF(Table1[[#This Row],[Last value]]&gt;1.5*Table1[[#This Row],[Target]],1,0)</f>
        <v>0</v>
      </c>
      <c r="Q1395" s="4">
        <f>IF(AND(1.5*Table1[[#This Row],[Target]]&gt;=Table1[[#This Row],[Last value]],Table1[[#This Row],[Last value]]&gt;Table1[[#This Row],[Target]]),1,0)</f>
        <v>0</v>
      </c>
      <c r="R1395" s="4">
        <f>IF(Table1[[#This Row],[Target]]&gt;=Table1[[#This Row],[Last value]],1,0)</f>
        <v>1</v>
      </c>
      <c r="S1395" s="4" t="str">
        <f t="shared" si="33"/>
        <v>Green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34">
        <v>0</v>
      </c>
      <c r="CK1395" s="38">
        <v>0</v>
      </c>
      <c r="CL1395" s="34">
        <v>0</v>
      </c>
      <c r="CM1395" s="4">
        <v>0</v>
      </c>
      <c r="CN1395" s="53">
        <v>0</v>
      </c>
      <c r="CO1395" s="54">
        <v>0</v>
      </c>
      <c r="CP1395" s="54">
        <v>0</v>
      </c>
      <c r="CQ1395" s="4">
        <v>0</v>
      </c>
    </row>
    <row r="1396" spans="1:95" x14ac:dyDescent="0.35">
      <c r="A1396" s="55">
        <v>1395</v>
      </c>
      <c r="B1396" s="23" t="s">
        <v>126</v>
      </c>
      <c r="C1396" s="27" t="s">
        <v>1386</v>
      </c>
      <c r="D1396" s="3" t="s">
        <v>102</v>
      </c>
      <c r="E1396" s="27" t="s">
        <v>90</v>
      </c>
      <c r="F1396" s="4">
        <f>IFERROR(AVERAGEIF(Table1[[#This Row],[2019-Apr]:[2025-July]],"&lt;&gt;0"),0)</f>
        <v>2.1919999999999997</v>
      </c>
      <c r="G1396" s="4">
        <f ca="1">IFERROR(AVERAGEIF(OFFSET(Table1[[#This Row],[Status]],0,COUNT(Table1[[#This Row],[2019-May]:[2025-July]]),1,-12),"&lt;&gt;0"),0)</f>
        <v>2.1919999999999997</v>
      </c>
      <c r="H1396" s="55">
        <f>IFERROR(SMALL(Table1[[#This Row],[2019-Apr]:[2025-July]],COUNTIF(Table1[[#This Row],[2019-Apr]:[2025-July]],0)+1),0)</f>
        <v>1.8</v>
      </c>
      <c r="I1396" s="56">
        <f>IFERROR(MAX(Table1[[#This Row],[2019-Apr]:[2025-July]]),0)</f>
        <v>2.6</v>
      </c>
      <c r="J1396" s="4" cm="1">
        <f t="array" ref="J139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2.1919999999999997</v>
      </c>
      <c r="K1396" s="4">
        <v>4.5</v>
      </c>
      <c r="L1396" s="4">
        <f>IF(Table1[[#This Row],[Standard as per ISO]]&gt;=Table1[[#This Row],[Avg of best 6]],Table1[[#This Row],[Standard as per ISO]],Table1[[#This Row],[Avg of best 6]])</f>
        <v>4.5</v>
      </c>
      <c r="M1396" s="4" cm="1">
        <f t="array" ref="M1396">IFERROR(LOOKUP(2,1/(Table1[[#This Row],[2019-May]:[2025-July]]&lt;&gt;0),Table1[[#This Row],[2019-May]:[2025-July]]),0)</f>
        <v>2.6</v>
      </c>
      <c r="N1396" s="4">
        <f>COUNTIF(Table1[[#This Row],[2019-Apr]:[2025-July]],"&gt;="&amp;Table1[[#This Row],[Target]])</f>
        <v>0</v>
      </c>
      <c r="O1396" s="4">
        <f>IF(Table1[[#This Row],[Outliers 2Y]]=0,1,0)</f>
        <v>1</v>
      </c>
      <c r="P1396" s="4">
        <f>IF(Table1[[#This Row],[Last value]]&gt;1.5*Table1[[#This Row],[Target]],1,0)</f>
        <v>0</v>
      </c>
      <c r="Q1396" s="4">
        <f>IF(AND(1.5*Table1[[#This Row],[Target]]&gt;=Table1[[#This Row],[Last value]],Table1[[#This Row],[Last value]]&gt;Table1[[#This Row],[Target]]),1,0)</f>
        <v>0</v>
      </c>
      <c r="R1396" s="4">
        <f>IF(Table1[[#This Row],[Target]]&gt;=Table1[[#This Row],[Last value]],1,0)</f>
        <v>1</v>
      </c>
      <c r="S1396" s="4" t="str">
        <f t="shared" si="33"/>
        <v>Green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34">
        <v>2.2000000000000002</v>
      </c>
      <c r="CK1396" s="34">
        <v>2.1</v>
      </c>
      <c r="CL1396" s="43">
        <v>0</v>
      </c>
      <c r="CM1396" s="4">
        <v>1.8</v>
      </c>
      <c r="CN1396" s="53">
        <v>0</v>
      </c>
      <c r="CO1396" s="54">
        <v>2.2599999999999998</v>
      </c>
      <c r="CP1396" s="54">
        <v>2.6</v>
      </c>
      <c r="CQ1396" s="4">
        <v>0</v>
      </c>
    </row>
    <row r="1397" spans="1:95" x14ac:dyDescent="0.35">
      <c r="A1397" s="55">
        <v>1396</v>
      </c>
      <c r="B1397" s="23" t="s">
        <v>126</v>
      </c>
      <c r="C1397" s="27" t="s">
        <v>1387</v>
      </c>
      <c r="D1397" s="3" t="s">
        <v>102</v>
      </c>
      <c r="E1397" s="27" t="s">
        <v>90</v>
      </c>
      <c r="F1397" s="4">
        <f>IFERROR(AVERAGEIF(Table1[[#This Row],[2019-Apr]:[2025-July]],"&lt;&gt;0"),0)</f>
        <v>2.1</v>
      </c>
      <c r="G1397" s="4">
        <f ca="1">IFERROR(AVERAGEIF(OFFSET(Table1[[#This Row],[Status]],0,COUNT(Table1[[#This Row],[2019-May]:[2025-July]]),1,-12),"&lt;&gt;0"),0)</f>
        <v>2.0749999999999997</v>
      </c>
      <c r="H1397" s="55">
        <f>IFERROR(SMALL(Table1[[#This Row],[2019-Apr]:[2025-July]],COUNTIF(Table1[[#This Row],[2019-Apr]:[2025-July]],0)+1),0)</f>
        <v>2</v>
      </c>
      <c r="I1397" s="56">
        <f>IFERROR(MAX(Table1[[#This Row],[2019-Apr]:[2025-July]]),0)</f>
        <v>2.2000000000000002</v>
      </c>
      <c r="J1397" s="4" cm="1">
        <f t="array" ref="J139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</v>
      </c>
      <c r="K1397" s="4">
        <v>4.5</v>
      </c>
      <c r="L1397" s="4">
        <f>IF(Table1[[#This Row],[Standard as per ISO]]&gt;=Table1[[#This Row],[Avg of best 6]],Table1[[#This Row],[Standard as per ISO]],Table1[[#This Row],[Avg of best 6]])</f>
        <v>4.5</v>
      </c>
      <c r="M1397" s="4" cm="1">
        <f t="array" ref="M1397">IFERROR(LOOKUP(2,1/(Table1[[#This Row],[2019-May]:[2025-July]]&lt;&gt;0),Table1[[#This Row],[2019-May]:[2025-July]]),0)</f>
        <v>2.2000000000000002</v>
      </c>
      <c r="N1397" s="4">
        <f>COUNTIF(Table1[[#This Row],[2019-Apr]:[2025-July]],"&gt;="&amp;Table1[[#This Row],[Target]])</f>
        <v>0</v>
      </c>
      <c r="O1397" s="4">
        <f>IF(Table1[[#This Row],[Outliers 2Y]]=0,1,0)</f>
        <v>1</v>
      </c>
      <c r="P1397" s="4">
        <f>IF(Table1[[#This Row],[Last value]]&gt;1.5*Table1[[#This Row],[Target]],1,0)</f>
        <v>0</v>
      </c>
      <c r="Q1397" s="4">
        <f>IF(AND(1.5*Table1[[#This Row],[Target]]&gt;=Table1[[#This Row],[Last value]],Table1[[#This Row],[Last value]]&gt;Table1[[#This Row],[Target]]),1,0)</f>
        <v>0</v>
      </c>
      <c r="R1397" s="4">
        <f>IF(Table1[[#This Row],[Target]]&gt;=Table1[[#This Row],[Last value]],1,0)</f>
        <v>1</v>
      </c>
      <c r="S1397" s="4" t="str">
        <f t="shared" si="33"/>
        <v>Green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38">
        <v>2.1</v>
      </c>
      <c r="CK1397" s="34">
        <v>2</v>
      </c>
      <c r="CL1397" s="43">
        <v>2.1</v>
      </c>
      <c r="CM1397" s="4">
        <v>2.1</v>
      </c>
      <c r="CN1397" s="53">
        <v>0</v>
      </c>
      <c r="CO1397" s="54">
        <v>0</v>
      </c>
      <c r="CP1397" s="54">
        <v>0</v>
      </c>
      <c r="CQ1397" s="4">
        <v>2.2000000000000002</v>
      </c>
    </row>
    <row r="1398" spans="1:95" x14ac:dyDescent="0.35">
      <c r="A1398" s="55">
        <v>1397</v>
      </c>
      <c r="B1398" s="23" t="s">
        <v>126</v>
      </c>
      <c r="C1398" s="27" t="s">
        <v>1388</v>
      </c>
      <c r="D1398" s="3" t="s">
        <v>94</v>
      </c>
      <c r="E1398" s="22" t="s">
        <v>89</v>
      </c>
      <c r="F1398" s="4">
        <f>IFERROR(AVERAGEIF(Table1[[#This Row],[2019-Apr]:[2025-July]],"&lt;&gt;0"),0)</f>
        <v>6.7</v>
      </c>
      <c r="G1398" s="4">
        <f ca="1">IFERROR(AVERAGEIF(OFFSET(Table1[[#This Row],[Status]],0,COUNT(Table1[[#This Row],[2019-May]:[2025-July]]),1,-12),"&lt;&gt;0"),0)</f>
        <v>6.7</v>
      </c>
      <c r="H1398" s="55">
        <f>IFERROR(SMALL(Table1[[#This Row],[2019-Apr]:[2025-July]],COUNTIF(Table1[[#This Row],[2019-Apr]:[2025-July]],0)+1),0)</f>
        <v>6.7</v>
      </c>
      <c r="I1398" s="56">
        <f>IFERROR(MAX(Table1[[#This Row],[2019-Apr]:[2025-July]]),0)</f>
        <v>6.7</v>
      </c>
      <c r="J1398" s="4" cm="1">
        <f t="array" ref="J139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6.7</v>
      </c>
      <c r="K1398" s="4">
        <v>4.5</v>
      </c>
      <c r="L1398" s="4">
        <f>IF(Table1[[#This Row],[Standard as per ISO]]&gt;=Table1[[#This Row],[Avg of best 6]],Table1[[#This Row],[Standard as per ISO]],Table1[[#This Row],[Avg of best 6]])</f>
        <v>6.7</v>
      </c>
      <c r="M1398" s="4" cm="1">
        <f t="array" ref="M1398">IFERROR(LOOKUP(2,1/(Table1[[#This Row],[2019-May]:[2025-July]]&lt;&gt;0),Table1[[#This Row],[2019-May]:[2025-July]]),0)</f>
        <v>6.7</v>
      </c>
      <c r="N1398" s="4">
        <f>COUNTIF(Table1[[#This Row],[2019-Apr]:[2025-July]],"&gt;="&amp;Table1[[#This Row],[Target]])</f>
        <v>1</v>
      </c>
      <c r="O1398" s="4">
        <f>IF(Table1[[#This Row],[Outliers 2Y]]=0,1,0)</f>
        <v>0</v>
      </c>
      <c r="P1398" s="4">
        <f>IF(Table1[[#This Row],[Last value]]&gt;1.5*Table1[[#This Row],[Target]],1,0)</f>
        <v>0</v>
      </c>
      <c r="Q1398" s="4">
        <f>IF(AND(1.5*Table1[[#This Row],[Target]]&gt;=Table1[[#This Row],[Last value]],Table1[[#This Row],[Last value]]&gt;Table1[[#This Row],[Target]]),1,0)</f>
        <v>0</v>
      </c>
      <c r="R1398" s="4">
        <f>IF(Table1[[#This Row],[Target]]&gt;=Table1[[#This Row],[Last value]],1,0)</f>
        <v>1</v>
      </c>
      <c r="S1398" s="4" t="str">
        <f t="shared" si="33"/>
        <v>Green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34">
        <v>0</v>
      </c>
      <c r="CK1398" s="34">
        <v>6.7</v>
      </c>
      <c r="CL1398" s="43">
        <v>0</v>
      </c>
      <c r="CM1398" s="4">
        <v>0</v>
      </c>
      <c r="CN1398" s="53">
        <v>0</v>
      </c>
      <c r="CO1398" s="54">
        <v>0</v>
      </c>
      <c r="CP1398" s="54">
        <v>0</v>
      </c>
      <c r="CQ1398" s="4">
        <v>0</v>
      </c>
    </row>
    <row r="1399" spans="1:95" x14ac:dyDescent="0.35">
      <c r="A1399" s="55">
        <v>1398</v>
      </c>
      <c r="B1399" s="23" t="s">
        <v>126</v>
      </c>
      <c r="C1399" s="27" t="s">
        <v>1389</v>
      </c>
      <c r="D1399" s="3" t="s">
        <v>94</v>
      </c>
      <c r="E1399" s="22" t="s">
        <v>89</v>
      </c>
      <c r="F1399" s="4">
        <f>IFERROR(AVERAGEIF(Table1[[#This Row],[2019-Apr]:[2025-July]],"&lt;&gt;0"),0)</f>
        <v>5</v>
      </c>
      <c r="G1399" s="4">
        <f ca="1">IFERROR(AVERAGEIF(OFFSET(Table1[[#This Row],[Status]],0,COUNT(Table1[[#This Row],[2019-May]:[2025-July]]),1,-12),"&lt;&gt;0"),0)</f>
        <v>5</v>
      </c>
      <c r="H1399" s="55">
        <f>IFERROR(SMALL(Table1[[#This Row],[2019-Apr]:[2025-July]],COUNTIF(Table1[[#This Row],[2019-Apr]:[2025-July]],0)+1),0)</f>
        <v>5</v>
      </c>
      <c r="I1399" s="56">
        <f>IFERROR(MAX(Table1[[#This Row],[2019-Apr]:[2025-July]]),0)</f>
        <v>5</v>
      </c>
      <c r="J1399" s="4" cm="1">
        <f t="array" ref="J139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</v>
      </c>
      <c r="K1399" s="4">
        <v>4.5</v>
      </c>
      <c r="L1399" s="4">
        <f>IF(Table1[[#This Row],[Standard as per ISO]]&gt;=Table1[[#This Row],[Avg of best 6]],Table1[[#This Row],[Standard as per ISO]],Table1[[#This Row],[Avg of best 6]])</f>
        <v>5</v>
      </c>
      <c r="M1399" s="4" cm="1">
        <f t="array" ref="M1399">IFERROR(LOOKUP(2,1/(Table1[[#This Row],[2019-May]:[2025-July]]&lt;&gt;0),Table1[[#This Row],[2019-May]:[2025-July]]),0)</f>
        <v>5</v>
      </c>
      <c r="N1399" s="4">
        <f>COUNTIF(Table1[[#This Row],[2019-Apr]:[2025-July]],"&gt;="&amp;Table1[[#This Row],[Target]])</f>
        <v>1</v>
      </c>
      <c r="O1399" s="4">
        <f>IF(Table1[[#This Row],[Outliers 2Y]]=0,1,0)</f>
        <v>0</v>
      </c>
      <c r="P1399" s="4">
        <f>IF(Table1[[#This Row],[Last value]]&gt;1.5*Table1[[#This Row],[Target]],1,0)</f>
        <v>0</v>
      </c>
      <c r="Q1399" s="4">
        <f>IF(AND(1.5*Table1[[#This Row],[Target]]&gt;=Table1[[#This Row],[Last value]],Table1[[#This Row],[Last value]]&gt;Table1[[#This Row],[Target]]),1,0)</f>
        <v>0</v>
      </c>
      <c r="R1399" s="4">
        <f>IF(Table1[[#This Row],[Target]]&gt;=Table1[[#This Row],[Last value]],1,0)</f>
        <v>1</v>
      </c>
      <c r="S1399" s="4" t="str">
        <f t="shared" si="33"/>
        <v>Green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34">
        <v>0</v>
      </c>
      <c r="CK1399" s="34">
        <v>5</v>
      </c>
      <c r="CL1399" s="43">
        <v>0</v>
      </c>
      <c r="CM1399" s="4">
        <v>0</v>
      </c>
      <c r="CN1399" s="53">
        <v>0</v>
      </c>
      <c r="CO1399" s="54">
        <v>0</v>
      </c>
      <c r="CP1399" s="54">
        <v>0</v>
      </c>
      <c r="CQ1399" s="4">
        <v>0</v>
      </c>
    </row>
    <row r="1400" spans="1:95" s="55" customFormat="1" x14ac:dyDescent="0.35">
      <c r="A1400" s="55">
        <v>1401</v>
      </c>
      <c r="B1400" s="23" t="s">
        <v>126</v>
      </c>
      <c r="C1400" s="27" t="s">
        <v>1595</v>
      </c>
      <c r="D1400" s="50" t="s">
        <v>93</v>
      </c>
      <c r="E1400" s="48" t="s">
        <v>89</v>
      </c>
      <c r="F1400" s="4">
        <f>IFERROR(AVERAGEIF(Table1[[#This Row],[2019-Apr]:[2025-July]],"&lt;&gt;0"),0)</f>
        <v>3.8</v>
      </c>
      <c r="G1400" s="4">
        <f ca="1">IFERROR(AVERAGEIF(OFFSET(Table1[[#This Row],[Status]],0,COUNT(Table1[[#This Row],[2019-May]:[2025-July]]),1,-12),"&lt;&gt;0"),0)</f>
        <v>0</v>
      </c>
      <c r="H1400" s="56">
        <f>IFERROR(SMALL(Table1[[#This Row],[2019-Apr]:[2025-July]],COUNTIF(Table1[[#This Row],[2019-Apr]:[2025-July]],0)+1),0)</f>
        <v>3.8</v>
      </c>
      <c r="I1400" s="56">
        <f>IFERROR(MAX(Table1[[#This Row],[2019-Apr]:[2025-July]]),0)</f>
        <v>3.8</v>
      </c>
      <c r="J1400" s="4" cm="1">
        <f t="array" ref="J140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3.8</v>
      </c>
      <c r="K1400" s="4">
        <v>4.5</v>
      </c>
      <c r="L1400" s="4">
        <f>IF(Table1[[#This Row],[Standard as per ISO]]&gt;=Table1[[#This Row],[Avg of best 6]],Table1[[#This Row],[Standard as per ISO]],Table1[[#This Row],[Avg of best 6]])</f>
        <v>4.5</v>
      </c>
      <c r="M1400" s="4" cm="1">
        <f t="array" ref="M1400">IFERROR(LOOKUP(2,1/(Table1[[#This Row],[2019-May]:[2025-July]]&lt;&gt;0),Table1[[#This Row],[2019-May]:[2025-July]]),0)</f>
        <v>3.8</v>
      </c>
      <c r="N1400" s="4">
        <f>COUNTIF(Table1[[#This Row],[2019-Apr]:[2025-July]],"&gt;="&amp;Table1[[#This Row],[Target]])</f>
        <v>0</v>
      </c>
      <c r="O1400" s="4">
        <f>IF(Table1[[#This Row],[Outliers 2Y]]=0,1,0)</f>
        <v>1</v>
      </c>
      <c r="P1400" s="4">
        <f>IF(Table1[[#This Row],[Last value]]&gt;1.5*Table1[[#This Row],[Target]],1,0)</f>
        <v>0</v>
      </c>
      <c r="Q1400" s="4">
        <f>IF(AND(1.5*Table1[[#This Row],[Target]]&gt;=Table1[[#This Row],[Last value]],Table1[[#This Row],[Last value]]&gt;Table1[[#This Row],[Target]]),1,0)</f>
        <v>0</v>
      </c>
      <c r="R1400" s="4">
        <f>IF(Table1[[#This Row],[Target]]&gt;=Table1[[#This Row],[Last value]],1,0)</f>
        <v>1</v>
      </c>
      <c r="S1400" s="4" t="str">
        <f>IF(P1400=1, "Red", IF(Q1400=1, "Yellow", "Green"))</f>
        <v>Green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3.8</v>
      </c>
    </row>
    <row r="1401" spans="1:95" s="55" customFormat="1" x14ac:dyDescent="0.35">
      <c r="A1401" s="55">
        <v>1402</v>
      </c>
      <c r="B1401" s="23" t="s">
        <v>126</v>
      </c>
      <c r="C1401" s="27" t="s">
        <v>1596</v>
      </c>
      <c r="D1401" s="50" t="s">
        <v>93</v>
      </c>
      <c r="E1401" s="48" t="s">
        <v>89</v>
      </c>
      <c r="F1401" s="4">
        <f>IFERROR(AVERAGEIF(Table1[[#This Row],[2019-Apr]:[2025-July]],"&lt;&gt;0"),0)</f>
        <v>0</v>
      </c>
      <c r="G1401" s="4">
        <f ca="1">IFERROR(AVERAGEIF(OFFSET(Table1[[#This Row],[Status]],0,COUNT(Table1[[#This Row],[2019-May]:[2025-July]]),1,-12),"&lt;&gt;0"),0)</f>
        <v>0</v>
      </c>
      <c r="H1401" s="56">
        <f>IFERROR(SMALL(Table1[[#This Row],[2019-Apr]:[2025-July]],COUNTIF(Table1[[#This Row],[2019-Apr]:[2025-July]],0)+1),0)</f>
        <v>0</v>
      </c>
      <c r="I1401" s="56">
        <f>IFERROR(MAX(Table1[[#This Row],[2019-Apr]:[2025-July]]),0)</f>
        <v>0</v>
      </c>
      <c r="J1401" s="4" cm="1">
        <f t="array" ref="J140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401" s="4">
        <v>4.5</v>
      </c>
      <c r="L1401" s="4">
        <f>IF(Table1[[#This Row],[Standard as per ISO]]&gt;=Table1[[#This Row],[Avg of best 6]],Table1[[#This Row],[Standard as per ISO]],Table1[[#This Row],[Avg of best 6]])</f>
        <v>4.5</v>
      </c>
      <c r="M1401" s="4" cm="1">
        <f t="array" ref="M1401">IFERROR(LOOKUP(2,1/(Table1[[#This Row],[2019-May]:[2025-July]]&lt;&gt;0),Table1[[#This Row],[2019-May]:[2025-July]]),0)</f>
        <v>0</v>
      </c>
      <c r="N1401" s="4">
        <f>COUNTIF(Table1[[#This Row],[2019-Apr]:[2025-July]],"&gt;="&amp;Table1[[#This Row],[Target]])</f>
        <v>0</v>
      </c>
      <c r="O1401" s="4">
        <f>IF(Table1[[#This Row],[Outliers 2Y]]=0,1,0)</f>
        <v>1</v>
      </c>
      <c r="P1401" s="4">
        <f>IF(Table1[[#This Row],[Last value]]&gt;1.5*Table1[[#This Row],[Target]],1,0)</f>
        <v>0</v>
      </c>
      <c r="Q1401" s="4">
        <f>IF(AND(1.5*Table1[[#This Row],[Target]]&gt;=Table1[[#This Row],[Last value]],Table1[[#This Row],[Last value]]&gt;Table1[[#This Row],[Target]]),1,0)</f>
        <v>0</v>
      </c>
      <c r="R1401" s="4">
        <f>IF(Table1[[#This Row],[Target]]&gt;=Table1[[#This Row],[Last value]],1,0)</f>
        <v>1</v>
      </c>
      <c r="S1401" s="4" t="str">
        <f>IF(P1401=1, "Red", IF(Q1401=1, "Yellow", "Green"))</f>
        <v>Green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0</v>
      </c>
      <c r="CP1401" s="4">
        <v>0</v>
      </c>
      <c r="CQ1401" s="4">
        <v>0</v>
      </c>
    </row>
    <row r="1402" spans="1:95" s="40" customFormat="1" x14ac:dyDescent="0.35">
      <c r="A1402" s="55">
        <v>1403</v>
      </c>
      <c r="B1402" s="47" t="s">
        <v>1479</v>
      </c>
      <c r="C1402" s="27" t="s">
        <v>1437</v>
      </c>
      <c r="D1402" s="42" t="s">
        <v>100</v>
      </c>
      <c r="E1402" s="42" t="s">
        <v>90</v>
      </c>
      <c r="F1402" s="4">
        <f>IFERROR(AVERAGEIF(Table1[[#This Row],[2019-Apr]:[2025-July]],"&lt;&gt;0"),0)</f>
        <v>1.4</v>
      </c>
      <c r="G1402" s="4">
        <f ca="1">IFERROR(AVERAGEIF(OFFSET(Table1[[#This Row],[Status]],0,COUNT(Table1[[#This Row],[2019-May]:[2025-July]]),1,-12),"&lt;&gt;0"),0)</f>
        <v>1.5</v>
      </c>
      <c r="H1402" s="55">
        <f>IFERROR(SMALL(Table1[[#This Row],[2019-Apr]:[2025-July]],COUNTIF(Table1[[#This Row],[2019-Apr]:[2025-July]],0)+1),0)</f>
        <v>1.3</v>
      </c>
      <c r="I1402" s="56">
        <f>IFERROR(MAX(Table1[[#This Row],[2019-Apr]:[2025-July]]),0)</f>
        <v>1.5</v>
      </c>
      <c r="J1402" s="4" cm="1">
        <f t="array" ref="J140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</v>
      </c>
      <c r="K1402" s="4">
        <v>4.5</v>
      </c>
      <c r="L1402" s="4">
        <f>IF(Table1[[#This Row],[Standard as per ISO]]&gt;=Table1[[#This Row],[Avg of best 6]],Table1[[#This Row],[Standard as per ISO]],Table1[[#This Row],[Avg of best 6]])</f>
        <v>4.5</v>
      </c>
      <c r="M1402" s="4" cm="1">
        <f t="array" ref="M1402">IFERROR(LOOKUP(2,1/(Table1[[#This Row],[2019-May]:[2025-July]]&lt;&gt;0),Table1[[#This Row],[2019-May]:[2025-July]]),0)</f>
        <v>1.3</v>
      </c>
      <c r="N1402" s="4">
        <f>COUNTIF(Table1[[#This Row],[2019-Apr]:[2025-July]],"&gt;="&amp;Table1[[#This Row],[Target]])</f>
        <v>0</v>
      </c>
      <c r="O1402" s="4">
        <f>IF(Table1[[#This Row],[Outliers 2Y]]=0,1,0)</f>
        <v>1</v>
      </c>
      <c r="P1402" s="4">
        <f>IF(Table1[[#This Row],[Last value]]&gt;1.5*Table1[[#This Row],[Target]],1,0)</f>
        <v>0</v>
      </c>
      <c r="Q1402" s="4">
        <f>IF(AND(1.5*Table1[[#This Row],[Target]]&gt;=Table1[[#This Row],[Last value]],Table1[[#This Row],[Last value]]&gt;Table1[[#This Row],[Target]]),1,0)</f>
        <v>0</v>
      </c>
      <c r="R1402" s="4">
        <f>IF(Table1[[#This Row],[Target]]&gt;=Table1[[#This Row],[Last value]],1,0)</f>
        <v>1</v>
      </c>
      <c r="S1402" s="4" t="str">
        <f t="shared" ref="S1402:S1421" si="34">IF(P1402=1, "Red", IF(Q1402=1, "Yellow", "Green"))</f>
        <v>Green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27">
        <v>1.5</v>
      </c>
      <c r="CM1402" s="4">
        <v>0</v>
      </c>
      <c r="CN1402" s="53">
        <v>0</v>
      </c>
      <c r="CO1402" s="54">
        <v>0</v>
      </c>
      <c r="CP1402" s="54">
        <v>0</v>
      </c>
      <c r="CQ1402" s="4">
        <v>1.3</v>
      </c>
    </row>
    <row r="1403" spans="1:95" s="40" customFormat="1" x14ac:dyDescent="0.35">
      <c r="A1403" s="55">
        <v>1404</v>
      </c>
      <c r="B1403" s="47" t="s">
        <v>1479</v>
      </c>
      <c r="C1403" s="27" t="s">
        <v>1438</v>
      </c>
      <c r="D1403" s="50" t="s">
        <v>100</v>
      </c>
      <c r="E1403" s="50" t="s">
        <v>90</v>
      </c>
      <c r="F1403" s="4">
        <f>IFERROR(AVERAGEIF(Table1[[#This Row],[2019-Apr]:[2025-July]],"&lt;&gt;0"),0)</f>
        <v>1.7833333333333332</v>
      </c>
      <c r="G1403" s="4">
        <f ca="1">IFERROR(AVERAGEIF(OFFSET(Table1[[#This Row],[Status]],0,COUNT(Table1[[#This Row],[2019-May]:[2025-July]]),1,-12),"&lt;&gt;0"),0)</f>
        <v>1.7833333333333332</v>
      </c>
      <c r="H1403" s="55">
        <f>IFERROR(SMALL(Table1[[#This Row],[2019-Apr]:[2025-July]],COUNTIF(Table1[[#This Row],[2019-Apr]:[2025-July]],0)+1),0)</f>
        <v>1.67</v>
      </c>
      <c r="I1403" s="56">
        <f>IFERROR(MAX(Table1[[#This Row],[2019-Apr]:[2025-July]]),0)</f>
        <v>1.98</v>
      </c>
      <c r="J1403" s="4" cm="1">
        <f t="array" ref="J140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1.7833333333333332</v>
      </c>
      <c r="K1403" s="4">
        <v>4.5</v>
      </c>
      <c r="L1403" s="4">
        <f>IF(Table1[[#This Row],[Standard as per ISO]]&gt;=Table1[[#This Row],[Avg of best 6]],Table1[[#This Row],[Standard as per ISO]],Table1[[#This Row],[Avg of best 6]])</f>
        <v>4.5</v>
      </c>
      <c r="M1403" s="4" cm="1">
        <f t="array" ref="M1403">IFERROR(LOOKUP(2,1/(Table1[[#This Row],[2019-May]:[2025-July]]&lt;&gt;0),Table1[[#This Row],[2019-May]:[2025-July]]),0)</f>
        <v>1.7</v>
      </c>
      <c r="N1403" s="4">
        <f>COUNTIF(Table1[[#This Row],[2019-Apr]:[2025-July]],"&gt;="&amp;Table1[[#This Row],[Target]])</f>
        <v>0</v>
      </c>
      <c r="O1403" s="4">
        <f>IF(Table1[[#This Row],[Outliers 2Y]]=0,1,0)</f>
        <v>1</v>
      </c>
      <c r="P1403" s="4">
        <f>IF(Table1[[#This Row],[Last value]]&gt;1.5*Table1[[#This Row],[Target]],1,0)</f>
        <v>0</v>
      </c>
      <c r="Q1403" s="4">
        <f>IF(AND(1.5*Table1[[#This Row],[Target]]&gt;=Table1[[#This Row],[Last value]],Table1[[#This Row],[Last value]]&gt;Table1[[#This Row],[Target]]),1,0)</f>
        <v>0</v>
      </c>
      <c r="R1403" s="4">
        <f>IF(Table1[[#This Row],[Target]]&gt;=Table1[[#This Row],[Last value]],1,0)</f>
        <v>1</v>
      </c>
      <c r="S1403" s="4" t="str">
        <f t="shared" si="34"/>
        <v>Green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53">
        <v>1.98</v>
      </c>
      <c r="CO1403" s="54">
        <v>1.67</v>
      </c>
      <c r="CP1403" s="54">
        <v>1.7</v>
      </c>
      <c r="CQ1403" s="4">
        <v>0</v>
      </c>
    </row>
    <row r="1404" spans="1:95" s="40" customFormat="1" x14ac:dyDescent="0.35">
      <c r="A1404" s="55">
        <v>1405</v>
      </c>
      <c r="B1404" s="47" t="s">
        <v>1479</v>
      </c>
      <c r="C1404" s="27" t="s">
        <v>1439</v>
      </c>
      <c r="D1404" s="50" t="s">
        <v>100</v>
      </c>
      <c r="E1404" s="50" t="s">
        <v>90</v>
      </c>
      <c r="F1404" s="4">
        <f>IFERROR(AVERAGEIF(Table1[[#This Row],[2019-Apr]:[2025-July]],"&lt;&gt;0"),0)</f>
        <v>3.4</v>
      </c>
      <c r="G1404" s="4">
        <f ca="1">IFERROR(AVERAGEIF(OFFSET(Table1[[#This Row],[Status]],0,COUNT(Table1[[#This Row],[2019-May]:[2025-July]]),1,-12),"&lt;&gt;0"),0)</f>
        <v>0</v>
      </c>
      <c r="H1404" s="55">
        <f>IFERROR(SMALL(Table1[[#This Row],[2019-Apr]:[2025-July]],COUNTIF(Table1[[#This Row],[2019-Apr]:[2025-July]],0)+1),0)</f>
        <v>3.4</v>
      </c>
      <c r="I1404" s="56">
        <f>IFERROR(MAX(Table1[[#This Row],[2019-Apr]:[2025-July]]),0)</f>
        <v>3.4</v>
      </c>
      <c r="J1404" s="4" cm="1">
        <f t="array" ref="J140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3.4</v>
      </c>
      <c r="K1404" s="4">
        <v>4.5</v>
      </c>
      <c r="L1404" s="4">
        <f>IF(Table1[[#This Row],[Standard as per ISO]]&gt;=Table1[[#This Row],[Avg of best 6]],Table1[[#This Row],[Standard as per ISO]],Table1[[#This Row],[Avg of best 6]])</f>
        <v>4.5</v>
      </c>
      <c r="M1404" s="4" cm="1">
        <f t="array" ref="M1404">IFERROR(LOOKUP(2,1/(Table1[[#This Row],[2019-May]:[2025-July]]&lt;&gt;0),Table1[[#This Row],[2019-May]:[2025-July]]),0)</f>
        <v>3.4</v>
      </c>
      <c r="N1404" s="4">
        <f>COUNTIF(Table1[[#This Row],[2019-Apr]:[2025-July]],"&gt;="&amp;Table1[[#This Row],[Target]])</f>
        <v>0</v>
      </c>
      <c r="O1404" s="4">
        <f>IF(Table1[[#This Row],[Outliers 2Y]]=0,1,0)</f>
        <v>1</v>
      </c>
      <c r="P1404" s="4">
        <f>IF(Table1[[#This Row],[Last value]]&gt;1.5*Table1[[#This Row],[Target]],1,0)</f>
        <v>0</v>
      </c>
      <c r="Q1404" s="4">
        <f>IF(AND(1.5*Table1[[#This Row],[Target]]&gt;=Table1[[#This Row],[Last value]],Table1[[#This Row],[Last value]]&gt;Table1[[#This Row],[Target]]),1,0)</f>
        <v>0</v>
      </c>
      <c r="R1404" s="4">
        <f>IF(Table1[[#This Row],[Target]]&gt;=Table1[[#This Row],[Last value]],1,0)</f>
        <v>1</v>
      </c>
      <c r="S1404" s="4" t="str">
        <f t="shared" si="34"/>
        <v>Green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53">
        <v>0</v>
      </c>
      <c r="CO1404" s="54">
        <v>0</v>
      </c>
      <c r="CP1404" s="54">
        <v>0</v>
      </c>
      <c r="CQ1404" s="4">
        <v>3.4</v>
      </c>
    </row>
    <row r="1405" spans="1:95" s="40" customFormat="1" x14ac:dyDescent="0.35">
      <c r="A1405" s="55">
        <v>1406</v>
      </c>
      <c r="B1405" s="47" t="s">
        <v>1479</v>
      </c>
      <c r="C1405" s="27" t="s">
        <v>1440</v>
      </c>
      <c r="D1405" s="42" t="s">
        <v>94</v>
      </c>
      <c r="E1405" s="42" t="s">
        <v>89</v>
      </c>
      <c r="F1405" s="4">
        <f>IFERROR(AVERAGEIF(Table1[[#This Row],[2019-Apr]:[2025-July]],"&lt;&gt;0"),0)</f>
        <v>0</v>
      </c>
      <c r="G1405" s="4">
        <f ca="1">IFERROR(AVERAGEIF(OFFSET(Table1[[#This Row],[Status]],0,COUNT(Table1[[#This Row],[2019-May]:[2025-July]]),1,-12),"&lt;&gt;0"),0)</f>
        <v>0</v>
      </c>
      <c r="H1405" s="55">
        <f>IFERROR(SMALL(Table1[[#This Row],[2019-Apr]:[2025-July]],COUNTIF(Table1[[#This Row],[2019-Apr]:[2025-July]],0)+1),0)</f>
        <v>0</v>
      </c>
      <c r="I1405" s="56">
        <f>IFERROR(MAX(Table1[[#This Row],[2019-Apr]:[2025-July]]),0)</f>
        <v>0</v>
      </c>
      <c r="J1405" s="4" cm="1">
        <f t="array" ref="J140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405" s="4">
        <v>4.5</v>
      </c>
      <c r="L1405" s="4">
        <f>IF(Table1[[#This Row],[Standard as per ISO]]&gt;=Table1[[#This Row],[Avg of best 6]],Table1[[#This Row],[Standard as per ISO]],Table1[[#This Row],[Avg of best 6]])</f>
        <v>4.5</v>
      </c>
      <c r="M1405" s="4" cm="1">
        <f t="array" ref="M1405">IFERROR(LOOKUP(2,1/(Table1[[#This Row],[2019-May]:[2025-July]]&lt;&gt;0),Table1[[#This Row],[2019-May]:[2025-July]]),0)</f>
        <v>0</v>
      </c>
      <c r="N1405" s="4">
        <f>COUNTIF(Table1[[#This Row],[2019-Apr]:[2025-July]],"&gt;="&amp;Table1[[#This Row],[Target]])</f>
        <v>0</v>
      </c>
      <c r="O1405" s="4">
        <f>IF(Table1[[#This Row],[Outliers 2Y]]=0,1,0)</f>
        <v>1</v>
      </c>
      <c r="P1405" s="4">
        <f>IF(Table1[[#This Row],[Last value]]&gt;1.5*Table1[[#This Row],[Target]],1,0)</f>
        <v>0</v>
      </c>
      <c r="Q1405" s="4">
        <f>IF(AND(1.5*Table1[[#This Row],[Target]]&gt;=Table1[[#This Row],[Last value]],Table1[[#This Row],[Last value]]&gt;Table1[[#This Row],[Target]]),1,0)</f>
        <v>0</v>
      </c>
      <c r="R1405" s="4">
        <f>IF(Table1[[#This Row],[Target]]&gt;=Table1[[#This Row],[Last value]],1,0)</f>
        <v>1</v>
      </c>
      <c r="S1405" s="4" t="str">
        <f t="shared" si="34"/>
        <v>Green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53">
        <v>0</v>
      </c>
      <c r="CO1405" s="54">
        <v>0</v>
      </c>
      <c r="CP1405" s="54">
        <v>0</v>
      </c>
      <c r="CQ1405" s="4">
        <v>0</v>
      </c>
    </row>
    <row r="1406" spans="1:95" s="40" customFormat="1" x14ac:dyDescent="0.35">
      <c r="A1406" s="55">
        <v>1407</v>
      </c>
      <c r="B1406" s="47" t="s">
        <v>1479</v>
      </c>
      <c r="C1406" s="27" t="s">
        <v>1441</v>
      </c>
      <c r="D1406" s="50" t="s">
        <v>94</v>
      </c>
      <c r="E1406" s="50" t="s">
        <v>89</v>
      </c>
      <c r="F1406" s="4">
        <f>IFERROR(AVERAGEIF(Table1[[#This Row],[2019-Apr]:[2025-July]],"&lt;&gt;0"),0)</f>
        <v>3.3950000000000005</v>
      </c>
      <c r="G1406" s="4">
        <f ca="1">IFERROR(AVERAGEIF(OFFSET(Table1[[#This Row],[Status]],0,COUNT(Table1[[#This Row],[2019-May]:[2025-July]]),1,-12),"&lt;&gt;0"),0)</f>
        <v>3.3950000000000005</v>
      </c>
      <c r="H1406" s="55">
        <f>IFERROR(SMALL(Table1[[#This Row],[2019-Apr]:[2025-July]],COUNTIF(Table1[[#This Row],[2019-Apr]:[2025-July]],0)+1),0)</f>
        <v>2.39</v>
      </c>
      <c r="I1406" s="56">
        <f>IFERROR(MAX(Table1[[#This Row],[2019-Apr]:[2025-July]]),0)</f>
        <v>4.4000000000000004</v>
      </c>
      <c r="J1406" s="4" cm="1">
        <f t="array" ref="J140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3.3950000000000005</v>
      </c>
      <c r="K1406" s="4">
        <v>4.5</v>
      </c>
      <c r="L1406" s="4">
        <f>IF(Table1[[#This Row],[Standard as per ISO]]&gt;=Table1[[#This Row],[Avg of best 6]],Table1[[#This Row],[Standard as per ISO]],Table1[[#This Row],[Avg of best 6]])</f>
        <v>4.5</v>
      </c>
      <c r="M1406" s="4" cm="1">
        <f t="array" ref="M1406">IFERROR(LOOKUP(2,1/(Table1[[#This Row],[2019-May]:[2025-July]]&lt;&gt;0),Table1[[#This Row],[2019-May]:[2025-July]]),0)</f>
        <v>2.39</v>
      </c>
      <c r="N1406" s="4">
        <f>COUNTIF(Table1[[#This Row],[2019-Apr]:[2025-July]],"&gt;="&amp;Table1[[#This Row],[Target]])</f>
        <v>0</v>
      </c>
      <c r="O1406" s="4">
        <f>IF(Table1[[#This Row],[Outliers 2Y]]=0,1,0)</f>
        <v>1</v>
      </c>
      <c r="P1406" s="4">
        <f>IF(Table1[[#This Row],[Last value]]&gt;1.5*Table1[[#This Row],[Target]],1,0)</f>
        <v>0</v>
      </c>
      <c r="Q1406" s="4">
        <f>IF(AND(1.5*Table1[[#This Row],[Target]]&gt;=Table1[[#This Row],[Last value]],Table1[[#This Row],[Last value]]&gt;Table1[[#This Row],[Target]]),1,0)</f>
        <v>0</v>
      </c>
      <c r="R1406" s="4">
        <f>IF(Table1[[#This Row],[Target]]&gt;=Table1[[#This Row],[Last value]],1,0)</f>
        <v>1</v>
      </c>
      <c r="S1406" s="4" t="str">
        <f t="shared" si="34"/>
        <v>Green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27">
        <v>4.4000000000000004</v>
      </c>
      <c r="CM1406" s="4">
        <v>0</v>
      </c>
      <c r="CN1406" s="53">
        <v>0</v>
      </c>
      <c r="CO1406" s="54">
        <v>0</v>
      </c>
      <c r="CP1406" s="54">
        <v>2.39</v>
      </c>
      <c r="CQ1406" s="4">
        <v>0</v>
      </c>
    </row>
    <row r="1407" spans="1:95" s="40" customFormat="1" x14ac:dyDescent="0.35">
      <c r="A1407" s="55">
        <v>1408</v>
      </c>
      <c r="B1407" s="47" t="s">
        <v>1479</v>
      </c>
      <c r="C1407" s="27" t="s">
        <v>1442</v>
      </c>
      <c r="D1407" s="50" t="s">
        <v>94</v>
      </c>
      <c r="E1407" s="50" t="s">
        <v>89</v>
      </c>
      <c r="F1407" s="4">
        <f>IFERROR(AVERAGEIF(Table1[[#This Row],[2019-Apr]:[2025-July]],"&lt;&gt;0"),0)</f>
        <v>3.0700000000000003</v>
      </c>
      <c r="G1407" s="4">
        <f ca="1">IFERROR(AVERAGEIF(OFFSET(Table1[[#This Row],[Status]],0,COUNT(Table1[[#This Row],[2019-May]:[2025-July]]),1,-12),"&lt;&gt;0"),0)</f>
        <v>3.0700000000000003</v>
      </c>
      <c r="H1407" s="55">
        <f>IFERROR(SMALL(Table1[[#This Row],[2019-Apr]:[2025-July]],COUNTIF(Table1[[#This Row],[2019-Apr]:[2025-July]],0)+1),0)</f>
        <v>2.94</v>
      </c>
      <c r="I1407" s="56">
        <f>IFERROR(MAX(Table1[[#This Row],[2019-Apr]:[2025-July]]),0)</f>
        <v>3.2</v>
      </c>
      <c r="J1407" s="4" cm="1">
        <f t="array" ref="J140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3.0700000000000003</v>
      </c>
      <c r="K1407" s="4">
        <v>4.5</v>
      </c>
      <c r="L1407" s="4">
        <f>IF(Table1[[#This Row],[Standard as per ISO]]&gt;=Table1[[#This Row],[Avg of best 6]],Table1[[#This Row],[Standard as per ISO]],Table1[[#This Row],[Avg of best 6]])</f>
        <v>4.5</v>
      </c>
      <c r="M1407" s="4" cm="1">
        <f t="array" ref="M1407">IFERROR(LOOKUP(2,1/(Table1[[#This Row],[2019-May]:[2025-July]]&lt;&gt;0),Table1[[#This Row],[2019-May]:[2025-July]]),0)</f>
        <v>2.94</v>
      </c>
      <c r="N1407" s="4">
        <f>COUNTIF(Table1[[#This Row],[2019-Apr]:[2025-July]],"&gt;="&amp;Table1[[#This Row],[Target]])</f>
        <v>0</v>
      </c>
      <c r="O1407" s="4">
        <f>IF(Table1[[#This Row],[Outliers 2Y]]=0,1,0)</f>
        <v>1</v>
      </c>
      <c r="P1407" s="4">
        <f>IF(Table1[[#This Row],[Last value]]&gt;1.5*Table1[[#This Row],[Target]],1,0)</f>
        <v>0</v>
      </c>
      <c r="Q1407" s="4">
        <f>IF(AND(1.5*Table1[[#This Row],[Target]]&gt;=Table1[[#This Row],[Last value]],Table1[[#This Row],[Last value]]&gt;Table1[[#This Row],[Target]]),1,0)</f>
        <v>0</v>
      </c>
      <c r="R1407" s="4">
        <f>IF(Table1[[#This Row],[Target]]&gt;=Table1[[#This Row],[Last value]],1,0)</f>
        <v>1</v>
      </c>
      <c r="S1407" s="4" t="str">
        <f t="shared" si="34"/>
        <v>Green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3.2</v>
      </c>
      <c r="CN1407" s="53">
        <v>0</v>
      </c>
      <c r="CO1407" s="54">
        <v>2.94</v>
      </c>
      <c r="CP1407" s="54">
        <v>0</v>
      </c>
      <c r="CQ1407" s="4">
        <v>0</v>
      </c>
    </row>
    <row r="1408" spans="1:95" s="40" customFormat="1" x14ac:dyDescent="0.35">
      <c r="A1408" s="55">
        <v>1409</v>
      </c>
      <c r="B1408" s="47" t="s">
        <v>1479</v>
      </c>
      <c r="C1408" s="27" t="s">
        <v>1443</v>
      </c>
      <c r="D1408" s="50" t="s">
        <v>94</v>
      </c>
      <c r="E1408" s="50" t="s">
        <v>89</v>
      </c>
      <c r="F1408" s="4">
        <f>IFERROR(AVERAGEIF(Table1[[#This Row],[2019-Apr]:[2025-July]],"&lt;&gt;0"),0)</f>
        <v>3.11</v>
      </c>
      <c r="G1408" s="4">
        <f ca="1">IFERROR(AVERAGEIF(OFFSET(Table1[[#This Row],[Status]],0,COUNT(Table1[[#This Row],[2019-May]:[2025-July]]),1,-12),"&lt;&gt;0"),0)</f>
        <v>3.11</v>
      </c>
      <c r="H1408" s="55">
        <f>IFERROR(SMALL(Table1[[#This Row],[2019-Apr]:[2025-July]],COUNTIF(Table1[[#This Row],[2019-Apr]:[2025-July]],0)+1),0)</f>
        <v>3.11</v>
      </c>
      <c r="I1408" s="56">
        <f>IFERROR(MAX(Table1[[#This Row],[2019-Apr]:[2025-July]]),0)</f>
        <v>3.11</v>
      </c>
      <c r="J1408" s="4" cm="1">
        <f t="array" ref="J140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3.11</v>
      </c>
      <c r="K1408" s="4">
        <v>4.5</v>
      </c>
      <c r="L1408" s="4">
        <f>IF(Table1[[#This Row],[Standard as per ISO]]&gt;=Table1[[#This Row],[Avg of best 6]],Table1[[#This Row],[Standard as per ISO]],Table1[[#This Row],[Avg of best 6]])</f>
        <v>4.5</v>
      </c>
      <c r="M1408" s="4" cm="1">
        <f t="array" ref="M1408">IFERROR(LOOKUP(2,1/(Table1[[#This Row],[2019-May]:[2025-July]]&lt;&gt;0),Table1[[#This Row],[2019-May]:[2025-July]]),0)</f>
        <v>3.11</v>
      </c>
      <c r="N1408" s="4">
        <f>COUNTIF(Table1[[#This Row],[2019-Apr]:[2025-July]],"&gt;="&amp;Table1[[#This Row],[Target]])</f>
        <v>0</v>
      </c>
      <c r="O1408" s="4">
        <f>IF(Table1[[#This Row],[Outliers 2Y]]=0,1,0)</f>
        <v>1</v>
      </c>
      <c r="P1408" s="4">
        <f>IF(Table1[[#This Row],[Last value]]&gt;1.5*Table1[[#This Row],[Target]],1,0)</f>
        <v>0</v>
      </c>
      <c r="Q1408" s="4">
        <f>IF(AND(1.5*Table1[[#This Row],[Target]]&gt;=Table1[[#This Row],[Last value]],Table1[[#This Row],[Last value]]&gt;Table1[[#This Row],[Target]]),1,0)</f>
        <v>0</v>
      </c>
      <c r="R1408" s="4">
        <f>IF(Table1[[#This Row],[Target]]&gt;=Table1[[#This Row],[Last value]],1,0)</f>
        <v>1</v>
      </c>
      <c r="S1408" s="4" t="str">
        <f t="shared" si="34"/>
        <v>Green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53">
        <v>0</v>
      </c>
      <c r="CO1408" s="54">
        <v>0</v>
      </c>
      <c r="CP1408" s="54">
        <v>3.11</v>
      </c>
      <c r="CQ1408" s="4">
        <v>0</v>
      </c>
    </row>
    <row r="1409" spans="1:95" s="40" customFormat="1" x14ac:dyDescent="0.35">
      <c r="A1409" s="55">
        <v>1410</v>
      </c>
      <c r="B1409" s="47" t="s">
        <v>1479</v>
      </c>
      <c r="C1409" s="27" t="s">
        <v>1444</v>
      </c>
      <c r="D1409" s="50" t="s">
        <v>94</v>
      </c>
      <c r="E1409" s="50" t="s">
        <v>89</v>
      </c>
      <c r="F1409" s="4">
        <f>IFERROR(AVERAGEIF(Table1[[#This Row],[2019-Apr]:[2025-July]],"&lt;&gt;0"),0)</f>
        <v>1.7033333333333331</v>
      </c>
      <c r="G1409" s="4">
        <f ca="1">IFERROR(AVERAGEIF(OFFSET(Table1[[#This Row],[Status]],0,COUNT(Table1[[#This Row],[2019-May]:[2025-July]]),1,-12),"&lt;&gt;0"),0)</f>
        <v>1.7033333333333331</v>
      </c>
      <c r="H1409" s="55">
        <f>IFERROR(SMALL(Table1[[#This Row],[2019-Apr]:[2025-July]],COUNTIF(Table1[[#This Row],[2019-Apr]:[2025-July]],0)+1),0)</f>
        <v>1.2</v>
      </c>
      <c r="I1409" s="56">
        <f>IFERROR(MAX(Table1[[#This Row],[2019-Apr]:[2025-July]]),0)</f>
        <v>2.71</v>
      </c>
      <c r="J1409" s="4" cm="1">
        <f t="array" ref="J140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1.7033333333333331</v>
      </c>
      <c r="K1409" s="4">
        <v>4.5</v>
      </c>
      <c r="L1409" s="4">
        <f>IF(Table1[[#This Row],[Standard as per ISO]]&gt;=Table1[[#This Row],[Avg of best 6]],Table1[[#This Row],[Standard as per ISO]],Table1[[#This Row],[Avg of best 6]])</f>
        <v>4.5</v>
      </c>
      <c r="M1409" s="4" cm="1">
        <f t="array" ref="M1409">IFERROR(LOOKUP(2,1/(Table1[[#This Row],[2019-May]:[2025-July]]&lt;&gt;0),Table1[[#This Row],[2019-May]:[2025-July]]),0)</f>
        <v>2.71</v>
      </c>
      <c r="N1409" s="4">
        <f>COUNTIF(Table1[[#This Row],[2019-Apr]:[2025-July]],"&gt;="&amp;Table1[[#This Row],[Target]])</f>
        <v>0</v>
      </c>
      <c r="O1409" s="4">
        <f>IF(Table1[[#This Row],[Outliers 2Y]]=0,1,0)</f>
        <v>1</v>
      </c>
      <c r="P1409" s="4">
        <f>IF(Table1[[#This Row],[Last value]]&gt;1.5*Table1[[#This Row],[Target]],1,0)</f>
        <v>0</v>
      </c>
      <c r="Q1409" s="4">
        <f>IF(AND(1.5*Table1[[#This Row],[Target]]&gt;=Table1[[#This Row],[Last value]],Table1[[#This Row],[Last value]]&gt;Table1[[#This Row],[Target]]),1,0)</f>
        <v>0</v>
      </c>
      <c r="R1409" s="4">
        <f>IF(Table1[[#This Row],[Target]]&gt;=Table1[[#This Row],[Last value]],1,0)</f>
        <v>1</v>
      </c>
      <c r="S1409" s="4" t="str">
        <f t="shared" si="34"/>
        <v>Green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27">
        <v>1.2</v>
      </c>
      <c r="CM1409" s="4">
        <v>1.2</v>
      </c>
      <c r="CN1409" s="53">
        <v>0</v>
      </c>
      <c r="CO1409" s="54">
        <v>2.71</v>
      </c>
      <c r="CP1409" s="54">
        <v>0</v>
      </c>
      <c r="CQ1409" s="4">
        <v>0</v>
      </c>
    </row>
    <row r="1410" spans="1:95" s="45" customFormat="1" x14ac:dyDescent="0.35">
      <c r="A1410" s="55">
        <v>1411</v>
      </c>
      <c r="B1410" s="47" t="s">
        <v>1479</v>
      </c>
      <c r="C1410" s="27" t="s">
        <v>1445</v>
      </c>
      <c r="D1410" s="50" t="s">
        <v>94</v>
      </c>
      <c r="E1410" s="50" t="s">
        <v>89</v>
      </c>
      <c r="F1410" s="4">
        <f>IFERROR(AVERAGEIF(Table1[[#This Row],[2019-Apr]:[2025-July]],"&lt;&gt;0"),0)</f>
        <v>0</v>
      </c>
      <c r="G1410" s="4">
        <f ca="1">IFERROR(AVERAGEIF(OFFSET(Table1[[#This Row],[Status]],0,COUNT(Table1[[#This Row],[2019-May]:[2025-July]]),1,-12),"&lt;&gt;0"),0)</f>
        <v>0</v>
      </c>
      <c r="H1410" s="55">
        <f>IFERROR(SMALL(Table1[[#This Row],[2019-Apr]:[2025-July]],COUNTIF(Table1[[#This Row],[2019-Apr]:[2025-July]],0)+1),0)</f>
        <v>0</v>
      </c>
      <c r="I1410" s="56">
        <f>IFERROR(MAX(Table1[[#This Row],[2019-Apr]:[2025-July]]),0)</f>
        <v>0</v>
      </c>
      <c r="J1410" s="4" cm="1">
        <f t="array" ref="J141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410" s="4">
        <v>4.5</v>
      </c>
      <c r="L1410" s="4">
        <f>IF(Table1[[#This Row],[Standard as per ISO]]&gt;=Table1[[#This Row],[Avg of best 6]],Table1[[#This Row],[Standard as per ISO]],Table1[[#This Row],[Avg of best 6]])</f>
        <v>4.5</v>
      </c>
      <c r="M1410" s="4" cm="1">
        <f t="array" ref="M1410">IFERROR(LOOKUP(2,1/(Table1[[#This Row],[2019-May]:[2025-July]]&lt;&gt;0),Table1[[#This Row],[2019-May]:[2025-July]]),0)</f>
        <v>0</v>
      </c>
      <c r="N1410" s="4">
        <f>COUNTIF(Table1[[#This Row],[2019-Apr]:[2025-July]],"&gt;="&amp;Table1[[#This Row],[Target]])</f>
        <v>0</v>
      </c>
      <c r="O1410" s="4">
        <f>IF(Table1[[#This Row],[Outliers 2Y]]=0,1,0)</f>
        <v>1</v>
      </c>
      <c r="P1410" s="4">
        <f>IF(Table1[[#This Row],[Last value]]&gt;1.5*Table1[[#This Row],[Target]],1,0)</f>
        <v>0</v>
      </c>
      <c r="Q1410" s="4">
        <f>IF(AND(1.5*Table1[[#This Row],[Target]]&gt;=Table1[[#This Row],[Last value]],Table1[[#This Row],[Last value]]&gt;Table1[[#This Row],[Target]]),1,0)</f>
        <v>0</v>
      </c>
      <c r="R1410" s="4">
        <f>IF(Table1[[#This Row],[Target]]&gt;=Table1[[#This Row],[Last value]],1,0)</f>
        <v>1</v>
      </c>
      <c r="S1410" s="4" t="str">
        <f t="shared" si="34"/>
        <v>Green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53">
        <v>0</v>
      </c>
      <c r="CO1410" s="54">
        <v>0</v>
      </c>
      <c r="CP1410" s="54">
        <v>0</v>
      </c>
      <c r="CQ1410" s="4">
        <v>0</v>
      </c>
    </row>
    <row r="1411" spans="1:95" s="45" customFormat="1" x14ac:dyDescent="0.35">
      <c r="A1411" s="55">
        <v>1412</v>
      </c>
      <c r="B1411" s="47" t="s">
        <v>1479</v>
      </c>
      <c r="C1411" s="27" t="s">
        <v>1446</v>
      </c>
      <c r="D1411" s="50" t="s">
        <v>94</v>
      </c>
      <c r="E1411" s="50" t="s">
        <v>89</v>
      </c>
      <c r="F1411" s="4">
        <f>IFERROR(AVERAGEIF(Table1[[#This Row],[2019-Apr]:[2025-July]],"&lt;&gt;0"),0)</f>
        <v>0</v>
      </c>
      <c r="G1411" s="4">
        <f ca="1">IFERROR(AVERAGEIF(OFFSET(Table1[[#This Row],[Status]],0,COUNT(Table1[[#This Row],[2019-May]:[2025-July]]),1,-12),"&lt;&gt;0"),0)</f>
        <v>0</v>
      </c>
      <c r="H1411" s="55">
        <f>IFERROR(SMALL(Table1[[#This Row],[2019-Apr]:[2025-July]],COUNTIF(Table1[[#This Row],[2019-Apr]:[2025-July]],0)+1),0)</f>
        <v>0</v>
      </c>
      <c r="I1411" s="56">
        <f>IFERROR(MAX(Table1[[#This Row],[2019-Apr]:[2025-July]]),0)</f>
        <v>0</v>
      </c>
      <c r="J1411" s="4" cm="1">
        <f t="array" ref="J141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411" s="4">
        <v>4.5</v>
      </c>
      <c r="L1411" s="4">
        <f>IF(Table1[[#This Row],[Standard as per ISO]]&gt;=Table1[[#This Row],[Avg of best 6]],Table1[[#This Row],[Standard as per ISO]],Table1[[#This Row],[Avg of best 6]])</f>
        <v>4.5</v>
      </c>
      <c r="M1411" s="4" cm="1">
        <f t="array" ref="M1411">IFERROR(LOOKUP(2,1/(Table1[[#This Row],[2019-May]:[2025-July]]&lt;&gt;0),Table1[[#This Row],[2019-May]:[2025-July]]),0)</f>
        <v>0</v>
      </c>
      <c r="N1411" s="4">
        <f>COUNTIF(Table1[[#This Row],[2019-Apr]:[2025-July]],"&gt;="&amp;Table1[[#This Row],[Target]])</f>
        <v>0</v>
      </c>
      <c r="O1411" s="4">
        <f>IF(Table1[[#This Row],[Outliers 2Y]]=0,1,0)</f>
        <v>1</v>
      </c>
      <c r="P1411" s="4">
        <f>IF(Table1[[#This Row],[Last value]]&gt;1.5*Table1[[#This Row],[Target]],1,0)</f>
        <v>0</v>
      </c>
      <c r="Q1411" s="4">
        <f>IF(AND(1.5*Table1[[#This Row],[Target]]&gt;=Table1[[#This Row],[Last value]],Table1[[#This Row],[Last value]]&gt;Table1[[#This Row],[Target]]),1,0)</f>
        <v>0</v>
      </c>
      <c r="R1411" s="4">
        <f>IF(Table1[[#This Row],[Target]]&gt;=Table1[[#This Row],[Last value]],1,0)</f>
        <v>1</v>
      </c>
      <c r="S1411" s="4" t="str">
        <f t="shared" si="34"/>
        <v>Green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53">
        <v>0</v>
      </c>
      <c r="CO1411" s="54">
        <v>0</v>
      </c>
      <c r="CP1411" s="54">
        <v>0</v>
      </c>
      <c r="CQ1411" s="4">
        <v>0</v>
      </c>
    </row>
    <row r="1412" spans="1:95" s="45" customFormat="1" x14ac:dyDescent="0.35">
      <c r="A1412" s="55">
        <v>1413</v>
      </c>
      <c r="B1412" s="47" t="s">
        <v>1479</v>
      </c>
      <c r="C1412" s="27" t="s">
        <v>1447</v>
      </c>
      <c r="D1412" s="50" t="s">
        <v>94</v>
      </c>
      <c r="E1412" s="50" t="s">
        <v>89</v>
      </c>
      <c r="F1412" s="4">
        <f>IFERROR(AVERAGEIF(Table1[[#This Row],[2019-Apr]:[2025-July]],"&lt;&gt;0"),0)</f>
        <v>3.33</v>
      </c>
      <c r="G1412" s="4">
        <f ca="1">IFERROR(AVERAGEIF(OFFSET(Table1[[#This Row],[Status]],0,COUNT(Table1[[#This Row],[2019-May]:[2025-July]]),1,-12),"&lt;&gt;0"),0)</f>
        <v>3.33</v>
      </c>
      <c r="H1412" s="55">
        <f>IFERROR(SMALL(Table1[[#This Row],[2019-Apr]:[2025-July]],COUNTIF(Table1[[#This Row],[2019-Apr]:[2025-July]],0)+1),0)</f>
        <v>3.12</v>
      </c>
      <c r="I1412" s="56">
        <f>IFERROR(MAX(Table1[[#This Row],[2019-Apr]:[2025-July]]),0)</f>
        <v>3.5</v>
      </c>
      <c r="J1412" s="4" cm="1">
        <f t="array" ref="J141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3.33</v>
      </c>
      <c r="K1412" s="4">
        <v>4.5</v>
      </c>
      <c r="L1412" s="4">
        <f>IF(Table1[[#This Row],[Standard as per ISO]]&gt;=Table1[[#This Row],[Avg of best 6]],Table1[[#This Row],[Standard as per ISO]],Table1[[#This Row],[Avg of best 6]])</f>
        <v>4.5</v>
      </c>
      <c r="M1412" s="4" cm="1">
        <f t="array" ref="M1412">IFERROR(LOOKUP(2,1/(Table1[[#This Row],[2019-May]:[2025-July]]&lt;&gt;0),Table1[[#This Row],[2019-May]:[2025-July]]),0)</f>
        <v>3.12</v>
      </c>
      <c r="N1412" s="4">
        <f>COUNTIF(Table1[[#This Row],[2019-Apr]:[2025-July]],"&gt;="&amp;Table1[[#This Row],[Target]])</f>
        <v>0</v>
      </c>
      <c r="O1412" s="4">
        <f>IF(Table1[[#This Row],[Outliers 2Y]]=0,1,0)</f>
        <v>1</v>
      </c>
      <c r="P1412" s="4">
        <f>IF(Table1[[#This Row],[Last value]]&gt;1.5*Table1[[#This Row],[Target]],1,0)</f>
        <v>0</v>
      </c>
      <c r="Q1412" s="4">
        <f>IF(AND(1.5*Table1[[#This Row],[Target]]&gt;=Table1[[#This Row],[Last value]],Table1[[#This Row],[Last value]]&gt;Table1[[#This Row],[Target]]),1,0)</f>
        <v>0</v>
      </c>
      <c r="R1412" s="4">
        <f>IF(Table1[[#This Row],[Target]]&gt;=Table1[[#This Row],[Last value]],1,0)</f>
        <v>1</v>
      </c>
      <c r="S1412" s="4" t="str">
        <f t="shared" si="34"/>
        <v>Green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27">
        <v>3.5</v>
      </c>
      <c r="CM1412" s="4">
        <v>3.3</v>
      </c>
      <c r="CN1412" s="53">
        <v>0</v>
      </c>
      <c r="CO1412" s="54">
        <v>3.4</v>
      </c>
      <c r="CP1412" s="54">
        <v>3.12</v>
      </c>
      <c r="CQ1412" s="4">
        <v>0</v>
      </c>
    </row>
    <row r="1413" spans="1:95" s="45" customFormat="1" x14ac:dyDescent="0.35">
      <c r="A1413" s="55">
        <v>1414</v>
      </c>
      <c r="B1413" s="47" t="s">
        <v>1479</v>
      </c>
      <c r="C1413" s="27" t="s">
        <v>1448</v>
      </c>
      <c r="D1413" s="50" t="s">
        <v>94</v>
      </c>
      <c r="E1413" s="50" t="s">
        <v>89</v>
      </c>
      <c r="F1413" s="4">
        <f>IFERROR(AVERAGEIF(Table1[[#This Row],[2019-Apr]:[2025-July]],"&lt;&gt;0"),0)</f>
        <v>0</v>
      </c>
      <c r="G1413" s="4">
        <f ca="1">IFERROR(AVERAGEIF(OFFSET(Table1[[#This Row],[Status]],0,COUNT(Table1[[#This Row],[2019-May]:[2025-July]]),1,-12),"&lt;&gt;0"),0)</f>
        <v>0</v>
      </c>
      <c r="H1413" s="55">
        <f>IFERROR(SMALL(Table1[[#This Row],[2019-Apr]:[2025-July]],COUNTIF(Table1[[#This Row],[2019-Apr]:[2025-July]],0)+1),0)</f>
        <v>0</v>
      </c>
      <c r="I1413" s="56">
        <f>IFERROR(MAX(Table1[[#This Row],[2019-Apr]:[2025-July]]),0)</f>
        <v>0</v>
      </c>
      <c r="J1413" s="4" cm="1">
        <f t="array" ref="J141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413" s="4">
        <v>4.5</v>
      </c>
      <c r="L1413" s="4">
        <f>IF(Table1[[#This Row],[Standard as per ISO]]&gt;=Table1[[#This Row],[Avg of best 6]],Table1[[#This Row],[Standard as per ISO]],Table1[[#This Row],[Avg of best 6]])</f>
        <v>4.5</v>
      </c>
      <c r="M1413" s="4" cm="1">
        <f t="array" ref="M1413">IFERROR(LOOKUP(2,1/(Table1[[#This Row],[2019-May]:[2025-July]]&lt;&gt;0),Table1[[#This Row],[2019-May]:[2025-July]]),0)</f>
        <v>0</v>
      </c>
      <c r="N1413" s="4">
        <f>COUNTIF(Table1[[#This Row],[2019-Apr]:[2025-July]],"&gt;="&amp;Table1[[#This Row],[Target]])</f>
        <v>0</v>
      </c>
      <c r="O1413" s="4">
        <f>IF(Table1[[#This Row],[Outliers 2Y]]=0,1,0)</f>
        <v>1</v>
      </c>
      <c r="P1413" s="4">
        <f>IF(Table1[[#This Row],[Last value]]&gt;1.5*Table1[[#This Row],[Target]],1,0)</f>
        <v>0</v>
      </c>
      <c r="Q1413" s="4">
        <f>IF(AND(1.5*Table1[[#This Row],[Target]]&gt;=Table1[[#This Row],[Last value]],Table1[[#This Row],[Last value]]&gt;Table1[[#This Row],[Target]]),1,0)</f>
        <v>0</v>
      </c>
      <c r="R1413" s="4">
        <f>IF(Table1[[#This Row],[Target]]&gt;=Table1[[#This Row],[Last value]],1,0)</f>
        <v>1</v>
      </c>
      <c r="S1413" s="4" t="str">
        <f t="shared" si="34"/>
        <v>Green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53">
        <v>0</v>
      </c>
      <c r="CO1413" s="54">
        <v>0</v>
      </c>
      <c r="CP1413" s="54">
        <v>0</v>
      </c>
      <c r="CQ1413" s="4">
        <v>0</v>
      </c>
    </row>
    <row r="1414" spans="1:95" s="45" customFormat="1" x14ac:dyDescent="0.35">
      <c r="A1414" s="55">
        <v>1415</v>
      </c>
      <c r="B1414" s="47" t="s">
        <v>1479</v>
      </c>
      <c r="C1414" s="27" t="s">
        <v>1449</v>
      </c>
      <c r="D1414" s="50" t="s">
        <v>94</v>
      </c>
      <c r="E1414" s="50" t="s">
        <v>89</v>
      </c>
      <c r="F1414" s="4">
        <f>IFERROR(AVERAGEIF(Table1[[#This Row],[2019-Apr]:[2025-July]],"&lt;&gt;0"),0)</f>
        <v>3.7</v>
      </c>
      <c r="G1414" s="4">
        <f ca="1">IFERROR(AVERAGEIF(OFFSET(Table1[[#This Row],[Status]],0,COUNT(Table1[[#This Row],[2019-May]:[2025-July]]),1,-12),"&lt;&gt;0"),0)</f>
        <v>3.7</v>
      </c>
      <c r="H1414" s="55">
        <f>IFERROR(SMALL(Table1[[#This Row],[2019-Apr]:[2025-July]],COUNTIF(Table1[[#This Row],[2019-Apr]:[2025-July]],0)+1),0)</f>
        <v>3.7</v>
      </c>
      <c r="I1414" s="56">
        <f>IFERROR(MAX(Table1[[#This Row],[2019-Apr]:[2025-July]]),0)</f>
        <v>3.7</v>
      </c>
      <c r="J1414" s="4" cm="1">
        <f t="array" ref="J141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</v>
      </c>
      <c r="K1414" s="4">
        <v>4.5</v>
      </c>
      <c r="L1414" s="4">
        <f>IF(Table1[[#This Row],[Standard as per ISO]]&gt;=Table1[[#This Row],[Avg of best 6]],Table1[[#This Row],[Standard as per ISO]],Table1[[#This Row],[Avg of best 6]])</f>
        <v>4.5</v>
      </c>
      <c r="M1414" s="4" cm="1">
        <f t="array" ref="M1414">IFERROR(LOOKUP(2,1/(Table1[[#This Row],[2019-May]:[2025-July]]&lt;&gt;0),Table1[[#This Row],[2019-May]:[2025-July]]),0)</f>
        <v>3.7</v>
      </c>
      <c r="N1414" s="4">
        <f>COUNTIF(Table1[[#This Row],[2019-Apr]:[2025-July]],"&gt;="&amp;Table1[[#This Row],[Target]])</f>
        <v>0</v>
      </c>
      <c r="O1414" s="4">
        <f>IF(Table1[[#This Row],[Outliers 2Y]]=0,1,0)</f>
        <v>1</v>
      </c>
      <c r="P1414" s="4">
        <f>IF(Table1[[#This Row],[Last value]]&gt;1.5*Table1[[#This Row],[Target]],1,0)</f>
        <v>0</v>
      </c>
      <c r="Q1414" s="4">
        <f>IF(AND(1.5*Table1[[#This Row],[Target]]&gt;=Table1[[#This Row],[Last value]],Table1[[#This Row],[Last value]]&gt;Table1[[#This Row],[Target]]),1,0)</f>
        <v>0</v>
      </c>
      <c r="R1414" s="4">
        <f>IF(Table1[[#This Row],[Target]]&gt;=Table1[[#This Row],[Last value]],1,0)</f>
        <v>1</v>
      </c>
      <c r="S1414" s="4" t="str">
        <f t="shared" si="34"/>
        <v>Green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53">
        <v>0</v>
      </c>
      <c r="CO1414" s="54">
        <v>0</v>
      </c>
      <c r="CP1414" s="54">
        <v>3.7</v>
      </c>
      <c r="CQ1414" s="4">
        <v>0</v>
      </c>
    </row>
    <row r="1415" spans="1:95" s="45" customFormat="1" x14ac:dyDescent="0.35">
      <c r="A1415" s="55">
        <v>1416</v>
      </c>
      <c r="B1415" s="47" t="s">
        <v>1479</v>
      </c>
      <c r="C1415" s="27" t="s">
        <v>1450</v>
      </c>
      <c r="D1415" s="50" t="s">
        <v>94</v>
      </c>
      <c r="E1415" s="50" t="s">
        <v>89</v>
      </c>
      <c r="F1415" s="4">
        <f>IFERROR(AVERAGEIF(Table1[[#This Row],[2019-Apr]:[2025-July]],"&lt;&gt;0"),0)</f>
        <v>3.75</v>
      </c>
      <c r="G1415" s="4">
        <f ca="1">IFERROR(AVERAGEIF(OFFSET(Table1[[#This Row],[Status]],0,COUNT(Table1[[#This Row],[2019-May]:[2025-July]]),1,-12),"&lt;&gt;0"),0)</f>
        <v>3.75</v>
      </c>
      <c r="H1415" s="55">
        <f>IFERROR(SMALL(Table1[[#This Row],[2019-Apr]:[2025-July]],COUNTIF(Table1[[#This Row],[2019-Apr]:[2025-July]],0)+1),0)</f>
        <v>3</v>
      </c>
      <c r="I1415" s="56">
        <f>IFERROR(MAX(Table1[[#This Row],[2019-Apr]:[2025-July]]),0)</f>
        <v>4.5</v>
      </c>
      <c r="J1415" s="4" cm="1">
        <f t="array" ref="J141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3.75</v>
      </c>
      <c r="K1415" s="4">
        <v>4.5</v>
      </c>
      <c r="L1415" s="4">
        <f>IF(Table1[[#This Row],[Standard as per ISO]]&gt;=Table1[[#This Row],[Avg of best 6]],Table1[[#This Row],[Standard as per ISO]],Table1[[#This Row],[Avg of best 6]])</f>
        <v>4.5</v>
      </c>
      <c r="M1415" s="4" cm="1">
        <f t="array" ref="M1415">IFERROR(LOOKUP(2,1/(Table1[[#This Row],[2019-May]:[2025-July]]&lt;&gt;0),Table1[[#This Row],[2019-May]:[2025-July]]),0)</f>
        <v>3</v>
      </c>
      <c r="N1415" s="4">
        <f>COUNTIF(Table1[[#This Row],[2019-Apr]:[2025-July]],"&gt;="&amp;Table1[[#This Row],[Target]])</f>
        <v>1</v>
      </c>
      <c r="O1415" s="4">
        <f>IF(Table1[[#This Row],[Outliers 2Y]]=0,1,0)</f>
        <v>0</v>
      </c>
      <c r="P1415" s="4">
        <f>IF(Table1[[#This Row],[Last value]]&gt;1.5*Table1[[#This Row],[Target]],1,0)</f>
        <v>0</v>
      </c>
      <c r="Q1415" s="4">
        <f>IF(AND(1.5*Table1[[#This Row],[Target]]&gt;=Table1[[#This Row],[Last value]],Table1[[#This Row],[Last value]]&gt;Table1[[#This Row],[Target]]),1,0)</f>
        <v>0</v>
      </c>
      <c r="R1415" s="4">
        <f>IF(Table1[[#This Row],[Target]]&gt;=Table1[[#This Row],[Last value]],1,0)</f>
        <v>1</v>
      </c>
      <c r="S1415" s="4" t="str">
        <f t="shared" si="34"/>
        <v>Green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27">
        <v>4.5</v>
      </c>
      <c r="CM1415" s="4">
        <v>3</v>
      </c>
      <c r="CN1415" s="53">
        <v>0</v>
      </c>
      <c r="CO1415" s="54">
        <v>0</v>
      </c>
      <c r="CP1415" s="54">
        <v>0</v>
      </c>
      <c r="CQ1415" s="4">
        <v>0</v>
      </c>
    </row>
    <row r="1416" spans="1:95" s="45" customFormat="1" x14ac:dyDescent="0.35">
      <c r="A1416" s="55">
        <v>1417</v>
      </c>
      <c r="B1416" s="47" t="s">
        <v>1479</v>
      </c>
      <c r="C1416" s="27" t="s">
        <v>1451</v>
      </c>
      <c r="D1416" s="50" t="s">
        <v>94</v>
      </c>
      <c r="E1416" s="50" t="s">
        <v>89</v>
      </c>
      <c r="F1416" s="4">
        <f>IFERROR(AVERAGEIF(Table1[[#This Row],[2019-Apr]:[2025-July]],"&lt;&gt;0"),0)</f>
        <v>4.7</v>
      </c>
      <c r="G1416" s="4">
        <f ca="1">IFERROR(AVERAGEIF(OFFSET(Table1[[#This Row],[Status]],0,COUNT(Table1[[#This Row],[2019-May]:[2025-July]]),1,-12),"&lt;&gt;0"),0)</f>
        <v>4.7</v>
      </c>
      <c r="H1416" s="55">
        <f>IFERROR(SMALL(Table1[[#This Row],[2019-Apr]:[2025-July]],COUNTIF(Table1[[#This Row],[2019-Apr]:[2025-July]],0)+1),0)</f>
        <v>4.7</v>
      </c>
      <c r="I1416" s="56">
        <f>IFERROR(MAX(Table1[[#This Row],[2019-Apr]:[2025-July]]),0)</f>
        <v>4.7</v>
      </c>
      <c r="J1416" s="4" cm="1">
        <f t="array" ref="J141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4.7</v>
      </c>
      <c r="K1416" s="4">
        <v>4.5</v>
      </c>
      <c r="L1416" s="4">
        <f>IF(Table1[[#This Row],[Standard as per ISO]]&gt;=Table1[[#This Row],[Avg of best 6]],Table1[[#This Row],[Standard as per ISO]],Table1[[#This Row],[Avg of best 6]])</f>
        <v>4.7</v>
      </c>
      <c r="M1416" s="4" cm="1">
        <f t="array" ref="M1416">IFERROR(LOOKUP(2,1/(Table1[[#This Row],[2019-May]:[2025-July]]&lt;&gt;0),Table1[[#This Row],[2019-May]:[2025-July]]),0)</f>
        <v>4.7</v>
      </c>
      <c r="N1416" s="4">
        <f>COUNTIF(Table1[[#This Row],[2019-Apr]:[2025-July]],"&gt;="&amp;Table1[[#This Row],[Target]])</f>
        <v>1</v>
      </c>
      <c r="O1416" s="4">
        <f>IF(Table1[[#This Row],[Outliers 2Y]]=0,1,0)</f>
        <v>0</v>
      </c>
      <c r="P1416" s="4">
        <f>IF(Table1[[#This Row],[Last value]]&gt;1.5*Table1[[#This Row],[Target]],1,0)</f>
        <v>0</v>
      </c>
      <c r="Q1416" s="4">
        <f>IF(AND(1.5*Table1[[#This Row],[Target]]&gt;=Table1[[#This Row],[Last value]],Table1[[#This Row],[Last value]]&gt;Table1[[#This Row],[Target]]),1,0)</f>
        <v>0</v>
      </c>
      <c r="R1416" s="4">
        <f>IF(Table1[[#This Row],[Target]]&gt;=Table1[[#This Row],[Last value]],1,0)</f>
        <v>1</v>
      </c>
      <c r="S1416" s="4" t="str">
        <f t="shared" si="34"/>
        <v>Green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27">
        <v>4.7</v>
      </c>
      <c r="CM1416" s="4">
        <v>0</v>
      </c>
      <c r="CN1416" s="53">
        <v>0</v>
      </c>
      <c r="CO1416" s="54">
        <v>0</v>
      </c>
      <c r="CP1416" s="54">
        <v>0</v>
      </c>
      <c r="CQ1416" s="4">
        <v>0</v>
      </c>
    </row>
    <row r="1417" spans="1:95" s="45" customFormat="1" x14ac:dyDescent="0.35">
      <c r="A1417" s="55">
        <v>1418</v>
      </c>
      <c r="B1417" s="47" t="s">
        <v>1479</v>
      </c>
      <c r="C1417" s="27" t="s">
        <v>1452</v>
      </c>
      <c r="D1417" s="50" t="s">
        <v>94</v>
      </c>
      <c r="E1417" s="50" t="s">
        <v>89</v>
      </c>
      <c r="F1417" s="4">
        <f>IFERROR(AVERAGEIF(Table1[[#This Row],[2019-Apr]:[2025-July]],"&lt;&gt;0"),0)</f>
        <v>4.3066666666666666</v>
      </c>
      <c r="G1417" s="4">
        <f ca="1">IFERROR(AVERAGEIF(OFFSET(Table1[[#This Row],[Status]],0,COUNT(Table1[[#This Row],[2019-May]:[2025-July]]),1,-12),"&lt;&gt;0"),0)</f>
        <v>4.3066666666666666</v>
      </c>
      <c r="H1417" s="55">
        <f>IFERROR(SMALL(Table1[[#This Row],[2019-Apr]:[2025-July]],COUNTIF(Table1[[#This Row],[2019-Apr]:[2025-July]],0)+1),0)</f>
        <v>4</v>
      </c>
      <c r="I1417" s="56">
        <f>IFERROR(MAX(Table1[[#This Row],[2019-Apr]:[2025-July]]),0)</f>
        <v>4.72</v>
      </c>
      <c r="J1417" s="4" cm="1">
        <f t="array" ref="J141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4.3066666666666666</v>
      </c>
      <c r="K1417" s="4">
        <v>4.5</v>
      </c>
      <c r="L1417" s="4">
        <f>IF(Table1[[#This Row],[Standard as per ISO]]&gt;=Table1[[#This Row],[Avg of best 6]],Table1[[#This Row],[Standard as per ISO]],Table1[[#This Row],[Avg of best 6]])</f>
        <v>4.5</v>
      </c>
      <c r="M1417" s="4" cm="1">
        <f t="array" ref="M1417">IFERROR(LOOKUP(2,1/(Table1[[#This Row],[2019-May]:[2025-July]]&lt;&gt;0),Table1[[#This Row],[2019-May]:[2025-July]]),0)</f>
        <v>4</v>
      </c>
      <c r="N1417" s="4">
        <f>COUNTIF(Table1[[#This Row],[2019-Apr]:[2025-July]],"&gt;="&amp;Table1[[#This Row],[Target]])</f>
        <v>1</v>
      </c>
      <c r="O1417" s="4">
        <f>IF(Table1[[#This Row],[Outliers 2Y]]=0,1,0)</f>
        <v>0</v>
      </c>
      <c r="P1417" s="4">
        <f>IF(Table1[[#This Row],[Last value]]&gt;1.5*Table1[[#This Row],[Target]],1,0)</f>
        <v>0</v>
      </c>
      <c r="Q1417" s="4">
        <f>IF(AND(1.5*Table1[[#This Row],[Target]]&gt;=Table1[[#This Row],[Last value]],Table1[[#This Row],[Last value]]&gt;Table1[[#This Row],[Target]]),1,0)</f>
        <v>0</v>
      </c>
      <c r="R1417" s="4">
        <f>IF(Table1[[#This Row],[Target]]&gt;=Table1[[#This Row],[Last value]],1,0)</f>
        <v>1</v>
      </c>
      <c r="S1417" s="4" t="str">
        <f t="shared" si="34"/>
        <v>Green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27">
        <v>4.2</v>
      </c>
      <c r="CM1417" s="4">
        <v>0</v>
      </c>
      <c r="CN1417" s="53">
        <v>0</v>
      </c>
      <c r="CO1417" s="54">
        <v>4.72</v>
      </c>
      <c r="CP1417" s="54">
        <v>4</v>
      </c>
      <c r="CQ1417" s="4">
        <v>0</v>
      </c>
    </row>
    <row r="1418" spans="1:95" s="45" customFormat="1" x14ac:dyDescent="0.35">
      <c r="A1418" s="55">
        <v>1419</v>
      </c>
      <c r="B1418" s="47" t="s">
        <v>1479</v>
      </c>
      <c r="C1418" s="27" t="s">
        <v>1453</v>
      </c>
      <c r="D1418" s="50" t="s">
        <v>94</v>
      </c>
      <c r="E1418" s="50" t="s">
        <v>89</v>
      </c>
      <c r="F1418" s="4">
        <f>IFERROR(AVERAGEIF(Table1[[#This Row],[2019-Apr]:[2025-July]],"&lt;&gt;0"),0)</f>
        <v>4.32</v>
      </c>
      <c r="G1418" s="4">
        <f ca="1">IFERROR(AVERAGEIF(OFFSET(Table1[[#This Row],[Status]],0,COUNT(Table1[[#This Row],[2019-May]:[2025-July]]),1,-12),"&lt;&gt;0"),0)</f>
        <v>4.32</v>
      </c>
      <c r="H1418" s="55">
        <f>IFERROR(SMALL(Table1[[#This Row],[2019-Apr]:[2025-July]],COUNTIF(Table1[[#This Row],[2019-Apr]:[2025-July]],0)+1),0)</f>
        <v>3.7</v>
      </c>
      <c r="I1418" s="56">
        <f>IFERROR(MAX(Table1[[#This Row],[2019-Apr]:[2025-July]]),0)</f>
        <v>4.7</v>
      </c>
      <c r="J1418" s="4" cm="1">
        <f t="array" ref="J141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4.32</v>
      </c>
      <c r="K1418" s="4">
        <v>4.5</v>
      </c>
      <c r="L1418" s="4">
        <f>IF(Table1[[#This Row],[Standard as per ISO]]&gt;=Table1[[#This Row],[Avg of best 6]],Table1[[#This Row],[Standard as per ISO]],Table1[[#This Row],[Avg of best 6]])</f>
        <v>4.5</v>
      </c>
      <c r="M1418" s="4" cm="1">
        <f t="array" ref="M1418">IFERROR(LOOKUP(2,1/(Table1[[#This Row],[2019-May]:[2025-July]]&lt;&gt;0),Table1[[#This Row],[2019-May]:[2025-July]]),0)</f>
        <v>4.5599999999999996</v>
      </c>
      <c r="N1418" s="4">
        <f>COUNTIF(Table1[[#This Row],[2019-Apr]:[2025-July]],"&gt;="&amp;Table1[[#This Row],[Target]])</f>
        <v>2</v>
      </c>
      <c r="O1418" s="4">
        <f>IF(Table1[[#This Row],[Outliers 2Y]]=0,1,0)</f>
        <v>0</v>
      </c>
      <c r="P1418" s="4">
        <f>IF(Table1[[#This Row],[Last value]]&gt;1.5*Table1[[#This Row],[Target]],1,0)</f>
        <v>0</v>
      </c>
      <c r="Q1418" s="4">
        <f>IF(AND(1.5*Table1[[#This Row],[Target]]&gt;=Table1[[#This Row],[Last value]],Table1[[#This Row],[Last value]]&gt;Table1[[#This Row],[Target]]),1,0)</f>
        <v>1</v>
      </c>
      <c r="R1418" s="4">
        <f>IF(Table1[[#This Row],[Target]]&gt;=Table1[[#This Row],[Last value]],1,0)</f>
        <v>0</v>
      </c>
      <c r="S1418" s="4" t="str">
        <f t="shared" si="34"/>
        <v>Yellow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27">
        <v>3.7</v>
      </c>
      <c r="CM1418" s="4">
        <v>4.7</v>
      </c>
      <c r="CN1418" s="53">
        <v>0</v>
      </c>
      <c r="CO1418" s="54">
        <v>4.5599999999999996</v>
      </c>
      <c r="CP1418" s="54">
        <v>0</v>
      </c>
      <c r="CQ1418" s="4">
        <v>0</v>
      </c>
    </row>
    <row r="1419" spans="1:95" s="45" customFormat="1" x14ac:dyDescent="0.35">
      <c r="A1419" s="55">
        <v>1420</v>
      </c>
      <c r="B1419" s="47" t="s">
        <v>1479</v>
      </c>
      <c r="C1419" s="27" t="s">
        <v>1454</v>
      </c>
      <c r="D1419" s="50" t="s">
        <v>94</v>
      </c>
      <c r="E1419" s="50" t="s">
        <v>89</v>
      </c>
      <c r="F1419" s="4">
        <f>IFERROR(AVERAGEIF(Table1[[#This Row],[2019-Apr]:[2025-July]],"&lt;&gt;0"),0)</f>
        <v>4.4000000000000004</v>
      </c>
      <c r="G1419" s="4">
        <f ca="1">IFERROR(AVERAGEIF(OFFSET(Table1[[#This Row],[Status]],0,COUNT(Table1[[#This Row],[2019-May]:[2025-July]]),1,-12),"&lt;&gt;0"),0)</f>
        <v>4.4000000000000004</v>
      </c>
      <c r="H1419" s="55">
        <f>IFERROR(SMALL(Table1[[#This Row],[2019-Apr]:[2025-July]],COUNTIF(Table1[[#This Row],[2019-Apr]:[2025-July]],0)+1),0)</f>
        <v>4.4000000000000004</v>
      </c>
      <c r="I1419" s="56">
        <f>IFERROR(MAX(Table1[[#This Row],[2019-Apr]:[2025-July]]),0)</f>
        <v>4.4000000000000004</v>
      </c>
      <c r="J1419" s="4" cm="1">
        <f t="array" ref="J141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4.4000000000000004</v>
      </c>
      <c r="K1419" s="4">
        <v>4.5</v>
      </c>
      <c r="L1419" s="4">
        <f>IF(Table1[[#This Row],[Standard as per ISO]]&gt;=Table1[[#This Row],[Avg of best 6]],Table1[[#This Row],[Standard as per ISO]],Table1[[#This Row],[Avg of best 6]])</f>
        <v>4.5</v>
      </c>
      <c r="M1419" s="4" cm="1">
        <f t="array" ref="M1419">IFERROR(LOOKUP(2,1/(Table1[[#This Row],[2019-May]:[2025-July]]&lt;&gt;0),Table1[[#This Row],[2019-May]:[2025-July]]),0)</f>
        <v>4.4000000000000004</v>
      </c>
      <c r="N1419" s="4">
        <f>COUNTIF(Table1[[#This Row],[2019-Apr]:[2025-July]],"&gt;="&amp;Table1[[#This Row],[Target]])</f>
        <v>0</v>
      </c>
      <c r="O1419" s="4">
        <f>IF(Table1[[#This Row],[Outliers 2Y]]=0,1,0)</f>
        <v>1</v>
      </c>
      <c r="P1419" s="4">
        <f>IF(Table1[[#This Row],[Last value]]&gt;1.5*Table1[[#This Row],[Target]],1,0)</f>
        <v>0</v>
      </c>
      <c r="Q1419" s="4">
        <f>IF(AND(1.5*Table1[[#This Row],[Target]]&gt;=Table1[[#This Row],[Last value]],Table1[[#This Row],[Last value]]&gt;Table1[[#This Row],[Target]]),1,0)</f>
        <v>0</v>
      </c>
      <c r="R1419" s="4">
        <f>IF(Table1[[#This Row],[Target]]&gt;=Table1[[#This Row],[Last value]],1,0)</f>
        <v>1</v>
      </c>
      <c r="S1419" s="4" t="str">
        <f t="shared" si="34"/>
        <v>Green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53">
        <v>0</v>
      </c>
      <c r="CO1419" s="54">
        <v>0</v>
      </c>
      <c r="CP1419" s="54">
        <v>4.4000000000000004</v>
      </c>
      <c r="CQ1419" s="4">
        <v>0</v>
      </c>
    </row>
    <row r="1420" spans="1:95" s="45" customFormat="1" x14ac:dyDescent="0.35">
      <c r="A1420" s="55">
        <v>1421</v>
      </c>
      <c r="B1420" s="47" t="s">
        <v>1479</v>
      </c>
      <c r="C1420" s="27" t="s">
        <v>1455</v>
      </c>
      <c r="D1420" s="50" t="s">
        <v>94</v>
      </c>
      <c r="E1420" s="50" t="s">
        <v>89</v>
      </c>
      <c r="F1420" s="4">
        <f>IFERROR(AVERAGEIF(Table1[[#This Row],[2019-Apr]:[2025-July]],"&lt;&gt;0"),0)</f>
        <v>0</v>
      </c>
      <c r="G1420" s="4">
        <f ca="1">IFERROR(AVERAGEIF(OFFSET(Table1[[#This Row],[Status]],0,COUNT(Table1[[#This Row],[2019-May]:[2025-July]]),1,-12),"&lt;&gt;0"),0)</f>
        <v>0</v>
      </c>
      <c r="H1420" s="55">
        <f>IFERROR(SMALL(Table1[[#This Row],[2019-Apr]:[2025-July]],COUNTIF(Table1[[#This Row],[2019-Apr]:[2025-July]],0)+1),0)</f>
        <v>0</v>
      </c>
      <c r="I1420" s="56">
        <f>IFERROR(MAX(Table1[[#This Row],[2019-Apr]:[2025-July]]),0)</f>
        <v>0</v>
      </c>
      <c r="J1420" s="4" cm="1">
        <f t="array" ref="J142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420" s="4">
        <v>4.5</v>
      </c>
      <c r="L1420" s="4">
        <f>IF(Table1[[#This Row],[Standard as per ISO]]&gt;=Table1[[#This Row],[Avg of best 6]],Table1[[#This Row],[Standard as per ISO]],Table1[[#This Row],[Avg of best 6]])</f>
        <v>4.5</v>
      </c>
      <c r="M1420" s="4" cm="1">
        <f t="array" ref="M1420">IFERROR(LOOKUP(2,1/(Table1[[#This Row],[2019-May]:[2025-July]]&lt;&gt;0),Table1[[#This Row],[2019-May]:[2025-July]]),0)</f>
        <v>0</v>
      </c>
      <c r="N1420" s="4">
        <f>COUNTIF(Table1[[#This Row],[2019-Apr]:[2025-July]],"&gt;="&amp;Table1[[#This Row],[Target]])</f>
        <v>0</v>
      </c>
      <c r="O1420" s="4">
        <f>IF(Table1[[#This Row],[Outliers 2Y]]=0,1,0)</f>
        <v>1</v>
      </c>
      <c r="P1420" s="4">
        <f>IF(Table1[[#This Row],[Last value]]&gt;1.5*Table1[[#This Row],[Target]],1,0)</f>
        <v>0</v>
      </c>
      <c r="Q1420" s="4">
        <f>IF(AND(1.5*Table1[[#This Row],[Target]]&gt;=Table1[[#This Row],[Last value]],Table1[[#This Row],[Last value]]&gt;Table1[[#This Row],[Target]]),1,0)</f>
        <v>0</v>
      </c>
      <c r="R1420" s="4">
        <f>IF(Table1[[#This Row],[Target]]&gt;=Table1[[#This Row],[Last value]],1,0)</f>
        <v>1</v>
      </c>
      <c r="S1420" s="4" t="str">
        <f t="shared" si="34"/>
        <v>Green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53">
        <v>0</v>
      </c>
      <c r="CO1420" s="54">
        <v>0</v>
      </c>
      <c r="CP1420" s="54">
        <v>0</v>
      </c>
      <c r="CQ1420" s="4">
        <v>0</v>
      </c>
    </row>
    <row r="1421" spans="1:95" s="45" customFormat="1" x14ac:dyDescent="0.35">
      <c r="A1421" s="55">
        <v>1422</v>
      </c>
      <c r="B1421" s="47" t="s">
        <v>1479</v>
      </c>
      <c r="C1421" s="27" t="s">
        <v>1456</v>
      </c>
      <c r="D1421" s="50" t="s">
        <v>94</v>
      </c>
      <c r="E1421" s="50" t="s">
        <v>89</v>
      </c>
      <c r="F1421" s="4">
        <f>IFERROR(AVERAGEIF(Table1[[#This Row],[2019-Apr]:[2025-July]],"&lt;&gt;0"),0)</f>
        <v>3.7249999999999996</v>
      </c>
      <c r="G1421" s="4">
        <f ca="1">IFERROR(AVERAGEIF(OFFSET(Table1[[#This Row],[Status]],0,COUNT(Table1[[#This Row],[2019-May]:[2025-July]]),1,-12),"&lt;&gt;0"),0)</f>
        <v>3.7249999999999996</v>
      </c>
      <c r="H1421" s="55">
        <f>IFERROR(SMALL(Table1[[#This Row],[2019-Apr]:[2025-July]],COUNTIF(Table1[[#This Row],[2019-Apr]:[2025-July]],0)+1),0)</f>
        <v>3.4</v>
      </c>
      <c r="I1421" s="56">
        <f>IFERROR(MAX(Table1[[#This Row],[2019-Apr]:[2025-July]]),0)</f>
        <v>4.05</v>
      </c>
      <c r="J1421" s="4" cm="1">
        <f t="array" ref="J142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3.7249999999999996</v>
      </c>
      <c r="K1421" s="4">
        <v>4.5</v>
      </c>
      <c r="L1421" s="4">
        <f>IF(Table1[[#This Row],[Standard as per ISO]]&gt;=Table1[[#This Row],[Avg of best 6]],Table1[[#This Row],[Standard as per ISO]],Table1[[#This Row],[Avg of best 6]])</f>
        <v>4.5</v>
      </c>
      <c r="M1421" s="4" cm="1">
        <f t="array" ref="M1421">IFERROR(LOOKUP(2,1/(Table1[[#This Row],[2019-May]:[2025-July]]&lt;&gt;0),Table1[[#This Row],[2019-May]:[2025-July]]),0)</f>
        <v>3.4</v>
      </c>
      <c r="N1421" s="4">
        <f>COUNTIF(Table1[[#This Row],[2019-Apr]:[2025-July]],"&gt;="&amp;Table1[[#This Row],[Target]])</f>
        <v>0</v>
      </c>
      <c r="O1421" s="4">
        <f>IF(Table1[[#This Row],[Outliers 2Y]]=0,1,0)</f>
        <v>1</v>
      </c>
      <c r="P1421" s="4">
        <f>IF(Table1[[#This Row],[Last value]]&gt;1.5*Table1[[#This Row],[Target]],1,0)</f>
        <v>0</v>
      </c>
      <c r="Q1421" s="4">
        <f>IF(AND(1.5*Table1[[#This Row],[Target]]&gt;=Table1[[#This Row],[Last value]],Table1[[#This Row],[Last value]]&gt;Table1[[#This Row],[Target]]),1,0)</f>
        <v>0</v>
      </c>
      <c r="R1421" s="4">
        <f>IF(Table1[[#This Row],[Target]]&gt;=Table1[[#This Row],[Last value]],1,0)</f>
        <v>1</v>
      </c>
      <c r="S1421" s="4" t="str">
        <f t="shared" si="34"/>
        <v>Green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53">
        <v>0</v>
      </c>
      <c r="CO1421" s="54">
        <v>4.05</v>
      </c>
      <c r="CP1421" s="54">
        <v>3.4</v>
      </c>
      <c r="CQ1421" s="4">
        <v>0</v>
      </c>
    </row>
    <row r="1422" spans="1:95" s="45" customFormat="1" x14ac:dyDescent="0.35">
      <c r="A1422" s="55">
        <v>1423</v>
      </c>
      <c r="B1422" s="47" t="s">
        <v>1479</v>
      </c>
      <c r="C1422" s="27" t="s">
        <v>1457</v>
      </c>
      <c r="D1422" s="50" t="s">
        <v>102</v>
      </c>
      <c r="E1422" s="50" t="s">
        <v>89</v>
      </c>
      <c r="F1422" s="4">
        <f>IFERROR(AVERAGEIF(Table1[[#This Row],[2019-Apr]:[2025-July]],"&lt;&gt;0"),0)</f>
        <v>0</v>
      </c>
      <c r="G1422" s="4">
        <f ca="1">IFERROR(AVERAGEIF(OFFSET(Table1[[#This Row],[Status]],0,COUNT(Table1[[#This Row],[2019-May]:[2025-July]]),1,-12),"&lt;&gt;0"),0)</f>
        <v>0</v>
      </c>
      <c r="H1422" s="55">
        <f>IFERROR(SMALL(Table1[[#This Row],[2019-Apr]:[2025-July]],COUNTIF(Table1[[#This Row],[2019-Apr]:[2025-July]],0)+1),0)</f>
        <v>0</v>
      </c>
      <c r="I1422" s="56">
        <f>IFERROR(MAX(Table1[[#This Row],[2019-Apr]:[2025-July]]),0)</f>
        <v>0</v>
      </c>
      <c r="J1422" s="4" cm="1">
        <f t="array" ref="J142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422" s="4">
        <v>4.5</v>
      </c>
      <c r="L1422" s="4">
        <f>IF(Table1[[#This Row],[Standard as per ISO]]&gt;=Table1[[#This Row],[Avg of best 6]],Table1[[#This Row],[Standard as per ISO]],Table1[[#This Row],[Avg of best 6]])</f>
        <v>4.5</v>
      </c>
      <c r="M1422" s="4" cm="1">
        <f t="array" ref="M1422">IFERROR(LOOKUP(2,1/(Table1[[#This Row],[2019-May]:[2025-July]]&lt;&gt;0),Table1[[#This Row],[2019-May]:[2025-July]]),0)</f>
        <v>0</v>
      </c>
      <c r="N1422" s="4">
        <f>COUNTIF(Table1[[#This Row],[2019-Apr]:[2025-July]],"&gt;="&amp;Table1[[#This Row],[Target]])</f>
        <v>0</v>
      </c>
      <c r="O1422" s="4">
        <f>IF(Table1[[#This Row],[Outliers 2Y]]=0,1,0)</f>
        <v>1</v>
      </c>
      <c r="P1422" s="4">
        <f>IF(Table1[[#This Row],[Last value]]&gt;1.5*Table1[[#This Row],[Target]],1,0)</f>
        <v>0</v>
      </c>
      <c r="Q1422" s="4">
        <f>IF(AND(1.5*Table1[[#This Row],[Target]]&gt;=Table1[[#This Row],[Last value]],Table1[[#This Row],[Last value]]&gt;Table1[[#This Row],[Target]]),1,0)</f>
        <v>0</v>
      </c>
      <c r="R1422" s="4">
        <f>IF(Table1[[#This Row],[Target]]&gt;=Table1[[#This Row],[Last value]],1,0)</f>
        <v>1</v>
      </c>
      <c r="S1422" s="4" t="str">
        <f t="shared" ref="S1422:S1459" si="35">IF(P1422=1, "Red", IF(Q1422=1, "Yellow", "Green"))</f>
        <v>Green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53">
        <v>0</v>
      </c>
      <c r="CO1422" s="54">
        <v>0</v>
      </c>
      <c r="CP1422" s="54">
        <v>0</v>
      </c>
      <c r="CQ1422" s="4">
        <v>0</v>
      </c>
    </row>
    <row r="1423" spans="1:95" s="45" customFormat="1" x14ac:dyDescent="0.35">
      <c r="A1423" s="55">
        <v>1424</v>
      </c>
      <c r="B1423" s="47" t="s">
        <v>1479</v>
      </c>
      <c r="C1423" s="27" t="s">
        <v>1458</v>
      </c>
      <c r="D1423" s="50" t="s">
        <v>102</v>
      </c>
      <c r="E1423" s="50" t="s">
        <v>89</v>
      </c>
      <c r="F1423" s="4">
        <f>IFERROR(AVERAGEIF(Table1[[#This Row],[2019-Apr]:[2025-July]],"&lt;&gt;0"),0)</f>
        <v>0</v>
      </c>
      <c r="G1423" s="4">
        <f ca="1">IFERROR(AVERAGEIF(OFFSET(Table1[[#This Row],[Status]],0,COUNT(Table1[[#This Row],[2019-May]:[2025-July]]),1,-12),"&lt;&gt;0"),0)</f>
        <v>0</v>
      </c>
      <c r="H1423" s="55">
        <f>IFERROR(SMALL(Table1[[#This Row],[2019-Apr]:[2025-July]],COUNTIF(Table1[[#This Row],[2019-Apr]:[2025-July]],0)+1),0)</f>
        <v>0</v>
      </c>
      <c r="I1423" s="56">
        <f>IFERROR(MAX(Table1[[#This Row],[2019-Apr]:[2025-July]]),0)</f>
        <v>0</v>
      </c>
      <c r="J1423" s="4" cm="1">
        <f t="array" ref="J142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423" s="4">
        <v>4.5</v>
      </c>
      <c r="L1423" s="4">
        <f>IF(Table1[[#This Row],[Standard as per ISO]]&gt;=Table1[[#This Row],[Avg of best 6]],Table1[[#This Row],[Standard as per ISO]],Table1[[#This Row],[Avg of best 6]])</f>
        <v>4.5</v>
      </c>
      <c r="M1423" s="4" cm="1">
        <f t="array" ref="M1423">IFERROR(LOOKUP(2,1/(Table1[[#This Row],[2019-May]:[2025-July]]&lt;&gt;0),Table1[[#This Row],[2019-May]:[2025-July]]),0)</f>
        <v>0</v>
      </c>
      <c r="N1423" s="4">
        <f>COUNTIF(Table1[[#This Row],[2019-Apr]:[2025-July]],"&gt;="&amp;Table1[[#This Row],[Target]])</f>
        <v>0</v>
      </c>
      <c r="O1423" s="4">
        <f>IF(Table1[[#This Row],[Outliers 2Y]]=0,1,0)</f>
        <v>1</v>
      </c>
      <c r="P1423" s="4">
        <f>IF(Table1[[#This Row],[Last value]]&gt;1.5*Table1[[#This Row],[Target]],1,0)</f>
        <v>0</v>
      </c>
      <c r="Q1423" s="4">
        <f>IF(AND(1.5*Table1[[#This Row],[Target]]&gt;=Table1[[#This Row],[Last value]],Table1[[#This Row],[Last value]]&gt;Table1[[#This Row],[Target]]),1,0)</f>
        <v>0</v>
      </c>
      <c r="R1423" s="4">
        <f>IF(Table1[[#This Row],[Target]]&gt;=Table1[[#This Row],[Last value]],1,0)</f>
        <v>1</v>
      </c>
      <c r="S1423" s="4" t="str">
        <f t="shared" si="35"/>
        <v>Green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53">
        <v>0</v>
      </c>
      <c r="CO1423" s="54">
        <v>0</v>
      </c>
      <c r="CP1423" s="54">
        <v>0</v>
      </c>
      <c r="CQ1423" s="4">
        <v>0</v>
      </c>
    </row>
    <row r="1424" spans="1:95" s="45" customFormat="1" x14ac:dyDescent="0.35">
      <c r="A1424" s="55">
        <v>1425</v>
      </c>
      <c r="B1424" s="47" t="s">
        <v>1479</v>
      </c>
      <c r="C1424" s="27" t="s">
        <v>1459</v>
      </c>
      <c r="D1424" s="50" t="s">
        <v>102</v>
      </c>
      <c r="E1424" s="50" t="s">
        <v>89</v>
      </c>
      <c r="F1424" s="4">
        <f>IFERROR(AVERAGEIF(Table1[[#This Row],[2019-Apr]:[2025-July]],"&lt;&gt;0"),0)</f>
        <v>0</v>
      </c>
      <c r="G1424" s="4">
        <f ca="1">IFERROR(AVERAGEIF(OFFSET(Table1[[#This Row],[Status]],0,COUNT(Table1[[#This Row],[2019-May]:[2025-July]]),1,-12),"&lt;&gt;0"),0)</f>
        <v>0</v>
      </c>
      <c r="H1424" s="55">
        <f>IFERROR(SMALL(Table1[[#This Row],[2019-Apr]:[2025-July]],COUNTIF(Table1[[#This Row],[2019-Apr]:[2025-July]],0)+1),0)</f>
        <v>0</v>
      </c>
      <c r="I1424" s="56">
        <f>IFERROR(MAX(Table1[[#This Row],[2019-Apr]:[2025-July]]),0)</f>
        <v>0</v>
      </c>
      <c r="J1424" s="4" cm="1">
        <f t="array" ref="J142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424" s="4">
        <v>4.5</v>
      </c>
      <c r="L1424" s="4">
        <f>IF(Table1[[#This Row],[Standard as per ISO]]&gt;=Table1[[#This Row],[Avg of best 6]],Table1[[#This Row],[Standard as per ISO]],Table1[[#This Row],[Avg of best 6]])</f>
        <v>4.5</v>
      </c>
      <c r="M1424" s="4" cm="1">
        <f t="array" ref="M1424">IFERROR(LOOKUP(2,1/(Table1[[#This Row],[2019-May]:[2025-July]]&lt;&gt;0),Table1[[#This Row],[2019-May]:[2025-July]]),0)</f>
        <v>0</v>
      </c>
      <c r="N1424" s="4">
        <f>COUNTIF(Table1[[#This Row],[2019-Apr]:[2025-July]],"&gt;="&amp;Table1[[#This Row],[Target]])</f>
        <v>0</v>
      </c>
      <c r="O1424" s="4">
        <f>IF(Table1[[#This Row],[Outliers 2Y]]=0,1,0)</f>
        <v>1</v>
      </c>
      <c r="P1424" s="4">
        <f>IF(Table1[[#This Row],[Last value]]&gt;1.5*Table1[[#This Row],[Target]],1,0)</f>
        <v>0</v>
      </c>
      <c r="Q1424" s="4">
        <f>IF(AND(1.5*Table1[[#This Row],[Target]]&gt;=Table1[[#This Row],[Last value]],Table1[[#This Row],[Last value]]&gt;Table1[[#This Row],[Target]]),1,0)</f>
        <v>0</v>
      </c>
      <c r="R1424" s="4">
        <f>IF(Table1[[#This Row],[Target]]&gt;=Table1[[#This Row],[Last value]],1,0)</f>
        <v>1</v>
      </c>
      <c r="S1424" s="4" t="str">
        <f t="shared" si="35"/>
        <v>Green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53">
        <v>0</v>
      </c>
      <c r="CO1424" s="54">
        <v>0</v>
      </c>
      <c r="CP1424" s="54">
        <v>0</v>
      </c>
      <c r="CQ1424" s="4">
        <v>0</v>
      </c>
    </row>
    <row r="1425" spans="1:95" s="45" customFormat="1" x14ac:dyDescent="0.35">
      <c r="A1425" s="55">
        <v>1426</v>
      </c>
      <c r="B1425" s="47" t="s">
        <v>1479</v>
      </c>
      <c r="C1425" s="27" t="s">
        <v>1460</v>
      </c>
      <c r="D1425" s="50" t="s">
        <v>102</v>
      </c>
      <c r="E1425" s="50" t="s">
        <v>89</v>
      </c>
      <c r="F1425" s="4">
        <f>IFERROR(AVERAGEIF(Table1[[#This Row],[2019-Apr]:[2025-July]],"&lt;&gt;0"),0)</f>
        <v>0</v>
      </c>
      <c r="G1425" s="4">
        <f ca="1">IFERROR(AVERAGEIF(OFFSET(Table1[[#This Row],[Status]],0,COUNT(Table1[[#This Row],[2019-May]:[2025-July]]),1,-12),"&lt;&gt;0"),0)</f>
        <v>0</v>
      </c>
      <c r="H1425" s="55">
        <f>IFERROR(SMALL(Table1[[#This Row],[2019-Apr]:[2025-July]],COUNTIF(Table1[[#This Row],[2019-Apr]:[2025-July]],0)+1),0)</f>
        <v>0</v>
      </c>
      <c r="I1425" s="56">
        <f>IFERROR(MAX(Table1[[#This Row],[2019-Apr]:[2025-July]]),0)</f>
        <v>0</v>
      </c>
      <c r="J1425" s="4" cm="1">
        <f t="array" ref="J142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425" s="4">
        <v>4.5</v>
      </c>
      <c r="L1425" s="4">
        <f>IF(Table1[[#This Row],[Standard as per ISO]]&gt;=Table1[[#This Row],[Avg of best 6]],Table1[[#This Row],[Standard as per ISO]],Table1[[#This Row],[Avg of best 6]])</f>
        <v>4.5</v>
      </c>
      <c r="M1425" s="4" cm="1">
        <f t="array" ref="M1425">IFERROR(LOOKUP(2,1/(Table1[[#This Row],[2019-May]:[2025-July]]&lt;&gt;0),Table1[[#This Row],[2019-May]:[2025-July]]),0)</f>
        <v>0</v>
      </c>
      <c r="N1425" s="4">
        <f>COUNTIF(Table1[[#This Row],[2019-Apr]:[2025-July]],"&gt;="&amp;Table1[[#This Row],[Target]])</f>
        <v>0</v>
      </c>
      <c r="O1425" s="4">
        <f>IF(Table1[[#This Row],[Outliers 2Y]]=0,1,0)</f>
        <v>1</v>
      </c>
      <c r="P1425" s="4">
        <f>IF(Table1[[#This Row],[Last value]]&gt;1.5*Table1[[#This Row],[Target]],1,0)</f>
        <v>0</v>
      </c>
      <c r="Q1425" s="4">
        <f>IF(AND(1.5*Table1[[#This Row],[Target]]&gt;=Table1[[#This Row],[Last value]],Table1[[#This Row],[Last value]]&gt;Table1[[#This Row],[Target]]),1,0)</f>
        <v>0</v>
      </c>
      <c r="R1425" s="4">
        <f>IF(Table1[[#This Row],[Target]]&gt;=Table1[[#This Row],[Last value]],1,0)</f>
        <v>1</v>
      </c>
      <c r="S1425" s="4" t="str">
        <f t="shared" si="35"/>
        <v>Green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53">
        <v>0</v>
      </c>
      <c r="CO1425" s="54">
        <v>0</v>
      </c>
      <c r="CP1425" s="54">
        <v>0</v>
      </c>
      <c r="CQ1425" s="4">
        <v>0</v>
      </c>
    </row>
    <row r="1426" spans="1:95" s="45" customFormat="1" x14ac:dyDescent="0.35">
      <c r="A1426" s="55">
        <v>1427</v>
      </c>
      <c r="B1426" s="47" t="s">
        <v>1479</v>
      </c>
      <c r="C1426" s="27" t="s">
        <v>1461</v>
      </c>
      <c r="D1426" s="50" t="s">
        <v>102</v>
      </c>
      <c r="E1426" s="50" t="s">
        <v>89</v>
      </c>
      <c r="F1426" s="4">
        <f>IFERROR(AVERAGEIF(Table1[[#This Row],[2019-Apr]:[2025-July]],"&lt;&gt;0"),0)</f>
        <v>7.9</v>
      </c>
      <c r="G1426" s="4">
        <f ca="1">IFERROR(AVERAGEIF(OFFSET(Table1[[#This Row],[Status]],0,COUNT(Table1[[#This Row],[2019-May]:[2025-July]]),1,-12),"&lt;&gt;0"),0)</f>
        <v>7.9</v>
      </c>
      <c r="H1426" s="55">
        <f>IFERROR(SMALL(Table1[[#This Row],[2019-Apr]:[2025-July]],COUNTIF(Table1[[#This Row],[2019-Apr]:[2025-July]],0)+1),0)</f>
        <v>7.9</v>
      </c>
      <c r="I1426" s="56">
        <f>IFERROR(MAX(Table1[[#This Row],[2019-Apr]:[2025-July]]),0)</f>
        <v>7.9</v>
      </c>
      <c r="J1426" s="4" cm="1">
        <f t="array" ref="J142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7.9</v>
      </c>
      <c r="K1426" s="4">
        <v>4.5</v>
      </c>
      <c r="L1426" s="4">
        <f>IF(Table1[[#This Row],[Standard as per ISO]]&gt;=Table1[[#This Row],[Avg of best 6]],Table1[[#This Row],[Standard as per ISO]],Table1[[#This Row],[Avg of best 6]])</f>
        <v>7.9</v>
      </c>
      <c r="M1426" s="4" cm="1">
        <f t="array" ref="M1426">IFERROR(LOOKUP(2,1/(Table1[[#This Row],[2019-May]:[2025-July]]&lt;&gt;0),Table1[[#This Row],[2019-May]:[2025-July]]),0)</f>
        <v>7.9</v>
      </c>
      <c r="N1426" s="4">
        <f>COUNTIF(Table1[[#This Row],[2019-Apr]:[2025-July]],"&gt;="&amp;Table1[[#This Row],[Target]])</f>
        <v>1</v>
      </c>
      <c r="O1426" s="4">
        <f>IF(Table1[[#This Row],[Outliers 2Y]]=0,1,0)</f>
        <v>0</v>
      </c>
      <c r="P1426" s="4">
        <f>IF(Table1[[#This Row],[Last value]]&gt;1.5*Table1[[#This Row],[Target]],1,0)</f>
        <v>0</v>
      </c>
      <c r="Q1426" s="4">
        <f>IF(AND(1.5*Table1[[#This Row],[Target]]&gt;=Table1[[#This Row],[Last value]],Table1[[#This Row],[Last value]]&gt;Table1[[#This Row],[Target]]),1,0)</f>
        <v>0</v>
      </c>
      <c r="R1426" s="4">
        <f>IF(Table1[[#This Row],[Target]]&gt;=Table1[[#This Row],[Last value]],1,0)</f>
        <v>1</v>
      </c>
      <c r="S1426" s="4" t="str">
        <f t="shared" si="35"/>
        <v>Green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27">
        <v>7.9</v>
      </c>
      <c r="CM1426" s="4">
        <v>0</v>
      </c>
      <c r="CN1426" s="53">
        <v>0</v>
      </c>
      <c r="CO1426" s="54">
        <v>0</v>
      </c>
      <c r="CP1426" s="54">
        <v>0</v>
      </c>
      <c r="CQ1426" s="4">
        <v>0</v>
      </c>
    </row>
    <row r="1427" spans="1:95" s="45" customFormat="1" x14ac:dyDescent="0.35">
      <c r="A1427" s="55">
        <v>1428</v>
      </c>
      <c r="B1427" s="47" t="s">
        <v>1479</v>
      </c>
      <c r="C1427" s="27" t="s">
        <v>1462</v>
      </c>
      <c r="D1427" s="46" t="s">
        <v>94</v>
      </c>
      <c r="E1427" s="50" t="s">
        <v>89</v>
      </c>
      <c r="F1427" s="4">
        <f>IFERROR(AVERAGEIF(Table1[[#This Row],[2019-Apr]:[2025-July]],"&lt;&gt;0"),0)</f>
        <v>2.8</v>
      </c>
      <c r="G1427" s="4">
        <f ca="1">IFERROR(AVERAGEIF(OFFSET(Table1[[#This Row],[Status]],0,COUNT(Table1[[#This Row],[2019-May]:[2025-July]]),1,-12),"&lt;&gt;0"),0)</f>
        <v>2.8</v>
      </c>
      <c r="H1427" s="55">
        <f>IFERROR(SMALL(Table1[[#This Row],[2019-Apr]:[2025-July]],COUNTIF(Table1[[#This Row],[2019-Apr]:[2025-July]],0)+1),0)</f>
        <v>2.8</v>
      </c>
      <c r="I1427" s="56">
        <f>IFERROR(MAX(Table1[[#This Row],[2019-Apr]:[2025-July]]),0)</f>
        <v>2.8</v>
      </c>
      <c r="J1427" s="4" cm="1">
        <f t="array" ref="J142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</v>
      </c>
      <c r="K1427" s="4">
        <v>4.5</v>
      </c>
      <c r="L1427" s="4">
        <f>IF(Table1[[#This Row],[Standard as per ISO]]&gt;=Table1[[#This Row],[Avg of best 6]],Table1[[#This Row],[Standard as per ISO]],Table1[[#This Row],[Avg of best 6]])</f>
        <v>4.5</v>
      </c>
      <c r="M1427" s="4" cm="1">
        <f t="array" ref="M1427">IFERROR(LOOKUP(2,1/(Table1[[#This Row],[2019-May]:[2025-July]]&lt;&gt;0),Table1[[#This Row],[2019-May]:[2025-July]]),0)</f>
        <v>2.8</v>
      </c>
      <c r="N1427" s="4">
        <f>COUNTIF(Table1[[#This Row],[2019-Apr]:[2025-July]],"&gt;="&amp;Table1[[#This Row],[Target]])</f>
        <v>0</v>
      </c>
      <c r="O1427" s="4">
        <f>IF(Table1[[#This Row],[Outliers 2Y]]=0,1,0)</f>
        <v>1</v>
      </c>
      <c r="P1427" s="4">
        <f>IF(Table1[[#This Row],[Last value]]&gt;1.5*Table1[[#This Row],[Target]],1,0)</f>
        <v>0</v>
      </c>
      <c r="Q1427" s="4">
        <f>IF(AND(1.5*Table1[[#This Row],[Target]]&gt;=Table1[[#This Row],[Last value]],Table1[[#This Row],[Last value]]&gt;Table1[[#This Row],[Target]]),1,0)</f>
        <v>0</v>
      </c>
      <c r="R1427" s="4">
        <f>IF(Table1[[#This Row],[Target]]&gt;=Table1[[#This Row],[Last value]],1,0)</f>
        <v>1</v>
      </c>
      <c r="S1427" s="4" t="str">
        <f t="shared" si="35"/>
        <v>Green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2.8</v>
      </c>
      <c r="CN1427" s="53">
        <v>0</v>
      </c>
      <c r="CO1427" s="54">
        <v>0</v>
      </c>
      <c r="CP1427" s="54">
        <v>2.8</v>
      </c>
      <c r="CQ1427" s="4">
        <v>0</v>
      </c>
    </row>
    <row r="1428" spans="1:95" s="45" customFormat="1" x14ac:dyDescent="0.35">
      <c r="A1428" s="55">
        <v>1429</v>
      </c>
      <c r="B1428" s="47" t="s">
        <v>1479</v>
      </c>
      <c r="C1428" s="27" t="s">
        <v>1463</v>
      </c>
      <c r="D1428" s="50" t="s">
        <v>94</v>
      </c>
      <c r="E1428" s="50" t="s">
        <v>89</v>
      </c>
      <c r="F1428" s="4">
        <f>IFERROR(AVERAGEIF(Table1[[#This Row],[2019-Apr]:[2025-July]],"&lt;&gt;0"),0)</f>
        <v>2.9</v>
      </c>
      <c r="G1428" s="4">
        <f ca="1">IFERROR(AVERAGEIF(OFFSET(Table1[[#This Row],[Status]],0,COUNT(Table1[[#This Row],[2019-May]:[2025-July]]),1,-12),"&lt;&gt;0"),0)</f>
        <v>2.9</v>
      </c>
      <c r="H1428" s="55">
        <f>IFERROR(SMALL(Table1[[#This Row],[2019-Apr]:[2025-July]],COUNTIF(Table1[[#This Row],[2019-Apr]:[2025-July]],0)+1),0)</f>
        <v>2.9</v>
      </c>
      <c r="I1428" s="56">
        <f>IFERROR(MAX(Table1[[#This Row],[2019-Apr]:[2025-July]]),0)</f>
        <v>2.9</v>
      </c>
      <c r="J1428" s="4" cm="1">
        <f t="array" ref="J142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</v>
      </c>
      <c r="K1428" s="4">
        <v>4.5</v>
      </c>
      <c r="L1428" s="4">
        <f>IF(Table1[[#This Row],[Standard as per ISO]]&gt;=Table1[[#This Row],[Avg of best 6]],Table1[[#This Row],[Standard as per ISO]],Table1[[#This Row],[Avg of best 6]])</f>
        <v>4.5</v>
      </c>
      <c r="M1428" s="4" cm="1">
        <f t="array" ref="M1428">IFERROR(LOOKUP(2,1/(Table1[[#This Row],[2019-May]:[2025-July]]&lt;&gt;0),Table1[[#This Row],[2019-May]:[2025-July]]),0)</f>
        <v>2.9</v>
      </c>
      <c r="N1428" s="4">
        <f>COUNTIF(Table1[[#This Row],[2019-Apr]:[2025-July]],"&gt;="&amp;Table1[[#This Row],[Target]])</f>
        <v>0</v>
      </c>
      <c r="O1428" s="4">
        <f>IF(Table1[[#This Row],[Outliers 2Y]]=0,1,0)</f>
        <v>1</v>
      </c>
      <c r="P1428" s="4">
        <f>IF(Table1[[#This Row],[Last value]]&gt;1.5*Table1[[#This Row],[Target]],1,0)</f>
        <v>0</v>
      </c>
      <c r="Q1428" s="4">
        <f>IF(AND(1.5*Table1[[#This Row],[Target]]&gt;=Table1[[#This Row],[Last value]],Table1[[#This Row],[Last value]]&gt;Table1[[#This Row],[Target]]),1,0)</f>
        <v>0</v>
      </c>
      <c r="R1428" s="4">
        <f>IF(Table1[[#This Row],[Target]]&gt;=Table1[[#This Row],[Last value]],1,0)</f>
        <v>1</v>
      </c>
      <c r="S1428" s="4" t="str">
        <f t="shared" si="35"/>
        <v>Green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27">
        <v>2.9</v>
      </c>
      <c r="CM1428" s="4">
        <v>0</v>
      </c>
      <c r="CN1428" s="53">
        <v>0</v>
      </c>
      <c r="CO1428" s="54">
        <v>0</v>
      </c>
      <c r="CP1428" s="54">
        <v>0</v>
      </c>
      <c r="CQ1428" s="4">
        <v>0</v>
      </c>
    </row>
    <row r="1429" spans="1:95" s="45" customFormat="1" x14ac:dyDescent="0.35">
      <c r="A1429" s="55">
        <v>1430</v>
      </c>
      <c r="B1429" s="47" t="s">
        <v>1479</v>
      </c>
      <c r="C1429" s="27" t="s">
        <v>1464</v>
      </c>
      <c r="D1429" s="50" t="s">
        <v>94</v>
      </c>
      <c r="E1429" s="50" t="s">
        <v>89</v>
      </c>
      <c r="F1429" s="4">
        <f>IFERROR(AVERAGEIF(Table1[[#This Row],[2019-Apr]:[2025-July]],"&lt;&gt;0"),0)</f>
        <v>0</v>
      </c>
      <c r="G1429" s="4">
        <f ca="1">IFERROR(AVERAGEIF(OFFSET(Table1[[#This Row],[Status]],0,COUNT(Table1[[#This Row],[2019-May]:[2025-July]]),1,-12),"&lt;&gt;0"),0)</f>
        <v>0</v>
      </c>
      <c r="H1429" s="55">
        <f>IFERROR(SMALL(Table1[[#This Row],[2019-Apr]:[2025-July]],COUNTIF(Table1[[#This Row],[2019-Apr]:[2025-July]],0)+1),0)</f>
        <v>0</v>
      </c>
      <c r="I1429" s="56">
        <f>IFERROR(MAX(Table1[[#This Row],[2019-Apr]:[2025-July]]),0)</f>
        <v>0</v>
      </c>
      <c r="J1429" s="4" cm="1">
        <f t="array" ref="J142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429" s="4">
        <v>4.5</v>
      </c>
      <c r="L1429" s="4">
        <f>IF(Table1[[#This Row],[Standard as per ISO]]&gt;=Table1[[#This Row],[Avg of best 6]],Table1[[#This Row],[Standard as per ISO]],Table1[[#This Row],[Avg of best 6]])</f>
        <v>4.5</v>
      </c>
      <c r="M1429" s="4" cm="1">
        <f t="array" ref="M1429">IFERROR(LOOKUP(2,1/(Table1[[#This Row],[2019-May]:[2025-July]]&lt;&gt;0),Table1[[#This Row],[2019-May]:[2025-July]]),0)</f>
        <v>0</v>
      </c>
      <c r="N1429" s="4">
        <f>COUNTIF(Table1[[#This Row],[2019-Apr]:[2025-July]],"&gt;="&amp;Table1[[#This Row],[Target]])</f>
        <v>0</v>
      </c>
      <c r="O1429" s="4">
        <f>IF(Table1[[#This Row],[Outliers 2Y]]=0,1,0)</f>
        <v>1</v>
      </c>
      <c r="P1429" s="4">
        <f>IF(Table1[[#This Row],[Last value]]&gt;1.5*Table1[[#This Row],[Target]],1,0)</f>
        <v>0</v>
      </c>
      <c r="Q1429" s="4">
        <f>IF(AND(1.5*Table1[[#This Row],[Target]]&gt;=Table1[[#This Row],[Last value]],Table1[[#This Row],[Last value]]&gt;Table1[[#This Row],[Target]]),1,0)</f>
        <v>0</v>
      </c>
      <c r="R1429" s="4">
        <f>IF(Table1[[#This Row],[Target]]&gt;=Table1[[#This Row],[Last value]],1,0)</f>
        <v>1</v>
      </c>
      <c r="S1429" s="4" t="str">
        <f t="shared" si="35"/>
        <v>Green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53">
        <v>0</v>
      </c>
      <c r="CO1429" s="54">
        <v>0</v>
      </c>
      <c r="CP1429" s="54">
        <v>0</v>
      </c>
      <c r="CQ1429" s="4">
        <v>0</v>
      </c>
    </row>
    <row r="1430" spans="1:95" s="45" customFormat="1" x14ac:dyDescent="0.35">
      <c r="A1430" s="55">
        <v>1431</v>
      </c>
      <c r="B1430" s="47" t="s">
        <v>1479</v>
      </c>
      <c r="C1430" s="27" t="s">
        <v>1465</v>
      </c>
      <c r="D1430" s="50" t="s">
        <v>94</v>
      </c>
      <c r="E1430" s="50" t="s">
        <v>89</v>
      </c>
      <c r="F1430" s="4">
        <f>IFERROR(AVERAGEIF(Table1[[#This Row],[2019-Apr]:[2025-July]],"&lt;&gt;0"),0)</f>
        <v>2.77</v>
      </c>
      <c r="G1430" s="4">
        <f ca="1">IFERROR(AVERAGEIF(OFFSET(Table1[[#This Row],[Status]],0,COUNT(Table1[[#This Row],[2019-May]:[2025-July]]),1,-12),"&lt;&gt;0"),0)</f>
        <v>2.77</v>
      </c>
      <c r="H1430" s="55">
        <f>IFERROR(SMALL(Table1[[#This Row],[2019-Apr]:[2025-July]],COUNTIF(Table1[[#This Row],[2019-Apr]:[2025-July]],0)+1),0)</f>
        <v>2.34</v>
      </c>
      <c r="I1430" s="56">
        <f>IFERROR(MAX(Table1[[#This Row],[2019-Apr]:[2025-July]]),0)</f>
        <v>3.2</v>
      </c>
      <c r="J1430" s="4" cm="1">
        <f t="array" ref="J143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2.77</v>
      </c>
      <c r="K1430" s="4">
        <v>4.5</v>
      </c>
      <c r="L1430" s="4">
        <f>IF(Table1[[#This Row],[Standard as per ISO]]&gt;=Table1[[#This Row],[Avg of best 6]],Table1[[#This Row],[Standard as per ISO]],Table1[[#This Row],[Avg of best 6]])</f>
        <v>4.5</v>
      </c>
      <c r="M1430" s="4" cm="1">
        <f t="array" ref="M1430">IFERROR(LOOKUP(2,1/(Table1[[#This Row],[2019-May]:[2025-July]]&lt;&gt;0),Table1[[#This Row],[2019-May]:[2025-July]]),0)</f>
        <v>3.2</v>
      </c>
      <c r="N1430" s="4">
        <f>COUNTIF(Table1[[#This Row],[2019-Apr]:[2025-July]],"&gt;="&amp;Table1[[#This Row],[Target]])</f>
        <v>0</v>
      </c>
      <c r="O1430" s="4">
        <f>IF(Table1[[#This Row],[Outliers 2Y]]=0,1,0)</f>
        <v>1</v>
      </c>
      <c r="P1430" s="4">
        <f>IF(Table1[[#This Row],[Last value]]&gt;1.5*Table1[[#This Row],[Target]],1,0)</f>
        <v>0</v>
      </c>
      <c r="Q1430" s="4">
        <f>IF(AND(1.5*Table1[[#This Row],[Target]]&gt;=Table1[[#This Row],[Last value]],Table1[[#This Row],[Last value]]&gt;Table1[[#This Row],[Target]]),1,0)</f>
        <v>0</v>
      </c>
      <c r="R1430" s="4">
        <f>IF(Table1[[#This Row],[Target]]&gt;=Table1[[#This Row],[Last value]],1,0)</f>
        <v>1</v>
      </c>
      <c r="S1430" s="4" t="str">
        <f t="shared" si="35"/>
        <v>Green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53">
        <v>0</v>
      </c>
      <c r="CO1430" s="54">
        <v>2.34</v>
      </c>
      <c r="CP1430" s="54">
        <v>3.2</v>
      </c>
      <c r="CQ1430" s="4">
        <v>0</v>
      </c>
    </row>
    <row r="1431" spans="1:95" s="45" customFormat="1" x14ac:dyDescent="0.35">
      <c r="A1431" s="55">
        <v>1432</v>
      </c>
      <c r="B1431" s="47" t="s">
        <v>1479</v>
      </c>
      <c r="C1431" s="27" t="s">
        <v>1466</v>
      </c>
      <c r="D1431" s="50" t="s">
        <v>94</v>
      </c>
      <c r="E1431" s="50" t="s">
        <v>89</v>
      </c>
      <c r="F1431" s="4">
        <f>IFERROR(AVERAGEIF(Table1[[#This Row],[2019-Apr]:[2025-July]],"&lt;&gt;0"),0)</f>
        <v>2.65</v>
      </c>
      <c r="G1431" s="4">
        <f ca="1">IFERROR(AVERAGEIF(OFFSET(Table1[[#This Row],[Status]],0,COUNT(Table1[[#This Row],[2019-May]:[2025-July]]),1,-12),"&lt;&gt;0"),0)</f>
        <v>2.65</v>
      </c>
      <c r="H1431" s="55">
        <f>IFERROR(SMALL(Table1[[#This Row],[2019-Apr]:[2025-July]],COUNTIF(Table1[[#This Row],[2019-Apr]:[2025-July]],0)+1),0)</f>
        <v>2.2999999999999998</v>
      </c>
      <c r="I1431" s="56">
        <f>IFERROR(MAX(Table1[[#This Row],[2019-Apr]:[2025-July]]),0)</f>
        <v>3</v>
      </c>
      <c r="J1431" s="4" cm="1">
        <f t="array" ref="J143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2.65</v>
      </c>
      <c r="K1431" s="4">
        <v>4.5</v>
      </c>
      <c r="L1431" s="4">
        <f>IF(Table1[[#This Row],[Standard as per ISO]]&gt;=Table1[[#This Row],[Avg of best 6]],Table1[[#This Row],[Standard as per ISO]],Table1[[#This Row],[Avg of best 6]])</f>
        <v>4.5</v>
      </c>
      <c r="M1431" s="4" cm="1">
        <f t="array" ref="M1431">IFERROR(LOOKUP(2,1/(Table1[[#This Row],[2019-May]:[2025-July]]&lt;&gt;0),Table1[[#This Row],[2019-May]:[2025-July]]),0)</f>
        <v>3</v>
      </c>
      <c r="N1431" s="4">
        <f>COUNTIF(Table1[[#This Row],[2019-Apr]:[2025-July]],"&gt;="&amp;Table1[[#This Row],[Target]])</f>
        <v>0</v>
      </c>
      <c r="O1431" s="4">
        <f>IF(Table1[[#This Row],[Outliers 2Y]]=0,1,0)</f>
        <v>1</v>
      </c>
      <c r="P1431" s="4">
        <f>IF(Table1[[#This Row],[Last value]]&gt;1.5*Table1[[#This Row],[Target]],1,0)</f>
        <v>0</v>
      </c>
      <c r="Q1431" s="4">
        <f>IF(AND(1.5*Table1[[#This Row],[Target]]&gt;=Table1[[#This Row],[Last value]],Table1[[#This Row],[Last value]]&gt;Table1[[#This Row],[Target]]),1,0)</f>
        <v>0</v>
      </c>
      <c r="R1431" s="4">
        <f>IF(Table1[[#This Row],[Target]]&gt;=Table1[[#This Row],[Last value]],1,0)</f>
        <v>1</v>
      </c>
      <c r="S1431" s="4" t="str">
        <f t="shared" si="35"/>
        <v>Green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2.2999999999999998</v>
      </c>
      <c r="CN1431" s="53">
        <v>0</v>
      </c>
      <c r="CO1431" s="54">
        <v>0</v>
      </c>
      <c r="CP1431" s="54">
        <v>3</v>
      </c>
      <c r="CQ1431" s="4">
        <v>0</v>
      </c>
    </row>
    <row r="1432" spans="1:95" s="45" customFormat="1" x14ac:dyDescent="0.35">
      <c r="A1432" s="55">
        <v>1433</v>
      </c>
      <c r="B1432" s="47" t="s">
        <v>1479</v>
      </c>
      <c r="C1432" s="27" t="s">
        <v>1467</v>
      </c>
      <c r="D1432" s="50" t="s">
        <v>94</v>
      </c>
      <c r="E1432" s="50" t="s">
        <v>89</v>
      </c>
      <c r="F1432" s="4">
        <f>IFERROR(AVERAGEIF(Table1[[#This Row],[2019-Apr]:[2025-July]],"&lt;&gt;0"),0)</f>
        <v>3.5</v>
      </c>
      <c r="G1432" s="4">
        <f ca="1">IFERROR(AVERAGEIF(OFFSET(Table1[[#This Row],[Status]],0,COUNT(Table1[[#This Row],[2019-May]:[2025-July]]),1,-12),"&lt;&gt;0"),0)</f>
        <v>3.5</v>
      </c>
      <c r="H1432" s="55">
        <f>IFERROR(SMALL(Table1[[#This Row],[2019-Apr]:[2025-July]],COUNTIF(Table1[[#This Row],[2019-Apr]:[2025-July]],0)+1),0)</f>
        <v>3.5</v>
      </c>
      <c r="I1432" s="56">
        <f>IFERROR(MAX(Table1[[#This Row],[2019-Apr]:[2025-July]]),0)</f>
        <v>3.5</v>
      </c>
      <c r="J1432" s="4" cm="1">
        <f t="array" ref="J143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</v>
      </c>
      <c r="K1432" s="4">
        <v>4.5</v>
      </c>
      <c r="L1432" s="4">
        <f>IF(Table1[[#This Row],[Standard as per ISO]]&gt;=Table1[[#This Row],[Avg of best 6]],Table1[[#This Row],[Standard as per ISO]],Table1[[#This Row],[Avg of best 6]])</f>
        <v>4.5</v>
      </c>
      <c r="M1432" s="4" cm="1">
        <f t="array" ref="M1432">IFERROR(LOOKUP(2,1/(Table1[[#This Row],[2019-May]:[2025-July]]&lt;&gt;0),Table1[[#This Row],[2019-May]:[2025-July]]),0)</f>
        <v>3.5</v>
      </c>
      <c r="N1432" s="4">
        <f>COUNTIF(Table1[[#This Row],[2019-Apr]:[2025-July]],"&gt;="&amp;Table1[[#This Row],[Target]])</f>
        <v>0</v>
      </c>
      <c r="O1432" s="4">
        <f>IF(Table1[[#This Row],[Outliers 2Y]]=0,1,0)</f>
        <v>1</v>
      </c>
      <c r="P1432" s="4">
        <f>IF(Table1[[#This Row],[Last value]]&gt;1.5*Table1[[#This Row],[Target]],1,0)</f>
        <v>0</v>
      </c>
      <c r="Q1432" s="4">
        <f>IF(AND(1.5*Table1[[#This Row],[Target]]&gt;=Table1[[#This Row],[Last value]],Table1[[#This Row],[Last value]]&gt;Table1[[#This Row],[Target]]),1,0)</f>
        <v>0</v>
      </c>
      <c r="R1432" s="4">
        <f>IF(Table1[[#This Row],[Target]]&gt;=Table1[[#This Row],[Last value]],1,0)</f>
        <v>1</v>
      </c>
      <c r="S1432" s="4" t="str">
        <f t="shared" si="35"/>
        <v>Green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53">
        <v>0</v>
      </c>
      <c r="CO1432" s="54">
        <v>0</v>
      </c>
      <c r="CP1432" s="54">
        <v>3.5</v>
      </c>
      <c r="CQ1432" s="4">
        <v>0</v>
      </c>
    </row>
    <row r="1433" spans="1:95" s="45" customFormat="1" x14ac:dyDescent="0.35">
      <c r="A1433" s="55">
        <v>1434</v>
      </c>
      <c r="B1433" s="47" t="s">
        <v>1479</v>
      </c>
      <c r="C1433" s="27" t="s">
        <v>1468</v>
      </c>
      <c r="D1433" s="50" t="s">
        <v>94</v>
      </c>
      <c r="E1433" s="50" t="s">
        <v>89</v>
      </c>
      <c r="F1433" s="4">
        <f>IFERROR(AVERAGEIF(Table1[[#This Row],[2019-Apr]:[2025-July]],"&lt;&gt;0"),0)</f>
        <v>1.5</v>
      </c>
      <c r="G1433" s="4">
        <f ca="1">IFERROR(AVERAGEIF(OFFSET(Table1[[#This Row],[Status]],0,COUNT(Table1[[#This Row],[2019-May]:[2025-July]]),1,-12),"&lt;&gt;0"),0)</f>
        <v>1.5</v>
      </c>
      <c r="H1433" s="55">
        <f>IFERROR(SMALL(Table1[[#This Row],[2019-Apr]:[2025-July]],COUNTIF(Table1[[#This Row],[2019-Apr]:[2025-July]],0)+1),0)</f>
        <v>1.5</v>
      </c>
      <c r="I1433" s="56">
        <f>IFERROR(MAX(Table1[[#This Row],[2019-Apr]:[2025-July]]),0)</f>
        <v>1.5</v>
      </c>
      <c r="J1433" s="4" cm="1">
        <f t="array" ref="J143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</v>
      </c>
      <c r="K1433" s="4">
        <v>4.5</v>
      </c>
      <c r="L1433" s="4">
        <f>IF(Table1[[#This Row],[Standard as per ISO]]&gt;=Table1[[#This Row],[Avg of best 6]],Table1[[#This Row],[Standard as per ISO]],Table1[[#This Row],[Avg of best 6]])</f>
        <v>4.5</v>
      </c>
      <c r="M1433" s="4" cm="1">
        <f t="array" ref="M1433">IFERROR(LOOKUP(2,1/(Table1[[#This Row],[2019-May]:[2025-July]]&lt;&gt;0),Table1[[#This Row],[2019-May]:[2025-July]]),0)</f>
        <v>1.5</v>
      </c>
      <c r="N1433" s="4">
        <f>COUNTIF(Table1[[#This Row],[2019-Apr]:[2025-July]],"&gt;="&amp;Table1[[#This Row],[Target]])</f>
        <v>0</v>
      </c>
      <c r="O1433" s="4">
        <f>IF(Table1[[#This Row],[Outliers 2Y]]=0,1,0)</f>
        <v>1</v>
      </c>
      <c r="P1433" s="4">
        <f>IF(Table1[[#This Row],[Last value]]&gt;1.5*Table1[[#This Row],[Target]],1,0)</f>
        <v>0</v>
      </c>
      <c r="Q1433" s="4">
        <f>IF(AND(1.5*Table1[[#This Row],[Target]]&gt;=Table1[[#This Row],[Last value]],Table1[[#This Row],[Last value]]&gt;Table1[[#This Row],[Target]]),1,0)</f>
        <v>0</v>
      </c>
      <c r="R1433" s="4">
        <f>IF(Table1[[#This Row],[Target]]&gt;=Table1[[#This Row],[Last value]],1,0)</f>
        <v>1</v>
      </c>
      <c r="S1433" s="4" t="str">
        <f t="shared" si="35"/>
        <v>Green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27">
        <v>1.5</v>
      </c>
      <c r="CM1433" s="4">
        <v>0</v>
      </c>
      <c r="CN1433" s="53">
        <v>0</v>
      </c>
      <c r="CO1433" s="54">
        <v>0</v>
      </c>
      <c r="CP1433" s="54">
        <v>0</v>
      </c>
      <c r="CQ1433" s="4">
        <v>0</v>
      </c>
    </row>
    <row r="1434" spans="1:95" s="40" customFormat="1" x14ac:dyDescent="0.35">
      <c r="A1434" s="55">
        <v>1435</v>
      </c>
      <c r="B1434" s="47" t="s">
        <v>1479</v>
      </c>
      <c r="C1434" s="27" t="s">
        <v>1469</v>
      </c>
      <c r="D1434" s="50" t="s">
        <v>94</v>
      </c>
      <c r="E1434" s="50" t="s">
        <v>89</v>
      </c>
      <c r="F1434" s="4">
        <f>IFERROR(AVERAGEIF(Table1[[#This Row],[2019-Apr]:[2025-July]],"&lt;&gt;0"),0)</f>
        <v>2.16</v>
      </c>
      <c r="G1434" s="4">
        <f ca="1">IFERROR(AVERAGEIF(OFFSET(Table1[[#This Row],[Status]],0,COUNT(Table1[[#This Row],[2019-May]:[2025-July]]),1,-12),"&lt;&gt;0"),0)</f>
        <v>2.16</v>
      </c>
      <c r="H1434" s="55">
        <f>IFERROR(SMALL(Table1[[#This Row],[2019-Apr]:[2025-July]],COUNTIF(Table1[[#This Row],[2019-Apr]:[2025-July]],0)+1),0)</f>
        <v>2.16</v>
      </c>
      <c r="I1434" s="56">
        <f>IFERROR(MAX(Table1[[#This Row],[2019-Apr]:[2025-July]]),0)</f>
        <v>2.16</v>
      </c>
      <c r="J1434" s="4" cm="1">
        <f t="array" ref="J143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2.16</v>
      </c>
      <c r="K1434" s="4">
        <v>4.5</v>
      </c>
      <c r="L1434" s="4">
        <f>IF(Table1[[#This Row],[Standard as per ISO]]&gt;=Table1[[#This Row],[Avg of best 6]],Table1[[#This Row],[Standard as per ISO]],Table1[[#This Row],[Avg of best 6]])</f>
        <v>4.5</v>
      </c>
      <c r="M1434" s="4" cm="1">
        <f t="array" ref="M1434">IFERROR(LOOKUP(2,1/(Table1[[#This Row],[2019-May]:[2025-July]]&lt;&gt;0),Table1[[#This Row],[2019-May]:[2025-July]]),0)</f>
        <v>2.16</v>
      </c>
      <c r="N1434" s="4">
        <f>COUNTIF(Table1[[#This Row],[2019-Apr]:[2025-July]],"&gt;="&amp;Table1[[#This Row],[Target]])</f>
        <v>0</v>
      </c>
      <c r="O1434" s="4">
        <f>IF(Table1[[#This Row],[Outliers 2Y]]=0,1,0)</f>
        <v>1</v>
      </c>
      <c r="P1434" s="4">
        <f>IF(Table1[[#This Row],[Last value]]&gt;1.5*Table1[[#This Row],[Target]],1,0)</f>
        <v>0</v>
      </c>
      <c r="Q1434" s="4">
        <f>IF(AND(1.5*Table1[[#This Row],[Target]]&gt;=Table1[[#This Row],[Last value]],Table1[[#This Row],[Last value]]&gt;Table1[[#This Row],[Target]]),1,0)</f>
        <v>0</v>
      </c>
      <c r="R1434" s="4">
        <f>IF(Table1[[#This Row],[Target]]&gt;=Table1[[#This Row],[Last value]],1,0)</f>
        <v>1</v>
      </c>
      <c r="S1434" s="4" t="str">
        <f t="shared" si="35"/>
        <v>Green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53">
        <v>0</v>
      </c>
      <c r="CO1434" s="54">
        <v>2.16</v>
      </c>
      <c r="CP1434" s="54">
        <v>0</v>
      </c>
      <c r="CQ1434" s="4">
        <v>0</v>
      </c>
    </row>
    <row r="1435" spans="1:95" x14ac:dyDescent="0.35">
      <c r="A1435" s="55">
        <v>1436</v>
      </c>
      <c r="B1435" s="47" t="s">
        <v>1479</v>
      </c>
      <c r="C1435" s="48" t="s">
        <v>1470</v>
      </c>
      <c r="D1435" s="49" t="s">
        <v>93</v>
      </c>
      <c r="E1435" s="50" t="s">
        <v>89</v>
      </c>
      <c r="F1435" s="4">
        <f>IFERROR(AVERAGEIF(Table1[[#This Row],[2019-Apr]:[2025-July]],"&lt;&gt;0"),0)</f>
        <v>1.65</v>
      </c>
      <c r="G1435" s="4">
        <f ca="1">IFERROR(AVERAGEIF(OFFSET(Table1[[#This Row],[Status]],0,COUNT(Table1[[#This Row],[2019-May]:[2025-July]]),1,-12),"&lt;&gt;0"),0)</f>
        <v>1.65</v>
      </c>
      <c r="H1435" s="55">
        <f>IFERROR(SMALL(Table1[[#This Row],[2019-Apr]:[2025-July]],COUNTIF(Table1[[#This Row],[2019-Apr]:[2025-July]],0)+1),0)</f>
        <v>1.6</v>
      </c>
      <c r="I1435" s="56">
        <f>IFERROR(MAX(Table1[[#This Row],[2019-Apr]:[2025-July]]),0)</f>
        <v>1.7</v>
      </c>
      <c r="J1435" s="4" cm="1">
        <f t="array" ref="J143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1.65</v>
      </c>
      <c r="K1435" s="4">
        <v>4.5</v>
      </c>
      <c r="L1435" s="4">
        <f>IF(Table1[[#This Row],[Standard as per ISO]]&gt;=Table1[[#This Row],[Avg of best 6]],Table1[[#This Row],[Standard as per ISO]],Table1[[#This Row],[Avg of best 6]])</f>
        <v>4.5</v>
      </c>
      <c r="M1435" s="4" cm="1">
        <f t="array" ref="M1435">IFERROR(LOOKUP(2,1/(Table1[[#This Row],[2019-May]:[2025-July]]&lt;&gt;0),Table1[[#This Row],[2019-May]:[2025-July]]),0)</f>
        <v>1.6</v>
      </c>
      <c r="N1435" s="4">
        <f>COUNTIF(Table1[[#This Row],[2019-Apr]:[2025-July]],"&gt;="&amp;Table1[[#This Row],[Target]])</f>
        <v>0</v>
      </c>
      <c r="O1435" s="4">
        <f>IF(Table1[[#This Row],[Outliers 2Y]]=0,1,0)</f>
        <v>1</v>
      </c>
      <c r="P1435" s="4">
        <f>IF(Table1[[#This Row],[Last value]]&gt;1.5*Table1[[#This Row],[Target]],1,0)</f>
        <v>0</v>
      </c>
      <c r="Q1435" s="4">
        <f>IF(AND(1.5*Table1[[#This Row],[Target]]&gt;=Table1[[#This Row],[Last value]],Table1[[#This Row],[Last value]]&gt;Table1[[#This Row],[Target]]),1,0)</f>
        <v>0</v>
      </c>
      <c r="R1435" s="4">
        <f>IF(Table1[[#This Row],[Target]]&gt;=Table1[[#This Row],[Last value]],1,0)</f>
        <v>1</v>
      </c>
      <c r="S1435" s="4" t="str">
        <f t="shared" si="35"/>
        <v>Green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1.7</v>
      </c>
      <c r="CN1435" s="53">
        <v>0</v>
      </c>
      <c r="CO1435" s="54">
        <v>0</v>
      </c>
      <c r="CP1435" s="54">
        <v>1.6</v>
      </c>
      <c r="CQ1435" s="4">
        <v>0</v>
      </c>
    </row>
    <row r="1436" spans="1:95" x14ac:dyDescent="0.35">
      <c r="A1436" s="55">
        <v>1437</v>
      </c>
      <c r="B1436" s="47" t="s">
        <v>1479</v>
      </c>
      <c r="C1436" s="48" t="s">
        <v>1471</v>
      </c>
      <c r="D1436" s="50" t="s">
        <v>93</v>
      </c>
      <c r="E1436" s="50" t="s">
        <v>89</v>
      </c>
      <c r="F1436" s="4">
        <f>IFERROR(AVERAGEIF(Table1[[#This Row],[2019-Apr]:[2025-July]],"&lt;&gt;0"),0)</f>
        <v>1.5249999999999999</v>
      </c>
      <c r="G1436" s="4">
        <f ca="1">IFERROR(AVERAGEIF(OFFSET(Table1[[#This Row],[Status]],0,COUNT(Table1[[#This Row],[2019-May]:[2025-July]]),1,-12),"&lt;&gt;0"),0)</f>
        <v>1.5249999999999999</v>
      </c>
      <c r="H1436" s="55">
        <f>IFERROR(SMALL(Table1[[#This Row],[2019-Apr]:[2025-July]],COUNTIF(Table1[[#This Row],[2019-Apr]:[2025-July]],0)+1),0)</f>
        <v>1</v>
      </c>
      <c r="I1436" s="56">
        <f>IFERROR(MAX(Table1[[#This Row],[2019-Apr]:[2025-July]]),0)</f>
        <v>2.7</v>
      </c>
      <c r="J1436" s="4" cm="1">
        <f t="array" ref="J143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1.5249999999999999</v>
      </c>
      <c r="K1436" s="4">
        <v>4.5</v>
      </c>
      <c r="L1436" s="4">
        <f>IF(Table1[[#This Row],[Standard as per ISO]]&gt;=Table1[[#This Row],[Avg of best 6]],Table1[[#This Row],[Standard as per ISO]],Table1[[#This Row],[Avg of best 6]])</f>
        <v>4.5</v>
      </c>
      <c r="M1436" s="4" cm="1">
        <f t="array" ref="M1436">IFERROR(LOOKUP(2,1/(Table1[[#This Row],[2019-May]:[2025-July]]&lt;&gt;0),Table1[[#This Row],[2019-May]:[2025-July]]),0)</f>
        <v>1</v>
      </c>
      <c r="N1436" s="4">
        <f>COUNTIF(Table1[[#This Row],[2019-Apr]:[2025-July]],"&gt;="&amp;Table1[[#This Row],[Target]])</f>
        <v>0</v>
      </c>
      <c r="O1436" s="4">
        <f>IF(Table1[[#This Row],[Outliers 2Y]]=0,1,0)</f>
        <v>1</v>
      </c>
      <c r="P1436" s="4">
        <f>IF(Table1[[#This Row],[Last value]]&gt;1.5*Table1[[#This Row],[Target]],1,0)</f>
        <v>0</v>
      </c>
      <c r="Q1436" s="4">
        <f>IF(AND(1.5*Table1[[#This Row],[Target]]&gt;=Table1[[#This Row],[Last value]],Table1[[#This Row],[Last value]]&gt;Table1[[#This Row],[Target]]),1,0)</f>
        <v>0</v>
      </c>
      <c r="R1436" s="4">
        <f>IF(Table1[[#This Row],[Target]]&gt;=Table1[[#This Row],[Last value]],1,0)</f>
        <v>1</v>
      </c>
      <c r="S1436" s="4" t="str">
        <f t="shared" si="35"/>
        <v>Green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1.2</v>
      </c>
      <c r="CN1436" s="53">
        <v>1.2</v>
      </c>
      <c r="CO1436" s="54">
        <v>2.7</v>
      </c>
      <c r="CP1436" s="54">
        <v>1</v>
      </c>
      <c r="CQ1436" s="4">
        <v>0</v>
      </c>
    </row>
    <row r="1437" spans="1:95" x14ac:dyDescent="0.35">
      <c r="A1437" s="55">
        <v>1438</v>
      </c>
      <c r="B1437" s="47" t="s">
        <v>1479</v>
      </c>
      <c r="C1437" s="48" t="s">
        <v>1472</v>
      </c>
      <c r="D1437" s="50" t="s">
        <v>93</v>
      </c>
      <c r="E1437" s="50" t="s">
        <v>89</v>
      </c>
      <c r="F1437" s="4">
        <f>IFERROR(AVERAGEIF(Table1[[#This Row],[2019-Apr]:[2025-July]],"&lt;&gt;0"),0)</f>
        <v>2</v>
      </c>
      <c r="G1437" s="4">
        <f ca="1">IFERROR(AVERAGEIF(OFFSET(Table1[[#This Row],[Status]],0,COUNT(Table1[[#This Row],[2019-May]:[2025-July]]),1,-12),"&lt;&gt;0"),0)</f>
        <v>2</v>
      </c>
      <c r="H1437" s="55">
        <f>IFERROR(SMALL(Table1[[#This Row],[2019-Apr]:[2025-July]],COUNTIF(Table1[[#This Row],[2019-Apr]:[2025-July]],0)+1),0)</f>
        <v>1.4</v>
      </c>
      <c r="I1437" s="56">
        <f>IFERROR(MAX(Table1[[#This Row],[2019-Apr]:[2025-July]]),0)</f>
        <v>2.6</v>
      </c>
      <c r="J1437" s="4" cm="1">
        <f t="array" ref="J143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</v>
      </c>
      <c r="K1437" s="4">
        <v>4.5</v>
      </c>
      <c r="L1437" s="4">
        <f>IF(Table1[[#This Row],[Standard as per ISO]]&gt;=Table1[[#This Row],[Avg of best 6]],Table1[[#This Row],[Standard as per ISO]],Table1[[#This Row],[Avg of best 6]])</f>
        <v>4.5</v>
      </c>
      <c r="M1437" s="4" cm="1">
        <f t="array" ref="M1437">IFERROR(LOOKUP(2,1/(Table1[[#This Row],[2019-May]:[2025-July]]&lt;&gt;0),Table1[[#This Row],[2019-May]:[2025-July]]),0)</f>
        <v>1.5</v>
      </c>
      <c r="N1437" s="4">
        <f>COUNTIF(Table1[[#This Row],[2019-Apr]:[2025-July]],"&gt;="&amp;Table1[[#This Row],[Target]])</f>
        <v>0</v>
      </c>
      <c r="O1437" s="4">
        <f>IF(Table1[[#This Row],[Outliers 2Y]]=0,1,0)</f>
        <v>1</v>
      </c>
      <c r="P1437" s="4">
        <f>IF(Table1[[#This Row],[Last value]]&gt;1.5*Table1[[#This Row],[Target]],1,0)</f>
        <v>0</v>
      </c>
      <c r="Q1437" s="4">
        <f>IF(AND(1.5*Table1[[#This Row],[Target]]&gt;=Table1[[#This Row],[Last value]],Table1[[#This Row],[Last value]]&gt;Table1[[#This Row],[Target]]),1,0)</f>
        <v>0</v>
      </c>
      <c r="R1437" s="4">
        <f>IF(Table1[[#This Row],[Target]]&gt;=Table1[[#This Row],[Last value]],1,0)</f>
        <v>1</v>
      </c>
      <c r="S1437" s="4" t="str">
        <f t="shared" si="35"/>
        <v>Green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27">
        <v>2.5</v>
      </c>
      <c r="CM1437" s="4">
        <v>2.6</v>
      </c>
      <c r="CN1437" s="53">
        <v>2</v>
      </c>
      <c r="CO1437" s="54">
        <v>1.4</v>
      </c>
      <c r="CP1437" s="54">
        <v>1.5</v>
      </c>
      <c r="CQ1437" s="4">
        <v>0</v>
      </c>
    </row>
    <row r="1438" spans="1:95" x14ac:dyDescent="0.35">
      <c r="A1438" s="55">
        <v>1439</v>
      </c>
      <c r="B1438" s="47" t="s">
        <v>1479</v>
      </c>
      <c r="C1438" s="48" t="s">
        <v>1473</v>
      </c>
      <c r="D1438" s="50" t="s">
        <v>93</v>
      </c>
      <c r="E1438" s="50" t="s">
        <v>89</v>
      </c>
      <c r="F1438" s="4">
        <f>IFERROR(AVERAGEIF(Table1[[#This Row],[2019-Apr]:[2025-July]],"&lt;&gt;0"),0)</f>
        <v>2.2666666666666666</v>
      </c>
      <c r="G1438" s="4">
        <f ca="1">IFERROR(AVERAGEIF(OFFSET(Table1[[#This Row],[Status]],0,COUNT(Table1[[#This Row],[2019-May]:[2025-July]]),1,-12),"&lt;&gt;0"),0)</f>
        <v>2.2666666666666666</v>
      </c>
      <c r="H1438" s="55">
        <f>IFERROR(SMALL(Table1[[#This Row],[2019-Apr]:[2025-July]],COUNTIF(Table1[[#This Row],[2019-Apr]:[2025-July]],0)+1),0)</f>
        <v>1.5</v>
      </c>
      <c r="I1438" s="56">
        <f>IFERROR(MAX(Table1[[#This Row],[2019-Apr]:[2025-July]]),0)</f>
        <v>2.8</v>
      </c>
      <c r="J1438" s="4" cm="1">
        <f t="array" ref="J143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2.2666666666666666</v>
      </c>
      <c r="K1438" s="4">
        <v>4.5</v>
      </c>
      <c r="L1438" s="4">
        <f>IF(Table1[[#This Row],[Standard as per ISO]]&gt;=Table1[[#This Row],[Avg of best 6]],Table1[[#This Row],[Standard as per ISO]],Table1[[#This Row],[Avg of best 6]])</f>
        <v>4.5</v>
      </c>
      <c r="M1438" s="4" cm="1">
        <f t="array" ref="M1438">IFERROR(LOOKUP(2,1/(Table1[[#This Row],[2019-May]:[2025-July]]&lt;&gt;0),Table1[[#This Row],[2019-May]:[2025-July]]),0)</f>
        <v>1.5</v>
      </c>
      <c r="N1438" s="4">
        <f>COUNTIF(Table1[[#This Row],[2019-Apr]:[2025-July]],"&gt;="&amp;Table1[[#This Row],[Target]])</f>
        <v>0</v>
      </c>
      <c r="O1438" s="4">
        <f>IF(Table1[[#This Row],[Outliers 2Y]]=0,1,0)</f>
        <v>1</v>
      </c>
      <c r="P1438" s="4">
        <f>IF(Table1[[#This Row],[Last value]]&gt;1.5*Table1[[#This Row],[Target]],1,0)</f>
        <v>0</v>
      </c>
      <c r="Q1438" s="4">
        <f>IF(AND(1.5*Table1[[#This Row],[Target]]&gt;=Table1[[#This Row],[Last value]],Table1[[#This Row],[Last value]]&gt;Table1[[#This Row],[Target]]),1,0)</f>
        <v>0</v>
      </c>
      <c r="R1438" s="4">
        <f>IF(Table1[[#This Row],[Target]]&gt;=Table1[[#This Row],[Last value]],1,0)</f>
        <v>1</v>
      </c>
      <c r="S1438" s="4" t="str">
        <f t="shared" si="35"/>
        <v>Green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53">
        <v>2.5</v>
      </c>
      <c r="CO1438" s="54">
        <v>2.8</v>
      </c>
      <c r="CP1438" s="54">
        <v>1.5</v>
      </c>
      <c r="CQ1438" s="4">
        <v>0</v>
      </c>
    </row>
    <row r="1439" spans="1:95" x14ac:dyDescent="0.35">
      <c r="A1439" s="55">
        <v>1440</v>
      </c>
      <c r="B1439" s="47" t="s">
        <v>1479</v>
      </c>
      <c r="C1439" s="48" t="s">
        <v>1474</v>
      </c>
      <c r="D1439" s="50" t="s">
        <v>93</v>
      </c>
      <c r="E1439" s="50" t="s">
        <v>89</v>
      </c>
      <c r="F1439" s="4">
        <f>IFERROR(AVERAGEIF(Table1[[#This Row],[2019-Apr]:[2025-July]],"&lt;&gt;0"),0)</f>
        <v>1.4</v>
      </c>
      <c r="G1439" s="4">
        <f ca="1">IFERROR(AVERAGEIF(OFFSET(Table1[[#This Row],[Status]],0,COUNT(Table1[[#This Row],[2019-May]:[2025-July]]),1,-12),"&lt;&gt;0"),0)</f>
        <v>1.4</v>
      </c>
      <c r="H1439" s="55">
        <f>IFERROR(SMALL(Table1[[#This Row],[2019-Apr]:[2025-July]],COUNTIF(Table1[[#This Row],[2019-Apr]:[2025-July]],0)+1),0)</f>
        <v>1</v>
      </c>
      <c r="I1439" s="56">
        <f>IFERROR(MAX(Table1[[#This Row],[2019-Apr]:[2025-July]]),0)</f>
        <v>2.4</v>
      </c>
      <c r="J1439" s="4" cm="1">
        <f t="array" ref="J143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</v>
      </c>
      <c r="K1439" s="4">
        <v>4.5</v>
      </c>
      <c r="L1439" s="4">
        <f>IF(Table1[[#This Row],[Standard as per ISO]]&gt;=Table1[[#This Row],[Avg of best 6]],Table1[[#This Row],[Standard as per ISO]],Table1[[#This Row],[Avg of best 6]])</f>
        <v>4.5</v>
      </c>
      <c r="M1439" s="4" cm="1">
        <f t="array" ref="M1439">IFERROR(LOOKUP(2,1/(Table1[[#This Row],[2019-May]:[2025-July]]&lt;&gt;0),Table1[[#This Row],[2019-May]:[2025-July]]),0)</f>
        <v>1.2</v>
      </c>
      <c r="N1439" s="4">
        <f>COUNTIF(Table1[[#This Row],[2019-Apr]:[2025-July]],"&gt;="&amp;Table1[[#This Row],[Target]])</f>
        <v>0</v>
      </c>
      <c r="O1439" s="4">
        <f>IF(Table1[[#This Row],[Outliers 2Y]]=0,1,0)</f>
        <v>1</v>
      </c>
      <c r="P1439" s="4">
        <f>IF(Table1[[#This Row],[Last value]]&gt;1.5*Table1[[#This Row],[Target]],1,0)</f>
        <v>0</v>
      </c>
      <c r="Q1439" s="4">
        <f>IF(AND(1.5*Table1[[#This Row],[Target]]&gt;=Table1[[#This Row],[Last value]],Table1[[#This Row],[Last value]]&gt;Table1[[#This Row],[Target]]),1,0)</f>
        <v>0</v>
      </c>
      <c r="R1439" s="4">
        <f>IF(Table1[[#This Row],[Target]]&gt;=Table1[[#This Row],[Last value]],1,0)</f>
        <v>1</v>
      </c>
      <c r="S1439" s="4" t="str">
        <f t="shared" si="35"/>
        <v>Green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27">
        <v>1</v>
      </c>
      <c r="CM1439" s="4">
        <v>1</v>
      </c>
      <c r="CN1439" s="53">
        <v>1.4</v>
      </c>
      <c r="CO1439" s="54">
        <v>2.4</v>
      </c>
      <c r="CP1439" s="54">
        <v>1.2</v>
      </c>
      <c r="CQ1439" s="4">
        <v>0</v>
      </c>
    </row>
    <row r="1440" spans="1:95" x14ac:dyDescent="0.35">
      <c r="A1440" s="55">
        <v>1441</v>
      </c>
      <c r="B1440" s="47" t="s">
        <v>1479</v>
      </c>
      <c r="C1440" s="48" t="s">
        <v>1475</v>
      </c>
      <c r="D1440" s="50" t="s">
        <v>93</v>
      </c>
      <c r="E1440" s="50" t="s">
        <v>89</v>
      </c>
      <c r="F1440" s="4">
        <f>IFERROR(AVERAGEIF(Table1[[#This Row],[2019-Apr]:[2025-July]],"&lt;&gt;0"),0)</f>
        <v>1.4749999999999999</v>
      </c>
      <c r="G1440" s="4">
        <f ca="1">IFERROR(AVERAGEIF(OFFSET(Table1[[#This Row],[Status]],0,COUNT(Table1[[#This Row],[2019-May]:[2025-July]]),1,-12),"&lt;&gt;0"),0)</f>
        <v>1.4749999999999999</v>
      </c>
      <c r="H1440" s="55">
        <f>IFERROR(SMALL(Table1[[#This Row],[2019-Apr]:[2025-July]],COUNTIF(Table1[[#This Row],[2019-Apr]:[2025-July]],0)+1),0)</f>
        <v>1.2</v>
      </c>
      <c r="I1440" s="56">
        <f>IFERROR(MAX(Table1[[#This Row],[2019-Apr]:[2025-July]]),0)</f>
        <v>1.7</v>
      </c>
      <c r="J1440" s="4" cm="1">
        <f t="array" ref="J144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1.4749999999999999</v>
      </c>
      <c r="K1440" s="4">
        <v>4.5</v>
      </c>
      <c r="L1440" s="4">
        <f>IF(Table1[[#This Row],[Standard as per ISO]]&gt;=Table1[[#This Row],[Avg of best 6]],Table1[[#This Row],[Standard as per ISO]],Table1[[#This Row],[Avg of best 6]])</f>
        <v>4.5</v>
      </c>
      <c r="M1440" s="4" cm="1">
        <f t="array" ref="M1440">IFERROR(LOOKUP(2,1/(Table1[[#This Row],[2019-May]:[2025-July]]&lt;&gt;0),Table1[[#This Row],[2019-May]:[2025-July]]),0)</f>
        <v>1.2</v>
      </c>
      <c r="N1440" s="4">
        <f>COUNTIF(Table1[[#This Row],[2019-Apr]:[2025-July]],"&gt;="&amp;Table1[[#This Row],[Target]])</f>
        <v>0</v>
      </c>
      <c r="O1440" s="4">
        <f>IF(Table1[[#This Row],[Outliers 2Y]]=0,1,0)</f>
        <v>1</v>
      </c>
      <c r="P1440" s="4">
        <f>IF(Table1[[#This Row],[Last value]]&gt;1.5*Table1[[#This Row],[Target]],1,0)</f>
        <v>0</v>
      </c>
      <c r="Q1440" s="4">
        <f>IF(AND(1.5*Table1[[#This Row],[Target]]&gt;=Table1[[#This Row],[Last value]],Table1[[#This Row],[Last value]]&gt;Table1[[#This Row],[Target]]),1,0)</f>
        <v>0</v>
      </c>
      <c r="R1440" s="4">
        <f>IF(Table1[[#This Row],[Target]]&gt;=Table1[[#This Row],[Last value]],1,0)</f>
        <v>1</v>
      </c>
      <c r="S1440" s="4" t="str">
        <f t="shared" si="35"/>
        <v>Green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1.7</v>
      </c>
      <c r="CN1440" s="53">
        <v>1.4</v>
      </c>
      <c r="CO1440" s="54">
        <v>1.6</v>
      </c>
      <c r="CP1440" s="54">
        <v>1.2</v>
      </c>
      <c r="CQ1440" s="4">
        <v>0</v>
      </c>
    </row>
    <row r="1441" spans="1:95" x14ac:dyDescent="0.35">
      <c r="A1441" s="55">
        <v>1442</v>
      </c>
      <c r="B1441" s="47" t="s">
        <v>1479</v>
      </c>
      <c r="C1441" s="48" t="s">
        <v>1476</v>
      </c>
      <c r="D1441" s="50" t="s">
        <v>93</v>
      </c>
      <c r="E1441" s="50" t="s">
        <v>89</v>
      </c>
      <c r="F1441" s="4">
        <f>IFERROR(AVERAGEIF(Table1[[#This Row],[2019-Apr]:[2025-July]],"&lt;&gt;0"),0)</f>
        <v>1.7749999999999999</v>
      </c>
      <c r="G1441" s="4">
        <f ca="1">IFERROR(AVERAGEIF(OFFSET(Table1[[#This Row],[Status]],0,COUNT(Table1[[#This Row],[2019-May]:[2025-July]]),1,-12),"&lt;&gt;0"),0)</f>
        <v>1.7749999999999999</v>
      </c>
      <c r="H1441" s="55">
        <f>IFERROR(SMALL(Table1[[#This Row],[2019-Apr]:[2025-July]],COUNTIF(Table1[[#This Row],[2019-Apr]:[2025-July]],0)+1),0)</f>
        <v>1.5</v>
      </c>
      <c r="I1441" s="56">
        <f>IFERROR(MAX(Table1[[#This Row],[2019-Apr]:[2025-July]]),0)</f>
        <v>2</v>
      </c>
      <c r="J1441" s="4" cm="1">
        <f t="array" ref="J144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1.7749999999999999</v>
      </c>
      <c r="K1441" s="4">
        <v>4.5</v>
      </c>
      <c r="L1441" s="4">
        <f>IF(Table1[[#This Row],[Standard as per ISO]]&gt;=Table1[[#This Row],[Avg of best 6]],Table1[[#This Row],[Standard as per ISO]],Table1[[#This Row],[Avg of best 6]])</f>
        <v>4.5</v>
      </c>
      <c r="M1441" s="4" cm="1">
        <f t="array" ref="M1441">IFERROR(LOOKUP(2,1/(Table1[[#This Row],[2019-May]:[2025-July]]&lt;&gt;0),Table1[[#This Row],[2019-May]:[2025-July]]),0)</f>
        <v>1.5</v>
      </c>
      <c r="N1441" s="4">
        <f>COUNTIF(Table1[[#This Row],[2019-Apr]:[2025-July]],"&gt;="&amp;Table1[[#This Row],[Target]])</f>
        <v>0</v>
      </c>
      <c r="O1441" s="4">
        <f>IF(Table1[[#This Row],[Outliers 2Y]]=0,1,0)</f>
        <v>1</v>
      </c>
      <c r="P1441" s="4">
        <f>IF(Table1[[#This Row],[Last value]]&gt;1.5*Table1[[#This Row],[Target]],1,0)</f>
        <v>0</v>
      </c>
      <c r="Q1441" s="4">
        <f>IF(AND(1.5*Table1[[#This Row],[Target]]&gt;=Table1[[#This Row],[Last value]],Table1[[#This Row],[Last value]]&gt;Table1[[#This Row],[Target]]),1,0)</f>
        <v>0</v>
      </c>
      <c r="R1441" s="4">
        <f>IF(Table1[[#This Row],[Target]]&gt;=Table1[[#This Row],[Last value]],1,0)</f>
        <v>1</v>
      </c>
      <c r="S1441" s="4" t="str">
        <f t="shared" si="35"/>
        <v>Green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1.8</v>
      </c>
      <c r="CN1441" s="53">
        <v>2</v>
      </c>
      <c r="CO1441" s="54">
        <v>1.8</v>
      </c>
      <c r="CP1441" s="54">
        <v>1.5</v>
      </c>
      <c r="CQ1441" s="4">
        <v>0</v>
      </c>
    </row>
    <row r="1442" spans="1:95" x14ac:dyDescent="0.35">
      <c r="A1442" s="55">
        <v>1443</v>
      </c>
      <c r="B1442" s="47" t="s">
        <v>1479</v>
      </c>
      <c r="C1442" s="48" t="s">
        <v>1477</v>
      </c>
      <c r="D1442" s="50" t="s">
        <v>93</v>
      </c>
      <c r="E1442" s="50" t="s">
        <v>89</v>
      </c>
      <c r="F1442" s="4">
        <f>IFERROR(AVERAGEIF(Table1[[#This Row],[2019-Apr]:[2025-July]],"&lt;&gt;0"),0)</f>
        <v>1.3333333333333333</v>
      </c>
      <c r="G1442" s="4">
        <f ca="1">IFERROR(AVERAGEIF(OFFSET(Table1[[#This Row],[Status]],0,COUNT(Table1[[#This Row],[2019-May]:[2025-July]]),1,-12),"&lt;&gt;0"),0)</f>
        <v>1.3333333333333333</v>
      </c>
      <c r="H1442" s="55">
        <f>IFERROR(SMALL(Table1[[#This Row],[2019-Apr]:[2025-July]],COUNTIF(Table1[[#This Row],[2019-Apr]:[2025-July]],0)+1),0)</f>
        <v>1.1000000000000001</v>
      </c>
      <c r="I1442" s="56">
        <f>IFERROR(MAX(Table1[[#This Row],[2019-Apr]:[2025-July]]),0)</f>
        <v>1.6</v>
      </c>
      <c r="J1442" s="4" cm="1">
        <f t="array" ref="J144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1.3333333333333333</v>
      </c>
      <c r="K1442" s="4">
        <v>4.5</v>
      </c>
      <c r="L1442" s="4">
        <f>IF(Table1[[#This Row],[Standard as per ISO]]&gt;=Table1[[#This Row],[Avg of best 6]],Table1[[#This Row],[Standard as per ISO]],Table1[[#This Row],[Avg of best 6]])</f>
        <v>4.5</v>
      </c>
      <c r="M1442" s="4" cm="1">
        <f t="array" ref="M1442">IFERROR(LOOKUP(2,1/(Table1[[#This Row],[2019-May]:[2025-July]]&lt;&gt;0),Table1[[#This Row],[2019-May]:[2025-July]]),0)</f>
        <v>1.1000000000000001</v>
      </c>
      <c r="N1442" s="4">
        <f>COUNTIF(Table1[[#This Row],[2019-Apr]:[2025-July]],"&gt;="&amp;Table1[[#This Row],[Target]])</f>
        <v>0</v>
      </c>
      <c r="O1442" s="4">
        <f>IF(Table1[[#This Row],[Outliers 2Y]]=0,1,0)</f>
        <v>1</v>
      </c>
      <c r="P1442" s="4">
        <f>IF(Table1[[#This Row],[Last value]]&gt;1.5*Table1[[#This Row],[Target]],1,0)</f>
        <v>0</v>
      </c>
      <c r="Q1442" s="4">
        <f>IF(AND(1.5*Table1[[#This Row],[Target]]&gt;=Table1[[#This Row],[Last value]],Table1[[#This Row],[Last value]]&gt;Table1[[#This Row],[Target]]),1,0)</f>
        <v>0</v>
      </c>
      <c r="R1442" s="4">
        <f>IF(Table1[[#This Row],[Target]]&gt;=Table1[[#This Row],[Last value]],1,0)</f>
        <v>1</v>
      </c>
      <c r="S1442" s="4" t="str">
        <f t="shared" si="35"/>
        <v>Green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53">
        <v>1.3</v>
      </c>
      <c r="CO1442" s="54">
        <v>1.6</v>
      </c>
      <c r="CP1442" s="54">
        <v>1.1000000000000001</v>
      </c>
      <c r="CQ1442" s="4">
        <v>0</v>
      </c>
    </row>
    <row r="1443" spans="1:95" x14ac:dyDescent="0.35">
      <c r="A1443" s="55">
        <v>1444</v>
      </c>
      <c r="B1443" s="47" t="s">
        <v>1576</v>
      </c>
      <c r="C1443" s="51" t="s">
        <v>1480</v>
      </c>
      <c r="D1443" s="49" t="s">
        <v>88</v>
      </c>
      <c r="E1443" s="50" t="s">
        <v>89</v>
      </c>
      <c r="F1443" s="4">
        <f>IFERROR(AVERAGEIF(Table1[[#This Row],[2019-Apr]:[2025-July]],"&lt;&gt;0"),0)</f>
        <v>2.8499999999999996</v>
      </c>
      <c r="G1443" s="4">
        <f ca="1">IFERROR(AVERAGEIF(OFFSET(Table1[[#This Row],[Status]],0,COUNT(Table1[[#This Row],[2019-May]:[2025-July]]),1,-12),"&lt;&gt;0"),0)</f>
        <v>2.7333333333333329</v>
      </c>
      <c r="H1443" s="55">
        <f>IFERROR(SMALL(Table1[[#This Row],[2019-Apr]:[2025-July]],COUNTIF(Table1[[#This Row],[2019-Apr]:[2025-July]],0)+1),0)</f>
        <v>1.5</v>
      </c>
      <c r="I1443" s="56">
        <f>IFERROR(MAX(Table1[[#This Row],[2019-Apr]:[2025-July]]),0)</f>
        <v>3.6</v>
      </c>
      <c r="J1443" s="4" cm="1">
        <f t="array" ref="J144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2.8499999999999996</v>
      </c>
      <c r="K1443" s="4">
        <v>4.5</v>
      </c>
      <c r="L1443" s="4">
        <f>IF(Table1[[#This Row],[Standard as per ISO]]&gt;=Table1[[#This Row],[Avg of best 6]],Table1[[#This Row],[Standard as per ISO]],Table1[[#This Row],[Avg of best 6]])</f>
        <v>4.5</v>
      </c>
      <c r="M1443" s="4" cm="1">
        <f t="array" ref="M1443">IFERROR(LOOKUP(2,1/(Table1[[#This Row],[2019-May]:[2025-July]]&lt;&gt;0),Table1[[#This Row],[2019-May]:[2025-July]]),0)</f>
        <v>3.2</v>
      </c>
      <c r="N1443" s="4">
        <f>COUNTIF(Table1[[#This Row],[2019-Apr]:[2025-July]],"&gt;="&amp;Table1[[#This Row],[Target]])</f>
        <v>0</v>
      </c>
      <c r="O1443" s="4">
        <f>IF(Table1[[#This Row],[Outliers 2Y]]=0,1,0)</f>
        <v>1</v>
      </c>
      <c r="P1443" s="4">
        <f>IF(Table1[[#This Row],[Last value]]&gt;1.5*Table1[[#This Row],[Target]],1,0)</f>
        <v>0</v>
      </c>
      <c r="Q1443" s="4">
        <f>IF(AND(1.5*Table1[[#This Row],[Target]]&gt;=Table1[[#This Row],[Last value]],Table1[[#This Row],[Last value]]&gt;Table1[[#This Row],[Target]]),1,0)</f>
        <v>0</v>
      </c>
      <c r="R1443" s="4">
        <f>IF(Table1[[#This Row],[Target]]&gt;=Table1[[#This Row],[Last value]],1,0)</f>
        <v>1</v>
      </c>
      <c r="S1443" s="4" t="str">
        <f t="shared" si="35"/>
        <v>Green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27">
        <v>3.6</v>
      </c>
      <c r="CM1443" s="4">
        <v>0</v>
      </c>
      <c r="CN1443" s="53">
        <v>0</v>
      </c>
      <c r="CO1443" s="54">
        <v>1.5</v>
      </c>
      <c r="CP1443" s="54">
        <v>3.1</v>
      </c>
      <c r="CQ1443" s="4">
        <v>3.2</v>
      </c>
    </row>
    <row r="1444" spans="1:95" x14ac:dyDescent="0.35">
      <c r="A1444" s="55">
        <v>1445</v>
      </c>
      <c r="B1444" s="47" t="s">
        <v>1576</v>
      </c>
      <c r="C1444" s="51" t="s">
        <v>1481</v>
      </c>
      <c r="D1444" s="50" t="s">
        <v>88</v>
      </c>
      <c r="E1444" s="50" t="s">
        <v>89</v>
      </c>
      <c r="F1444" s="4">
        <f>IFERROR(AVERAGEIF(Table1[[#This Row],[2019-Apr]:[2025-July]],"&lt;&gt;0"),0)</f>
        <v>2.9000000000000004</v>
      </c>
      <c r="G1444" s="4">
        <f ca="1">IFERROR(AVERAGEIF(OFFSET(Table1[[#This Row],[Status]],0,COUNT(Table1[[#This Row],[2019-May]:[2025-July]]),1,-12),"&lt;&gt;0"),0)</f>
        <v>2.9000000000000004</v>
      </c>
      <c r="H1444" s="55">
        <f>IFERROR(SMALL(Table1[[#This Row],[2019-Apr]:[2025-July]],COUNTIF(Table1[[#This Row],[2019-Apr]:[2025-July]],0)+1),0)</f>
        <v>2.6</v>
      </c>
      <c r="I1444" s="56">
        <f>IFERROR(MAX(Table1[[#This Row],[2019-Apr]:[2025-July]]),0)</f>
        <v>3.2</v>
      </c>
      <c r="J1444" s="4" cm="1">
        <f t="array" ref="J144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2.9000000000000004</v>
      </c>
      <c r="K1444" s="4">
        <v>4.5</v>
      </c>
      <c r="L1444" s="4">
        <f>IF(Table1[[#This Row],[Standard as per ISO]]&gt;=Table1[[#This Row],[Avg of best 6]],Table1[[#This Row],[Standard as per ISO]],Table1[[#This Row],[Avg of best 6]])</f>
        <v>4.5</v>
      </c>
      <c r="M1444" s="4" cm="1">
        <f t="array" ref="M1444">IFERROR(LOOKUP(2,1/(Table1[[#This Row],[2019-May]:[2025-July]]&lt;&gt;0),Table1[[#This Row],[2019-May]:[2025-July]]),0)</f>
        <v>2.9</v>
      </c>
      <c r="N1444" s="4">
        <f>COUNTIF(Table1[[#This Row],[2019-Apr]:[2025-July]],"&gt;="&amp;Table1[[#This Row],[Target]])</f>
        <v>0</v>
      </c>
      <c r="O1444" s="4">
        <f>IF(Table1[[#This Row],[Outliers 2Y]]=0,1,0)</f>
        <v>1</v>
      </c>
      <c r="P1444" s="4">
        <f>IF(Table1[[#This Row],[Last value]]&gt;1.5*Table1[[#This Row],[Target]],1,0)</f>
        <v>0</v>
      </c>
      <c r="Q1444" s="4">
        <f>IF(AND(1.5*Table1[[#This Row],[Target]]&gt;=Table1[[#This Row],[Last value]],Table1[[#This Row],[Last value]]&gt;Table1[[#This Row],[Target]]),1,0)</f>
        <v>0</v>
      </c>
      <c r="R1444" s="4">
        <f>IF(Table1[[#This Row],[Target]]&gt;=Table1[[#This Row],[Last value]],1,0)</f>
        <v>1</v>
      </c>
      <c r="S1444" s="4" t="str">
        <f t="shared" si="35"/>
        <v>Green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27">
        <v>2.6</v>
      </c>
      <c r="CM1444" s="4">
        <v>0</v>
      </c>
      <c r="CN1444" s="53">
        <v>0</v>
      </c>
      <c r="CO1444" s="54">
        <v>3.2</v>
      </c>
      <c r="CP1444" s="54">
        <v>2.9</v>
      </c>
      <c r="CQ1444" s="4">
        <v>2.9</v>
      </c>
    </row>
    <row r="1445" spans="1:95" x14ac:dyDescent="0.35">
      <c r="A1445" s="55">
        <v>1446</v>
      </c>
      <c r="B1445" s="47" t="s">
        <v>1576</v>
      </c>
      <c r="C1445" s="51" t="s">
        <v>1482</v>
      </c>
      <c r="D1445" s="50" t="s">
        <v>88</v>
      </c>
      <c r="E1445" s="50" t="s">
        <v>89</v>
      </c>
      <c r="F1445" s="4">
        <f>IFERROR(AVERAGEIF(Table1[[#This Row],[2019-Apr]:[2025-July]],"&lt;&gt;0"),0)</f>
        <v>4.3</v>
      </c>
      <c r="G1445" s="4">
        <f ca="1">IFERROR(AVERAGEIF(OFFSET(Table1[[#This Row],[Status]],0,COUNT(Table1[[#This Row],[2019-May]:[2025-July]]),1,-12),"&lt;&gt;0"),0)</f>
        <v>4.0750000000000002</v>
      </c>
      <c r="H1445" s="55">
        <f>IFERROR(SMALL(Table1[[#This Row],[2019-Apr]:[2025-July]],COUNTIF(Table1[[#This Row],[2019-Apr]:[2025-July]],0)+1),0)</f>
        <v>2.8</v>
      </c>
      <c r="I1445" s="56">
        <f>IFERROR(MAX(Table1[[#This Row],[2019-Apr]:[2025-July]]),0)</f>
        <v>5.2</v>
      </c>
      <c r="J1445" s="4" cm="1">
        <f t="array" ref="J144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4.3</v>
      </c>
      <c r="K1445" s="4">
        <v>4.5</v>
      </c>
      <c r="L1445" s="4">
        <f>IF(Table1[[#This Row],[Standard as per ISO]]&gt;=Table1[[#This Row],[Avg of best 6]],Table1[[#This Row],[Standard as per ISO]],Table1[[#This Row],[Avg of best 6]])</f>
        <v>4.5</v>
      </c>
      <c r="M1445" s="4" cm="1">
        <f t="array" ref="M1445">IFERROR(LOOKUP(2,1/(Table1[[#This Row],[2019-May]:[2025-July]]&lt;&gt;0),Table1[[#This Row],[2019-May]:[2025-July]]),0)</f>
        <v>5.2</v>
      </c>
      <c r="N1445" s="4">
        <f>COUNTIF(Table1[[#This Row],[2019-Apr]:[2025-July]],"&gt;="&amp;Table1[[#This Row],[Target]])</f>
        <v>2</v>
      </c>
      <c r="O1445" s="4">
        <f>IF(Table1[[#This Row],[Outliers 2Y]]=0,1,0)</f>
        <v>0</v>
      </c>
      <c r="P1445" s="4">
        <f>IF(Table1[[#This Row],[Last value]]&gt;1.5*Table1[[#This Row],[Target]],1,0)</f>
        <v>0</v>
      </c>
      <c r="Q1445" s="4">
        <f>IF(AND(1.5*Table1[[#This Row],[Target]]&gt;=Table1[[#This Row],[Last value]],Table1[[#This Row],[Last value]]&gt;Table1[[#This Row],[Target]]),1,0)</f>
        <v>1</v>
      </c>
      <c r="R1445" s="4">
        <f>IF(Table1[[#This Row],[Target]]&gt;=Table1[[#This Row],[Last value]],1,0)</f>
        <v>0</v>
      </c>
      <c r="S1445" s="4" t="str">
        <f t="shared" si="35"/>
        <v>Yellow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27">
        <v>4.4000000000000004</v>
      </c>
      <c r="CM1445" s="4">
        <v>4.8</v>
      </c>
      <c r="CN1445" s="53">
        <v>0</v>
      </c>
      <c r="CO1445" s="54">
        <v>2.8</v>
      </c>
      <c r="CP1445" s="54">
        <v>4.3</v>
      </c>
      <c r="CQ1445" s="4">
        <v>5.2</v>
      </c>
    </row>
    <row r="1446" spans="1:95" x14ac:dyDescent="0.35">
      <c r="A1446" s="55">
        <v>1447</v>
      </c>
      <c r="B1446" s="47" t="s">
        <v>1576</v>
      </c>
      <c r="C1446" s="51" t="s">
        <v>1483</v>
      </c>
      <c r="D1446" s="50" t="s">
        <v>88</v>
      </c>
      <c r="E1446" s="50" t="s">
        <v>89</v>
      </c>
      <c r="F1446" s="4">
        <f>IFERROR(AVERAGEIF(Table1[[#This Row],[2019-Apr]:[2025-July]],"&lt;&gt;0"),0)</f>
        <v>5.9</v>
      </c>
      <c r="G1446" s="4">
        <f ca="1">IFERROR(AVERAGEIF(OFFSET(Table1[[#This Row],[Status]],0,COUNT(Table1[[#This Row],[2019-May]:[2025-July]]),1,-12),"&lt;&gt;0"),0)</f>
        <v>6</v>
      </c>
      <c r="H1446" s="55">
        <f>IFERROR(SMALL(Table1[[#This Row],[2019-Apr]:[2025-July]],COUNTIF(Table1[[#This Row],[2019-Apr]:[2025-July]],0)+1),0)</f>
        <v>4.3</v>
      </c>
      <c r="I1446" s="56">
        <f>IFERROR(MAX(Table1[[#This Row],[2019-Apr]:[2025-July]]),0)</f>
        <v>7.9</v>
      </c>
      <c r="J1446" s="4" cm="1">
        <f t="array" ref="J144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5.9</v>
      </c>
      <c r="K1446" s="4">
        <v>4.5</v>
      </c>
      <c r="L1446" s="4">
        <f>IF(Table1[[#This Row],[Standard as per ISO]]&gt;=Table1[[#This Row],[Avg of best 6]],Table1[[#This Row],[Standard as per ISO]],Table1[[#This Row],[Avg of best 6]])</f>
        <v>5.9</v>
      </c>
      <c r="M1446" s="4" cm="1">
        <f t="array" ref="M1446">IFERROR(LOOKUP(2,1/(Table1[[#This Row],[2019-May]:[2025-July]]&lt;&gt;0),Table1[[#This Row],[2019-May]:[2025-July]]),0)</f>
        <v>5.5</v>
      </c>
      <c r="N1446" s="4">
        <f>COUNTIF(Table1[[#This Row],[2019-Apr]:[2025-July]],"&gt;="&amp;Table1[[#This Row],[Target]])</f>
        <v>2</v>
      </c>
      <c r="O1446" s="4">
        <f>IF(Table1[[#This Row],[Outliers 2Y]]=0,1,0)</f>
        <v>0</v>
      </c>
      <c r="P1446" s="4">
        <f>IF(Table1[[#This Row],[Last value]]&gt;1.5*Table1[[#This Row],[Target]],1,0)</f>
        <v>0</v>
      </c>
      <c r="Q1446" s="4">
        <f>IF(AND(1.5*Table1[[#This Row],[Target]]&gt;=Table1[[#This Row],[Last value]],Table1[[#This Row],[Last value]]&gt;Table1[[#This Row],[Target]]),1,0)</f>
        <v>0</v>
      </c>
      <c r="R1446" s="4">
        <f>IF(Table1[[#This Row],[Target]]&gt;=Table1[[#This Row],[Last value]],1,0)</f>
        <v>1</v>
      </c>
      <c r="S1446" s="4" t="str">
        <f t="shared" si="35"/>
        <v>Green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27">
        <v>7.9</v>
      </c>
      <c r="CM1446" s="4">
        <v>6</v>
      </c>
      <c r="CN1446" s="53">
        <v>0</v>
      </c>
      <c r="CO1446" s="54">
        <v>4.3</v>
      </c>
      <c r="CP1446" s="54">
        <v>5.8</v>
      </c>
      <c r="CQ1446" s="4">
        <v>5.5</v>
      </c>
    </row>
    <row r="1447" spans="1:95" x14ac:dyDescent="0.35">
      <c r="A1447" s="55">
        <v>1448</v>
      </c>
      <c r="B1447" s="47" t="s">
        <v>1576</v>
      </c>
      <c r="C1447" s="51" t="s">
        <v>1484</v>
      </c>
      <c r="D1447" s="50" t="s">
        <v>88</v>
      </c>
      <c r="E1447" s="50" t="s">
        <v>89</v>
      </c>
      <c r="F1447" s="4">
        <f>IFERROR(AVERAGEIF(Table1[[#This Row],[2019-Apr]:[2025-July]],"&lt;&gt;0"),0)</f>
        <v>1.9600000000000002</v>
      </c>
      <c r="G1447" s="4">
        <f ca="1">IFERROR(AVERAGEIF(OFFSET(Table1[[#This Row],[Status]],0,COUNT(Table1[[#This Row],[2019-May]:[2025-July]]),1,-12),"&lt;&gt;0"),0)</f>
        <v>2.0500000000000003</v>
      </c>
      <c r="H1447" s="55">
        <f>IFERROR(SMALL(Table1[[#This Row],[2019-Apr]:[2025-July]],COUNTIF(Table1[[#This Row],[2019-Apr]:[2025-July]],0)+1),0)</f>
        <v>0.8</v>
      </c>
      <c r="I1447" s="56">
        <f>IFERROR(MAX(Table1[[#This Row],[2019-Apr]:[2025-July]]),0)</f>
        <v>5.2</v>
      </c>
      <c r="J1447" s="4" cm="1">
        <f t="array" ref="J144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1.9600000000000002</v>
      </c>
      <c r="K1447" s="4">
        <v>4.5</v>
      </c>
      <c r="L1447" s="4">
        <f>IF(Table1[[#This Row],[Standard as per ISO]]&gt;=Table1[[#This Row],[Avg of best 6]],Table1[[#This Row],[Standard as per ISO]],Table1[[#This Row],[Avg of best 6]])</f>
        <v>4.5</v>
      </c>
      <c r="M1447" s="4" cm="1">
        <f t="array" ref="M1447">IFERROR(LOOKUP(2,1/(Table1[[#This Row],[2019-May]:[2025-July]]&lt;&gt;0),Table1[[#This Row],[2019-May]:[2025-July]]),0)</f>
        <v>1.6</v>
      </c>
      <c r="N1447" s="4">
        <f>COUNTIF(Table1[[#This Row],[2019-Apr]:[2025-July]],"&gt;="&amp;Table1[[#This Row],[Target]])</f>
        <v>1</v>
      </c>
      <c r="O1447" s="4">
        <f>IF(Table1[[#This Row],[Outliers 2Y]]=0,1,0)</f>
        <v>0</v>
      </c>
      <c r="P1447" s="4">
        <f>IF(Table1[[#This Row],[Last value]]&gt;1.5*Table1[[#This Row],[Target]],1,0)</f>
        <v>0</v>
      </c>
      <c r="Q1447" s="4">
        <f>IF(AND(1.5*Table1[[#This Row],[Target]]&gt;=Table1[[#This Row],[Last value]],Table1[[#This Row],[Last value]]&gt;Table1[[#This Row],[Target]]),1,0)</f>
        <v>0</v>
      </c>
      <c r="R1447" s="4">
        <f>IF(Table1[[#This Row],[Target]]&gt;=Table1[[#This Row],[Last value]],1,0)</f>
        <v>1</v>
      </c>
      <c r="S1447" s="4" t="str">
        <f t="shared" si="35"/>
        <v>Green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27">
        <v>1.3</v>
      </c>
      <c r="CM1447" s="4">
        <v>0.8</v>
      </c>
      <c r="CN1447" s="53">
        <v>0</v>
      </c>
      <c r="CO1447" s="54">
        <v>5.2</v>
      </c>
      <c r="CP1447" s="54">
        <v>0.9</v>
      </c>
      <c r="CQ1447" s="4">
        <v>1.6</v>
      </c>
    </row>
    <row r="1448" spans="1:95" x14ac:dyDescent="0.35">
      <c r="A1448" s="55">
        <v>1449</v>
      </c>
      <c r="B1448" s="47" t="s">
        <v>1479</v>
      </c>
      <c r="C1448" s="51" t="s">
        <v>1485</v>
      </c>
      <c r="D1448" s="50" t="s">
        <v>88</v>
      </c>
      <c r="E1448" s="50" t="s">
        <v>89</v>
      </c>
      <c r="F1448" s="4">
        <f>IFERROR(AVERAGEIF(Table1[[#This Row],[2019-Apr]:[2025-July]],"&lt;&gt;0"),0)</f>
        <v>0.8</v>
      </c>
      <c r="G1448" s="4">
        <f ca="1">IFERROR(AVERAGEIF(OFFSET(Table1[[#This Row],[Status]],0,COUNT(Table1[[#This Row],[2019-May]:[2025-July]]),1,-12),"&lt;&gt;0"),0)</f>
        <v>0.8</v>
      </c>
      <c r="H1448" s="55">
        <f>IFERROR(SMALL(Table1[[#This Row],[2019-Apr]:[2025-July]],COUNTIF(Table1[[#This Row],[2019-Apr]:[2025-July]],0)+1),0)</f>
        <v>0.8</v>
      </c>
      <c r="I1448" s="56">
        <f>IFERROR(MAX(Table1[[#This Row],[2019-Apr]:[2025-July]]),0)</f>
        <v>0.8</v>
      </c>
      <c r="J1448" s="4" cm="1">
        <f t="array" ref="J144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0.8</v>
      </c>
      <c r="K1448" s="4">
        <v>4.5</v>
      </c>
      <c r="L1448" s="4">
        <f>IF(Table1[[#This Row],[Standard as per ISO]]&gt;=Table1[[#This Row],[Avg of best 6]],Table1[[#This Row],[Standard as per ISO]],Table1[[#This Row],[Avg of best 6]])</f>
        <v>4.5</v>
      </c>
      <c r="M1448" s="4" cm="1">
        <f t="array" ref="M1448">IFERROR(LOOKUP(2,1/(Table1[[#This Row],[2019-May]:[2025-July]]&lt;&gt;0),Table1[[#This Row],[2019-May]:[2025-July]]),0)</f>
        <v>0.8</v>
      </c>
      <c r="N1448" s="4">
        <f>COUNTIF(Table1[[#This Row],[2019-Apr]:[2025-July]],"&gt;="&amp;Table1[[#This Row],[Target]])</f>
        <v>0</v>
      </c>
      <c r="O1448" s="4">
        <f>IF(Table1[[#This Row],[Outliers 2Y]]=0,1,0)</f>
        <v>1</v>
      </c>
      <c r="P1448" s="4">
        <f>IF(Table1[[#This Row],[Last value]]&gt;1.5*Table1[[#This Row],[Target]],1,0)</f>
        <v>0</v>
      </c>
      <c r="Q1448" s="4">
        <f>IF(AND(1.5*Table1[[#This Row],[Target]]&gt;=Table1[[#This Row],[Last value]],Table1[[#This Row],[Last value]]&gt;Table1[[#This Row],[Target]]),1,0)</f>
        <v>0</v>
      </c>
      <c r="R1448" s="4">
        <f>IF(Table1[[#This Row],[Target]]&gt;=Table1[[#This Row],[Last value]],1,0)</f>
        <v>1</v>
      </c>
      <c r="S1448" s="4" t="str">
        <f t="shared" si="35"/>
        <v>Green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53">
        <v>0</v>
      </c>
      <c r="CO1448" s="54">
        <v>0.8</v>
      </c>
      <c r="CP1448" s="54">
        <v>0</v>
      </c>
      <c r="CQ1448" s="4">
        <v>0</v>
      </c>
    </row>
    <row r="1449" spans="1:95" x14ac:dyDescent="0.35">
      <c r="A1449" s="55">
        <v>1450</v>
      </c>
      <c r="B1449" s="47" t="s">
        <v>1479</v>
      </c>
      <c r="C1449" s="51" t="s">
        <v>1486</v>
      </c>
      <c r="D1449" s="50" t="s">
        <v>88</v>
      </c>
      <c r="E1449" s="50" t="s">
        <v>89</v>
      </c>
      <c r="F1449" s="4">
        <f>IFERROR(AVERAGEIF(Table1[[#This Row],[2019-Apr]:[2025-July]],"&lt;&gt;0"),0)</f>
        <v>3.5333333333333332</v>
      </c>
      <c r="G1449" s="4">
        <f ca="1">IFERROR(AVERAGEIF(OFFSET(Table1[[#This Row],[Status]],0,COUNT(Table1[[#This Row],[2019-May]:[2025-July]]),1,-12),"&lt;&gt;0"),0)</f>
        <v>4.05</v>
      </c>
      <c r="H1449" s="55">
        <f>IFERROR(SMALL(Table1[[#This Row],[2019-Apr]:[2025-July]],COUNTIF(Table1[[#This Row],[2019-Apr]:[2025-July]],0)+1),0)</f>
        <v>2.5</v>
      </c>
      <c r="I1449" s="56">
        <f>IFERROR(MAX(Table1[[#This Row],[2019-Apr]:[2025-July]]),0)</f>
        <v>5</v>
      </c>
      <c r="J1449" s="4" cm="1">
        <f t="array" ref="J144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3.5333333333333332</v>
      </c>
      <c r="K1449" s="4">
        <v>4.5</v>
      </c>
      <c r="L1449" s="4">
        <f>IF(Table1[[#This Row],[Standard as per ISO]]&gt;=Table1[[#This Row],[Avg of best 6]],Table1[[#This Row],[Standard as per ISO]],Table1[[#This Row],[Avg of best 6]])</f>
        <v>4.5</v>
      </c>
      <c r="M1449" s="4" cm="1">
        <f t="array" ref="M1449">IFERROR(LOOKUP(2,1/(Table1[[#This Row],[2019-May]:[2025-July]]&lt;&gt;0),Table1[[#This Row],[2019-May]:[2025-July]]),0)</f>
        <v>2.5</v>
      </c>
      <c r="N1449" s="4">
        <f>COUNTIF(Table1[[#This Row],[2019-Apr]:[2025-July]],"&gt;="&amp;Table1[[#This Row],[Target]])</f>
        <v>1</v>
      </c>
      <c r="O1449" s="4">
        <f>IF(Table1[[#This Row],[Outliers 2Y]]=0,1,0)</f>
        <v>0</v>
      </c>
      <c r="P1449" s="4">
        <f>IF(Table1[[#This Row],[Last value]]&gt;1.5*Table1[[#This Row],[Target]],1,0)</f>
        <v>0</v>
      </c>
      <c r="Q1449" s="4">
        <f>IF(AND(1.5*Table1[[#This Row],[Target]]&gt;=Table1[[#This Row],[Last value]],Table1[[#This Row],[Last value]]&gt;Table1[[#This Row],[Target]]),1,0)</f>
        <v>0</v>
      </c>
      <c r="R1449" s="4">
        <f>IF(Table1[[#This Row],[Target]]&gt;=Table1[[#This Row],[Last value]],1,0)</f>
        <v>1</v>
      </c>
      <c r="S1449" s="4" t="str">
        <f t="shared" si="35"/>
        <v>Green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53">
        <v>0</v>
      </c>
      <c r="CO1449" s="54">
        <v>5</v>
      </c>
      <c r="CP1449" s="54">
        <v>3.1</v>
      </c>
      <c r="CQ1449" s="4">
        <v>2.5</v>
      </c>
    </row>
    <row r="1450" spans="1:95" x14ac:dyDescent="0.35">
      <c r="A1450" s="55">
        <v>1451</v>
      </c>
      <c r="B1450" s="47" t="s">
        <v>1479</v>
      </c>
      <c r="C1450" s="51" t="s">
        <v>1487</v>
      </c>
      <c r="D1450" s="50" t="s">
        <v>88</v>
      </c>
      <c r="E1450" s="50" t="s">
        <v>89</v>
      </c>
      <c r="F1450" s="4">
        <f>IFERROR(AVERAGEIF(Table1[[#This Row],[2019-Apr]:[2025-July]],"&lt;&gt;0"),0)</f>
        <v>0</v>
      </c>
      <c r="G1450" s="4">
        <f ca="1">IFERROR(AVERAGEIF(OFFSET(Table1[[#This Row],[Status]],0,COUNT(Table1[[#This Row],[2019-May]:[2025-July]]),1,-12),"&lt;&gt;0"),0)</f>
        <v>0</v>
      </c>
      <c r="H1450" s="55">
        <f>IFERROR(SMALL(Table1[[#This Row],[2019-Apr]:[2025-July]],COUNTIF(Table1[[#This Row],[2019-Apr]:[2025-July]],0)+1),0)</f>
        <v>0</v>
      </c>
      <c r="I1450" s="56">
        <f>IFERROR(MAX(Table1[[#This Row],[2019-Apr]:[2025-July]]),0)</f>
        <v>0</v>
      </c>
      <c r="J1450" s="4" cm="1">
        <f t="array" ref="J1450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450" s="4">
        <v>4.5</v>
      </c>
      <c r="L1450" s="4">
        <f>IF(Table1[[#This Row],[Standard as per ISO]]&gt;=Table1[[#This Row],[Avg of best 6]],Table1[[#This Row],[Standard as per ISO]],Table1[[#This Row],[Avg of best 6]])</f>
        <v>4.5</v>
      </c>
      <c r="M1450" s="4" cm="1">
        <f t="array" ref="M1450">IFERROR(LOOKUP(2,1/(Table1[[#This Row],[2019-May]:[2025-July]]&lt;&gt;0),Table1[[#This Row],[2019-May]:[2025-July]]),0)</f>
        <v>0</v>
      </c>
      <c r="N1450" s="4">
        <f>COUNTIF(Table1[[#This Row],[2019-Apr]:[2025-July]],"&gt;="&amp;Table1[[#This Row],[Target]])</f>
        <v>0</v>
      </c>
      <c r="O1450" s="4">
        <f>IF(Table1[[#This Row],[Outliers 2Y]]=0,1,0)</f>
        <v>1</v>
      </c>
      <c r="P1450" s="4">
        <f>IF(Table1[[#This Row],[Last value]]&gt;1.5*Table1[[#This Row],[Target]],1,0)</f>
        <v>0</v>
      </c>
      <c r="Q1450" s="4">
        <f>IF(AND(1.5*Table1[[#This Row],[Target]]&gt;=Table1[[#This Row],[Last value]],Table1[[#This Row],[Last value]]&gt;Table1[[#This Row],[Target]]),1,0)</f>
        <v>0</v>
      </c>
      <c r="R1450" s="4">
        <f>IF(Table1[[#This Row],[Target]]&gt;=Table1[[#This Row],[Last value]],1,0)</f>
        <v>1</v>
      </c>
      <c r="S1450" s="4" t="str">
        <f t="shared" si="35"/>
        <v>Green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53">
        <v>0</v>
      </c>
      <c r="CO1450" s="54">
        <v>0</v>
      </c>
      <c r="CP1450" s="54">
        <v>0</v>
      </c>
      <c r="CQ1450" s="4">
        <v>0</v>
      </c>
    </row>
    <row r="1451" spans="1:95" x14ac:dyDescent="0.35">
      <c r="A1451" s="55">
        <v>1452</v>
      </c>
      <c r="B1451" s="47" t="s">
        <v>1479</v>
      </c>
      <c r="C1451" s="51" t="s">
        <v>1488</v>
      </c>
      <c r="D1451" s="50" t="s">
        <v>88</v>
      </c>
      <c r="E1451" s="50" t="s">
        <v>89</v>
      </c>
      <c r="F1451" s="4">
        <f>IFERROR(AVERAGEIF(Table1[[#This Row],[2019-Apr]:[2025-July]],"&lt;&gt;0"),0)</f>
        <v>0</v>
      </c>
      <c r="G1451" s="4">
        <f ca="1">IFERROR(AVERAGEIF(OFFSET(Table1[[#This Row],[Status]],0,COUNT(Table1[[#This Row],[2019-May]:[2025-July]]),1,-12),"&lt;&gt;0"),0)</f>
        <v>0</v>
      </c>
      <c r="H1451" s="55">
        <f>IFERROR(SMALL(Table1[[#This Row],[2019-Apr]:[2025-July]],COUNTIF(Table1[[#This Row],[2019-Apr]:[2025-July]],0)+1),0)</f>
        <v>0</v>
      </c>
      <c r="I1451" s="56">
        <f>IFERROR(MAX(Table1[[#This Row],[2019-Apr]:[2025-July]]),0)</f>
        <v>0</v>
      </c>
      <c r="J1451" s="4" cm="1">
        <f t="array" ref="J1451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451" s="4">
        <v>4.5</v>
      </c>
      <c r="L1451" s="4">
        <f>IF(Table1[[#This Row],[Standard as per ISO]]&gt;=Table1[[#This Row],[Avg of best 6]],Table1[[#This Row],[Standard as per ISO]],Table1[[#This Row],[Avg of best 6]])</f>
        <v>4.5</v>
      </c>
      <c r="M1451" s="4" cm="1">
        <f t="array" ref="M1451">IFERROR(LOOKUP(2,1/(Table1[[#This Row],[2019-May]:[2025-July]]&lt;&gt;0),Table1[[#This Row],[2019-May]:[2025-July]]),0)</f>
        <v>0</v>
      </c>
      <c r="N1451" s="4">
        <f>COUNTIF(Table1[[#This Row],[2019-Apr]:[2025-July]],"&gt;="&amp;Table1[[#This Row],[Target]])</f>
        <v>0</v>
      </c>
      <c r="O1451" s="4">
        <f>IF(Table1[[#This Row],[Outliers 2Y]]=0,1,0)</f>
        <v>1</v>
      </c>
      <c r="P1451" s="4">
        <f>IF(Table1[[#This Row],[Last value]]&gt;1.5*Table1[[#This Row],[Target]],1,0)</f>
        <v>0</v>
      </c>
      <c r="Q1451" s="4">
        <f>IF(AND(1.5*Table1[[#This Row],[Target]]&gt;=Table1[[#This Row],[Last value]],Table1[[#This Row],[Last value]]&gt;Table1[[#This Row],[Target]]),1,0)</f>
        <v>0</v>
      </c>
      <c r="R1451" s="4">
        <f>IF(Table1[[#This Row],[Target]]&gt;=Table1[[#This Row],[Last value]],1,0)</f>
        <v>1</v>
      </c>
      <c r="S1451" s="4" t="str">
        <f t="shared" si="35"/>
        <v>Green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53">
        <v>0</v>
      </c>
      <c r="CO1451" s="54">
        <v>0</v>
      </c>
      <c r="CP1451" s="54">
        <v>0</v>
      </c>
      <c r="CQ1451" s="4">
        <v>0</v>
      </c>
    </row>
    <row r="1452" spans="1:95" x14ac:dyDescent="0.35">
      <c r="A1452" s="55">
        <v>1453</v>
      </c>
      <c r="B1452" s="47" t="s">
        <v>1479</v>
      </c>
      <c r="C1452" s="51" t="s">
        <v>1489</v>
      </c>
      <c r="D1452" s="50" t="s">
        <v>88</v>
      </c>
      <c r="E1452" s="50" t="s">
        <v>89</v>
      </c>
      <c r="F1452" s="4">
        <f>IFERROR(AVERAGEIF(Table1[[#This Row],[2019-Apr]:[2025-July]],"&lt;&gt;0"),0)</f>
        <v>0</v>
      </c>
      <c r="G1452" s="4">
        <f ca="1">IFERROR(AVERAGEIF(OFFSET(Table1[[#This Row],[Status]],0,COUNT(Table1[[#This Row],[2019-May]:[2025-July]]),1,-12),"&lt;&gt;0"),0)</f>
        <v>0</v>
      </c>
      <c r="H1452" s="55">
        <f>IFERROR(SMALL(Table1[[#This Row],[2019-Apr]:[2025-July]],COUNTIF(Table1[[#This Row],[2019-Apr]:[2025-July]],0)+1),0)</f>
        <v>0</v>
      </c>
      <c r="I1452" s="56">
        <f>IFERROR(MAX(Table1[[#This Row],[2019-Apr]:[2025-July]]),0)</f>
        <v>0</v>
      </c>
      <c r="J1452" s="4" cm="1">
        <f t="array" ref="J1452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452" s="4">
        <v>4.5</v>
      </c>
      <c r="L1452" s="4">
        <f>IF(Table1[[#This Row],[Standard as per ISO]]&gt;=Table1[[#This Row],[Avg of best 6]],Table1[[#This Row],[Standard as per ISO]],Table1[[#This Row],[Avg of best 6]])</f>
        <v>4.5</v>
      </c>
      <c r="M1452" s="4" cm="1">
        <f t="array" ref="M1452">IFERROR(LOOKUP(2,1/(Table1[[#This Row],[2019-May]:[2025-July]]&lt;&gt;0),Table1[[#This Row],[2019-May]:[2025-July]]),0)</f>
        <v>0</v>
      </c>
      <c r="N1452" s="4">
        <f>COUNTIF(Table1[[#This Row],[2019-Apr]:[2025-July]],"&gt;="&amp;Table1[[#This Row],[Target]])</f>
        <v>0</v>
      </c>
      <c r="O1452" s="4">
        <f>IF(Table1[[#This Row],[Outliers 2Y]]=0,1,0)</f>
        <v>1</v>
      </c>
      <c r="P1452" s="4">
        <f>IF(Table1[[#This Row],[Last value]]&gt;1.5*Table1[[#This Row],[Target]],1,0)</f>
        <v>0</v>
      </c>
      <c r="Q1452" s="4">
        <f>IF(AND(1.5*Table1[[#This Row],[Target]]&gt;=Table1[[#This Row],[Last value]],Table1[[#This Row],[Last value]]&gt;Table1[[#This Row],[Target]]),1,0)</f>
        <v>0</v>
      </c>
      <c r="R1452" s="4">
        <f>IF(Table1[[#This Row],[Target]]&gt;=Table1[[#This Row],[Last value]],1,0)</f>
        <v>1</v>
      </c>
      <c r="S1452" s="4" t="str">
        <f t="shared" si="35"/>
        <v>Green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53">
        <v>0</v>
      </c>
      <c r="CO1452" s="54">
        <v>0</v>
      </c>
      <c r="CP1452" s="54">
        <v>0</v>
      </c>
      <c r="CQ1452" s="4">
        <v>0</v>
      </c>
    </row>
    <row r="1453" spans="1:95" x14ac:dyDescent="0.35">
      <c r="A1453" s="55">
        <v>1454</v>
      </c>
      <c r="B1453" s="47" t="s">
        <v>1479</v>
      </c>
      <c r="C1453" s="51" t="s">
        <v>1490</v>
      </c>
      <c r="D1453" s="50" t="s">
        <v>88</v>
      </c>
      <c r="E1453" s="50" t="s">
        <v>89</v>
      </c>
      <c r="F1453" s="4">
        <f>IFERROR(AVERAGEIF(Table1[[#This Row],[2019-Apr]:[2025-July]],"&lt;&gt;0"),0)</f>
        <v>0</v>
      </c>
      <c r="G1453" s="4">
        <f ca="1">IFERROR(AVERAGEIF(OFFSET(Table1[[#This Row],[Status]],0,COUNT(Table1[[#This Row],[2019-May]:[2025-July]]),1,-12),"&lt;&gt;0"),0)</f>
        <v>0</v>
      </c>
      <c r="H1453" s="55">
        <f>IFERROR(SMALL(Table1[[#This Row],[2019-Apr]:[2025-July]],COUNTIF(Table1[[#This Row],[2019-Apr]:[2025-July]],0)+1),0)</f>
        <v>0</v>
      </c>
      <c r="I1453" s="56">
        <f>IFERROR(MAX(Table1[[#This Row],[2019-Apr]:[2025-July]]),0)</f>
        <v>0</v>
      </c>
      <c r="J1453" s="4" cm="1">
        <f t="array" ref="J1453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</v>
      </c>
      <c r="K1453" s="4">
        <v>4.5</v>
      </c>
      <c r="L1453" s="4">
        <f>IF(Table1[[#This Row],[Standard as per ISO]]&gt;=Table1[[#This Row],[Avg of best 6]],Table1[[#This Row],[Standard as per ISO]],Table1[[#This Row],[Avg of best 6]])</f>
        <v>4.5</v>
      </c>
      <c r="M1453" s="4" cm="1">
        <f t="array" ref="M1453">IFERROR(LOOKUP(2,1/(Table1[[#This Row],[2019-May]:[2025-July]]&lt;&gt;0),Table1[[#This Row],[2019-May]:[2025-July]]),0)</f>
        <v>0</v>
      </c>
      <c r="N1453" s="4">
        <f>COUNTIF(Table1[[#This Row],[2019-Apr]:[2025-July]],"&gt;="&amp;Table1[[#This Row],[Target]])</f>
        <v>0</v>
      </c>
      <c r="O1453" s="4">
        <f>IF(Table1[[#This Row],[Outliers 2Y]]=0,1,0)</f>
        <v>1</v>
      </c>
      <c r="P1453" s="4">
        <f>IF(Table1[[#This Row],[Last value]]&gt;1.5*Table1[[#This Row],[Target]],1,0)</f>
        <v>0</v>
      </c>
      <c r="Q1453" s="4">
        <f>IF(AND(1.5*Table1[[#This Row],[Target]]&gt;=Table1[[#This Row],[Last value]],Table1[[#This Row],[Last value]]&gt;Table1[[#This Row],[Target]]),1,0)</f>
        <v>0</v>
      </c>
      <c r="R1453" s="4">
        <f>IF(Table1[[#This Row],[Target]]&gt;=Table1[[#This Row],[Last value]],1,0)</f>
        <v>1</v>
      </c>
      <c r="S1453" s="4" t="str">
        <f t="shared" si="35"/>
        <v>Green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53">
        <v>0</v>
      </c>
      <c r="CO1453" s="54">
        <v>0</v>
      </c>
      <c r="CP1453" s="54">
        <v>0</v>
      </c>
      <c r="CQ1453" s="4">
        <v>0</v>
      </c>
    </row>
    <row r="1454" spans="1:95" x14ac:dyDescent="0.35">
      <c r="A1454" s="55">
        <v>1455</v>
      </c>
      <c r="B1454" s="47" t="s">
        <v>1576</v>
      </c>
      <c r="C1454" s="51" t="s">
        <v>1491</v>
      </c>
      <c r="D1454" s="50" t="s">
        <v>88</v>
      </c>
      <c r="E1454" s="50" t="s">
        <v>89</v>
      </c>
      <c r="F1454" s="4">
        <f>IFERROR(AVERAGEIF(Table1[[#This Row],[2019-Apr]:[2025-July]],"&lt;&gt;0"),0)</f>
        <v>1.05</v>
      </c>
      <c r="G1454" s="4">
        <f ca="1">IFERROR(AVERAGEIF(OFFSET(Table1[[#This Row],[Status]],0,COUNT(Table1[[#This Row],[2019-May]:[2025-July]]),1,-12),"&lt;&gt;0"),0)</f>
        <v>0.9</v>
      </c>
      <c r="H1454" s="55">
        <f>IFERROR(SMALL(Table1[[#This Row],[2019-Apr]:[2025-July]],COUNTIF(Table1[[#This Row],[2019-Apr]:[2025-July]],0)+1),0)</f>
        <v>0.8</v>
      </c>
      <c r="I1454" s="56">
        <f>IFERROR(MAX(Table1[[#This Row],[2019-Apr]:[2025-July]]),0)</f>
        <v>1.5</v>
      </c>
      <c r="J1454" s="4" cm="1">
        <f t="array" ref="J1454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1.05</v>
      </c>
      <c r="K1454" s="4">
        <v>4.5</v>
      </c>
      <c r="L1454" s="4">
        <f>IF(Table1[[#This Row],[Standard as per ISO]]&gt;=Table1[[#This Row],[Avg of best 6]],Table1[[#This Row],[Standard as per ISO]],Table1[[#This Row],[Avg of best 6]])</f>
        <v>4.5</v>
      </c>
      <c r="M1454" s="4" cm="1">
        <f t="array" ref="M1454">IFERROR(LOOKUP(2,1/(Table1[[#This Row],[2019-May]:[2025-July]]&lt;&gt;0),Table1[[#This Row],[2019-May]:[2025-July]]),0)</f>
        <v>1.5</v>
      </c>
      <c r="N1454" s="4">
        <f>COUNTIF(Table1[[#This Row],[2019-Apr]:[2025-July]],"&gt;="&amp;Table1[[#This Row],[Target]])</f>
        <v>0</v>
      </c>
      <c r="O1454" s="4">
        <f>IF(Table1[[#This Row],[Outliers 2Y]]=0,1,0)</f>
        <v>1</v>
      </c>
      <c r="P1454" s="4">
        <f>IF(Table1[[#This Row],[Last value]]&gt;1.5*Table1[[#This Row],[Target]],1,0)</f>
        <v>0</v>
      </c>
      <c r="Q1454" s="4">
        <f>IF(AND(1.5*Table1[[#This Row],[Target]]&gt;=Table1[[#This Row],[Last value]],Table1[[#This Row],[Last value]]&gt;Table1[[#This Row],[Target]]),1,0)</f>
        <v>0</v>
      </c>
      <c r="R1454" s="4">
        <f>IF(Table1[[#This Row],[Target]]&gt;=Table1[[#This Row],[Last value]],1,0)</f>
        <v>1</v>
      </c>
      <c r="S1454" s="4" t="str">
        <f t="shared" si="35"/>
        <v>Green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27">
        <v>1</v>
      </c>
      <c r="CM1454" s="4">
        <v>0</v>
      </c>
      <c r="CN1454" s="53">
        <v>0</v>
      </c>
      <c r="CO1454" s="54">
        <v>0.8</v>
      </c>
      <c r="CP1454" s="54">
        <v>0.9</v>
      </c>
      <c r="CQ1454" s="4">
        <v>1.5</v>
      </c>
    </row>
    <row r="1455" spans="1:95" x14ac:dyDescent="0.35">
      <c r="A1455" s="55">
        <v>1456</v>
      </c>
      <c r="B1455" s="47" t="s">
        <v>1576</v>
      </c>
      <c r="C1455" s="51" t="s">
        <v>1492</v>
      </c>
      <c r="D1455" s="50" t="s">
        <v>88</v>
      </c>
      <c r="E1455" s="50" t="s">
        <v>89</v>
      </c>
      <c r="F1455" s="4">
        <f>IFERROR(AVERAGEIF(Table1[[#This Row],[2019-Apr]:[2025-July]],"&lt;&gt;0"),0)</f>
        <v>1.9666666666666668</v>
      </c>
      <c r="G1455" s="4">
        <f ca="1">IFERROR(AVERAGEIF(OFFSET(Table1[[#This Row],[Status]],0,COUNT(Table1[[#This Row],[2019-May]:[2025-July]]),1,-12),"&lt;&gt;0"),0)</f>
        <v>1.85</v>
      </c>
      <c r="H1455" s="55">
        <f>IFERROR(SMALL(Table1[[#This Row],[2019-Apr]:[2025-July]],COUNTIF(Table1[[#This Row],[2019-Apr]:[2025-July]],0)+1),0)</f>
        <v>1.8</v>
      </c>
      <c r="I1455" s="56">
        <f>IFERROR(MAX(Table1[[#This Row],[2019-Apr]:[2025-July]]),0)</f>
        <v>2.2000000000000002</v>
      </c>
      <c r="J1455" s="4" cm="1">
        <f t="array" ref="J1455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1.9666666666666668</v>
      </c>
      <c r="K1455" s="4">
        <v>4.5</v>
      </c>
      <c r="L1455" s="4">
        <f>IF(Table1[[#This Row],[Standard as per ISO]]&gt;=Table1[[#This Row],[Avg of best 6]],Table1[[#This Row],[Standard as per ISO]],Table1[[#This Row],[Avg of best 6]])</f>
        <v>4.5</v>
      </c>
      <c r="M1455" s="4" cm="1">
        <f t="array" ref="M1455">IFERROR(LOOKUP(2,1/(Table1[[#This Row],[2019-May]:[2025-July]]&lt;&gt;0),Table1[[#This Row],[2019-May]:[2025-July]]),0)</f>
        <v>2.2000000000000002</v>
      </c>
      <c r="N1455" s="4">
        <f>COUNTIF(Table1[[#This Row],[2019-Apr]:[2025-July]],"&gt;="&amp;Table1[[#This Row],[Target]])</f>
        <v>0</v>
      </c>
      <c r="O1455" s="4">
        <f>IF(Table1[[#This Row],[Outliers 2Y]]=0,1,0)</f>
        <v>1</v>
      </c>
      <c r="P1455" s="4">
        <f>IF(Table1[[#This Row],[Last value]]&gt;1.5*Table1[[#This Row],[Target]],1,0)</f>
        <v>0</v>
      </c>
      <c r="Q1455" s="4">
        <f>IF(AND(1.5*Table1[[#This Row],[Target]]&gt;=Table1[[#This Row],[Last value]],Table1[[#This Row],[Last value]]&gt;Table1[[#This Row],[Target]]),1,0)</f>
        <v>0</v>
      </c>
      <c r="R1455" s="4">
        <f>IF(Table1[[#This Row],[Target]]&gt;=Table1[[#This Row],[Last value]],1,0)</f>
        <v>1</v>
      </c>
      <c r="S1455" s="4" t="str">
        <f t="shared" si="35"/>
        <v>Green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27">
        <v>1.8</v>
      </c>
      <c r="CM1455" s="4">
        <v>0</v>
      </c>
      <c r="CN1455" s="53">
        <v>0</v>
      </c>
      <c r="CO1455" s="54">
        <v>0</v>
      </c>
      <c r="CP1455" s="54">
        <v>1.9</v>
      </c>
      <c r="CQ1455" s="4">
        <v>2.2000000000000002</v>
      </c>
    </row>
    <row r="1456" spans="1:95" x14ac:dyDescent="0.35">
      <c r="A1456" s="55">
        <v>1457</v>
      </c>
      <c r="B1456" s="47" t="s">
        <v>1576</v>
      </c>
      <c r="C1456" s="51" t="s">
        <v>1493</v>
      </c>
      <c r="D1456" s="50" t="s">
        <v>88</v>
      </c>
      <c r="E1456" s="50" t="s">
        <v>89</v>
      </c>
      <c r="F1456" s="4">
        <f>IFERROR(AVERAGEIF(Table1[[#This Row],[2019-Apr]:[2025-July]],"&lt;&gt;0"),0)</f>
        <v>1</v>
      </c>
      <c r="G1456" s="4">
        <f ca="1">IFERROR(AVERAGEIF(OFFSET(Table1[[#This Row],[Status]],0,COUNT(Table1[[#This Row],[2019-May]:[2025-July]]),1,-12),"&lt;&gt;0"),0)</f>
        <v>0.8</v>
      </c>
      <c r="H1456" s="55">
        <f>IFERROR(SMALL(Table1[[#This Row],[2019-Apr]:[2025-July]],COUNTIF(Table1[[#This Row],[2019-Apr]:[2025-July]],0)+1),0)</f>
        <v>0.6</v>
      </c>
      <c r="I1456" s="56">
        <f>IFERROR(MAX(Table1[[#This Row],[2019-Apr]:[2025-July]]),0)</f>
        <v>1.4</v>
      </c>
      <c r="J1456" s="4" cm="1">
        <f t="array" ref="J1456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1</v>
      </c>
      <c r="K1456" s="4">
        <v>4.5</v>
      </c>
      <c r="L1456" s="4">
        <f>IF(Table1[[#This Row],[Standard as per ISO]]&gt;=Table1[[#This Row],[Avg of best 6]],Table1[[#This Row],[Standard as per ISO]],Table1[[#This Row],[Avg of best 6]])</f>
        <v>4.5</v>
      </c>
      <c r="M1456" s="4" cm="1">
        <f t="array" ref="M1456">IFERROR(LOOKUP(2,1/(Table1[[#This Row],[2019-May]:[2025-July]]&lt;&gt;0),Table1[[#This Row],[2019-May]:[2025-July]]),0)</f>
        <v>1.4</v>
      </c>
      <c r="N1456" s="4">
        <f>COUNTIF(Table1[[#This Row],[2019-Apr]:[2025-July]],"&gt;="&amp;Table1[[#This Row],[Target]])</f>
        <v>0</v>
      </c>
      <c r="O1456" s="4">
        <f>IF(Table1[[#This Row],[Outliers 2Y]]=0,1,0)</f>
        <v>1</v>
      </c>
      <c r="P1456" s="4">
        <f>IF(Table1[[#This Row],[Last value]]&gt;1.5*Table1[[#This Row],[Target]],1,0)</f>
        <v>0</v>
      </c>
      <c r="Q1456" s="4">
        <f>IF(AND(1.5*Table1[[#This Row],[Target]]&gt;=Table1[[#This Row],[Last value]],Table1[[#This Row],[Last value]]&gt;Table1[[#This Row],[Target]]),1,0)</f>
        <v>0</v>
      </c>
      <c r="R1456" s="4">
        <f>IF(Table1[[#This Row],[Target]]&gt;=Table1[[#This Row],[Last value]],1,0)</f>
        <v>1</v>
      </c>
      <c r="S1456" s="4" t="str">
        <f t="shared" si="35"/>
        <v>Green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27">
        <v>1</v>
      </c>
      <c r="CM1456" s="4">
        <v>0</v>
      </c>
      <c r="CN1456" s="53">
        <v>0</v>
      </c>
      <c r="CO1456" s="54">
        <v>0</v>
      </c>
      <c r="CP1456" s="54">
        <v>0.6</v>
      </c>
      <c r="CQ1456" s="4">
        <v>1.4</v>
      </c>
    </row>
    <row r="1457" spans="1:95" x14ac:dyDescent="0.35">
      <c r="A1457" s="55">
        <v>1458</v>
      </c>
      <c r="B1457" s="47" t="s">
        <v>1576</v>
      </c>
      <c r="C1457" s="51" t="s">
        <v>1494</v>
      </c>
      <c r="D1457" s="49" t="s">
        <v>104</v>
      </c>
      <c r="E1457" s="50" t="s">
        <v>89</v>
      </c>
      <c r="F1457" s="4">
        <f>IFERROR(AVERAGEIF(Table1[[#This Row],[2019-Apr]:[2025-July]],"&lt;&gt;0"),0)</f>
        <v>3.7666666666666662</v>
      </c>
      <c r="G1457" s="4">
        <f ca="1">IFERROR(AVERAGEIF(OFFSET(Table1[[#This Row],[Status]],0,COUNT(Table1[[#This Row],[2019-May]:[2025-July]]),1,-12),"&lt;&gt;0"),0)</f>
        <v>3.7666666666666662</v>
      </c>
      <c r="H1457" s="55">
        <f>IFERROR(SMALL(Table1[[#This Row],[2019-Apr]:[2025-July]],COUNTIF(Table1[[#This Row],[2019-Apr]:[2025-July]],0)+1),0)</f>
        <v>3.4</v>
      </c>
      <c r="I1457" s="56">
        <f>IFERROR(MAX(Table1[[#This Row],[2019-Apr]:[2025-July]]),0)</f>
        <v>4.0999999999999996</v>
      </c>
      <c r="J1457" s="4" cm="1">
        <f t="array" ref="J1457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3.7666666666666662</v>
      </c>
      <c r="K1457" s="4">
        <v>4.5</v>
      </c>
      <c r="L1457" s="4">
        <f>IF(Table1[[#This Row],[Standard as per ISO]]&gt;=Table1[[#This Row],[Avg of best 6]],Table1[[#This Row],[Standard as per ISO]],Table1[[#This Row],[Avg of best 6]])</f>
        <v>4.5</v>
      </c>
      <c r="M1457" s="4" cm="1">
        <f t="array" ref="M1457">IFERROR(LOOKUP(2,1/(Table1[[#This Row],[2019-May]:[2025-July]]&lt;&gt;0),Table1[[#This Row],[2019-May]:[2025-July]]),0)</f>
        <v>4.0999999999999996</v>
      </c>
      <c r="N1457" s="4">
        <f>COUNTIF(Table1[[#This Row],[2019-Apr]:[2025-July]],"&gt;="&amp;Table1[[#This Row],[Target]])</f>
        <v>0</v>
      </c>
      <c r="O1457" s="4">
        <f>IF(Table1[[#This Row],[Outliers 2Y]]=0,1,0)</f>
        <v>1</v>
      </c>
      <c r="P1457" s="4">
        <f>IF(Table1[[#This Row],[Last value]]&gt;1.5*Table1[[#This Row],[Target]],1,0)</f>
        <v>0</v>
      </c>
      <c r="Q1457" s="4">
        <f>IF(AND(1.5*Table1[[#This Row],[Target]]&gt;=Table1[[#This Row],[Last value]],Table1[[#This Row],[Last value]]&gt;Table1[[#This Row],[Target]]),1,0)</f>
        <v>0</v>
      </c>
      <c r="R1457" s="4">
        <f>IF(Table1[[#This Row],[Target]]&gt;=Table1[[#This Row],[Last value]],1,0)</f>
        <v>1</v>
      </c>
      <c r="S1457" s="4" t="str">
        <f t="shared" si="35"/>
        <v>Green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53">
        <v>3.8</v>
      </c>
      <c r="CO1457" s="54">
        <v>3.4</v>
      </c>
      <c r="CP1457" s="54">
        <v>4.0999999999999996</v>
      </c>
      <c r="CQ1457" s="4">
        <v>0</v>
      </c>
    </row>
    <row r="1458" spans="1:95" x14ac:dyDescent="0.35">
      <c r="A1458" s="55">
        <v>1459</v>
      </c>
      <c r="B1458" s="47" t="s">
        <v>1576</v>
      </c>
      <c r="C1458" s="51" t="s">
        <v>1495</v>
      </c>
      <c r="D1458" s="50" t="s">
        <v>104</v>
      </c>
      <c r="E1458" s="50" t="s">
        <v>89</v>
      </c>
      <c r="F1458" s="4">
        <f>IFERROR(AVERAGEIF(Table1[[#This Row],[2019-Apr]:[2025-July]],"&lt;&gt;0"),0)</f>
        <v>5.9</v>
      </c>
      <c r="G1458" s="4">
        <f ca="1">IFERROR(AVERAGEIF(OFFSET(Table1[[#This Row],[Status]],0,COUNT(Table1[[#This Row],[2019-May]:[2025-July]]),1,-12),"&lt;&gt;0"),0)</f>
        <v>0</v>
      </c>
      <c r="H1458" s="55">
        <f>IFERROR(SMALL(Table1[[#This Row],[2019-Apr]:[2025-July]],COUNTIF(Table1[[#This Row],[2019-Apr]:[2025-July]],0)+1),0)</f>
        <v>5.9</v>
      </c>
      <c r="I1458" s="56">
        <f>IFERROR(MAX(Table1[[#This Row],[2019-Apr]:[2025-July]]),0)</f>
        <v>5.9</v>
      </c>
      <c r="J1458" s="4" cm="1">
        <f t="array" ref="J1458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5.9</v>
      </c>
      <c r="K1458" s="4">
        <v>4.5</v>
      </c>
      <c r="L1458" s="4">
        <f>IF(Table1[[#This Row],[Standard as per ISO]]&gt;=Table1[[#This Row],[Avg of best 6]],Table1[[#This Row],[Standard as per ISO]],Table1[[#This Row],[Avg of best 6]])</f>
        <v>5.9</v>
      </c>
      <c r="M1458" s="4" cm="1">
        <f t="array" ref="M1458">IFERROR(LOOKUP(2,1/(Table1[[#This Row],[2019-May]:[2025-July]]&lt;&gt;0),Table1[[#This Row],[2019-May]:[2025-July]]),0)</f>
        <v>5.9</v>
      </c>
      <c r="N1458" s="4">
        <f>COUNTIF(Table1[[#This Row],[2019-Apr]:[2025-July]],"&gt;="&amp;Table1[[#This Row],[Target]])</f>
        <v>1</v>
      </c>
      <c r="O1458" s="4">
        <f>IF(Table1[[#This Row],[Outliers 2Y]]=0,1,0)</f>
        <v>0</v>
      </c>
      <c r="P1458" s="4">
        <f>IF(Table1[[#This Row],[Last value]]&gt;1.5*Table1[[#This Row],[Target]],1,0)</f>
        <v>0</v>
      </c>
      <c r="Q1458" s="4">
        <f>IF(AND(1.5*Table1[[#This Row],[Target]]&gt;=Table1[[#This Row],[Last value]],Table1[[#This Row],[Last value]]&gt;Table1[[#This Row],[Target]]),1,0)</f>
        <v>0</v>
      </c>
      <c r="R1458" s="4">
        <f>IF(Table1[[#This Row],[Target]]&gt;=Table1[[#This Row],[Last value]],1,0)</f>
        <v>1</v>
      </c>
      <c r="S1458" s="4" t="str">
        <f t="shared" si="35"/>
        <v>Green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53">
        <v>0</v>
      </c>
      <c r="CO1458" s="54">
        <v>0</v>
      </c>
      <c r="CP1458" s="54">
        <v>0</v>
      </c>
      <c r="CQ1458" s="4">
        <v>5.9</v>
      </c>
    </row>
    <row r="1459" spans="1:95" x14ac:dyDescent="0.35">
      <c r="A1459" s="55">
        <v>1460</v>
      </c>
      <c r="B1459" s="47" t="s">
        <v>1479</v>
      </c>
      <c r="C1459" s="51" t="s">
        <v>1496</v>
      </c>
      <c r="D1459" s="49" t="s">
        <v>93</v>
      </c>
      <c r="E1459" s="50" t="s">
        <v>89</v>
      </c>
      <c r="F1459" s="4">
        <f>IFERROR(AVERAGEIF(Table1[[#This Row],[2019-Apr]:[2025-July]],"&lt;&gt;0"),0)</f>
        <v>0.56666666666666665</v>
      </c>
      <c r="G1459" s="4">
        <f ca="1">IFERROR(AVERAGEIF(OFFSET(Table1[[#This Row],[Status]],0,COUNT(Table1[[#This Row],[2019-May]:[2025-July]]),1,-12),"&lt;&gt;0"),0)</f>
        <v>0.7</v>
      </c>
      <c r="H1459" s="55">
        <f>IFERROR(SMALL(Table1[[#This Row],[2019-Apr]:[2025-July]],COUNTIF(Table1[[#This Row],[2019-Apr]:[2025-July]],0)+1),0)</f>
        <v>0.3</v>
      </c>
      <c r="I1459" s="56">
        <f>IFERROR(MAX(Table1[[#This Row],[2019-Apr]:[2025-July]]),0)</f>
        <v>0.8</v>
      </c>
      <c r="J1459" s="4" cm="1">
        <f t="array" ref="J1459">IFERROR(IF(COUNTIF(Table1[[#This Row],[2019-May]:[2025-July]],"&gt;0")&lt;6,SUM(Table1[[#This Row],[2019-May]:[2025-July]])/COUNTIF(Table1[[#This Row],[2019-May]:[2025-July]],"&gt;0"), AVERAGE(SMALL(Table1[[#This Row],[2019-May]:[2025-July]],{1,2,3,4,5,6}+COUNTIF(Table1[[#This Row],[2019-May]:[2025-July]],0)))),0)</f>
        <v>0.56666666666666665</v>
      </c>
      <c r="K1459" s="4">
        <v>4.5</v>
      </c>
      <c r="L1459" s="4">
        <f>IF(Table1[[#This Row],[Standard as per ISO]]&gt;=Table1[[#This Row],[Avg of best 6]],Table1[[#This Row],[Standard as per ISO]],Table1[[#This Row],[Avg of best 6]])</f>
        <v>4.5</v>
      </c>
      <c r="M1459" s="4" cm="1">
        <f t="array" ref="M1459">IFERROR(LOOKUP(2,1/(Table1[[#This Row],[2019-May]:[2025-July]]&lt;&gt;0),Table1[[#This Row],[2019-May]:[2025-July]]),0)</f>
        <v>0.3</v>
      </c>
      <c r="N1459" s="4">
        <f>COUNTIF(Table1[[#This Row],[2019-Apr]:[2025-July]],"&gt;="&amp;Table1[[#This Row],[Target]])</f>
        <v>0</v>
      </c>
      <c r="O1459" s="4">
        <f>IF(Table1[[#This Row],[Outliers 2Y]]=0,1,0)</f>
        <v>1</v>
      </c>
      <c r="P1459" s="4">
        <f>IF(Table1[[#This Row],[Last value]]&gt;1.5*Table1[[#This Row],[Target]],1,0)</f>
        <v>0</v>
      </c>
      <c r="Q1459" s="4">
        <f>IF(AND(1.5*Table1[[#This Row],[Target]]&gt;=Table1[[#This Row],[Last value]],Table1[[#This Row],[Last value]]&gt;Table1[[#This Row],[Target]]),1,0)</f>
        <v>0</v>
      </c>
      <c r="R1459" s="4">
        <f>IF(Table1[[#This Row],[Target]]&gt;=Table1[[#This Row],[Last value]],1,0)</f>
        <v>1</v>
      </c>
      <c r="S1459" s="4" t="str">
        <f t="shared" si="35"/>
        <v>Green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0</v>
      </c>
      <c r="CO1459" s="54">
        <v>0.6</v>
      </c>
      <c r="CP1459" s="54">
        <v>0.8</v>
      </c>
      <c r="CQ1459" s="4">
        <v>0.3</v>
      </c>
    </row>
  </sheetData>
  <phoneticPr fontId="5" type="noConversion"/>
  <conditionalFormatting sqref="C1281:C1284">
    <cfRule type="duplicateValues" dxfId="6" priority="3"/>
  </conditionalFormatting>
  <pageMargins left="0.7" right="0.7" top="0.75" bottom="0.75" header="0.3" footer="0.3"/>
  <pageSetup orientation="portrait" horizontalDpi="300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7" operator="containsText" id="{DF3C84FA-CB2B-4CA4-B187-143AA63B2FDD}">
            <xm:f>NOT(ISERROR(SEARCH("Red",S2)))</xm:f>
            <xm:f>"Red"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" operator="containsText" id="{BD426078-A7AB-42E3-B343-994320EB6E26}">
            <xm:f>NOT(ISERROR(SEARCH("Yellow",S2)))</xm:f>
            <xm:f>"Yellow"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9" operator="containsText" id="{06669AE3-9D5E-4DAE-B382-6DEAC05BF3F5}">
            <xm:f>NOT(ISERROR(SEARCH("Green",S2)))</xm:f>
            <xm:f>"Green"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0" operator="containsText" id="{30E1A3F7-35EF-4CEC-A84D-0F323350AF76}">
            <xm:f>NOT(ISERROR(SEARCH(#REF!,S2)))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" operator="containsText" id="{F514A9A4-3F81-47CD-AAEE-0192C5DAF695}">
            <xm:f>NOT(ISERROR(SEARCH(#REF!,S2)))</xm:f>
            <xm:f>#REF!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2" operator="containsText" id="{835A440D-7A11-4F9B-AFE9-F7F78DEA9791}">
            <xm:f>NOT(ISERROR(SEARCH(#REF!,S2)))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S2:S1459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c8f180-3207-4062-9165-c559b545b727" xsi:nil="true"/>
    <lcf76f155ced4ddcb4097134ff3c332f xmlns="aa2f0ed7-0430-4167-9f7a-bdacfd014a3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8B90D15C92B741B830251D992716FF" ma:contentTypeVersion="19" ma:contentTypeDescription="Create a new document." ma:contentTypeScope="" ma:versionID="8a198854fa5fc6e5cfa4b877dd472335">
  <xsd:schema xmlns:xsd="http://www.w3.org/2001/XMLSchema" xmlns:xs="http://www.w3.org/2001/XMLSchema" xmlns:p="http://schemas.microsoft.com/office/2006/metadata/properties" xmlns:ns2="aa2f0ed7-0430-4167-9f7a-bdacfd014a3d" xmlns:ns3="d4c8f180-3207-4062-9165-c559b545b727" targetNamespace="http://schemas.microsoft.com/office/2006/metadata/properties" ma:root="true" ma:fieldsID="14bb53761e8376872e035962560d8872" ns2:_="" ns3:_="">
    <xsd:import namespace="aa2f0ed7-0430-4167-9f7a-bdacfd014a3d"/>
    <xsd:import namespace="d4c8f180-3207-4062-9165-c559b545b7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f0ed7-0430-4167-9f7a-bdacfd014a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4300d5a-9df7-4231-b9c5-d48aedff4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8f180-3207-4062-9165-c559b545b7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d6ab39-631e-4df9-8bc9-db168c765cbe}" ma:internalName="TaxCatchAll" ma:showField="CatchAllData" ma:web="d4c8f180-3207-4062-9165-c559b545b7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F6FA52-3205-4D31-9578-EA39D6273A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6D768E-AA83-4BAA-A324-2E1978DFC9DC}">
  <ds:schemaRefs>
    <ds:schemaRef ds:uri="http://schemas.microsoft.com/office/2006/metadata/properties"/>
    <ds:schemaRef ds:uri="http://schemas.microsoft.com/office/infopath/2007/PartnerControls"/>
    <ds:schemaRef ds:uri="d4c8f180-3207-4062-9165-c559b545b727"/>
    <ds:schemaRef ds:uri="aa2f0ed7-0430-4167-9f7a-bdacfd014a3d"/>
  </ds:schemaRefs>
</ds:datastoreItem>
</file>

<file path=customXml/itemProps3.xml><?xml version="1.0" encoding="utf-8"?>
<ds:datastoreItem xmlns:ds="http://schemas.openxmlformats.org/officeDocument/2006/customXml" ds:itemID="{11A53BD9-60B6-4850-98D8-7AAD4DF24C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f0ed7-0430-4167-9f7a-bdacfd014a3d"/>
    <ds:schemaRef ds:uri="d4c8f180-3207-4062-9165-c559b545b7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2025-07-30T09:50:29Z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0x010100508B90D15C92B741B830251D992716FF</vt:lpwstr>
  </property>
  <property fmtid="{D5CDD505-2E9C-101B-9397-08002B2CF9AE}" pid="3" name="Order">
    <vt:r8>100</vt:r8>
  </property>
  <property fmtid="{D5CDD505-2E9C-101B-9397-08002B2CF9AE}" pid="4" name="MSIP_Label_2f50afb6-ab6e-4e8b-96b5-6e00ab52e29e_Enabled">
    <vt:lpwstr>true</vt:lpwstr>
  </property>
  <property fmtid="{D5CDD505-2E9C-101B-9397-08002B2CF9AE}" pid="5" name="MSIP_Label_2f50afb6-ab6e-4e8b-96b5-6e00ab52e29e_SetDate">
    <vt:lpwstr>2022-03-06T12:00:01Z</vt:lpwstr>
  </property>
  <property fmtid="{D5CDD505-2E9C-101B-9397-08002B2CF9AE}" pid="6" name="MSIP_Label_2f50afb6-ab6e-4e8b-96b5-6e00ab52e29e_Method">
    <vt:lpwstr>Standard</vt:lpwstr>
  </property>
  <property fmtid="{D5CDD505-2E9C-101B-9397-08002B2CF9AE}" pid="7" name="MSIP_Label_2f50afb6-ab6e-4e8b-96b5-6e00ab52e29e_Name">
    <vt:lpwstr>2f50afb6-ab6e-4e8b-96b5-6e00ab52e29e</vt:lpwstr>
  </property>
  <property fmtid="{D5CDD505-2E9C-101B-9397-08002B2CF9AE}" pid="8" name="MSIP_Label_2f50afb6-ab6e-4e8b-96b5-6e00ab52e29e_SiteId">
    <vt:lpwstr>f35425af-4755-4e0c-b1bb-b3cb9f1c6afd</vt:lpwstr>
  </property>
  <property fmtid="{D5CDD505-2E9C-101B-9397-08002B2CF9AE}" pid="9" name="MSIP_Label_2f50afb6-ab6e-4e8b-96b5-6e00ab52e29e_ActionId">
    <vt:lpwstr>61bc1ea0-c5b6-44b7-9ce0-a66221e349bb</vt:lpwstr>
  </property>
  <property fmtid="{D5CDD505-2E9C-101B-9397-08002B2CF9AE}" pid="10" name="MSIP_Label_2f50afb6-ab6e-4e8b-96b5-6e00ab52e29e_ContentBits">
    <vt:lpwstr>0</vt:lpwstr>
  </property>
  <property fmtid="{D5CDD505-2E9C-101B-9397-08002B2CF9AE}" pid="11" name="MediaServiceImageTags">
    <vt:lpwstr/>
  </property>
</Properties>
</file>